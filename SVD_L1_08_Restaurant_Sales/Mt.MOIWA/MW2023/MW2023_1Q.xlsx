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CE4C7B8D-C2C1-3B46-A5DD-0690D35DA0CF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３.０４" sheetId="1" r:id="rId1"/>
    <sheet name="2023.05" sheetId="2" r:id="rId2"/>
    <sheet name="2023.06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6" i="3" l="1"/>
  <c r="S46" i="3"/>
  <c r="AJ44" i="3"/>
  <c r="F38" i="3"/>
  <c r="AD37" i="3"/>
  <c r="AC37" i="3"/>
  <c r="AA37" i="3"/>
  <c r="AB37" i="3" s="1"/>
  <c r="H37" i="3"/>
  <c r="I37" i="3" s="1"/>
  <c r="F37" i="3"/>
  <c r="G37" i="3" s="1"/>
  <c r="K37" i="3" s="1"/>
  <c r="AR36" i="3"/>
  <c r="AQ36" i="3"/>
  <c r="AP36" i="3"/>
  <c r="AO36" i="3"/>
  <c r="AN36" i="3"/>
  <c r="AM36" i="3"/>
  <c r="AL36" i="3"/>
  <c r="AC36" i="3"/>
  <c r="AA36" i="3"/>
  <c r="Z36" i="3"/>
  <c r="Y36" i="3"/>
  <c r="L36" i="3"/>
  <c r="H36" i="3"/>
  <c r="I36" i="3" s="1"/>
  <c r="G36" i="3"/>
  <c r="F36" i="3"/>
  <c r="E36" i="3"/>
  <c r="D36" i="3"/>
  <c r="C36" i="3"/>
  <c r="AS35" i="3"/>
  <c r="AU35" i="3" s="1"/>
  <c r="AK35" i="3"/>
  <c r="AF35" i="3"/>
  <c r="AE35" i="3"/>
  <c r="AD35" i="3"/>
  <c r="AB35" i="3"/>
  <c r="P35" i="3"/>
  <c r="V35" i="3" s="1"/>
  <c r="AI35" i="3" s="1"/>
  <c r="N35" i="3"/>
  <c r="U35" i="3" s="1"/>
  <c r="AH35" i="3" s="1"/>
  <c r="M35" i="3"/>
  <c r="K35" i="3"/>
  <c r="J35" i="3"/>
  <c r="I35" i="3"/>
  <c r="G35" i="3"/>
  <c r="AS34" i="3"/>
  <c r="AU34" i="3" s="1"/>
  <c r="AK34" i="3"/>
  <c r="AH34" i="3"/>
  <c r="AE34" i="3"/>
  <c r="AF34" i="3" s="1"/>
  <c r="AD34" i="3"/>
  <c r="AB34" i="3"/>
  <c r="U34" i="3"/>
  <c r="T34" i="3"/>
  <c r="X34" i="3" s="1"/>
  <c r="P34" i="3"/>
  <c r="Q34" i="3" s="1"/>
  <c r="N34" i="3"/>
  <c r="R34" i="3" s="1"/>
  <c r="W34" i="3" s="1"/>
  <c r="AJ34" i="3" s="1"/>
  <c r="M34" i="3"/>
  <c r="AG34" i="3" s="1"/>
  <c r="K34" i="3"/>
  <c r="J34" i="3"/>
  <c r="I34" i="3"/>
  <c r="G34" i="3"/>
  <c r="AS33" i="3"/>
  <c r="AU33" i="3" s="1"/>
  <c r="AK33" i="3"/>
  <c r="AI33" i="3"/>
  <c r="AG33" i="3"/>
  <c r="AF33" i="3"/>
  <c r="AE33" i="3"/>
  <c r="AD33" i="3"/>
  <c r="AB33" i="3"/>
  <c r="V33" i="3"/>
  <c r="U33" i="3"/>
  <c r="AH33" i="3" s="1"/>
  <c r="R33" i="3"/>
  <c r="S33" i="3" s="1"/>
  <c r="P33" i="3"/>
  <c r="N33" i="3"/>
  <c r="O33" i="3" s="1"/>
  <c r="M33" i="3"/>
  <c r="Q33" i="3" s="1"/>
  <c r="K33" i="3"/>
  <c r="J33" i="3"/>
  <c r="I33" i="3"/>
  <c r="G33" i="3"/>
  <c r="AU32" i="3"/>
  <c r="AS32" i="3"/>
  <c r="AK32" i="3"/>
  <c r="AH32" i="3"/>
  <c r="AG32" i="3"/>
  <c r="AE32" i="3"/>
  <c r="AF32" i="3" s="1"/>
  <c r="AD32" i="3"/>
  <c r="AB32" i="3"/>
  <c r="U32" i="3"/>
  <c r="T32" i="3"/>
  <c r="P32" i="3"/>
  <c r="O32" i="3"/>
  <c r="N32" i="3"/>
  <c r="M32" i="3"/>
  <c r="K32" i="3"/>
  <c r="J32" i="3"/>
  <c r="I32" i="3"/>
  <c r="G32" i="3"/>
  <c r="AS31" i="3"/>
  <c r="AU31" i="3" s="1"/>
  <c r="AK31" i="3"/>
  <c r="AG31" i="3"/>
  <c r="AE31" i="3"/>
  <c r="AF31" i="3" s="1"/>
  <c r="AD31" i="3"/>
  <c r="AB31" i="3"/>
  <c r="T31" i="3"/>
  <c r="Q31" i="3"/>
  <c r="P31" i="3"/>
  <c r="V31" i="3" s="1"/>
  <c r="AI31" i="3" s="1"/>
  <c r="N31" i="3"/>
  <c r="M31" i="3"/>
  <c r="K31" i="3"/>
  <c r="J31" i="3"/>
  <c r="I31" i="3"/>
  <c r="G31" i="3"/>
  <c r="AU30" i="3"/>
  <c r="AS30" i="3"/>
  <c r="AK30" i="3"/>
  <c r="AJ30" i="3"/>
  <c r="AF30" i="3"/>
  <c r="AE30" i="3"/>
  <c r="AD30" i="3"/>
  <c r="AB30" i="3"/>
  <c r="W30" i="3"/>
  <c r="V30" i="3"/>
  <c r="AI30" i="3" s="1"/>
  <c r="R30" i="3"/>
  <c r="P30" i="3"/>
  <c r="Q30" i="3" s="1"/>
  <c r="O30" i="3"/>
  <c r="N30" i="3"/>
  <c r="U30" i="3" s="1"/>
  <c r="AH30" i="3" s="1"/>
  <c r="M30" i="3"/>
  <c r="T30" i="3" s="1"/>
  <c r="X30" i="3" s="1"/>
  <c r="K30" i="3"/>
  <c r="J30" i="3"/>
  <c r="I30" i="3"/>
  <c r="G30" i="3"/>
  <c r="AS29" i="3"/>
  <c r="AU29" i="3" s="1"/>
  <c r="AK29" i="3"/>
  <c r="AH29" i="3"/>
  <c r="AF29" i="3"/>
  <c r="AE29" i="3"/>
  <c r="AD29" i="3"/>
  <c r="AB29" i="3"/>
  <c r="U29" i="3"/>
  <c r="T29" i="3"/>
  <c r="P29" i="3"/>
  <c r="Q29" i="3" s="1"/>
  <c r="N29" i="3"/>
  <c r="R29" i="3" s="1"/>
  <c r="W29" i="3" s="1"/>
  <c r="AJ29" i="3" s="1"/>
  <c r="M29" i="3"/>
  <c r="AG29" i="3" s="1"/>
  <c r="J29" i="3"/>
  <c r="K29" i="3" s="1"/>
  <c r="I29" i="3"/>
  <c r="G29" i="3"/>
  <c r="AS28" i="3"/>
  <c r="AU28" i="3" s="1"/>
  <c r="AK28" i="3"/>
  <c r="AI28" i="3"/>
  <c r="AG28" i="3"/>
  <c r="AF28" i="3"/>
  <c r="AE28" i="3"/>
  <c r="AD28" i="3"/>
  <c r="AB28" i="3"/>
  <c r="V28" i="3"/>
  <c r="U28" i="3"/>
  <c r="AH28" i="3" s="1"/>
  <c r="R28" i="3"/>
  <c r="S28" i="3" s="1"/>
  <c r="P28" i="3"/>
  <c r="N28" i="3"/>
  <c r="O28" i="3" s="1"/>
  <c r="M28" i="3"/>
  <c r="Q28" i="3" s="1"/>
  <c r="J28" i="3"/>
  <c r="W28" i="3" s="1"/>
  <c r="AJ28" i="3" s="1"/>
  <c r="I28" i="3"/>
  <c r="G28" i="3"/>
  <c r="AU27" i="3"/>
  <c r="AS27" i="3"/>
  <c r="AK27" i="3"/>
  <c r="AH27" i="3"/>
  <c r="AG27" i="3"/>
  <c r="AE27" i="3"/>
  <c r="AF27" i="3" s="1"/>
  <c r="AD27" i="3"/>
  <c r="AB27" i="3"/>
  <c r="U27" i="3"/>
  <c r="T27" i="3"/>
  <c r="P27" i="3"/>
  <c r="O27" i="3"/>
  <c r="N27" i="3"/>
  <c r="M27" i="3"/>
  <c r="K27" i="3"/>
  <c r="J27" i="3"/>
  <c r="I27" i="3"/>
  <c r="G27" i="3"/>
  <c r="AS26" i="3"/>
  <c r="AU26" i="3" s="1"/>
  <c r="AK26" i="3"/>
  <c r="AG26" i="3"/>
  <c r="AE26" i="3"/>
  <c r="AF26" i="3" s="1"/>
  <c r="AD26" i="3"/>
  <c r="AB26" i="3"/>
  <c r="T26" i="3"/>
  <c r="Q26" i="3"/>
  <c r="P26" i="3"/>
  <c r="V26" i="3" s="1"/>
  <c r="AI26" i="3" s="1"/>
  <c r="N26" i="3"/>
  <c r="M26" i="3"/>
  <c r="K26" i="3"/>
  <c r="J26" i="3"/>
  <c r="I26" i="3"/>
  <c r="G26" i="3"/>
  <c r="AU25" i="3"/>
  <c r="AS25" i="3"/>
  <c r="AK25" i="3"/>
  <c r="AJ25" i="3"/>
  <c r="AF25" i="3"/>
  <c r="AE25" i="3"/>
  <c r="AD25" i="3"/>
  <c r="AB25" i="3"/>
  <c r="W25" i="3"/>
  <c r="V25" i="3"/>
  <c r="AI25" i="3" s="1"/>
  <c r="R25" i="3"/>
  <c r="P25" i="3"/>
  <c r="Q25" i="3" s="1"/>
  <c r="O25" i="3"/>
  <c r="N25" i="3"/>
  <c r="U25" i="3" s="1"/>
  <c r="AH25" i="3" s="1"/>
  <c r="M25" i="3"/>
  <c r="T25" i="3" s="1"/>
  <c r="X25" i="3" s="1"/>
  <c r="K25" i="3"/>
  <c r="J25" i="3"/>
  <c r="I25" i="3"/>
  <c r="G25" i="3"/>
  <c r="AS24" i="3"/>
  <c r="AU24" i="3" s="1"/>
  <c r="AK24" i="3"/>
  <c r="AH24" i="3"/>
  <c r="AF24" i="3"/>
  <c r="AE24" i="3"/>
  <c r="AD24" i="3"/>
  <c r="AB24" i="3"/>
  <c r="U24" i="3"/>
  <c r="P24" i="3"/>
  <c r="N24" i="3"/>
  <c r="R24" i="3" s="1"/>
  <c r="M24" i="3"/>
  <c r="J24" i="3"/>
  <c r="I24" i="3"/>
  <c r="G24" i="3"/>
  <c r="AS23" i="3"/>
  <c r="AU23" i="3" s="1"/>
  <c r="AK23" i="3"/>
  <c r="AI23" i="3"/>
  <c r="AG23" i="3"/>
  <c r="AF23" i="3"/>
  <c r="AE23" i="3"/>
  <c r="AD23" i="3"/>
  <c r="AB23" i="3"/>
  <c r="V23" i="3"/>
  <c r="U23" i="3"/>
  <c r="AH23" i="3" s="1"/>
  <c r="R23" i="3"/>
  <c r="S23" i="3" s="1"/>
  <c r="P23" i="3"/>
  <c r="N23" i="3"/>
  <c r="O23" i="3" s="1"/>
  <c r="M23" i="3"/>
  <c r="Q23" i="3" s="1"/>
  <c r="K23" i="3"/>
  <c r="J23" i="3"/>
  <c r="W23" i="3" s="1"/>
  <c r="AJ23" i="3" s="1"/>
  <c r="I23" i="3"/>
  <c r="G23" i="3"/>
  <c r="AU22" i="3"/>
  <c r="AS22" i="3"/>
  <c r="AK22" i="3"/>
  <c r="AH22" i="3"/>
  <c r="AG22" i="3"/>
  <c r="AE22" i="3"/>
  <c r="AF22" i="3" s="1"/>
  <c r="AD22" i="3"/>
  <c r="AB22" i="3"/>
  <c r="U22" i="3"/>
  <c r="T22" i="3"/>
  <c r="P22" i="3"/>
  <c r="O22" i="3"/>
  <c r="N22" i="3"/>
  <c r="M22" i="3"/>
  <c r="K22" i="3"/>
  <c r="J22" i="3"/>
  <c r="I22" i="3"/>
  <c r="G22" i="3"/>
  <c r="AS21" i="3"/>
  <c r="AU21" i="3" s="1"/>
  <c r="AK21" i="3"/>
  <c r="AG21" i="3"/>
  <c r="AE21" i="3"/>
  <c r="AF21" i="3" s="1"/>
  <c r="AD21" i="3"/>
  <c r="AB21" i="3"/>
  <c r="T21" i="3"/>
  <c r="Q21" i="3"/>
  <c r="P21" i="3"/>
  <c r="V21" i="3" s="1"/>
  <c r="AI21" i="3" s="1"/>
  <c r="N21" i="3"/>
  <c r="M21" i="3"/>
  <c r="K21" i="3"/>
  <c r="J21" i="3"/>
  <c r="I21" i="3"/>
  <c r="G21" i="3"/>
  <c r="AU20" i="3"/>
  <c r="AS20" i="3"/>
  <c r="AK20" i="3"/>
  <c r="AJ20" i="3"/>
  <c r="AF20" i="3"/>
  <c r="AE20" i="3"/>
  <c r="AD20" i="3"/>
  <c r="AB20" i="3"/>
  <c r="W20" i="3"/>
  <c r="V20" i="3"/>
  <c r="AI20" i="3" s="1"/>
  <c r="R20" i="3"/>
  <c r="P20" i="3"/>
  <c r="Q20" i="3" s="1"/>
  <c r="O20" i="3"/>
  <c r="N20" i="3"/>
  <c r="U20" i="3" s="1"/>
  <c r="AH20" i="3" s="1"/>
  <c r="M20" i="3"/>
  <c r="T20" i="3" s="1"/>
  <c r="X20" i="3" s="1"/>
  <c r="K20" i="3"/>
  <c r="J20" i="3"/>
  <c r="I20" i="3"/>
  <c r="G20" i="3"/>
  <c r="AS19" i="3"/>
  <c r="AU19" i="3" s="1"/>
  <c r="AK19" i="3"/>
  <c r="AH19" i="3"/>
  <c r="AF19" i="3"/>
  <c r="AE19" i="3"/>
  <c r="AD19" i="3"/>
  <c r="AB19" i="3"/>
  <c r="U19" i="3"/>
  <c r="P19" i="3"/>
  <c r="N19" i="3"/>
  <c r="R19" i="3" s="1"/>
  <c r="W19" i="3" s="1"/>
  <c r="AJ19" i="3" s="1"/>
  <c r="M19" i="3"/>
  <c r="T19" i="3" s="1"/>
  <c r="X19" i="3" s="1"/>
  <c r="K19" i="3"/>
  <c r="J19" i="3"/>
  <c r="I19" i="3"/>
  <c r="G19" i="3"/>
  <c r="AS18" i="3"/>
  <c r="AU18" i="3" s="1"/>
  <c r="AK18" i="3"/>
  <c r="AI18" i="3"/>
  <c r="AG18" i="3"/>
  <c r="AF18" i="3"/>
  <c r="AE18" i="3"/>
  <c r="AD18" i="3"/>
  <c r="AB18" i="3"/>
  <c r="V18" i="3"/>
  <c r="U18" i="3"/>
  <c r="AH18" i="3" s="1"/>
  <c r="R18" i="3"/>
  <c r="S18" i="3" s="1"/>
  <c r="P18" i="3"/>
  <c r="N18" i="3"/>
  <c r="O18" i="3" s="1"/>
  <c r="M18" i="3"/>
  <c r="Q18" i="3" s="1"/>
  <c r="K18" i="3"/>
  <c r="J18" i="3"/>
  <c r="W18" i="3" s="1"/>
  <c r="AJ18" i="3" s="1"/>
  <c r="I18" i="3"/>
  <c r="G18" i="3"/>
  <c r="AU17" i="3"/>
  <c r="AS17" i="3"/>
  <c r="AK17" i="3"/>
  <c r="AH17" i="3"/>
  <c r="AG17" i="3"/>
  <c r="AE17" i="3"/>
  <c r="AF17" i="3" s="1"/>
  <c r="AD17" i="3"/>
  <c r="AB17" i="3"/>
  <c r="U17" i="3"/>
  <c r="T17" i="3"/>
  <c r="P17" i="3"/>
  <c r="O17" i="3"/>
  <c r="N17" i="3"/>
  <c r="M17" i="3"/>
  <c r="K17" i="3"/>
  <c r="J17" i="3"/>
  <c r="I17" i="3"/>
  <c r="G17" i="3"/>
  <c r="AU16" i="3"/>
  <c r="AS16" i="3"/>
  <c r="AK16" i="3"/>
  <c r="AG16" i="3"/>
  <c r="AE16" i="3"/>
  <c r="AF16" i="3" s="1"/>
  <c r="AD16" i="3"/>
  <c r="AB16" i="3"/>
  <c r="T16" i="3"/>
  <c r="Q16" i="3"/>
  <c r="P16" i="3"/>
  <c r="V16" i="3" s="1"/>
  <c r="AI16" i="3" s="1"/>
  <c r="O16" i="3"/>
  <c r="N16" i="3"/>
  <c r="M16" i="3"/>
  <c r="K16" i="3"/>
  <c r="J16" i="3"/>
  <c r="I16" i="3"/>
  <c r="G16" i="3"/>
  <c r="AU15" i="3"/>
  <c r="AS15" i="3"/>
  <c r="AK15" i="3"/>
  <c r="AJ15" i="3"/>
  <c r="AF15" i="3"/>
  <c r="AE15" i="3"/>
  <c r="AD15" i="3"/>
  <c r="AB15" i="3"/>
  <c r="W15" i="3"/>
  <c r="V15" i="3"/>
  <c r="AI15" i="3" s="1"/>
  <c r="R15" i="3"/>
  <c r="P15" i="3"/>
  <c r="Q15" i="3" s="1"/>
  <c r="O15" i="3"/>
  <c r="N15" i="3"/>
  <c r="U15" i="3" s="1"/>
  <c r="AH15" i="3" s="1"/>
  <c r="M15" i="3"/>
  <c r="K15" i="3"/>
  <c r="J15" i="3"/>
  <c r="I15" i="3"/>
  <c r="G15" i="3"/>
  <c r="AS14" i="3"/>
  <c r="AU14" i="3" s="1"/>
  <c r="AK14" i="3"/>
  <c r="AH14" i="3"/>
  <c r="AF14" i="3"/>
  <c r="AE14" i="3"/>
  <c r="AD14" i="3"/>
  <c r="AB14" i="3"/>
  <c r="U14" i="3"/>
  <c r="P14" i="3"/>
  <c r="N14" i="3"/>
  <c r="R14" i="3" s="1"/>
  <c r="M14" i="3"/>
  <c r="J14" i="3"/>
  <c r="K14" i="3" s="1"/>
  <c r="I14" i="3"/>
  <c r="G14" i="3"/>
  <c r="AS13" i="3"/>
  <c r="AU13" i="3" s="1"/>
  <c r="AK13" i="3"/>
  <c r="AI13" i="3"/>
  <c r="AG13" i="3"/>
  <c r="AF13" i="3"/>
  <c r="AE13" i="3"/>
  <c r="AD13" i="3"/>
  <c r="AB13" i="3"/>
  <c r="V13" i="3"/>
  <c r="U13" i="3"/>
  <c r="AH13" i="3" s="1"/>
  <c r="R13" i="3"/>
  <c r="S13" i="3" s="1"/>
  <c r="P13" i="3"/>
  <c r="N13" i="3"/>
  <c r="O13" i="3" s="1"/>
  <c r="M13" i="3"/>
  <c r="Q13" i="3" s="1"/>
  <c r="K13" i="3"/>
  <c r="J13" i="3"/>
  <c r="W13" i="3" s="1"/>
  <c r="AJ13" i="3" s="1"/>
  <c r="I13" i="3"/>
  <c r="G13" i="3"/>
  <c r="AU12" i="3"/>
  <c r="AS12" i="3"/>
  <c r="AK12" i="3"/>
  <c r="AH12" i="3"/>
  <c r="AG12" i="3"/>
  <c r="AE12" i="3"/>
  <c r="AF12" i="3" s="1"/>
  <c r="AD12" i="3"/>
  <c r="AB12" i="3"/>
  <c r="U12" i="3"/>
  <c r="T12" i="3"/>
  <c r="Q12" i="3"/>
  <c r="P12" i="3"/>
  <c r="O12" i="3"/>
  <c r="N12" i="3"/>
  <c r="M12" i="3"/>
  <c r="K12" i="3"/>
  <c r="J12" i="3"/>
  <c r="I12" i="3"/>
  <c r="G12" i="3"/>
  <c r="AS11" i="3"/>
  <c r="AU11" i="3" s="1"/>
  <c r="AK11" i="3"/>
  <c r="AG11" i="3"/>
  <c r="AE11" i="3"/>
  <c r="AF11" i="3" s="1"/>
  <c r="AD11" i="3"/>
  <c r="AB11" i="3"/>
  <c r="T11" i="3"/>
  <c r="Q11" i="3"/>
  <c r="P11" i="3"/>
  <c r="V11" i="3" s="1"/>
  <c r="AI11" i="3" s="1"/>
  <c r="O11" i="3"/>
  <c r="N11" i="3"/>
  <c r="M11" i="3"/>
  <c r="K11" i="3"/>
  <c r="J11" i="3"/>
  <c r="I11" i="3"/>
  <c r="G11" i="3"/>
  <c r="AU10" i="3"/>
  <c r="AS10" i="3"/>
  <c r="AK10" i="3"/>
  <c r="AF10" i="3"/>
  <c r="AE10" i="3"/>
  <c r="AD10" i="3"/>
  <c r="AB10" i="3"/>
  <c r="W10" i="3"/>
  <c r="AJ10" i="3" s="1"/>
  <c r="V10" i="3"/>
  <c r="AI10" i="3" s="1"/>
  <c r="R10" i="3"/>
  <c r="P10" i="3"/>
  <c r="O10" i="3"/>
  <c r="N10" i="3"/>
  <c r="U10" i="3" s="1"/>
  <c r="AH10" i="3" s="1"/>
  <c r="M10" i="3"/>
  <c r="K10" i="3"/>
  <c r="J10" i="3"/>
  <c r="I10" i="3"/>
  <c r="G10" i="3"/>
  <c r="AS9" i="3"/>
  <c r="AU9" i="3" s="1"/>
  <c r="AK9" i="3"/>
  <c r="AF9" i="3"/>
  <c r="AE9" i="3"/>
  <c r="AD9" i="3"/>
  <c r="AB9" i="3"/>
  <c r="W9" i="3"/>
  <c r="AJ9" i="3" s="1"/>
  <c r="U9" i="3"/>
  <c r="AH9" i="3" s="1"/>
  <c r="T9" i="3"/>
  <c r="P9" i="3"/>
  <c r="N9" i="3"/>
  <c r="R9" i="3" s="1"/>
  <c r="M9" i="3"/>
  <c r="K9" i="3"/>
  <c r="J9" i="3"/>
  <c r="I9" i="3"/>
  <c r="G9" i="3"/>
  <c r="AS8" i="3"/>
  <c r="AU8" i="3" s="1"/>
  <c r="AK8" i="3"/>
  <c r="AI8" i="3"/>
  <c r="AG8" i="3"/>
  <c r="AF8" i="3"/>
  <c r="AE8" i="3"/>
  <c r="AD8" i="3"/>
  <c r="AB8" i="3"/>
  <c r="V8" i="3"/>
  <c r="U8" i="3"/>
  <c r="AH8" i="3" s="1"/>
  <c r="R8" i="3"/>
  <c r="S8" i="3" s="1"/>
  <c r="P8" i="3"/>
  <c r="N8" i="3"/>
  <c r="O8" i="3" s="1"/>
  <c r="M8" i="3"/>
  <c r="Q8" i="3" s="1"/>
  <c r="J8" i="3"/>
  <c r="I8" i="3"/>
  <c r="G8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U7" i="3"/>
  <c r="AS7" i="3"/>
  <c r="AK7" i="3"/>
  <c r="AH7" i="3"/>
  <c r="AG7" i="3"/>
  <c r="AE7" i="3"/>
  <c r="AF7" i="3" s="1"/>
  <c r="AD7" i="3"/>
  <c r="AB7" i="3"/>
  <c r="U7" i="3"/>
  <c r="T7" i="3"/>
  <c r="P7" i="3"/>
  <c r="O7" i="3"/>
  <c r="N7" i="3"/>
  <c r="M7" i="3"/>
  <c r="K7" i="3"/>
  <c r="J7" i="3"/>
  <c r="I7" i="3"/>
  <c r="G7" i="3"/>
  <c r="AS6" i="3"/>
  <c r="AU6" i="3" s="1"/>
  <c r="AK6" i="3"/>
  <c r="AG6" i="3"/>
  <c r="AE6" i="3"/>
  <c r="AF6" i="3" s="1"/>
  <c r="AD6" i="3"/>
  <c r="AB6" i="3"/>
  <c r="T6" i="3"/>
  <c r="Q6" i="3"/>
  <c r="P6" i="3"/>
  <c r="V6" i="3" s="1"/>
  <c r="AI6" i="3" s="1"/>
  <c r="N6" i="3"/>
  <c r="M6" i="3"/>
  <c r="K6" i="3"/>
  <c r="J6" i="3"/>
  <c r="I6" i="3"/>
  <c r="G6" i="3"/>
  <c r="AU5" i="3"/>
  <c r="AS5" i="3"/>
  <c r="AS36" i="3" s="1"/>
  <c r="AK5" i="3"/>
  <c r="AK36" i="3" s="1"/>
  <c r="AK37" i="3" s="1"/>
  <c r="AJ5" i="3"/>
  <c r="AF5" i="3"/>
  <c r="AE5" i="3"/>
  <c r="AE36" i="3" s="1"/>
  <c r="AD5" i="3"/>
  <c r="AB5" i="3"/>
  <c r="W5" i="3"/>
  <c r="V5" i="3"/>
  <c r="R5" i="3"/>
  <c r="P5" i="3"/>
  <c r="P36" i="3" s="1"/>
  <c r="N5" i="3"/>
  <c r="U5" i="3" s="1"/>
  <c r="M5" i="3"/>
  <c r="K5" i="3"/>
  <c r="J5" i="3"/>
  <c r="I5" i="3"/>
  <c r="G5" i="3"/>
  <c r="B5" i="3"/>
  <c r="B6" i="3" s="1"/>
  <c r="B7" i="3" s="1"/>
  <c r="AF46" i="2"/>
  <c r="S46" i="2"/>
  <c r="AJ44" i="2"/>
  <c r="AC37" i="2"/>
  <c r="AD37" i="2" s="1"/>
  <c r="AA37" i="2"/>
  <c r="AB37" i="2" s="1"/>
  <c r="AR36" i="2"/>
  <c r="AQ36" i="2"/>
  <c r="AP36" i="2"/>
  <c r="AO36" i="2"/>
  <c r="AN36" i="2"/>
  <c r="AM36" i="2"/>
  <c r="AL36" i="2"/>
  <c r="AC36" i="2"/>
  <c r="AA36" i="2"/>
  <c r="Z36" i="2"/>
  <c r="Y36" i="2"/>
  <c r="X36" i="2"/>
  <c r="L36" i="2"/>
  <c r="H36" i="2"/>
  <c r="H37" i="2" s="1"/>
  <c r="F36" i="2"/>
  <c r="F37" i="2" s="1"/>
  <c r="G37" i="2" s="1"/>
  <c r="E36" i="2"/>
  <c r="F38" i="2" s="1"/>
  <c r="D36" i="2"/>
  <c r="C36" i="2"/>
  <c r="AS35" i="2"/>
  <c r="AU35" i="2" s="1"/>
  <c r="AK35" i="2"/>
  <c r="AF35" i="2"/>
  <c r="AE35" i="2"/>
  <c r="AD35" i="2"/>
  <c r="AB35" i="2"/>
  <c r="V35" i="2"/>
  <c r="AI35" i="2" s="1"/>
  <c r="P35" i="2"/>
  <c r="N35" i="2"/>
  <c r="O35" i="2" s="1"/>
  <c r="M35" i="2"/>
  <c r="K35" i="2"/>
  <c r="J35" i="2"/>
  <c r="I35" i="2"/>
  <c r="G35" i="2"/>
  <c r="AU34" i="2"/>
  <c r="AS34" i="2"/>
  <c r="AK34" i="2"/>
  <c r="AI34" i="2"/>
  <c r="AH34" i="2"/>
  <c r="AG34" i="2"/>
  <c r="AF34" i="2"/>
  <c r="AE34" i="2"/>
  <c r="AD34" i="2"/>
  <c r="AB34" i="2"/>
  <c r="V34" i="2"/>
  <c r="U34" i="2"/>
  <c r="T34" i="2"/>
  <c r="R34" i="2"/>
  <c r="S34" i="2" s="1"/>
  <c r="P34" i="2"/>
  <c r="N34" i="2"/>
  <c r="O34" i="2" s="1"/>
  <c r="M34" i="2"/>
  <c r="Q34" i="2" s="1"/>
  <c r="K34" i="2"/>
  <c r="J34" i="2"/>
  <c r="I34" i="2"/>
  <c r="G34" i="2"/>
  <c r="AU33" i="2"/>
  <c r="AS33" i="2"/>
  <c r="AK33" i="2"/>
  <c r="AG33" i="2"/>
  <c r="AE33" i="2"/>
  <c r="AF33" i="2" s="1"/>
  <c r="AD33" i="2"/>
  <c r="AB33" i="2"/>
  <c r="V33" i="2"/>
  <c r="AI33" i="2" s="1"/>
  <c r="U33" i="2"/>
  <c r="AH33" i="2" s="1"/>
  <c r="T33" i="2"/>
  <c r="P33" i="2"/>
  <c r="R33" i="2" s="1"/>
  <c r="S33" i="2" s="1"/>
  <c r="O33" i="2"/>
  <c r="N33" i="2"/>
  <c r="M33" i="2"/>
  <c r="K33" i="2"/>
  <c r="J33" i="2"/>
  <c r="I33" i="2"/>
  <c r="G33" i="2"/>
  <c r="AS32" i="2"/>
  <c r="AU32" i="2" s="1"/>
  <c r="AK32" i="2"/>
  <c r="AE32" i="2"/>
  <c r="AF32" i="2" s="1"/>
  <c r="AD32" i="2"/>
  <c r="AB32" i="2"/>
  <c r="V32" i="2"/>
  <c r="AI32" i="2" s="1"/>
  <c r="P32" i="2"/>
  <c r="N32" i="2"/>
  <c r="U32" i="2" s="1"/>
  <c r="AH32" i="2" s="1"/>
  <c r="M32" i="2"/>
  <c r="T32" i="2" s="1"/>
  <c r="K32" i="2"/>
  <c r="J32" i="2"/>
  <c r="I32" i="2"/>
  <c r="G32" i="2"/>
  <c r="AS31" i="2"/>
  <c r="AU31" i="2" s="1"/>
  <c r="AK31" i="2"/>
  <c r="AH31" i="2"/>
  <c r="AE31" i="2"/>
  <c r="AF31" i="2" s="1"/>
  <c r="AD31" i="2"/>
  <c r="AB31" i="2"/>
  <c r="U31" i="2"/>
  <c r="T31" i="2"/>
  <c r="P31" i="2"/>
  <c r="Q31" i="2" s="1"/>
  <c r="O31" i="2"/>
  <c r="N31" i="2"/>
  <c r="R31" i="2" s="1"/>
  <c r="S31" i="2" s="1"/>
  <c r="M31" i="2"/>
  <c r="AG31" i="2" s="1"/>
  <c r="K31" i="2"/>
  <c r="J31" i="2"/>
  <c r="I31" i="2"/>
  <c r="G31" i="2"/>
  <c r="AS30" i="2"/>
  <c r="AU30" i="2" s="1"/>
  <c r="AK30" i="2"/>
  <c r="AH30" i="2"/>
  <c r="AG30" i="2"/>
  <c r="AF30" i="2"/>
  <c r="AE30" i="2"/>
  <c r="AD30" i="2"/>
  <c r="AB30" i="2"/>
  <c r="U30" i="2"/>
  <c r="P30" i="2"/>
  <c r="V30" i="2" s="1"/>
  <c r="AI30" i="2" s="1"/>
  <c r="N30" i="2"/>
  <c r="O30" i="2" s="1"/>
  <c r="M30" i="2"/>
  <c r="T30" i="2" s="1"/>
  <c r="K30" i="2"/>
  <c r="J30" i="2"/>
  <c r="I30" i="2"/>
  <c r="G30" i="2"/>
  <c r="AS29" i="2"/>
  <c r="AU29" i="2" s="1"/>
  <c r="AK29" i="2"/>
  <c r="AE29" i="2"/>
  <c r="AF29" i="2" s="1"/>
  <c r="AD29" i="2"/>
  <c r="AB29" i="2"/>
  <c r="P29" i="2"/>
  <c r="N29" i="2"/>
  <c r="M29" i="2"/>
  <c r="AG29" i="2" s="1"/>
  <c r="K29" i="2"/>
  <c r="J29" i="2"/>
  <c r="I29" i="2"/>
  <c r="G29" i="2"/>
  <c r="AS28" i="2"/>
  <c r="AU28" i="2" s="1"/>
  <c r="AK28" i="2"/>
  <c r="AF28" i="2"/>
  <c r="AE28" i="2"/>
  <c r="AD28" i="2"/>
  <c r="AB28" i="2"/>
  <c r="U28" i="2"/>
  <c r="AH28" i="2" s="1"/>
  <c r="Q28" i="2"/>
  <c r="P28" i="2"/>
  <c r="V28" i="2" s="1"/>
  <c r="AI28" i="2" s="1"/>
  <c r="N28" i="2"/>
  <c r="M28" i="2"/>
  <c r="K28" i="2"/>
  <c r="J28" i="2"/>
  <c r="I28" i="2"/>
  <c r="G28" i="2"/>
  <c r="AS27" i="2"/>
  <c r="AU27" i="2" s="1"/>
  <c r="AK27" i="2"/>
  <c r="AI27" i="2"/>
  <c r="AG27" i="2"/>
  <c r="AF27" i="2"/>
  <c r="AE27" i="2"/>
  <c r="AD27" i="2"/>
  <c r="AB27" i="2"/>
  <c r="V27" i="2"/>
  <c r="T27" i="2"/>
  <c r="R27" i="2"/>
  <c r="W27" i="2" s="1"/>
  <c r="AJ27" i="2" s="1"/>
  <c r="Q27" i="2"/>
  <c r="P27" i="2"/>
  <c r="N27" i="2"/>
  <c r="M27" i="2"/>
  <c r="J27" i="2"/>
  <c r="K27" i="2" s="1"/>
  <c r="I27" i="2"/>
  <c r="G27" i="2"/>
  <c r="AU26" i="2"/>
  <c r="AS26" i="2"/>
  <c r="AK26" i="2"/>
  <c r="AG26" i="2"/>
  <c r="AF26" i="2"/>
  <c r="AE26" i="2"/>
  <c r="AD26" i="2"/>
  <c r="AB26" i="2"/>
  <c r="U26" i="2"/>
  <c r="AH26" i="2" s="1"/>
  <c r="T26" i="2"/>
  <c r="Q26" i="2"/>
  <c r="P26" i="2"/>
  <c r="V26" i="2" s="1"/>
  <c r="AI26" i="2" s="1"/>
  <c r="N26" i="2"/>
  <c r="M26" i="2"/>
  <c r="K26" i="2"/>
  <c r="J26" i="2"/>
  <c r="I26" i="2"/>
  <c r="G26" i="2"/>
  <c r="AS25" i="2"/>
  <c r="AU25" i="2" s="1"/>
  <c r="AK25" i="2"/>
  <c r="AF25" i="2"/>
  <c r="AE25" i="2"/>
  <c r="AD25" i="2"/>
  <c r="AB25" i="2"/>
  <c r="V25" i="2"/>
  <c r="AI25" i="2" s="1"/>
  <c r="U25" i="2"/>
  <c r="AH25" i="2" s="1"/>
  <c r="R25" i="2"/>
  <c r="P25" i="2"/>
  <c r="N25" i="2"/>
  <c r="M25" i="2"/>
  <c r="J25" i="2"/>
  <c r="K25" i="2" s="1"/>
  <c r="I25" i="2"/>
  <c r="G25" i="2"/>
  <c r="AU24" i="2"/>
  <c r="AS24" i="2"/>
  <c r="AK24" i="2"/>
  <c r="AI24" i="2"/>
  <c r="AG24" i="2"/>
  <c r="AE24" i="2"/>
  <c r="AF24" i="2" s="1"/>
  <c r="AD24" i="2"/>
  <c r="AB24" i="2"/>
  <c r="V24" i="2"/>
  <c r="T24" i="2"/>
  <c r="P24" i="2"/>
  <c r="Q24" i="2" s="1"/>
  <c r="O24" i="2"/>
  <c r="N24" i="2"/>
  <c r="U24" i="2" s="1"/>
  <c r="AH24" i="2" s="1"/>
  <c r="M24" i="2"/>
  <c r="J24" i="2"/>
  <c r="I24" i="2"/>
  <c r="G24" i="2"/>
  <c r="AS23" i="2"/>
  <c r="AU23" i="2" s="1"/>
  <c r="AK23" i="2"/>
  <c r="AG23" i="2"/>
  <c r="AF23" i="2"/>
  <c r="AE23" i="2"/>
  <c r="AD23" i="2"/>
  <c r="AB23" i="2"/>
  <c r="U23" i="2"/>
  <c r="AH23" i="2" s="1"/>
  <c r="T23" i="2"/>
  <c r="P23" i="2"/>
  <c r="V23" i="2" s="1"/>
  <c r="AI23" i="2" s="1"/>
  <c r="O23" i="2"/>
  <c r="N23" i="2"/>
  <c r="M23" i="2"/>
  <c r="K23" i="2"/>
  <c r="J23" i="2"/>
  <c r="I23" i="2"/>
  <c r="G23" i="2"/>
  <c r="AS22" i="2"/>
  <c r="AU22" i="2" s="1"/>
  <c r="AK22" i="2"/>
  <c r="AG22" i="2"/>
  <c r="AE22" i="2"/>
  <c r="AF22" i="2" s="1"/>
  <c r="AD22" i="2"/>
  <c r="AB22" i="2"/>
  <c r="V22" i="2"/>
  <c r="AI22" i="2" s="1"/>
  <c r="R22" i="2"/>
  <c r="W22" i="2" s="1"/>
  <c r="AJ22" i="2" s="1"/>
  <c r="P22" i="2"/>
  <c r="Q22" i="2" s="1"/>
  <c r="N22" i="2"/>
  <c r="U22" i="2" s="1"/>
  <c r="AH22" i="2" s="1"/>
  <c r="M22" i="2"/>
  <c r="T22" i="2" s="1"/>
  <c r="K22" i="2"/>
  <c r="J22" i="2"/>
  <c r="I22" i="2"/>
  <c r="G22" i="2"/>
  <c r="AS21" i="2"/>
  <c r="AU21" i="2" s="1"/>
  <c r="AK21" i="2"/>
  <c r="AH21" i="2"/>
  <c r="AE21" i="2"/>
  <c r="AF21" i="2" s="1"/>
  <c r="AD21" i="2"/>
  <c r="AB21" i="2"/>
  <c r="U21" i="2"/>
  <c r="T21" i="2"/>
  <c r="P21" i="2"/>
  <c r="Q21" i="2" s="1"/>
  <c r="O21" i="2"/>
  <c r="N21" i="2"/>
  <c r="M21" i="2"/>
  <c r="AG21" i="2" s="1"/>
  <c r="K21" i="2"/>
  <c r="J21" i="2"/>
  <c r="I21" i="2"/>
  <c r="G21" i="2"/>
  <c r="AS20" i="2"/>
  <c r="AU20" i="2" s="1"/>
  <c r="AK20" i="2"/>
  <c r="AH20" i="2"/>
  <c r="AG20" i="2"/>
  <c r="AF20" i="2"/>
  <c r="AE20" i="2"/>
  <c r="AD20" i="2"/>
  <c r="AB20" i="2"/>
  <c r="U20" i="2"/>
  <c r="S20" i="2"/>
  <c r="R20" i="2"/>
  <c r="W20" i="2" s="1"/>
  <c r="AJ20" i="2" s="1"/>
  <c r="Q20" i="2"/>
  <c r="P20" i="2"/>
  <c r="V20" i="2" s="1"/>
  <c r="AI20" i="2" s="1"/>
  <c r="N20" i="2"/>
  <c r="M20" i="2"/>
  <c r="T20" i="2" s="1"/>
  <c r="K20" i="2"/>
  <c r="J20" i="2"/>
  <c r="I20" i="2"/>
  <c r="G20" i="2"/>
  <c r="AS19" i="2"/>
  <c r="AU19" i="2" s="1"/>
  <c r="AK19" i="2"/>
  <c r="AE19" i="2"/>
  <c r="AF19" i="2" s="1"/>
  <c r="AD19" i="2"/>
  <c r="AB19" i="2"/>
  <c r="T19" i="2"/>
  <c r="P19" i="2"/>
  <c r="O19" i="2"/>
  <c r="N19" i="2"/>
  <c r="M19" i="2"/>
  <c r="AG19" i="2" s="1"/>
  <c r="K19" i="2"/>
  <c r="J19" i="2"/>
  <c r="I19" i="2"/>
  <c r="G19" i="2"/>
  <c r="AS18" i="2"/>
  <c r="AU18" i="2" s="1"/>
  <c r="AK18" i="2"/>
  <c r="AE18" i="2"/>
  <c r="AF18" i="2" s="1"/>
  <c r="AD18" i="2"/>
  <c r="AB18" i="2"/>
  <c r="V18" i="2"/>
  <c r="AI18" i="2" s="1"/>
  <c r="U18" i="2"/>
  <c r="AH18" i="2" s="1"/>
  <c r="T18" i="2"/>
  <c r="Q18" i="2"/>
  <c r="P18" i="2"/>
  <c r="N18" i="2"/>
  <c r="M18" i="2"/>
  <c r="K18" i="2"/>
  <c r="J18" i="2"/>
  <c r="I18" i="2"/>
  <c r="G18" i="2"/>
  <c r="AU17" i="2"/>
  <c r="AS17" i="2"/>
  <c r="AK17" i="2"/>
  <c r="AI17" i="2"/>
  <c r="AF17" i="2"/>
  <c r="AE17" i="2"/>
  <c r="AD17" i="2"/>
  <c r="AB17" i="2"/>
  <c r="V17" i="2"/>
  <c r="T17" i="2"/>
  <c r="P17" i="2"/>
  <c r="N17" i="2"/>
  <c r="M17" i="2"/>
  <c r="AG17" i="2" s="1"/>
  <c r="J17" i="2"/>
  <c r="K17" i="2" s="1"/>
  <c r="I17" i="2"/>
  <c r="G17" i="2"/>
  <c r="AU16" i="2"/>
  <c r="AS16" i="2"/>
  <c r="AK16" i="2"/>
  <c r="AG16" i="2"/>
  <c r="AF16" i="2"/>
  <c r="AE16" i="2"/>
  <c r="AD16" i="2"/>
  <c r="AB16" i="2"/>
  <c r="U16" i="2"/>
  <c r="AH16" i="2" s="1"/>
  <c r="T16" i="2"/>
  <c r="P16" i="2"/>
  <c r="V16" i="2" s="1"/>
  <c r="AI16" i="2" s="1"/>
  <c r="N16" i="2"/>
  <c r="R16" i="2" s="1"/>
  <c r="S16" i="2" s="1"/>
  <c r="M16" i="2"/>
  <c r="K16" i="2"/>
  <c r="J16" i="2"/>
  <c r="W16" i="2" s="1"/>
  <c r="AJ16" i="2" s="1"/>
  <c r="I16" i="2"/>
  <c r="G16" i="2"/>
  <c r="AS15" i="2"/>
  <c r="AU15" i="2" s="1"/>
  <c r="AK15" i="2"/>
  <c r="AF15" i="2"/>
  <c r="AE15" i="2"/>
  <c r="AD15" i="2"/>
  <c r="AB15" i="2"/>
  <c r="V15" i="2"/>
  <c r="AI15" i="2" s="1"/>
  <c r="P15" i="2"/>
  <c r="N15" i="2"/>
  <c r="O15" i="2" s="1"/>
  <c r="M15" i="2"/>
  <c r="K15" i="2"/>
  <c r="J15" i="2"/>
  <c r="I15" i="2"/>
  <c r="G15" i="2"/>
  <c r="AU14" i="2"/>
  <c r="AS14" i="2"/>
  <c r="AK14" i="2"/>
  <c r="AI14" i="2"/>
  <c r="AG14" i="2"/>
  <c r="AE14" i="2"/>
  <c r="AF14" i="2" s="1"/>
  <c r="AD14" i="2"/>
  <c r="AB14" i="2"/>
  <c r="V14" i="2"/>
  <c r="T14" i="2"/>
  <c r="S14" i="2"/>
  <c r="R14" i="2"/>
  <c r="P14" i="2"/>
  <c r="Q14" i="2" s="1"/>
  <c r="O14" i="2"/>
  <c r="N14" i="2"/>
  <c r="U14" i="2" s="1"/>
  <c r="AH14" i="2" s="1"/>
  <c r="M14" i="2"/>
  <c r="J14" i="2"/>
  <c r="I14" i="2"/>
  <c r="G14" i="2"/>
  <c r="AS13" i="2"/>
  <c r="AU13" i="2" s="1"/>
  <c r="AK13" i="2"/>
  <c r="AG13" i="2"/>
  <c r="AF13" i="2"/>
  <c r="AE13" i="2"/>
  <c r="AD13" i="2"/>
  <c r="AB13" i="2"/>
  <c r="U13" i="2"/>
  <c r="AH13" i="2" s="1"/>
  <c r="T13" i="2"/>
  <c r="Q13" i="2"/>
  <c r="P13" i="2"/>
  <c r="V13" i="2" s="1"/>
  <c r="AI13" i="2" s="1"/>
  <c r="O13" i="2"/>
  <c r="N13" i="2"/>
  <c r="M13" i="2"/>
  <c r="K13" i="2"/>
  <c r="J13" i="2"/>
  <c r="I13" i="2"/>
  <c r="G13" i="2"/>
  <c r="AU12" i="2"/>
  <c r="AS12" i="2"/>
  <c r="AK12" i="2"/>
  <c r="AE12" i="2"/>
  <c r="AF12" i="2" s="1"/>
  <c r="AD12" i="2"/>
  <c r="AB12" i="2"/>
  <c r="W12" i="2"/>
  <c r="AJ12" i="2" s="1"/>
  <c r="V12" i="2"/>
  <c r="AI12" i="2" s="1"/>
  <c r="S12" i="2"/>
  <c r="R12" i="2"/>
  <c r="P12" i="2"/>
  <c r="Q12" i="2" s="1"/>
  <c r="N12" i="2"/>
  <c r="U12" i="2" s="1"/>
  <c r="AH12" i="2" s="1"/>
  <c r="M12" i="2"/>
  <c r="T12" i="2" s="1"/>
  <c r="K12" i="2"/>
  <c r="J12" i="2"/>
  <c r="I12" i="2"/>
  <c r="G12" i="2"/>
  <c r="AS11" i="2"/>
  <c r="AU11" i="2" s="1"/>
  <c r="AK11" i="2"/>
  <c r="AE11" i="2"/>
  <c r="AF11" i="2" s="1"/>
  <c r="AD11" i="2"/>
  <c r="AB11" i="2"/>
  <c r="V11" i="2"/>
  <c r="AI11" i="2" s="1"/>
  <c r="U11" i="2"/>
  <c r="AH11" i="2" s="1"/>
  <c r="P11" i="2"/>
  <c r="N11" i="2"/>
  <c r="R11" i="2" s="1"/>
  <c r="M11" i="2"/>
  <c r="AG11" i="2" s="1"/>
  <c r="J11" i="2"/>
  <c r="K11" i="2" s="1"/>
  <c r="I11" i="2"/>
  <c r="G11" i="2"/>
  <c r="AS10" i="2"/>
  <c r="AU10" i="2" s="1"/>
  <c r="AK10" i="2"/>
  <c r="AH10" i="2"/>
  <c r="AE10" i="2"/>
  <c r="AF10" i="2" s="1"/>
  <c r="AD10" i="2"/>
  <c r="AB10" i="2"/>
  <c r="U10" i="2"/>
  <c r="P10" i="2"/>
  <c r="R10" i="2" s="1"/>
  <c r="W10" i="2" s="1"/>
  <c r="AJ10" i="2" s="1"/>
  <c r="N10" i="2"/>
  <c r="M10" i="2"/>
  <c r="S10" i="2" s="1"/>
  <c r="K10" i="2"/>
  <c r="J10" i="2"/>
  <c r="I10" i="2"/>
  <c r="G10" i="2"/>
  <c r="AU9" i="2"/>
  <c r="AS9" i="2"/>
  <c r="AR9" i="2"/>
  <c r="AK9" i="2"/>
  <c r="AG9" i="2"/>
  <c r="AE9" i="2"/>
  <c r="AF9" i="2" s="1"/>
  <c r="AD9" i="2"/>
  <c r="AB9" i="2"/>
  <c r="U9" i="2"/>
  <c r="AH9" i="2" s="1"/>
  <c r="T9" i="2"/>
  <c r="Q9" i="2"/>
  <c r="P9" i="2"/>
  <c r="V9" i="2" s="1"/>
  <c r="AI9" i="2" s="1"/>
  <c r="O9" i="2"/>
  <c r="N9" i="2"/>
  <c r="M9" i="2"/>
  <c r="J9" i="2"/>
  <c r="I9" i="2"/>
  <c r="G9" i="2"/>
  <c r="AS8" i="2"/>
  <c r="AU8" i="2" s="1"/>
  <c r="AK8" i="2"/>
  <c r="AF8" i="2"/>
  <c r="AE8" i="2"/>
  <c r="AD8" i="2"/>
  <c r="AB8" i="2"/>
  <c r="V8" i="2"/>
  <c r="AI8" i="2" s="1"/>
  <c r="U8" i="2"/>
  <c r="AH8" i="2" s="1"/>
  <c r="R8" i="2"/>
  <c r="P8" i="2"/>
  <c r="N8" i="2"/>
  <c r="O8" i="2" s="1"/>
  <c r="M8" i="2"/>
  <c r="Q8" i="2" s="1"/>
  <c r="J8" i="2"/>
  <c r="W8" i="2" s="1"/>
  <c r="AJ8" i="2" s="1"/>
  <c r="I8" i="2"/>
  <c r="G8" i="2"/>
  <c r="AU7" i="2"/>
  <c r="AS7" i="2"/>
  <c r="AK7" i="2"/>
  <c r="AI7" i="2"/>
  <c r="AG7" i="2"/>
  <c r="AF7" i="2"/>
  <c r="AE7" i="2"/>
  <c r="AD7" i="2"/>
  <c r="AB7" i="2"/>
  <c r="V7" i="2"/>
  <c r="T7" i="2"/>
  <c r="P7" i="2"/>
  <c r="N7" i="2"/>
  <c r="U7" i="2" s="1"/>
  <c r="AH7" i="2" s="1"/>
  <c r="M7" i="2"/>
  <c r="Q7" i="2" s="1"/>
  <c r="K7" i="2"/>
  <c r="J7" i="2"/>
  <c r="I7" i="2"/>
  <c r="G7" i="2"/>
  <c r="AU6" i="2"/>
  <c r="AS6" i="2"/>
  <c r="AK6" i="2"/>
  <c r="AK36" i="2" s="1"/>
  <c r="AK37" i="2" s="1"/>
  <c r="AH6" i="2"/>
  <c r="AG6" i="2"/>
  <c r="AE6" i="2"/>
  <c r="AF6" i="2" s="1"/>
  <c r="AD6" i="2"/>
  <c r="AB6" i="2"/>
  <c r="V6" i="2"/>
  <c r="AI6" i="2" s="1"/>
  <c r="U6" i="2"/>
  <c r="T6" i="2"/>
  <c r="S6" i="2"/>
  <c r="R6" i="2"/>
  <c r="Q6" i="2"/>
  <c r="P6" i="2"/>
  <c r="O6" i="2"/>
  <c r="N6" i="2"/>
  <c r="M6" i="2"/>
  <c r="J6" i="2"/>
  <c r="J36" i="2" s="1"/>
  <c r="I6" i="2"/>
  <c r="G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AU5" i="2"/>
  <c r="AS5" i="2"/>
  <c r="AK5" i="2"/>
  <c r="AE5" i="2"/>
  <c r="AF5" i="2" s="1"/>
  <c r="AD5" i="2"/>
  <c r="AB5" i="2"/>
  <c r="V5" i="2"/>
  <c r="AI5" i="2" s="1"/>
  <c r="P5" i="2"/>
  <c r="N5" i="2"/>
  <c r="M5" i="2"/>
  <c r="K5" i="2"/>
  <c r="J5" i="2"/>
  <c r="I5" i="2"/>
  <c r="G5" i="2"/>
  <c r="B5" i="2"/>
  <c r="AF46" i="1"/>
  <c r="S46" i="1"/>
  <c r="AJ44" i="1"/>
  <c r="AR36" i="1"/>
  <c r="AQ36" i="1"/>
  <c r="AP36" i="1"/>
  <c r="AO36" i="1"/>
  <c r="AN36" i="1"/>
  <c r="AM36" i="1"/>
  <c r="AL36" i="1"/>
  <c r="AC36" i="1"/>
  <c r="AC37" i="1" s="1"/>
  <c r="AD37" i="1" s="1"/>
  <c r="AA36" i="1"/>
  <c r="AA37" i="1" s="1"/>
  <c r="AB37" i="1" s="1"/>
  <c r="Z36" i="1"/>
  <c r="Y36" i="1"/>
  <c r="X36" i="1"/>
  <c r="L36" i="1"/>
  <c r="H36" i="1"/>
  <c r="H37" i="1" s="1"/>
  <c r="I37" i="1" s="1"/>
  <c r="F36" i="1"/>
  <c r="G36" i="1" s="1"/>
  <c r="E36" i="1"/>
  <c r="F38" i="1" s="1"/>
  <c r="D36" i="1"/>
  <c r="C36" i="1"/>
  <c r="AU35" i="1"/>
  <c r="AS35" i="1"/>
  <c r="AK35" i="1"/>
  <c r="AF35" i="1"/>
  <c r="AE35" i="1"/>
  <c r="AD35" i="1"/>
  <c r="AB35" i="1"/>
  <c r="R35" i="1"/>
  <c r="P35" i="1"/>
  <c r="V35" i="1" s="1"/>
  <c r="AI35" i="1" s="1"/>
  <c r="O35" i="1"/>
  <c r="N35" i="1"/>
  <c r="U35" i="1" s="1"/>
  <c r="AH35" i="1" s="1"/>
  <c r="M35" i="1"/>
  <c r="T35" i="1" s="1"/>
  <c r="K35" i="1"/>
  <c r="J35" i="1"/>
  <c r="W35" i="1" s="1"/>
  <c r="AJ35" i="1" s="1"/>
  <c r="I35" i="1"/>
  <c r="G35" i="1"/>
  <c r="AS34" i="1"/>
  <c r="AU34" i="1" s="1"/>
  <c r="AK34" i="1"/>
  <c r="AF34" i="1"/>
  <c r="AE34" i="1"/>
  <c r="AD34" i="1"/>
  <c r="AB34" i="1"/>
  <c r="U34" i="1"/>
  <c r="AH34" i="1" s="1"/>
  <c r="Q34" i="1"/>
  <c r="P34" i="1"/>
  <c r="V34" i="1" s="1"/>
  <c r="AI34" i="1" s="1"/>
  <c r="O34" i="1"/>
  <c r="N34" i="1"/>
  <c r="R34" i="1" s="1"/>
  <c r="S34" i="1" s="1"/>
  <c r="M34" i="1"/>
  <c r="T34" i="1" s="1"/>
  <c r="J34" i="1"/>
  <c r="I34" i="1"/>
  <c r="G34" i="1"/>
  <c r="AU33" i="1"/>
  <c r="AS33" i="1"/>
  <c r="AK33" i="1"/>
  <c r="AG33" i="1"/>
  <c r="AE33" i="1"/>
  <c r="AF33" i="1" s="1"/>
  <c r="AD33" i="1"/>
  <c r="AB33" i="1"/>
  <c r="T33" i="1"/>
  <c r="P33" i="1"/>
  <c r="V33" i="1" s="1"/>
  <c r="AI33" i="1" s="1"/>
  <c r="N33" i="1"/>
  <c r="U33" i="1" s="1"/>
  <c r="AH33" i="1" s="1"/>
  <c r="M33" i="1"/>
  <c r="K33" i="1"/>
  <c r="J33" i="1"/>
  <c r="I33" i="1"/>
  <c r="G33" i="1"/>
  <c r="AS32" i="1"/>
  <c r="AU32" i="1" s="1"/>
  <c r="AK32" i="1"/>
  <c r="AF32" i="1"/>
  <c r="AE32" i="1"/>
  <c r="AD32" i="1"/>
  <c r="AB32" i="1"/>
  <c r="W32" i="1"/>
  <c r="AJ32" i="1" s="1"/>
  <c r="U32" i="1"/>
  <c r="AH32" i="1" s="1"/>
  <c r="R32" i="1"/>
  <c r="P32" i="1"/>
  <c r="V32" i="1" s="1"/>
  <c r="AI32" i="1" s="1"/>
  <c r="N32" i="1"/>
  <c r="M32" i="1"/>
  <c r="T32" i="1" s="1"/>
  <c r="K32" i="1"/>
  <c r="J32" i="1"/>
  <c r="I32" i="1"/>
  <c r="G32" i="1"/>
  <c r="AU31" i="1"/>
  <c r="AS31" i="1"/>
  <c r="AK31" i="1"/>
  <c r="AI31" i="1"/>
  <c r="AG31" i="1"/>
  <c r="AE31" i="1"/>
  <c r="AF31" i="1" s="1"/>
  <c r="AD31" i="1"/>
  <c r="AB31" i="1"/>
  <c r="V31" i="1"/>
  <c r="T31" i="1"/>
  <c r="R31" i="1"/>
  <c r="W31" i="1" s="1"/>
  <c r="AJ31" i="1" s="1"/>
  <c r="P31" i="1"/>
  <c r="Q31" i="1" s="1"/>
  <c r="N31" i="1"/>
  <c r="O31" i="1" s="1"/>
  <c r="M31" i="1"/>
  <c r="S31" i="1" s="1"/>
  <c r="K31" i="1"/>
  <c r="J31" i="1"/>
  <c r="I31" i="1"/>
  <c r="G31" i="1"/>
  <c r="AS30" i="1"/>
  <c r="AU30" i="1" s="1"/>
  <c r="AK30" i="1"/>
  <c r="AF30" i="1"/>
  <c r="AE30" i="1"/>
  <c r="AD30" i="1"/>
  <c r="AB30" i="1"/>
  <c r="V30" i="1"/>
  <c r="AI30" i="1" s="1"/>
  <c r="U30" i="1"/>
  <c r="AH30" i="1" s="1"/>
  <c r="Q30" i="1"/>
  <c r="P30" i="1"/>
  <c r="O30" i="1"/>
  <c r="N30" i="1"/>
  <c r="R30" i="1" s="1"/>
  <c r="S30" i="1" s="1"/>
  <c r="M30" i="1"/>
  <c r="T30" i="1" s="1"/>
  <c r="K30" i="1"/>
  <c r="J30" i="1"/>
  <c r="W30" i="1" s="1"/>
  <c r="AJ30" i="1" s="1"/>
  <c r="I30" i="1"/>
  <c r="G30" i="1"/>
  <c r="AU29" i="1"/>
  <c r="AS29" i="1"/>
  <c r="AK29" i="1"/>
  <c r="AG29" i="1"/>
  <c r="AF29" i="1"/>
  <c r="AE29" i="1"/>
  <c r="AD29" i="1"/>
  <c r="AB29" i="1"/>
  <c r="V29" i="1"/>
  <c r="AI29" i="1" s="1"/>
  <c r="T29" i="1"/>
  <c r="P29" i="1"/>
  <c r="Q29" i="1" s="1"/>
  <c r="N29" i="1"/>
  <c r="U29" i="1" s="1"/>
  <c r="AH29" i="1" s="1"/>
  <c r="M29" i="1"/>
  <c r="K29" i="1"/>
  <c r="J29" i="1"/>
  <c r="I29" i="1"/>
  <c r="G29" i="1"/>
  <c r="AS28" i="1"/>
  <c r="AU28" i="1" s="1"/>
  <c r="AK28" i="1"/>
  <c r="AF28" i="1"/>
  <c r="AE28" i="1"/>
  <c r="AD28" i="1"/>
  <c r="AB28" i="1"/>
  <c r="U28" i="1"/>
  <c r="AH28" i="1" s="1"/>
  <c r="S28" i="1"/>
  <c r="R28" i="1"/>
  <c r="P28" i="1"/>
  <c r="V28" i="1" s="1"/>
  <c r="AI28" i="1" s="1"/>
  <c r="O28" i="1"/>
  <c r="N28" i="1"/>
  <c r="M28" i="1"/>
  <c r="AG28" i="1" s="1"/>
  <c r="K28" i="1"/>
  <c r="J28" i="1"/>
  <c r="W28" i="1" s="1"/>
  <c r="AJ28" i="1" s="1"/>
  <c r="I28" i="1"/>
  <c r="G28" i="1"/>
  <c r="AU27" i="1"/>
  <c r="AS27" i="1"/>
  <c r="AK27" i="1"/>
  <c r="AG27" i="1"/>
  <c r="AF27" i="1"/>
  <c r="AE27" i="1"/>
  <c r="AD27" i="1"/>
  <c r="AB27" i="1"/>
  <c r="T27" i="1"/>
  <c r="P27" i="1"/>
  <c r="V27" i="1" s="1"/>
  <c r="AI27" i="1" s="1"/>
  <c r="N27" i="1"/>
  <c r="O27" i="1" s="1"/>
  <c r="M27" i="1"/>
  <c r="K27" i="1"/>
  <c r="J27" i="1"/>
  <c r="I27" i="1"/>
  <c r="G27" i="1"/>
  <c r="AS26" i="1"/>
  <c r="AU26" i="1" s="1"/>
  <c r="AK26" i="1"/>
  <c r="AH26" i="1"/>
  <c r="AF26" i="1"/>
  <c r="AE26" i="1"/>
  <c r="AD26" i="1"/>
  <c r="AB26" i="1"/>
  <c r="V26" i="1"/>
  <c r="AI26" i="1" s="1"/>
  <c r="U26" i="1"/>
  <c r="P26" i="1"/>
  <c r="R26" i="1" s="1"/>
  <c r="W26" i="1" s="1"/>
  <c r="AJ26" i="1" s="1"/>
  <c r="O26" i="1"/>
  <c r="N26" i="1"/>
  <c r="M26" i="1"/>
  <c r="T26" i="1" s="1"/>
  <c r="K26" i="1"/>
  <c r="J26" i="1"/>
  <c r="I26" i="1"/>
  <c r="G26" i="1"/>
  <c r="AU25" i="1"/>
  <c r="AS25" i="1"/>
  <c r="AK25" i="1"/>
  <c r="AI25" i="1"/>
  <c r="AG25" i="1"/>
  <c r="AF25" i="1"/>
  <c r="AE25" i="1"/>
  <c r="AD25" i="1"/>
  <c r="AB25" i="1"/>
  <c r="V25" i="1"/>
  <c r="T25" i="1"/>
  <c r="P25" i="1"/>
  <c r="Q25" i="1" s="1"/>
  <c r="N25" i="1"/>
  <c r="R25" i="1" s="1"/>
  <c r="M25" i="1"/>
  <c r="K25" i="1"/>
  <c r="J25" i="1"/>
  <c r="I25" i="1"/>
  <c r="G25" i="1"/>
  <c r="AS24" i="1"/>
  <c r="AU24" i="1" s="1"/>
  <c r="AK24" i="1"/>
  <c r="AH24" i="1"/>
  <c r="AF24" i="1"/>
  <c r="AE24" i="1"/>
  <c r="AD24" i="1"/>
  <c r="AB24" i="1"/>
  <c r="U24" i="1"/>
  <c r="Q24" i="1"/>
  <c r="P24" i="1"/>
  <c r="V24" i="1" s="1"/>
  <c r="AI24" i="1" s="1"/>
  <c r="N24" i="1"/>
  <c r="R24" i="1" s="1"/>
  <c r="M24" i="1"/>
  <c r="O24" i="1" s="1"/>
  <c r="K24" i="1"/>
  <c r="J24" i="1"/>
  <c r="I24" i="1"/>
  <c r="G24" i="1"/>
  <c r="AU23" i="1"/>
  <c r="AS23" i="1"/>
  <c r="AK23" i="1"/>
  <c r="AG23" i="1"/>
  <c r="AF23" i="1"/>
  <c r="AE23" i="1"/>
  <c r="AD23" i="1"/>
  <c r="AB23" i="1"/>
  <c r="T23" i="1"/>
  <c r="P23" i="1"/>
  <c r="V23" i="1" s="1"/>
  <c r="AI23" i="1" s="1"/>
  <c r="N23" i="1"/>
  <c r="U23" i="1" s="1"/>
  <c r="AH23" i="1" s="1"/>
  <c r="M23" i="1"/>
  <c r="K23" i="1"/>
  <c r="J23" i="1"/>
  <c r="I23" i="1"/>
  <c r="G23" i="1"/>
  <c r="AS22" i="1"/>
  <c r="AU22" i="1" s="1"/>
  <c r="AK22" i="1"/>
  <c r="AF22" i="1"/>
  <c r="AE22" i="1"/>
  <c r="AD22" i="1"/>
  <c r="AB22" i="1"/>
  <c r="U22" i="1"/>
  <c r="AH22" i="1" s="1"/>
  <c r="R22" i="1"/>
  <c r="P22" i="1"/>
  <c r="V22" i="1" s="1"/>
  <c r="AI22" i="1" s="1"/>
  <c r="N22" i="1"/>
  <c r="M22" i="1"/>
  <c r="T22" i="1" s="1"/>
  <c r="K22" i="1"/>
  <c r="J22" i="1"/>
  <c r="W22" i="1" s="1"/>
  <c r="AJ22" i="1" s="1"/>
  <c r="I22" i="1"/>
  <c r="G22" i="1"/>
  <c r="AU21" i="1"/>
  <c r="AS21" i="1"/>
  <c r="AK21" i="1"/>
  <c r="AI21" i="1"/>
  <c r="AG21" i="1"/>
  <c r="AF21" i="1"/>
  <c r="AE21" i="1"/>
  <c r="AD21" i="1"/>
  <c r="AB21" i="1"/>
  <c r="V21" i="1"/>
  <c r="T21" i="1"/>
  <c r="R21" i="1"/>
  <c r="P21" i="1"/>
  <c r="Q21" i="1" s="1"/>
  <c r="N21" i="1"/>
  <c r="O21" i="1" s="1"/>
  <c r="M21" i="1"/>
  <c r="S21" i="1" s="1"/>
  <c r="K21" i="1"/>
  <c r="J21" i="1"/>
  <c r="W21" i="1" s="1"/>
  <c r="AJ21" i="1" s="1"/>
  <c r="I21" i="1"/>
  <c r="G21" i="1"/>
  <c r="AS20" i="1"/>
  <c r="AU20" i="1" s="1"/>
  <c r="AK20" i="1"/>
  <c r="AF20" i="1"/>
  <c r="AE20" i="1"/>
  <c r="AD20" i="1"/>
  <c r="AB20" i="1"/>
  <c r="V20" i="1"/>
  <c r="AI20" i="1" s="1"/>
  <c r="U20" i="1"/>
  <c r="AH20" i="1" s="1"/>
  <c r="Q20" i="1"/>
  <c r="P20" i="1"/>
  <c r="O20" i="1"/>
  <c r="N20" i="1"/>
  <c r="R20" i="1" s="1"/>
  <c r="S20" i="1" s="1"/>
  <c r="M20" i="1"/>
  <c r="T20" i="1" s="1"/>
  <c r="K20" i="1"/>
  <c r="J20" i="1"/>
  <c r="W20" i="1" s="1"/>
  <c r="AJ20" i="1" s="1"/>
  <c r="I20" i="1"/>
  <c r="G20" i="1"/>
  <c r="AU19" i="1"/>
  <c r="AS19" i="1"/>
  <c r="AK19" i="1"/>
  <c r="AG19" i="1"/>
  <c r="AF19" i="1"/>
  <c r="AE19" i="1"/>
  <c r="AD19" i="1"/>
  <c r="AB19" i="1"/>
  <c r="V19" i="1"/>
  <c r="AI19" i="1" s="1"/>
  <c r="T19" i="1"/>
  <c r="P19" i="1"/>
  <c r="Q19" i="1" s="1"/>
  <c r="N19" i="1"/>
  <c r="U19" i="1" s="1"/>
  <c r="AH19" i="1" s="1"/>
  <c r="M19" i="1"/>
  <c r="K19" i="1"/>
  <c r="J19" i="1"/>
  <c r="I19" i="1"/>
  <c r="G19" i="1"/>
  <c r="AS18" i="1"/>
  <c r="AU18" i="1" s="1"/>
  <c r="AK18" i="1"/>
  <c r="AH18" i="1"/>
  <c r="AF18" i="1"/>
  <c r="AE18" i="1"/>
  <c r="AD18" i="1"/>
  <c r="AB18" i="1"/>
  <c r="U18" i="1"/>
  <c r="P18" i="1"/>
  <c r="R18" i="1" s="1"/>
  <c r="S18" i="1" s="1"/>
  <c r="O18" i="1"/>
  <c r="N18" i="1"/>
  <c r="M18" i="1"/>
  <c r="AG18" i="1" s="1"/>
  <c r="K18" i="1"/>
  <c r="J18" i="1"/>
  <c r="W18" i="1" s="1"/>
  <c r="AJ18" i="1" s="1"/>
  <c r="I18" i="1"/>
  <c r="G18" i="1"/>
  <c r="AU17" i="1"/>
  <c r="AS17" i="1"/>
  <c r="AK17" i="1"/>
  <c r="AG17" i="1"/>
  <c r="AF17" i="1"/>
  <c r="AE17" i="1"/>
  <c r="AD17" i="1"/>
  <c r="AB17" i="1"/>
  <c r="T17" i="1"/>
  <c r="P17" i="1"/>
  <c r="V17" i="1" s="1"/>
  <c r="AI17" i="1" s="1"/>
  <c r="N17" i="1"/>
  <c r="O17" i="1" s="1"/>
  <c r="M17" i="1"/>
  <c r="K17" i="1"/>
  <c r="J17" i="1"/>
  <c r="I17" i="1"/>
  <c r="G17" i="1"/>
  <c r="AS16" i="1"/>
  <c r="AU16" i="1" s="1"/>
  <c r="AK16" i="1"/>
  <c r="AI16" i="1"/>
  <c r="AH16" i="1"/>
  <c r="AF16" i="1"/>
  <c r="AE16" i="1"/>
  <c r="AD16" i="1"/>
  <c r="AB16" i="1"/>
  <c r="V16" i="1"/>
  <c r="U16" i="1"/>
  <c r="P16" i="1"/>
  <c r="R16" i="1" s="1"/>
  <c r="W16" i="1" s="1"/>
  <c r="AJ16" i="1" s="1"/>
  <c r="N16" i="1"/>
  <c r="M16" i="1"/>
  <c r="T16" i="1" s="1"/>
  <c r="K16" i="1"/>
  <c r="J16" i="1"/>
  <c r="I16" i="1"/>
  <c r="G16" i="1"/>
  <c r="AU15" i="1"/>
  <c r="AS15" i="1"/>
  <c r="AK15" i="1"/>
  <c r="AI15" i="1"/>
  <c r="AG15" i="1"/>
  <c r="AF15" i="1"/>
  <c r="AE15" i="1"/>
  <c r="AD15" i="1"/>
  <c r="AB15" i="1"/>
  <c r="V15" i="1"/>
  <c r="T15" i="1"/>
  <c r="P15" i="1"/>
  <c r="Q15" i="1" s="1"/>
  <c r="N15" i="1"/>
  <c r="R15" i="1" s="1"/>
  <c r="M15" i="1"/>
  <c r="K15" i="1"/>
  <c r="J15" i="1"/>
  <c r="I15" i="1"/>
  <c r="G15" i="1"/>
  <c r="AS14" i="1"/>
  <c r="AU14" i="1" s="1"/>
  <c r="AK14" i="1"/>
  <c r="AH14" i="1"/>
  <c r="AF14" i="1"/>
  <c r="AE14" i="1"/>
  <c r="AD14" i="1"/>
  <c r="AB14" i="1"/>
  <c r="U14" i="1"/>
  <c r="Q14" i="1"/>
  <c r="P14" i="1"/>
  <c r="V14" i="1" s="1"/>
  <c r="AI14" i="1" s="1"/>
  <c r="N14" i="1"/>
  <c r="R14" i="1" s="1"/>
  <c r="M14" i="1"/>
  <c r="O14" i="1" s="1"/>
  <c r="K14" i="1"/>
  <c r="J14" i="1"/>
  <c r="I14" i="1"/>
  <c r="G14" i="1"/>
  <c r="AU13" i="1"/>
  <c r="AS13" i="1"/>
  <c r="AK13" i="1"/>
  <c r="AG13" i="1"/>
  <c r="AF13" i="1"/>
  <c r="AE13" i="1"/>
  <c r="AD13" i="1"/>
  <c r="AB13" i="1"/>
  <c r="T13" i="1"/>
  <c r="P13" i="1"/>
  <c r="V13" i="1" s="1"/>
  <c r="AI13" i="1" s="1"/>
  <c r="N13" i="1"/>
  <c r="M13" i="1"/>
  <c r="K13" i="1"/>
  <c r="J13" i="1"/>
  <c r="I13" i="1"/>
  <c r="G13" i="1"/>
  <c r="AS12" i="1"/>
  <c r="AU12" i="1" s="1"/>
  <c r="AK12" i="1"/>
  <c r="AF12" i="1"/>
  <c r="AE12" i="1"/>
  <c r="AD12" i="1"/>
  <c r="AB12" i="1"/>
  <c r="U12" i="1"/>
  <c r="AH12" i="1" s="1"/>
  <c r="R12" i="1"/>
  <c r="P12" i="1"/>
  <c r="V12" i="1" s="1"/>
  <c r="AI12" i="1" s="1"/>
  <c r="N12" i="1"/>
  <c r="M12" i="1"/>
  <c r="T12" i="1" s="1"/>
  <c r="K12" i="1"/>
  <c r="J12" i="1"/>
  <c r="W12" i="1" s="1"/>
  <c r="AJ12" i="1" s="1"/>
  <c r="I12" i="1"/>
  <c r="G12" i="1"/>
  <c r="AU11" i="1"/>
  <c r="AS11" i="1"/>
  <c r="AK11" i="1"/>
  <c r="AG11" i="1"/>
  <c r="AF11" i="1"/>
  <c r="AE11" i="1"/>
  <c r="AD11" i="1"/>
  <c r="AB11" i="1"/>
  <c r="T11" i="1"/>
  <c r="R11" i="1"/>
  <c r="P11" i="1"/>
  <c r="Q11" i="1" s="1"/>
  <c r="N11" i="1"/>
  <c r="O11" i="1" s="1"/>
  <c r="M11" i="1"/>
  <c r="K11" i="1"/>
  <c r="J11" i="1"/>
  <c r="I11" i="1"/>
  <c r="G11" i="1"/>
  <c r="AS10" i="1"/>
  <c r="AU10" i="1" s="1"/>
  <c r="AK10" i="1"/>
  <c r="AF10" i="1"/>
  <c r="AE10" i="1"/>
  <c r="AD10" i="1"/>
  <c r="AB10" i="1"/>
  <c r="V10" i="1"/>
  <c r="AI10" i="1" s="1"/>
  <c r="U10" i="1"/>
  <c r="AH10" i="1" s="1"/>
  <c r="Q10" i="1"/>
  <c r="P10" i="1"/>
  <c r="O10" i="1"/>
  <c r="N10" i="1"/>
  <c r="R10" i="1" s="1"/>
  <c r="M10" i="1"/>
  <c r="T10" i="1" s="1"/>
  <c r="K10" i="1"/>
  <c r="J10" i="1"/>
  <c r="I10" i="1"/>
  <c r="G10" i="1"/>
  <c r="AU9" i="1"/>
  <c r="AS9" i="1"/>
  <c r="AK9" i="1"/>
  <c r="AG9" i="1"/>
  <c r="AF9" i="1"/>
  <c r="AE9" i="1"/>
  <c r="AD9" i="1"/>
  <c r="AB9" i="1"/>
  <c r="V9" i="1"/>
  <c r="AI9" i="1" s="1"/>
  <c r="T9" i="1"/>
  <c r="P9" i="1"/>
  <c r="Q9" i="1" s="1"/>
  <c r="N9" i="1"/>
  <c r="U9" i="1" s="1"/>
  <c r="AH9" i="1" s="1"/>
  <c r="M9" i="1"/>
  <c r="K9" i="1"/>
  <c r="J9" i="1"/>
  <c r="I9" i="1"/>
  <c r="G9" i="1"/>
  <c r="AS8" i="1"/>
  <c r="AU8" i="1" s="1"/>
  <c r="AK8" i="1"/>
  <c r="AH8" i="1"/>
  <c r="AF8" i="1"/>
  <c r="AE8" i="1"/>
  <c r="AD8" i="1"/>
  <c r="AB8" i="1"/>
  <c r="U8" i="1"/>
  <c r="S8" i="1"/>
  <c r="Q8" i="1"/>
  <c r="P8" i="1"/>
  <c r="R8" i="1" s="1"/>
  <c r="O8" i="1"/>
  <c r="N8" i="1"/>
  <c r="M8" i="1"/>
  <c r="AG8" i="1" s="1"/>
  <c r="K8" i="1"/>
  <c r="J8" i="1"/>
  <c r="W8" i="1" s="1"/>
  <c r="AJ8" i="1" s="1"/>
  <c r="I8" i="1"/>
  <c r="G8" i="1"/>
  <c r="AU7" i="1"/>
  <c r="AS7" i="1"/>
  <c r="AK7" i="1"/>
  <c r="AG7" i="1"/>
  <c r="AF7" i="1"/>
  <c r="AE7" i="1"/>
  <c r="AD7" i="1"/>
  <c r="AB7" i="1"/>
  <c r="T7" i="1"/>
  <c r="P7" i="1"/>
  <c r="N7" i="1"/>
  <c r="O7" i="1" s="1"/>
  <c r="M7" i="1"/>
  <c r="K7" i="1"/>
  <c r="J7" i="1"/>
  <c r="I7" i="1"/>
  <c r="G7" i="1"/>
  <c r="AS6" i="1"/>
  <c r="AU6" i="1" s="1"/>
  <c r="AK6" i="1"/>
  <c r="AH6" i="1"/>
  <c r="AF6" i="1"/>
  <c r="AE6" i="1"/>
  <c r="AD6" i="1"/>
  <c r="AB6" i="1"/>
  <c r="U6" i="1"/>
  <c r="P6" i="1"/>
  <c r="V6" i="1" s="1"/>
  <c r="AI6" i="1" s="1"/>
  <c r="N6" i="1"/>
  <c r="M6" i="1"/>
  <c r="K6" i="1"/>
  <c r="J6" i="1"/>
  <c r="I6" i="1"/>
  <c r="G6" i="1"/>
  <c r="AU5" i="1"/>
  <c r="AS5" i="1"/>
  <c r="AK5" i="1"/>
  <c r="AI5" i="1"/>
  <c r="AG5" i="1"/>
  <c r="AF5" i="1"/>
  <c r="AE5" i="1"/>
  <c r="AE36" i="1" s="1"/>
  <c r="AD5" i="1"/>
  <c r="AB5" i="1"/>
  <c r="V5" i="1"/>
  <c r="T5" i="1"/>
  <c r="P5" i="1"/>
  <c r="N5" i="1"/>
  <c r="R5" i="1" s="1"/>
  <c r="M5" i="1"/>
  <c r="S5" i="1" s="1"/>
  <c r="K5" i="1"/>
  <c r="J5" i="1"/>
  <c r="J36" i="1" s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AF36" i="3" l="1"/>
  <c r="AE37" i="3"/>
  <c r="X9" i="3"/>
  <c r="T5" i="3"/>
  <c r="AG5" i="3"/>
  <c r="S5" i="3"/>
  <c r="M36" i="3"/>
  <c r="N38" i="3" s="1"/>
  <c r="U6" i="3"/>
  <c r="AH6" i="3" s="1"/>
  <c r="N36" i="3"/>
  <c r="R6" i="3"/>
  <c r="V7" i="3"/>
  <c r="AI7" i="3" s="1"/>
  <c r="R7" i="3"/>
  <c r="S7" i="3" s="1"/>
  <c r="AG14" i="3"/>
  <c r="S14" i="3"/>
  <c r="X17" i="3"/>
  <c r="U21" i="3"/>
  <c r="AH21" i="3" s="1"/>
  <c r="R21" i="3"/>
  <c r="O21" i="3"/>
  <c r="X22" i="3"/>
  <c r="AH5" i="3"/>
  <c r="O6" i="3"/>
  <c r="Q7" i="3"/>
  <c r="W24" i="3"/>
  <c r="AJ24" i="3" s="1"/>
  <c r="W27" i="3"/>
  <c r="AJ27" i="3" s="1"/>
  <c r="X29" i="3"/>
  <c r="S35" i="3"/>
  <c r="T35" i="3"/>
  <c r="AG35" i="3"/>
  <c r="O5" i="3"/>
  <c r="AL45" i="3"/>
  <c r="AK45" i="3"/>
  <c r="Q14" i="3"/>
  <c r="AG24" i="3"/>
  <c r="S24" i="3"/>
  <c r="V32" i="3"/>
  <c r="AI32" i="3" s="1"/>
  <c r="R32" i="3"/>
  <c r="S32" i="3" s="1"/>
  <c r="Q32" i="3"/>
  <c r="P37" i="3"/>
  <c r="T14" i="3"/>
  <c r="W17" i="3"/>
  <c r="AJ17" i="3" s="1"/>
  <c r="W22" i="3"/>
  <c r="AJ22" i="3" s="1"/>
  <c r="AU36" i="3"/>
  <c r="T10" i="3"/>
  <c r="X10" i="3" s="1"/>
  <c r="AG10" i="3"/>
  <c r="S10" i="3"/>
  <c r="U11" i="3"/>
  <c r="AH11" i="3" s="1"/>
  <c r="R11" i="3"/>
  <c r="V12" i="3"/>
  <c r="AI12" i="3" s="1"/>
  <c r="R12" i="3"/>
  <c r="S12" i="3" s="1"/>
  <c r="Q24" i="3"/>
  <c r="U31" i="3"/>
  <c r="AH31" i="3" s="1"/>
  <c r="R31" i="3"/>
  <c r="O31" i="3"/>
  <c r="AI5" i="3"/>
  <c r="W7" i="3"/>
  <c r="AJ7" i="3" s="1"/>
  <c r="W14" i="3"/>
  <c r="AJ14" i="3" s="1"/>
  <c r="Q19" i="3"/>
  <c r="T24" i="3"/>
  <c r="X24" i="3" s="1"/>
  <c r="W8" i="3"/>
  <c r="AJ8" i="3" s="1"/>
  <c r="K8" i="3"/>
  <c r="AG9" i="3"/>
  <c r="S9" i="3"/>
  <c r="V27" i="3"/>
  <c r="AI27" i="3" s="1"/>
  <c r="R27" i="3"/>
  <c r="S27" i="3" s="1"/>
  <c r="Q27" i="3"/>
  <c r="W33" i="3"/>
  <c r="AJ33" i="3" s="1"/>
  <c r="Q10" i="3"/>
  <c r="X27" i="3"/>
  <c r="W32" i="3"/>
  <c r="AJ32" i="3" s="1"/>
  <c r="AG19" i="3"/>
  <c r="S19" i="3"/>
  <c r="J36" i="3"/>
  <c r="Q9" i="3"/>
  <c r="T15" i="3"/>
  <c r="X15" i="3" s="1"/>
  <c r="AG15" i="3"/>
  <c r="S15" i="3"/>
  <c r="U16" i="3"/>
  <c r="AH16" i="3" s="1"/>
  <c r="R16" i="3"/>
  <c r="V17" i="3"/>
  <c r="AI17" i="3" s="1"/>
  <c r="R17" i="3"/>
  <c r="S17" i="3" s="1"/>
  <c r="Q17" i="3"/>
  <c r="V22" i="3"/>
  <c r="AI22" i="3" s="1"/>
  <c r="R22" i="3"/>
  <c r="S22" i="3" s="1"/>
  <c r="Q22" i="3"/>
  <c r="U26" i="3"/>
  <c r="AH26" i="3" s="1"/>
  <c r="R26" i="3"/>
  <c r="O26" i="3"/>
  <c r="T8" i="3"/>
  <c r="X8" i="3" s="1"/>
  <c r="V9" i="3"/>
  <c r="AI9" i="3" s="1"/>
  <c r="T13" i="3"/>
  <c r="X13" i="3" s="1"/>
  <c r="V14" i="3"/>
  <c r="AI14" i="3" s="1"/>
  <c r="T18" i="3"/>
  <c r="X18" i="3" s="1"/>
  <c r="V19" i="3"/>
  <c r="AI19" i="3" s="1"/>
  <c r="T23" i="3"/>
  <c r="X23" i="3" s="1"/>
  <c r="K24" i="3"/>
  <c r="V24" i="3"/>
  <c r="AI24" i="3" s="1"/>
  <c r="T28" i="3"/>
  <c r="X28" i="3" s="1"/>
  <c r="V29" i="3"/>
  <c r="AI29" i="3" s="1"/>
  <c r="T33" i="3"/>
  <c r="X33" i="3" s="1"/>
  <c r="V34" i="3"/>
  <c r="AI34" i="3" s="1"/>
  <c r="O35" i="3"/>
  <c r="K28" i="3"/>
  <c r="Q35" i="3"/>
  <c r="Q5" i="3"/>
  <c r="O9" i="3"/>
  <c r="O14" i="3"/>
  <c r="O19" i="3"/>
  <c r="O24" i="3"/>
  <c r="O29" i="3"/>
  <c r="O34" i="3"/>
  <c r="R35" i="3"/>
  <c r="W35" i="3" s="1"/>
  <c r="AJ35" i="3" s="1"/>
  <c r="S20" i="3"/>
  <c r="AG20" i="3"/>
  <c r="S25" i="3"/>
  <c r="AG25" i="3"/>
  <c r="S30" i="3"/>
  <c r="AG30" i="3"/>
  <c r="S29" i="3"/>
  <c r="S34" i="3"/>
  <c r="AK45" i="2"/>
  <c r="AL45" i="2"/>
  <c r="W35" i="2"/>
  <c r="AJ35" i="2" s="1"/>
  <c r="K36" i="2"/>
  <c r="J37" i="2"/>
  <c r="AU36" i="2"/>
  <c r="V10" i="2"/>
  <c r="AI10" i="2" s="1"/>
  <c r="AI36" i="2" s="1"/>
  <c r="AI37" i="2" s="1"/>
  <c r="T11" i="2"/>
  <c r="R21" i="2"/>
  <c r="S21" i="2" s="1"/>
  <c r="W31" i="2"/>
  <c r="AJ31" i="2" s="1"/>
  <c r="V19" i="2"/>
  <c r="AI19" i="2" s="1"/>
  <c r="Q19" i="2"/>
  <c r="K24" i="2"/>
  <c r="S28" i="2"/>
  <c r="AG28" i="2"/>
  <c r="O22" i="2"/>
  <c r="R28" i="2"/>
  <c r="W28" i="2" s="1"/>
  <c r="AJ28" i="2" s="1"/>
  <c r="U29" i="2"/>
  <c r="AH29" i="2" s="1"/>
  <c r="R29" i="2"/>
  <c r="W29" i="2" s="1"/>
  <c r="AJ29" i="2" s="1"/>
  <c r="W33" i="2"/>
  <c r="AJ33" i="2" s="1"/>
  <c r="T35" i="2"/>
  <c r="S35" i="2"/>
  <c r="G36" i="2"/>
  <c r="O7" i="2"/>
  <c r="R9" i="2"/>
  <c r="S9" i="2" s="1"/>
  <c r="O10" i="2"/>
  <c r="W11" i="2"/>
  <c r="AJ11" i="2" s="1"/>
  <c r="R13" i="2"/>
  <c r="S13" i="2" s="1"/>
  <c r="T15" i="2"/>
  <c r="W25" i="2"/>
  <c r="AJ25" i="2" s="1"/>
  <c r="S27" i="2"/>
  <c r="O29" i="2"/>
  <c r="I37" i="2"/>
  <c r="K37" i="2" s="1"/>
  <c r="V36" i="2"/>
  <c r="V37" i="2" s="1"/>
  <c r="V29" i="2"/>
  <c r="AI29" i="2" s="1"/>
  <c r="Q29" i="2"/>
  <c r="Q30" i="2"/>
  <c r="AG32" i="2"/>
  <c r="AG35" i="2"/>
  <c r="I36" i="2"/>
  <c r="T5" i="2"/>
  <c r="M36" i="2"/>
  <c r="N38" i="2" s="1"/>
  <c r="K6" i="2"/>
  <c r="R7" i="2"/>
  <c r="S7" i="2" s="1"/>
  <c r="K8" i="2"/>
  <c r="Q10" i="2"/>
  <c r="AG15" i="2"/>
  <c r="S22" i="2"/>
  <c r="Q23" i="2"/>
  <c r="W26" i="2"/>
  <c r="AJ26" i="2" s="1"/>
  <c r="T28" i="2"/>
  <c r="S29" i="2"/>
  <c r="R30" i="2"/>
  <c r="W30" i="2" s="1"/>
  <c r="AJ30" i="2" s="1"/>
  <c r="O32" i="2"/>
  <c r="W34" i="2"/>
  <c r="AJ34" i="2" s="1"/>
  <c r="Q35" i="2"/>
  <c r="U5" i="2"/>
  <c r="N36" i="2"/>
  <c r="AG5" i="2"/>
  <c r="T8" i="2"/>
  <c r="S8" i="2"/>
  <c r="AG10" i="2"/>
  <c r="W13" i="2"/>
  <c r="AJ13" i="2" s="1"/>
  <c r="Q15" i="2"/>
  <c r="O16" i="2"/>
  <c r="O17" i="2"/>
  <c r="U17" i="2"/>
  <c r="AH17" i="2" s="1"/>
  <c r="V21" i="2"/>
  <c r="AI21" i="2" s="1"/>
  <c r="R23" i="2"/>
  <c r="S23" i="2" s="1"/>
  <c r="R24" i="2"/>
  <c r="S24" i="2" s="1"/>
  <c r="T25" i="2"/>
  <c r="S25" i="2"/>
  <c r="T29" i="2"/>
  <c r="S30" i="2"/>
  <c r="Q32" i="2"/>
  <c r="R35" i="2"/>
  <c r="K9" i="2"/>
  <c r="R15" i="2"/>
  <c r="W15" i="2" s="1"/>
  <c r="AJ15" i="2" s="1"/>
  <c r="W21" i="2"/>
  <c r="AJ21" i="2" s="1"/>
  <c r="O25" i="2"/>
  <c r="R32" i="2"/>
  <c r="W32" i="2" s="1"/>
  <c r="AJ32" i="2" s="1"/>
  <c r="U35" i="2"/>
  <c r="AH35" i="2" s="1"/>
  <c r="Q5" i="2"/>
  <c r="T10" i="2"/>
  <c r="Q11" i="2"/>
  <c r="AG12" i="2"/>
  <c r="W14" i="2"/>
  <c r="AJ14" i="2" s="1"/>
  <c r="K14" i="2"/>
  <c r="U15" i="2"/>
  <c r="AH15" i="2" s="1"/>
  <c r="Q16" i="2"/>
  <c r="Q17" i="2"/>
  <c r="S18" i="2"/>
  <c r="AG18" i="2"/>
  <c r="AG25" i="2"/>
  <c r="R26" i="2"/>
  <c r="S26" i="2" s="1"/>
  <c r="Q33" i="2"/>
  <c r="W6" i="2"/>
  <c r="AJ6" i="2" s="1"/>
  <c r="O5" i="2"/>
  <c r="O11" i="2"/>
  <c r="R5" i="2"/>
  <c r="AS36" i="2"/>
  <c r="W7" i="2"/>
  <c r="AJ7" i="2" s="1"/>
  <c r="AG8" i="2"/>
  <c r="S11" i="2"/>
  <c r="O12" i="2"/>
  <c r="R17" i="2"/>
  <c r="R18" i="2"/>
  <c r="W18" i="2" s="1"/>
  <c r="AJ18" i="2" s="1"/>
  <c r="U19" i="2"/>
  <c r="AH19" i="2" s="1"/>
  <c r="R19" i="2"/>
  <c r="O20" i="2"/>
  <c r="W23" i="2"/>
  <c r="AJ23" i="2" s="1"/>
  <c r="Q25" i="2"/>
  <c r="O26" i="2"/>
  <c r="O27" i="2"/>
  <c r="U27" i="2"/>
  <c r="AH27" i="2" s="1"/>
  <c r="V31" i="2"/>
  <c r="AI31" i="2" s="1"/>
  <c r="P36" i="2"/>
  <c r="AE36" i="2"/>
  <c r="O18" i="2"/>
  <c r="O28" i="2"/>
  <c r="AE37" i="1"/>
  <c r="AF36" i="1"/>
  <c r="W34" i="1"/>
  <c r="AJ34" i="1" s="1"/>
  <c r="S15" i="1"/>
  <c r="W15" i="1"/>
  <c r="AJ15" i="1" s="1"/>
  <c r="W24" i="1"/>
  <c r="AJ24" i="1" s="1"/>
  <c r="S24" i="1"/>
  <c r="S27" i="1"/>
  <c r="V7" i="1"/>
  <c r="AI7" i="1" s="1"/>
  <c r="R7" i="1"/>
  <c r="W7" i="1" s="1"/>
  <c r="AJ7" i="1" s="1"/>
  <c r="Q7" i="1"/>
  <c r="K36" i="1"/>
  <c r="J37" i="1"/>
  <c r="O6" i="1"/>
  <c r="T6" i="1"/>
  <c r="AG6" i="1"/>
  <c r="Q6" i="1"/>
  <c r="AK36" i="1"/>
  <c r="AK37" i="1" s="1"/>
  <c r="W11" i="1"/>
  <c r="AJ11" i="1" s="1"/>
  <c r="S33" i="1"/>
  <c r="P36" i="1"/>
  <c r="AS36" i="1"/>
  <c r="S25" i="1"/>
  <c r="W25" i="1"/>
  <c r="AJ25" i="1" s="1"/>
  <c r="U13" i="1"/>
  <c r="AH13" i="1" s="1"/>
  <c r="R13" i="1"/>
  <c r="S13" i="1" s="1"/>
  <c r="O13" i="1"/>
  <c r="AI36" i="1"/>
  <c r="AI37" i="1" s="1"/>
  <c r="W5" i="1"/>
  <c r="W23" i="1"/>
  <c r="AJ23" i="1" s="1"/>
  <c r="AU36" i="1"/>
  <c r="W10" i="1"/>
  <c r="AJ10" i="1" s="1"/>
  <c r="S11" i="1"/>
  <c r="W14" i="1"/>
  <c r="AJ14" i="1" s="1"/>
  <c r="S14" i="1"/>
  <c r="S17" i="1"/>
  <c r="W19" i="1"/>
  <c r="AJ19" i="1" s="1"/>
  <c r="S23" i="1"/>
  <c r="I36" i="1"/>
  <c r="U5" i="1"/>
  <c r="T8" i="1"/>
  <c r="T36" i="1" s="1"/>
  <c r="AG14" i="1"/>
  <c r="U15" i="1"/>
  <c r="AH15" i="1" s="1"/>
  <c r="Q17" i="1"/>
  <c r="T18" i="1"/>
  <c r="O23" i="1"/>
  <c r="AG24" i="1"/>
  <c r="AG36" i="1" s="1"/>
  <c r="AL38" i="1" s="1"/>
  <c r="U25" i="1"/>
  <c r="AH25" i="1" s="1"/>
  <c r="Q27" i="1"/>
  <c r="T28" i="1"/>
  <c r="O33" i="1"/>
  <c r="AG34" i="1"/>
  <c r="V8" i="1"/>
  <c r="AI8" i="1" s="1"/>
  <c r="O9" i="1"/>
  <c r="AG10" i="1"/>
  <c r="U11" i="1"/>
  <c r="AH11" i="1" s="1"/>
  <c r="Q13" i="1"/>
  <c r="T14" i="1"/>
  <c r="V18" i="1"/>
  <c r="AI18" i="1" s="1"/>
  <c r="O19" i="1"/>
  <c r="AG20" i="1"/>
  <c r="U21" i="1"/>
  <c r="AH21" i="1" s="1"/>
  <c r="Q23" i="1"/>
  <c r="T24" i="1"/>
  <c r="O29" i="1"/>
  <c r="AG30" i="1"/>
  <c r="U31" i="1"/>
  <c r="AH31" i="1" s="1"/>
  <c r="Q33" i="1"/>
  <c r="M36" i="1"/>
  <c r="N38" i="1" s="1"/>
  <c r="R17" i="1"/>
  <c r="W17" i="1" s="1"/>
  <c r="AJ17" i="1" s="1"/>
  <c r="R27" i="1"/>
  <c r="W27" i="1" s="1"/>
  <c r="AJ27" i="1" s="1"/>
  <c r="S10" i="1"/>
  <c r="V11" i="1"/>
  <c r="AI11" i="1" s="1"/>
  <c r="O12" i="1"/>
  <c r="Q16" i="1"/>
  <c r="O22" i="1"/>
  <c r="R23" i="1"/>
  <c r="R36" i="1" s="1"/>
  <c r="Q26" i="1"/>
  <c r="O32" i="1"/>
  <c r="R33" i="1"/>
  <c r="W33" i="1" s="1"/>
  <c r="AJ33" i="1" s="1"/>
  <c r="O5" i="1"/>
  <c r="R6" i="1"/>
  <c r="W6" i="1" s="1"/>
  <c r="AJ6" i="1" s="1"/>
  <c r="U7" i="1"/>
  <c r="AH7" i="1" s="1"/>
  <c r="O15" i="1"/>
  <c r="AG16" i="1"/>
  <c r="U17" i="1"/>
  <c r="AH17" i="1" s="1"/>
  <c r="O25" i="1"/>
  <c r="AG26" i="1"/>
  <c r="U27" i="1"/>
  <c r="AH27" i="1" s="1"/>
  <c r="K34" i="1"/>
  <c r="N36" i="1"/>
  <c r="O16" i="1"/>
  <c r="Q12" i="1"/>
  <c r="S16" i="1"/>
  <c r="R19" i="1"/>
  <c r="S19" i="1" s="1"/>
  <c r="S26" i="1"/>
  <c r="R29" i="1"/>
  <c r="S29" i="1" s="1"/>
  <c r="Q32" i="1"/>
  <c r="Q35" i="1"/>
  <c r="F37" i="1"/>
  <c r="G37" i="1" s="1"/>
  <c r="K37" i="1" s="1"/>
  <c r="Q5" i="1"/>
  <c r="AG12" i="1"/>
  <c r="AG22" i="1"/>
  <c r="AG32" i="1"/>
  <c r="AG35" i="1"/>
  <c r="Q22" i="1"/>
  <c r="S12" i="1"/>
  <c r="Q18" i="1"/>
  <c r="S22" i="1"/>
  <c r="Q28" i="1"/>
  <c r="S32" i="1"/>
  <c r="S35" i="1"/>
  <c r="R9" i="1"/>
  <c r="S9" i="1" s="1"/>
  <c r="O36" i="3" l="1"/>
  <c r="N37" i="3"/>
  <c r="O37" i="3" s="1"/>
  <c r="W16" i="3"/>
  <c r="S16" i="3"/>
  <c r="W31" i="3"/>
  <c r="S31" i="3"/>
  <c r="R36" i="3"/>
  <c r="W21" i="3"/>
  <c r="S21" i="3"/>
  <c r="W26" i="3"/>
  <c r="S26" i="3"/>
  <c r="X32" i="3"/>
  <c r="AG36" i="3"/>
  <c r="AL38" i="3" s="1"/>
  <c r="T36" i="3"/>
  <c r="X5" i="3"/>
  <c r="W11" i="3"/>
  <c r="S11" i="3"/>
  <c r="X14" i="3"/>
  <c r="W12" i="3"/>
  <c r="J37" i="3"/>
  <c r="K36" i="3"/>
  <c r="X7" i="3"/>
  <c r="V36" i="3"/>
  <c r="V37" i="3" s="1"/>
  <c r="Q37" i="3"/>
  <c r="U36" i="3"/>
  <c r="U37" i="3" s="1"/>
  <c r="AF47" i="3"/>
  <c r="AF37" i="3"/>
  <c r="AF38" i="3"/>
  <c r="AE46" i="3"/>
  <c r="AE47" i="3" s="1"/>
  <c r="AI36" i="3"/>
  <c r="AI37" i="3" s="1"/>
  <c r="Q36" i="3"/>
  <c r="AH36" i="3"/>
  <c r="AH37" i="3" s="1"/>
  <c r="W6" i="3"/>
  <c r="S6" i="3"/>
  <c r="R36" i="2"/>
  <c r="W5" i="2"/>
  <c r="S5" i="2"/>
  <c r="W19" i="2"/>
  <c r="AJ19" i="2" s="1"/>
  <c r="S19" i="2"/>
  <c r="T36" i="2"/>
  <c r="K47" i="2"/>
  <c r="K38" i="2"/>
  <c r="J46" i="2"/>
  <c r="J47" i="2" s="1"/>
  <c r="W24" i="2"/>
  <c r="AJ24" i="2" s="1"/>
  <c r="Q36" i="2"/>
  <c r="P37" i="2"/>
  <c r="Q37" i="2" s="1"/>
  <c r="AG36" i="2"/>
  <c r="W17" i="2"/>
  <c r="AJ17" i="2" s="1"/>
  <c r="S17" i="2"/>
  <c r="O36" i="2"/>
  <c r="N37" i="2"/>
  <c r="O37" i="2" s="1"/>
  <c r="S15" i="2"/>
  <c r="S32" i="2"/>
  <c r="W9" i="2"/>
  <c r="AJ9" i="2" s="1"/>
  <c r="AH5" i="2"/>
  <c r="AH36" i="2" s="1"/>
  <c r="AH37" i="2" s="1"/>
  <c r="U36" i="2"/>
  <c r="U37" i="2" s="1"/>
  <c r="AE37" i="2"/>
  <c r="AF36" i="2"/>
  <c r="R37" i="1"/>
  <c r="S36" i="1"/>
  <c r="J46" i="1"/>
  <c r="J47" i="1" s="1"/>
  <c r="K47" i="1"/>
  <c r="K38" i="1"/>
  <c r="W9" i="1"/>
  <c r="AJ9" i="1" s="1"/>
  <c r="AL45" i="1"/>
  <c r="AK45" i="1"/>
  <c r="W13" i="1"/>
  <c r="AJ13" i="1" s="1"/>
  <c r="S7" i="1"/>
  <c r="Q36" i="1"/>
  <c r="P37" i="1"/>
  <c r="Q37" i="1" s="1"/>
  <c r="AJ5" i="1"/>
  <c r="V36" i="1"/>
  <c r="V37" i="1" s="1"/>
  <c r="O36" i="1"/>
  <c r="N37" i="1"/>
  <c r="O37" i="1" s="1"/>
  <c r="S6" i="1"/>
  <c r="W29" i="1"/>
  <c r="AJ29" i="1" s="1"/>
  <c r="AH5" i="1"/>
  <c r="AH36" i="1" s="1"/>
  <c r="AH37" i="1" s="1"/>
  <c r="U36" i="1"/>
  <c r="U37" i="1" s="1"/>
  <c r="AF47" i="1"/>
  <c r="AF37" i="1"/>
  <c r="AF38" i="1"/>
  <c r="AE46" i="1"/>
  <c r="AE47" i="1" s="1"/>
  <c r="J46" i="3" l="1"/>
  <c r="J47" i="3" s="1"/>
  <c r="K47" i="3"/>
  <c r="K38" i="3"/>
  <c r="AJ26" i="3"/>
  <c r="X26" i="3"/>
  <c r="AJ12" i="3"/>
  <c r="X12" i="3"/>
  <c r="AJ11" i="3"/>
  <c r="X11" i="3"/>
  <c r="AJ31" i="3"/>
  <c r="X31" i="3"/>
  <c r="S36" i="3"/>
  <c r="R37" i="3"/>
  <c r="AJ6" i="3"/>
  <c r="X6" i="3"/>
  <c r="W36" i="3"/>
  <c r="AJ16" i="3"/>
  <c r="X16" i="3"/>
  <c r="AJ21" i="3"/>
  <c r="X21" i="3"/>
  <c r="AF47" i="2"/>
  <c r="AF38" i="2"/>
  <c r="AE46" i="2"/>
  <c r="AE47" i="2" s="1"/>
  <c r="AF37" i="2"/>
  <c r="AL38" i="2"/>
  <c r="AJ5" i="2"/>
  <c r="AJ36" i="2" s="1"/>
  <c r="W36" i="2"/>
  <c r="W37" i="2" s="1"/>
  <c r="R37" i="2"/>
  <c r="S36" i="2"/>
  <c r="AJ36" i="1"/>
  <c r="W36" i="1"/>
  <c r="W37" i="1" s="1"/>
  <c r="R46" i="1"/>
  <c r="R47" i="1" s="1"/>
  <c r="S47" i="1"/>
  <c r="S37" i="1"/>
  <c r="S38" i="1"/>
  <c r="AJ36" i="3" l="1"/>
  <c r="R46" i="3"/>
  <c r="R47" i="3" s="1"/>
  <c r="S47" i="3"/>
  <c r="S37" i="3"/>
  <c r="S38" i="3"/>
  <c r="W37" i="3"/>
  <c r="X37" i="3" s="1"/>
  <c r="X36" i="3"/>
  <c r="R46" i="2"/>
  <c r="R47" i="2" s="1"/>
  <c r="S47" i="2"/>
  <c r="S38" i="2"/>
  <c r="S37" i="2"/>
  <c r="AJ37" i="2"/>
  <c r="AJ39" i="2"/>
  <c r="AK39" i="2" s="1"/>
  <c r="AJ37" i="1"/>
  <c r="AJ39" i="1"/>
  <c r="AK39" i="1" s="1"/>
  <c r="AJ40" i="3" l="1"/>
  <c r="AK40" i="3" s="1"/>
  <c r="AJ37" i="3"/>
  <c r="AK46" i="2"/>
  <c r="AK38" i="2"/>
  <c r="AJ43" i="2"/>
  <c r="AJ40" i="2"/>
  <c r="AK41" i="2" s="1"/>
  <c r="AJ45" i="2"/>
  <c r="AJ46" i="2" s="1"/>
  <c r="AK38" i="1"/>
  <c r="AK46" i="1"/>
  <c r="AJ43" i="1"/>
  <c r="AJ40" i="1"/>
  <c r="AK41" i="1" s="1"/>
  <c r="AJ45" i="1"/>
  <c r="AJ46" i="1" s="1"/>
  <c r="AK39" i="3" l="1"/>
  <c r="AK38" i="3"/>
  <c r="AK46" i="3"/>
  <c r="AJ43" i="3"/>
  <c r="AJ41" i="3"/>
  <c r="AK41" i="3" s="1"/>
  <c r="AJ45" i="3"/>
  <c r="AJ4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1F9EA5A7-4682-C34E-991A-C85AD9E5CE14}">
      <text>
        <r>
          <rPr>
            <sz val="10"/>
            <color rgb="FF000000"/>
            <rFont val="游ゴシック"/>
            <family val="2"/>
            <scheme val="minor"/>
          </rPr>
          <t>======
ID#AAAA3zLDsB4
    (2023-08-01 08:19:57)
月の数字のみ入力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AC48AD28-53AB-D147-A07B-DE243AE6A41F}">
      <text>
        <r>
          <rPr>
            <sz val="10"/>
            <color rgb="FF000000"/>
            <rFont val="游ゴシック"/>
            <family val="2"/>
            <scheme val="minor"/>
          </rPr>
          <t>======
ID#AAAA3zLDsBA
    (2023-08-01 08:19:57)
月の数字のみ入力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A5DCCE99-C7D2-B34A-BBAF-C057CFBE32F6}">
      <text>
        <r>
          <rPr>
            <sz val="10"/>
            <color rgb="FF000000"/>
            <rFont val="游ゴシック"/>
            <family val="2"/>
            <scheme val="minor"/>
          </rPr>
          <t>======
ID#AAAA3zLDsBQ
    (2023-08-01 08:19:57)
月の数字のみ入力</t>
        </r>
      </text>
    </comment>
  </commentList>
</comments>
</file>

<file path=xl/sharedStrings.xml><?xml version="1.0" encoding="utf-8"?>
<sst xmlns="http://schemas.openxmlformats.org/spreadsheetml/2006/main" count="321" uniqueCount="75">
  <si>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</si>
  <si>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</si>
  <si>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</si>
  <si>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</si>
  <si>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</si>
  <si>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</si>
  <si>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</si>
  <si>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</si>
  <si>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</si>
  <si>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</si>
  <si>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</si>
  <si>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</si>
  <si>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</si>
  <si>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</si>
  <si>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</si>
  <si>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</si>
  <si>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</si>
  <si>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</si>
  <si>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</si>
  <si>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</si>
  <si>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</si>
  <si>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</si>
  <si>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</si>
  <si>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</si>
  <si>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</si>
  <si>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</si>
  <si>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</si>
  <si>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</si>
  <si>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</si>
  <si>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</si>
  <si>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</si>
  <si>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</si>
  <si>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</si>
  <si>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</si>
  <si>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</si>
  <si>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</si>
  <si>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招待券10,420円入金あり。</t>
  </si>
  <si>
    <t>OPEN（ランチ休業）</t>
  </si>
  <si>
    <t>（ランチ休業）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</si>
  <si>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</si>
  <si>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</si>
  <si>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</si>
  <si>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</si>
  <si>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</si>
  <si>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</si>
  <si>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</si>
  <si>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</si>
  <si>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本年度より土日祝日のみ営業。（平日はテイクアウトのイートインスペースとして利用）
集客25.5名/日(2日間営業)。</t>
  </si>
  <si>
    <t>27日より営業再開。
集客30.3名/日(4日間営業)。</t>
  </si>
  <si>
    <t>wine、15個10,650円(税込)。
卒業旅行などの年齢層多数。
途中、自販機南京錠、在庫無し。</t>
  </si>
  <si>
    <t>　1日売上平均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</si>
  <si>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</si>
  <si>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</si>
  <si>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</si>
  <si>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</si>
  <si>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</si>
  <si>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</si>
  <si>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</si>
  <si>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</si>
  <si>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ランチFood20%-1,408引く</t>
  </si>
  <si>
    <t>ランチ20%fFood-1,408 Bev-520=1,928</t>
  </si>
  <si>
    <t>ランチ休業</t>
  </si>
  <si>
    <t>ランチ貸切</t>
  </si>
  <si>
    <t>ランチ休業,RW15:40-20:00運行</t>
  </si>
  <si>
    <t>始発から運休16:30から通常運行</t>
  </si>
  <si>
    <t>本年度より土日祝日のみ営業。（平日はテイクアウトのイートインスペースとして利用）
集客23.3名/日、売上94,445円/日(税別)(16日間営業)。
23日27名　26日28名　のとやちえこ先生旅の絵手紙教室　貸切</t>
  </si>
  <si>
    <t>集客31.2/日
売上303,482円(税別)/日
24日　猿払村立拓心中学校　29名様　貸切</t>
  </si>
  <si>
    <t>ゴールデンウィーク期間中、売上好調。
単価も900円台と上昇中。
Foodの比率が高い傾向。
ソフトクリーム832,500円(税込)、2022年400円→2023年450円。</t>
  </si>
  <si>
    <t>ランチ予約のみ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</si>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</sst>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5">
    <font>
      <sz val="12"/>
      <color theme="1"/>
      <name val="游ゴシック"/>
      <family val="2"/>
      <charset val="128"/>
      <scheme val="minor"/>
    </font>
    <font>
      <sz val="9"/>
      <color rgb="FF000000"/>
      <name val="Meiryo"/>
      <family val="3"/>
      <charset val="128"/>
    </font>
    <font>
      <sz val="6"/>
      <name val="游ゴシック"/>
      <family val="2"/>
      <charset val="128"/>
      <scheme val="minor"/>
    </font>
    <font>
      <sz val="8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2"/>
      <color rgb="FF000000"/>
      <name val="メイリオ1"/>
      <family val="3"/>
      <charset val="128"/>
    </font>
    <font>
      <b/>
      <sz val="12"/>
      <color rgb="FF000000"/>
      <name val="Meiryo"/>
      <family val="3"/>
      <charset val="128"/>
    </font>
    <font>
      <sz val="10"/>
      <name val="Calibri"/>
      <family val="2"/>
    </font>
    <font>
      <b/>
      <sz val="11"/>
      <color rgb="FF000000"/>
      <name val="Meiryo"/>
      <family val="3"/>
      <charset val="128"/>
    </font>
    <font>
      <b/>
      <sz val="11"/>
      <color rgb="FF000000"/>
      <name val="メイリオ1"/>
      <family val="3"/>
      <charset val="128"/>
    </font>
    <font>
      <sz val="9"/>
      <color rgb="FF0070C0"/>
      <name val="Meiryo"/>
      <family val="3"/>
      <charset val="128"/>
    </font>
    <font>
      <sz val="9"/>
      <color rgb="FFFF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7"/>
      <color rgb="FF000000"/>
      <name val="Meiryo"/>
      <family val="3"/>
      <charset val="128"/>
    </font>
    <font>
      <b/>
      <sz val="6"/>
      <color rgb="FF000000"/>
      <name val="Meiryo"/>
      <family val="3"/>
      <charset val="128"/>
    </font>
    <font>
      <sz val="9"/>
      <color theme="1"/>
      <name val="Meiryo"/>
      <family val="3"/>
      <charset val="128"/>
    </font>
    <font>
      <b/>
      <sz val="14"/>
      <color rgb="FF000000"/>
      <name val="メイリオ1"/>
      <family val="3"/>
      <charset val="128"/>
    </font>
    <font>
      <b/>
      <sz val="9"/>
      <color rgb="FF000000"/>
      <name val="メイリオ1"/>
      <family val="3"/>
      <charset val="128"/>
    </font>
    <font>
      <sz val="11"/>
      <color rgb="FF000000"/>
      <name val="メイリオ1"/>
      <family val="3"/>
      <charset val="128"/>
    </font>
    <font>
      <b/>
      <sz val="10"/>
      <color rgb="FF000000"/>
      <name val="メイリオ1"/>
      <family val="3"/>
      <charset val="128"/>
    </font>
    <font>
      <sz val="12"/>
      <color rgb="FF000000"/>
      <name val="Meiryo"/>
      <family val="3"/>
      <charset val="128"/>
    </font>
    <font>
      <sz val="11"/>
      <color rgb="FF000000"/>
      <name val="游ゴシック"/>
      <family val="3"/>
      <charset val="128"/>
    </font>
    <font>
      <sz val="10"/>
      <color rgb="FF000000"/>
      <name val="游ゴシック"/>
      <family val="2"/>
      <scheme val="minor"/>
    </font>
    <font>
      <sz val="9"/>
      <color rgb="FF00B0F0"/>
      <name val="Meiryo"/>
      <family val="3"/>
      <charset val="128"/>
    </font>
    <font>
      <sz val="9"/>
      <color theme="4"/>
      <name val="Meiryo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1" fillId="0" borderId="0" xfId="0" applyNumberFormat="1" applyFont="1" applyAlignment="1">
      <alignment horizontal="center" vertical="center" wrapText="1"/>
    </xf>
    <xf numFmtId="0" fontId="0" fillId="0" borderId="0" xfId="0" applyAlignment="1"/>
    <xf numFmtId="176" fontId="3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5" xfId="0" applyFont="1" applyBorder="1" applyAlignment="1"/>
    <xf numFmtId="0" fontId="7" fillId="0" borderId="6" xfId="0" applyFont="1" applyBorder="1" applyAlignment="1"/>
    <xf numFmtId="0" fontId="8" fillId="4" borderId="1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/>
    <xf numFmtId="177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38" fontId="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178" fontId="1" fillId="0" borderId="17" xfId="0" applyNumberFormat="1" applyFont="1" applyBorder="1" applyAlignment="1"/>
    <xf numFmtId="38" fontId="1" fillId="0" borderId="17" xfId="0" applyNumberFormat="1" applyFont="1" applyBorder="1" applyAlignment="1"/>
    <xf numFmtId="179" fontId="1" fillId="0" borderId="18" xfId="0" applyNumberFormat="1" applyFont="1" applyBorder="1" applyAlignment="1"/>
    <xf numFmtId="180" fontId="1" fillId="2" borderId="18" xfId="0" applyNumberFormat="1" applyFont="1" applyFill="1" applyBorder="1" applyAlignment="1"/>
    <xf numFmtId="38" fontId="1" fillId="6" borderId="18" xfId="0" applyNumberFormat="1" applyFont="1" applyFill="1" applyBorder="1" applyAlignment="1"/>
    <xf numFmtId="38" fontId="4" fillId="0" borderId="19" xfId="0" applyNumberFormat="1" applyFont="1" applyBorder="1" applyAlignment="1"/>
    <xf numFmtId="38" fontId="4" fillId="0" borderId="17" xfId="0" applyNumberFormat="1" applyFont="1" applyBorder="1" applyAlignment="1"/>
    <xf numFmtId="38" fontId="8" fillId="2" borderId="18" xfId="0" applyNumberFormat="1" applyFont="1" applyFill="1" applyBorder="1" applyAlignment="1"/>
    <xf numFmtId="40" fontId="1" fillId="0" borderId="20" xfId="0" applyNumberFormat="1" applyFont="1" applyBorder="1" applyAlignment="1"/>
    <xf numFmtId="181" fontId="1" fillId="0" borderId="18" xfId="0" applyNumberFormat="1" applyFont="1" applyBorder="1" applyAlignment="1"/>
    <xf numFmtId="180" fontId="1" fillId="3" borderId="18" xfId="0" applyNumberFormat="1" applyFont="1" applyFill="1" applyBorder="1" applyAlignment="1"/>
    <xf numFmtId="38" fontId="1" fillId="0" borderId="18" xfId="0" applyNumberFormat="1" applyFont="1" applyBorder="1" applyAlignment="1"/>
    <xf numFmtId="38" fontId="8" fillId="0" borderId="16" xfId="0" applyNumberFormat="1" applyFont="1" applyBorder="1" applyAlignment="1"/>
    <xf numFmtId="180" fontId="1" fillId="0" borderId="21" xfId="0" applyNumberFormat="1" applyFont="1" applyBorder="1" applyAlignment="1"/>
    <xf numFmtId="38" fontId="1" fillId="7" borderId="17" xfId="0" applyNumberFormat="1" applyFont="1" applyFill="1" applyBorder="1" applyAlignment="1"/>
    <xf numFmtId="179" fontId="1" fillId="4" borderId="18" xfId="0" applyNumberFormat="1" applyFont="1" applyFill="1" applyBorder="1" applyAlignment="1"/>
    <xf numFmtId="180" fontId="1" fillId="0" borderId="18" xfId="0" applyNumberFormat="1" applyFont="1" applyBorder="1" applyAlignment="1"/>
    <xf numFmtId="38" fontId="1" fillId="3" borderId="16" xfId="0" applyNumberFormat="1" applyFont="1" applyFill="1" applyBorder="1" applyAlignment="1"/>
    <xf numFmtId="38" fontId="9" fillId="0" borderId="17" xfId="0" applyNumberFormat="1" applyFont="1" applyBorder="1" applyAlignment="1"/>
    <xf numFmtId="38" fontId="1" fillId="0" borderId="16" xfId="0" applyNumberFormat="1" applyFont="1" applyBorder="1" applyAlignment="1"/>
    <xf numFmtId="38" fontId="4" fillId="0" borderId="16" xfId="0" applyNumberFormat="1" applyFont="1" applyBorder="1" applyAlignment="1"/>
    <xf numFmtId="38" fontId="1" fillId="7" borderId="16" xfId="0" applyNumberFormat="1" applyFont="1" applyFill="1" applyBorder="1" applyAlignment="1"/>
    <xf numFmtId="38" fontId="1" fillId="0" borderId="0" xfId="0" applyNumberFormat="1" applyFont="1" applyAlignment="1"/>
    <xf numFmtId="178" fontId="1" fillId="0" borderId="7" xfId="0" applyNumberFormat="1" applyFont="1" applyBorder="1" applyAlignment="1"/>
    <xf numFmtId="38" fontId="1" fillId="0" borderId="7" xfId="0" applyNumberFormat="1" applyFont="1" applyBorder="1" applyAlignment="1"/>
    <xf numFmtId="180" fontId="1" fillId="0" borderId="22" xfId="0" applyNumberFormat="1" applyFont="1" applyBorder="1" applyAlignment="1"/>
    <xf numFmtId="178" fontId="10" fillId="0" borderId="7" xfId="0" applyNumberFormat="1" applyFont="1" applyBorder="1" applyAlignment="1"/>
    <xf numFmtId="38" fontId="9" fillId="8" borderId="17" xfId="0" applyNumberFormat="1" applyFont="1" applyFill="1" applyBorder="1" applyAlignment="1"/>
    <xf numFmtId="178" fontId="11" fillId="0" borderId="7" xfId="0" applyNumberFormat="1" applyFont="1" applyBorder="1" applyAlignment="1"/>
    <xf numFmtId="38" fontId="3" fillId="0" borderId="7" xfId="0" applyNumberFormat="1" applyFont="1" applyBorder="1" applyAlignment="1"/>
    <xf numFmtId="38" fontId="4" fillId="8" borderId="17" xfId="0" applyNumberFormat="1" applyFont="1" applyFill="1" applyBorder="1" applyAlignment="1"/>
    <xf numFmtId="179" fontId="1" fillId="4" borderId="16" xfId="0" applyNumberFormat="1" applyFont="1" applyFill="1" applyBorder="1" applyAlignment="1"/>
    <xf numFmtId="180" fontId="1" fillId="0" borderId="16" xfId="0" applyNumberFormat="1" applyFont="1" applyBorder="1" applyAlignment="1"/>
    <xf numFmtId="38" fontId="1" fillId="6" borderId="16" xfId="0" applyNumberFormat="1" applyFont="1" applyFill="1" applyBorder="1" applyAlignment="1"/>
    <xf numFmtId="38" fontId="1" fillId="0" borderId="1" xfId="0" applyNumberFormat="1" applyFont="1" applyBorder="1" applyAlignment="1"/>
    <xf numFmtId="180" fontId="1" fillId="3" borderId="2" xfId="0" applyNumberFormat="1" applyFont="1" applyFill="1" applyBorder="1" applyAlignment="1"/>
    <xf numFmtId="180" fontId="1" fillId="0" borderId="23" xfId="0" applyNumberFormat="1" applyFont="1" applyBorder="1" applyAlignment="1"/>
    <xf numFmtId="38" fontId="1" fillId="0" borderId="2" xfId="0" applyNumberFormat="1" applyFont="1" applyBorder="1" applyAlignment="1"/>
    <xf numFmtId="38" fontId="1" fillId="7" borderId="1" xfId="0" applyNumberFormat="1" applyFont="1" applyFill="1" applyBorder="1" applyAlignment="1"/>
    <xf numFmtId="179" fontId="1" fillId="4" borderId="2" xfId="0" applyNumberFormat="1" applyFont="1" applyFill="1" applyBorder="1" applyAlignment="1"/>
    <xf numFmtId="180" fontId="1" fillId="0" borderId="2" xfId="0" applyNumberFormat="1" applyFont="1" applyBorder="1" applyAlignment="1"/>
    <xf numFmtId="38" fontId="1" fillId="6" borderId="2" xfId="0" applyNumberFormat="1" applyFont="1" applyFill="1" applyBorder="1" applyAlignment="1"/>
    <xf numFmtId="38" fontId="4" fillId="0" borderId="24" xfId="0" applyNumberFormat="1" applyFont="1" applyBorder="1" applyAlignment="1"/>
    <xf numFmtId="38" fontId="4" fillId="0" borderId="25" xfId="0" applyNumberFormat="1" applyFont="1" applyBorder="1" applyAlignment="1"/>
    <xf numFmtId="38" fontId="1" fillId="3" borderId="2" xfId="0" applyNumberFormat="1" applyFont="1" applyFill="1" applyBorder="1" applyAlignment="1"/>
    <xf numFmtId="0" fontId="4" fillId="0" borderId="0" xfId="0" applyFont="1" applyAlignment="1"/>
    <xf numFmtId="0" fontId="4" fillId="0" borderId="26" xfId="0" applyFont="1" applyBorder="1" applyAlignment="1"/>
    <xf numFmtId="38" fontId="4" fillId="0" borderId="27" xfId="0" applyNumberFormat="1" applyFont="1" applyBorder="1" applyAlignment="1"/>
    <xf numFmtId="179" fontId="4" fillId="0" borderId="28" xfId="0" applyNumberFormat="1" applyFont="1" applyBorder="1" applyAlignment="1"/>
    <xf numFmtId="180" fontId="4" fillId="0" borderId="27" xfId="0" applyNumberFormat="1" applyFont="1" applyBorder="1" applyAlignment="1"/>
    <xf numFmtId="38" fontId="12" fillId="0" borderId="28" xfId="0" applyNumberFormat="1" applyFont="1" applyBorder="1" applyAlignment="1"/>
    <xf numFmtId="38" fontId="4" fillId="0" borderId="28" xfId="0" applyNumberFormat="1" applyFont="1" applyBorder="1" applyAlignment="1"/>
    <xf numFmtId="38" fontId="4" fillId="0" borderId="26" xfId="0" applyNumberFormat="1" applyFont="1" applyBorder="1" applyAlignment="1"/>
    <xf numFmtId="38" fontId="4" fillId="5" borderId="27" xfId="0" applyNumberFormat="1" applyFont="1" applyFill="1" applyBorder="1" applyAlignment="1"/>
    <xf numFmtId="182" fontId="4" fillId="0" borderId="27" xfId="0" applyNumberFormat="1" applyFont="1" applyBorder="1" applyAlignment="1">
      <alignment shrinkToFit="1"/>
    </xf>
    <xf numFmtId="181" fontId="4" fillId="0" borderId="28" xfId="0" applyNumberFormat="1" applyFont="1" applyBorder="1" applyAlignment="1"/>
    <xf numFmtId="38" fontId="12" fillId="0" borderId="27" xfId="0" applyNumberFormat="1" applyFont="1" applyBorder="1" applyAlignment="1"/>
    <xf numFmtId="38" fontId="8" fillId="5" borderId="27" xfId="0" applyNumberFormat="1" applyFont="1" applyFill="1" applyBorder="1" applyAlignment="1"/>
    <xf numFmtId="182" fontId="13" fillId="0" borderId="28" xfId="0" applyNumberFormat="1" applyFont="1" applyBorder="1" applyAlignment="1">
      <alignment shrinkToFit="1"/>
    </xf>
    <xf numFmtId="182" fontId="4" fillId="0" borderId="28" xfId="0" applyNumberFormat="1" applyFont="1" applyBorder="1" applyAlignment="1"/>
    <xf numFmtId="38" fontId="4" fillId="5" borderId="16" xfId="0" applyNumberFormat="1" applyFont="1" applyFill="1" applyBorder="1" applyAlignment="1"/>
    <xf numFmtId="38" fontId="4" fillId="8" borderId="16" xfId="0" applyNumberFormat="1" applyFont="1" applyFill="1" applyBorder="1" applyAlignment="1"/>
    <xf numFmtId="0" fontId="4" fillId="0" borderId="7" xfId="0" applyFont="1" applyBorder="1" applyAlignment="1"/>
    <xf numFmtId="38" fontId="12" fillId="0" borderId="16" xfId="0" applyNumberFormat="1" applyFont="1" applyBorder="1" applyAlignment="1"/>
    <xf numFmtId="38" fontId="8" fillId="5" borderId="16" xfId="0" applyNumberFormat="1" applyFont="1" applyFill="1" applyBorder="1" applyAlignment="1"/>
    <xf numFmtId="182" fontId="4" fillId="0" borderId="0" xfId="0" applyNumberFormat="1" applyFont="1" applyAlignment="1">
      <alignment shrinkToFit="1"/>
    </xf>
    <xf numFmtId="179" fontId="4" fillId="0" borderId="0" xfId="0" applyNumberFormat="1" applyFont="1" applyAlignment="1"/>
    <xf numFmtId="182" fontId="12" fillId="0" borderId="0" xfId="0" applyNumberFormat="1" applyFont="1" applyAlignment="1"/>
    <xf numFmtId="0" fontId="4" fillId="0" borderId="6" xfId="0" applyFont="1" applyBorder="1" applyAlignment="1"/>
    <xf numFmtId="182" fontId="4" fillId="0" borderId="0" xfId="0" applyNumberFormat="1" applyFont="1" applyAlignment="1"/>
    <xf numFmtId="38" fontId="4" fillId="0" borderId="6" xfId="0" applyNumberFormat="1" applyFont="1" applyBorder="1" applyAlignment="1"/>
    <xf numFmtId="38" fontId="4" fillId="0" borderId="0" xfId="0" applyNumberFormat="1" applyFont="1" applyAlignment="1"/>
    <xf numFmtId="0" fontId="1" fillId="0" borderId="0" xfId="0" applyFont="1" applyAlignment="1">
      <alignment horizontal="right"/>
    </xf>
    <xf numFmtId="183" fontId="4" fillId="0" borderId="0" xfId="0" applyNumberFormat="1" applyFont="1" applyAlignment="1"/>
    <xf numFmtId="183" fontId="4" fillId="6" borderId="0" xfId="0" applyNumberFormat="1" applyFont="1" applyFill="1" applyAlignment="1"/>
    <xf numFmtId="183" fontId="14" fillId="0" borderId="0" xfId="0" applyNumberFormat="1" applyFont="1" applyAlignment="1"/>
    <xf numFmtId="183" fontId="4" fillId="0" borderId="0" xfId="0" applyNumberFormat="1" applyFont="1" applyAlignment="1">
      <alignment horizontal="right"/>
    </xf>
    <xf numFmtId="184" fontId="4" fillId="0" borderId="0" xfId="0" applyNumberFormat="1" applyFont="1" applyAlignment="1"/>
    <xf numFmtId="184" fontId="4" fillId="0" borderId="0" xfId="0" applyNumberFormat="1" applyFont="1" applyAlignment="1">
      <alignment shrinkToFit="1"/>
    </xf>
    <xf numFmtId="183" fontId="4" fillId="4" borderId="0" xfId="0" applyNumberFormat="1" applyFont="1" applyFill="1" applyAlignment="1"/>
    <xf numFmtId="180" fontId="1" fillId="0" borderId="0" xfId="0" applyNumberFormat="1" applyFont="1" applyAlignment="1"/>
    <xf numFmtId="0" fontId="1" fillId="0" borderId="19" xfId="0" applyFont="1" applyBorder="1" applyAlignment="1"/>
    <xf numFmtId="0" fontId="1" fillId="0" borderId="25" xfId="0" applyFont="1" applyBorder="1" applyAlignment="1">
      <alignment horizontal="right"/>
    </xf>
    <xf numFmtId="183" fontId="4" fillId="8" borderId="0" xfId="0" applyNumberFormat="1" applyFont="1" applyFill="1" applyAlignment="1"/>
    <xf numFmtId="0" fontId="1" fillId="0" borderId="29" xfId="0" applyFont="1" applyBorder="1" applyAlignment="1"/>
    <xf numFmtId="185" fontId="1" fillId="0" borderId="0" xfId="0" applyNumberFormat="1" applyFont="1" applyAlignment="1"/>
    <xf numFmtId="0" fontId="15" fillId="0" borderId="1" xfId="0" applyFont="1" applyBorder="1" applyAlignment="1">
      <alignment horizontal="left" vertical="top" wrapText="1"/>
    </xf>
    <xf numFmtId="0" fontId="7" fillId="0" borderId="24" xfId="0" applyFont="1" applyBorder="1" applyAlignment="1"/>
    <xf numFmtId="0" fontId="11" fillId="0" borderId="1" xfId="0" applyFont="1" applyBorder="1" applyAlignment="1">
      <alignment horizontal="left" vertical="top" wrapText="1"/>
    </xf>
    <xf numFmtId="38" fontId="16" fillId="0" borderId="0" xfId="0" applyNumberFormat="1" applyFont="1">
      <alignment vertical="center"/>
    </xf>
    <xf numFmtId="0" fontId="7" fillId="0" borderId="25" xfId="0" applyFont="1" applyBorder="1" applyAlignment="1"/>
    <xf numFmtId="0" fontId="0" fillId="0" borderId="0" xfId="0" applyAlignment="1"/>
    <xf numFmtId="0" fontId="7" fillId="0" borderId="29" xfId="0" applyFont="1" applyBorder="1" applyAlignment="1"/>
    <xf numFmtId="0" fontId="1" fillId="0" borderId="0" xfId="0" applyFont="1" applyAlignment="1">
      <alignment horizontal="center"/>
    </xf>
    <xf numFmtId="0" fontId="7" fillId="0" borderId="17" xfId="0" applyFont="1" applyBorder="1" applyAlignment="1"/>
    <xf numFmtId="0" fontId="7" fillId="0" borderId="20" xfId="0" applyFont="1" applyBorder="1" applyAlignment="1"/>
    <xf numFmtId="0" fontId="7" fillId="0" borderId="19" xfId="0" applyFont="1" applyBorder="1" applyAlignment="1"/>
    <xf numFmtId="0" fontId="17" fillId="0" borderId="0" xfId="0" applyFont="1" applyAlignment="1"/>
    <xf numFmtId="0" fontId="17" fillId="0" borderId="0" xfId="0" applyFont="1" applyAlignment="1">
      <alignment horizontal="center"/>
    </xf>
    <xf numFmtId="38" fontId="17" fillId="0" borderId="0" xfId="0" applyNumberFormat="1" applyFont="1" applyAlignment="1"/>
    <xf numFmtId="38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 shrinkToFit="1"/>
    </xf>
    <xf numFmtId="186" fontId="17" fillId="0" borderId="0" xfId="0" applyNumberFormat="1" applyFont="1" applyAlignment="1"/>
    <xf numFmtId="0" fontId="17" fillId="5" borderId="0" xfId="0" applyFont="1" applyFill="1" applyAlignment="1"/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84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84" fontId="19" fillId="0" borderId="0" xfId="0" applyNumberFormat="1" applyFont="1">
      <alignment vertical="center"/>
    </xf>
    <xf numFmtId="10" fontId="19" fillId="0" borderId="0" xfId="0" applyNumberFormat="1" applyFont="1">
      <alignment vertical="center"/>
    </xf>
    <xf numFmtId="38" fontId="18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8" fontId="1" fillId="0" borderId="0" xfId="0" applyNumberFormat="1" applyFont="1" applyAlignment="1">
      <alignment horizontal="center" vertical="center"/>
    </xf>
    <xf numFmtId="38" fontId="6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1" fillId="0" borderId="0" xfId="0" applyFont="1">
      <alignment vertical="center"/>
    </xf>
    <xf numFmtId="38" fontId="1" fillId="0" borderId="0" xfId="0" applyNumberFormat="1" applyFont="1">
      <alignment vertical="center"/>
    </xf>
    <xf numFmtId="178" fontId="23" fillId="0" borderId="7" xfId="0" applyNumberFormat="1" applyFont="1" applyBorder="1" applyAlignment="1"/>
    <xf numFmtId="178" fontId="15" fillId="0" borderId="7" xfId="0" applyNumberFormat="1" applyFont="1" applyBorder="1" applyAlignment="1"/>
    <xf numFmtId="38" fontId="13" fillId="0" borderId="27" xfId="0" applyNumberFormat="1" applyFont="1" applyBorder="1" applyAlignment="1"/>
    <xf numFmtId="38" fontId="12" fillId="5" borderId="27" xfId="0" applyNumberFormat="1" applyFont="1" applyFill="1" applyBorder="1" applyAlignment="1"/>
    <xf numFmtId="182" fontId="13" fillId="0" borderId="0" xfId="0" applyNumberFormat="1" applyFont="1" applyAlignment="1"/>
    <xf numFmtId="38" fontId="12" fillId="5" borderId="16" xfId="0" applyNumberFormat="1" applyFont="1" applyFill="1" applyBorder="1" applyAlignment="1"/>
    <xf numFmtId="38" fontId="13" fillId="0" borderId="16" xfId="0" applyNumberFormat="1" applyFont="1" applyBorder="1" applyAlignment="1"/>
    <xf numFmtId="178" fontId="15" fillId="0" borderId="17" xfId="0" applyNumberFormat="1" applyFont="1" applyBorder="1" applyAlignment="1"/>
    <xf numFmtId="178" fontId="24" fillId="0" borderId="7" xfId="0" applyNumberFormat="1" applyFont="1" applyBorder="1" applyAlignment="1"/>
    <xf numFmtId="182" fontId="12" fillId="0" borderId="28" xfId="0" applyNumberFormat="1" applyFont="1" applyBorder="1" applyAlignment="1">
      <alignment shrinkToFit="1"/>
    </xf>
    <xf numFmtId="3" fontId="1" fillId="0" borderId="0" xfId="0" applyNumberFormat="1" applyFont="1" applyAlignment="1"/>
    <xf numFmtId="38" fontId="17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V1000"/>
  <sheetViews>
    <sheetView workbookViewId="0">
      <selection activeCell="O13" sqref="O13"/>
    </sheetView>
  </sheetViews>
  <sheetFormatPr baseColWidth="10" defaultColWidth="10.28515625" defaultRowHeight="20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6.8554687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8" ht="34">
      <c r="A2" s="5">
        <v>2023</v>
      </c>
      <c r="B2" s="6">
        <v>4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8" ht="33" customHeight="1">
      <c r="A3" s="9"/>
      <c r="B3" s="10" t="s">
        <v>2</v>
      </c>
      <c r="C3" s="11"/>
      <c r="D3" s="12" t="s">
        <v>3</v>
      </c>
      <c r="E3" s="13"/>
      <c r="F3" s="13"/>
      <c r="G3" s="13"/>
      <c r="H3" s="13"/>
      <c r="I3" s="13"/>
      <c r="J3" s="13"/>
      <c r="K3" s="13"/>
      <c r="L3" s="14" t="s">
        <v>4</v>
      </c>
      <c r="M3" s="13"/>
      <c r="N3" s="13"/>
      <c r="O3" s="13"/>
      <c r="P3" s="13"/>
      <c r="Q3" s="13"/>
      <c r="R3" s="13"/>
      <c r="S3" s="13"/>
      <c r="T3" s="15" t="s">
        <v>5</v>
      </c>
      <c r="U3" s="16"/>
      <c r="V3" s="16"/>
      <c r="W3" s="16"/>
      <c r="X3" s="17"/>
      <c r="Y3" s="18" t="s">
        <v>6</v>
      </c>
      <c r="Z3" s="13"/>
      <c r="AA3" s="13"/>
      <c r="AB3" s="13"/>
      <c r="AC3" s="13"/>
      <c r="AD3" s="13"/>
      <c r="AE3" s="13"/>
      <c r="AF3" s="13"/>
      <c r="AG3" s="15" t="s">
        <v>7</v>
      </c>
      <c r="AH3" s="16"/>
      <c r="AI3" s="16"/>
      <c r="AJ3" s="16"/>
      <c r="AK3" s="17"/>
      <c r="AL3" s="19" t="s">
        <v>8</v>
      </c>
      <c r="AM3" s="16"/>
      <c r="AN3" s="16"/>
      <c r="AO3" s="16"/>
      <c r="AP3" s="16"/>
      <c r="AQ3" s="16"/>
      <c r="AR3" s="16"/>
      <c r="AS3" s="17"/>
      <c r="AT3" s="2"/>
      <c r="AU3" s="3"/>
      <c r="AV3" s="2"/>
    </row>
    <row r="4" spans="1:48" ht="53.25" customHeight="1" thickBot="1">
      <c r="A4" s="9"/>
      <c r="B4" s="20"/>
      <c r="C4" s="21" t="s">
        <v>9</v>
      </c>
      <c r="D4" s="22" t="s">
        <v>10</v>
      </c>
      <c r="E4" s="23" t="s">
        <v>11</v>
      </c>
      <c r="F4" s="22" t="s">
        <v>12</v>
      </c>
      <c r="G4" s="24" t="s">
        <v>13</v>
      </c>
      <c r="H4" s="22" t="s">
        <v>14</v>
      </c>
      <c r="I4" s="25" t="s">
        <v>15</v>
      </c>
      <c r="J4" s="23" t="s">
        <v>16</v>
      </c>
      <c r="K4" s="22" t="s">
        <v>17</v>
      </c>
      <c r="L4" s="22" t="s">
        <v>18</v>
      </c>
      <c r="M4" s="26" t="s">
        <v>11</v>
      </c>
      <c r="N4" s="22" t="s">
        <v>12</v>
      </c>
      <c r="O4" s="24" t="s">
        <v>13</v>
      </c>
      <c r="P4" s="22" t="s">
        <v>14</v>
      </c>
      <c r="Q4" s="25" t="s">
        <v>15</v>
      </c>
      <c r="R4" s="23" t="s">
        <v>16</v>
      </c>
      <c r="S4" s="27" t="s">
        <v>17</v>
      </c>
      <c r="T4" s="28" t="s">
        <v>19</v>
      </c>
      <c r="U4" s="29" t="s">
        <v>20</v>
      </c>
      <c r="V4" s="29" t="s">
        <v>21</v>
      </c>
      <c r="W4" s="30" t="s">
        <v>22</v>
      </c>
      <c r="X4" s="29"/>
      <c r="Y4" s="31" t="s">
        <v>23</v>
      </c>
      <c r="Z4" s="32" t="s">
        <v>11</v>
      </c>
      <c r="AA4" s="22" t="s">
        <v>20</v>
      </c>
      <c r="AB4" s="24" t="s">
        <v>24</v>
      </c>
      <c r="AC4" s="22" t="s">
        <v>21</v>
      </c>
      <c r="AD4" s="25" t="s">
        <v>25</v>
      </c>
      <c r="AE4" s="26" t="s">
        <v>26</v>
      </c>
      <c r="AF4" s="33" t="s">
        <v>17</v>
      </c>
      <c r="AG4" s="28" t="s">
        <v>19</v>
      </c>
      <c r="AH4" s="29" t="s">
        <v>20</v>
      </c>
      <c r="AI4" s="29" t="s">
        <v>21</v>
      </c>
      <c r="AJ4" s="30" t="s">
        <v>22</v>
      </c>
      <c r="AK4" s="29" t="s">
        <v>27</v>
      </c>
      <c r="AL4" s="34" t="s">
        <v>28</v>
      </c>
      <c r="AM4" s="34" t="s">
        <v>29</v>
      </c>
      <c r="AN4" s="34" t="s">
        <v>30</v>
      </c>
      <c r="AO4" s="34" t="s">
        <v>31</v>
      </c>
      <c r="AP4" s="34" t="s">
        <v>32</v>
      </c>
      <c r="AQ4" s="34" t="s">
        <v>33</v>
      </c>
      <c r="AR4" s="34" t="s">
        <v>34</v>
      </c>
      <c r="AS4" s="35" t="s">
        <v>35</v>
      </c>
      <c r="AT4" s="2"/>
      <c r="AU4" s="3"/>
      <c r="AV4" s="2"/>
    </row>
    <row r="5" spans="1:48" ht="22" thickTop="1">
      <c r="A5" s="36"/>
      <c r="B5" s="37">
        <f>DATE($A$2,$B$2,1)</f>
        <v>45017</v>
      </c>
      <c r="C5" s="38"/>
      <c r="D5" s="39"/>
      <c r="E5" s="40"/>
      <c r="F5" s="41"/>
      <c r="G5" s="42" t="e">
        <f t="shared" ref="G5:G35" si="0">ROUNDDOWN(F5/1.1,0)/E5</f>
        <v>#DIV/0!</v>
      </c>
      <c r="H5" s="41"/>
      <c r="I5" s="43" t="e">
        <f t="shared" ref="I5:I35" si="1">ROUNDDOWN(H5/1.1,0)/E5</f>
        <v>#DIV/0!</v>
      </c>
      <c r="J5" s="44">
        <f t="shared" ref="J5:J35" si="2">F5+H5</f>
        <v>0</v>
      </c>
      <c r="K5" s="45" t="str">
        <f t="shared" ref="K5:K35" si="3">IF(E5="","",J5/E5)</f>
        <v/>
      </c>
      <c r="L5" s="46"/>
      <c r="M5" s="47">
        <f t="shared" ref="M5:N35" si="4">AL5-E5</f>
        <v>0</v>
      </c>
      <c r="N5" s="48">
        <f t="shared" si="4"/>
        <v>0</v>
      </c>
      <c r="O5" s="42" t="e">
        <f t="shared" ref="O5:O35" si="5">ROUNDDOWN(N5/1.1,0)/M5</f>
        <v>#DIV/0!</v>
      </c>
      <c r="P5" s="48">
        <f t="shared" ref="P5:P35" si="6">AN5-H5</f>
        <v>0</v>
      </c>
      <c r="Q5" s="43" t="e">
        <f t="shared" ref="Q5:Q35" si="7">ROUNDDOWN(P5/1.1,0)/M5</f>
        <v>#DIV/0!</v>
      </c>
      <c r="R5" s="49">
        <f t="shared" ref="R5:R35" si="8">N5+P5</f>
        <v>0</v>
      </c>
      <c r="S5" s="45" t="e">
        <f t="shared" ref="S5:S35" si="9">IF(M5="","",R5/M5)</f>
        <v>#DIV/0!</v>
      </c>
      <c r="T5" s="50">
        <f t="shared" ref="T5:U35" si="10">E5+M5</f>
        <v>0</v>
      </c>
      <c r="U5" s="48">
        <f t="shared" si="10"/>
        <v>0</v>
      </c>
      <c r="V5" s="48">
        <f t="shared" ref="V5:V35" si="11">H5+P5</f>
        <v>0</v>
      </c>
      <c r="W5" s="51">
        <f t="shared" ref="W5:W35" si="12">J5+R5</f>
        <v>0</v>
      </c>
      <c r="X5" s="48"/>
      <c r="Y5" s="52"/>
      <c r="Z5" s="53"/>
      <c r="AA5" s="41"/>
      <c r="AB5" s="42" t="e">
        <f t="shared" ref="AB5:AB35" si="13">AA5/Z5</f>
        <v>#DIV/0!</v>
      </c>
      <c r="AC5" s="41"/>
      <c r="AD5" s="43" t="e">
        <f t="shared" ref="AD5:AD35" si="14">AC5/Z5</f>
        <v>#DIV/0!</v>
      </c>
      <c r="AE5" s="54">
        <f t="shared" ref="AE5:AE35" si="15">AA5+AC5</f>
        <v>0</v>
      </c>
      <c r="AF5" s="45" t="str">
        <f t="shared" ref="AF5:AF35" si="16">IF(Z5="","",AE5/Z5)</f>
        <v/>
      </c>
      <c r="AG5" s="50">
        <f t="shared" ref="AG5:AG35" si="17">SUM(E5,M5)</f>
        <v>0</v>
      </c>
      <c r="AH5" s="48">
        <f t="shared" ref="AH5:AH35" si="18">U5+AA5</f>
        <v>0</v>
      </c>
      <c r="AI5" s="48">
        <f t="shared" ref="AI5:AI35" si="19">V5+AC5</f>
        <v>0</v>
      </c>
      <c r="AJ5" s="55">
        <f t="shared" ref="AJ5:AJ35" si="20">W5+AE5</f>
        <v>0</v>
      </c>
      <c r="AK5" s="48">
        <f t="shared" ref="AK5:AK35" si="21">AO5+AP5+AQ5</f>
        <v>0</v>
      </c>
      <c r="AL5" s="56"/>
      <c r="AM5" s="56"/>
      <c r="AN5" s="56"/>
      <c r="AO5" s="57"/>
      <c r="AP5" s="57"/>
      <c r="AQ5" s="57"/>
      <c r="AR5" s="57"/>
      <c r="AS5" s="58">
        <f t="shared" ref="AS5:AS35" si="22">SUM(AM5:AQ5)</f>
        <v>0</v>
      </c>
      <c r="AT5" s="36">
        <v>1</v>
      </c>
      <c r="AU5" s="59">
        <f t="shared" ref="AU5:AU35" si="23">AR5+AS5</f>
        <v>0</v>
      </c>
      <c r="AV5" s="36"/>
    </row>
    <row r="6" spans="1:48" ht="21">
      <c r="A6" s="36"/>
      <c r="B6" s="60">
        <f t="shared" ref="B6:B34" si="24">B5+1</f>
        <v>45018</v>
      </c>
      <c r="C6" s="61"/>
      <c r="D6" s="39"/>
      <c r="E6" s="40"/>
      <c r="F6" s="41"/>
      <c r="G6" s="42" t="e">
        <f t="shared" si="0"/>
        <v>#DIV/0!</v>
      </c>
      <c r="H6" s="41"/>
      <c r="I6" s="43" t="e">
        <f t="shared" si="1"/>
        <v>#DIV/0!</v>
      </c>
      <c r="J6" s="44">
        <f t="shared" si="2"/>
        <v>0</v>
      </c>
      <c r="K6" s="45" t="str">
        <f t="shared" si="3"/>
        <v/>
      </c>
      <c r="L6" s="46"/>
      <c r="M6" s="47">
        <f t="shared" si="4"/>
        <v>0</v>
      </c>
      <c r="N6" s="48">
        <f t="shared" si="4"/>
        <v>0</v>
      </c>
      <c r="O6" s="42" t="e">
        <f t="shared" si="5"/>
        <v>#DIV/0!</v>
      </c>
      <c r="P6" s="48">
        <f t="shared" si="6"/>
        <v>0</v>
      </c>
      <c r="Q6" s="43" t="e">
        <f t="shared" si="7"/>
        <v>#DIV/0!</v>
      </c>
      <c r="R6" s="49">
        <f t="shared" si="8"/>
        <v>0</v>
      </c>
      <c r="S6" s="45" t="e">
        <f t="shared" si="9"/>
        <v>#DIV/0!</v>
      </c>
      <c r="T6" s="62">
        <f t="shared" si="10"/>
        <v>0</v>
      </c>
      <c r="U6" s="48">
        <f t="shared" si="10"/>
        <v>0</v>
      </c>
      <c r="V6" s="48">
        <f t="shared" si="11"/>
        <v>0</v>
      </c>
      <c r="W6" s="51">
        <f t="shared" si="12"/>
        <v>0</v>
      </c>
      <c r="X6" s="56"/>
      <c r="Y6" s="52"/>
      <c r="Z6" s="53"/>
      <c r="AA6" s="41"/>
      <c r="AB6" s="42" t="e">
        <f t="shared" si="13"/>
        <v>#DIV/0!</v>
      </c>
      <c r="AC6" s="41"/>
      <c r="AD6" s="43" t="e">
        <f t="shared" si="14"/>
        <v>#DIV/0!</v>
      </c>
      <c r="AE6" s="54">
        <f t="shared" si="15"/>
        <v>0</v>
      </c>
      <c r="AF6" s="45" t="str">
        <f t="shared" si="16"/>
        <v/>
      </c>
      <c r="AG6" s="62">
        <f t="shared" si="17"/>
        <v>0</v>
      </c>
      <c r="AH6" s="48">
        <f t="shared" si="18"/>
        <v>0</v>
      </c>
      <c r="AI6" s="48">
        <f t="shared" si="19"/>
        <v>0</v>
      </c>
      <c r="AJ6" s="55">
        <f t="shared" si="20"/>
        <v>0</v>
      </c>
      <c r="AK6" s="48">
        <f t="shared" si="21"/>
        <v>0</v>
      </c>
      <c r="AL6" s="56"/>
      <c r="AM6" s="56"/>
      <c r="AN6" s="56"/>
      <c r="AO6" s="57"/>
      <c r="AP6" s="57"/>
      <c r="AQ6" s="57"/>
      <c r="AR6" s="57"/>
      <c r="AS6" s="58">
        <f t="shared" si="22"/>
        <v>0</v>
      </c>
      <c r="AT6" s="36">
        <v>2</v>
      </c>
      <c r="AU6" s="59">
        <f t="shared" si="23"/>
        <v>0</v>
      </c>
      <c r="AV6" s="36"/>
    </row>
    <row r="7" spans="1:48" ht="21">
      <c r="A7" s="36"/>
      <c r="B7" s="60">
        <f t="shared" si="24"/>
        <v>45019</v>
      </c>
      <c r="C7" s="61"/>
      <c r="D7" s="39"/>
      <c r="E7" s="40"/>
      <c r="F7" s="41"/>
      <c r="G7" s="42" t="e">
        <f t="shared" si="0"/>
        <v>#DIV/0!</v>
      </c>
      <c r="H7" s="41"/>
      <c r="I7" s="43" t="e">
        <f t="shared" si="1"/>
        <v>#DIV/0!</v>
      </c>
      <c r="J7" s="44">
        <f t="shared" si="2"/>
        <v>0</v>
      </c>
      <c r="K7" s="45" t="str">
        <f t="shared" si="3"/>
        <v/>
      </c>
      <c r="L7" s="46"/>
      <c r="M7" s="47">
        <f t="shared" si="4"/>
        <v>0</v>
      </c>
      <c r="N7" s="48">
        <f t="shared" si="4"/>
        <v>0</v>
      </c>
      <c r="O7" s="42" t="e">
        <f t="shared" si="5"/>
        <v>#DIV/0!</v>
      </c>
      <c r="P7" s="48">
        <f t="shared" si="6"/>
        <v>0</v>
      </c>
      <c r="Q7" s="43" t="e">
        <f t="shared" si="7"/>
        <v>#DIV/0!</v>
      </c>
      <c r="R7" s="49">
        <f t="shared" si="8"/>
        <v>0</v>
      </c>
      <c r="S7" s="45" t="e">
        <f t="shared" si="9"/>
        <v>#DIV/0!</v>
      </c>
      <c r="T7" s="62">
        <f t="shared" si="10"/>
        <v>0</v>
      </c>
      <c r="U7" s="48">
        <f t="shared" si="10"/>
        <v>0</v>
      </c>
      <c r="V7" s="48">
        <f t="shared" si="11"/>
        <v>0</v>
      </c>
      <c r="W7" s="51">
        <f t="shared" si="12"/>
        <v>0</v>
      </c>
      <c r="X7" s="56"/>
      <c r="Y7" s="52"/>
      <c r="Z7" s="53"/>
      <c r="AA7" s="41"/>
      <c r="AB7" s="42" t="e">
        <f t="shared" si="13"/>
        <v>#DIV/0!</v>
      </c>
      <c r="AC7" s="41"/>
      <c r="AD7" s="43" t="e">
        <f t="shared" si="14"/>
        <v>#DIV/0!</v>
      </c>
      <c r="AE7" s="54">
        <f t="shared" si="15"/>
        <v>0</v>
      </c>
      <c r="AF7" s="45" t="str">
        <f t="shared" si="16"/>
        <v/>
      </c>
      <c r="AG7" s="62">
        <f t="shared" si="17"/>
        <v>0</v>
      </c>
      <c r="AH7" s="48">
        <f t="shared" si="18"/>
        <v>0</v>
      </c>
      <c r="AI7" s="48">
        <f t="shared" si="19"/>
        <v>0</v>
      </c>
      <c r="AJ7" s="55">
        <f t="shared" si="20"/>
        <v>0</v>
      </c>
      <c r="AK7" s="48">
        <f t="shared" si="21"/>
        <v>0</v>
      </c>
      <c r="AL7" s="56"/>
      <c r="AM7" s="56"/>
      <c r="AN7" s="56"/>
      <c r="AO7" s="57"/>
      <c r="AP7" s="57"/>
      <c r="AQ7" s="57"/>
      <c r="AR7" s="57"/>
      <c r="AS7" s="58">
        <f t="shared" si="22"/>
        <v>0</v>
      </c>
      <c r="AT7" s="36">
        <v>3</v>
      </c>
      <c r="AU7" s="59">
        <f t="shared" si="23"/>
        <v>0</v>
      </c>
      <c r="AV7" s="36"/>
    </row>
    <row r="8" spans="1:48" ht="21">
      <c r="A8" s="36"/>
      <c r="B8" s="63">
        <f t="shared" si="24"/>
        <v>45020</v>
      </c>
      <c r="C8" s="61"/>
      <c r="D8" s="39"/>
      <c r="E8" s="40"/>
      <c r="F8" s="41"/>
      <c r="G8" s="42" t="e">
        <f t="shared" si="0"/>
        <v>#DIV/0!</v>
      </c>
      <c r="H8" s="41"/>
      <c r="I8" s="43" t="e">
        <f t="shared" si="1"/>
        <v>#DIV/0!</v>
      </c>
      <c r="J8" s="44">
        <f t="shared" si="2"/>
        <v>0</v>
      </c>
      <c r="K8" s="45" t="str">
        <f t="shared" si="3"/>
        <v/>
      </c>
      <c r="L8" s="46"/>
      <c r="M8" s="47">
        <f t="shared" si="4"/>
        <v>0</v>
      </c>
      <c r="N8" s="48">
        <f t="shared" si="4"/>
        <v>0</v>
      </c>
      <c r="O8" s="42" t="e">
        <f t="shared" si="5"/>
        <v>#DIV/0!</v>
      </c>
      <c r="P8" s="48">
        <f t="shared" si="6"/>
        <v>0</v>
      </c>
      <c r="Q8" s="43" t="e">
        <f t="shared" si="7"/>
        <v>#DIV/0!</v>
      </c>
      <c r="R8" s="49">
        <f t="shared" si="8"/>
        <v>0</v>
      </c>
      <c r="S8" s="45" t="e">
        <f t="shared" si="9"/>
        <v>#DIV/0!</v>
      </c>
      <c r="T8" s="62">
        <f t="shared" si="10"/>
        <v>0</v>
      </c>
      <c r="U8" s="48">
        <f t="shared" si="10"/>
        <v>0</v>
      </c>
      <c r="V8" s="48">
        <f t="shared" si="11"/>
        <v>0</v>
      </c>
      <c r="W8" s="51">
        <f t="shared" si="12"/>
        <v>0</v>
      </c>
      <c r="X8" s="56"/>
      <c r="Y8" s="52"/>
      <c r="Z8" s="53"/>
      <c r="AA8" s="41"/>
      <c r="AB8" s="42" t="e">
        <f t="shared" si="13"/>
        <v>#DIV/0!</v>
      </c>
      <c r="AC8" s="41"/>
      <c r="AD8" s="43" t="e">
        <f t="shared" si="14"/>
        <v>#DIV/0!</v>
      </c>
      <c r="AE8" s="54">
        <f t="shared" si="15"/>
        <v>0</v>
      </c>
      <c r="AF8" s="45" t="str">
        <f t="shared" si="16"/>
        <v/>
      </c>
      <c r="AG8" s="62">
        <f t="shared" si="17"/>
        <v>0</v>
      </c>
      <c r="AH8" s="48">
        <f t="shared" si="18"/>
        <v>0</v>
      </c>
      <c r="AI8" s="48">
        <f t="shared" si="19"/>
        <v>0</v>
      </c>
      <c r="AJ8" s="64">
        <f t="shared" si="20"/>
        <v>0</v>
      </c>
      <c r="AK8" s="48">
        <f t="shared" si="21"/>
        <v>0</v>
      </c>
      <c r="AL8" s="56"/>
      <c r="AM8" s="56"/>
      <c r="AN8" s="56"/>
      <c r="AO8" s="57"/>
      <c r="AP8" s="57"/>
      <c r="AQ8" s="57"/>
      <c r="AR8" s="57"/>
      <c r="AS8" s="58">
        <f t="shared" si="22"/>
        <v>0</v>
      </c>
      <c r="AT8" s="36">
        <v>4</v>
      </c>
      <c r="AU8" s="59">
        <f t="shared" si="23"/>
        <v>0</v>
      </c>
      <c r="AV8" s="36"/>
    </row>
    <row r="9" spans="1:48" ht="21">
      <c r="A9" s="36"/>
      <c r="B9" s="65">
        <f t="shared" si="24"/>
        <v>45021</v>
      </c>
      <c r="C9" s="61"/>
      <c r="D9" s="39"/>
      <c r="E9" s="40"/>
      <c r="F9" s="41"/>
      <c r="G9" s="42" t="e">
        <f t="shared" si="0"/>
        <v>#DIV/0!</v>
      </c>
      <c r="H9" s="41"/>
      <c r="I9" s="43" t="e">
        <f t="shared" si="1"/>
        <v>#DIV/0!</v>
      </c>
      <c r="J9" s="44">
        <f t="shared" si="2"/>
        <v>0</v>
      </c>
      <c r="K9" s="45" t="str">
        <f t="shared" si="3"/>
        <v/>
      </c>
      <c r="L9" s="46"/>
      <c r="M9" s="47">
        <f t="shared" si="4"/>
        <v>0</v>
      </c>
      <c r="N9" s="48">
        <f t="shared" si="4"/>
        <v>0</v>
      </c>
      <c r="O9" s="42" t="e">
        <f t="shared" si="5"/>
        <v>#DIV/0!</v>
      </c>
      <c r="P9" s="48">
        <f t="shared" si="6"/>
        <v>0</v>
      </c>
      <c r="Q9" s="43" t="e">
        <f t="shared" si="7"/>
        <v>#DIV/0!</v>
      </c>
      <c r="R9" s="49">
        <f t="shared" si="8"/>
        <v>0</v>
      </c>
      <c r="S9" s="45" t="e">
        <f t="shared" si="9"/>
        <v>#DIV/0!</v>
      </c>
      <c r="T9" s="62">
        <f t="shared" si="10"/>
        <v>0</v>
      </c>
      <c r="U9" s="48">
        <f t="shared" si="10"/>
        <v>0</v>
      </c>
      <c r="V9" s="48">
        <f t="shared" si="11"/>
        <v>0</v>
      </c>
      <c r="W9" s="51">
        <f t="shared" si="12"/>
        <v>0</v>
      </c>
      <c r="X9" s="56"/>
      <c r="Y9" s="52"/>
      <c r="Z9" s="53"/>
      <c r="AA9" s="41"/>
      <c r="AB9" s="42" t="e">
        <f t="shared" si="13"/>
        <v>#DIV/0!</v>
      </c>
      <c r="AC9" s="41"/>
      <c r="AD9" s="43" t="e">
        <f t="shared" si="14"/>
        <v>#DIV/0!</v>
      </c>
      <c r="AE9" s="54">
        <f t="shared" si="15"/>
        <v>0</v>
      </c>
      <c r="AF9" s="45" t="str">
        <f t="shared" si="16"/>
        <v/>
      </c>
      <c r="AG9" s="62">
        <f t="shared" si="17"/>
        <v>0</v>
      </c>
      <c r="AH9" s="48">
        <f t="shared" si="18"/>
        <v>0</v>
      </c>
      <c r="AI9" s="48">
        <f t="shared" si="19"/>
        <v>0</v>
      </c>
      <c r="AJ9" s="55">
        <f t="shared" si="20"/>
        <v>0</v>
      </c>
      <c r="AK9" s="48">
        <f t="shared" si="21"/>
        <v>0</v>
      </c>
      <c r="AL9" s="56"/>
      <c r="AM9" s="56"/>
      <c r="AN9" s="56"/>
      <c r="AO9" s="57"/>
      <c r="AP9" s="57"/>
      <c r="AQ9" s="57"/>
      <c r="AR9" s="57"/>
      <c r="AS9" s="58">
        <f t="shared" si="22"/>
        <v>0</v>
      </c>
      <c r="AT9" s="36">
        <v>5</v>
      </c>
      <c r="AU9" s="59">
        <f t="shared" si="23"/>
        <v>0</v>
      </c>
      <c r="AV9" s="36"/>
    </row>
    <row r="10" spans="1:48" ht="21">
      <c r="A10" s="36"/>
      <c r="B10" s="60">
        <f t="shared" si="24"/>
        <v>45022</v>
      </c>
      <c r="C10" s="61"/>
      <c r="D10" s="39"/>
      <c r="E10" s="40"/>
      <c r="F10" s="41"/>
      <c r="G10" s="42" t="e">
        <f t="shared" si="0"/>
        <v>#DIV/0!</v>
      </c>
      <c r="H10" s="41"/>
      <c r="I10" s="43" t="e">
        <f t="shared" si="1"/>
        <v>#DIV/0!</v>
      </c>
      <c r="J10" s="44">
        <f t="shared" si="2"/>
        <v>0</v>
      </c>
      <c r="K10" s="45" t="str">
        <f t="shared" si="3"/>
        <v/>
      </c>
      <c r="L10" s="46"/>
      <c r="M10" s="47">
        <f t="shared" si="4"/>
        <v>0</v>
      </c>
      <c r="N10" s="48">
        <f t="shared" si="4"/>
        <v>0</v>
      </c>
      <c r="O10" s="42" t="e">
        <f t="shared" si="5"/>
        <v>#DIV/0!</v>
      </c>
      <c r="P10" s="48">
        <f t="shared" si="6"/>
        <v>0</v>
      </c>
      <c r="Q10" s="43" t="e">
        <f t="shared" si="7"/>
        <v>#DIV/0!</v>
      </c>
      <c r="R10" s="49">
        <f t="shared" si="8"/>
        <v>0</v>
      </c>
      <c r="S10" s="45" t="e">
        <f t="shared" si="9"/>
        <v>#DIV/0!</v>
      </c>
      <c r="T10" s="62">
        <f t="shared" si="10"/>
        <v>0</v>
      </c>
      <c r="U10" s="48">
        <f t="shared" si="10"/>
        <v>0</v>
      </c>
      <c r="V10" s="48">
        <f t="shared" si="11"/>
        <v>0</v>
      </c>
      <c r="W10" s="51">
        <f t="shared" si="12"/>
        <v>0</v>
      </c>
      <c r="X10" s="56"/>
      <c r="Y10" s="52"/>
      <c r="Z10" s="53"/>
      <c r="AA10" s="41"/>
      <c r="AB10" s="42" t="e">
        <f t="shared" si="13"/>
        <v>#DIV/0!</v>
      </c>
      <c r="AC10" s="41"/>
      <c r="AD10" s="43" t="e">
        <f t="shared" si="14"/>
        <v>#DIV/0!</v>
      </c>
      <c r="AE10" s="54">
        <f t="shared" si="15"/>
        <v>0</v>
      </c>
      <c r="AF10" s="45" t="str">
        <f t="shared" si="16"/>
        <v/>
      </c>
      <c r="AG10" s="62">
        <f t="shared" si="17"/>
        <v>0</v>
      </c>
      <c r="AH10" s="48">
        <f t="shared" si="18"/>
        <v>0</v>
      </c>
      <c r="AI10" s="48">
        <f t="shared" si="19"/>
        <v>0</v>
      </c>
      <c r="AJ10" s="55">
        <f t="shared" si="20"/>
        <v>0</v>
      </c>
      <c r="AK10" s="48">
        <f t="shared" si="21"/>
        <v>0</v>
      </c>
      <c r="AL10" s="56"/>
      <c r="AM10" s="56"/>
      <c r="AN10" s="56"/>
      <c r="AO10" s="57"/>
      <c r="AP10" s="57"/>
      <c r="AQ10" s="57"/>
      <c r="AR10" s="57"/>
      <c r="AS10" s="58">
        <f t="shared" si="22"/>
        <v>0</v>
      </c>
      <c r="AT10" s="36">
        <v>6</v>
      </c>
      <c r="AU10" s="59">
        <f t="shared" si="23"/>
        <v>0</v>
      </c>
      <c r="AV10" s="36"/>
    </row>
    <row r="11" spans="1:48" ht="21">
      <c r="A11" s="36"/>
      <c r="B11" s="60">
        <f t="shared" si="24"/>
        <v>45023</v>
      </c>
      <c r="C11" s="61"/>
      <c r="D11" s="39"/>
      <c r="E11" s="40"/>
      <c r="F11" s="41"/>
      <c r="G11" s="42" t="e">
        <f t="shared" si="0"/>
        <v>#DIV/0!</v>
      </c>
      <c r="H11" s="41"/>
      <c r="I11" s="43" t="e">
        <f t="shared" si="1"/>
        <v>#DIV/0!</v>
      </c>
      <c r="J11" s="44">
        <f t="shared" si="2"/>
        <v>0</v>
      </c>
      <c r="K11" s="45" t="str">
        <f t="shared" si="3"/>
        <v/>
      </c>
      <c r="L11" s="46"/>
      <c r="M11" s="47">
        <f t="shared" si="4"/>
        <v>0</v>
      </c>
      <c r="N11" s="48">
        <f t="shared" si="4"/>
        <v>0</v>
      </c>
      <c r="O11" s="42" t="e">
        <f t="shared" si="5"/>
        <v>#DIV/0!</v>
      </c>
      <c r="P11" s="48">
        <f t="shared" si="6"/>
        <v>0</v>
      </c>
      <c r="Q11" s="43" t="e">
        <f t="shared" si="7"/>
        <v>#DIV/0!</v>
      </c>
      <c r="R11" s="49">
        <f t="shared" si="8"/>
        <v>0</v>
      </c>
      <c r="S11" s="45" t="e">
        <f t="shared" si="9"/>
        <v>#DIV/0!</v>
      </c>
      <c r="T11" s="62">
        <f t="shared" si="10"/>
        <v>0</v>
      </c>
      <c r="U11" s="48">
        <f t="shared" si="10"/>
        <v>0</v>
      </c>
      <c r="V11" s="48">
        <f t="shared" si="11"/>
        <v>0</v>
      </c>
      <c r="W11" s="51">
        <f t="shared" si="12"/>
        <v>0</v>
      </c>
      <c r="X11" s="56"/>
      <c r="Y11" s="52"/>
      <c r="Z11" s="53"/>
      <c r="AA11" s="41"/>
      <c r="AB11" s="42" t="e">
        <f t="shared" si="13"/>
        <v>#DIV/0!</v>
      </c>
      <c r="AC11" s="41"/>
      <c r="AD11" s="43" t="e">
        <f t="shared" si="14"/>
        <v>#DIV/0!</v>
      </c>
      <c r="AE11" s="54">
        <f t="shared" si="15"/>
        <v>0</v>
      </c>
      <c r="AF11" s="45" t="str">
        <f t="shared" si="16"/>
        <v/>
      </c>
      <c r="AG11" s="62">
        <f t="shared" si="17"/>
        <v>0</v>
      </c>
      <c r="AH11" s="48">
        <f t="shared" si="18"/>
        <v>0</v>
      </c>
      <c r="AI11" s="48">
        <f t="shared" si="19"/>
        <v>0</v>
      </c>
      <c r="AJ11" s="55">
        <f t="shared" si="20"/>
        <v>0</v>
      </c>
      <c r="AK11" s="48">
        <f t="shared" si="21"/>
        <v>0</v>
      </c>
      <c r="AL11" s="56"/>
      <c r="AM11" s="56"/>
      <c r="AN11" s="56"/>
      <c r="AO11" s="57"/>
      <c r="AP11" s="57"/>
      <c r="AQ11" s="57"/>
      <c r="AR11" s="57"/>
      <c r="AS11" s="58">
        <f t="shared" si="22"/>
        <v>0</v>
      </c>
      <c r="AT11" s="36">
        <v>7</v>
      </c>
      <c r="AU11" s="59">
        <f t="shared" si="23"/>
        <v>0</v>
      </c>
      <c r="AV11" s="36"/>
    </row>
    <row r="12" spans="1:48" ht="21">
      <c r="A12" s="36"/>
      <c r="B12" s="60">
        <f t="shared" si="24"/>
        <v>45024</v>
      </c>
      <c r="C12" s="66"/>
      <c r="D12" s="39"/>
      <c r="E12" s="40"/>
      <c r="F12" s="41"/>
      <c r="G12" s="42" t="e">
        <f t="shared" si="0"/>
        <v>#DIV/0!</v>
      </c>
      <c r="H12" s="41"/>
      <c r="I12" s="43" t="e">
        <f t="shared" si="1"/>
        <v>#DIV/0!</v>
      </c>
      <c r="J12" s="44">
        <f t="shared" si="2"/>
        <v>0</v>
      </c>
      <c r="K12" s="45" t="str">
        <f t="shared" si="3"/>
        <v/>
      </c>
      <c r="L12" s="46"/>
      <c r="M12" s="47">
        <f t="shared" si="4"/>
        <v>0</v>
      </c>
      <c r="N12" s="48">
        <f t="shared" si="4"/>
        <v>0</v>
      </c>
      <c r="O12" s="42" t="e">
        <f t="shared" si="5"/>
        <v>#DIV/0!</v>
      </c>
      <c r="P12" s="48">
        <f t="shared" si="6"/>
        <v>0</v>
      </c>
      <c r="Q12" s="67" t="e">
        <f t="shared" si="7"/>
        <v>#DIV/0!</v>
      </c>
      <c r="R12" s="49">
        <f t="shared" si="8"/>
        <v>0</v>
      </c>
      <c r="S12" s="45" t="e">
        <f t="shared" si="9"/>
        <v>#DIV/0!</v>
      </c>
      <c r="T12" s="62">
        <f t="shared" si="10"/>
        <v>0</v>
      </c>
      <c r="U12" s="48">
        <f t="shared" si="10"/>
        <v>0</v>
      </c>
      <c r="V12" s="48">
        <f t="shared" si="11"/>
        <v>0</v>
      </c>
      <c r="W12" s="51">
        <f t="shared" si="12"/>
        <v>0</v>
      </c>
      <c r="X12" s="56"/>
      <c r="Y12" s="52"/>
      <c r="Z12" s="53"/>
      <c r="AA12" s="41"/>
      <c r="AB12" s="42" t="e">
        <f t="shared" si="13"/>
        <v>#DIV/0!</v>
      </c>
      <c r="AC12" s="41"/>
      <c r="AD12" s="43" t="e">
        <f t="shared" si="14"/>
        <v>#DIV/0!</v>
      </c>
      <c r="AE12" s="54">
        <f t="shared" si="15"/>
        <v>0</v>
      </c>
      <c r="AF12" s="45" t="str">
        <f t="shared" si="16"/>
        <v/>
      </c>
      <c r="AG12" s="62">
        <f t="shared" si="17"/>
        <v>0</v>
      </c>
      <c r="AH12" s="48">
        <f t="shared" si="18"/>
        <v>0</v>
      </c>
      <c r="AI12" s="48">
        <f t="shared" si="19"/>
        <v>0</v>
      </c>
      <c r="AJ12" s="55">
        <f t="shared" si="20"/>
        <v>0</v>
      </c>
      <c r="AK12" s="48">
        <f t="shared" si="21"/>
        <v>0</v>
      </c>
      <c r="AL12" s="56"/>
      <c r="AM12" s="56"/>
      <c r="AN12" s="56"/>
      <c r="AO12" s="57"/>
      <c r="AP12" s="57"/>
      <c r="AQ12" s="57"/>
      <c r="AR12" s="57"/>
      <c r="AS12" s="58">
        <f t="shared" si="22"/>
        <v>0</v>
      </c>
      <c r="AT12" s="36">
        <v>8</v>
      </c>
      <c r="AU12" s="59">
        <f t="shared" si="23"/>
        <v>0</v>
      </c>
      <c r="AV12" s="36" t="s">
        <v>36</v>
      </c>
    </row>
    <row r="13" spans="1:48" ht="21">
      <c r="A13" s="36"/>
      <c r="B13" s="60">
        <f t="shared" si="24"/>
        <v>45025</v>
      </c>
      <c r="C13" s="61"/>
      <c r="D13" s="39"/>
      <c r="E13" s="40"/>
      <c r="F13" s="41"/>
      <c r="G13" s="42" t="e">
        <f t="shared" si="0"/>
        <v>#DIV/0!</v>
      </c>
      <c r="H13" s="41"/>
      <c r="I13" s="43" t="e">
        <f t="shared" si="1"/>
        <v>#DIV/0!</v>
      </c>
      <c r="J13" s="44">
        <f t="shared" si="2"/>
        <v>0</v>
      </c>
      <c r="K13" s="45" t="str">
        <f t="shared" si="3"/>
        <v/>
      </c>
      <c r="L13" s="46"/>
      <c r="M13" s="47">
        <f t="shared" si="4"/>
        <v>0</v>
      </c>
      <c r="N13" s="48">
        <f t="shared" si="4"/>
        <v>0</v>
      </c>
      <c r="O13" s="42" t="e">
        <f t="shared" si="5"/>
        <v>#DIV/0!</v>
      </c>
      <c r="P13" s="48">
        <f t="shared" si="6"/>
        <v>0</v>
      </c>
      <c r="Q13" s="43" t="e">
        <f t="shared" si="7"/>
        <v>#DIV/0!</v>
      </c>
      <c r="R13" s="49">
        <f t="shared" si="8"/>
        <v>0</v>
      </c>
      <c r="S13" s="45" t="e">
        <f t="shared" si="9"/>
        <v>#DIV/0!</v>
      </c>
      <c r="T13" s="62">
        <f t="shared" si="10"/>
        <v>0</v>
      </c>
      <c r="U13" s="48">
        <f t="shared" si="10"/>
        <v>0</v>
      </c>
      <c r="V13" s="48">
        <f t="shared" si="11"/>
        <v>0</v>
      </c>
      <c r="W13" s="51">
        <f t="shared" si="12"/>
        <v>0</v>
      </c>
      <c r="X13" s="56"/>
      <c r="Y13" s="52"/>
      <c r="Z13" s="53"/>
      <c r="AA13" s="41"/>
      <c r="AB13" s="42" t="e">
        <f t="shared" si="13"/>
        <v>#DIV/0!</v>
      </c>
      <c r="AC13" s="41"/>
      <c r="AD13" s="43" t="e">
        <f t="shared" si="14"/>
        <v>#DIV/0!</v>
      </c>
      <c r="AE13" s="54">
        <f t="shared" si="15"/>
        <v>0</v>
      </c>
      <c r="AF13" s="45" t="str">
        <f t="shared" si="16"/>
        <v/>
      </c>
      <c r="AG13" s="62">
        <f t="shared" si="17"/>
        <v>0</v>
      </c>
      <c r="AH13" s="48">
        <f t="shared" si="18"/>
        <v>0</v>
      </c>
      <c r="AI13" s="48">
        <f t="shared" si="19"/>
        <v>0</v>
      </c>
      <c r="AJ13" s="55">
        <f t="shared" si="20"/>
        <v>0</v>
      </c>
      <c r="AK13" s="48">
        <f t="shared" si="21"/>
        <v>0</v>
      </c>
      <c r="AL13" s="56"/>
      <c r="AM13" s="56"/>
      <c r="AN13" s="56"/>
      <c r="AO13" s="57"/>
      <c r="AP13" s="57"/>
      <c r="AQ13" s="57"/>
      <c r="AR13" s="57"/>
      <c r="AS13" s="58">
        <f t="shared" si="22"/>
        <v>0</v>
      </c>
      <c r="AT13" s="36">
        <v>9</v>
      </c>
      <c r="AU13" s="59">
        <f t="shared" si="23"/>
        <v>0</v>
      </c>
      <c r="AV13" s="36"/>
    </row>
    <row r="14" spans="1:48" ht="21">
      <c r="A14" s="36"/>
      <c r="B14" s="60">
        <f t="shared" si="24"/>
        <v>45026</v>
      </c>
      <c r="C14" s="61"/>
      <c r="D14" s="39"/>
      <c r="E14" s="40"/>
      <c r="F14" s="41"/>
      <c r="G14" s="42" t="e">
        <f t="shared" si="0"/>
        <v>#DIV/0!</v>
      </c>
      <c r="H14" s="41"/>
      <c r="I14" s="43" t="e">
        <f t="shared" si="1"/>
        <v>#DIV/0!</v>
      </c>
      <c r="J14" s="44">
        <f t="shared" si="2"/>
        <v>0</v>
      </c>
      <c r="K14" s="45" t="str">
        <f t="shared" si="3"/>
        <v/>
      </c>
      <c r="L14" s="46"/>
      <c r="M14" s="47">
        <f t="shared" si="4"/>
        <v>0</v>
      </c>
      <c r="N14" s="48">
        <f t="shared" si="4"/>
        <v>0</v>
      </c>
      <c r="O14" s="42" t="e">
        <f t="shared" si="5"/>
        <v>#DIV/0!</v>
      </c>
      <c r="P14" s="48">
        <f t="shared" si="6"/>
        <v>0</v>
      </c>
      <c r="Q14" s="43" t="e">
        <f t="shared" si="7"/>
        <v>#DIV/0!</v>
      </c>
      <c r="R14" s="49">
        <f t="shared" si="8"/>
        <v>0</v>
      </c>
      <c r="S14" s="45" t="e">
        <f t="shared" si="9"/>
        <v>#DIV/0!</v>
      </c>
      <c r="T14" s="62">
        <f t="shared" si="10"/>
        <v>0</v>
      </c>
      <c r="U14" s="48">
        <f t="shared" si="10"/>
        <v>0</v>
      </c>
      <c r="V14" s="48">
        <f t="shared" si="11"/>
        <v>0</v>
      </c>
      <c r="W14" s="51">
        <f t="shared" si="12"/>
        <v>0</v>
      </c>
      <c r="X14" s="56"/>
      <c r="Y14" s="52"/>
      <c r="Z14" s="53"/>
      <c r="AA14" s="41"/>
      <c r="AB14" s="42" t="e">
        <f t="shared" si="13"/>
        <v>#DIV/0!</v>
      </c>
      <c r="AC14" s="41"/>
      <c r="AD14" s="43" t="e">
        <f t="shared" si="14"/>
        <v>#DIV/0!</v>
      </c>
      <c r="AE14" s="54">
        <f t="shared" si="15"/>
        <v>0</v>
      </c>
      <c r="AF14" s="45" t="str">
        <f t="shared" si="16"/>
        <v/>
      </c>
      <c r="AG14" s="62">
        <f t="shared" si="17"/>
        <v>0</v>
      </c>
      <c r="AH14" s="48">
        <f t="shared" si="18"/>
        <v>0</v>
      </c>
      <c r="AI14" s="48">
        <f t="shared" si="19"/>
        <v>0</v>
      </c>
      <c r="AJ14" s="64">
        <f t="shared" si="20"/>
        <v>0</v>
      </c>
      <c r="AK14" s="48">
        <f t="shared" si="21"/>
        <v>0</v>
      </c>
      <c r="AL14" s="56"/>
      <c r="AM14" s="56"/>
      <c r="AN14" s="56"/>
      <c r="AO14" s="57"/>
      <c r="AP14" s="57"/>
      <c r="AQ14" s="57"/>
      <c r="AR14" s="57"/>
      <c r="AS14" s="58">
        <f t="shared" si="22"/>
        <v>0</v>
      </c>
      <c r="AT14" s="36">
        <v>10</v>
      </c>
      <c r="AU14" s="59">
        <f t="shared" si="23"/>
        <v>0</v>
      </c>
      <c r="AV14" s="36"/>
    </row>
    <row r="15" spans="1:48" ht="21">
      <c r="A15" s="36"/>
      <c r="B15" s="63">
        <f t="shared" si="24"/>
        <v>45027</v>
      </c>
      <c r="C15" s="66"/>
      <c r="D15" s="39"/>
      <c r="E15" s="40"/>
      <c r="F15" s="41"/>
      <c r="G15" s="42" t="e">
        <f t="shared" si="0"/>
        <v>#DIV/0!</v>
      </c>
      <c r="H15" s="41"/>
      <c r="I15" s="43" t="e">
        <f t="shared" si="1"/>
        <v>#DIV/0!</v>
      </c>
      <c r="J15" s="44">
        <f t="shared" si="2"/>
        <v>0</v>
      </c>
      <c r="K15" s="45" t="str">
        <f t="shared" si="3"/>
        <v/>
      </c>
      <c r="L15" s="46"/>
      <c r="M15" s="47">
        <f t="shared" si="4"/>
        <v>0</v>
      </c>
      <c r="N15" s="48">
        <f t="shared" si="4"/>
        <v>0</v>
      </c>
      <c r="O15" s="42" t="e">
        <f t="shared" si="5"/>
        <v>#DIV/0!</v>
      </c>
      <c r="P15" s="48">
        <f t="shared" si="6"/>
        <v>0</v>
      </c>
      <c r="Q15" s="43" t="e">
        <f t="shared" si="7"/>
        <v>#DIV/0!</v>
      </c>
      <c r="R15" s="49">
        <f t="shared" si="8"/>
        <v>0</v>
      </c>
      <c r="S15" s="45" t="e">
        <f t="shared" si="9"/>
        <v>#DIV/0!</v>
      </c>
      <c r="T15" s="62">
        <f t="shared" si="10"/>
        <v>0</v>
      </c>
      <c r="U15" s="48">
        <f t="shared" si="10"/>
        <v>0</v>
      </c>
      <c r="V15" s="48">
        <f t="shared" si="11"/>
        <v>0</v>
      </c>
      <c r="W15" s="51">
        <f t="shared" si="12"/>
        <v>0</v>
      </c>
      <c r="X15" s="56"/>
      <c r="Y15" s="52"/>
      <c r="Z15" s="53"/>
      <c r="AA15" s="41"/>
      <c r="AB15" s="42" t="e">
        <f t="shared" si="13"/>
        <v>#DIV/0!</v>
      </c>
      <c r="AC15" s="41"/>
      <c r="AD15" s="43" t="e">
        <f t="shared" si="14"/>
        <v>#DIV/0!</v>
      </c>
      <c r="AE15" s="54">
        <f t="shared" si="15"/>
        <v>0</v>
      </c>
      <c r="AF15" s="45" t="str">
        <f t="shared" si="16"/>
        <v/>
      </c>
      <c r="AG15" s="62">
        <f t="shared" si="17"/>
        <v>0</v>
      </c>
      <c r="AH15" s="48">
        <f t="shared" si="18"/>
        <v>0</v>
      </c>
      <c r="AI15" s="48">
        <f t="shared" si="19"/>
        <v>0</v>
      </c>
      <c r="AJ15" s="55">
        <f t="shared" si="20"/>
        <v>0</v>
      </c>
      <c r="AK15" s="48">
        <f t="shared" si="21"/>
        <v>0</v>
      </c>
      <c r="AL15" s="56"/>
      <c r="AM15" s="56"/>
      <c r="AN15" s="56"/>
      <c r="AO15" s="57"/>
      <c r="AP15" s="57"/>
      <c r="AQ15" s="57"/>
      <c r="AR15" s="57"/>
      <c r="AS15" s="58">
        <f t="shared" si="22"/>
        <v>0</v>
      </c>
      <c r="AT15" s="36">
        <v>11</v>
      </c>
      <c r="AU15" s="59">
        <f t="shared" si="23"/>
        <v>0</v>
      </c>
      <c r="AV15" s="36"/>
    </row>
    <row r="16" spans="1:48" ht="21">
      <c r="A16" s="36"/>
      <c r="B16" s="65">
        <f t="shared" si="24"/>
        <v>45028</v>
      </c>
      <c r="C16" s="61"/>
      <c r="D16" s="39"/>
      <c r="E16" s="40"/>
      <c r="F16" s="41"/>
      <c r="G16" s="42" t="e">
        <f t="shared" si="0"/>
        <v>#DIV/0!</v>
      </c>
      <c r="H16" s="41"/>
      <c r="I16" s="43" t="e">
        <f t="shared" si="1"/>
        <v>#DIV/0!</v>
      </c>
      <c r="J16" s="44">
        <f t="shared" si="2"/>
        <v>0</v>
      </c>
      <c r="K16" s="45" t="str">
        <f t="shared" si="3"/>
        <v/>
      </c>
      <c r="L16" s="46"/>
      <c r="M16" s="47">
        <f t="shared" si="4"/>
        <v>0</v>
      </c>
      <c r="N16" s="48">
        <f t="shared" si="4"/>
        <v>0</v>
      </c>
      <c r="O16" s="42" t="e">
        <f t="shared" si="5"/>
        <v>#DIV/0!</v>
      </c>
      <c r="P16" s="48">
        <f t="shared" si="6"/>
        <v>0</v>
      </c>
      <c r="Q16" s="43" t="e">
        <f t="shared" si="7"/>
        <v>#DIV/0!</v>
      </c>
      <c r="R16" s="49">
        <f t="shared" si="8"/>
        <v>0</v>
      </c>
      <c r="S16" s="45" t="e">
        <f t="shared" si="9"/>
        <v>#DIV/0!</v>
      </c>
      <c r="T16" s="62">
        <f t="shared" si="10"/>
        <v>0</v>
      </c>
      <c r="U16" s="48">
        <f t="shared" si="10"/>
        <v>0</v>
      </c>
      <c r="V16" s="48">
        <f t="shared" si="11"/>
        <v>0</v>
      </c>
      <c r="W16" s="51">
        <f t="shared" si="12"/>
        <v>0</v>
      </c>
      <c r="X16" s="56"/>
      <c r="Y16" s="52"/>
      <c r="Z16" s="53"/>
      <c r="AA16" s="41"/>
      <c r="AB16" s="42" t="e">
        <f t="shared" si="13"/>
        <v>#DIV/0!</v>
      </c>
      <c r="AC16" s="41"/>
      <c r="AD16" s="43" t="e">
        <f t="shared" si="14"/>
        <v>#DIV/0!</v>
      </c>
      <c r="AE16" s="54">
        <f t="shared" si="15"/>
        <v>0</v>
      </c>
      <c r="AF16" s="45" t="str">
        <f t="shared" si="16"/>
        <v/>
      </c>
      <c r="AG16" s="62">
        <f t="shared" si="17"/>
        <v>0</v>
      </c>
      <c r="AH16" s="48">
        <f t="shared" si="18"/>
        <v>0</v>
      </c>
      <c r="AI16" s="48">
        <f t="shared" si="19"/>
        <v>0</v>
      </c>
      <c r="AJ16" s="55">
        <f t="shared" si="20"/>
        <v>0</v>
      </c>
      <c r="AK16" s="48">
        <f t="shared" si="21"/>
        <v>0</v>
      </c>
      <c r="AL16" s="56"/>
      <c r="AM16" s="56"/>
      <c r="AN16" s="56"/>
      <c r="AO16" s="57"/>
      <c r="AP16" s="57"/>
      <c r="AQ16" s="57"/>
      <c r="AR16" s="57"/>
      <c r="AS16" s="58">
        <f t="shared" si="22"/>
        <v>0</v>
      </c>
      <c r="AT16" s="36">
        <v>12</v>
      </c>
      <c r="AU16" s="59">
        <f t="shared" si="23"/>
        <v>0</v>
      </c>
      <c r="AV16" s="36"/>
    </row>
    <row r="17" spans="1:48" ht="21">
      <c r="A17" s="36"/>
      <c r="B17" s="60">
        <f t="shared" si="24"/>
        <v>45029</v>
      </c>
      <c r="C17" s="66"/>
      <c r="D17" s="39"/>
      <c r="E17" s="40"/>
      <c r="F17" s="41"/>
      <c r="G17" s="42" t="e">
        <f t="shared" si="0"/>
        <v>#DIV/0!</v>
      </c>
      <c r="H17" s="41"/>
      <c r="I17" s="43" t="e">
        <f t="shared" si="1"/>
        <v>#DIV/0!</v>
      </c>
      <c r="J17" s="44">
        <f t="shared" si="2"/>
        <v>0</v>
      </c>
      <c r="K17" s="45" t="str">
        <f t="shared" si="3"/>
        <v/>
      </c>
      <c r="L17" s="46"/>
      <c r="M17" s="47">
        <f t="shared" si="4"/>
        <v>0</v>
      </c>
      <c r="N17" s="48">
        <f t="shared" si="4"/>
        <v>0</v>
      </c>
      <c r="O17" s="42" t="e">
        <f t="shared" si="5"/>
        <v>#DIV/0!</v>
      </c>
      <c r="P17" s="48">
        <f t="shared" si="6"/>
        <v>0</v>
      </c>
      <c r="Q17" s="43" t="e">
        <f t="shared" si="7"/>
        <v>#DIV/0!</v>
      </c>
      <c r="R17" s="49">
        <f t="shared" si="8"/>
        <v>0</v>
      </c>
      <c r="S17" s="45" t="e">
        <f t="shared" si="9"/>
        <v>#DIV/0!</v>
      </c>
      <c r="T17" s="62">
        <f t="shared" si="10"/>
        <v>0</v>
      </c>
      <c r="U17" s="48">
        <f t="shared" si="10"/>
        <v>0</v>
      </c>
      <c r="V17" s="48">
        <f t="shared" si="11"/>
        <v>0</v>
      </c>
      <c r="W17" s="51">
        <f t="shared" si="12"/>
        <v>0</v>
      </c>
      <c r="X17" s="56"/>
      <c r="Y17" s="52"/>
      <c r="Z17" s="53"/>
      <c r="AA17" s="41"/>
      <c r="AB17" s="42" t="e">
        <f t="shared" si="13"/>
        <v>#DIV/0!</v>
      </c>
      <c r="AC17" s="41"/>
      <c r="AD17" s="43" t="e">
        <f t="shared" si="14"/>
        <v>#DIV/0!</v>
      </c>
      <c r="AE17" s="54">
        <f t="shared" si="15"/>
        <v>0</v>
      </c>
      <c r="AF17" s="45" t="str">
        <f t="shared" si="16"/>
        <v/>
      </c>
      <c r="AG17" s="62">
        <f t="shared" si="17"/>
        <v>0</v>
      </c>
      <c r="AH17" s="48">
        <f t="shared" si="18"/>
        <v>0</v>
      </c>
      <c r="AI17" s="48">
        <f t="shared" si="19"/>
        <v>0</v>
      </c>
      <c r="AJ17" s="55">
        <f t="shared" si="20"/>
        <v>0</v>
      </c>
      <c r="AK17" s="48">
        <f t="shared" si="21"/>
        <v>0</v>
      </c>
      <c r="AL17" s="56"/>
      <c r="AM17" s="56"/>
      <c r="AN17" s="56"/>
      <c r="AO17" s="57"/>
      <c r="AP17" s="57"/>
      <c r="AQ17" s="57"/>
      <c r="AR17" s="57"/>
      <c r="AS17" s="58">
        <f t="shared" si="22"/>
        <v>0</v>
      </c>
      <c r="AT17" s="36">
        <v>13</v>
      </c>
      <c r="AU17" s="59">
        <f t="shared" si="23"/>
        <v>0</v>
      </c>
      <c r="AV17" s="36"/>
    </row>
    <row r="18" spans="1:48" ht="21">
      <c r="A18" s="36"/>
      <c r="B18" s="60">
        <f t="shared" si="24"/>
        <v>45030</v>
      </c>
      <c r="C18" s="61"/>
      <c r="D18" s="39"/>
      <c r="E18" s="40"/>
      <c r="F18" s="41"/>
      <c r="G18" s="42" t="e">
        <f t="shared" si="0"/>
        <v>#DIV/0!</v>
      </c>
      <c r="H18" s="41"/>
      <c r="I18" s="43" t="e">
        <f t="shared" si="1"/>
        <v>#DIV/0!</v>
      </c>
      <c r="J18" s="44">
        <f t="shared" si="2"/>
        <v>0</v>
      </c>
      <c r="K18" s="45" t="str">
        <f t="shared" si="3"/>
        <v/>
      </c>
      <c r="L18" s="46"/>
      <c r="M18" s="47">
        <f t="shared" si="4"/>
        <v>0</v>
      </c>
      <c r="N18" s="48">
        <f t="shared" si="4"/>
        <v>0</v>
      </c>
      <c r="O18" s="42" t="e">
        <f t="shared" si="5"/>
        <v>#DIV/0!</v>
      </c>
      <c r="P18" s="48">
        <f t="shared" si="6"/>
        <v>0</v>
      </c>
      <c r="Q18" s="43" t="e">
        <f t="shared" si="7"/>
        <v>#DIV/0!</v>
      </c>
      <c r="R18" s="49">
        <f t="shared" si="8"/>
        <v>0</v>
      </c>
      <c r="S18" s="45" t="e">
        <f t="shared" si="9"/>
        <v>#DIV/0!</v>
      </c>
      <c r="T18" s="62">
        <f t="shared" si="10"/>
        <v>0</v>
      </c>
      <c r="U18" s="48">
        <f t="shared" si="10"/>
        <v>0</v>
      </c>
      <c r="V18" s="48">
        <f t="shared" si="11"/>
        <v>0</v>
      </c>
      <c r="W18" s="51">
        <f t="shared" si="12"/>
        <v>0</v>
      </c>
      <c r="X18" s="56"/>
      <c r="Y18" s="52"/>
      <c r="Z18" s="53"/>
      <c r="AA18" s="41"/>
      <c r="AB18" s="42" t="e">
        <f t="shared" si="13"/>
        <v>#DIV/0!</v>
      </c>
      <c r="AC18" s="41"/>
      <c r="AD18" s="43" t="e">
        <f t="shared" si="14"/>
        <v>#DIV/0!</v>
      </c>
      <c r="AE18" s="54">
        <f t="shared" si="15"/>
        <v>0</v>
      </c>
      <c r="AF18" s="45" t="str">
        <f t="shared" si="16"/>
        <v/>
      </c>
      <c r="AG18" s="62">
        <f t="shared" si="17"/>
        <v>0</v>
      </c>
      <c r="AH18" s="48">
        <f t="shared" si="18"/>
        <v>0</v>
      </c>
      <c r="AI18" s="48">
        <f t="shared" si="19"/>
        <v>0</v>
      </c>
      <c r="AJ18" s="55">
        <f t="shared" si="20"/>
        <v>0</v>
      </c>
      <c r="AK18" s="48">
        <f t="shared" si="21"/>
        <v>0</v>
      </c>
      <c r="AL18" s="56"/>
      <c r="AM18" s="56"/>
      <c r="AN18" s="56"/>
      <c r="AO18" s="57"/>
      <c r="AP18" s="57"/>
      <c r="AQ18" s="57"/>
      <c r="AR18" s="57"/>
      <c r="AS18" s="58">
        <f t="shared" si="22"/>
        <v>0</v>
      </c>
      <c r="AT18" s="36">
        <v>14</v>
      </c>
      <c r="AU18" s="59">
        <f t="shared" si="23"/>
        <v>0</v>
      </c>
      <c r="AV18" s="36"/>
    </row>
    <row r="19" spans="1:48" ht="21">
      <c r="A19" s="36"/>
      <c r="B19" s="60">
        <f t="shared" si="24"/>
        <v>45031</v>
      </c>
      <c r="C19" s="61"/>
      <c r="D19" s="39"/>
      <c r="E19" s="40"/>
      <c r="F19" s="41"/>
      <c r="G19" s="42" t="e">
        <f t="shared" si="0"/>
        <v>#DIV/0!</v>
      </c>
      <c r="H19" s="41"/>
      <c r="I19" s="43" t="e">
        <f t="shared" si="1"/>
        <v>#DIV/0!</v>
      </c>
      <c r="J19" s="44">
        <f t="shared" si="2"/>
        <v>0</v>
      </c>
      <c r="K19" s="45" t="str">
        <f t="shared" si="3"/>
        <v/>
      </c>
      <c r="L19" s="46"/>
      <c r="M19" s="47">
        <f t="shared" si="4"/>
        <v>0</v>
      </c>
      <c r="N19" s="48">
        <f t="shared" si="4"/>
        <v>0</v>
      </c>
      <c r="O19" s="42" t="e">
        <f t="shared" si="5"/>
        <v>#DIV/0!</v>
      </c>
      <c r="P19" s="48">
        <f t="shared" si="6"/>
        <v>0</v>
      </c>
      <c r="Q19" s="67" t="e">
        <f t="shared" si="7"/>
        <v>#DIV/0!</v>
      </c>
      <c r="R19" s="49">
        <f t="shared" si="8"/>
        <v>0</v>
      </c>
      <c r="S19" s="45" t="e">
        <f t="shared" si="9"/>
        <v>#DIV/0!</v>
      </c>
      <c r="T19" s="62">
        <f t="shared" si="10"/>
        <v>0</v>
      </c>
      <c r="U19" s="48">
        <f t="shared" si="10"/>
        <v>0</v>
      </c>
      <c r="V19" s="48">
        <f t="shared" si="11"/>
        <v>0</v>
      </c>
      <c r="W19" s="51">
        <f t="shared" si="12"/>
        <v>0</v>
      </c>
      <c r="X19" s="56"/>
      <c r="Y19" s="52"/>
      <c r="Z19" s="53"/>
      <c r="AA19" s="41"/>
      <c r="AB19" s="42" t="e">
        <f t="shared" si="13"/>
        <v>#DIV/0!</v>
      </c>
      <c r="AC19" s="41"/>
      <c r="AD19" s="43" t="e">
        <f t="shared" si="14"/>
        <v>#DIV/0!</v>
      </c>
      <c r="AE19" s="54">
        <f t="shared" si="15"/>
        <v>0</v>
      </c>
      <c r="AF19" s="45" t="str">
        <f t="shared" si="16"/>
        <v/>
      </c>
      <c r="AG19" s="62">
        <f t="shared" si="17"/>
        <v>0</v>
      </c>
      <c r="AH19" s="48">
        <f t="shared" si="18"/>
        <v>0</v>
      </c>
      <c r="AI19" s="48">
        <f t="shared" si="19"/>
        <v>0</v>
      </c>
      <c r="AJ19" s="55">
        <f t="shared" si="20"/>
        <v>0</v>
      </c>
      <c r="AK19" s="48">
        <f t="shared" si="21"/>
        <v>0</v>
      </c>
      <c r="AL19" s="56"/>
      <c r="AM19" s="56"/>
      <c r="AN19" s="56"/>
      <c r="AO19" s="57"/>
      <c r="AP19" s="57"/>
      <c r="AQ19" s="57"/>
      <c r="AR19" s="57"/>
      <c r="AS19" s="58">
        <f t="shared" si="22"/>
        <v>0</v>
      </c>
      <c r="AT19" s="36">
        <v>15</v>
      </c>
      <c r="AU19" s="59">
        <f t="shared" si="23"/>
        <v>0</v>
      </c>
      <c r="AV19" s="36"/>
    </row>
    <row r="20" spans="1:48" ht="21">
      <c r="A20" s="36"/>
      <c r="B20" s="60">
        <f t="shared" si="24"/>
        <v>45032</v>
      </c>
      <c r="C20" s="61"/>
      <c r="D20" s="39"/>
      <c r="E20" s="40"/>
      <c r="F20" s="41"/>
      <c r="G20" s="42" t="e">
        <f t="shared" si="0"/>
        <v>#DIV/0!</v>
      </c>
      <c r="H20" s="41"/>
      <c r="I20" s="42" t="e">
        <f t="shared" si="1"/>
        <v>#DIV/0!</v>
      </c>
      <c r="J20" s="44">
        <f t="shared" si="2"/>
        <v>0</v>
      </c>
      <c r="K20" s="45" t="str">
        <f t="shared" si="3"/>
        <v/>
      </c>
      <c r="L20" s="46"/>
      <c r="M20" s="47">
        <f t="shared" si="4"/>
        <v>0</v>
      </c>
      <c r="N20" s="48">
        <f t="shared" si="4"/>
        <v>0</v>
      </c>
      <c r="O20" s="42" t="e">
        <f t="shared" si="5"/>
        <v>#DIV/0!</v>
      </c>
      <c r="P20" s="48">
        <f t="shared" si="6"/>
        <v>0</v>
      </c>
      <c r="Q20" s="67" t="e">
        <f t="shared" si="7"/>
        <v>#DIV/0!</v>
      </c>
      <c r="R20" s="49">
        <f t="shared" si="8"/>
        <v>0</v>
      </c>
      <c r="S20" s="45" t="e">
        <f t="shared" si="9"/>
        <v>#DIV/0!</v>
      </c>
      <c r="T20" s="62">
        <f t="shared" si="10"/>
        <v>0</v>
      </c>
      <c r="U20" s="48">
        <f t="shared" si="10"/>
        <v>0</v>
      </c>
      <c r="V20" s="48">
        <f t="shared" si="11"/>
        <v>0</v>
      </c>
      <c r="W20" s="51">
        <f t="shared" si="12"/>
        <v>0</v>
      </c>
      <c r="X20" s="56"/>
      <c r="Y20" s="52"/>
      <c r="Z20" s="53"/>
      <c r="AA20" s="41"/>
      <c r="AB20" s="42" t="e">
        <f t="shared" si="13"/>
        <v>#DIV/0!</v>
      </c>
      <c r="AC20" s="41"/>
      <c r="AD20" s="43" t="e">
        <f t="shared" si="14"/>
        <v>#DIV/0!</v>
      </c>
      <c r="AE20" s="54">
        <f t="shared" si="15"/>
        <v>0</v>
      </c>
      <c r="AF20" s="45" t="str">
        <f t="shared" si="16"/>
        <v/>
      </c>
      <c r="AG20" s="62">
        <f t="shared" si="17"/>
        <v>0</v>
      </c>
      <c r="AH20" s="56">
        <f t="shared" si="18"/>
        <v>0</v>
      </c>
      <c r="AI20" s="56">
        <f t="shared" si="19"/>
        <v>0</v>
      </c>
      <c r="AJ20" s="55">
        <f t="shared" si="20"/>
        <v>0</v>
      </c>
      <c r="AK20" s="48">
        <f t="shared" si="21"/>
        <v>0</v>
      </c>
      <c r="AL20" s="56"/>
      <c r="AM20" s="56"/>
      <c r="AN20" s="56"/>
      <c r="AO20" s="57"/>
      <c r="AP20" s="57"/>
      <c r="AQ20" s="57"/>
      <c r="AR20" s="57"/>
      <c r="AS20" s="58">
        <f t="shared" si="22"/>
        <v>0</v>
      </c>
      <c r="AT20" s="36">
        <v>16</v>
      </c>
      <c r="AU20" s="59">
        <f t="shared" si="23"/>
        <v>0</v>
      </c>
      <c r="AV20" s="36"/>
    </row>
    <row r="21" spans="1:48" ht="15.75" customHeight="1">
      <c r="A21" s="36"/>
      <c r="B21" s="60">
        <f t="shared" si="24"/>
        <v>45033</v>
      </c>
      <c r="C21" s="61"/>
      <c r="D21" s="39"/>
      <c r="E21" s="40"/>
      <c r="F21" s="41"/>
      <c r="G21" s="42" t="e">
        <f t="shared" si="0"/>
        <v>#DIV/0!</v>
      </c>
      <c r="H21" s="41"/>
      <c r="I21" s="42" t="e">
        <f t="shared" si="1"/>
        <v>#DIV/0!</v>
      </c>
      <c r="J21" s="44">
        <f t="shared" si="2"/>
        <v>0</v>
      </c>
      <c r="K21" s="45" t="str">
        <f t="shared" si="3"/>
        <v/>
      </c>
      <c r="L21" s="46"/>
      <c r="M21" s="47">
        <f t="shared" si="4"/>
        <v>0</v>
      </c>
      <c r="N21" s="48">
        <f t="shared" si="4"/>
        <v>0</v>
      </c>
      <c r="O21" s="42" t="e">
        <f t="shared" si="5"/>
        <v>#DIV/0!</v>
      </c>
      <c r="P21" s="48">
        <f t="shared" si="6"/>
        <v>0</v>
      </c>
      <c r="Q21" s="67" t="e">
        <f t="shared" si="7"/>
        <v>#DIV/0!</v>
      </c>
      <c r="R21" s="49">
        <f t="shared" si="8"/>
        <v>0</v>
      </c>
      <c r="S21" s="45" t="e">
        <f t="shared" si="9"/>
        <v>#DIV/0!</v>
      </c>
      <c r="T21" s="62">
        <f t="shared" si="10"/>
        <v>0</v>
      </c>
      <c r="U21" s="48">
        <f t="shared" si="10"/>
        <v>0</v>
      </c>
      <c r="V21" s="48">
        <f t="shared" si="11"/>
        <v>0</v>
      </c>
      <c r="W21" s="51">
        <f t="shared" si="12"/>
        <v>0</v>
      </c>
      <c r="X21" s="56"/>
      <c r="Y21" s="52"/>
      <c r="Z21" s="53"/>
      <c r="AA21" s="41"/>
      <c r="AB21" s="42" t="e">
        <f t="shared" si="13"/>
        <v>#DIV/0!</v>
      </c>
      <c r="AC21" s="41"/>
      <c r="AD21" s="43" t="e">
        <f t="shared" si="14"/>
        <v>#DIV/0!</v>
      </c>
      <c r="AE21" s="54">
        <f t="shared" si="15"/>
        <v>0</v>
      </c>
      <c r="AF21" s="45" t="str">
        <f t="shared" si="16"/>
        <v/>
      </c>
      <c r="AG21" s="62">
        <f t="shared" si="17"/>
        <v>0</v>
      </c>
      <c r="AH21" s="56">
        <f t="shared" si="18"/>
        <v>0</v>
      </c>
      <c r="AI21" s="56">
        <f t="shared" si="19"/>
        <v>0</v>
      </c>
      <c r="AJ21" s="55">
        <f t="shared" si="20"/>
        <v>0</v>
      </c>
      <c r="AK21" s="48">
        <f t="shared" si="21"/>
        <v>0</v>
      </c>
      <c r="AL21" s="56"/>
      <c r="AM21" s="56"/>
      <c r="AN21" s="56"/>
      <c r="AO21" s="57"/>
      <c r="AP21" s="57"/>
      <c r="AQ21" s="57"/>
      <c r="AR21" s="57"/>
      <c r="AS21" s="58">
        <f t="shared" si="22"/>
        <v>0</v>
      </c>
      <c r="AT21" s="36">
        <v>17</v>
      </c>
      <c r="AU21" s="59">
        <f t="shared" si="23"/>
        <v>0</v>
      </c>
      <c r="AV21" s="36"/>
    </row>
    <row r="22" spans="1:48" ht="15.75" customHeight="1">
      <c r="A22" s="36"/>
      <c r="B22" s="63">
        <f t="shared" si="24"/>
        <v>45034</v>
      </c>
      <c r="C22" s="61"/>
      <c r="D22" s="39"/>
      <c r="E22" s="40"/>
      <c r="F22" s="41"/>
      <c r="G22" s="42" t="e">
        <f t="shared" si="0"/>
        <v>#DIV/0!</v>
      </c>
      <c r="H22" s="41"/>
      <c r="I22" s="42" t="e">
        <f t="shared" si="1"/>
        <v>#DIV/0!</v>
      </c>
      <c r="J22" s="44">
        <f t="shared" si="2"/>
        <v>0</v>
      </c>
      <c r="K22" s="45" t="str">
        <f t="shared" si="3"/>
        <v/>
      </c>
      <c r="L22" s="46"/>
      <c r="M22" s="47">
        <f t="shared" si="4"/>
        <v>0</v>
      </c>
      <c r="N22" s="48">
        <f t="shared" si="4"/>
        <v>0</v>
      </c>
      <c r="O22" s="42" t="e">
        <f t="shared" si="5"/>
        <v>#DIV/0!</v>
      </c>
      <c r="P22" s="48">
        <f t="shared" si="6"/>
        <v>0</v>
      </c>
      <c r="Q22" s="67" t="e">
        <f t="shared" si="7"/>
        <v>#DIV/0!</v>
      </c>
      <c r="R22" s="49">
        <f t="shared" si="8"/>
        <v>0</v>
      </c>
      <c r="S22" s="45" t="e">
        <f t="shared" si="9"/>
        <v>#DIV/0!</v>
      </c>
      <c r="T22" s="62">
        <f t="shared" si="10"/>
        <v>0</v>
      </c>
      <c r="U22" s="48">
        <f t="shared" si="10"/>
        <v>0</v>
      </c>
      <c r="V22" s="48">
        <f t="shared" si="11"/>
        <v>0</v>
      </c>
      <c r="W22" s="51">
        <f t="shared" si="12"/>
        <v>0</v>
      </c>
      <c r="X22" s="56"/>
      <c r="Y22" s="52"/>
      <c r="Z22" s="53"/>
      <c r="AA22" s="41"/>
      <c r="AB22" s="42" t="e">
        <f t="shared" si="13"/>
        <v>#DIV/0!</v>
      </c>
      <c r="AC22" s="41"/>
      <c r="AD22" s="43" t="e">
        <f t="shared" si="14"/>
        <v>#DIV/0!</v>
      </c>
      <c r="AE22" s="54">
        <f t="shared" si="15"/>
        <v>0</v>
      </c>
      <c r="AF22" s="45" t="str">
        <f t="shared" si="16"/>
        <v/>
      </c>
      <c r="AG22" s="62">
        <f t="shared" si="17"/>
        <v>0</v>
      </c>
      <c r="AH22" s="56">
        <f t="shared" si="18"/>
        <v>0</v>
      </c>
      <c r="AI22" s="56">
        <f t="shared" si="19"/>
        <v>0</v>
      </c>
      <c r="AJ22" s="55">
        <f t="shared" si="20"/>
        <v>0</v>
      </c>
      <c r="AK22" s="48">
        <f t="shared" si="21"/>
        <v>0</v>
      </c>
      <c r="AL22" s="56"/>
      <c r="AM22" s="56"/>
      <c r="AN22" s="56"/>
      <c r="AO22" s="57"/>
      <c r="AP22" s="57"/>
      <c r="AQ22" s="57"/>
      <c r="AR22" s="57"/>
      <c r="AS22" s="58">
        <f t="shared" si="22"/>
        <v>0</v>
      </c>
      <c r="AT22" s="36">
        <v>18</v>
      </c>
      <c r="AU22" s="59">
        <f t="shared" si="23"/>
        <v>0</v>
      </c>
      <c r="AV22" s="36"/>
    </row>
    <row r="23" spans="1:48" ht="15.75" customHeight="1">
      <c r="A23" s="36"/>
      <c r="B23" s="65">
        <f t="shared" si="24"/>
        <v>45035</v>
      </c>
      <c r="C23" s="61"/>
      <c r="D23" s="39"/>
      <c r="E23" s="40"/>
      <c r="F23" s="41"/>
      <c r="G23" s="42" t="e">
        <f t="shared" si="0"/>
        <v>#DIV/0!</v>
      </c>
      <c r="H23" s="41"/>
      <c r="I23" s="42" t="e">
        <f t="shared" si="1"/>
        <v>#DIV/0!</v>
      </c>
      <c r="J23" s="44">
        <f t="shared" si="2"/>
        <v>0</v>
      </c>
      <c r="K23" s="45" t="str">
        <f t="shared" si="3"/>
        <v/>
      </c>
      <c r="L23" s="46"/>
      <c r="M23" s="47">
        <f t="shared" si="4"/>
        <v>0</v>
      </c>
      <c r="N23" s="48">
        <f t="shared" si="4"/>
        <v>0</v>
      </c>
      <c r="O23" s="42" t="e">
        <f t="shared" si="5"/>
        <v>#DIV/0!</v>
      </c>
      <c r="P23" s="48">
        <f t="shared" si="6"/>
        <v>0</v>
      </c>
      <c r="Q23" s="67" t="e">
        <f t="shared" si="7"/>
        <v>#DIV/0!</v>
      </c>
      <c r="R23" s="49">
        <f t="shared" si="8"/>
        <v>0</v>
      </c>
      <c r="S23" s="45" t="e">
        <f t="shared" si="9"/>
        <v>#DIV/0!</v>
      </c>
      <c r="T23" s="62">
        <f t="shared" si="10"/>
        <v>0</v>
      </c>
      <c r="U23" s="48">
        <f t="shared" si="10"/>
        <v>0</v>
      </c>
      <c r="V23" s="48">
        <f t="shared" si="11"/>
        <v>0</v>
      </c>
      <c r="W23" s="51">
        <f t="shared" si="12"/>
        <v>0</v>
      </c>
      <c r="X23" s="56"/>
      <c r="Y23" s="52"/>
      <c r="Z23" s="53"/>
      <c r="AA23" s="41"/>
      <c r="AB23" s="42" t="e">
        <f t="shared" si="13"/>
        <v>#DIV/0!</v>
      </c>
      <c r="AC23" s="41"/>
      <c r="AD23" s="43" t="e">
        <f t="shared" si="14"/>
        <v>#DIV/0!</v>
      </c>
      <c r="AE23" s="54">
        <f t="shared" si="15"/>
        <v>0</v>
      </c>
      <c r="AF23" s="45" t="str">
        <f t="shared" si="16"/>
        <v/>
      </c>
      <c r="AG23" s="62">
        <f t="shared" si="17"/>
        <v>0</v>
      </c>
      <c r="AH23" s="56">
        <f t="shared" si="18"/>
        <v>0</v>
      </c>
      <c r="AI23" s="56">
        <f t="shared" si="19"/>
        <v>0</v>
      </c>
      <c r="AJ23" s="55">
        <f t="shared" si="20"/>
        <v>0</v>
      </c>
      <c r="AK23" s="48">
        <f t="shared" si="21"/>
        <v>0</v>
      </c>
      <c r="AL23" s="56"/>
      <c r="AM23" s="56"/>
      <c r="AN23" s="56"/>
      <c r="AO23" s="57"/>
      <c r="AP23" s="57"/>
      <c r="AQ23" s="57"/>
      <c r="AR23" s="57"/>
      <c r="AS23" s="58">
        <f t="shared" si="22"/>
        <v>0</v>
      </c>
      <c r="AT23" s="36">
        <v>19</v>
      </c>
      <c r="AU23" s="59">
        <f t="shared" si="23"/>
        <v>0</v>
      </c>
      <c r="AV23" s="36"/>
    </row>
    <row r="24" spans="1:48" ht="15.75" customHeight="1">
      <c r="A24" s="36"/>
      <c r="B24" s="60">
        <f t="shared" si="24"/>
        <v>45036</v>
      </c>
      <c r="C24" s="61"/>
      <c r="D24" s="39"/>
      <c r="E24" s="40"/>
      <c r="F24" s="41"/>
      <c r="G24" s="42" t="e">
        <f t="shared" si="0"/>
        <v>#DIV/0!</v>
      </c>
      <c r="H24" s="41"/>
      <c r="I24" s="42" t="e">
        <f t="shared" si="1"/>
        <v>#DIV/0!</v>
      </c>
      <c r="J24" s="44">
        <f t="shared" si="2"/>
        <v>0</v>
      </c>
      <c r="K24" s="45" t="str">
        <f t="shared" si="3"/>
        <v/>
      </c>
      <c r="L24" s="46"/>
      <c r="M24" s="47">
        <f t="shared" si="4"/>
        <v>0</v>
      </c>
      <c r="N24" s="48">
        <f t="shared" si="4"/>
        <v>0</v>
      </c>
      <c r="O24" s="42" t="e">
        <f t="shared" si="5"/>
        <v>#DIV/0!</v>
      </c>
      <c r="P24" s="48">
        <f t="shared" si="6"/>
        <v>0</v>
      </c>
      <c r="Q24" s="67" t="e">
        <f t="shared" si="7"/>
        <v>#DIV/0!</v>
      </c>
      <c r="R24" s="49">
        <f t="shared" si="8"/>
        <v>0</v>
      </c>
      <c r="S24" s="45" t="e">
        <f t="shared" si="9"/>
        <v>#DIV/0!</v>
      </c>
      <c r="T24" s="62">
        <f t="shared" si="10"/>
        <v>0</v>
      </c>
      <c r="U24" s="48">
        <f t="shared" si="10"/>
        <v>0</v>
      </c>
      <c r="V24" s="48">
        <f t="shared" si="11"/>
        <v>0</v>
      </c>
      <c r="W24" s="51">
        <f t="shared" si="12"/>
        <v>0</v>
      </c>
      <c r="X24" s="56"/>
      <c r="Y24" s="52"/>
      <c r="Z24" s="53"/>
      <c r="AA24" s="41"/>
      <c r="AB24" s="42" t="e">
        <f t="shared" si="13"/>
        <v>#DIV/0!</v>
      </c>
      <c r="AC24" s="41"/>
      <c r="AD24" s="43" t="e">
        <f t="shared" si="14"/>
        <v>#DIV/0!</v>
      </c>
      <c r="AE24" s="54">
        <f t="shared" si="15"/>
        <v>0</v>
      </c>
      <c r="AF24" s="45" t="str">
        <f t="shared" si="16"/>
        <v/>
      </c>
      <c r="AG24" s="62">
        <f t="shared" si="17"/>
        <v>0</v>
      </c>
      <c r="AH24" s="56">
        <f t="shared" si="18"/>
        <v>0</v>
      </c>
      <c r="AI24" s="56">
        <f t="shared" si="19"/>
        <v>0</v>
      </c>
      <c r="AJ24" s="55">
        <f t="shared" si="20"/>
        <v>0</v>
      </c>
      <c r="AK24" s="48">
        <f t="shared" si="21"/>
        <v>0</v>
      </c>
      <c r="AL24" s="56"/>
      <c r="AM24" s="56"/>
      <c r="AN24" s="56"/>
      <c r="AO24" s="57"/>
      <c r="AP24" s="57"/>
      <c r="AQ24" s="57"/>
      <c r="AR24" s="57"/>
      <c r="AS24" s="58">
        <f t="shared" si="22"/>
        <v>0</v>
      </c>
      <c r="AT24" s="36">
        <v>20</v>
      </c>
      <c r="AU24" s="59">
        <f t="shared" si="23"/>
        <v>0</v>
      </c>
      <c r="AV24" s="36"/>
    </row>
    <row r="25" spans="1:48" ht="15.75" customHeight="1">
      <c r="A25" s="36"/>
      <c r="B25" s="65">
        <f t="shared" si="24"/>
        <v>45037</v>
      </c>
      <c r="C25" s="61"/>
      <c r="D25" s="39"/>
      <c r="E25" s="40"/>
      <c r="F25" s="41"/>
      <c r="G25" s="42" t="e">
        <f t="shared" si="0"/>
        <v>#DIV/0!</v>
      </c>
      <c r="H25" s="41"/>
      <c r="I25" s="42" t="e">
        <f t="shared" si="1"/>
        <v>#DIV/0!</v>
      </c>
      <c r="J25" s="44">
        <f t="shared" si="2"/>
        <v>0</v>
      </c>
      <c r="K25" s="45" t="str">
        <f t="shared" si="3"/>
        <v/>
      </c>
      <c r="L25" s="46"/>
      <c r="M25" s="47">
        <f t="shared" si="4"/>
        <v>0</v>
      </c>
      <c r="N25" s="48">
        <f t="shared" si="4"/>
        <v>0</v>
      </c>
      <c r="O25" s="42" t="e">
        <f t="shared" si="5"/>
        <v>#DIV/0!</v>
      </c>
      <c r="P25" s="48">
        <f t="shared" si="6"/>
        <v>0</v>
      </c>
      <c r="Q25" s="67" t="e">
        <f t="shared" si="7"/>
        <v>#DIV/0!</v>
      </c>
      <c r="R25" s="49">
        <f t="shared" si="8"/>
        <v>0</v>
      </c>
      <c r="S25" s="45" t="e">
        <f t="shared" si="9"/>
        <v>#DIV/0!</v>
      </c>
      <c r="T25" s="62">
        <f t="shared" si="10"/>
        <v>0</v>
      </c>
      <c r="U25" s="48">
        <f t="shared" si="10"/>
        <v>0</v>
      </c>
      <c r="V25" s="48">
        <f t="shared" si="11"/>
        <v>0</v>
      </c>
      <c r="W25" s="51">
        <f t="shared" si="12"/>
        <v>0</v>
      </c>
      <c r="X25" s="56"/>
      <c r="Y25" s="52"/>
      <c r="Z25" s="53"/>
      <c r="AA25" s="41"/>
      <c r="AB25" s="42" t="e">
        <f t="shared" si="13"/>
        <v>#DIV/0!</v>
      </c>
      <c r="AC25" s="41"/>
      <c r="AD25" s="43" t="e">
        <f t="shared" si="14"/>
        <v>#DIV/0!</v>
      </c>
      <c r="AE25" s="54">
        <f t="shared" si="15"/>
        <v>0</v>
      </c>
      <c r="AF25" s="45" t="str">
        <f t="shared" si="16"/>
        <v/>
      </c>
      <c r="AG25" s="62">
        <f t="shared" si="17"/>
        <v>0</v>
      </c>
      <c r="AH25" s="56">
        <f t="shared" si="18"/>
        <v>0</v>
      </c>
      <c r="AI25" s="56">
        <f t="shared" si="19"/>
        <v>0</v>
      </c>
      <c r="AJ25" s="55">
        <f t="shared" si="20"/>
        <v>0</v>
      </c>
      <c r="AK25" s="48">
        <f t="shared" si="21"/>
        <v>0</v>
      </c>
      <c r="AL25" s="56"/>
      <c r="AM25" s="56"/>
      <c r="AN25" s="56"/>
      <c r="AO25" s="57"/>
      <c r="AP25" s="57"/>
      <c r="AQ25" s="57"/>
      <c r="AR25" s="57"/>
      <c r="AS25" s="58">
        <f t="shared" si="22"/>
        <v>0</v>
      </c>
      <c r="AT25" s="36">
        <v>21</v>
      </c>
      <c r="AU25" s="59">
        <f t="shared" si="23"/>
        <v>0</v>
      </c>
      <c r="AV25" s="36"/>
    </row>
    <row r="26" spans="1:48" ht="15.75" customHeight="1">
      <c r="A26" s="36"/>
      <c r="B26" s="60">
        <f t="shared" si="24"/>
        <v>45038</v>
      </c>
      <c r="C26" s="61"/>
      <c r="D26" s="39"/>
      <c r="E26" s="40"/>
      <c r="F26" s="41"/>
      <c r="G26" s="42" t="e">
        <f t="shared" si="0"/>
        <v>#DIV/0!</v>
      </c>
      <c r="H26" s="41"/>
      <c r="I26" s="42" t="e">
        <f t="shared" si="1"/>
        <v>#DIV/0!</v>
      </c>
      <c r="J26" s="44">
        <f t="shared" si="2"/>
        <v>0</v>
      </c>
      <c r="K26" s="45" t="str">
        <f t="shared" si="3"/>
        <v/>
      </c>
      <c r="L26" s="46"/>
      <c r="M26" s="47">
        <f t="shared" si="4"/>
        <v>0</v>
      </c>
      <c r="N26" s="48">
        <f t="shared" si="4"/>
        <v>0</v>
      </c>
      <c r="O26" s="42" t="e">
        <f t="shared" si="5"/>
        <v>#DIV/0!</v>
      </c>
      <c r="P26" s="48">
        <f t="shared" si="6"/>
        <v>0</v>
      </c>
      <c r="Q26" s="67" t="e">
        <f t="shared" si="7"/>
        <v>#DIV/0!</v>
      </c>
      <c r="R26" s="49">
        <f t="shared" si="8"/>
        <v>0</v>
      </c>
      <c r="S26" s="45" t="e">
        <f t="shared" si="9"/>
        <v>#DIV/0!</v>
      </c>
      <c r="T26" s="62">
        <f t="shared" si="10"/>
        <v>0</v>
      </c>
      <c r="U26" s="48">
        <f t="shared" si="10"/>
        <v>0</v>
      </c>
      <c r="V26" s="48">
        <f t="shared" si="11"/>
        <v>0</v>
      </c>
      <c r="W26" s="51">
        <f t="shared" si="12"/>
        <v>0</v>
      </c>
      <c r="X26" s="56"/>
      <c r="Y26" s="52"/>
      <c r="Z26" s="53"/>
      <c r="AA26" s="41"/>
      <c r="AB26" s="42" t="e">
        <f t="shared" si="13"/>
        <v>#DIV/0!</v>
      </c>
      <c r="AC26" s="41"/>
      <c r="AD26" s="43" t="e">
        <f t="shared" si="14"/>
        <v>#DIV/0!</v>
      </c>
      <c r="AE26" s="54">
        <f t="shared" si="15"/>
        <v>0</v>
      </c>
      <c r="AF26" s="45" t="str">
        <f t="shared" si="16"/>
        <v/>
      </c>
      <c r="AG26" s="62">
        <f t="shared" si="17"/>
        <v>0</v>
      </c>
      <c r="AH26" s="56">
        <f t="shared" si="18"/>
        <v>0</v>
      </c>
      <c r="AI26" s="56">
        <f t="shared" si="19"/>
        <v>0</v>
      </c>
      <c r="AJ26" s="55">
        <f t="shared" si="20"/>
        <v>0</v>
      </c>
      <c r="AK26" s="48">
        <f t="shared" si="21"/>
        <v>0</v>
      </c>
      <c r="AL26" s="56"/>
      <c r="AM26" s="56"/>
      <c r="AN26" s="56"/>
      <c r="AO26" s="57"/>
      <c r="AP26" s="57"/>
      <c r="AQ26" s="57"/>
      <c r="AR26" s="57"/>
      <c r="AS26" s="58">
        <f t="shared" si="22"/>
        <v>0</v>
      </c>
      <c r="AT26" s="36">
        <v>22</v>
      </c>
      <c r="AU26" s="59">
        <f t="shared" si="23"/>
        <v>0</v>
      </c>
      <c r="AV26" s="36"/>
    </row>
    <row r="27" spans="1:48" ht="15.75" customHeight="1">
      <c r="A27" s="36"/>
      <c r="B27" s="60">
        <f t="shared" si="24"/>
        <v>45039</v>
      </c>
      <c r="C27" s="61"/>
      <c r="D27" s="39"/>
      <c r="E27" s="40"/>
      <c r="F27" s="41"/>
      <c r="G27" s="42" t="e">
        <f t="shared" si="0"/>
        <v>#DIV/0!</v>
      </c>
      <c r="H27" s="41"/>
      <c r="I27" s="42" t="e">
        <f t="shared" si="1"/>
        <v>#DIV/0!</v>
      </c>
      <c r="J27" s="44">
        <f t="shared" si="2"/>
        <v>0</v>
      </c>
      <c r="K27" s="45" t="str">
        <f t="shared" si="3"/>
        <v/>
      </c>
      <c r="L27" s="46"/>
      <c r="M27" s="47">
        <f t="shared" si="4"/>
        <v>0</v>
      </c>
      <c r="N27" s="48">
        <f t="shared" si="4"/>
        <v>0</v>
      </c>
      <c r="O27" s="42" t="e">
        <f t="shared" si="5"/>
        <v>#DIV/0!</v>
      </c>
      <c r="P27" s="48">
        <f t="shared" si="6"/>
        <v>0</v>
      </c>
      <c r="Q27" s="43" t="e">
        <f t="shared" si="7"/>
        <v>#DIV/0!</v>
      </c>
      <c r="R27" s="49">
        <f t="shared" si="8"/>
        <v>0</v>
      </c>
      <c r="S27" s="45" t="e">
        <f t="shared" si="9"/>
        <v>#DIV/0!</v>
      </c>
      <c r="T27" s="62">
        <f t="shared" si="10"/>
        <v>0</v>
      </c>
      <c r="U27" s="48">
        <f t="shared" si="10"/>
        <v>0</v>
      </c>
      <c r="V27" s="48">
        <f t="shared" si="11"/>
        <v>0</v>
      </c>
      <c r="W27" s="51">
        <f t="shared" si="12"/>
        <v>0</v>
      </c>
      <c r="X27" s="56"/>
      <c r="Y27" s="52"/>
      <c r="Z27" s="53"/>
      <c r="AA27" s="41"/>
      <c r="AB27" s="42" t="e">
        <f t="shared" si="13"/>
        <v>#DIV/0!</v>
      </c>
      <c r="AC27" s="41"/>
      <c r="AD27" s="43" t="e">
        <f t="shared" si="14"/>
        <v>#DIV/0!</v>
      </c>
      <c r="AE27" s="54">
        <f t="shared" si="15"/>
        <v>0</v>
      </c>
      <c r="AF27" s="45" t="str">
        <f t="shared" si="16"/>
        <v/>
      </c>
      <c r="AG27" s="62">
        <f t="shared" si="17"/>
        <v>0</v>
      </c>
      <c r="AH27" s="56">
        <f t="shared" si="18"/>
        <v>0</v>
      </c>
      <c r="AI27" s="56">
        <f t="shared" si="19"/>
        <v>0</v>
      </c>
      <c r="AJ27" s="55">
        <f t="shared" si="20"/>
        <v>0</v>
      </c>
      <c r="AK27" s="48">
        <f t="shared" si="21"/>
        <v>0</v>
      </c>
      <c r="AL27" s="56"/>
      <c r="AM27" s="56"/>
      <c r="AN27" s="56"/>
      <c r="AO27" s="57"/>
      <c r="AP27" s="57"/>
      <c r="AQ27" s="57"/>
      <c r="AR27" s="57"/>
      <c r="AS27" s="58">
        <f t="shared" si="22"/>
        <v>0</v>
      </c>
      <c r="AT27" s="36">
        <v>23</v>
      </c>
      <c r="AU27" s="59">
        <f t="shared" si="23"/>
        <v>0</v>
      </c>
      <c r="AV27" s="36"/>
    </row>
    <row r="28" spans="1:48" ht="15.75" customHeight="1">
      <c r="A28" s="36"/>
      <c r="B28" s="60">
        <f t="shared" si="24"/>
        <v>45040</v>
      </c>
      <c r="C28" s="61"/>
      <c r="D28" s="39"/>
      <c r="E28" s="40"/>
      <c r="F28" s="41"/>
      <c r="G28" s="42" t="e">
        <f t="shared" si="0"/>
        <v>#DIV/0!</v>
      </c>
      <c r="H28" s="41"/>
      <c r="I28" s="42" t="e">
        <f t="shared" si="1"/>
        <v>#DIV/0!</v>
      </c>
      <c r="J28" s="44">
        <f t="shared" si="2"/>
        <v>0</v>
      </c>
      <c r="K28" s="45" t="str">
        <f t="shared" si="3"/>
        <v/>
      </c>
      <c r="L28" s="46"/>
      <c r="M28" s="47">
        <f t="shared" si="4"/>
        <v>0</v>
      </c>
      <c r="N28" s="48">
        <f t="shared" si="4"/>
        <v>0</v>
      </c>
      <c r="O28" s="42" t="e">
        <f t="shared" si="5"/>
        <v>#DIV/0!</v>
      </c>
      <c r="P28" s="48">
        <f t="shared" si="6"/>
        <v>0</v>
      </c>
      <c r="Q28" s="43" t="e">
        <f t="shared" si="7"/>
        <v>#DIV/0!</v>
      </c>
      <c r="R28" s="49">
        <f t="shared" si="8"/>
        <v>0</v>
      </c>
      <c r="S28" s="45" t="e">
        <f t="shared" si="9"/>
        <v>#DIV/0!</v>
      </c>
      <c r="T28" s="62">
        <f t="shared" si="10"/>
        <v>0</v>
      </c>
      <c r="U28" s="48">
        <f t="shared" si="10"/>
        <v>0</v>
      </c>
      <c r="V28" s="48">
        <f t="shared" si="11"/>
        <v>0</v>
      </c>
      <c r="W28" s="51">
        <f t="shared" si="12"/>
        <v>0</v>
      </c>
      <c r="X28" s="56"/>
      <c r="Y28" s="52"/>
      <c r="Z28" s="53"/>
      <c r="AA28" s="41"/>
      <c r="AB28" s="42" t="e">
        <f t="shared" si="13"/>
        <v>#DIV/0!</v>
      </c>
      <c r="AC28" s="41"/>
      <c r="AD28" s="43" t="e">
        <f t="shared" si="14"/>
        <v>#DIV/0!</v>
      </c>
      <c r="AE28" s="54">
        <f t="shared" si="15"/>
        <v>0</v>
      </c>
      <c r="AF28" s="45" t="str">
        <f t="shared" si="16"/>
        <v/>
      </c>
      <c r="AG28" s="62">
        <f t="shared" si="17"/>
        <v>0</v>
      </c>
      <c r="AH28" s="56">
        <f t="shared" si="18"/>
        <v>0</v>
      </c>
      <c r="AI28" s="56">
        <f t="shared" si="19"/>
        <v>0</v>
      </c>
      <c r="AJ28" s="55">
        <f t="shared" si="20"/>
        <v>0</v>
      </c>
      <c r="AK28" s="48">
        <f t="shared" si="21"/>
        <v>0</v>
      </c>
      <c r="AL28" s="56"/>
      <c r="AM28" s="56"/>
      <c r="AN28" s="56"/>
      <c r="AO28" s="57"/>
      <c r="AP28" s="57"/>
      <c r="AQ28" s="57"/>
      <c r="AR28" s="57"/>
      <c r="AS28" s="58">
        <f t="shared" si="22"/>
        <v>0</v>
      </c>
      <c r="AT28" s="36">
        <v>24</v>
      </c>
      <c r="AU28" s="59">
        <f t="shared" si="23"/>
        <v>0</v>
      </c>
      <c r="AV28" s="36"/>
    </row>
    <row r="29" spans="1:48" ht="15.75" customHeight="1">
      <c r="A29" s="36"/>
      <c r="B29" s="63">
        <f t="shared" si="24"/>
        <v>45041</v>
      </c>
      <c r="C29" s="61"/>
      <c r="D29" s="39"/>
      <c r="E29" s="40"/>
      <c r="F29" s="41"/>
      <c r="G29" s="42" t="e">
        <f t="shared" si="0"/>
        <v>#DIV/0!</v>
      </c>
      <c r="H29" s="41"/>
      <c r="I29" s="42" t="e">
        <f t="shared" si="1"/>
        <v>#DIV/0!</v>
      </c>
      <c r="J29" s="44">
        <f t="shared" si="2"/>
        <v>0</v>
      </c>
      <c r="K29" s="45" t="str">
        <f t="shared" si="3"/>
        <v/>
      </c>
      <c r="L29" s="46"/>
      <c r="M29" s="47">
        <f t="shared" si="4"/>
        <v>0</v>
      </c>
      <c r="N29" s="48">
        <f t="shared" si="4"/>
        <v>0</v>
      </c>
      <c r="O29" s="42" t="e">
        <f t="shared" si="5"/>
        <v>#DIV/0!</v>
      </c>
      <c r="P29" s="48">
        <f t="shared" si="6"/>
        <v>0</v>
      </c>
      <c r="Q29" s="43" t="e">
        <f t="shared" si="7"/>
        <v>#DIV/0!</v>
      </c>
      <c r="R29" s="49">
        <f t="shared" si="8"/>
        <v>0</v>
      </c>
      <c r="S29" s="45" t="e">
        <f t="shared" si="9"/>
        <v>#DIV/0!</v>
      </c>
      <c r="T29" s="62">
        <f t="shared" si="10"/>
        <v>0</v>
      </c>
      <c r="U29" s="48">
        <f t="shared" si="10"/>
        <v>0</v>
      </c>
      <c r="V29" s="48">
        <f t="shared" si="11"/>
        <v>0</v>
      </c>
      <c r="W29" s="51">
        <f t="shared" si="12"/>
        <v>0</v>
      </c>
      <c r="X29" s="56"/>
      <c r="Y29" s="52"/>
      <c r="Z29" s="53"/>
      <c r="AA29" s="41"/>
      <c r="AB29" s="42" t="e">
        <f t="shared" si="13"/>
        <v>#DIV/0!</v>
      </c>
      <c r="AC29" s="41"/>
      <c r="AD29" s="43" t="e">
        <f t="shared" si="14"/>
        <v>#DIV/0!</v>
      </c>
      <c r="AE29" s="54">
        <f t="shared" si="15"/>
        <v>0</v>
      </c>
      <c r="AF29" s="45" t="str">
        <f t="shared" si="16"/>
        <v/>
      </c>
      <c r="AG29" s="62">
        <f t="shared" si="17"/>
        <v>0</v>
      </c>
      <c r="AH29" s="56">
        <f t="shared" si="18"/>
        <v>0</v>
      </c>
      <c r="AI29" s="56">
        <f t="shared" si="19"/>
        <v>0</v>
      </c>
      <c r="AJ29" s="55">
        <f t="shared" si="20"/>
        <v>0</v>
      </c>
      <c r="AK29" s="48">
        <f t="shared" si="21"/>
        <v>0</v>
      </c>
      <c r="AL29" s="56"/>
      <c r="AM29" s="56"/>
      <c r="AN29" s="56"/>
      <c r="AO29" s="57"/>
      <c r="AP29" s="57"/>
      <c r="AQ29" s="57"/>
      <c r="AR29" s="57"/>
      <c r="AS29" s="58">
        <f t="shared" si="22"/>
        <v>0</v>
      </c>
      <c r="AT29" s="36">
        <v>25</v>
      </c>
      <c r="AU29" s="59">
        <f t="shared" si="23"/>
        <v>0</v>
      </c>
      <c r="AV29" s="36"/>
    </row>
    <row r="30" spans="1:48" ht="15.75" customHeight="1">
      <c r="A30" s="36"/>
      <c r="B30" s="65">
        <f t="shared" si="24"/>
        <v>45042</v>
      </c>
      <c r="C30" s="61"/>
      <c r="D30" s="39"/>
      <c r="E30" s="40"/>
      <c r="F30" s="41"/>
      <c r="G30" s="42" t="e">
        <f t="shared" si="0"/>
        <v>#DIV/0!</v>
      </c>
      <c r="H30" s="41"/>
      <c r="I30" s="42" t="e">
        <f t="shared" si="1"/>
        <v>#DIV/0!</v>
      </c>
      <c r="J30" s="44">
        <f t="shared" si="2"/>
        <v>0</v>
      </c>
      <c r="K30" s="45" t="str">
        <f t="shared" si="3"/>
        <v/>
      </c>
      <c r="L30" s="46"/>
      <c r="M30" s="47">
        <f t="shared" si="4"/>
        <v>0</v>
      </c>
      <c r="N30" s="48">
        <f t="shared" si="4"/>
        <v>0</v>
      </c>
      <c r="O30" s="42" t="e">
        <f t="shared" si="5"/>
        <v>#DIV/0!</v>
      </c>
      <c r="P30" s="48">
        <f t="shared" si="6"/>
        <v>0</v>
      </c>
      <c r="Q30" s="42" t="e">
        <f t="shared" si="7"/>
        <v>#DIV/0!</v>
      </c>
      <c r="R30" s="49">
        <f t="shared" si="8"/>
        <v>0</v>
      </c>
      <c r="S30" s="45" t="e">
        <f t="shared" si="9"/>
        <v>#DIV/0!</v>
      </c>
      <c r="T30" s="62">
        <f t="shared" si="10"/>
        <v>0</v>
      </c>
      <c r="U30" s="48">
        <f t="shared" si="10"/>
        <v>0</v>
      </c>
      <c r="V30" s="48">
        <f t="shared" si="11"/>
        <v>0</v>
      </c>
      <c r="W30" s="51">
        <f t="shared" si="12"/>
        <v>0</v>
      </c>
      <c r="X30" s="56"/>
      <c r="Y30" s="52"/>
      <c r="Z30" s="53"/>
      <c r="AA30" s="41"/>
      <c r="AB30" s="42" t="e">
        <f t="shared" si="13"/>
        <v>#DIV/0!</v>
      </c>
      <c r="AC30" s="41"/>
      <c r="AD30" s="43" t="e">
        <f t="shared" si="14"/>
        <v>#DIV/0!</v>
      </c>
      <c r="AE30" s="54">
        <f t="shared" si="15"/>
        <v>0</v>
      </c>
      <c r="AF30" s="45" t="str">
        <f t="shared" si="16"/>
        <v/>
      </c>
      <c r="AG30" s="62">
        <f t="shared" si="17"/>
        <v>0</v>
      </c>
      <c r="AH30" s="56">
        <f t="shared" si="18"/>
        <v>0</v>
      </c>
      <c r="AI30" s="56">
        <f t="shared" si="19"/>
        <v>0</v>
      </c>
      <c r="AJ30" s="55">
        <f t="shared" si="20"/>
        <v>0</v>
      </c>
      <c r="AK30" s="48">
        <f t="shared" si="21"/>
        <v>0</v>
      </c>
      <c r="AL30" s="56"/>
      <c r="AM30" s="56"/>
      <c r="AN30" s="56"/>
      <c r="AO30" s="57"/>
      <c r="AP30" s="57"/>
      <c r="AQ30" s="57"/>
      <c r="AR30" s="57"/>
      <c r="AS30" s="58">
        <f t="shared" si="22"/>
        <v>0</v>
      </c>
      <c r="AT30" s="36">
        <v>26</v>
      </c>
      <c r="AU30" s="59">
        <f t="shared" si="23"/>
        <v>0</v>
      </c>
      <c r="AV30" s="36"/>
    </row>
    <row r="31" spans="1:48" ht="15.75" customHeight="1">
      <c r="A31" s="36"/>
      <c r="B31" s="60">
        <f t="shared" si="24"/>
        <v>45043</v>
      </c>
      <c r="C31" s="61" t="s">
        <v>37</v>
      </c>
      <c r="D31" s="39"/>
      <c r="E31" s="40"/>
      <c r="F31" s="41"/>
      <c r="G31" s="42" t="e">
        <f t="shared" si="0"/>
        <v>#DIV/0!</v>
      </c>
      <c r="H31" s="41"/>
      <c r="I31" s="42" t="e">
        <f t="shared" si="1"/>
        <v>#DIV/0!</v>
      </c>
      <c r="J31" s="44">
        <f t="shared" si="2"/>
        <v>0</v>
      </c>
      <c r="K31" s="45" t="str">
        <f t="shared" si="3"/>
        <v/>
      </c>
      <c r="L31" s="46"/>
      <c r="M31" s="47">
        <f t="shared" si="4"/>
        <v>18</v>
      </c>
      <c r="N31" s="48">
        <f t="shared" si="4"/>
        <v>171270</v>
      </c>
      <c r="O31" s="42">
        <f t="shared" si="5"/>
        <v>8650</v>
      </c>
      <c r="P31" s="48">
        <f t="shared" si="6"/>
        <v>24820</v>
      </c>
      <c r="Q31" s="42">
        <f t="shared" si="7"/>
        <v>1253.5</v>
      </c>
      <c r="R31" s="49">
        <f t="shared" si="8"/>
        <v>196090</v>
      </c>
      <c r="S31" s="45">
        <f t="shared" si="9"/>
        <v>10893.888888888889</v>
      </c>
      <c r="T31" s="62">
        <f t="shared" si="10"/>
        <v>18</v>
      </c>
      <c r="U31" s="48">
        <f t="shared" si="10"/>
        <v>171270</v>
      </c>
      <c r="V31" s="48">
        <f t="shared" si="11"/>
        <v>24820</v>
      </c>
      <c r="W31" s="51">
        <f t="shared" si="12"/>
        <v>196090</v>
      </c>
      <c r="X31" s="56"/>
      <c r="Y31" s="52"/>
      <c r="Z31" s="53">
        <v>51</v>
      </c>
      <c r="AA31" s="41">
        <v>28150</v>
      </c>
      <c r="AB31" s="42">
        <f t="shared" si="13"/>
        <v>551.96078431372553</v>
      </c>
      <c r="AC31" s="41">
        <v>9700</v>
      </c>
      <c r="AD31" s="43">
        <f t="shared" si="14"/>
        <v>190.19607843137254</v>
      </c>
      <c r="AE31" s="54">
        <f t="shared" si="15"/>
        <v>37850</v>
      </c>
      <c r="AF31" s="45">
        <f t="shared" si="16"/>
        <v>742.15686274509801</v>
      </c>
      <c r="AG31" s="62">
        <f t="shared" si="17"/>
        <v>18</v>
      </c>
      <c r="AH31" s="56">
        <f t="shared" si="18"/>
        <v>199420</v>
      </c>
      <c r="AI31" s="56">
        <f t="shared" si="19"/>
        <v>34520</v>
      </c>
      <c r="AJ31" s="55">
        <f t="shared" si="20"/>
        <v>233940</v>
      </c>
      <c r="AK31" s="48">
        <f t="shared" si="21"/>
        <v>17050</v>
      </c>
      <c r="AL31" s="56">
        <v>18</v>
      </c>
      <c r="AM31" s="56">
        <v>171270</v>
      </c>
      <c r="AN31" s="56">
        <v>24820</v>
      </c>
      <c r="AO31" s="57">
        <v>12100</v>
      </c>
      <c r="AP31" s="57">
        <v>1650</v>
      </c>
      <c r="AQ31" s="57">
        <v>3300</v>
      </c>
      <c r="AR31" s="57">
        <v>22220</v>
      </c>
      <c r="AS31" s="58">
        <f t="shared" si="22"/>
        <v>213140</v>
      </c>
      <c r="AT31" s="36">
        <v>27</v>
      </c>
      <c r="AU31" s="59">
        <f t="shared" si="23"/>
        <v>235360</v>
      </c>
      <c r="AV31" s="36"/>
    </row>
    <row r="32" spans="1:48" ht="15.75" customHeight="1">
      <c r="A32" s="36"/>
      <c r="B32" s="60">
        <f t="shared" si="24"/>
        <v>45044</v>
      </c>
      <c r="C32" s="61" t="s">
        <v>38</v>
      </c>
      <c r="D32" s="39"/>
      <c r="E32" s="40"/>
      <c r="F32" s="41"/>
      <c r="G32" s="42" t="e">
        <f t="shared" si="0"/>
        <v>#DIV/0!</v>
      </c>
      <c r="H32" s="41"/>
      <c r="I32" s="42" t="e">
        <f t="shared" si="1"/>
        <v>#DIV/0!</v>
      </c>
      <c r="J32" s="44">
        <f t="shared" si="2"/>
        <v>0</v>
      </c>
      <c r="K32" s="45" t="str">
        <f t="shared" si="3"/>
        <v/>
      </c>
      <c r="L32" s="46"/>
      <c r="M32" s="47">
        <f t="shared" si="4"/>
        <v>29</v>
      </c>
      <c r="N32" s="48">
        <f t="shared" si="4"/>
        <v>291920</v>
      </c>
      <c r="O32" s="42">
        <f t="shared" si="5"/>
        <v>9151.0689655172409</v>
      </c>
      <c r="P32" s="48">
        <f t="shared" si="6"/>
        <v>42720</v>
      </c>
      <c r="Q32" s="42">
        <f t="shared" si="7"/>
        <v>1339.1724137931035</v>
      </c>
      <c r="R32" s="49">
        <f t="shared" si="8"/>
        <v>334640</v>
      </c>
      <c r="S32" s="45">
        <f t="shared" si="9"/>
        <v>11539.310344827587</v>
      </c>
      <c r="T32" s="62">
        <f t="shared" si="10"/>
        <v>29</v>
      </c>
      <c r="U32" s="48">
        <f t="shared" si="10"/>
        <v>291920</v>
      </c>
      <c r="V32" s="48">
        <f t="shared" si="11"/>
        <v>42720</v>
      </c>
      <c r="W32" s="51">
        <f t="shared" si="12"/>
        <v>334640</v>
      </c>
      <c r="X32" s="56"/>
      <c r="Y32" s="52"/>
      <c r="Z32" s="53">
        <v>103</v>
      </c>
      <c r="AA32" s="41">
        <v>66350</v>
      </c>
      <c r="AB32" s="42">
        <f t="shared" si="13"/>
        <v>644.17475728155341</v>
      </c>
      <c r="AC32" s="41">
        <v>26150</v>
      </c>
      <c r="AD32" s="43">
        <f t="shared" si="14"/>
        <v>253.88349514563106</v>
      </c>
      <c r="AE32" s="54">
        <f t="shared" si="15"/>
        <v>92500</v>
      </c>
      <c r="AF32" s="45">
        <f t="shared" si="16"/>
        <v>898.05825242718447</v>
      </c>
      <c r="AG32" s="62">
        <f t="shared" si="17"/>
        <v>29</v>
      </c>
      <c r="AH32" s="56">
        <f t="shared" si="18"/>
        <v>358270</v>
      </c>
      <c r="AI32" s="56">
        <f t="shared" si="19"/>
        <v>68870</v>
      </c>
      <c r="AJ32" s="55">
        <f t="shared" si="20"/>
        <v>427140</v>
      </c>
      <c r="AK32" s="48">
        <f t="shared" si="21"/>
        <v>17600</v>
      </c>
      <c r="AL32" s="56">
        <v>29</v>
      </c>
      <c r="AM32" s="56">
        <v>291920</v>
      </c>
      <c r="AN32" s="56">
        <v>42720</v>
      </c>
      <c r="AO32" s="57">
        <v>11000</v>
      </c>
      <c r="AP32" s="57">
        <v>3300</v>
      </c>
      <c r="AQ32" s="57">
        <v>3300</v>
      </c>
      <c r="AR32" s="57">
        <v>0</v>
      </c>
      <c r="AS32" s="58">
        <f t="shared" si="22"/>
        <v>352240</v>
      </c>
      <c r="AT32" s="36">
        <v>28</v>
      </c>
      <c r="AU32" s="59">
        <f t="shared" si="23"/>
        <v>352240</v>
      </c>
      <c r="AV32" s="36"/>
    </row>
    <row r="33" spans="1:48" ht="15.75" customHeight="1">
      <c r="A33" s="36"/>
      <c r="B33" s="60">
        <f t="shared" si="24"/>
        <v>45045</v>
      </c>
      <c r="C33" s="61"/>
      <c r="D33" s="39"/>
      <c r="E33" s="40">
        <v>22</v>
      </c>
      <c r="F33" s="41">
        <v>42790</v>
      </c>
      <c r="G33" s="42">
        <f t="shared" si="0"/>
        <v>1768.1818181818182</v>
      </c>
      <c r="H33" s="41">
        <v>9660</v>
      </c>
      <c r="I33" s="42">
        <f t="shared" si="1"/>
        <v>399.13636363636363</v>
      </c>
      <c r="J33" s="44">
        <f t="shared" si="2"/>
        <v>52450</v>
      </c>
      <c r="K33" s="45">
        <f t="shared" si="3"/>
        <v>2384.090909090909</v>
      </c>
      <c r="L33" s="46"/>
      <c r="M33" s="47">
        <f t="shared" si="4"/>
        <v>42</v>
      </c>
      <c r="N33" s="48">
        <f t="shared" si="4"/>
        <v>396970</v>
      </c>
      <c r="O33" s="42">
        <f t="shared" si="5"/>
        <v>8592.4047619047615</v>
      </c>
      <c r="P33" s="48">
        <f t="shared" si="6"/>
        <v>92330</v>
      </c>
      <c r="Q33" s="42">
        <f t="shared" si="7"/>
        <v>1998.4761904761904</v>
      </c>
      <c r="R33" s="49">
        <f t="shared" si="8"/>
        <v>489300</v>
      </c>
      <c r="S33" s="45">
        <f t="shared" si="9"/>
        <v>11650</v>
      </c>
      <c r="T33" s="62">
        <f t="shared" si="10"/>
        <v>64</v>
      </c>
      <c r="U33" s="48">
        <f t="shared" si="10"/>
        <v>439760</v>
      </c>
      <c r="V33" s="48">
        <f t="shared" si="11"/>
        <v>101990</v>
      </c>
      <c r="W33" s="51">
        <f t="shared" si="12"/>
        <v>541750</v>
      </c>
      <c r="X33" s="56"/>
      <c r="Y33" s="52"/>
      <c r="Z33" s="53">
        <v>122</v>
      </c>
      <c r="AA33" s="41">
        <v>85050</v>
      </c>
      <c r="AB33" s="42">
        <f t="shared" si="13"/>
        <v>697.13114754098365</v>
      </c>
      <c r="AC33" s="41">
        <v>29700</v>
      </c>
      <c r="AD33" s="43">
        <f t="shared" si="14"/>
        <v>243.44262295081967</v>
      </c>
      <c r="AE33" s="54">
        <f t="shared" si="15"/>
        <v>114750</v>
      </c>
      <c r="AF33" s="45">
        <f t="shared" si="16"/>
        <v>940.57377049180332</v>
      </c>
      <c r="AG33" s="62">
        <f t="shared" si="17"/>
        <v>64</v>
      </c>
      <c r="AH33" s="56">
        <f t="shared" si="18"/>
        <v>524810</v>
      </c>
      <c r="AI33" s="56">
        <f t="shared" si="19"/>
        <v>131690</v>
      </c>
      <c r="AJ33" s="55">
        <f t="shared" si="20"/>
        <v>656500</v>
      </c>
      <c r="AK33" s="48">
        <f t="shared" si="21"/>
        <v>17050</v>
      </c>
      <c r="AL33" s="56">
        <v>64</v>
      </c>
      <c r="AM33" s="56">
        <v>439760</v>
      </c>
      <c r="AN33" s="56">
        <v>101990</v>
      </c>
      <c r="AO33" s="57">
        <v>15400</v>
      </c>
      <c r="AP33" s="57">
        <v>1650</v>
      </c>
      <c r="AQ33" s="57">
        <v>0</v>
      </c>
      <c r="AR33" s="57">
        <v>0</v>
      </c>
      <c r="AS33" s="58">
        <f t="shared" si="22"/>
        <v>558800</v>
      </c>
      <c r="AT33" s="36">
        <v>29</v>
      </c>
      <c r="AU33" s="59">
        <f t="shared" si="23"/>
        <v>558800</v>
      </c>
      <c r="AV33" s="36"/>
    </row>
    <row r="34" spans="1:48" ht="15.75" customHeight="1">
      <c r="A34" s="36"/>
      <c r="B34" s="60">
        <f t="shared" si="24"/>
        <v>45046</v>
      </c>
      <c r="C34" s="61"/>
      <c r="D34" s="39"/>
      <c r="E34" s="40">
        <v>29</v>
      </c>
      <c r="F34" s="41">
        <v>78320</v>
      </c>
      <c r="G34" s="42">
        <f t="shared" si="0"/>
        <v>2455.1724137931033</v>
      </c>
      <c r="H34" s="41">
        <v>13630</v>
      </c>
      <c r="I34" s="42">
        <f t="shared" si="1"/>
        <v>427.24137931034483</v>
      </c>
      <c r="J34" s="44">
        <f t="shared" si="2"/>
        <v>91950</v>
      </c>
      <c r="K34" s="45">
        <f t="shared" si="3"/>
        <v>3170.6896551724139</v>
      </c>
      <c r="L34" s="46"/>
      <c r="M34" s="47">
        <f t="shared" si="4"/>
        <v>32</v>
      </c>
      <c r="N34" s="48">
        <f t="shared" si="4"/>
        <v>304700</v>
      </c>
      <c r="O34" s="42">
        <f t="shared" si="5"/>
        <v>8656.25</v>
      </c>
      <c r="P34" s="48">
        <f t="shared" si="6"/>
        <v>37030</v>
      </c>
      <c r="Q34" s="42">
        <f t="shared" si="7"/>
        <v>1051.96875</v>
      </c>
      <c r="R34" s="49">
        <f t="shared" si="8"/>
        <v>341730</v>
      </c>
      <c r="S34" s="45">
        <f t="shared" si="9"/>
        <v>10679.0625</v>
      </c>
      <c r="T34" s="62">
        <f t="shared" si="10"/>
        <v>61</v>
      </c>
      <c r="U34" s="48">
        <f t="shared" si="10"/>
        <v>383020</v>
      </c>
      <c r="V34" s="48">
        <f t="shared" si="11"/>
        <v>50660</v>
      </c>
      <c r="W34" s="51">
        <f t="shared" si="12"/>
        <v>433680</v>
      </c>
      <c r="X34" s="56"/>
      <c r="Y34" s="68"/>
      <c r="Z34" s="69">
        <v>147</v>
      </c>
      <c r="AA34" s="70">
        <v>91400</v>
      </c>
      <c r="AB34" s="42">
        <f t="shared" si="13"/>
        <v>621.76870748299325</v>
      </c>
      <c r="AC34" s="70">
        <v>39000</v>
      </c>
      <c r="AD34" s="43">
        <f t="shared" si="14"/>
        <v>265.30612244897958</v>
      </c>
      <c r="AE34" s="54">
        <f t="shared" si="15"/>
        <v>130400</v>
      </c>
      <c r="AF34" s="45">
        <f t="shared" si="16"/>
        <v>887.07482993197277</v>
      </c>
      <c r="AG34" s="62">
        <f t="shared" si="17"/>
        <v>61</v>
      </c>
      <c r="AH34" s="56">
        <f t="shared" si="18"/>
        <v>474420</v>
      </c>
      <c r="AI34" s="56">
        <f t="shared" si="19"/>
        <v>89660</v>
      </c>
      <c r="AJ34" s="55">
        <f t="shared" si="20"/>
        <v>564080</v>
      </c>
      <c r="AK34" s="48">
        <f t="shared" si="21"/>
        <v>21450</v>
      </c>
      <c r="AL34" s="56">
        <v>61</v>
      </c>
      <c r="AM34" s="56">
        <v>383020</v>
      </c>
      <c r="AN34" s="56">
        <v>50660</v>
      </c>
      <c r="AO34" s="57">
        <v>19800</v>
      </c>
      <c r="AP34" s="57">
        <v>1650</v>
      </c>
      <c r="AQ34" s="57">
        <v>0</v>
      </c>
      <c r="AR34" s="57">
        <v>3300</v>
      </c>
      <c r="AS34" s="58">
        <f t="shared" si="22"/>
        <v>455130</v>
      </c>
      <c r="AT34" s="36">
        <v>30</v>
      </c>
      <c r="AU34" s="59">
        <f t="shared" si="23"/>
        <v>458430</v>
      </c>
      <c r="AV34" s="36"/>
    </row>
    <row r="35" spans="1:48" ht="15.75" customHeight="1" thickBot="1">
      <c r="A35" s="36"/>
      <c r="B35" s="60"/>
      <c r="C35" s="71"/>
      <c r="D35" s="39"/>
      <c r="E35" s="40"/>
      <c r="F35" s="41"/>
      <c r="G35" s="42" t="e">
        <f t="shared" si="0"/>
        <v>#DIV/0!</v>
      </c>
      <c r="H35" s="41"/>
      <c r="I35" s="42" t="e">
        <f t="shared" si="1"/>
        <v>#DIV/0!</v>
      </c>
      <c r="J35" s="44">
        <f t="shared" si="2"/>
        <v>0</v>
      </c>
      <c r="K35" s="45" t="str">
        <f t="shared" si="3"/>
        <v/>
      </c>
      <c r="L35" s="46"/>
      <c r="M35" s="72">
        <f t="shared" si="4"/>
        <v>0</v>
      </c>
      <c r="N35" s="48">
        <f t="shared" si="4"/>
        <v>0</v>
      </c>
      <c r="O35" s="42" t="e">
        <f t="shared" si="5"/>
        <v>#DIV/0!</v>
      </c>
      <c r="P35" s="48">
        <f t="shared" si="6"/>
        <v>0</v>
      </c>
      <c r="Q35" s="42" t="e">
        <f t="shared" si="7"/>
        <v>#DIV/0!</v>
      </c>
      <c r="R35" s="49">
        <f t="shared" si="8"/>
        <v>0</v>
      </c>
      <c r="S35" s="45" t="e">
        <f t="shared" si="9"/>
        <v>#DIV/0!</v>
      </c>
      <c r="T35" s="73">
        <f t="shared" si="10"/>
        <v>0</v>
      </c>
      <c r="U35" s="74">
        <f t="shared" si="10"/>
        <v>0</v>
      </c>
      <c r="V35" s="74">
        <f t="shared" si="11"/>
        <v>0</v>
      </c>
      <c r="W35" s="75">
        <f t="shared" si="12"/>
        <v>0</v>
      </c>
      <c r="X35" s="74"/>
      <c r="Y35" s="76"/>
      <c r="Z35" s="77"/>
      <c r="AA35" s="78"/>
      <c r="AB35" s="79" t="e">
        <f t="shared" si="13"/>
        <v>#DIV/0!</v>
      </c>
      <c r="AC35" s="78"/>
      <c r="AD35" s="80" t="e">
        <f t="shared" si="14"/>
        <v>#DIV/0!</v>
      </c>
      <c r="AE35" s="81">
        <f t="shared" si="15"/>
        <v>0</v>
      </c>
      <c r="AF35" s="45" t="str">
        <f t="shared" si="16"/>
        <v/>
      </c>
      <c r="AG35" s="73">
        <f t="shared" si="17"/>
        <v>0</v>
      </c>
      <c r="AH35" s="74">
        <f t="shared" si="18"/>
        <v>0</v>
      </c>
      <c r="AI35" s="74">
        <f t="shared" si="19"/>
        <v>0</v>
      </c>
      <c r="AJ35" s="55">
        <f t="shared" si="20"/>
        <v>0</v>
      </c>
      <c r="AK35" s="48">
        <f t="shared" si="21"/>
        <v>0</v>
      </c>
      <c r="AL35" s="56"/>
      <c r="AM35" s="56"/>
      <c r="AN35" s="56"/>
      <c r="AO35" s="57"/>
      <c r="AP35" s="57"/>
      <c r="AQ35" s="57"/>
      <c r="AR35" s="57"/>
      <c r="AS35" s="58">
        <f t="shared" si="22"/>
        <v>0</v>
      </c>
      <c r="AT35" s="36">
        <v>31</v>
      </c>
      <c r="AU35" s="59">
        <f t="shared" si="23"/>
        <v>0</v>
      </c>
      <c r="AV35" s="36"/>
    </row>
    <row r="36" spans="1:48" ht="15.75" customHeight="1" thickTop="1">
      <c r="A36" s="82"/>
      <c r="B36" s="83" t="s">
        <v>26</v>
      </c>
      <c r="C36" s="84">
        <f>SUM(C5:C35)</f>
        <v>0</v>
      </c>
      <c r="D36" s="85">
        <f>SUM(D5:D35)</f>
        <v>0</v>
      </c>
      <c r="E36" s="86">
        <f>SUM(E5:E35)</f>
        <v>51</v>
      </c>
      <c r="F36" s="87">
        <f>SUM(F5:F35)</f>
        <v>121110</v>
      </c>
      <c r="G36" s="88">
        <f>F36/E36</f>
        <v>2374.705882352941</v>
      </c>
      <c r="H36" s="84">
        <f>SUM(H5:H35)</f>
        <v>23290</v>
      </c>
      <c r="I36" s="89">
        <f>H36/E36</f>
        <v>456.66666666666669</v>
      </c>
      <c r="J36" s="90">
        <f>SUM(J5:J35)</f>
        <v>144400</v>
      </c>
      <c r="K36" s="91">
        <f>J36/E36</f>
        <v>2831.372549019608</v>
      </c>
      <c r="L36" s="92">
        <f>SUM(L5:L35)</f>
        <v>0</v>
      </c>
      <c r="M36" s="86">
        <f>SUM(M5:M35)</f>
        <v>121</v>
      </c>
      <c r="N36" s="87">
        <f>SUM(N5:N35)</f>
        <v>1164860</v>
      </c>
      <c r="O36" s="88">
        <f>N36/M36</f>
        <v>9626.9421487603304</v>
      </c>
      <c r="P36" s="93">
        <f>SUM(P5:P35)</f>
        <v>196900</v>
      </c>
      <c r="Q36" s="89">
        <f>P36/M36</f>
        <v>1627.2727272727273</v>
      </c>
      <c r="R36" s="94">
        <f>SUM(R5:R35)</f>
        <v>1361760</v>
      </c>
      <c r="S36" s="95">
        <f>R36/M36</f>
        <v>11254.214876033058</v>
      </c>
      <c r="T36" s="86">
        <f t="shared" ref="T36:AA36" si="25">SUM(T5:T35)</f>
        <v>172</v>
      </c>
      <c r="U36" s="93">
        <f t="shared" si="25"/>
        <v>1285970</v>
      </c>
      <c r="V36" s="93">
        <f t="shared" si="25"/>
        <v>220190</v>
      </c>
      <c r="W36" s="90">
        <f t="shared" si="25"/>
        <v>1506160</v>
      </c>
      <c r="X36" s="84">
        <f t="shared" si="25"/>
        <v>0</v>
      </c>
      <c r="Y36" s="85">
        <f t="shared" si="25"/>
        <v>0</v>
      </c>
      <c r="Z36" s="86">
        <f t="shared" si="25"/>
        <v>423</v>
      </c>
      <c r="AA36" s="88">
        <f t="shared" si="25"/>
        <v>270950</v>
      </c>
      <c r="AB36" s="88"/>
      <c r="AC36" s="84">
        <f>SUM(AC5:AC35)</f>
        <v>104550</v>
      </c>
      <c r="AD36" s="89"/>
      <c r="AE36" s="94">
        <f>SUM(AE5:AE35)</f>
        <v>375500</v>
      </c>
      <c r="AF36" s="96">
        <f>AE36/Z36</f>
        <v>887.7068557919622</v>
      </c>
      <c r="AG36" s="86">
        <f t="shared" ref="AG36:AS36" si="26">SUM(AG5:AG35)</f>
        <v>172</v>
      </c>
      <c r="AH36" s="93">
        <f t="shared" si="26"/>
        <v>1556920</v>
      </c>
      <c r="AI36" s="93">
        <f t="shared" si="26"/>
        <v>324740</v>
      </c>
      <c r="AJ36" s="94">
        <f t="shared" si="26"/>
        <v>1881660</v>
      </c>
      <c r="AK36" s="84">
        <f t="shared" si="26"/>
        <v>73150</v>
      </c>
      <c r="AL36" s="97">
        <f t="shared" si="26"/>
        <v>172</v>
      </c>
      <c r="AM36" s="97">
        <f t="shared" si="26"/>
        <v>1285970</v>
      </c>
      <c r="AN36" s="97">
        <f t="shared" si="26"/>
        <v>220190</v>
      </c>
      <c r="AO36" s="97">
        <f t="shared" si="26"/>
        <v>58300</v>
      </c>
      <c r="AP36" s="97">
        <f t="shared" si="26"/>
        <v>8250</v>
      </c>
      <c r="AQ36" s="97">
        <f t="shared" si="26"/>
        <v>6600</v>
      </c>
      <c r="AR36" s="97">
        <f t="shared" si="26"/>
        <v>25520</v>
      </c>
      <c r="AS36" s="97">
        <f t="shared" si="26"/>
        <v>1579310</v>
      </c>
      <c r="AT36" s="82"/>
      <c r="AU36" s="98">
        <f>SUM(AU5:AU35)</f>
        <v>1604830</v>
      </c>
      <c r="AV36" s="82"/>
    </row>
    <row r="37" spans="1:48" ht="15.75" customHeight="1">
      <c r="A37" s="82"/>
      <c r="B37" s="82"/>
      <c r="C37" s="82"/>
      <c r="D37" s="82"/>
      <c r="E37" s="99" t="s">
        <v>39</v>
      </c>
      <c r="F37" s="100">
        <f>F36/1.1</f>
        <v>110099.99999999999</v>
      </c>
      <c r="G37" s="101">
        <f>F37/E36</f>
        <v>2158.8235294117644</v>
      </c>
      <c r="H37" s="57">
        <f>H36/1.1</f>
        <v>21172.727272727272</v>
      </c>
      <c r="I37" s="101">
        <f>H37/E36</f>
        <v>415.15151515151513</v>
      </c>
      <c r="J37" s="97">
        <f>J36/1.1</f>
        <v>131272.72727272726</v>
      </c>
      <c r="K37" s="102">
        <f>G37+I37</f>
        <v>2573.9750445632794</v>
      </c>
      <c r="L37" s="103"/>
      <c r="M37" s="99" t="s">
        <v>39</v>
      </c>
      <c r="N37" s="100">
        <f>N36/1.1</f>
        <v>1058963.6363636362</v>
      </c>
      <c r="O37" s="101">
        <f>N37/M36</f>
        <v>8751.7655897821169</v>
      </c>
      <c r="P37" s="57">
        <f>P36/1.1</f>
        <v>179000</v>
      </c>
      <c r="Q37" s="101">
        <f>P37/M36</f>
        <v>1479.3388429752067</v>
      </c>
      <c r="R37" s="101">
        <f>R36/1.1</f>
        <v>1237963.6363636362</v>
      </c>
      <c r="S37" s="104">
        <f>R37/M36</f>
        <v>10231.104432757324</v>
      </c>
      <c r="T37" s="99" t="s">
        <v>39</v>
      </c>
      <c r="U37" s="100">
        <f>U36/1.1</f>
        <v>1169063.6363636362</v>
      </c>
      <c r="V37" s="100">
        <f>V36/1.1</f>
        <v>200172.72727272726</v>
      </c>
      <c r="W37" s="97">
        <f>W36/1.1</f>
        <v>1369236.3636363635</v>
      </c>
      <c r="X37" s="105"/>
      <c r="Y37" s="103"/>
      <c r="Z37" s="99" t="s">
        <v>39</v>
      </c>
      <c r="AA37" s="100">
        <f>AA36/1.1</f>
        <v>246318.18181818179</v>
      </c>
      <c r="AB37" s="57">
        <f>AA37/Z36</f>
        <v>582.31248656780565</v>
      </c>
      <c r="AC37" s="57">
        <f>AC36/1.1</f>
        <v>95045.454545454544</v>
      </c>
      <c r="AD37" s="57">
        <f>AC37/Z36</f>
        <v>224.69374597034172</v>
      </c>
      <c r="AE37" s="101">
        <f>AE36/1.1</f>
        <v>341363.63636363635</v>
      </c>
      <c r="AF37" s="106" t="e">
        <f>AE37/Y36</f>
        <v>#DIV/0!</v>
      </c>
      <c r="AG37" s="99" t="s">
        <v>39</v>
      </c>
      <c r="AH37" s="100">
        <f>AH36/1.1</f>
        <v>1415381.8181818181</v>
      </c>
      <c r="AI37" s="100">
        <f>AI36/1.1</f>
        <v>295218.18181818177</v>
      </c>
      <c r="AJ37" s="101">
        <f>AJ36/1.1</f>
        <v>1710599.9999999998</v>
      </c>
      <c r="AK37" s="107">
        <f>AK36/1.1</f>
        <v>66500</v>
      </c>
      <c r="AL37" s="82"/>
      <c r="AM37" s="82"/>
      <c r="AN37" s="82"/>
      <c r="AO37" s="82"/>
      <c r="AP37" s="108"/>
      <c r="AQ37" s="82"/>
      <c r="AR37" s="82"/>
      <c r="AS37" s="108"/>
      <c r="AT37" s="82"/>
      <c r="AU37" s="108"/>
      <c r="AV37" s="82"/>
    </row>
    <row r="38" spans="1:48" ht="15.75" customHeight="1">
      <c r="A38" s="36"/>
      <c r="B38" s="36"/>
      <c r="C38" s="36"/>
      <c r="D38" s="36"/>
      <c r="E38" s="109" t="s">
        <v>40</v>
      </c>
      <c r="F38" s="110">
        <f>E36/G38</f>
        <v>25.5</v>
      </c>
      <c r="G38" s="111">
        <v>2</v>
      </c>
      <c r="H38" s="112" t="s">
        <v>41</v>
      </c>
      <c r="I38" s="110"/>
      <c r="J38" s="113" t="s">
        <v>42</v>
      </c>
      <c r="K38" s="114">
        <f>J37/G38</f>
        <v>65636.363636363632</v>
      </c>
      <c r="L38" s="36"/>
      <c r="M38" s="109" t="s">
        <v>40</v>
      </c>
      <c r="N38" s="110">
        <f>M36/O38</f>
        <v>30.25</v>
      </c>
      <c r="O38" s="111">
        <v>4</v>
      </c>
      <c r="P38" s="112" t="s">
        <v>41</v>
      </c>
      <c r="Q38" s="110"/>
      <c r="R38" s="113" t="s">
        <v>42</v>
      </c>
      <c r="S38" s="115">
        <f>R37/O38</f>
        <v>309490.90909090906</v>
      </c>
      <c r="T38" s="36"/>
      <c r="U38" s="36"/>
      <c r="V38" s="36"/>
      <c r="W38" s="59"/>
      <c r="X38" s="59"/>
      <c r="Y38" s="36"/>
      <c r="Z38" s="36"/>
      <c r="AA38" s="116">
        <v>4</v>
      </c>
      <c r="AB38" s="112" t="s">
        <v>41</v>
      </c>
      <c r="AC38" s="110"/>
      <c r="AD38" s="110"/>
      <c r="AE38" s="110"/>
      <c r="AF38" s="114">
        <f>AE37/AA38</f>
        <v>85340.909090909088</v>
      </c>
      <c r="AG38" s="36"/>
      <c r="AH38" s="36"/>
      <c r="AI38" s="36"/>
      <c r="AJ38" s="59"/>
      <c r="AK38" s="59" t="e">
        <f>AJ37/AL37</f>
        <v>#DIV/0!</v>
      </c>
      <c r="AL38" s="117">
        <f>AG36+T36</f>
        <v>344</v>
      </c>
      <c r="AM38" s="36"/>
      <c r="AN38" s="36"/>
      <c r="AO38" s="36"/>
      <c r="AP38" s="59"/>
      <c r="AQ38" s="36"/>
      <c r="AR38" s="36"/>
      <c r="AS38" s="59"/>
      <c r="AT38" s="36"/>
      <c r="AU38" s="59"/>
      <c r="AV38" s="36"/>
    </row>
    <row r="39" spans="1:48" ht="15.75" customHeight="1">
      <c r="A39" s="36"/>
      <c r="B39" s="36"/>
      <c r="C39" s="36"/>
      <c r="D39" s="118" t="s">
        <v>43</v>
      </c>
      <c r="E39" s="119"/>
      <c r="F39" s="110"/>
      <c r="G39" s="120"/>
      <c r="H39" s="110"/>
      <c r="I39" s="110"/>
      <c r="J39" s="113"/>
      <c r="K39" s="114"/>
      <c r="L39" s="121" t="s">
        <v>44</v>
      </c>
      <c r="M39" s="109"/>
      <c r="N39" s="110"/>
      <c r="O39" s="110"/>
      <c r="P39" s="110"/>
      <c r="Q39" s="110"/>
      <c r="R39" s="113"/>
      <c r="S39" s="114"/>
      <c r="T39" s="36"/>
      <c r="U39" s="36"/>
      <c r="V39" s="36"/>
      <c r="W39" s="59"/>
      <c r="X39" s="59"/>
      <c r="Y39" s="121" t="s">
        <v>45</v>
      </c>
      <c r="Z39" s="36"/>
      <c r="AA39" s="110"/>
      <c r="AB39" s="110"/>
      <c r="AC39" s="110"/>
      <c r="AD39" s="110"/>
      <c r="AE39" s="110"/>
      <c r="AF39" s="114"/>
      <c r="AG39" s="36"/>
      <c r="AH39" s="36"/>
      <c r="AI39" s="36"/>
      <c r="AJ39" s="59">
        <f>AJ36+AK36</f>
        <v>1954810</v>
      </c>
      <c r="AK39" s="122">
        <f>AJ39/G38</f>
        <v>977405</v>
      </c>
      <c r="AL39" s="36" t="s">
        <v>46</v>
      </c>
      <c r="AM39" s="36"/>
      <c r="AN39" s="36"/>
      <c r="AO39" s="36"/>
      <c r="AP39" s="59"/>
      <c r="AQ39" s="36"/>
      <c r="AR39" s="36"/>
      <c r="AS39" s="59"/>
      <c r="AT39" s="36"/>
      <c r="AU39" s="59"/>
      <c r="AV39" s="36"/>
    </row>
    <row r="40" spans="1:48" ht="21" customHeight="1">
      <c r="A40" s="36"/>
      <c r="B40" s="36"/>
      <c r="C40" s="121"/>
      <c r="D40" s="123" t="s">
        <v>47</v>
      </c>
      <c r="E40" s="13"/>
      <c r="F40" s="13"/>
      <c r="G40" s="13"/>
      <c r="H40" s="13"/>
      <c r="I40" s="13"/>
      <c r="J40" s="13"/>
      <c r="K40" s="124"/>
      <c r="L40" s="123" t="s">
        <v>48</v>
      </c>
      <c r="M40" s="13"/>
      <c r="N40" s="13"/>
      <c r="O40" s="13"/>
      <c r="P40" s="13"/>
      <c r="Q40" s="13"/>
      <c r="R40" s="13"/>
      <c r="S40" s="124"/>
      <c r="T40" s="36"/>
      <c r="U40" s="36"/>
      <c r="V40" s="36"/>
      <c r="W40" s="59"/>
      <c r="X40" s="36"/>
      <c r="Y40" s="125" t="s">
        <v>49</v>
      </c>
      <c r="Z40" s="13"/>
      <c r="AA40" s="13"/>
      <c r="AB40" s="13"/>
      <c r="AC40" s="13"/>
      <c r="AD40" s="13"/>
      <c r="AE40" s="13"/>
      <c r="AF40" s="124"/>
      <c r="AG40" s="36"/>
      <c r="AH40" s="36"/>
      <c r="AI40" s="36"/>
      <c r="AJ40" s="126">
        <f>AJ37+AK37</f>
        <v>1777099.9999999998</v>
      </c>
      <c r="AK40" s="36"/>
      <c r="AL40" s="36"/>
      <c r="AM40" s="36"/>
      <c r="AN40" s="36"/>
      <c r="AO40" s="36"/>
      <c r="AP40" s="36"/>
      <c r="AQ40" s="36"/>
      <c r="AR40" s="36"/>
      <c r="AS40" s="59"/>
      <c r="AT40" s="36"/>
      <c r="AU40" s="59"/>
      <c r="AV40" s="36"/>
    </row>
    <row r="41" spans="1:48" ht="21" customHeight="1">
      <c r="A41" s="36"/>
      <c r="B41" s="36"/>
      <c r="C41" s="121"/>
      <c r="D41" s="127"/>
      <c r="E41" s="128"/>
      <c r="F41" s="128"/>
      <c r="G41" s="128"/>
      <c r="H41" s="128"/>
      <c r="I41" s="128"/>
      <c r="J41" s="128"/>
      <c r="K41" s="129"/>
      <c r="L41" s="127"/>
      <c r="M41" s="128"/>
      <c r="N41" s="128"/>
      <c r="O41" s="128"/>
      <c r="P41" s="128"/>
      <c r="Q41" s="128"/>
      <c r="R41" s="128"/>
      <c r="S41" s="129"/>
      <c r="T41" s="36"/>
      <c r="U41" s="36"/>
      <c r="V41" s="36"/>
      <c r="W41" s="59"/>
      <c r="X41" s="36"/>
      <c r="Y41" s="127"/>
      <c r="Z41" s="128"/>
      <c r="AA41" s="128"/>
      <c r="AB41" s="128"/>
      <c r="AC41" s="128"/>
      <c r="AD41" s="128"/>
      <c r="AE41" s="128"/>
      <c r="AF41" s="129"/>
      <c r="AG41" s="36"/>
      <c r="AH41" s="36"/>
      <c r="AI41" s="36"/>
      <c r="AJ41" s="59"/>
      <c r="AK41" s="122">
        <f>AJ40/G38</f>
        <v>888549.99999999988</v>
      </c>
      <c r="AL41" s="36" t="s">
        <v>50</v>
      </c>
      <c r="AM41" s="36"/>
      <c r="AN41" s="36"/>
      <c r="AO41" s="36"/>
      <c r="AP41" s="36"/>
      <c r="AQ41" s="36"/>
      <c r="AR41" s="36"/>
      <c r="AS41" s="59"/>
      <c r="AT41" s="36"/>
      <c r="AU41" s="59"/>
      <c r="AV41" s="36"/>
    </row>
    <row r="42" spans="1:48" ht="21" customHeight="1">
      <c r="A42" s="36"/>
      <c r="B42" s="36"/>
      <c r="C42" s="121"/>
      <c r="D42" s="127"/>
      <c r="E42" s="128"/>
      <c r="F42" s="128"/>
      <c r="G42" s="128"/>
      <c r="H42" s="128"/>
      <c r="I42" s="128"/>
      <c r="J42" s="128"/>
      <c r="K42" s="129"/>
      <c r="L42" s="127"/>
      <c r="M42" s="128"/>
      <c r="N42" s="128"/>
      <c r="O42" s="128"/>
      <c r="P42" s="128"/>
      <c r="Q42" s="128"/>
      <c r="R42" s="128"/>
      <c r="S42" s="129"/>
      <c r="T42" s="36"/>
      <c r="U42" s="36"/>
      <c r="V42" s="36"/>
      <c r="W42" s="59"/>
      <c r="X42" s="36"/>
      <c r="Y42" s="127"/>
      <c r="Z42" s="128"/>
      <c r="AA42" s="128"/>
      <c r="AB42" s="128"/>
      <c r="AC42" s="128"/>
      <c r="AD42" s="128"/>
      <c r="AE42" s="128"/>
      <c r="AF42" s="129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59"/>
      <c r="AT42" s="36"/>
      <c r="AU42" s="59"/>
      <c r="AV42" s="36"/>
    </row>
    <row r="43" spans="1:48" ht="21" customHeight="1">
      <c r="A43" s="36"/>
      <c r="B43" s="36"/>
      <c r="C43" s="121"/>
      <c r="D43" s="127"/>
      <c r="E43" s="128"/>
      <c r="F43" s="128"/>
      <c r="G43" s="128"/>
      <c r="H43" s="128"/>
      <c r="I43" s="128"/>
      <c r="J43" s="128"/>
      <c r="K43" s="129"/>
      <c r="L43" s="127"/>
      <c r="M43" s="128"/>
      <c r="N43" s="128"/>
      <c r="O43" s="128"/>
      <c r="P43" s="128"/>
      <c r="Q43" s="128"/>
      <c r="R43" s="128"/>
      <c r="S43" s="129"/>
      <c r="T43" s="36"/>
      <c r="U43" s="36"/>
      <c r="V43" s="36"/>
      <c r="W43" s="36"/>
      <c r="X43" s="36"/>
      <c r="Y43" s="127"/>
      <c r="Z43" s="128"/>
      <c r="AA43" s="128"/>
      <c r="AB43" s="128"/>
      <c r="AC43" s="128"/>
      <c r="AD43" s="128"/>
      <c r="AE43" s="128"/>
      <c r="AF43" s="129"/>
      <c r="AG43" s="36"/>
      <c r="AH43" s="36"/>
      <c r="AI43" s="36"/>
      <c r="AJ43" s="59">
        <f>AJ37+AK37</f>
        <v>1777099.9999999998</v>
      </c>
      <c r="AK43" s="130" t="s">
        <v>51</v>
      </c>
      <c r="AL43" s="36"/>
      <c r="AM43" s="36"/>
      <c r="AN43" s="36"/>
      <c r="AO43" s="36"/>
      <c r="AP43" s="36"/>
      <c r="AQ43" s="36"/>
      <c r="AR43" s="36"/>
      <c r="AS43" s="59"/>
      <c r="AT43" s="36"/>
      <c r="AU43" s="59"/>
      <c r="AV43" s="36"/>
    </row>
    <row r="44" spans="1:48" ht="21" customHeight="1">
      <c r="A44" s="36"/>
      <c r="B44" s="36"/>
      <c r="C44" s="121"/>
      <c r="D44" s="131"/>
      <c r="E44" s="132"/>
      <c r="F44" s="132"/>
      <c r="G44" s="132"/>
      <c r="H44" s="132"/>
      <c r="I44" s="132"/>
      <c r="J44" s="132"/>
      <c r="K44" s="133"/>
      <c r="L44" s="131"/>
      <c r="M44" s="132"/>
      <c r="N44" s="132"/>
      <c r="O44" s="132"/>
      <c r="P44" s="132"/>
      <c r="Q44" s="132"/>
      <c r="R44" s="132"/>
      <c r="S44" s="133"/>
      <c r="T44" s="36"/>
      <c r="U44" s="36"/>
      <c r="V44" s="36"/>
      <c r="W44" s="36"/>
      <c r="X44" s="36"/>
      <c r="Y44" s="131"/>
      <c r="Z44" s="132"/>
      <c r="AA44" s="132"/>
      <c r="AB44" s="132"/>
      <c r="AC44" s="132"/>
      <c r="AD44" s="132"/>
      <c r="AE44" s="132"/>
      <c r="AF44" s="133"/>
      <c r="AG44" s="36"/>
      <c r="AH44" s="134"/>
      <c r="AI44" s="135" t="s">
        <v>52</v>
      </c>
      <c r="AJ44" s="136">
        <f>J45+R45+AE45+AK44</f>
        <v>1478200</v>
      </c>
      <c r="AK44" s="137">
        <v>82800</v>
      </c>
      <c r="AL44" s="134"/>
      <c r="AM44" s="36"/>
      <c r="AN44" s="36"/>
      <c r="AO44" s="36"/>
      <c r="AP44" s="36"/>
      <c r="AQ44" s="36"/>
      <c r="AR44" s="36"/>
      <c r="AS44" s="59"/>
      <c r="AT44" s="36"/>
      <c r="AU44" s="59"/>
      <c r="AV44" s="36"/>
    </row>
    <row r="45" spans="1:48" ht="21" customHeight="1">
      <c r="A45" s="36"/>
      <c r="B45" s="36"/>
      <c r="C45" s="36"/>
      <c r="D45" s="36"/>
      <c r="E45" s="36"/>
      <c r="F45" s="36"/>
      <c r="G45" s="36"/>
      <c r="H45" s="138"/>
      <c r="I45" s="139" t="s">
        <v>53</v>
      </c>
      <c r="J45" s="136">
        <v>190400</v>
      </c>
      <c r="K45" s="140" t="s">
        <v>54</v>
      </c>
      <c r="L45" s="134"/>
      <c r="M45" s="134"/>
      <c r="N45" s="134"/>
      <c r="O45" s="134"/>
      <c r="P45" s="134"/>
      <c r="Q45" s="139" t="s">
        <v>55</v>
      </c>
      <c r="R45" s="136">
        <v>965000</v>
      </c>
      <c r="S45" s="140" t="s">
        <v>54</v>
      </c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8" t="s">
        <v>56</v>
      </c>
      <c r="AE45" s="136">
        <v>240000</v>
      </c>
      <c r="AF45" s="140" t="s">
        <v>54</v>
      </c>
      <c r="AG45" s="134"/>
      <c r="AH45" s="134"/>
      <c r="AI45" s="135" t="s">
        <v>57</v>
      </c>
      <c r="AJ45" s="136">
        <f>AJ44-AJ37-AK37</f>
        <v>-298899.99999999977</v>
      </c>
      <c r="AK45" s="136">
        <f>AK44-AK37</f>
        <v>16300</v>
      </c>
      <c r="AL45" s="141">
        <f>AK37/AK44</f>
        <v>0.8031400966183575</v>
      </c>
      <c r="AM45" s="36"/>
      <c r="AN45" s="36"/>
      <c r="AO45" s="36"/>
      <c r="AP45" s="36"/>
      <c r="AQ45" s="59"/>
      <c r="AR45" s="36"/>
      <c r="AS45" s="59"/>
      <c r="AT45" s="36"/>
      <c r="AU45" s="36"/>
      <c r="AV45" s="36"/>
    </row>
    <row r="46" spans="1:48" ht="21" customHeight="1">
      <c r="A46" s="36"/>
      <c r="B46" s="36"/>
      <c r="C46" s="36"/>
      <c r="D46" s="36"/>
      <c r="E46" s="36"/>
      <c r="F46" s="36"/>
      <c r="G46" s="36"/>
      <c r="H46" s="138"/>
      <c r="I46" s="138" t="s">
        <v>57</v>
      </c>
      <c r="J46" s="136">
        <f>J45-J37</f>
        <v>59127.272727272735</v>
      </c>
      <c r="K46" s="142">
        <v>0</v>
      </c>
      <c r="L46" s="134"/>
      <c r="M46" s="134"/>
      <c r="N46" s="134"/>
      <c r="O46" s="134"/>
      <c r="P46" s="134"/>
      <c r="Q46" s="138" t="s">
        <v>57</v>
      </c>
      <c r="R46" s="136">
        <f>R45-R37</f>
        <v>-272963.63636363624</v>
      </c>
      <c r="S46" s="134">
        <f>K46</f>
        <v>0</v>
      </c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8" t="s">
        <v>57</v>
      </c>
      <c r="AE46" s="136">
        <f>AE45-AE37</f>
        <v>-101363.63636363635</v>
      </c>
      <c r="AF46" s="134">
        <f>K46</f>
        <v>0</v>
      </c>
      <c r="AG46" s="134"/>
      <c r="AH46" s="143"/>
      <c r="AI46" s="144" t="s">
        <v>58</v>
      </c>
      <c r="AJ46" s="145" t="e">
        <f>AJ45/K46</f>
        <v>#DIV/0!</v>
      </c>
      <c r="AK46" s="146">
        <f>(AJ37+AK37)/AJ44</f>
        <v>1.2022053849276144</v>
      </c>
      <c r="AL46" s="143"/>
      <c r="AM46" s="147"/>
      <c r="AN46" s="36"/>
      <c r="AO46" s="36"/>
      <c r="AP46" s="36"/>
      <c r="AQ46" s="59"/>
      <c r="AR46" s="36"/>
      <c r="AS46" s="59"/>
      <c r="AT46" s="36"/>
      <c r="AU46" s="36"/>
      <c r="AV46" s="36"/>
    </row>
    <row r="47" spans="1:48" ht="25.5" customHeight="1">
      <c r="A47" s="147"/>
      <c r="B47" s="147"/>
      <c r="C47" s="147"/>
      <c r="D47" s="147"/>
      <c r="E47" s="147"/>
      <c r="F47" s="147"/>
      <c r="G47" s="147"/>
      <c r="H47" s="148"/>
      <c r="I47" s="144" t="s">
        <v>58</v>
      </c>
      <c r="J47" s="149" t="e">
        <f>J46/K46</f>
        <v>#DIV/0!</v>
      </c>
      <c r="K47" s="150">
        <f>J37/J45</f>
        <v>0.68945760122230704</v>
      </c>
      <c r="L47" s="143"/>
      <c r="M47" s="143"/>
      <c r="N47" s="143"/>
      <c r="O47" s="143"/>
      <c r="P47" s="143"/>
      <c r="Q47" s="144" t="s">
        <v>58</v>
      </c>
      <c r="R47" s="145" t="e">
        <f>R46/S46</f>
        <v>#DIV/0!</v>
      </c>
      <c r="S47" s="150">
        <f>R37/R45</f>
        <v>1.2828638718794159</v>
      </c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4" t="s">
        <v>58</v>
      </c>
      <c r="AE47" s="149" t="e">
        <f>AE46/AF46</f>
        <v>#DIV/0!</v>
      </c>
      <c r="AF47" s="150">
        <f>AE37/AE45</f>
        <v>1.4223484848484849</v>
      </c>
      <c r="AG47" s="143"/>
      <c r="AH47" s="36"/>
      <c r="AI47" s="36"/>
      <c r="AJ47" s="59"/>
      <c r="AK47" s="36"/>
      <c r="AL47" s="36"/>
      <c r="AM47" s="36"/>
      <c r="AN47" s="147"/>
      <c r="AO47" s="147"/>
      <c r="AP47" s="147"/>
      <c r="AQ47" s="151"/>
      <c r="AR47" s="147"/>
      <c r="AS47" s="151"/>
      <c r="AT47" s="147"/>
      <c r="AU47" s="147"/>
      <c r="AV47" s="147"/>
    </row>
    <row r="48" spans="1: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152"/>
      <c r="AI48" s="152"/>
      <c r="AJ48" s="152"/>
      <c r="AK48" s="152"/>
      <c r="AL48" s="152"/>
      <c r="AM48" s="152"/>
      <c r="AN48" s="36"/>
      <c r="AO48" s="36"/>
      <c r="AP48" s="36"/>
      <c r="AQ48" s="59"/>
      <c r="AR48" s="36"/>
      <c r="AS48" s="59"/>
      <c r="AT48" s="36"/>
      <c r="AU48" s="36"/>
      <c r="AV48" s="36"/>
    </row>
    <row r="49" spans="1:48" ht="36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3"/>
      <c r="M49" s="36"/>
      <c r="N49" s="36"/>
      <c r="O49" s="36"/>
      <c r="P49" s="36"/>
      <c r="Q49" s="36"/>
      <c r="R49" s="153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"/>
      <c r="AI49" s="1"/>
      <c r="AJ49" s="1"/>
      <c r="AK49" s="1"/>
      <c r="AL49" s="1"/>
      <c r="AM49" s="1"/>
      <c r="AN49" s="152"/>
      <c r="AO49" s="152"/>
      <c r="AP49" s="152"/>
      <c r="AQ49" s="154"/>
      <c r="AR49" s="152"/>
      <c r="AS49" s="154"/>
      <c r="AT49" s="152"/>
      <c r="AU49" s="152"/>
      <c r="AV49" s="152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55"/>
      <c r="M50" s="36"/>
      <c r="N50" s="36"/>
      <c r="O50" s="36"/>
      <c r="P50" s="36"/>
      <c r="Q50" s="36"/>
      <c r="R50" s="155"/>
      <c r="S50" s="155"/>
      <c r="T50" s="1"/>
      <c r="U50" s="1"/>
      <c r="V50" s="1"/>
      <c r="W50" s="1"/>
      <c r="X50" s="1"/>
      <c r="Y50" s="1"/>
      <c r="Z50" s="156"/>
      <c r="AA50" s="1"/>
      <c r="AB50" s="1"/>
      <c r="AC50" s="1"/>
      <c r="AD50" s="1"/>
      <c r="AE50" s="1"/>
      <c r="AF50" s="1"/>
      <c r="AG50" s="1"/>
      <c r="AH50" s="152"/>
      <c r="AI50" s="152"/>
      <c r="AJ50" s="152"/>
      <c r="AK50" s="152"/>
      <c r="AL50" s="152"/>
      <c r="AM50" s="152"/>
      <c r="AN50" s="1"/>
      <c r="AO50" s="1"/>
      <c r="AP50" s="1"/>
      <c r="AQ50" s="157"/>
      <c r="AR50" s="1"/>
      <c r="AS50" s="157"/>
      <c r="AT50" s="1"/>
      <c r="AU50" s="1"/>
      <c r="AV50" s="1"/>
    </row>
    <row r="51" spans="1:48" ht="36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"/>
      <c r="L51" s="155"/>
      <c r="M51" s="36"/>
      <c r="N51" s="36"/>
      <c r="O51" s="36"/>
      <c r="P51" s="36"/>
      <c r="Q51" s="36"/>
      <c r="R51" s="158"/>
      <c r="S51" s="159"/>
      <c r="T51" s="159"/>
      <c r="U51" s="159"/>
      <c r="V51" s="159"/>
      <c r="W51" s="160"/>
      <c r="X51" s="161"/>
      <c r="Y51" s="162"/>
      <c r="Z51" s="163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4"/>
      <c r="AR51" s="152"/>
      <c r="AS51" s="154"/>
      <c r="AT51" s="152"/>
      <c r="AU51" s="152"/>
      <c r="AV51" s="152"/>
    </row>
    <row r="52" spans="1:48" ht="36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"/>
      <c r="L52" s="155"/>
      <c r="M52" s="36"/>
      <c r="N52" s="36"/>
      <c r="O52" s="36"/>
      <c r="P52" s="36"/>
      <c r="Q52" s="36"/>
      <c r="R52" s="160"/>
      <c r="S52" s="159"/>
      <c r="T52" s="159"/>
      <c r="U52" s="159"/>
      <c r="V52" s="159"/>
      <c r="W52" s="160"/>
      <c r="X52" s="161"/>
      <c r="Y52" s="162"/>
      <c r="Z52" s="163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4"/>
      <c r="AR52" s="152"/>
      <c r="AS52" s="154"/>
      <c r="AT52" s="152"/>
      <c r="AU52" s="152"/>
      <c r="AV52" s="152"/>
    </row>
    <row r="53" spans="1:48" ht="36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"/>
      <c r="L53" s="155"/>
      <c r="M53" s="36"/>
      <c r="N53" s="36"/>
      <c r="O53" s="36"/>
      <c r="P53" s="36"/>
      <c r="Q53" s="36"/>
      <c r="R53" s="160"/>
      <c r="S53" s="159"/>
      <c r="T53" s="159"/>
      <c r="U53" s="159"/>
      <c r="V53" s="159"/>
      <c r="W53" s="160"/>
      <c r="X53" s="161"/>
      <c r="Y53" s="162"/>
      <c r="Z53" s="163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4"/>
      <c r="AR53" s="152"/>
      <c r="AS53" s="154"/>
      <c r="AT53" s="152"/>
      <c r="AU53" s="152"/>
      <c r="AV53" s="152"/>
    </row>
    <row r="54" spans="1:48" ht="36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"/>
      <c r="L54" s="155"/>
      <c r="M54" s="36"/>
      <c r="N54" s="36"/>
      <c r="O54" s="36"/>
      <c r="P54" s="36"/>
      <c r="Q54" s="36"/>
      <c r="R54" s="160"/>
      <c r="S54" s="159"/>
      <c r="T54" s="159"/>
      <c r="U54" s="159"/>
      <c r="V54" s="159"/>
      <c r="W54" s="160"/>
      <c r="X54" s="161"/>
      <c r="Y54" s="162"/>
      <c r="Z54" s="163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4"/>
      <c r="AR54" s="152"/>
      <c r="AS54" s="154"/>
      <c r="AT54" s="152"/>
      <c r="AU54" s="152"/>
      <c r="AV54" s="152"/>
    </row>
    <row r="55" spans="1:48" ht="36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3"/>
      <c r="M55" s="36"/>
      <c r="N55" s="36"/>
      <c r="O55" s="36"/>
      <c r="P55" s="36"/>
      <c r="Q55" s="36"/>
      <c r="R55" s="160"/>
      <c r="S55" s="159"/>
      <c r="T55" s="159"/>
      <c r="U55" s="159"/>
      <c r="V55" s="159"/>
      <c r="W55" s="161"/>
      <c r="X55" s="161"/>
      <c r="Y55" s="162"/>
      <c r="Z55" s="163"/>
      <c r="AA55" s="152"/>
      <c r="AB55" s="152"/>
      <c r="AC55" s="152"/>
      <c r="AD55" s="152"/>
      <c r="AE55" s="152"/>
      <c r="AF55" s="152"/>
      <c r="AG55" s="152"/>
      <c r="AH55" s="36"/>
      <c r="AI55" s="36"/>
      <c r="AJ55" s="36"/>
      <c r="AK55" s="36"/>
      <c r="AL55" s="36"/>
      <c r="AM55" s="36"/>
      <c r="AN55" s="152"/>
      <c r="AO55" s="152"/>
      <c r="AP55" s="152"/>
      <c r="AQ55" s="154"/>
      <c r="AR55" s="152"/>
      <c r="AS55" s="154"/>
      <c r="AT55" s="152"/>
      <c r="AU55" s="152"/>
      <c r="AV55" s="152"/>
    </row>
    <row r="56" spans="1:48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162"/>
      <c r="Z56" s="162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59"/>
      <c r="AT56" s="36"/>
      <c r="AU56" s="59"/>
      <c r="AV56" s="36"/>
    </row>
    <row r="57" spans="1:48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152"/>
      <c r="Z57" s="152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59"/>
      <c r="AT57" s="36"/>
      <c r="AU57" s="59"/>
      <c r="AV57" s="36"/>
    </row>
    <row r="58" spans="1:4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59"/>
      <c r="AT58" s="36"/>
      <c r="AU58" s="59"/>
      <c r="AV58" s="36"/>
    </row>
    <row r="59" spans="1:48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59"/>
      <c r="AT59" s="36"/>
      <c r="AU59" s="59"/>
      <c r="AV59" s="36"/>
    </row>
    <row r="60" spans="1:48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59"/>
      <c r="AT60" s="36"/>
      <c r="AU60" s="59"/>
      <c r="AV60" s="36"/>
    </row>
    <row r="61" spans="1:48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59"/>
      <c r="AT61" s="36"/>
      <c r="AU61" s="59"/>
      <c r="AV61" s="36"/>
    </row>
    <row r="62" spans="1:48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59"/>
      <c r="AT62" s="36"/>
      <c r="AU62" s="59"/>
      <c r="AV62" s="36"/>
    </row>
    <row r="63" spans="1:48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59"/>
      <c r="AT63" s="36"/>
      <c r="AU63" s="59"/>
      <c r="AV63" s="36"/>
    </row>
    <row r="64" spans="1:48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59"/>
      <c r="AT64" s="36"/>
      <c r="AU64" s="59"/>
      <c r="AV64" s="36"/>
    </row>
    <row r="65" spans="1:48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59"/>
      <c r="AT65" s="36"/>
      <c r="AU65" s="59"/>
      <c r="AV65" s="36"/>
    </row>
    <row r="66" spans="1:48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59"/>
      <c r="AT66" s="36"/>
      <c r="AU66" s="59"/>
      <c r="AV66" s="36"/>
    </row>
    <row r="67" spans="1:48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59"/>
      <c r="AT67" s="36"/>
      <c r="AU67" s="59"/>
      <c r="AV67" s="36"/>
    </row>
    <row r="68" spans="1:4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59"/>
      <c r="AT68" s="36"/>
      <c r="AU68" s="59"/>
      <c r="AV68" s="36"/>
    </row>
    <row r="69" spans="1:48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59"/>
      <c r="AT69" s="36"/>
      <c r="AU69" s="59"/>
      <c r="AV69" s="36"/>
    </row>
    <row r="70" spans="1:48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59"/>
      <c r="AT70" s="36"/>
      <c r="AU70" s="59"/>
      <c r="AV70" s="36"/>
    </row>
    <row r="71" spans="1:48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59"/>
      <c r="AT71" s="36"/>
      <c r="AU71" s="59"/>
      <c r="AV71" s="36"/>
    </row>
    <row r="72" spans="1:48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59"/>
      <c r="AT72" s="36"/>
      <c r="AU72" s="59"/>
      <c r="AV72" s="36"/>
    </row>
    <row r="73" spans="1:48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59"/>
      <c r="AT73" s="36"/>
      <c r="AU73" s="59"/>
      <c r="AV73" s="36"/>
    </row>
    <row r="74" spans="1:48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59"/>
      <c r="AT74" s="36"/>
      <c r="AU74" s="59"/>
      <c r="AV74" s="36"/>
    </row>
    <row r="75" spans="1:48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59"/>
      <c r="AT75" s="36"/>
      <c r="AU75" s="59"/>
      <c r="AV75" s="36"/>
    </row>
    <row r="76" spans="1:48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59"/>
      <c r="AT76" s="36"/>
      <c r="AU76" s="59"/>
      <c r="AV76" s="36"/>
    </row>
    <row r="77" spans="1:48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59"/>
      <c r="AT77" s="36"/>
      <c r="AU77" s="59"/>
      <c r="AV77" s="36"/>
    </row>
    <row r="78" spans="1:4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59"/>
      <c r="AT78" s="36"/>
      <c r="AU78" s="59"/>
      <c r="AV78" s="36"/>
    </row>
    <row r="79" spans="1:48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59"/>
      <c r="AT79" s="36"/>
      <c r="AU79" s="59"/>
      <c r="AV79" s="36"/>
    </row>
    <row r="80" spans="1:48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59"/>
      <c r="AT80" s="36"/>
      <c r="AU80" s="59"/>
      <c r="AV80" s="36"/>
    </row>
    <row r="81" spans="1:48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59"/>
      <c r="AT81" s="36"/>
      <c r="AU81" s="59"/>
      <c r="AV81" s="36"/>
    </row>
    <row r="82" spans="1:48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59"/>
      <c r="AT82" s="36"/>
      <c r="AU82" s="59"/>
      <c r="AV82" s="36"/>
    </row>
    <row r="83" spans="1:48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59"/>
      <c r="AT83" s="36"/>
      <c r="AU83" s="59"/>
      <c r="AV83" s="36"/>
    </row>
    <row r="84" spans="1:48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59"/>
      <c r="AT84" s="36"/>
      <c r="AU84" s="59"/>
      <c r="AV84" s="36"/>
    </row>
    <row r="85" spans="1:48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59"/>
      <c r="AT85" s="36"/>
      <c r="AU85" s="59"/>
      <c r="AV85" s="36"/>
    </row>
    <row r="86" spans="1:48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59"/>
      <c r="AT86" s="36"/>
      <c r="AU86" s="59"/>
      <c r="AV86" s="36"/>
    </row>
    <row r="87" spans="1:48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59"/>
      <c r="AT87" s="36"/>
      <c r="AU87" s="59"/>
      <c r="AV87" s="36"/>
    </row>
    <row r="88" spans="1:4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59"/>
      <c r="AT88" s="36"/>
      <c r="AU88" s="59"/>
      <c r="AV88" s="36"/>
    </row>
    <row r="89" spans="1:48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59"/>
      <c r="AT89" s="36"/>
      <c r="AU89" s="59"/>
      <c r="AV89" s="36"/>
    </row>
    <row r="90" spans="1:48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59"/>
      <c r="AT90" s="36"/>
      <c r="AU90" s="59"/>
      <c r="AV90" s="36"/>
    </row>
    <row r="91" spans="1:48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59"/>
      <c r="AT91" s="36"/>
      <c r="AU91" s="59"/>
      <c r="AV91" s="36"/>
    </row>
    <row r="92" spans="1:48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59"/>
      <c r="AT92" s="36"/>
      <c r="AU92" s="59"/>
      <c r="AV92" s="36"/>
    </row>
    <row r="93" spans="1:48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59"/>
      <c r="AT93" s="36"/>
      <c r="AU93" s="59"/>
      <c r="AV93" s="36"/>
    </row>
    <row r="94" spans="1:48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59"/>
      <c r="AT94" s="36"/>
      <c r="AU94" s="59"/>
      <c r="AV94" s="36"/>
    </row>
    <row r="95" spans="1:48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59"/>
      <c r="AT95" s="36"/>
      <c r="AU95" s="59"/>
      <c r="AV95" s="36"/>
    </row>
    <row r="96" spans="1:48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59"/>
      <c r="AT96" s="36"/>
      <c r="AU96" s="59"/>
      <c r="AV96" s="36"/>
    </row>
    <row r="97" spans="1:48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59"/>
      <c r="AT97" s="36"/>
      <c r="AU97" s="59"/>
      <c r="AV97" s="36"/>
    </row>
    <row r="98" spans="1:4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59"/>
      <c r="AT98" s="36"/>
      <c r="AU98" s="59"/>
      <c r="AV98" s="36"/>
    </row>
    <row r="99" spans="1:48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59"/>
      <c r="AT99" s="36"/>
      <c r="AU99" s="59"/>
      <c r="AV99" s="36"/>
    </row>
    <row r="100" spans="1:48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59"/>
      <c r="AT100" s="36"/>
      <c r="AU100" s="59"/>
      <c r="AV100" s="36"/>
    </row>
    <row r="101" spans="1:48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59"/>
      <c r="AT101" s="36"/>
      <c r="AU101" s="59"/>
      <c r="AV101" s="36"/>
    </row>
    <row r="102" spans="1:48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59"/>
      <c r="AT102" s="36"/>
      <c r="AU102" s="59"/>
      <c r="AV102" s="36"/>
    </row>
    <row r="103" spans="1:48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59"/>
      <c r="AT103" s="36"/>
      <c r="AU103" s="59"/>
      <c r="AV103" s="36"/>
    </row>
    <row r="104" spans="1:48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59"/>
      <c r="AT104" s="36"/>
      <c r="AU104" s="59"/>
      <c r="AV104" s="36"/>
    </row>
    <row r="105" spans="1:48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59"/>
      <c r="AT105" s="36"/>
      <c r="AU105" s="59"/>
      <c r="AV105" s="36"/>
    </row>
    <row r="106" spans="1:48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59"/>
      <c r="AT106" s="36"/>
      <c r="AU106" s="59"/>
      <c r="AV106" s="36"/>
    </row>
    <row r="107" spans="1:48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59"/>
      <c r="AT107" s="36"/>
      <c r="AU107" s="59"/>
      <c r="AV107" s="36"/>
    </row>
    <row r="108" spans="1:4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59"/>
      <c r="AT108" s="36"/>
      <c r="AU108" s="59"/>
      <c r="AV108" s="36"/>
    </row>
    <row r="109" spans="1:48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59"/>
      <c r="AT109" s="36"/>
      <c r="AU109" s="59"/>
      <c r="AV109" s="36"/>
    </row>
    <row r="110" spans="1:48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59"/>
      <c r="AT110" s="36"/>
      <c r="AU110" s="59"/>
      <c r="AV110" s="36"/>
    </row>
    <row r="111" spans="1:48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59"/>
      <c r="AT111" s="36"/>
      <c r="AU111" s="59"/>
      <c r="AV111" s="36"/>
    </row>
    <row r="112" spans="1:48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59"/>
      <c r="AT112" s="36"/>
      <c r="AU112" s="59"/>
      <c r="AV112" s="36"/>
    </row>
    <row r="113" spans="1:48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59"/>
      <c r="AT113" s="36"/>
      <c r="AU113" s="59"/>
      <c r="AV113" s="36"/>
    </row>
    <row r="114" spans="1:48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59"/>
      <c r="AT114" s="36"/>
      <c r="AU114" s="59"/>
      <c r="AV114" s="36"/>
    </row>
    <row r="115" spans="1:48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59"/>
      <c r="AT115" s="36"/>
      <c r="AU115" s="59"/>
      <c r="AV115" s="36"/>
    </row>
    <row r="116" spans="1:48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59"/>
      <c r="AT116" s="36"/>
      <c r="AU116" s="59"/>
      <c r="AV116" s="36"/>
    </row>
    <row r="117" spans="1:48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59"/>
      <c r="AT117" s="36"/>
      <c r="AU117" s="59"/>
      <c r="AV117" s="36"/>
    </row>
    <row r="118" spans="1:4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59"/>
      <c r="AT118" s="36"/>
      <c r="AU118" s="59"/>
      <c r="AV118" s="36"/>
    </row>
    <row r="119" spans="1:48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59"/>
      <c r="AT119" s="36"/>
      <c r="AU119" s="59"/>
      <c r="AV119" s="36"/>
    </row>
    <row r="120" spans="1:48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59"/>
      <c r="AT120" s="36"/>
      <c r="AU120" s="59"/>
      <c r="AV120" s="36"/>
    </row>
    <row r="121" spans="1:48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59"/>
      <c r="AT121" s="36"/>
      <c r="AU121" s="59"/>
      <c r="AV121" s="36"/>
    </row>
    <row r="122" spans="1:48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59"/>
      <c r="AT122" s="36"/>
      <c r="AU122" s="59"/>
      <c r="AV122" s="36"/>
    </row>
    <row r="123" spans="1:48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59"/>
      <c r="AT123" s="36"/>
      <c r="AU123" s="59"/>
      <c r="AV123" s="36"/>
    </row>
    <row r="124" spans="1:48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59"/>
      <c r="AT124" s="36"/>
      <c r="AU124" s="59"/>
      <c r="AV124" s="36"/>
    </row>
    <row r="125" spans="1:48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59"/>
      <c r="AT125" s="36"/>
      <c r="AU125" s="59"/>
      <c r="AV125" s="36"/>
    </row>
    <row r="126" spans="1:48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59"/>
      <c r="AT126" s="36"/>
      <c r="AU126" s="59"/>
      <c r="AV126" s="36"/>
    </row>
    <row r="127" spans="1:48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59"/>
      <c r="AT127" s="36"/>
      <c r="AU127" s="59"/>
      <c r="AV127" s="36"/>
    </row>
    <row r="128" spans="1:4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59"/>
      <c r="AT128" s="36"/>
      <c r="AU128" s="59"/>
      <c r="AV128" s="36"/>
    </row>
    <row r="129" spans="1:48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59"/>
      <c r="AT129" s="36"/>
      <c r="AU129" s="59"/>
      <c r="AV129" s="36"/>
    </row>
    <row r="130" spans="1:48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59"/>
      <c r="AT130" s="36"/>
      <c r="AU130" s="59"/>
      <c r="AV130" s="36"/>
    </row>
    <row r="131" spans="1:48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59"/>
      <c r="AT131" s="36"/>
      <c r="AU131" s="59"/>
      <c r="AV131" s="36"/>
    </row>
    <row r="132" spans="1:48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59"/>
      <c r="AT132" s="36"/>
      <c r="AU132" s="59"/>
      <c r="AV132" s="36"/>
    </row>
    <row r="133" spans="1:48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59"/>
      <c r="AT133" s="36"/>
      <c r="AU133" s="59"/>
      <c r="AV133" s="36"/>
    </row>
    <row r="134" spans="1:48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59"/>
      <c r="AT134" s="36"/>
      <c r="AU134" s="59"/>
      <c r="AV134" s="36"/>
    </row>
    <row r="135" spans="1:48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59"/>
      <c r="AT135" s="36"/>
      <c r="AU135" s="59"/>
      <c r="AV135" s="36"/>
    </row>
    <row r="136" spans="1:48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59"/>
      <c r="AT136" s="36"/>
      <c r="AU136" s="59"/>
      <c r="AV136" s="36"/>
    </row>
    <row r="137" spans="1:48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59"/>
      <c r="AT137" s="36"/>
      <c r="AU137" s="59"/>
      <c r="AV137" s="36"/>
    </row>
    <row r="138" spans="1:4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59"/>
      <c r="AT138" s="36"/>
      <c r="AU138" s="59"/>
      <c r="AV138" s="36"/>
    </row>
    <row r="139" spans="1:48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59"/>
      <c r="AT139" s="36"/>
      <c r="AU139" s="59"/>
      <c r="AV139" s="36"/>
    </row>
    <row r="140" spans="1:48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59"/>
      <c r="AT140" s="36"/>
      <c r="AU140" s="59"/>
      <c r="AV140" s="36"/>
    </row>
    <row r="141" spans="1:48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59"/>
      <c r="AT141" s="36"/>
      <c r="AU141" s="59"/>
      <c r="AV141" s="36"/>
    </row>
    <row r="142" spans="1:48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59"/>
      <c r="AT142" s="36"/>
      <c r="AU142" s="59"/>
      <c r="AV142" s="36"/>
    </row>
    <row r="143" spans="1:48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59"/>
      <c r="AT143" s="36"/>
      <c r="AU143" s="59"/>
      <c r="AV143" s="36"/>
    </row>
    <row r="144" spans="1:48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59"/>
      <c r="AT144" s="36"/>
      <c r="AU144" s="59"/>
      <c r="AV144" s="36"/>
    </row>
    <row r="145" spans="1:48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59"/>
      <c r="AT145" s="36"/>
      <c r="AU145" s="59"/>
      <c r="AV145" s="36"/>
    </row>
    <row r="146" spans="1:48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59"/>
      <c r="AT146" s="36"/>
      <c r="AU146" s="59"/>
      <c r="AV146" s="36"/>
    </row>
    <row r="147" spans="1:48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59"/>
      <c r="AT147" s="36"/>
      <c r="AU147" s="59"/>
      <c r="AV147" s="36"/>
    </row>
    <row r="148" spans="1: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59"/>
      <c r="AT148" s="36"/>
      <c r="AU148" s="59"/>
      <c r="AV148" s="36"/>
    </row>
    <row r="149" spans="1:48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59"/>
      <c r="AT149" s="36"/>
      <c r="AU149" s="59"/>
      <c r="AV149" s="36"/>
    </row>
    <row r="150" spans="1:48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59"/>
      <c r="AT150" s="36"/>
      <c r="AU150" s="59"/>
      <c r="AV150" s="36"/>
    </row>
    <row r="151" spans="1:48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59"/>
      <c r="AT151" s="36"/>
      <c r="AU151" s="59"/>
      <c r="AV151" s="36"/>
    </row>
    <row r="152" spans="1:48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59"/>
      <c r="AT152" s="36"/>
      <c r="AU152" s="59"/>
      <c r="AV152" s="36"/>
    </row>
    <row r="153" spans="1:48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59"/>
      <c r="AT153" s="36"/>
      <c r="AU153" s="59"/>
      <c r="AV153" s="36"/>
    </row>
    <row r="154" spans="1:48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59"/>
      <c r="AT154" s="36"/>
      <c r="AU154" s="59"/>
      <c r="AV154" s="36"/>
    </row>
    <row r="155" spans="1:48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59"/>
      <c r="AT155" s="36"/>
      <c r="AU155" s="59"/>
      <c r="AV155" s="36"/>
    </row>
    <row r="156" spans="1:48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59"/>
      <c r="AT156" s="36"/>
      <c r="AU156" s="59"/>
      <c r="AV156" s="36"/>
    </row>
    <row r="157" spans="1:48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59"/>
      <c r="AT157" s="36"/>
      <c r="AU157" s="59"/>
      <c r="AV157" s="36"/>
    </row>
    <row r="158" spans="1:4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59"/>
      <c r="AT158" s="36"/>
      <c r="AU158" s="59"/>
      <c r="AV158" s="36"/>
    </row>
    <row r="159" spans="1:48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59"/>
      <c r="AT159" s="36"/>
      <c r="AU159" s="59"/>
      <c r="AV159" s="36"/>
    </row>
    <row r="160" spans="1:48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59"/>
      <c r="AT160" s="36"/>
      <c r="AU160" s="59"/>
      <c r="AV160" s="36"/>
    </row>
    <row r="161" spans="1:48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59"/>
      <c r="AT161" s="36"/>
      <c r="AU161" s="59"/>
      <c r="AV161" s="36"/>
    </row>
    <row r="162" spans="1:48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59"/>
      <c r="AT162" s="36"/>
      <c r="AU162" s="59"/>
      <c r="AV162" s="36"/>
    </row>
    <row r="163" spans="1:48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59"/>
      <c r="AT163" s="36"/>
      <c r="AU163" s="59"/>
      <c r="AV163" s="36"/>
    </row>
    <row r="164" spans="1:48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59"/>
      <c r="AT164" s="36"/>
      <c r="AU164" s="59"/>
      <c r="AV164" s="36"/>
    </row>
    <row r="165" spans="1:48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59"/>
      <c r="AT165" s="36"/>
      <c r="AU165" s="59"/>
      <c r="AV165" s="36"/>
    </row>
    <row r="166" spans="1:48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59"/>
      <c r="AT166" s="36"/>
      <c r="AU166" s="59"/>
      <c r="AV166" s="36"/>
    </row>
    <row r="167" spans="1:48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59"/>
      <c r="AT167" s="36"/>
      <c r="AU167" s="59"/>
      <c r="AV167" s="36"/>
    </row>
    <row r="168" spans="1:4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59"/>
      <c r="AT168" s="36"/>
      <c r="AU168" s="59"/>
      <c r="AV168" s="36"/>
    </row>
    <row r="169" spans="1:48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59"/>
      <c r="AT169" s="36"/>
      <c r="AU169" s="59"/>
      <c r="AV169" s="36"/>
    </row>
    <row r="170" spans="1:48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59"/>
      <c r="AT170" s="36"/>
      <c r="AU170" s="59"/>
      <c r="AV170" s="36"/>
    </row>
    <row r="171" spans="1:48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59"/>
      <c r="AT171" s="36"/>
      <c r="AU171" s="59"/>
      <c r="AV171" s="36"/>
    </row>
    <row r="172" spans="1:48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59"/>
      <c r="AT172" s="36"/>
      <c r="AU172" s="59"/>
      <c r="AV172" s="36"/>
    </row>
    <row r="173" spans="1:48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59"/>
      <c r="AT173" s="36"/>
      <c r="AU173" s="59"/>
      <c r="AV173" s="36"/>
    </row>
    <row r="174" spans="1:48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59"/>
      <c r="AT174" s="36"/>
      <c r="AU174" s="59"/>
      <c r="AV174" s="36"/>
    </row>
    <row r="175" spans="1:48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59"/>
      <c r="AT175" s="36"/>
      <c r="AU175" s="59"/>
      <c r="AV175" s="36"/>
    </row>
    <row r="176" spans="1:48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59"/>
      <c r="AT176" s="36"/>
      <c r="AU176" s="59"/>
      <c r="AV176" s="36"/>
    </row>
    <row r="177" spans="1:48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59"/>
      <c r="AT177" s="36"/>
      <c r="AU177" s="59"/>
      <c r="AV177" s="36"/>
    </row>
    <row r="178" spans="1:4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59"/>
      <c r="AT178" s="36"/>
      <c r="AU178" s="59"/>
      <c r="AV178" s="36"/>
    </row>
    <row r="179" spans="1:48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59"/>
      <c r="AT179" s="36"/>
      <c r="AU179" s="59"/>
      <c r="AV179" s="36"/>
    </row>
    <row r="180" spans="1:48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59"/>
      <c r="AT180" s="36"/>
      <c r="AU180" s="59"/>
      <c r="AV180" s="36"/>
    </row>
    <row r="181" spans="1:48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59"/>
      <c r="AT181" s="36"/>
      <c r="AU181" s="59"/>
      <c r="AV181" s="36"/>
    </row>
    <row r="182" spans="1:48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59"/>
      <c r="AT182" s="36"/>
      <c r="AU182" s="59"/>
      <c r="AV182" s="36"/>
    </row>
    <row r="183" spans="1:48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59"/>
      <c r="AT183" s="36"/>
      <c r="AU183" s="59"/>
      <c r="AV183" s="36"/>
    </row>
    <row r="184" spans="1:48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59"/>
      <c r="AT184" s="36"/>
      <c r="AU184" s="59"/>
      <c r="AV184" s="36"/>
    </row>
    <row r="185" spans="1:48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59"/>
      <c r="AT185" s="36"/>
      <c r="AU185" s="59"/>
      <c r="AV185" s="36"/>
    </row>
    <row r="186" spans="1:48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59"/>
      <c r="AT186" s="36"/>
      <c r="AU186" s="59"/>
      <c r="AV186" s="36"/>
    </row>
    <row r="187" spans="1:48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59"/>
      <c r="AT187" s="36"/>
      <c r="AU187" s="59"/>
      <c r="AV187" s="36"/>
    </row>
    <row r="188" spans="1:4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59"/>
      <c r="AT188" s="36"/>
      <c r="AU188" s="59"/>
      <c r="AV188" s="36"/>
    </row>
    <row r="189" spans="1:48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59"/>
      <c r="AT189" s="36"/>
      <c r="AU189" s="59"/>
      <c r="AV189" s="36"/>
    </row>
    <row r="190" spans="1:48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59"/>
      <c r="AT190" s="36"/>
      <c r="AU190" s="59"/>
      <c r="AV190" s="36"/>
    </row>
    <row r="191" spans="1:48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59"/>
      <c r="AT191" s="36"/>
      <c r="AU191" s="59"/>
      <c r="AV191" s="36"/>
    </row>
    <row r="192" spans="1:48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59"/>
      <c r="AT192" s="36"/>
      <c r="AU192" s="59"/>
      <c r="AV192" s="36"/>
    </row>
    <row r="193" spans="1:48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59"/>
      <c r="AT193" s="36"/>
      <c r="AU193" s="59"/>
      <c r="AV193" s="36"/>
    </row>
    <row r="194" spans="1:48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59"/>
      <c r="AT194" s="36"/>
      <c r="AU194" s="59"/>
      <c r="AV194" s="36"/>
    </row>
    <row r="195" spans="1:48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59"/>
      <c r="AT195" s="36"/>
      <c r="AU195" s="59"/>
      <c r="AV195" s="36"/>
    </row>
    <row r="196" spans="1:48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59"/>
      <c r="AT196" s="36"/>
      <c r="AU196" s="59"/>
      <c r="AV196" s="36"/>
    </row>
    <row r="197" spans="1:48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59"/>
      <c r="AT197" s="36"/>
      <c r="AU197" s="59"/>
      <c r="AV197" s="36"/>
    </row>
    <row r="198" spans="1:4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59"/>
      <c r="AT198" s="36"/>
      <c r="AU198" s="59"/>
      <c r="AV198" s="36"/>
    </row>
    <row r="199" spans="1:48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59"/>
      <c r="AT199" s="36"/>
      <c r="AU199" s="59"/>
      <c r="AV199" s="36"/>
    </row>
    <row r="200" spans="1:48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59"/>
      <c r="AT200" s="36"/>
      <c r="AU200" s="59"/>
      <c r="AV200" s="36"/>
    </row>
    <row r="201" spans="1:48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59"/>
      <c r="AT201" s="36"/>
      <c r="AU201" s="59"/>
      <c r="AV201" s="36"/>
    </row>
    <row r="202" spans="1:48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59"/>
      <c r="AT202" s="36"/>
      <c r="AU202" s="59"/>
      <c r="AV202" s="36"/>
    </row>
    <row r="203" spans="1:48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59"/>
      <c r="AT203" s="36"/>
      <c r="AU203" s="59"/>
      <c r="AV203" s="36"/>
    </row>
    <row r="204" spans="1:48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59"/>
      <c r="AT204" s="36"/>
      <c r="AU204" s="59"/>
      <c r="AV204" s="36"/>
    </row>
    <row r="205" spans="1:48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59"/>
      <c r="AT205" s="36"/>
      <c r="AU205" s="59"/>
      <c r="AV205" s="36"/>
    </row>
    <row r="206" spans="1:48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59"/>
      <c r="AT206" s="36"/>
      <c r="AU206" s="59"/>
      <c r="AV206" s="36"/>
    </row>
    <row r="207" spans="1:48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59"/>
      <c r="AT207" s="36"/>
      <c r="AU207" s="59"/>
      <c r="AV207" s="36"/>
    </row>
    <row r="208" spans="1:4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59"/>
      <c r="AT208" s="36"/>
      <c r="AU208" s="59"/>
      <c r="AV208" s="36"/>
    </row>
    <row r="209" spans="1:48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59"/>
      <c r="AT209" s="36"/>
      <c r="AU209" s="59"/>
      <c r="AV209" s="36"/>
    </row>
    <row r="210" spans="1:48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59"/>
      <c r="AT210" s="36"/>
      <c r="AU210" s="59"/>
      <c r="AV210" s="36"/>
    </row>
    <row r="211" spans="1:48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59"/>
      <c r="AT211" s="36"/>
      <c r="AU211" s="59"/>
      <c r="AV211" s="36"/>
    </row>
    <row r="212" spans="1:48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59"/>
      <c r="AT212" s="36"/>
      <c r="AU212" s="59"/>
      <c r="AV212" s="36"/>
    </row>
    <row r="213" spans="1:48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59"/>
      <c r="AT213" s="36"/>
      <c r="AU213" s="59"/>
      <c r="AV213" s="36"/>
    </row>
    <row r="214" spans="1:48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59"/>
      <c r="AT214" s="36"/>
      <c r="AU214" s="59"/>
      <c r="AV214" s="36"/>
    </row>
    <row r="215" spans="1:48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59"/>
      <c r="AT215" s="36"/>
      <c r="AU215" s="59"/>
      <c r="AV215" s="36"/>
    </row>
    <row r="216" spans="1:48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59"/>
      <c r="AT216" s="36"/>
      <c r="AU216" s="59"/>
      <c r="AV216" s="36"/>
    </row>
    <row r="217" spans="1:48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59"/>
      <c r="AT217" s="36"/>
      <c r="AU217" s="59"/>
      <c r="AV217" s="36"/>
    </row>
    <row r="218" spans="1:4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59"/>
      <c r="AT218" s="36"/>
      <c r="AU218" s="59"/>
      <c r="AV218" s="36"/>
    </row>
    <row r="219" spans="1:48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59"/>
      <c r="AT219" s="36"/>
      <c r="AU219" s="59"/>
      <c r="AV219" s="36"/>
    </row>
    <row r="220" spans="1:48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59"/>
      <c r="AT220" s="36"/>
      <c r="AU220" s="59"/>
      <c r="AV220" s="36"/>
    </row>
    <row r="221" spans="1:48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59"/>
      <c r="AT221" s="36"/>
      <c r="AU221" s="59"/>
      <c r="AV221" s="36"/>
    </row>
    <row r="222" spans="1:48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59"/>
      <c r="AT222" s="36"/>
      <c r="AU222" s="59"/>
      <c r="AV222" s="36"/>
    </row>
    <row r="223" spans="1:48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59"/>
      <c r="AT223" s="36"/>
      <c r="AU223" s="59"/>
      <c r="AV223" s="36"/>
    </row>
    <row r="224" spans="1:48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59"/>
      <c r="AT224" s="36"/>
      <c r="AU224" s="59"/>
      <c r="AV224" s="36"/>
    </row>
    <row r="225" spans="1:48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59"/>
      <c r="AT225" s="36"/>
      <c r="AU225" s="59"/>
      <c r="AV225" s="36"/>
    </row>
    <row r="226" spans="1:48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59"/>
      <c r="AT226" s="36"/>
      <c r="AU226" s="59"/>
      <c r="AV226" s="36"/>
    </row>
    <row r="227" spans="1:48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59"/>
      <c r="AT227" s="36"/>
      <c r="AU227" s="59"/>
      <c r="AV227" s="36"/>
    </row>
    <row r="228" spans="1:4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59"/>
      <c r="AT228" s="36"/>
      <c r="AU228" s="59"/>
      <c r="AV228" s="36"/>
    </row>
    <row r="229" spans="1:48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59"/>
      <c r="AT229" s="36"/>
      <c r="AU229" s="59"/>
      <c r="AV229" s="36"/>
    </row>
    <row r="230" spans="1:48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59"/>
      <c r="AT230" s="36"/>
      <c r="AU230" s="59"/>
      <c r="AV230" s="36"/>
    </row>
    <row r="231" spans="1:48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59"/>
      <c r="AT231" s="36"/>
      <c r="AU231" s="59"/>
      <c r="AV231" s="36"/>
    </row>
    <row r="232" spans="1:48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59"/>
      <c r="AT232" s="36"/>
      <c r="AU232" s="59"/>
      <c r="AV232" s="36"/>
    </row>
    <row r="233" spans="1:48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59"/>
      <c r="AT233" s="36"/>
      <c r="AU233" s="59"/>
      <c r="AV233" s="36"/>
    </row>
    <row r="234" spans="1:48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59"/>
      <c r="AT234" s="36"/>
      <c r="AU234" s="59"/>
      <c r="AV234" s="36"/>
    </row>
    <row r="235" spans="1:48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59"/>
      <c r="AT235" s="36"/>
      <c r="AU235" s="59"/>
      <c r="AV235" s="36"/>
    </row>
    <row r="236" spans="1:48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59"/>
      <c r="AT236" s="36"/>
      <c r="AU236" s="59"/>
      <c r="AV236" s="36"/>
    </row>
    <row r="237" spans="1:48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59"/>
      <c r="AT237" s="36"/>
      <c r="AU237" s="59"/>
      <c r="AV237" s="36"/>
    </row>
    <row r="238" spans="1:4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59"/>
      <c r="AT238" s="36"/>
      <c r="AU238" s="59"/>
      <c r="AV238" s="36"/>
    </row>
    <row r="239" spans="1:48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59"/>
      <c r="AT239" s="36"/>
      <c r="AU239" s="59"/>
      <c r="AV239" s="36"/>
    </row>
    <row r="240" spans="1:48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59"/>
      <c r="AT240" s="36"/>
      <c r="AU240" s="59"/>
      <c r="AV240" s="36"/>
    </row>
    <row r="241" spans="1:48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59"/>
      <c r="AT241" s="36"/>
      <c r="AU241" s="59"/>
      <c r="AV241" s="36"/>
    </row>
    <row r="242" spans="1:48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59"/>
      <c r="AT242" s="36"/>
      <c r="AU242" s="59"/>
      <c r="AV242" s="36"/>
    </row>
    <row r="243" spans="1:48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59"/>
      <c r="AT243" s="36"/>
      <c r="AU243" s="59"/>
      <c r="AV243" s="36"/>
    </row>
    <row r="244" spans="1:48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59"/>
      <c r="AT244" s="36"/>
      <c r="AU244" s="59"/>
      <c r="AV244" s="36"/>
    </row>
    <row r="245" spans="1:48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59"/>
      <c r="AT245" s="36"/>
      <c r="AU245" s="59"/>
      <c r="AV245" s="36"/>
    </row>
    <row r="246" spans="1:48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59"/>
      <c r="AT246" s="36"/>
      <c r="AU246" s="59"/>
      <c r="AV246" s="36"/>
    </row>
    <row r="247" spans="1:48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59"/>
      <c r="AT247" s="36"/>
      <c r="AU247" s="59"/>
      <c r="AV247" s="3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V1000"/>
  <sheetViews>
    <sheetView topLeftCell="A15" zoomScale="139" workbookViewId="0">
      <selection activeCell="D22" sqref="D22"/>
    </sheetView>
  </sheetViews>
  <sheetFormatPr baseColWidth="10" defaultColWidth="10.28515625" defaultRowHeight="20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6.8554687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8.28515625" style="4" customWidth="1"/>
    <col min="32" max="35" width="6.28515625" style="4" customWidth="1"/>
    <col min="36" max="36" width="11.28515625" style="4" customWidth="1"/>
    <col min="37" max="48" width="9.28515625" style="4" customWidth="1"/>
    <col min="49" max="16384" width="10.28515625" style="4"/>
  </cols>
  <sheetData>
    <row r="1" spans="1:4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  <c r="AV1" s="2"/>
    </row>
    <row r="2" spans="1:48" ht="34">
      <c r="A2" s="5">
        <v>2023</v>
      </c>
      <c r="B2" s="6">
        <v>5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  <c r="AV2" s="2"/>
    </row>
    <row r="3" spans="1:48" ht="33" customHeight="1">
      <c r="A3" s="9"/>
      <c r="B3" s="10" t="s">
        <v>2</v>
      </c>
      <c r="C3" s="11"/>
      <c r="D3" s="12" t="s">
        <v>3</v>
      </c>
      <c r="E3" s="13"/>
      <c r="F3" s="13"/>
      <c r="G3" s="13"/>
      <c r="H3" s="13"/>
      <c r="I3" s="13"/>
      <c r="J3" s="13"/>
      <c r="K3" s="13"/>
      <c r="L3" s="14" t="s">
        <v>4</v>
      </c>
      <c r="M3" s="13"/>
      <c r="N3" s="13"/>
      <c r="O3" s="13"/>
      <c r="P3" s="13"/>
      <c r="Q3" s="13"/>
      <c r="R3" s="13"/>
      <c r="S3" s="13"/>
      <c r="T3" s="15" t="s">
        <v>5</v>
      </c>
      <c r="U3" s="16"/>
      <c r="V3" s="16"/>
      <c r="W3" s="16"/>
      <c r="X3" s="17"/>
      <c r="Y3" s="18" t="s">
        <v>6</v>
      </c>
      <c r="Z3" s="13"/>
      <c r="AA3" s="13"/>
      <c r="AB3" s="13"/>
      <c r="AC3" s="13"/>
      <c r="AD3" s="13"/>
      <c r="AE3" s="13"/>
      <c r="AF3" s="13"/>
      <c r="AG3" s="15" t="s">
        <v>7</v>
      </c>
      <c r="AH3" s="16"/>
      <c r="AI3" s="16"/>
      <c r="AJ3" s="16"/>
      <c r="AK3" s="17"/>
      <c r="AL3" s="19" t="s">
        <v>8</v>
      </c>
      <c r="AM3" s="16"/>
      <c r="AN3" s="16"/>
      <c r="AO3" s="16"/>
      <c r="AP3" s="16"/>
      <c r="AQ3" s="16"/>
      <c r="AR3" s="16"/>
      <c r="AS3" s="17"/>
      <c r="AT3" s="2"/>
      <c r="AU3" s="3"/>
      <c r="AV3" s="2"/>
    </row>
    <row r="4" spans="1:48" ht="53.25" customHeight="1" thickBot="1">
      <c r="A4" s="9"/>
      <c r="B4" s="20"/>
      <c r="C4" s="21" t="s">
        <v>9</v>
      </c>
      <c r="D4" s="22" t="s">
        <v>10</v>
      </c>
      <c r="E4" s="23" t="s">
        <v>11</v>
      </c>
      <c r="F4" s="22" t="s">
        <v>12</v>
      </c>
      <c r="G4" s="24" t="s">
        <v>13</v>
      </c>
      <c r="H4" s="22" t="s">
        <v>14</v>
      </c>
      <c r="I4" s="25" t="s">
        <v>15</v>
      </c>
      <c r="J4" s="23" t="s">
        <v>16</v>
      </c>
      <c r="K4" s="22" t="s">
        <v>17</v>
      </c>
      <c r="L4" s="22" t="s">
        <v>18</v>
      </c>
      <c r="M4" s="26" t="s">
        <v>11</v>
      </c>
      <c r="N4" s="22" t="s">
        <v>12</v>
      </c>
      <c r="O4" s="24" t="s">
        <v>13</v>
      </c>
      <c r="P4" s="22" t="s">
        <v>14</v>
      </c>
      <c r="Q4" s="25" t="s">
        <v>15</v>
      </c>
      <c r="R4" s="23" t="s">
        <v>16</v>
      </c>
      <c r="S4" s="27" t="s">
        <v>17</v>
      </c>
      <c r="T4" s="28" t="s">
        <v>19</v>
      </c>
      <c r="U4" s="29" t="s">
        <v>20</v>
      </c>
      <c r="V4" s="29" t="s">
        <v>21</v>
      </c>
      <c r="W4" s="30" t="s">
        <v>22</v>
      </c>
      <c r="X4" s="29"/>
      <c r="Y4" s="31" t="s">
        <v>23</v>
      </c>
      <c r="Z4" s="32" t="s">
        <v>11</v>
      </c>
      <c r="AA4" s="22" t="s">
        <v>20</v>
      </c>
      <c r="AB4" s="24" t="s">
        <v>24</v>
      </c>
      <c r="AC4" s="22" t="s">
        <v>21</v>
      </c>
      <c r="AD4" s="25" t="s">
        <v>25</v>
      </c>
      <c r="AE4" s="26" t="s">
        <v>26</v>
      </c>
      <c r="AF4" s="33" t="s">
        <v>17</v>
      </c>
      <c r="AG4" s="28" t="s">
        <v>19</v>
      </c>
      <c r="AH4" s="29" t="s">
        <v>20</v>
      </c>
      <c r="AI4" s="29" t="s">
        <v>21</v>
      </c>
      <c r="AJ4" s="30" t="s">
        <v>22</v>
      </c>
      <c r="AK4" s="29" t="s">
        <v>27</v>
      </c>
      <c r="AL4" s="34" t="s">
        <v>28</v>
      </c>
      <c r="AM4" s="34" t="s">
        <v>29</v>
      </c>
      <c r="AN4" s="34" t="s">
        <v>30</v>
      </c>
      <c r="AO4" s="34" t="s">
        <v>31</v>
      </c>
      <c r="AP4" s="34" t="s">
        <v>32</v>
      </c>
      <c r="AQ4" s="34" t="s">
        <v>33</v>
      </c>
      <c r="AR4" s="34" t="s">
        <v>34</v>
      </c>
      <c r="AS4" s="35" t="s">
        <v>35</v>
      </c>
      <c r="AT4" s="2"/>
      <c r="AU4" s="3"/>
      <c r="AV4" s="2"/>
    </row>
    <row r="5" spans="1:48" ht="22" thickTop="1">
      <c r="A5" s="36"/>
      <c r="B5" s="37">
        <f>DATE($A$2,$B$2,1)</f>
        <v>45047</v>
      </c>
      <c r="C5" s="38"/>
      <c r="D5" s="39"/>
      <c r="E5" s="40">
        <v>25</v>
      </c>
      <c r="F5" s="41">
        <v>55550</v>
      </c>
      <c r="G5" s="42">
        <f t="shared" ref="G5:G35" si="0">ROUNDDOWN(F5/1.1,0)/E5</f>
        <v>2020</v>
      </c>
      <c r="H5" s="41">
        <v>13900</v>
      </c>
      <c r="I5" s="43">
        <f t="shared" ref="I5:I35" si="1">ROUNDDOWN(H5/1.1,0)/E5</f>
        <v>505.44</v>
      </c>
      <c r="J5" s="44">
        <f t="shared" ref="J5:J35" si="2">F5+H5</f>
        <v>69450</v>
      </c>
      <c r="K5" s="45">
        <f t="shared" ref="K5:K35" si="3">IF(E5="","",J5/E5)</f>
        <v>2778</v>
      </c>
      <c r="L5" s="46"/>
      <c r="M5" s="47">
        <f t="shared" ref="M5:N35" si="4">AL5-E5</f>
        <v>29</v>
      </c>
      <c r="N5" s="48">
        <f t="shared" si="4"/>
        <v>246400</v>
      </c>
      <c r="O5" s="42">
        <f t="shared" ref="O5:O35" si="5">ROUNDDOWN(N5/1.1,0)/M5</f>
        <v>7724.1379310344828</v>
      </c>
      <c r="P5" s="48">
        <f t="shared" ref="P5:P35" si="6">AN5-H5</f>
        <v>47060</v>
      </c>
      <c r="Q5" s="43">
        <f t="shared" ref="Q5:Q35" si="7">ROUNDDOWN(P5/1.1,0)/M5</f>
        <v>1475.2068965517242</v>
      </c>
      <c r="R5" s="49">
        <f t="shared" ref="R5:R35" si="8">N5+P5</f>
        <v>293460</v>
      </c>
      <c r="S5" s="45">
        <f t="shared" ref="S5:S35" si="9">IF(M5="","",R5/M5)</f>
        <v>10119.310344827587</v>
      </c>
      <c r="T5" s="50">
        <f t="shared" ref="T5:U35" si="10">E5+M5</f>
        <v>54</v>
      </c>
      <c r="U5" s="48">
        <f t="shared" si="10"/>
        <v>301950</v>
      </c>
      <c r="V5" s="48">
        <f t="shared" ref="V5:V35" si="11">H5+P5</f>
        <v>60960</v>
      </c>
      <c r="W5" s="51">
        <f t="shared" ref="W5:W35" si="12">J5+R5</f>
        <v>362910</v>
      </c>
      <c r="X5" s="48"/>
      <c r="Y5" s="52"/>
      <c r="Z5" s="53">
        <v>110</v>
      </c>
      <c r="AA5" s="41">
        <v>57000</v>
      </c>
      <c r="AB5" s="42">
        <f t="shared" ref="AB5:AB35" si="13">AA5/Z5</f>
        <v>518.18181818181813</v>
      </c>
      <c r="AC5" s="41">
        <v>32500</v>
      </c>
      <c r="AD5" s="43">
        <f t="shared" ref="AD5:AD35" si="14">AC5/Z5</f>
        <v>295.45454545454544</v>
      </c>
      <c r="AE5" s="54">
        <f t="shared" ref="AE5:AE35" si="15">AA5+AC5</f>
        <v>89500</v>
      </c>
      <c r="AF5" s="45">
        <f t="shared" ref="AF5:AF35" si="16">IF(Z5="","",AE5/Z5)</f>
        <v>813.63636363636363</v>
      </c>
      <c r="AG5" s="50">
        <f t="shared" ref="AG5:AG35" si="17">SUM(E5,M5)</f>
        <v>54</v>
      </c>
      <c r="AH5" s="48">
        <f t="shared" ref="AH5:AH35" si="18">U5+AA5</f>
        <v>358950</v>
      </c>
      <c r="AI5" s="48">
        <f t="shared" ref="AI5:AI35" si="19">V5+AC5</f>
        <v>93460</v>
      </c>
      <c r="AJ5" s="55">
        <f t="shared" ref="AJ5:AJ35" si="20">W5+AE5</f>
        <v>452410</v>
      </c>
      <c r="AK5" s="48">
        <f t="shared" ref="AK5:AK35" si="21">AO5+AP5+AQ5</f>
        <v>56700</v>
      </c>
      <c r="AL5" s="56">
        <v>54</v>
      </c>
      <c r="AM5" s="56">
        <v>301950</v>
      </c>
      <c r="AN5" s="56">
        <v>60960</v>
      </c>
      <c r="AO5" s="57">
        <v>17050</v>
      </c>
      <c r="AP5" s="57">
        <v>39650</v>
      </c>
      <c r="AQ5" s="57">
        <v>0</v>
      </c>
      <c r="AR5" s="57">
        <v>0</v>
      </c>
      <c r="AS5" s="58">
        <f t="shared" ref="AS5:AS35" si="22">SUM(AM5:AQ5)</f>
        <v>419610</v>
      </c>
      <c r="AT5" s="36">
        <v>1</v>
      </c>
      <c r="AU5" s="59">
        <f t="shared" ref="AU5:AU35" si="23">AR5+AS5</f>
        <v>419610</v>
      </c>
      <c r="AV5" s="36"/>
    </row>
    <row r="6" spans="1:48" ht="21">
      <c r="A6" s="36"/>
      <c r="B6" s="60">
        <f t="shared" ref="B6:B35" si="24">B5+1</f>
        <v>45048</v>
      </c>
      <c r="C6" s="61"/>
      <c r="D6" s="39"/>
      <c r="E6" s="40">
        <v>23</v>
      </c>
      <c r="F6" s="41">
        <v>62040</v>
      </c>
      <c r="G6" s="42">
        <f t="shared" si="0"/>
        <v>2452.1739130434785</v>
      </c>
      <c r="H6" s="41">
        <v>11210</v>
      </c>
      <c r="I6" s="43">
        <f t="shared" si="1"/>
        <v>443.04347826086956</v>
      </c>
      <c r="J6" s="44">
        <f t="shared" si="2"/>
        <v>73250</v>
      </c>
      <c r="K6" s="45">
        <f t="shared" si="3"/>
        <v>3184.782608695652</v>
      </c>
      <c r="L6" s="46"/>
      <c r="M6" s="47">
        <f t="shared" si="4"/>
        <v>41</v>
      </c>
      <c r="N6" s="48">
        <f t="shared" si="4"/>
        <v>370020</v>
      </c>
      <c r="O6" s="42">
        <f t="shared" si="5"/>
        <v>8204.414634146342</v>
      </c>
      <c r="P6" s="48">
        <f t="shared" si="6"/>
        <v>58840</v>
      </c>
      <c r="Q6" s="43">
        <f t="shared" si="7"/>
        <v>1304.6341463414635</v>
      </c>
      <c r="R6" s="49">
        <f t="shared" si="8"/>
        <v>428860</v>
      </c>
      <c r="S6" s="45">
        <f t="shared" si="9"/>
        <v>10460</v>
      </c>
      <c r="T6" s="62">
        <f t="shared" si="10"/>
        <v>64</v>
      </c>
      <c r="U6" s="48">
        <f t="shared" si="10"/>
        <v>432060</v>
      </c>
      <c r="V6" s="48">
        <f t="shared" si="11"/>
        <v>70050</v>
      </c>
      <c r="W6" s="51">
        <f t="shared" si="12"/>
        <v>502110</v>
      </c>
      <c r="X6" s="56"/>
      <c r="Y6" s="52"/>
      <c r="Z6" s="53">
        <v>159</v>
      </c>
      <c r="AA6" s="41">
        <v>83200</v>
      </c>
      <c r="AB6" s="42">
        <f t="shared" si="13"/>
        <v>523.27044025157238</v>
      </c>
      <c r="AC6" s="41">
        <v>51700</v>
      </c>
      <c r="AD6" s="43">
        <f t="shared" si="14"/>
        <v>325.15723270440253</v>
      </c>
      <c r="AE6" s="54">
        <f t="shared" si="15"/>
        <v>134900</v>
      </c>
      <c r="AF6" s="45">
        <f t="shared" si="16"/>
        <v>848.4276729559748</v>
      </c>
      <c r="AG6" s="62">
        <f t="shared" si="17"/>
        <v>64</v>
      </c>
      <c r="AH6" s="48">
        <f t="shared" si="18"/>
        <v>515260</v>
      </c>
      <c r="AI6" s="48">
        <f t="shared" si="19"/>
        <v>121750</v>
      </c>
      <c r="AJ6" s="55">
        <f t="shared" si="20"/>
        <v>637010</v>
      </c>
      <c r="AK6" s="48">
        <f t="shared" si="21"/>
        <v>21670</v>
      </c>
      <c r="AL6" s="56">
        <v>64</v>
      </c>
      <c r="AM6" s="56">
        <v>432060</v>
      </c>
      <c r="AN6" s="56">
        <v>70050</v>
      </c>
      <c r="AO6" s="57">
        <v>17600</v>
      </c>
      <c r="AP6" s="57">
        <v>4070</v>
      </c>
      <c r="AQ6" s="57">
        <v>0</v>
      </c>
      <c r="AR6" s="57">
        <v>3300</v>
      </c>
      <c r="AS6" s="58">
        <f t="shared" si="22"/>
        <v>523780</v>
      </c>
      <c r="AT6" s="36">
        <v>2</v>
      </c>
      <c r="AU6" s="59">
        <f t="shared" si="23"/>
        <v>527080</v>
      </c>
      <c r="AV6" s="36" t="s">
        <v>59</v>
      </c>
    </row>
    <row r="7" spans="1:48" ht="21">
      <c r="A7" s="36"/>
      <c r="B7" s="65">
        <f t="shared" si="24"/>
        <v>45049</v>
      </c>
      <c r="C7" s="61"/>
      <c r="D7" s="39"/>
      <c r="E7" s="40">
        <v>40</v>
      </c>
      <c r="F7" s="41">
        <v>144650</v>
      </c>
      <c r="G7" s="42">
        <f t="shared" si="0"/>
        <v>3287.5</v>
      </c>
      <c r="H7" s="41">
        <v>17690</v>
      </c>
      <c r="I7" s="43">
        <f t="shared" si="1"/>
        <v>402.02499999999998</v>
      </c>
      <c r="J7" s="44">
        <f t="shared" si="2"/>
        <v>162340</v>
      </c>
      <c r="K7" s="45">
        <f t="shared" si="3"/>
        <v>4058.5</v>
      </c>
      <c r="L7" s="46"/>
      <c r="M7" s="47">
        <f t="shared" si="4"/>
        <v>35</v>
      </c>
      <c r="N7" s="48">
        <f t="shared" si="4"/>
        <v>299310</v>
      </c>
      <c r="O7" s="42">
        <f t="shared" si="5"/>
        <v>7774.2857142857147</v>
      </c>
      <c r="P7" s="48">
        <f t="shared" si="6"/>
        <v>53980</v>
      </c>
      <c r="Q7" s="43">
        <f t="shared" si="7"/>
        <v>1402.0571428571429</v>
      </c>
      <c r="R7" s="49">
        <f t="shared" si="8"/>
        <v>353290</v>
      </c>
      <c r="S7" s="45">
        <f t="shared" si="9"/>
        <v>10094</v>
      </c>
      <c r="T7" s="62">
        <f t="shared" si="10"/>
        <v>75</v>
      </c>
      <c r="U7" s="48">
        <f t="shared" si="10"/>
        <v>443960</v>
      </c>
      <c r="V7" s="48">
        <f t="shared" si="11"/>
        <v>71670</v>
      </c>
      <c r="W7" s="51">
        <f t="shared" si="12"/>
        <v>515630</v>
      </c>
      <c r="X7" s="56"/>
      <c r="Y7" s="52"/>
      <c r="Z7" s="53">
        <v>250</v>
      </c>
      <c r="AA7" s="41">
        <v>174950</v>
      </c>
      <c r="AB7" s="42">
        <f t="shared" si="13"/>
        <v>699.8</v>
      </c>
      <c r="AC7" s="41">
        <v>62600</v>
      </c>
      <c r="AD7" s="43">
        <f t="shared" si="14"/>
        <v>250.4</v>
      </c>
      <c r="AE7" s="54">
        <f t="shared" si="15"/>
        <v>237550</v>
      </c>
      <c r="AF7" s="45">
        <f t="shared" si="16"/>
        <v>950.2</v>
      </c>
      <c r="AG7" s="62">
        <f t="shared" si="17"/>
        <v>75</v>
      </c>
      <c r="AH7" s="48">
        <f t="shared" si="18"/>
        <v>618910</v>
      </c>
      <c r="AI7" s="48">
        <f t="shared" si="19"/>
        <v>134270</v>
      </c>
      <c r="AJ7" s="55">
        <f t="shared" si="20"/>
        <v>753180</v>
      </c>
      <c r="AK7" s="48">
        <f t="shared" si="21"/>
        <v>17050</v>
      </c>
      <c r="AL7" s="56">
        <v>75</v>
      </c>
      <c r="AM7" s="56">
        <v>443960</v>
      </c>
      <c r="AN7" s="56">
        <v>71670</v>
      </c>
      <c r="AO7" s="57">
        <v>17050</v>
      </c>
      <c r="AP7" s="57">
        <v>0</v>
      </c>
      <c r="AQ7" s="57">
        <v>0</v>
      </c>
      <c r="AR7" s="57">
        <v>0</v>
      </c>
      <c r="AS7" s="58">
        <f t="shared" si="22"/>
        <v>532680</v>
      </c>
      <c r="AT7" s="36">
        <v>3</v>
      </c>
      <c r="AU7" s="59">
        <f t="shared" si="23"/>
        <v>532680</v>
      </c>
      <c r="AV7" s="36" t="s">
        <v>60</v>
      </c>
    </row>
    <row r="8" spans="1:48" ht="21">
      <c r="A8" s="36"/>
      <c r="B8" s="65">
        <f t="shared" si="24"/>
        <v>45050</v>
      </c>
      <c r="C8" s="61"/>
      <c r="D8" s="39"/>
      <c r="E8" s="40">
        <v>30</v>
      </c>
      <c r="F8" s="41">
        <v>96360</v>
      </c>
      <c r="G8" s="42">
        <f t="shared" si="0"/>
        <v>2920</v>
      </c>
      <c r="H8" s="41">
        <v>17060</v>
      </c>
      <c r="I8" s="43">
        <f t="shared" si="1"/>
        <v>516.9666666666667</v>
      </c>
      <c r="J8" s="44">
        <f t="shared" si="2"/>
        <v>113420</v>
      </c>
      <c r="K8" s="45">
        <f t="shared" si="3"/>
        <v>3780.6666666666665</v>
      </c>
      <c r="L8" s="46"/>
      <c r="M8" s="47">
        <f t="shared" si="4"/>
        <v>39</v>
      </c>
      <c r="N8" s="48">
        <f t="shared" si="4"/>
        <v>354310</v>
      </c>
      <c r="O8" s="42">
        <f t="shared" si="5"/>
        <v>8258.9743589743593</v>
      </c>
      <c r="P8" s="48">
        <f t="shared" si="6"/>
        <v>73990</v>
      </c>
      <c r="Q8" s="43">
        <f t="shared" si="7"/>
        <v>1724.6923076923076</v>
      </c>
      <c r="R8" s="49">
        <f t="shared" si="8"/>
        <v>428300</v>
      </c>
      <c r="S8" s="45">
        <f t="shared" si="9"/>
        <v>10982.051282051281</v>
      </c>
      <c r="T8" s="62">
        <f t="shared" si="10"/>
        <v>69</v>
      </c>
      <c r="U8" s="48">
        <f t="shared" si="10"/>
        <v>450670</v>
      </c>
      <c r="V8" s="48">
        <f t="shared" si="11"/>
        <v>91050</v>
      </c>
      <c r="W8" s="51">
        <f t="shared" si="12"/>
        <v>541720</v>
      </c>
      <c r="X8" s="56"/>
      <c r="Y8" s="52"/>
      <c r="Z8" s="53">
        <v>277</v>
      </c>
      <c r="AA8" s="41">
        <v>228900</v>
      </c>
      <c r="AB8" s="42">
        <f t="shared" si="13"/>
        <v>826.35379061371839</v>
      </c>
      <c r="AC8" s="41">
        <v>49050</v>
      </c>
      <c r="AD8" s="43">
        <f t="shared" si="14"/>
        <v>177.07581227436822</v>
      </c>
      <c r="AE8" s="54">
        <f t="shared" si="15"/>
        <v>277950</v>
      </c>
      <c r="AF8" s="45">
        <f t="shared" si="16"/>
        <v>1003.4296028880866</v>
      </c>
      <c r="AG8" s="62">
        <f t="shared" si="17"/>
        <v>69</v>
      </c>
      <c r="AH8" s="48">
        <f t="shared" si="18"/>
        <v>679570</v>
      </c>
      <c r="AI8" s="48">
        <f t="shared" si="19"/>
        <v>140100</v>
      </c>
      <c r="AJ8" s="64">
        <f t="shared" si="20"/>
        <v>819670</v>
      </c>
      <c r="AK8" s="48">
        <f t="shared" si="21"/>
        <v>20900</v>
      </c>
      <c r="AL8" s="56">
        <v>69</v>
      </c>
      <c r="AM8" s="56">
        <v>450670</v>
      </c>
      <c r="AN8" s="56">
        <v>91050</v>
      </c>
      <c r="AO8" s="57">
        <v>20900</v>
      </c>
      <c r="AP8" s="57">
        <v>0</v>
      </c>
      <c r="AQ8" s="57">
        <v>0</v>
      </c>
      <c r="AR8" s="57">
        <v>0</v>
      </c>
      <c r="AS8" s="58">
        <f t="shared" si="22"/>
        <v>562620</v>
      </c>
      <c r="AT8" s="36">
        <v>4</v>
      </c>
      <c r="AU8" s="59">
        <f t="shared" si="23"/>
        <v>562620</v>
      </c>
      <c r="AV8" s="36"/>
    </row>
    <row r="9" spans="1:48" ht="21">
      <c r="A9" s="36"/>
      <c r="B9" s="65">
        <f t="shared" si="24"/>
        <v>45051</v>
      </c>
      <c r="C9" s="61"/>
      <c r="D9" s="39"/>
      <c r="E9" s="40">
        <v>24</v>
      </c>
      <c r="F9" s="41">
        <v>91740</v>
      </c>
      <c r="G9" s="42">
        <f t="shared" si="0"/>
        <v>3475</v>
      </c>
      <c r="H9" s="41">
        <v>20760</v>
      </c>
      <c r="I9" s="43">
        <f t="shared" si="1"/>
        <v>786.33333333333337</v>
      </c>
      <c r="J9" s="44">
        <f t="shared" si="2"/>
        <v>112500</v>
      </c>
      <c r="K9" s="45">
        <f t="shared" si="3"/>
        <v>4687.5</v>
      </c>
      <c r="L9" s="46"/>
      <c r="M9" s="47">
        <f t="shared" si="4"/>
        <v>40</v>
      </c>
      <c r="N9" s="48">
        <f t="shared" si="4"/>
        <v>290180</v>
      </c>
      <c r="O9" s="42">
        <f t="shared" si="5"/>
        <v>6595</v>
      </c>
      <c r="P9" s="48">
        <f t="shared" si="6"/>
        <v>78260</v>
      </c>
      <c r="Q9" s="43">
        <f t="shared" si="7"/>
        <v>1778.625</v>
      </c>
      <c r="R9" s="49">
        <f t="shared" si="8"/>
        <v>368440</v>
      </c>
      <c r="S9" s="45">
        <f t="shared" si="9"/>
        <v>9211</v>
      </c>
      <c r="T9" s="62">
        <f t="shared" si="10"/>
        <v>64</v>
      </c>
      <c r="U9" s="48">
        <f t="shared" si="10"/>
        <v>381920</v>
      </c>
      <c r="V9" s="48">
        <f t="shared" si="11"/>
        <v>99020</v>
      </c>
      <c r="W9" s="51">
        <f t="shared" si="12"/>
        <v>480940</v>
      </c>
      <c r="X9" s="56"/>
      <c r="Y9" s="52"/>
      <c r="Z9" s="53">
        <v>244</v>
      </c>
      <c r="AA9" s="41">
        <v>186900</v>
      </c>
      <c r="AB9" s="42">
        <f t="shared" si="13"/>
        <v>765.98360655737702</v>
      </c>
      <c r="AC9" s="41">
        <v>44800</v>
      </c>
      <c r="AD9" s="43">
        <f t="shared" si="14"/>
        <v>183.60655737704917</v>
      </c>
      <c r="AE9" s="54">
        <f t="shared" si="15"/>
        <v>231700</v>
      </c>
      <c r="AF9" s="45">
        <f t="shared" si="16"/>
        <v>949.59016393442619</v>
      </c>
      <c r="AG9" s="62">
        <f t="shared" si="17"/>
        <v>64</v>
      </c>
      <c r="AH9" s="48">
        <f t="shared" si="18"/>
        <v>568820</v>
      </c>
      <c r="AI9" s="48">
        <f t="shared" si="19"/>
        <v>143820</v>
      </c>
      <c r="AJ9" s="55">
        <f t="shared" si="20"/>
        <v>712640</v>
      </c>
      <c r="AK9" s="48">
        <f t="shared" si="21"/>
        <v>24310</v>
      </c>
      <c r="AL9" s="56">
        <v>64</v>
      </c>
      <c r="AM9" s="56">
        <v>381920</v>
      </c>
      <c r="AN9" s="56">
        <v>99020</v>
      </c>
      <c r="AO9" s="57">
        <v>18150</v>
      </c>
      <c r="AP9" s="57">
        <v>2860</v>
      </c>
      <c r="AQ9" s="57">
        <v>3300</v>
      </c>
      <c r="AR9" s="57">
        <f>23100+22000</f>
        <v>45100</v>
      </c>
      <c r="AS9" s="58">
        <f t="shared" si="22"/>
        <v>505250</v>
      </c>
      <c r="AT9" s="36">
        <v>5</v>
      </c>
      <c r="AU9" s="59">
        <f t="shared" si="23"/>
        <v>550350</v>
      </c>
      <c r="AV9" s="36"/>
    </row>
    <row r="10" spans="1:48" ht="21">
      <c r="A10" s="36"/>
      <c r="B10" s="164">
        <f t="shared" si="24"/>
        <v>45052</v>
      </c>
      <c r="C10" s="61"/>
      <c r="D10" s="39"/>
      <c r="E10" s="40">
        <v>12</v>
      </c>
      <c r="F10" s="41">
        <v>46310</v>
      </c>
      <c r="G10" s="42">
        <f t="shared" si="0"/>
        <v>3508.3333333333335</v>
      </c>
      <c r="H10" s="41">
        <v>10820</v>
      </c>
      <c r="I10" s="43">
        <f t="shared" si="1"/>
        <v>819.66666666666663</v>
      </c>
      <c r="J10" s="44">
        <f t="shared" si="2"/>
        <v>57130</v>
      </c>
      <c r="K10" s="45">
        <f t="shared" si="3"/>
        <v>4760.833333333333</v>
      </c>
      <c r="L10" s="46"/>
      <c r="M10" s="47">
        <f t="shared" si="4"/>
        <v>20</v>
      </c>
      <c r="N10" s="48">
        <f t="shared" si="4"/>
        <v>226050</v>
      </c>
      <c r="O10" s="42">
        <f t="shared" si="5"/>
        <v>10275</v>
      </c>
      <c r="P10" s="48">
        <f t="shared" si="6"/>
        <v>39320</v>
      </c>
      <c r="Q10" s="43">
        <f t="shared" si="7"/>
        <v>1787.25</v>
      </c>
      <c r="R10" s="49">
        <f t="shared" si="8"/>
        <v>265370</v>
      </c>
      <c r="S10" s="45">
        <f t="shared" si="9"/>
        <v>13268.5</v>
      </c>
      <c r="T10" s="62">
        <f t="shared" si="10"/>
        <v>32</v>
      </c>
      <c r="U10" s="48">
        <f t="shared" si="10"/>
        <v>272360</v>
      </c>
      <c r="V10" s="48">
        <f t="shared" si="11"/>
        <v>50140</v>
      </c>
      <c r="W10" s="51">
        <f t="shared" si="12"/>
        <v>322500</v>
      </c>
      <c r="X10" s="56"/>
      <c r="Y10" s="52"/>
      <c r="Z10" s="53">
        <v>76</v>
      </c>
      <c r="AA10" s="41">
        <v>47100</v>
      </c>
      <c r="AB10" s="42">
        <f t="shared" si="13"/>
        <v>619.73684210526312</v>
      </c>
      <c r="AC10" s="41">
        <v>21600</v>
      </c>
      <c r="AD10" s="43">
        <f t="shared" si="14"/>
        <v>284.21052631578948</v>
      </c>
      <c r="AE10" s="54">
        <f t="shared" si="15"/>
        <v>68700</v>
      </c>
      <c r="AF10" s="45">
        <f t="shared" si="16"/>
        <v>903.9473684210526</v>
      </c>
      <c r="AG10" s="62">
        <f t="shared" si="17"/>
        <v>32</v>
      </c>
      <c r="AH10" s="48">
        <f t="shared" si="18"/>
        <v>319460</v>
      </c>
      <c r="AI10" s="48">
        <f t="shared" si="19"/>
        <v>71740</v>
      </c>
      <c r="AJ10" s="55">
        <f t="shared" si="20"/>
        <v>391200</v>
      </c>
      <c r="AK10" s="48">
        <f t="shared" si="21"/>
        <v>18700</v>
      </c>
      <c r="AL10" s="56">
        <v>32</v>
      </c>
      <c r="AM10" s="56">
        <v>272360</v>
      </c>
      <c r="AN10" s="56">
        <v>50140</v>
      </c>
      <c r="AO10" s="57">
        <v>17050</v>
      </c>
      <c r="AP10" s="57">
        <v>1650</v>
      </c>
      <c r="AQ10" s="57">
        <v>0</v>
      </c>
      <c r="AR10" s="57">
        <v>16500</v>
      </c>
      <c r="AS10" s="58">
        <f t="shared" si="22"/>
        <v>341200</v>
      </c>
      <c r="AT10" s="36">
        <v>6</v>
      </c>
      <c r="AU10" s="59">
        <f t="shared" si="23"/>
        <v>357700</v>
      </c>
      <c r="AV10" s="36"/>
    </row>
    <row r="11" spans="1:48" ht="21">
      <c r="A11" s="36"/>
      <c r="B11" s="65">
        <f t="shared" si="24"/>
        <v>45053</v>
      </c>
      <c r="C11" s="61"/>
      <c r="D11" s="39"/>
      <c r="E11" s="40">
        <v>17</v>
      </c>
      <c r="F11" s="41">
        <v>46640</v>
      </c>
      <c r="G11" s="42">
        <f t="shared" si="0"/>
        <v>2494.1176470588234</v>
      </c>
      <c r="H11" s="41">
        <v>3250</v>
      </c>
      <c r="I11" s="43">
        <f t="shared" si="1"/>
        <v>173.76470588235293</v>
      </c>
      <c r="J11" s="44">
        <f t="shared" si="2"/>
        <v>49890</v>
      </c>
      <c r="K11" s="45">
        <f t="shared" si="3"/>
        <v>2934.705882352941</v>
      </c>
      <c r="L11" s="46"/>
      <c r="M11" s="47">
        <f t="shared" si="4"/>
        <v>27</v>
      </c>
      <c r="N11" s="48">
        <f t="shared" si="4"/>
        <v>280280</v>
      </c>
      <c r="O11" s="42">
        <f t="shared" si="5"/>
        <v>9437.0370370370365</v>
      </c>
      <c r="P11" s="48">
        <f t="shared" si="6"/>
        <v>64540</v>
      </c>
      <c r="Q11" s="43">
        <f t="shared" si="7"/>
        <v>2173.037037037037</v>
      </c>
      <c r="R11" s="49">
        <f t="shared" si="8"/>
        <v>344820</v>
      </c>
      <c r="S11" s="45">
        <f t="shared" si="9"/>
        <v>12771.111111111111</v>
      </c>
      <c r="T11" s="62">
        <f t="shared" si="10"/>
        <v>44</v>
      </c>
      <c r="U11" s="48">
        <f t="shared" si="10"/>
        <v>326920</v>
      </c>
      <c r="V11" s="48">
        <f t="shared" si="11"/>
        <v>67790</v>
      </c>
      <c r="W11" s="51">
        <f t="shared" si="12"/>
        <v>394710</v>
      </c>
      <c r="X11" s="56"/>
      <c r="Y11" s="52"/>
      <c r="Z11" s="53">
        <v>182</v>
      </c>
      <c r="AA11" s="41">
        <v>127700</v>
      </c>
      <c r="AB11" s="42">
        <f t="shared" si="13"/>
        <v>701.64835164835165</v>
      </c>
      <c r="AC11" s="41">
        <v>27800</v>
      </c>
      <c r="AD11" s="43">
        <f t="shared" si="14"/>
        <v>152.74725274725276</v>
      </c>
      <c r="AE11" s="54">
        <f t="shared" si="15"/>
        <v>155500</v>
      </c>
      <c r="AF11" s="45">
        <f t="shared" si="16"/>
        <v>854.39560439560444</v>
      </c>
      <c r="AG11" s="62">
        <f t="shared" si="17"/>
        <v>44</v>
      </c>
      <c r="AH11" s="48">
        <f t="shared" si="18"/>
        <v>454620</v>
      </c>
      <c r="AI11" s="48">
        <f t="shared" si="19"/>
        <v>95590</v>
      </c>
      <c r="AJ11" s="55">
        <f t="shared" si="20"/>
        <v>550210</v>
      </c>
      <c r="AK11" s="48">
        <f t="shared" si="21"/>
        <v>15950</v>
      </c>
      <c r="AL11" s="56">
        <v>44</v>
      </c>
      <c r="AM11" s="56">
        <v>326920</v>
      </c>
      <c r="AN11" s="56">
        <v>67790</v>
      </c>
      <c r="AO11" s="57">
        <v>15950</v>
      </c>
      <c r="AP11" s="57">
        <v>0</v>
      </c>
      <c r="AQ11" s="57">
        <v>0</v>
      </c>
      <c r="AR11" s="57">
        <v>0</v>
      </c>
      <c r="AS11" s="58">
        <f t="shared" si="22"/>
        <v>410660</v>
      </c>
      <c r="AT11" s="36">
        <v>7</v>
      </c>
      <c r="AU11" s="59">
        <f t="shared" si="23"/>
        <v>410660</v>
      </c>
      <c r="AV11" s="36"/>
    </row>
    <row r="12" spans="1:48" ht="21">
      <c r="A12" s="36"/>
      <c r="B12" s="165">
        <f t="shared" si="24"/>
        <v>45054</v>
      </c>
      <c r="C12" s="61" t="s">
        <v>61</v>
      </c>
      <c r="D12" s="39"/>
      <c r="E12" s="40"/>
      <c r="F12" s="41"/>
      <c r="G12" s="42" t="e">
        <f t="shared" si="0"/>
        <v>#DIV/0!</v>
      </c>
      <c r="H12" s="41"/>
      <c r="I12" s="43" t="e">
        <f t="shared" si="1"/>
        <v>#DIV/0!</v>
      </c>
      <c r="J12" s="44">
        <f t="shared" si="2"/>
        <v>0</v>
      </c>
      <c r="K12" s="45" t="str">
        <f t="shared" si="3"/>
        <v/>
      </c>
      <c r="L12" s="46"/>
      <c r="M12" s="47">
        <f t="shared" si="4"/>
        <v>30</v>
      </c>
      <c r="N12" s="48">
        <f t="shared" si="4"/>
        <v>260700</v>
      </c>
      <c r="O12" s="42">
        <f t="shared" si="5"/>
        <v>7900</v>
      </c>
      <c r="P12" s="48">
        <f t="shared" si="6"/>
        <v>43140</v>
      </c>
      <c r="Q12" s="67">
        <f t="shared" si="7"/>
        <v>1307.2666666666667</v>
      </c>
      <c r="R12" s="49">
        <f t="shared" si="8"/>
        <v>303840</v>
      </c>
      <c r="S12" s="45">
        <f t="shared" si="9"/>
        <v>10128</v>
      </c>
      <c r="T12" s="62">
        <f t="shared" si="10"/>
        <v>30</v>
      </c>
      <c r="U12" s="48">
        <f t="shared" si="10"/>
        <v>260700</v>
      </c>
      <c r="V12" s="48">
        <f t="shared" si="11"/>
        <v>43140</v>
      </c>
      <c r="W12" s="51">
        <f t="shared" si="12"/>
        <v>303840</v>
      </c>
      <c r="X12" s="56"/>
      <c r="Y12" s="52"/>
      <c r="Z12" s="53">
        <v>71</v>
      </c>
      <c r="AA12" s="41">
        <v>40150</v>
      </c>
      <c r="AB12" s="42">
        <f t="shared" si="13"/>
        <v>565.49295774647885</v>
      </c>
      <c r="AC12" s="41">
        <v>16000</v>
      </c>
      <c r="AD12" s="43">
        <f t="shared" si="14"/>
        <v>225.35211267605635</v>
      </c>
      <c r="AE12" s="54">
        <f t="shared" si="15"/>
        <v>56150</v>
      </c>
      <c r="AF12" s="45">
        <f t="shared" si="16"/>
        <v>790.84507042253517</v>
      </c>
      <c r="AG12" s="62">
        <f t="shared" si="17"/>
        <v>30</v>
      </c>
      <c r="AH12" s="48">
        <f t="shared" si="18"/>
        <v>300850</v>
      </c>
      <c r="AI12" s="48">
        <f t="shared" si="19"/>
        <v>59140</v>
      </c>
      <c r="AJ12" s="55">
        <f t="shared" si="20"/>
        <v>359990</v>
      </c>
      <c r="AK12" s="48">
        <f t="shared" si="21"/>
        <v>121500</v>
      </c>
      <c r="AL12" s="56">
        <v>30</v>
      </c>
      <c r="AM12" s="56">
        <v>260700</v>
      </c>
      <c r="AN12" s="56">
        <v>43140</v>
      </c>
      <c r="AO12" s="57">
        <v>16500</v>
      </c>
      <c r="AP12" s="57">
        <v>105000</v>
      </c>
      <c r="AQ12" s="57">
        <v>0</v>
      </c>
      <c r="AR12" s="57">
        <v>5500</v>
      </c>
      <c r="AS12" s="58">
        <f t="shared" si="22"/>
        <v>425340</v>
      </c>
      <c r="AT12" s="36">
        <v>8</v>
      </c>
      <c r="AU12" s="59">
        <f t="shared" si="23"/>
        <v>430840</v>
      </c>
      <c r="AV12" s="36" t="s">
        <v>36</v>
      </c>
    </row>
    <row r="13" spans="1:48" ht="21">
      <c r="A13" s="36"/>
      <c r="B13" s="165">
        <f t="shared" si="24"/>
        <v>45055</v>
      </c>
      <c r="C13" s="61" t="s">
        <v>61</v>
      </c>
      <c r="D13" s="39"/>
      <c r="E13" s="40"/>
      <c r="F13" s="41"/>
      <c r="G13" s="42" t="e">
        <f t="shared" si="0"/>
        <v>#DIV/0!</v>
      </c>
      <c r="H13" s="41"/>
      <c r="I13" s="43" t="e">
        <f t="shared" si="1"/>
        <v>#DIV/0!</v>
      </c>
      <c r="J13" s="44">
        <f t="shared" si="2"/>
        <v>0</v>
      </c>
      <c r="K13" s="45" t="str">
        <f t="shared" si="3"/>
        <v/>
      </c>
      <c r="L13" s="46"/>
      <c r="M13" s="47">
        <f t="shared" si="4"/>
        <v>26</v>
      </c>
      <c r="N13" s="48">
        <f t="shared" si="4"/>
        <v>226820</v>
      </c>
      <c r="O13" s="42">
        <f t="shared" si="5"/>
        <v>7930.7692307692305</v>
      </c>
      <c r="P13" s="48">
        <f t="shared" si="6"/>
        <v>33190</v>
      </c>
      <c r="Q13" s="43">
        <f t="shared" si="7"/>
        <v>1160.4615384615386</v>
      </c>
      <c r="R13" s="49">
        <f t="shared" si="8"/>
        <v>260010</v>
      </c>
      <c r="S13" s="45">
        <f t="shared" si="9"/>
        <v>10000.384615384615</v>
      </c>
      <c r="T13" s="62">
        <f t="shared" si="10"/>
        <v>26</v>
      </c>
      <c r="U13" s="48">
        <f t="shared" si="10"/>
        <v>226820</v>
      </c>
      <c r="V13" s="48">
        <f t="shared" si="11"/>
        <v>33190</v>
      </c>
      <c r="W13" s="51">
        <f t="shared" si="12"/>
        <v>260010</v>
      </c>
      <c r="X13" s="56"/>
      <c r="Y13" s="52"/>
      <c r="Z13" s="53">
        <v>66</v>
      </c>
      <c r="AA13" s="41">
        <v>32400</v>
      </c>
      <c r="AB13" s="42">
        <f t="shared" si="13"/>
        <v>490.90909090909093</v>
      </c>
      <c r="AC13" s="41">
        <v>26200</v>
      </c>
      <c r="AD13" s="43">
        <f t="shared" si="14"/>
        <v>396.969696969697</v>
      </c>
      <c r="AE13" s="54">
        <f t="shared" si="15"/>
        <v>58600</v>
      </c>
      <c r="AF13" s="45">
        <f t="shared" si="16"/>
        <v>887.87878787878788</v>
      </c>
      <c r="AG13" s="62">
        <f t="shared" si="17"/>
        <v>26</v>
      </c>
      <c r="AH13" s="48">
        <f t="shared" si="18"/>
        <v>259220</v>
      </c>
      <c r="AI13" s="48">
        <f t="shared" si="19"/>
        <v>59390</v>
      </c>
      <c r="AJ13" s="55">
        <f t="shared" si="20"/>
        <v>318610</v>
      </c>
      <c r="AK13" s="48">
        <f t="shared" si="21"/>
        <v>20350</v>
      </c>
      <c r="AL13" s="56">
        <v>26</v>
      </c>
      <c r="AM13" s="56">
        <v>226820</v>
      </c>
      <c r="AN13" s="56">
        <v>33190</v>
      </c>
      <c r="AO13" s="57">
        <v>17050</v>
      </c>
      <c r="AP13" s="57">
        <v>3300</v>
      </c>
      <c r="AQ13" s="57">
        <v>0</v>
      </c>
      <c r="AR13" s="57">
        <v>0</v>
      </c>
      <c r="AS13" s="58">
        <f t="shared" si="22"/>
        <v>280360</v>
      </c>
      <c r="AT13" s="36">
        <v>9</v>
      </c>
      <c r="AU13" s="59">
        <f t="shared" si="23"/>
        <v>280360</v>
      </c>
      <c r="AV13" s="36"/>
    </row>
    <row r="14" spans="1:48" ht="21">
      <c r="A14" s="36"/>
      <c r="B14" s="165">
        <f t="shared" si="24"/>
        <v>45056</v>
      </c>
      <c r="C14" s="61" t="s">
        <v>62</v>
      </c>
      <c r="D14" s="39"/>
      <c r="E14" s="40">
        <v>17</v>
      </c>
      <c r="F14" s="41">
        <v>232540</v>
      </c>
      <c r="G14" s="42">
        <f t="shared" si="0"/>
        <v>12435.294117647059</v>
      </c>
      <c r="H14" s="41">
        <v>31400</v>
      </c>
      <c r="I14" s="43">
        <f t="shared" si="1"/>
        <v>1679.1176470588234</v>
      </c>
      <c r="J14" s="44">
        <f t="shared" si="2"/>
        <v>263940</v>
      </c>
      <c r="K14" s="45">
        <f t="shared" si="3"/>
        <v>15525.882352941177</v>
      </c>
      <c r="L14" s="46"/>
      <c r="M14" s="47">
        <f t="shared" si="4"/>
        <v>32</v>
      </c>
      <c r="N14" s="48">
        <f t="shared" si="4"/>
        <v>313940</v>
      </c>
      <c r="O14" s="42">
        <f t="shared" si="5"/>
        <v>8918.75</v>
      </c>
      <c r="P14" s="48">
        <f t="shared" si="6"/>
        <v>43290</v>
      </c>
      <c r="Q14" s="43">
        <f t="shared" si="7"/>
        <v>1229.8125</v>
      </c>
      <c r="R14" s="49">
        <f t="shared" si="8"/>
        <v>357230</v>
      </c>
      <c r="S14" s="45">
        <f t="shared" si="9"/>
        <v>11163.4375</v>
      </c>
      <c r="T14" s="62">
        <f t="shared" si="10"/>
        <v>49</v>
      </c>
      <c r="U14" s="48">
        <f t="shared" si="10"/>
        <v>546480</v>
      </c>
      <c r="V14" s="48">
        <f t="shared" si="11"/>
        <v>74690</v>
      </c>
      <c r="W14" s="51">
        <f t="shared" si="12"/>
        <v>621170</v>
      </c>
      <c r="X14" s="56"/>
      <c r="Y14" s="52"/>
      <c r="Z14" s="53">
        <v>86</v>
      </c>
      <c r="AA14" s="41">
        <v>36700</v>
      </c>
      <c r="AB14" s="42">
        <f t="shared" si="13"/>
        <v>426.74418604651163</v>
      </c>
      <c r="AC14" s="41">
        <v>33200</v>
      </c>
      <c r="AD14" s="43">
        <f t="shared" si="14"/>
        <v>386.04651162790697</v>
      </c>
      <c r="AE14" s="54">
        <f t="shared" si="15"/>
        <v>69900</v>
      </c>
      <c r="AF14" s="45">
        <f t="shared" si="16"/>
        <v>812.79069767441865</v>
      </c>
      <c r="AG14" s="62">
        <f t="shared" si="17"/>
        <v>49</v>
      </c>
      <c r="AH14" s="48">
        <f t="shared" si="18"/>
        <v>583180</v>
      </c>
      <c r="AI14" s="48">
        <f t="shared" si="19"/>
        <v>107890</v>
      </c>
      <c r="AJ14" s="64">
        <f t="shared" si="20"/>
        <v>691070</v>
      </c>
      <c r="AK14" s="48">
        <f t="shared" si="21"/>
        <v>23100</v>
      </c>
      <c r="AL14" s="56">
        <v>49</v>
      </c>
      <c r="AM14" s="56">
        <v>546480</v>
      </c>
      <c r="AN14" s="56">
        <v>74690</v>
      </c>
      <c r="AO14" s="57">
        <v>19800</v>
      </c>
      <c r="AP14" s="57">
        <v>3300</v>
      </c>
      <c r="AQ14" s="57">
        <v>0</v>
      </c>
      <c r="AR14" s="57">
        <v>0</v>
      </c>
      <c r="AS14" s="58">
        <f t="shared" si="22"/>
        <v>644270</v>
      </c>
      <c r="AT14" s="36">
        <v>10</v>
      </c>
      <c r="AU14" s="59">
        <f t="shared" si="23"/>
        <v>644270</v>
      </c>
      <c r="AV14" s="36"/>
    </row>
    <row r="15" spans="1:48" ht="21">
      <c r="A15" s="36"/>
      <c r="B15" s="165">
        <f t="shared" si="24"/>
        <v>45057</v>
      </c>
      <c r="C15" s="61" t="s">
        <v>61</v>
      </c>
      <c r="D15" s="39"/>
      <c r="E15" s="40"/>
      <c r="F15" s="41"/>
      <c r="G15" s="42" t="e">
        <f t="shared" si="0"/>
        <v>#DIV/0!</v>
      </c>
      <c r="H15" s="41"/>
      <c r="I15" s="43" t="e">
        <f t="shared" si="1"/>
        <v>#DIV/0!</v>
      </c>
      <c r="J15" s="44">
        <f t="shared" si="2"/>
        <v>0</v>
      </c>
      <c r="K15" s="45" t="str">
        <f t="shared" si="3"/>
        <v/>
      </c>
      <c r="L15" s="46"/>
      <c r="M15" s="47">
        <f t="shared" si="4"/>
        <v>21</v>
      </c>
      <c r="N15" s="48">
        <f t="shared" si="4"/>
        <v>213620</v>
      </c>
      <c r="O15" s="42">
        <f t="shared" si="5"/>
        <v>9247.6190476190477</v>
      </c>
      <c r="P15" s="48">
        <f t="shared" si="6"/>
        <v>30330</v>
      </c>
      <c r="Q15" s="43">
        <f t="shared" si="7"/>
        <v>1312.952380952381</v>
      </c>
      <c r="R15" s="49">
        <f t="shared" si="8"/>
        <v>243950</v>
      </c>
      <c r="S15" s="45">
        <f t="shared" si="9"/>
        <v>11616.666666666666</v>
      </c>
      <c r="T15" s="62">
        <f t="shared" si="10"/>
        <v>21</v>
      </c>
      <c r="U15" s="48">
        <f t="shared" si="10"/>
        <v>213620</v>
      </c>
      <c r="V15" s="48">
        <f t="shared" si="11"/>
        <v>30330</v>
      </c>
      <c r="W15" s="51">
        <f t="shared" si="12"/>
        <v>243950</v>
      </c>
      <c r="X15" s="56"/>
      <c r="Y15" s="52"/>
      <c r="Z15" s="53">
        <v>83</v>
      </c>
      <c r="AA15" s="41">
        <v>49350</v>
      </c>
      <c r="AB15" s="42">
        <f t="shared" si="13"/>
        <v>594.57831325301208</v>
      </c>
      <c r="AC15" s="41">
        <v>22700</v>
      </c>
      <c r="AD15" s="43">
        <f t="shared" si="14"/>
        <v>273.49397590361446</v>
      </c>
      <c r="AE15" s="54">
        <f t="shared" si="15"/>
        <v>72050</v>
      </c>
      <c r="AF15" s="45">
        <f t="shared" si="16"/>
        <v>868.07228915662654</v>
      </c>
      <c r="AG15" s="62">
        <f t="shared" si="17"/>
        <v>21</v>
      </c>
      <c r="AH15" s="48">
        <f t="shared" si="18"/>
        <v>262970</v>
      </c>
      <c r="AI15" s="48">
        <f t="shared" si="19"/>
        <v>53030</v>
      </c>
      <c r="AJ15" s="55">
        <f t="shared" si="20"/>
        <v>316000</v>
      </c>
      <c r="AK15" s="48">
        <f t="shared" si="21"/>
        <v>17600</v>
      </c>
      <c r="AL15" s="56">
        <v>21</v>
      </c>
      <c r="AM15" s="56">
        <v>213620</v>
      </c>
      <c r="AN15" s="56">
        <v>30330</v>
      </c>
      <c r="AO15" s="57">
        <v>17600</v>
      </c>
      <c r="AP15" s="57">
        <v>0</v>
      </c>
      <c r="AQ15" s="57">
        <v>0</v>
      </c>
      <c r="AR15" s="57">
        <v>0</v>
      </c>
      <c r="AS15" s="58">
        <f t="shared" si="22"/>
        <v>261550</v>
      </c>
      <c r="AT15" s="36">
        <v>11</v>
      </c>
      <c r="AU15" s="59">
        <f t="shared" si="23"/>
        <v>261550</v>
      </c>
      <c r="AV15" s="36"/>
    </row>
    <row r="16" spans="1:48" ht="21">
      <c r="A16" s="36"/>
      <c r="B16" s="165">
        <f t="shared" si="24"/>
        <v>45058</v>
      </c>
      <c r="C16" s="61" t="s">
        <v>61</v>
      </c>
      <c r="D16" s="39"/>
      <c r="E16" s="40"/>
      <c r="F16" s="41"/>
      <c r="G16" s="42" t="e">
        <f t="shared" si="0"/>
        <v>#DIV/0!</v>
      </c>
      <c r="H16" s="41"/>
      <c r="I16" s="43" t="e">
        <f t="shared" si="1"/>
        <v>#DIV/0!</v>
      </c>
      <c r="J16" s="44">
        <f t="shared" si="2"/>
        <v>0</v>
      </c>
      <c r="K16" s="45" t="str">
        <f t="shared" si="3"/>
        <v/>
      </c>
      <c r="L16" s="46"/>
      <c r="M16" s="47">
        <f t="shared" si="4"/>
        <v>42</v>
      </c>
      <c r="N16" s="48">
        <f t="shared" si="4"/>
        <v>375320</v>
      </c>
      <c r="O16" s="42">
        <f t="shared" si="5"/>
        <v>8123.8095238095239</v>
      </c>
      <c r="P16" s="48">
        <f t="shared" si="6"/>
        <v>85320</v>
      </c>
      <c r="Q16" s="43">
        <f t="shared" si="7"/>
        <v>1846.7380952380952</v>
      </c>
      <c r="R16" s="49">
        <f t="shared" si="8"/>
        <v>460640</v>
      </c>
      <c r="S16" s="45">
        <f t="shared" si="9"/>
        <v>10967.619047619048</v>
      </c>
      <c r="T16" s="62">
        <f t="shared" si="10"/>
        <v>42</v>
      </c>
      <c r="U16" s="48">
        <f t="shared" si="10"/>
        <v>375320</v>
      </c>
      <c r="V16" s="48">
        <f t="shared" si="11"/>
        <v>85320</v>
      </c>
      <c r="W16" s="51">
        <f t="shared" si="12"/>
        <v>460640</v>
      </c>
      <c r="X16" s="56"/>
      <c r="Y16" s="52"/>
      <c r="Z16" s="53">
        <v>73</v>
      </c>
      <c r="AA16" s="41">
        <v>28550</v>
      </c>
      <c r="AB16" s="42">
        <f t="shared" si="13"/>
        <v>391.09589041095893</v>
      </c>
      <c r="AC16" s="41">
        <v>30100</v>
      </c>
      <c r="AD16" s="43">
        <f t="shared" si="14"/>
        <v>412.32876712328766</v>
      </c>
      <c r="AE16" s="54">
        <f t="shared" si="15"/>
        <v>58650</v>
      </c>
      <c r="AF16" s="45">
        <f t="shared" si="16"/>
        <v>803.42465753424653</v>
      </c>
      <c r="AG16" s="62">
        <f t="shared" si="17"/>
        <v>42</v>
      </c>
      <c r="AH16" s="48">
        <f t="shared" si="18"/>
        <v>403870</v>
      </c>
      <c r="AI16" s="48">
        <f t="shared" si="19"/>
        <v>115420</v>
      </c>
      <c r="AJ16" s="55">
        <f t="shared" si="20"/>
        <v>519290</v>
      </c>
      <c r="AK16" s="48">
        <f t="shared" si="21"/>
        <v>17600</v>
      </c>
      <c r="AL16" s="56">
        <v>42</v>
      </c>
      <c r="AM16" s="56">
        <v>375320</v>
      </c>
      <c r="AN16" s="56">
        <v>85320</v>
      </c>
      <c r="AO16" s="57">
        <v>17600</v>
      </c>
      <c r="AP16" s="57">
        <v>0</v>
      </c>
      <c r="AQ16" s="57">
        <v>0</v>
      </c>
      <c r="AR16" s="57">
        <v>0</v>
      </c>
      <c r="AS16" s="58">
        <f t="shared" si="22"/>
        <v>478240</v>
      </c>
      <c r="AT16" s="36">
        <v>12</v>
      </c>
      <c r="AU16" s="59">
        <f t="shared" si="23"/>
        <v>478240</v>
      </c>
      <c r="AV16" s="36"/>
    </row>
    <row r="17" spans="1:48" ht="21">
      <c r="A17" s="36"/>
      <c r="B17" s="164">
        <f t="shared" si="24"/>
        <v>45059</v>
      </c>
      <c r="C17" s="66"/>
      <c r="D17" s="39"/>
      <c r="E17" s="40">
        <v>26</v>
      </c>
      <c r="F17" s="41">
        <v>87450</v>
      </c>
      <c r="G17" s="42">
        <f t="shared" si="0"/>
        <v>3057.6923076923076</v>
      </c>
      <c r="H17" s="41">
        <v>23690</v>
      </c>
      <c r="I17" s="43">
        <f t="shared" si="1"/>
        <v>828.30769230769226</v>
      </c>
      <c r="J17" s="44">
        <f t="shared" si="2"/>
        <v>111140</v>
      </c>
      <c r="K17" s="45">
        <f t="shared" si="3"/>
        <v>4274.6153846153848</v>
      </c>
      <c r="L17" s="46"/>
      <c r="M17" s="47">
        <f t="shared" si="4"/>
        <v>43</v>
      </c>
      <c r="N17" s="48">
        <f t="shared" si="4"/>
        <v>403370</v>
      </c>
      <c r="O17" s="42">
        <f t="shared" si="5"/>
        <v>8527.9069767441852</v>
      </c>
      <c r="P17" s="48">
        <f t="shared" si="6"/>
        <v>40860</v>
      </c>
      <c r="Q17" s="43">
        <f t="shared" si="7"/>
        <v>863.83720930232562</v>
      </c>
      <c r="R17" s="49">
        <f t="shared" si="8"/>
        <v>444230</v>
      </c>
      <c r="S17" s="45">
        <f t="shared" si="9"/>
        <v>10330.930232558139</v>
      </c>
      <c r="T17" s="62">
        <f t="shared" si="10"/>
        <v>69</v>
      </c>
      <c r="U17" s="48">
        <f t="shared" si="10"/>
        <v>490820</v>
      </c>
      <c r="V17" s="48">
        <f t="shared" si="11"/>
        <v>64550</v>
      </c>
      <c r="W17" s="51">
        <f t="shared" si="12"/>
        <v>555370</v>
      </c>
      <c r="X17" s="56"/>
      <c r="Y17" s="52"/>
      <c r="Z17" s="53">
        <v>142</v>
      </c>
      <c r="AA17" s="41">
        <v>85500</v>
      </c>
      <c r="AB17" s="42">
        <f t="shared" si="13"/>
        <v>602.11267605633805</v>
      </c>
      <c r="AC17" s="41">
        <v>24300</v>
      </c>
      <c r="AD17" s="43">
        <f t="shared" si="14"/>
        <v>171.12676056338029</v>
      </c>
      <c r="AE17" s="54">
        <f t="shared" si="15"/>
        <v>109800</v>
      </c>
      <c r="AF17" s="45">
        <f t="shared" si="16"/>
        <v>773.23943661971828</v>
      </c>
      <c r="AG17" s="62">
        <f t="shared" si="17"/>
        <v>69</v>
      </c>
      <c r="AH17" s="48">
        <f t="shared" si="18"/>
        <v>576320</v>
      </c>
      <c r="AI17" s="48">
        <f t="shared" si="19"/>
        <v>88850</v>
      </c>
      <c r="AJ17" s="55">
        <f t="shared" si="20"/>
        <v>665170</v>
      </c>
      <c r="AK17" s="48">
        <f t="shared" si="21"/>
        <v>23760</v>
      </c>
      <c r="AL17" s="56">
        <v>69</v>
      </c>
      <c r="AM17" s="56">
        <v>490820</v>
      </c>
      <c r="AN17" s="56">
        <v>64550</v>
      </c>
      <c r="AO17" s="57">
        <v>18150</v>
      </c>
      <c r="AP17" s="57">
        <v>5610</v>
      </c>
      <c r="AQ17" s="57">
        <v>0</v>
      </c>
      <c r="AR17" s="57">
        <v>0</v>
      </c>
      <c r="AS17" s="58">
        <f t="shared" si="22"/>
        <v>579130</v>
      </c>
      <c r="AT17" s="36">
        <v>13</v>
      </c>
      <c r="AU17" s="59">
        <f t="shared" si="23"/>
        <v>579130</v>
      </c>
      <c r="AV17" s="36"/>
    </row>
    <row r="18" spans="1:48" ht="21">
      <c r="A18" s="36"/>
      <c r="B18" s="65">
        <f t="shared" si="24"/>
        <v>45060</v>
      </c>
      <c r="C18" s="61"/>
      <c r="D18" s="39"/>
      <c r="E18" s="40">
        <v>22</v>
      </c>
      <c r="F18" s="41">
        <v>78980</v>
      </c>
      <c r="G18" s="42">
        <f t="shared" si="0"/>
        <v>3263.6363636363635</v>
      </c>
      <c r="H18" s="41">
        <v>10320</v>
      </c>
      <c r="I18" s="43">
        <f t="shared" si="1"/>
        <v>426.40909090909093</v>
      </c>
      <c r="J18" s="44">
        <f t="shared" si="2"/>
        <v>89300</v>
      </c>
      <c r="K18" s="45">
        <f t="shared" si="3"/>
        <v>4059.090909090909</v>
      </c>
      <c r="L18" s="46"/>
      <c r="M18" s="47">
        <f t="shared" si="4"/>
        <v>26</v>
      </c>
      <c r="N18" s="48">
        <f t="shared" si="4"/>
        <v>193350</v>
      </c>
      <c r="O18" s="42">
        <f t="shared" si="5"/>
        <v>6760.4615384615381</v>
      </c>
      <c r="P18" s="48">
        <f t="shared" si="6"/>
        <v>43850</v>
      </c>
      <c r="Q18" s="43">
        <f t="shared" si="7"/>
        <v>1533.1923076923076</v>
      </c>
      <c r="R18" s="49">
        <f t="shared" si="8"/>
        <v>237200</v>
      </c>
      <c r="S18" s="45">
        <f t="shared" si="9"/>
        <v>9123.0769230769238</v>
      </c>
      <c r="T18" s="62">
        <f t="shared" si="10"/>
        <v>48</v>
      </c>
      <c r="U18" s="48">
        <f t="shared" si="10"/>
        <v>272330</v>
      </c>
      <c r="V18" s="48">
        <f t="shared" si="11"/>
        <v>54170</v>
      </c>
      <c r="W18" s="51">
        <f t="shared" si="12"/>
        <v>326500</v>
      </c>
      <c r="X18" s="56"/>
      <c r="Y18" s="52"/>
      <c r="Z18" s="53">
        <v>174</v>
      </c>
      <c r="AA18" s="41">
        <v>127000</v>
      </c>
      <c r="AB18" s="42">
        <f t="shared" si="13"/>
        <v>729.88505747126442</v>
      </c>
      <c r="AC18" s="41">
        <v>31750</v>
      </c>
      <c r="AD18" s="43">
        <f t="shared" si="14"/>
        <v>182.4712643678161</v>
      </c>
      <c r="AE18" s="54">
        <f t="shared" si="15"/>
        <v>158750</v>
      </c>
      <c r="AF18" s="45">
        <f t="shared" si="16"/>
        <v>912.35632183908046</v>
      </c>
      <c r="AG18" s="62">
        <f t="shared" si="17"/>
        <v>48</v>
      </c>
      <c r="AH18" s="48">
        <f t="shared" si="18"/>
        <v>399330</v>
      </c>
      <c r="AI18" s="48">
        <f t="shared" si="19"/>
        <v>85920</v>
      </c>
      <c r="AJ18" s="55">
        <f t="shared" si="20"/>
        <v>485250</v>
      </c>
      <c r="AK18" s="48">
        <f t="shared" si="21"/>
        <v>15730</v>
      </c>
      <c r="AL18" s="56">
        <v>48</v>
      </c>
      <c r="AM18" s="56">
        <v>272330</v>
      </c>
      <c r="AN18" s="56">
        <v>54170</v>
      </c>
      <c r="AO18" s="57">
        <v>13750</v>
      </c>
      <c r="AP18" s="57">
        <v>1980</v>
      </c>
      <c r="AQ18" s="57">
        <v>0</v>
      </c>
      <c r="AR18" s="57">
        <v>0</v>
      </c>
      <c r="AS18" s="58">
        <f t="shared" si="22"/>
        <v>342230</v>
      </c>
      <c r="AT18" s="36">
        <v>14</v>
      </c>
      <c r="AU18" s="59">
        <f t="shared" si="23"/>
        <v>342230</v>
      </c>
      <c r="AV18" s="36"/>
    </row>
    <row r="19" spans="1:48" ht="21">
      <c r="A19" s="36"/>
      <c r="B19" s="165">
        <f t="shared" si="24"/>
        <v>45061</v>
      </c>
      <c r="C19" s="61" t="s">
        <v>63</v>
      </c>
      <c r="D19" s="39"/>
      <c r="E19" s="40"/>
      <c r="F19" s="41"/>
      <c r="G19" s="42" t="e">
        <f t="shared" si="0"/>
        <v>#DIV/0!</v>
      </c>
      <c r="H19" s="41"/>
      <c r="I19" s="43" t="e">
        <f t="shared" si="1"/>
        <v>#DIV/0!</v>
      </c>
      <c r="J19" s="44">
        <f t="shared" si="2"/>
        <v>0</v>
      </c>
      <c r="K19" s="45" t="str">
        <f t="shared" si="3"/>
        <v/>
      </c>
      <c r="L19" s="46"/>
      <c r="M19" s="47">
        <f t="shared" si="4"/>
        <v>22</v>
      </c>
      <c r="N19" s="48">
        <f t="shared" si="4"/>
        <v>209660</v>
      </c>
      <c r="O19" s="42">
        <f t="shared" si="5"/>
        <v>8663.636363636364</v>
      </c>
      <c r="P19" s="48">
        <f t="shared" si="6"/>
        <v>32240</v>
      </c>
      <c r="Q19" s="67">
        <f t="shared" si="7"/>
        <v>1332.2272727272727</v>
      </c>
      <c r="R19" s="49">
        <f t="shared" si="8"/>
        <v>241900</v>
      </c>
      <c r="S19" s="45">
        <f t="shared" si="9"/>
        <v>10995.454545454546</v>
      </c>
      <c r="T19" s="62">
        <f t="shared" si="10"/>
        <v>22</v>
      </c>
      <c r="U19" s="48">
        <f t="shared" si="10"/>
        <v>209660</v>
      </c>
      <c r="V19" s="48">
        <f t="shared" si="11"/>
        <v>32240</v>
      </c>
      <c r="W19" s="51">
        <f t="shared" si="12"/>
        <v>241900</v>
      </c>
      <c r="X19" s="56"/>
      <c r="Y19" s="52"/>
      <c r="Z19" s="53">
        <v>15</v>
      </c>
      <c r="AA19" s="41">
        <v>5000</v>
      </c>
      <c r="AB19" s="42">
        <f t="shared" si="13"/>
        <v>333.33333333333331</v>
      </c>
      <c r="AC19" s="41">
        <v>8500</v>
      </c>
      <c r="AD19" s="43">
        <f t="shared" si="14"/>
        <v>566.66666666666663</v>
      </c>
      <c r="AE19" s="54">
        <f t="shared" si="15"/>
        <v>13500</v>
      </c>
      <c r="AF19" s="45">
        <f t="shared" si="16"/>
        <v>900</v>
      </c>
      <c r="AG19" s="62">
        <f t="shared" si="17"/>
        <v>22</v>
      </c>
      <c r="AH19" s="48">
        <f t="shared" si="18"/>
        <v>214660</v>
      </c>
      <c r="AI19" s="48">
        <f t="shared" si="19"/>
        <v>40740</v>
      </c>
      <c r="AJ19" s="55">
        <f t="shared" si="20"/>
        <v>255400</v>
      </c>
      <c r="AK19" s="48">
        <f t="shared" si="21"/>
        <v>21010</v>
      </c>
      <c r="AL19" s="56">
        <v>22</v>
      </c>
      <c r="AM19" s="56">
        <v>209660</v>
      </c>
      <c r="AN19" s="56">
        <v>32240</v>
      </c>
      <c r="AO19" s="57">
        <v>19800</v>
      </c>
      <c r="AP19" s="57">
        <v>1210</v>
      </c>
      <c r="AQ19" s="57">
        <v>0</v>
      </c>
      <c r="AR19" s="57">
        <v>0</v>
      </c>
      <c r="AS19" s="58">
        <f t="shared" si="22"/>
        <v>262910</v>
      </c>
      <c r="AT19" s="36">
        <v>15</v>
      </c>
      <c r="AU19" s="59">
        <f t="shared" si="23"/>
        <v>262910</v>
      </c>
      <c r="AV19" s="36"/>
    </row>
    <row r="20" spans="1:48" ht="21">
      <c r="A20" s="36"/>
      <c r="B20" s="165">
        <f t="shared" si="24"/>
        <v>45062</v>
      </c>
      <c r="C20" s="61" t="s">
        <v>61</v>
      </c>
      <c r="D20" s="39"/>
      <c r="E20" s="40"/>
      <c r="F20" s="41"/>
      <c r="G20" s="42" t="e">
        <f t="shared" si="0"/>
        <v>#DIV/0!</v>
      </c>
      <c r="H20" s="41"/>
      <c r="I20" s="42" t="e">
        <f t="shared" si="1"/>
        <v>#DIV/0!</v>
      </c>
      <c r="J20" s="44">
        <f t="shared" si="2"/>
        <v>0</v>
      </c>
      <c r="K20" s="45" t="str">
        <f t="shared" si="3"/>
        <v/>
      </c>
      <c r="L20" s="46"/>
      <c r="M20" s="47">
        <f t="shared" si="4"/>
        <v>38</v>
      </c>
      <c r="N20" s="48">
        <f t="shared" si="4"/>
        <v>342540</v>
      </c>
      <c r="O20" s="42">
        <f t="shared" si="5"/>
        <v>8194.7368421052633</v>
      </c>
      <c r="P20" s="48">
        <f t="shared" si="6"/>
        <v>56640</v>
      </c>
      <c r="Q20" s="67">
        <f t="shared" si="7"/>
        <v>1355</v>
      </c>
      <c r="R20" s="49">
        <f t="shared" si="8"/>
        <v>399180</v>
      </c>
      <c r="S20" s="45">
        <f t="shared" si="9"/>
        <v>10504.736842105263</v>
      </c>
      <c r="T20" s="62">
        <f t="shared" si="10"/>
        <v>38</v>
      </c>
      <c r="U20" s="48">
        <f t="shared" si="10"/>
        <v>342540</v>
      </c>
      <c r="V20" s="48">
        <f t="shared" si="11"/>
        <v>56640</v>
      </c>
      <c r="W20" s="51">
        <f t="shared" si="12"/>
        <v>399180</v>
      </c>
      <c r="X20" s="56"/>
      <c r="Y20" s="52"/>
      <c r="Z20" s="53">
        <v>82</v>
      </c>
      <c r="AA20" s="41">
        <v>52500</v>
      </c>
      <c r="AB20" s="42">
        <f t="shared" si="13"/>
        <v>640.2439024390244</v>
      </c>
      <c r="AC20" s="41">
        <v>17400</v>
      </c>
      <c r="AD20" s="43">
        <f t="shared" si="14"/>
        <v>212.19512195121951</v>
      </c>
      <c r="AE20" s="54">
        <f t="shared" si="15"/>
        <v>69900</v>
      </c>
      <c r="AF20" s="45">
        <f t="shared" si="16"/>
        <v>852.43902439024396</v>
      </c>
      <c r="AG20" s="62">
        <f t="shared" si="17"/>
        <v>38</v>
      </c>
      <c r="AH20" s="56">
        <f t="shared" si="18"/>
        <v>395040</v>
      </c>
      <c r="AI20" s="56">
        <f t="shared" si="19"/>
        <v>74040</v>
      </c>
      <c r="AJ20" s="55">
        <f t="shared" si="20"/>
        <v>469080</v>
      </c>
      <c r="AK20" s="48">
        <f t="shared" si="21"/>
        <v>90600</v>
      </c>
      <c r="AL20" s="56">
        <v>38</v>
      </c>
      <c r="AM20" s="56">
        <v>342540</v>
      </c>
      <c r="AN20" s="56">
        <v>56640</v>
      </c>
      <c r="AO20" s="57">
        <v>28600</v>
      </c>
      <c r="AP20" s="57">
        <v>62000</v>
      </c>
      <c r="AQ20" s="57">
        <v>0</v>
      </c>
      <c r="AR20" s="57">
        <v>3300</v>
      </c>
      <c r="AS20" s="58">
        <f t="shared" si="22"/>
        <v>489780</v>
      </c>
      <c r="AT20" s="36">
        <v>16</v>
      </c>
      <c r="AU20" s="59">
        <f t="shared" si="23"/>
        <v>493080</v>
      </c>
      <c r="AV20" s="36"/>
    </row>
    <row r="21" spans="1:48" ht="15.75" customHeight="1">
      <c r="A21" s="36"/>
      <c r="B21" s="165">
        <f t="shared" si="24"/>
        <v>45063</v>
      </c>
      <c r="C21" s="61" t="s">
        <v>61</v>
      </c>
      <c r="D21" s="39"/>
      <c r="E21" s="40"/>
      <c r="F21" s="41"/>
      <c r="G21" s="42" t="e">
        <f t="shared" si="0"/>
        <v>#DIV/0!</v>
      </c>
      <c r="H21" s="41"/>
      <c r="I21" s="42" t="e">
        <f t="shared" si="1"/>
        <v>#DIV/0!</v>
      </c>
      <c r="J21" s="44">
        <f t="shared" si="2"/>
        <v>0</v>
      </c>
      <c r="K21" s="45" t="str">
        <f t="shared" si="3"/>
        <v/>
      </c>
      <c r="L21" s="46"/>
      <c r="M21" s="47">
        <f t="shared" si="4"/>
        <v>37</v>
      </c>
      <c r="N21" s="48">
        <f t="shared" si="4"/>
        <v>334510</v>
      </c>
      <c r="O21" s="42">
        <f t="shared" si="5"/>
        <v>8218.9189189189183</v>
      </c>
      <c r="P21" s="48">
        <f t="shared" si="6"/>
        <v>74340</v>
      </c>
      <c r="Q21" s="67">
        <f t="shared" si="7"/>
        <v>1826.5135135135135</v>
      </c>
      <c r="R21" s="49">
        <f t="shared" si="8"/>
        <v>408850</v>
      </c>
      <c r="S21" s="45">
        <f t="shared" si="9"/>
        <v>11050</v>
      </c>
      <c r="T21" s="62">
        <f t="shared" si="10"/>
        <v>37</v>
      </c>
      <c r="U21" s="48">
        <f t="shared" si="10"/>
        <v>334510</v>
      </c>
      <c r="V21" s="48">
        <f t="shared" si="11"/>
        <v>74340</v>
      </c>
      <c r="W21" s="51">
        <f t="shared" si="12"/>
        <v>408850</v>
      </c>
      <c r="X21" s="56"/>
      <c r="Y21" s="52"/>
      <c r="Z21" s="53">
        <v>60</v>
      </c>
      <c r="AA21" s="41">
        <v>40200</v>
      </c>
      <c r="AB21" s="42">
        <f t="shared" si="13"/>
        <v>670</v>
      </c>
      <c r="AC21" s="41">
        <v>14000</v>
      </c>
      <c r="AD21" s="43">
        <f t="shared" si="14"/>
        <v>233.33333333333334</v>
      </c>
      <c r="AE21" s="54">
        <f t="shared" si="15"/>
        <v>54200</v>
      </c>
      <c r="AF21" s="45">
        <f t="shared" si="16"/>
        <v>903.33333333333337</v>
      </c>
      <c r="AG21" s="62">
        <f t="shared" si="17"/>
        <v>37</v>
      </c>
      <c r="AH21" s="56">
        <f t="shared" si="18"/>
        <v>374710</v>
      </c>
      <c r="AI21" s="56">
        <f t="shared" si="19"/>
        <v>88340</v>
      </c>
      <c r="AJ21" s="55">
        <f t="shared" si="20"/>
        <v>463050</v>
      </c>
      <c r="AK21" s="48">
        <f t="shared" si="21"/>
        <v>26400</v>
      </c>
      <c r="AL21" s="56">
        <v>37</v>
      </c>
      <c r="AM21" s="56">
        <v>334510</v>
      </c>
      <c r="AN21" s="56">
        <v>74340</v>
      </c>
      <c r="AO21" s="57">
        <v>26400</v>
      </c>
      <c r="AP21" s="57">
        <v>0</v>
      </c>
      <c r="AQ21" s="57">
        <v>0</v>
      </c>
      <c r="AR21" s="57">
        <v>0</v>
      </c>
      <c r="AS21" s="58">
        <f t="shared" si="22"/>
        <v>435250</v>
      </c>
      <c r="AT21" s="36">
        <v>17</v>
      </c>
      <c r="AU21" s="59">
        <f t="shared" si="23"/>
        <v>435250</v>
      </c>
      <c r="AV21" s="36"/>
    </row>
    <row r="22" spans="1:48" ht="15.75" customHeight="1">
      <c r="A22" s="36"/>
      <c r="B22" s="165">
        <f t="shared" si="24"/>
        <v>45064</v>
      </c>
      <c r="C22" s="61" t="s">
        <v>61</v>
      </c>
      <c r="D22" s="39"/>
      <c r="E22" s="40"/>
      <c r="F22" s="41"/>
      <c r="G22" s="42" t="e">
        <f t="shared" si="0"/>
        <v>#DIV/0!</v>
      </c>
      <c r="H22" s="41"/>
      <c r="I22" s="42" t="e">
        <f t="shared" si="1"/>
        <v>#DIV/0!</v>
      </c>
      <c r="J22" s="44">
        <f t="shared" si="2"/>
        <v>0</v>
      </c>
      <c r="K22" s="45" t="str">
        <f t="shared" si="3"/>
        <v/>
      </c>
      <c r="L22" s="46"/>
      <c r="M22" s="47">
        <f t="shared" si="4"/>
        <v>22</v>
      </c>
      <c r="N22" s="48">
        <f t="shared" si="4"/>
        <v>231880</v>
      </c>
      <c r="O22" s="42">
        <f t="shared" si="5"/>
        <v>9581.818181818182</v>
      </c>
      <c r="P22" s="48">
        <f t="shared" si="6"/>
        <v>41370</v>
      </c>
      <c r="Q22" s="67">
        <f t="shared" si="7"/>
        <v>1709.5</v>
      </c>
      <c r="R22" s="49">
        <f t="shared" si="8"/>
        <v>273250</v>
      </c>
      <c r="S22" s="45">
        <f t="shared" si="9"/>
        <v>12420.454545454546</v>
      </c>
      <c r="T22" s="62">
        <f t="shared" si="10"/>
        <v>22</v>
      </c>
      <c r="U22" s="48">
        <f t="shared" si="10"/>
        <v>231880</v>
      </c>
      <c r="V22" s="48">
        <f t="shared" si="11"/>
        <v>41370</v>
      </c>
      <c r="W22" s="51">
        <f t="shared" si="12"/>
        <v>273250</v>
      </c>
      <c r="X22" s="56"/>
      <c r="Y22" s="52"/>
      <c r="Z22" s="53">
        <v>63</v>
      </c>
      <c r="AA22" s="41">
        <v>40050</v>
      </c>
      <c r="AB22" s="42">
        <f t="shared" si="13"/>
        <v>635.71428571428567</v>
      </c>
      <c r="AC22" s="41">
        <v>13350</v>
      </c>
      <c r="AD22" s="43">
        <f t="shared" si="14"/>
        <v>211.9047619047619</v>
      </c>
      <c r="AE22" s="54">
        <f t="shared" si="15"/>
        <v>53400</v>
      </c>
      <c r="AF22" s="45">
        <f t="shared" si="16"/>
        <v>847.61904761904759</v>
      </c>
      <c r="AG22" s="62">
        <f t="shared" si="17"/>
        <v>22</v>
      </c>
      <c r="AH22" s="56">
        <f t="shared" si="18"/>
        <v>271930</v>
      </c>
      <c r="AI22" s="56">
        <f t="shared" si="19"/>
        <v>54720</v>
      </c>
      <c r="AJ22" s="55">
        <f t="shared" si="20"/>
        <v>326650</v>
      </c>
      <c r="AK22" s="48">
        <f t="shared" si="21"/>
        <v>18700</v>
      </c>
      <c r="AL22" s="56">
        <v>22</v>
      </c>
      <c r="AM22" s="56">
        <v>231880</v>
      </c>
      <c r="AN22" s="56">
        <v>41370</v>
      </c>
      <c r="AO22" s="57">
        <v>15400</v>
      </c>
      <c r="AP22" s="57">
        <v>3300</v>
      </c>
      <c r="AQ22" s="57">
        <v>0</v>
      </c>
      <c r="AR22" s="57">
        <v>13200</v>
      </c>
      <c r="AS22" s="58">
        <f t="shared" si="22"/>
        <v>291950</v>
      </c>
      <c r="AT22" s="36">
        <v>18</v>
      </c>
      <c r="AU22" s="59">
        <f t="shared" si="23"/>
        <v>305150</v>
      </c>
      <c r="AV22" s="36"/>
    </row>
    <row r="23" spans="1:48" ht="15.75" customHeight="1">
      <c r="A23" s="36"/>
      <c r="B23" s="165">
        <f t="shared" si="24"/>
        <v>45065</v>
      </c>
      <c r="C23" s="61" t="s">
        <v>61</v>
      </c>
      <c r="D23" s="39"/>
      <c r="E23" s="40"/>
      <c r="F23" s="41"/>
      <c r="G23" s="42" t="e">
        <f t="shared" si="0"/>
        <v>#DIV/0!</v>
      </c>
      <c r="H23" s="41"/>
      <c r="I23" s="42" t="e">
        <f t="shared" si="1"/>
        <v>#DIV/0!</v>
      </c>
      <c r="J23" s="44">
        <f t="shared" si="2"/>
        <v>0</v>
      </c>
      <c r="K23" s="45" t="str">
        <f t="shared" si="3"/>
        <v/>
      </c>
      <c r="L23" s="46"/>
      <c r="M23" s="47">
        <f t="shared" si="4"/>
        <v>40</v>
      </c>
      <c r="N23" s="48">
        <f t="shared" si="4"/>
        <v>393690</v>
      </c>
      <c r="O23" s="42">
        <f t="shared" si="5"/>
        <v>8947.5</v>
      </c>
      <c r="P23" s="48">
        <f t="shared" si="6"/>
        <v>41220</v>
      </c>
      <c r="Q23" s="67">
        <f t="shared" si="7"/>
        <v>936.8</v>
      </c>
      <c r="R23" s="49">
        <f t="shared" si="8"/>
        <v>434910</v>
      </c>
      <c r="S23" s="45">
        <f t="shared" si="9"/>
        <v>10872.75</v>
      </c>
      <c r="T23" s="62">
        <f t="shared" si="10"/>
        <v>40</v>
      </c>
      <c r="U23" s="48">
        <f t="shared" si="10"/>
        <v>393690</v>
      </c>
      <c r="V23" s="48">
        <f t="shared" si="11"/>
        <v>41220</v>
      </c>
      <c r="W23" s="51">
        <f t="shared" si="12"/>
        <v>434910</v>
      </c>
      <c r="X23" s="56"/>
      <c r="Y23" s="52"/>
      <c r="Z23" s="53">
        <v>81</v>
      </c>
      <c r="AA23" s="41">
        <v>62650</v>
      </c>
      <c r="AB23" s="42">
        <f t="shared" si="13"/>
        <v>773.45679012345681</v>
      </c>
      <c r="AC23" s="41">
        <v>14350</v>
      </c>
      <c r="AD23" s="43">
        <f t="shared" si="14"/>
        <v>177.16049382716051</v>
      </c>
      <c r="AE23" s="54">
        <f t="shared" si="15"/>
        <v>77000</v>
      </c>
      <c r="AF23" s="45">
        <f t="shared" si="16"/>
        <v>950.61728395061732</v>
      </c>
      <c r="AG23" s="62">
        <f t="shared" si="17"/>
        <v>40</v>
      </c>
      <c r="AH23" s="56">
        <f t="shared" si="18"/>
        <v>456340</v>
      </c>
      <c r="AI23" s="56">
        <f t="shared" si="19"/>
        <v>55570</v>
      </c>
      <c r="AJ23" s="55">
        <f t="shared" si="20"/>
        <v>511910</v>
      </c>
      <c r="AK23" s="48">
        <f t="shared" si="21"/>
        <v>20130</v>
      </c>
      <c r="AL23" s="56">
        <v>40</v>
      </c>
      <c r="AM23" s="56">
        <v>393690</v>
      </c>
      <c r="AN23" s="56">
        <v>41220</v>
      </c>
      <c r="AO23" s="57">
        <v>18150</v>
      </c>
      <c r="AP23" s="57">
        <v>1980</v>
      </c>
      <c r="AQ23" s="57">
        <v>0</v>
      </c>
      <c r="AR23" s="57">
        <v>0</v>
      </c>
      <c r="AS23" s="58">
        <f t="shared" si="22"/>
        <v>455040</v>
      </c>
      <c r="AT23" s="36">
        <v>19</v>
      </c>
      <c r="AU23" s="59">
        <f t="shared" si="23"/>
        <v>455040</v>
      </c>
      <c r="AV23" s="36"/>
    </row>
    <row r="24" spans="1:48" ht="15.75" customHeight="1">
      <c r="A24" s="36"/>
      <c r="B24" s="164">
        <f t="shared" si="24"/>
        <v>45066</v>
      </c>
      <c r="C24" s="61"/>
      <c r="D24" s="39"/>
      <c r="E24" s="40">
        <v>22</v>
      </c>
      <c r="F24" s="41">
        <v>77710</v>
      </c>
      <c r="G24" s="42">
        <f t="shared" si="0"/>
        <v>3211.1363636363635</v>
      </c>
      <c r="H24" s="41">
        <v>22960</v>
      </c>
      <c r="I24" s="42">
        <f t="shared" si="1"/>
        <v>948.72727272727275</v>
      </c>
      <c r="J24" s="44">
        <f t="shared" si="2"/>
        <v>100670</v>
      </c>
      <c r="K24" s="45">
        <f t="shared" si="3"/>
        <v>4575.909090909091</v>
      </c>
      <c r="L24" s="46"/>
      <c r="M24" s="47">
        <f t="shared" si="4"/>
        <v>37</v>
      </c>
      <c r="N24" s="48">
        <f t="shared" si="4"/>
        <v>301620</v>
      </c>
      <c r="O24" s="42">
        <f t="shared" si="5"/>
        <v>7410.8108108108108</v>
      </c>
      <c r="P24" s="48">
        <f t="shared" si="6"/>
        <v>50130</v>
      </c>
      <c r="Q24" s="67">
        <f t="shared" si="7"/>
        <v>1231.6756756756756</v>
      </c>
      <c r="R24" s="49">
        <f t="shared" si="8"/>
        <v>351750</v>
      </c>
      <c r="S24" s="45">
        <f t="shared" si="9"/>
        <v>9506.7567567567567</v>
      </c>
      <c r="T24" s="62">
        <f t="shared" si="10"/>
        <v>59</v>
      </c>
      <c r="U24" s="48">
        <f t="shared" si="10"/>
        <v>379330</v>
      </c>
      <c r="V24" s="48">
        <f t="shared" si="11"/>
        <v>73090</v>
      </c>
      <c r="W24" s="51">
        <f t="shared" si="12"/>
        <v>452420</v>
      </c>
      <c r="X24" s="56"/>
      <c r="Y24" s="52"/>
      <c r="Z24" s="53">
        <v>169</v>
      </c>
      <c r="AA24" s="41">
        <v>102950</v>
      </c>
      <c r="AB24" s="42">
        <f t="shared" si="13"/>
        <v>609.17159763313612</v>
      </c>
      <c r="AC24" s="41">
        <v>34350</v>
      </c>
      <c r="AD24" s="43">
        <f t="shared" si="14"/>
        <v>203.25443786982248</v>
      </c>
      <c r="AE24" s="54">
        <f t="shared" si="15"/>
        <v>137300</v>
      </c>
      <c r="AF24" s="45">
        <f t="shared" si="16"/>
        <v>812.4260355029586</v>
      </c>
      <c r="AG24" s="62">
        <f t="shared" si="17"/>
        <v>59</v>
      </c>
      <c r="AH24" s="56">
        <f t="shared" si="18"/>
        <v>482280</v>
      </c>
      <c r="AI24" s="56">
        <f t="shared" si="19"/>
        <v>107440</v>
      </c>
      <c r="AJ24" s="55">
        <f t="shared" si="20"/>
        <v>589720</v>
      </c>
      <c r="AK24" s="48">
        <f t="shared" si="21"/>
        <v>24200</v>
      </c>
      <c r="AL24" s="56">
        <v>59</v>
      </c>
      <c r="AM24" s="56">
        <v>379330</v>
      </c>
      <c r="AN24" s="56">
        <v>73090</v>
      </c>
      <c r="AO24" s="57">
        <v>24200</v>
      </c>
      <c r="AP24" s="57">
        <v>0</v>
      </c>
      <c r="AQ24" s="57">
        <v>0</v>
      </c>
      <c r="AR24" s="57">
        <v>0</v>
      </c>
      <c r="AS24" s="58">
        <f t="shared" si="22"/>
        <v>476620</v>
      </c>
      <c r="AT24" s="36">
        <v>20</v>
      </c>
      <c r="AU24" s="59">
        <f t="shared" si="23"/>
        <v>476620</v>
      </c>
      <c r="AV24" s="36"/>
    </row>
    <row r="25" spans="1:48" ht="15.75" customHeight="1">
      <c r="A25" s="36"/>
      <c r="B25" s="65">
        <f t="shared" si="24"/>
        <v>45067</v>
      </c>
      <c r="C25" s="61" t="s">
        <v>64</v>
      </c>
      <c r="D25" s="39"/>
      <c r="E25" s="40">
        <v>7</v>
      </c>
      <c r="F25" s="41">
        <v>25190</v>
      </c>
      <c r="G25" s="42">
        <f t="shared" si="0"/>
        <v>3271.4285714285716</v>
      </c>
      <c r="H25" s="41">
        <v>4010</v>
      </c>
      <c r="I25" s="42">
        <f t="shared" si="1"/>
        <v>520.71428571428567</v>
      </c>
      <c r="J25" s="44">
        <f t="shared" si="2"/>
        <v>29200</v>
      </c>
      <c r="K25" s="45">
        <f t="shared" si="3"/>
        <v>4171.4285714285716</v>
      </c>
      <c r="L25" s="46"/>
      <c r="M25" s="47">
        <f t="shared" si="4"/>
        <v>28</v>
      </c>
      <c r="N25" s="48">
        <f t="shared" si="4"/>
        <v>266090</v>
      </c>
      <c r="O25" s="42">
        <f t="shared" si="5"/>
        <v>8639.2857142857138</v>
      </c>
      <c r="P25" s="48">
        <f t="shared" si="6"/>
        <v>41810</v>
      </c>
      <c r="Q25" s="67">
        <f t="shared" si="7"/>
        <v>1357.4642857142858</v>
      </c>
      <c r="R25" s="49">
        <f t="shared" si="8"/>
        <v>307900</v>
      </c>
      <c r="S25" s="45">
        <f t="shared" si="9"/>
        <v>10996.428571428571</v>
      </c>
      <c r="T25" s="62">
        <f t="shared" si="10"/>
        <v>35</v>
      </c>
      <c r="U25" s="48">
        <f t="shared" si="10"/>
        <v>291280</v>
      </c>
      <c r="V25" s="48">
        <f t="shared" si="11"/>
        <v>45820</v>
      </c>
      <c r="W25" s="51">
        <f t="shared" si="12"/>
        <v>337100</v>
      </c>
      <c r="X25" s="56"/>
      <c r="Y25" s="52"/>
      <c r="Z25" s="53">
        <v>47</v>
      </c>
      <c r="AA25" s="41">
        <v>21100</v>
      </c>
      <c r="AB25" s="42">
        <f t="shared" si="13"/>
        <v>448.93617021276594</v>
      </c>
      <c r="AC25" s="41">
        <v>14900</v>
      </c>
      <c r="AD25" s="43">
        <f t="shared" si="14"/>
        <v>317.02127659574467</v>
      </c>
      <c r="AE25" s="54">
        <f t="shared" si="15"/>
        <v>36000</v>
      </c>
      <c r="AF25" s="45">
        <f t="shared" si="16"/>
        <v>765.95744680851067</v>
      </c>
      <c r="AG25" s="62">
        <f t="shared" si="17"/>
        <v>35</v>
      </c>
      <c r="AH25" s="56">
        <f t="shared" si="18"/>
        <v>312380</v>
      </c>
      <c r="AI25" s="56">
        <f t="shared" si="19"/>
        <v>60720</v>
      </c>
      <c r="AJ25" s="55">
        <f t="shared" si="20"/>
        <v>373100</v>
      </c>
      <c r="AK25" s="48">
        <f t="shared" si="21"/>
        <v>16500</v>
      </c>
      <c r="AL25" s="56">
        <v>35</v>
      </c>
      <c r="AM25" s="56">
        <v>291280</v>
      </c>
      <c r="AN25" s="56">
        <v>45820</v>
      </c>
      <c r="AO25" s="57">
        <v>11550</v>
      </c>
      <c r="AP25" s="57">
        <v>1650</v>
      </c>
      <c r="AQ25" s="57">
        <v>3300</v>
      </c>
      <c r="AR25" s="57">
        <v>0</v>
      </c>
      <c r="AS25" s="58">
        <f t="shared" si="22"/>
        <v>353600</v>
      </c>
      <c r="AT25" s="36">
        <v>21</v>
      </c>
      <c r="AU25" s="59">
        <f t="shared" si="23"/>
        <v>353600</v>
      </c>
      <c r="AV25" s="36"/>
    </row>
    <row r="26" spans="1:48" ht="15.75" customHeight="1">
      <c r="A26" s="36"/>
      <c r="B26" s="165">
        <f t="shared" si="24"/>
        <v>45068</v>
      </c>
      <c r="C26" s="61" t="s">
        <v>61</v>
      </c>
      <c r="D26" s="39"/>
      <c r="E26" s="40"/>
      <c r="F26" s="41"/>
      <c r="G26" s="42" t="e">
        <f t="shared" si="0"/>
        <v>#DIV/0!</v>
      </c>
      <c r="H26" s="41"/>
      <c r="I26" s="42" t="e">
        <f t="shared" si="1"/>
        <v>#DIV/0!</v>
      </c>
      <c r="J26" s="44">
        <f t="shared" si="2"/>
        <v>0</v>
      </c>
      <c r="K26" s="45" t="str">
        <f t="shared" si="3"/>
        <v/>
      </c>
      <c r="L26" s="46"/>
      <c r="M26" s="47">
        <f t="shared" si="4"/>
        <v>21</v>
      </c>
      <c r="N26" s="48">
        <f t="shared" si="4"/>
        <v>200420</v>
      </c>
      <c r="O26" s="42">
        <f t="shared" si="5"/>
        <v>8676.1904761904771</v>
      </c>
      <c r="P26" s="48">
        <f t="shared" si="6"/>
        <v>37700</v>
      </c>
      <c r="Q26" s="67">
        <f t="shared" si="7"/>
        <v>1632</v>
      </c>
      <c r="R26" s="49">
        <f t="shared" si="8"/>
        <v>238120</v>
      </c>
      <c r="S26" s="45">
        <f t="shared" si="9"/>
        <v>11339.047619047618</v>
      </c>
      <c r="T26" s="62">
        <f t="shared" si="10"/>
        <v>21</v>
      </c>
      <c r="U26" s="48">
        <f t="shared" si="10"/>
        <v>200420</v>
      </c>
      <c r="V26" s="48">
        <f t="shared" si="11"/>
        <v>37700</v>
      </c>
      <c r="W26" s="51">
        <f t="shared" si="12"/>
        <v>238120</v>
      </c>
      <c r="X26" s="56"/>
      <c r="Y26" s="52"/>
      <c r="Z26" s="53">
        <v>43</v>
      </c>
      <c r="AA26" s="41">
        <v>21600</v>
      </c>
      <c r="AB26" s="42">
        <f t="shared" si="13"/>
        <v>502.32558139534882</v>
      </c>
      <c r="AC26" s="41">
        <v>14350</v>
      </c>
      <c r="AD26" s="43">
        <f t="shared" si="14"/>
        <v>333.72093023255815</v>
      </c>
      <c r="AE26" s="54">
        <f t="shared" si="15"/>
        <v>35950</v>
      </c>
      <c r="AF26" s="45">
        <f t="shared" si="16"/>
        <v>836.04651162790697</v>
      </c>
      <c r="AG26" s="62">
        <f t="shared" si="17"/>
        <v>21</v>
      </c>
      <c r="AH26" s="56">
        <f t="shared" si="18"/>
        <v>222020</v>
      </c>
      <c r="AI26" s="56">
        <f t="shared" si="19"/>
        <v>52050</v>
      </c>
      <c r="AJ26" s="55">
        <f t="shared" si="20"/>
        <v>274070</v>
      </c>
      <c r="AK26" s="48">
        <f t="shared" si="21"/>
        <v>71700</v>
      </c>
      <c r="AL26" s="56">
        <v>21</v>
      </c>
      <c r="AM26" s="56">
        <v>200420</v>
      </c>
      <c r="AN26" s="56">
        <v>37700</v>
      </c>
      <c r="AO26" s="57">
        <v>15400</v>
      </c>
      <c r="AP26" s="57">
        <v>56300</v>
      </c>
      <c r="AQ26" s="57">
        <v>0</v>
      </c>
      <c r="AR26" s="57">
        <v>13200</v>
      </c>
      <c r="AS26" s="58">
        <f t="shared" si="22"/>
        <v>309820</v>
      </c>
      <c r="AT26" s="36">
        <v>22</v>
      </c>
      <c r="AU26" s="59">
        <f t="shared" si="23"/>
        <v>323020</v>
      </c>
      <c r="AV26" s="36"/>
    </row>
    <row r="27" spans="1:48" ht="15.75" customHeight="1">
      <c r="A27" s="36"/>
      <c r="B27" s="165">
        <f t="shared" si="24"/>
        <v>45069</v>
      </c>
      <c r="C27" s="61" t="s">
        <v>62</v>
      </c>
      <c r="D27" s="39"/>
      <c r="E27" s="40">
        <v>28</v>
      </c>
      <c r="F27" s="41">
        <v>93340</v>
      </c>
      <c r="G27" s="42">
        <f t="shared" si="0"/>
        <v>3030.5</v>
      </c>
      <c r="H27" s="41">
        <v>16200</v>
      </c>
      <c r="I27" s="42">
        <f t="shared" si="1"/>
        <v>525.96428571428567</v>
      </c>
      <c r="J27" s="44">
        <f t="shared" si="2"/>
        <v>109540</v>
      </c>
      <c r="K27" s="45">
        <f t="shared" si="3"/>
        <v>3912.1428571428573</v>
      </c>
      <c r="L27" s="46"/>
      <c r="M27" s="47">
        <f t="shared" si="4"/>
        <v>40</v>
      </c>
      <c r="N27" s="48">
        <f t="shared" si="4"/>
        <v>359920</v>
      </c>
      <c r="O27" s="42">
        <f t="shared" si="5"/>
        <v>8180</v>
      </c>
      <c r="P27" s="48">
        <f t="shared" si="6"/>
        <v>51260</v>
      </c>
      <c r="Q27" s="43">
        <f t="shared" si="7"/>
        <v>1165</v>
      </c>
      <c r="R27" s="49">
        <f t="shared" si="8"/>
        <v>411180</v>
      </c>
      <c r="S27" s="45">
        <f t="shared" si="9"/>
        <v>10279.5</v>
      </c>
      <c r="T27" s="62">
        <f t="shared" si="10"/>
        <v>68</v>
      </c>
      <c r="U27" s="48">
        <f t="shared" si="10"/>
        <v>453260</v>
      </c>
      <c r="V27" s="48">
        <f t="shared" si="11"/>
        <v>67460</v>
      </c>
      <c r="W27" s="51">
        <f t="shared" si="12"/>
        <v>520720</v>
      </c>
      <c r="X27" s="56"/>
      <c r="Y27" s="52"/>
      <c r="Z27" s="53">
        <v>89</v>
      </c>
      <c r="AA27" s="41">
        <v>44250</v>
      </c>
      <c r="AB27" s="42">
        <f t="shared" si="13"/>
        <v>497.19101123595505</v>
      </c>
      <c r="AC27" s="41">
        <v>30100</v>
      </c>
      <c r="AD27" s="43">
        <f t="shared" si="14"/>
        <v>338.20224719101122</v>
      </c>
      <c r="AE27" s="54">
        <f t="shared" si="15"/>
        <v>74350</v>
      </c>
      <c r="AF27" s="45">
        <f t="shared" si="16"/>
        <v>835.39325842696633</v>
      </c>
      <c r="AG27" s="62">
        <f t="shared" si="17"/>
        <v>68</v>
      </c>
      <c r="AH27" s="56">
        <f t="shared" si="18"/>
        <v>497510</v>
      </c>
      <c r="AI27" s="56">
        <f t="shared" si="19"/>
        <v>97560</v>
      </c>
      <c r="AJ27" s="55">
        <f t="shared" si="20"/>
        <v>595070</v>
      </c>
      <c r="AK27" s="48">
        <f t="shared" si="21"/>
        <v>25850</v>
      </c>
      <c r="AL27" s="56">
        <v>68</v>
      </c>
      <c r="AM27" s="56">
        <v>453260</v>
      </c>
      <c r="AN27" s="56">
        <v>67460</v>
      </c>
      <c r="AO27" s="57">
        <v>25850</v>
      </c>
      <c r="AP27" s="57">
        <v>0</v>
      </c>
      <c r="AQ27" s="57">
        <v>0</v>
      </c>
      <c r="AR27" s="57">
        <v>0</v>
      </c>
      <c r="AS27" s="58">
        <f t="shared" si="22"/>
        <v>546570</v>
      </c>
      <c r="AT27" s="36">
        <v>23</v>
      </c>
      <c r="AU27" s="59">
        <f t="shared" si="23"/>
        <v>546570</v>
      </c>
      <c r="AV27" s="36"/>
    </row>
    <row r="28" spans="1:48" ht="15.75" customHeight="1">
      <c r="A28" s="36"/>
      <c r="B28" s="60">
        <f t="shared" si="24"/>
        <v>45070</v>
      </c>
      <c r="C28" s="61" t="s">
        <v>61</v>
      </c>
      <c r="D28" s="39"/>
      <c r="E28" s="40"/>
      <c r="F28" s="41"/>
      <c r="G28" s="42" t="e">
        <f t="shared" si="0"/>
        <v>#DIV/0!</v>
      </c>
      <c r="H28" s="41"/>
      <c r="I28" s="42" t="e">
        <f t="shared" si="1"/>
        <v>#DIV/0!</v>
      </c>
      <c r="J28" s="44">
        <f t="shared" si="2"/>
        <v>0</v>
      </c>
      <c r="K28" s="45" t="str">
        <f t="shared" si="3"/>
        <v/>
      </c>
      <c r="L28" s="46"/>
      <c r="M28" s="47">
        <f t="shared" si="4"/>
        <v>30</v>
      </c>
      <c r="N28" s="48">
        <f t="shared" si="4"/>
        <v>186560</v>
      </c>
      <c r="O28" s="42">
        <f t="shared" si="5"/>
        <v>5653.333333333333</v>
      </c>
      <c r="P28" s="48">
        <f t="shared" si="6"/>
        <v>15950</v>
      </c>
      <c r="Q28" s="43">
        <f t="shared" si="7"/>
        <v>483.33333333333331</v>
      </c>
      <c r="R28" s="49">
        <f t="shared" si="8"/>
        <v>202510</v>
      </c>
      <c r="S28" s="45">
        <f t="shared" si="9"/>
        <v>6750.333333333333</v>
      </c>
      <c r="T28" s="62">
        <f t="shared" si="10"/>
        <v>30</v>
      </c>
      <c r="U28" s="48">
        <f t="shared" si="10"/>
        <v>186560</v>
      </c>
      <c r="V28" s="48">
        <f t="shared" si="11"/>
        <v>15950</v>
      </c>
      <c r="W28" s="51">
        <f t="shared" si="12"/>
        <v>202510</v>
      </c>
      <c r="X28" s="56"/>
      <c r="Y28" s="52"/>
      <c r="Z28" s="53">
        <v>75</v>
      </c>
      <c r="AA28" s="41">
        <v>44600</v>
      </c>
      <c r="AB28" s="42">
        <f t="shared" si="13"/>
        <v>594.66666666666663</v>
      </c>
      <c r="AC28" s="41">
        <v>28600</v>
      </c>
      <c r="AD28" s="43">
        <f t="shared" si="14"/>
        <v>381.33333333333331</v>
      </c>
      <c r="AE28" s="54">
        <f t="shared" si="15"/>
        <v>73200</v>
      </c>
      <c r="AF28" s="45">
        <f t="shared" si="16"/>
        <v>976</v>
      </c>
      <c r="AG28" s="62">
        <f t="shared" si="17"/>
        <v>30</v>
      </c>
      <c r="AH28" s="56">
        <f t="shared" si="18"/>
        <v>231160</v>
      </c>
      <c r="AI28" s="56">
        <f t="shared" si="19"/>
        <v>44550</v>
      </c>
      <c r="AJ28" s="55">
        <f t="shared" si="20"/>
        <v>275710</v>
      </c>
      <c r="AK28" s="48">
        <f t="shared" si="21"/>
        <v>0</v>
      </c>
      <c r="AL28" s="56">
        <v>30</v>
      </c>
      <c r="AM28" s="56">
        <v>186560</v>
      </c>
      <c r="AN28" s="56">
        <v>15950</v>
      </c>
      <c r="AO28" s="57">
        <v>0</v>
      </c>
      <c r="AP28" s="57">
        <v>0</v>
      </c>
      <c r="AQ28" s="57">
        <v>0</v>
      </c>
      <c r="AR28" s="57">
        <v>0</v>
      </c>
      <c r="AS28" s="58">
        <f t="shared" si="22"/>
        <v>202510</v>
      </c>
      <c r="AT28" s="36">
        <v>24</v>
      </c>
      <c r="AU28" s="59">
        <f t="shared" si="23"/>
        <v>202510</v>
      </c>
      <c r="AV28" s="36"/>
    </row>
    <row r="29" spans="1:48" ht="15.75" customHeight="1">
      <c r="A29" s="36"/>
      <c r="B29" s="165">
        <f t="shared" si="24"/>
        <v>45071</v>
      </c>
      <c r="C29" s="61" t="s">
        <v>61</v>
      </c>
      <c r="D29" s="39"/>
      <c r="E29" s="40"/>
      <c r="F29" s="41"/>
      <c r="G29" s="42" t="e">
        <f t="shared" si="0"/>
        <v>#DIV/0!</v>
      </c>
      <c r="H29" s="41"/>
      <c r="I29" s="42" t="e">
        <f t="shared" si="1"/>
        <v>#DIV/0!</v>
      </c>
      <c r="J29" s="44">
        <f t="shared" si="2"/>
        <v>0</v>
      </c>
      <c r="K29" s="45" t="str">
        <f t="shared" si="3"/>
        <v/>
      </c>
      <c r="L29" s="46"/>
      <c r="M29" s="47">
        <f t="shared" si="4"/>
        <v>25</v>
      </c>
      <c r="N29" s="48">
        <f t="shared" si="4"/>
        <v>252560</v>
      </c>
      <c r="O29" s="42">
        <f t="shared" si="5"/>
        <v>9184</v>
      </c>
      <c r="P29" s="48">
        <f t="shared" si="6"/>
        <v>43520</v>
      </c>
      <c r="Q29" s="43">
        <f t="shared" si="7"/>
        <v>1582.52</v>
      </c>
      <c r="R29" s="49">
        <f t="shared" si="8"/>
        <v>296080</v>
      </c>
      <c r="S29" s="45">
        <f t="shared" si="9"/>
        <v>11843.2</v>
      </c>
      <c r="T29" s="62">
        <f t="shared" si="10"/>
        <v>25</v>
      </c>
      <c r="U29" s="48">
        <f t="shared" si="10"/>
        <v>252560</v>
      </c>
      <c r="V29" s="48">
        <f t="shared" si="11"/>
        <v>43520</v>
      </c>
      <c r="W29" s="51">
        <f t="shared" si="12"/>
        <v>296080</v>
      </c>
      <c r="X29" s="56"/>
      <c r="Y29" s="52"/>
      <c r="Z29" s="53">
        <v>102</v>
      </c>
      <c r="AA29" s="41">
        <v>68550</v>
      </c>
      <c r="AB29" s="42">
        <f t="shared" si="13"/>
        <v>672.05882352941171</v>
      </c>
      <c r="AC29" s="41">
        <v>30900</v>
      </c>
      <c r="AD29" s="43">
        <f t="shared" si="14"/>
        <v>302.94117647058823</v>
      </c>
      <c r="AE29" s="54">
        <f t="shared" si="15"/>
        <v>99450</v>
      </c>
      <c r="AF29" s="45">
        <f t="shared" si="16"/>
        <v>975</v>
      </c>
      <c r="AG29" s="62">
        <f t="shared" si="17"/>
        <v>25</v>
      </c>
      <c r="AH29" s="56">
        <f t="shared" si="18"/>
        <v>321110</v>
      </c>
      <c r="AI29" s="56">
        <f t="shared" si="19"/>
        <v>74420</v>
      </c>
      <c r="AJ29" s="55">
        <f t="shared" si="20"/>
        <v>395530</v>
      </c>
      <c r="AK29" s="48">
        <f t="shared" si="21"/>
        <v>18700</v>
      </c>
      <c r="AL29" s="56">
        <v>25</v>
      </c>
      <c r="AM29" s="56">
        <v>252560</v>
      </c>
      <c r="AN29" s="56">
        <v>43520</v>
      </c>
      <c r="AO29" s="57">
        <v>18700</v>
      </c>
      <c r="AP29" s="57">
        <v>0</v>
      </c>
      <c r="AQ29" s="57">
        <v>0</v>
      </c>
      <c r="AR29" s="57">
        <v>0</v>
      </c>
      <c r="AS29" s="58">
        <f t="shared" si="22"/>
        <v>314780</v>
      </c>
      <c r="AT29" s="36">
        <v>25</v>
      </c>
      <c r="AU29" s="59">
        <f t="shared" si="23"/>
        <v>314780</v>
      </c>
      <c r="AV29" s="36"/>
    </row>
    <row r="30" spans="1:48" ht="15.75" customHeight="1">
      <c r="A30" s="36"/>
      <c r="B30" s="165">
        <f t="shared" si="24"/>
        <v>45072</v>
      </c>
      <c r="C30" s="61" t="s">
        <v>62</v>
      </c>
      <c r="D30" s="39"/>
      <c r="E30" s="40">
        <v>28</v>
      </c>
      <c r="F30" s="41">
        <v>96740</v>
      </c>
      <c r="G30" s="42">
        <f t="shared" si="0"/>
        <v>3140.8928571428573</v>
      </c>
      <c r="H30" s="41">
        <v>16800</v>
      </c>
      <c r="I30" s="42">
        <f t="shared" si="1"/>
        <v>545.42857142857144</v>
      </c>
      <c r="J30" s="44">
        <f t="shared" si="2"/>
        <v>113540</v>
      </c>
      <c r="K30" s="45">
        <f t="shared" si="3"/>
        <v>4055</v>
      </c>
      <c r="L30" s="46"/>
      <c r="M30" s="47">
        <f t="shared" si="4"/>
        <v>27</v>
      </c>
      <c r="N30" s="48">
        <f t="shared" si="4"/>
        <v>259380</v>
      </c>
      <c r="O30" s="42">
        <f t="shared" si="5"/>
        <v>8733.3333333333339</v>
      </c>
      <c r="P30" s="48">
        <f t="shared" si="6"/>
        <v>30970</v>
      </c>
      <c r="Q30" s="42">
        <f t="shared" si="7"/>
        <v>1042.7407407407406</v>
      </c>
      <c r="R30" s="49">
        <f t="shared" si="8"/>
        <v>290350</v>
      </c>
      <c r="S30" s="45">
        <f t="shared" si="9"/>
        <v>10753.703703703704</v>
      </c>
      <c r="T30" s="62">
        <f t="shared" si="10"/>
        <v>55</v>
      </c>
      <c r="U30" s="48">
        <f t="shared" si="10"/>
        <v>356120</v>
      </c>
      <c r="V30" s="48">
        <f t="shared" si="11"/>
        <v>47770</v>
      </c>
      <c r="W30" s="51">
        <f t="shared" si="12"/>
        <v>403890</v>
      </c>
      <c r="X30" s="56"/>
      <c r="Y30" s="52"/>
      <c r="Z30" s="53">
        <v>72</v>
      </c>
      <c r="AA30" s="41">
        <v>41700</v>
      </c>
      <c r="AB30" s="42">
        <f t="shared" si="13"/>
        <v>579.16666666666663</v>
      </c>
      <c r="AC30" s="41">
        <v>24550</v>
      </c>
      <c r="AD30" s="43">
        <f t="shared" si="14"/>
        <v>340.97222222222223</v>
      </c>
      <c r="AE30" s="54">
        <f t="shared" si="15"/>
        <v>66250</v>
      </c>
      <c r="AF30" s="45">
        <f t="shared" si="16"/>
        <v>920.13888888888891</v>
      </c>
      <c r="AG30" s="62">
        <f t="shared" si="17"/>
        <v>55</v>
      </c>
      <c r="AH30" s="56">
        <f t="shared" si="18"/>
        <v>397820</v>
      </c>
      <c r="AI30" s="56">
        <f t="shared" si="19"/>
        <v>72320</v>
      </c>
      <c r="AJ30" s="55">
        <f t="shared" si="20"/>
        <v>470140</v>
      </c>
      <c r="AK30" s="48">
        <f t="shared" si="21"/>
        <v>13750</v>
      </c>
      <c r="AL30" s="56">
        <v>55</v>
      </c>
      <c r="AM30" s="56">
        <v>356120</v>
      </c>
      <c r="AN30" s="56">
        <v>47770</v>
      </c>
      <c r="AO30" s="57">
        <v>13750</v>
      </c>
      <c r="AP30" s="57">
        <v>0</v>
      </c>
      <c r="AQ30" s="57">
        <v>0</v>
      </c>
      <c r="AR30" s="57">
        <v>0</v>
      </c>
      <c r="AS30" s="58">
        <f t="shared" si="22"/>
        <v>417640</v>
      </c>
      <c r="AT30" s="36">
        <v>26</v>
      </c>
      <c r="AU30" s="59">
        <f t="shared" si="23"/>
        <v>417640</v>
      </c>
      <c r="AV30" s="36"/>
    </row>
    <row r="31" spans="1:48" ht="15.75" customHeight="1">
      <c r="A31" s="36"/>
      <c r="B31" s="164">
        <f t="shared" si="24"/>
        <v>45073</v>
      </c>
      <c r="C31" s="61"/>
      <c r="D31" s="39"/>
      <c r="E31" s="40">
        <v>22</v>
      </c>
      <c r="F31" s="41">
        <v>89210</v>
      </c>
      <c r="G31" s="42">
        <f t="shared" si="0"/>
        <v>3686.3636363636365</v>
      </c>
      <c r="H31" s="41">
        <v>1200</v>
      </c>
      <c r="I31" s="42">
        <f t="shared" si="1"/>
        <v>49.545454545454547</v>
      </c>
      <c r="J31" s="44">
        <f t="shared" si="2"/>
        <v>90410</v>
      </c>
      <c r="K31" s="45">
        <f t="shared" si="3"/>
        <v>4109.545454545455</v>
      </c>
      <c r="L31" s="46"/>
      <c r="M31" s="47">
        <f t="shared" si="4"/>
        <v>32</v>
      </c>
      <c r="N31" s="48">
        <f t="shared" si="4"/>
        <v>263120</v>
      </c>
      <c r="O31" s="42">
        <f t="shared" si="5"/>
        <v>7475</v>
      </c>
      <c r="P31" s="48">
        <f t="shared" si="6"/>
        <v>51030</v>
      </c>
      <c r="Q31" s="42">
        <f t="shared" si="7"/>
        <v>1449.6875</v>
      </c>
      <c r="R31" s="49">
        <f t="shared" si="8"/>
        <v>314150</v>
      </c>
      <c r="S31" s="45">
        <f t="shared" si="9"/>
        <v>9817.1875</v>
      </c>
      <c r="T31" s="62">
        <f t="shared" si="10"/>
        <v>54</v>
      </c>
      <c r="U31" s="48">
        <f t="shared" si="10"/>
        <v>352330</v>
      </c>
      <c r="V31" s="48">
        <f t="shared" si="11"/>
        <v>52230</v>
      </c>
      <c r="W31" s="51">
        <f t="shared" si="12"/>
        <v>404560</v>
      </c>
      <c r="X31" s="56"/>
      <c r="Y31" s="52"/>
      <c r="Z31" s="53">
        <v>209</v>
      </c>
      <c r="AA31" s="41">
        <v>181450</v>
      </c>
      <c r="AB31" s="42">
        <f t="shared" si="13"/>
        <v>868.18181818181813</v>
      </c>
      <c r="AC31" s="41">
        <v>22850</v>
      </c>
      <c r="AD31" s="43">
        <f t="shared" si="14"/>
        <v>109.33014354066985</v>
      </c>
      <c r="AE31" s="54">
        <f t="shared" si="15"/>
        <v>204300</v>
      </c>
      <c r="AF31" s="45">
        <f t="shared" si="16"/>
        <v>977.51196172248808</v>
      </c>
      <c r="AG31" s="62">
        <f t="shared" si="17"/>
        <v>54</v>
      </c>
      <c r="AH31" s="56">
        <f t="shared" si="18"/>
        <v>533780</v>
      </c>
      <c r="AI31" s="56">
        <f t="shared" si="19"/>
        <v>75080</v>
      </c>
      <c r="AJ31" s="55">
        <f t="shared" si="20"/>
        <v>608860</v>
      </c>
      <c r="AK31" s="48">
        <f t="shared" si="21"/>
        <v>34430</v>
      </c>
      <c r="AL31" s="56">
        <v>54</v>
      </c>
      <c r="AM31" s="56">
        <v>352330</v>
      </c>
      <c r="AN31" s="56">
        <v>52230</v>
      </c>
      <c r="AO31" s="57">
        <v>32450</v>
      </c>
      <c r="AP31" s="57">
        <v>1980</v>
      </c>
      <c r="AQ31" s="57">
        <v>0</v>
      </c>
      <c r="AR31" s="57">
        <v>0</v>
      </c>
      <c r="AS31" s="58">
        <f t="shared" si="22"/>
        <v>438990</v>
      </c>
      <c r="AT31" s="36">
        <v>27</v>
      </c>
      <c r="AU31" s="59">
        <f t="shared" si="23"/>
        <v>438990</v>
      </c>
      <c r="AV31" s="36"/>
    </row>
    <row r="32" spans="1:48" ht="15.75" customHeight="1">
      <c r="A32" s="36"/>
      <c r="B32" s="65">
        <f t="shared" si="24"/>
        <v>45074</v>
      </c>
      <c r="C32" s="61"/>
      <c r="D32" s="39"/>
      <c r="E32" s="40">
        <v>30</v>
      </c>
      <c r="F32" s="41">
        <v>100320</v>
      </c>
      <c r="G32" s="42">
        <f t="shared" si="0"/>
        <v>3040</v>
      </c>
      <c r="H32" s="41">
        <v>16200</v>
      </c>
      <c r="I32" s="42">
        <f t="shared" si="1"/>
        <v>490.9</v>
      </c>
      <c r="J32" s="44">
        <f t="shared" si="2"/>
        <v>116520</v>
      </c>
      <c r="K32" s="45">
        <f t="shared" si="3"/>
        <v>3884</v>
      </c>
      <c r="L32" s="46"/>
      <c r="M32" s="47">
        <f t="shared" si="4"/>
        <v>25</v>
      </c>
      <c r="N32" s="48">
        <f t="shared" si="4"/>
        <v>238260</v>
      </c>
      <c r="O32" s="42">
        <f t="shared" si="5"/>
        <v>8664</v>
      </c>
      <c r="P32" s="48">
        <f t="shared" si="6"/>
        <v>28610</v>
      </c>
      <c r="Q32" s="42">
        <f t="shared" si="7"/>
        <v>1040.3599999999999</v>
      </c>
      <c r="R32" s="49">
        <f t="shared" si="8"/>
        <v>266870</v>
      </c>
      <c r="S32" s="45">
        <f t="shared" si="9"/>
        <v>10674.8</v>
      </c>
      <c r="T32" s="62">
        <f t="shared" si="10"/>
        <v>55</v>
      </c>
      <c r="U32" s="48">
        <f t="shared" si="10"/>
        <v>338580</v>
      </c>
      <c r="V32" s="48">
        <f t="shared" si="11"/>
        <v>44810</v>
      </c>
      <c r="W32" s="51">
        <f t="shared" si="12"/>
        <v>383390</v>
      </c>
      <c r="X32" s="56"/>
      <c r="Y32" s="52"/>
      <c r="Z32" s="53">
        <v>85</v>
      </c>
      <c r="AA32" s="41">
        <v>118400</v>
      </c>
      <c r="AB32" s="42">
        <f t="shared" si="13"/>
        <v>1392.9411764705883</v>
      </c>
      <c r="AC32" s="41">
        <v>8900</v>
      </c>
      <c r="AD32" s="43">
        <f t="shared" si="14"/>
        <v>104.70588235294117</v>
      </c>
      <c r="AE32" s="54">
        <f t="shared" si="15"/>
        <v>127300</v>
      </c>
      <c r="AF32" s="45">
        <f t="shared" si="16"/>
        <v>1497.6470588235295</v>
      </c>
      <c r="AG32" s="62">
        <f t="shared" si="17"/>
        <v>55</v>
      </c>
      <c r="AH32" s="56">
        <f t="shared" si="18"/>
        <v>456980</v>
      </c>
      <c r="AI32" s="56">
        <f t="shared" si="19"/>
        <v>53710</v>
      </c>
      <c r="AJ32" s="55">
        <f t="shared" si="20"/>
        <v>510690</v>
      </c>
      <c r="AK32" s="48">
        <f t="shared" si="21"/>
        <v>26950</v>
      </c>
      <c r="AL32" s="56">
        <v>55</v>
      </c>
      <c r="AM32" s="56">
        <v>338580</v>
      </c>
      <c r="AN32" s="56">
        <v>44810</v>
      </c>
      <c r="AO32" s="57">
        <v>20350</v>
      </c>
      <c r="AP32" s="57">
        <v>3300</v>
      </c>
      <c r="AQ32" s="57">
        <v>3300</v>
      </c>
      <c r="AR32" s="57">
        <v>7700</v>
      </c>
      <c r="AS32" s="58">
        <f t="shared" si="22"/>
        <v>410340</v>
      </c>
      <c r="AT32" s="36">
        <v>28</v>
      </c>
      <c r="AU32" s="59">
        <f t="shared" si="23"/>
        <v>418040</v>
      </c>
      <c r="AV32" s="36"/>
    </row>
    <row r="33" spans="1:48" ht="15.75" customHeight="1">
      <c r="A33" s="36"/>
      <c r="B33" s="60">
        <f t="shared" si="24"/>
        <v>45075</v>
      </c>
      <c r="C33" s="61" t="s">
        <v>61</v>
      </c>
      <c r="D33" s="39"/>
      <c r="E33" s="40"/>
      <c r="F33" s="41"/>
      <c r="G33" s="42" t="e">
        <f t="shared" si="0"/>
        <v>#DIV/0!</v>
      </c>
      <c r="H33" s="41"/>
      <c r="I33" s="42" t="e">
        <f t="shared" si="1"/>
        <v>#DIV/0!</v>
      </c>
      <c r="J33" s="44">
        <f t="shared" si="2"/>
        <v>0</v>
      </c>
      <c r="K33" s="45" t="str">
        <f t="shared" si="3"/>
        <v/>
      </c>
      <c r="L33" s="46"/>
      <c r="M33" s="47">
        <f t="shared" si="4"/>
        <v>33</v>
      </c>
      <c r="N33" s="48">
        <f t="shared" si="4"/>
        <v>320540</v>
      </c>
      <c r="O33" s="42">
        <f t="shared" si="5"/>
        <v>8830.30303030303</v>
      </c>
      <c r="P33" s="48">
        <f t="shared" si="6"/>
        <v>64360</v>
      </c>
      <c r="Q33" s="42">
        <f t="shared" si="7"/>
        <v>1773</v>
      </c>
      <c r="R33" s="49">
        <f t="shared" si="8"/>
        <v>384900</v>
      </c>
      <c r="S33" s="45">
        <f t="shared" si="9"/>
        <v>11663.636363636364</v>
      </c>
      <c r="T33" s="62">
        <f t="shared" si="10"/>
        <v>33</v>
      </c>
      <c r="U33" s="48">
        <f t="shared" si="10"/>
        <v>320540</v>
      </c>
      <c r="V33" s="48">
        <f t="shared" si="11"/>
        <v>64360</v>
      </c>
      <c r="W33" s="51">
        <f t="shared" si="12"/>
        <v>384900</v>
      </c>
      <c r="X33" s="56"/>
      <c r="Y33" s="52"/>
      <c r="Z33" s="53">
        <v>69</v>
      </c>
      <c r="AA33" s="41">
        <v>45900</v>
      </c>
      <c r="AB33" s="42">
        <f t="shared" si="13"/>
        <v>665.21739130434787</v>
      </c>
      <c r="AC33" s="41">
        <v>24850</v>
      </c>
      <c r="AD33" s="43">
        <f t="shared" si="14"/>
        <v>360.14492753623188</v>
      </c>
      <c r="AE33" s="54">
        <f t="shared" si="15"/>
        <v>70750</v>
      </c>
      <c r="AF33" s="45">
        <f t="shared" si="16"/>
        <v>1025.3623188405797</v>
      </c>
      <c r="AG33" s="62">
        <f t="shared" si="17"/>
        <v>33</v>
      </c>
      <c r="AH33" s="56">
        <f t="shared" si="18"/>
        <v>366440</v>
      </c>
      <c r="AI33" s="56">
        <f t="shared" si="19"/>
        <v>89210</v>
      </c>
      <c r="AJ33" s="55">
        <f t="shared" si="20"/>
        <v>455650</v>
      </c>
      <c r="AK33" s="48">
        <f t="shared" si="21"/>
        <v>77880</v>
      </c>
      <c r="AL33" s="56">
        <v>33</v>
      </c>
      <c r="AM33" s="56">
        <v>320540</v>
      </c>
      <c r="AN33" s="56">
        <v>64360</v>
      </c>
      <c r="AO33" s="57">
        <v>15950</v>
      </c>
      <c r="AP33" s="57">
        <v>58630</v>
      </c>
      <c r="AQ33" s="57">
        <v>3300</v>
      </c>
      <c r="AR33" s="57">
        <v>6600</v>
      </c>
      <c r="AS33" s="58">
        <f t="shared" si="22"/>
        <v>462780</v>
      </c>
      <c r="AT33" s="36">
        <v>29</v>
      </c>
      <c r="AU33" s="59">
        <f t="shared" si="23"/>
        <v>469380</v>
      </c>
      <c r="AV33" s="36"/>
    </row>
    <row r="34" spans="1:48" ht="15.75" customHeight="1">
      <c r="A34" s="36"/>
      <c r="B34" s="60">
        <f t="shared" si="24"/>
        <v>45076</v>
      </c>
      <c r="C34" s="61" t="s">
        <v>61</v>
      </c>
      <c r="D34" s="39"/>
      <c r="E34" s="40"/>
      <c r="F34" s="41"/>
      <c r="G34" s="42" t="e">
        <f t="shared" si="0"/>
        <v>#DIV/0!</v>
      </c>
      <c r="H34" s="41"/>
      <c r="I34" s="42" t="e">
        <f t="shared" si="1"/>
        <v>#DIV/0!</v>
      </c>
      <c r="J34" s="44">
        <f t="shared" si="2"/>
        <v>0</v>
      </c>
      <c r="K34" s="45" t="str">
        <f t="shared" si="3"/>
        <v/>
      </c>
      <c r="L34" s="46"/>
      <c r="M34" s="47">
        <f t="shared" si="4"/>
        <v>28</v>
      </c>
      <c r="N34" s="48">
        <f t="shared" si="4"/>
        <v>304900</v>
      </c>
      <c r="O34" s="42">
        <f t="shared" si="5"/>
        <v>9899.3214285714294</v>
      </c>
      <c r="P34" s="48">
        <f t="shared" si="6"/>
        <v>38300</v>
      </c>
      <c r="Q34" s="42">
        <f t="shared" si="7"/>
        <v>1243.5</v>
      </c>
      <c r="R34" s="49">
        <f t="shared" si="8"/>
        <v>343200</v>
      </c>
      <c r="S34" s="45">
        <f t="shared" si="9"/>
        <v>12257.142857142857</v>
      </c>
      <c r="T34" s="62">
        <f t="shared" si="10"/>
        <v>28</v>
      </c>
      <c r="U34" s="48">
        <f t="shared" si="10"/>
        <v>304900</v>
      </c>
      <c r="V34" s="48">
        <f t="shared" si="11"/>
        <v>38300</v>
      </c>
      <c r="W34" s="51">
        <f t="shared" si="12"/>
        <v>343200</v>
      </c>
      <c r="X34" s="56"/>
      <c r="Y34" s="68"/>
      <c r="Z34" s="69">
        <v>65</v>
      </c>
      <c r="AA34" s="70">
        <v>30450</v>
      </c>
      <c r="AB34" s="42">
        <f t="shared" si="13"/>
        <v>468.46153846153845</v>
      </c>
      <c r="AC34" s="70">
        <v>19300</v>
      </c>
      <c r="AD34" s="43">
        <f t="shared" si="14"/>
        <v>296.92307692307691</v>
      </c>
      <c r="AE34" s="54">
        <f t="shared" si="15"/>
        <v>49750</v>
      </c>
      <c r="AF34" s="45">
        <f t="shared" si="16"/>
        <v>765.38461538461536</v>
      </c>
      <c r="AG34" s="62">
        <f t="shared" si="17"/>
        <v>28</v>
      </c>
      <c r="AH34" s="56">
        <f t="shared" si="18"/>
        <v>335350</v>
      </c>
      <c r="AI34" s="56">
        <f t="shared" si="19"/>
        <v>57600</v>
      </c>
      <c r="AJ34" s="55">
        <f t="shared" si="20"/>
        <v>392950</v>
      </c>
      <c r="AK34" s="48">
        <f t="shared" si="21"/>
        <v>19360</v>
      </c>
      <c r="AL34" s="56">
        <v>28</v>
      </c>
      <c r="AM34" s="56">
        <v>304900</v>
      </c>
      <c r="AN34" s="56">
        <v>38300</v>
      </c>
      <c r="AO34" s="57">
        <v>18150</v>
      </c>
      <c r="AP34" s="57">
        <v>1210</v>
      </c>
      <c r="AQ34" s="57">
        <v>0</v>
      </c>
      <c r="AR34" s="57">
        <v>0</v>
      </c>
      <c r="AS34" s="58">
        <f t="shared" si="22"/>
        <v>362560</v>
      </c>
      <c r="AT34" s="36">
        <v>30</v>
      </c>
      <c r="AU34" s="59">
        <f t="shared" si="23"/>
        <v>362560</v>
      </c>
      <c r="AV34" s="36"/>
    </row>
    <row r="35" spans="1:48" ht="15.75" customHeight="1" thickBot="1">
      <c r="A35" s="36"/>
      <c r="B35" s="60">
        <f t="shared" si="24"/>
        <v>45077</v>
      </c>
      <c r="C35" s="61" t="s">
        <v>61</v>
      </c>
      <c r="D35" s="39"/>
      <c r="E35" s="40"/>
      <c r="F35" s="41"/>
      <c r="G35" s="42" t="e">
        <f t="shared" si="0"/>
        <v>#DIV/0!</v>
      </c>
      <c r="H35" s="41"/>
      <c r="I35" s="42" t="e">
        <f t="shared" si="1"/>
        <v>#DIV/0!</v>
      </c>
      <c r="J35" s="44">
        <f t="shared" si="2"/>
        <v>0</v>
      </c>
      <c r="K35" s="45" t="str">
        <f t="shared" si="3"/>
        <v/>
      </c>
      <c r="L35" s="46"/>
      <c r="M35" s="72">
        <f t="shared" si="4"/>
        <v>30</v>
      </c>
      <c r="N35" s="48">
        <f t="shared" si="4"/>
        <v>335610</v>
      </c>
      <c r="O35" s="42">
        <f t="shared" si="5"/>
        <v>10170</v>
      </c>
      <c r="P35" s="48">
        <f t="shared" si="6"/>
        <v>58390</v>
      </c>
      <c r="Q35" s="42">
        <f t="shared" si="7"/>
        <v>1769.3666666666666</v>
      </c>
      <c r="R35" s="49">
        <f t="shared" si="8"/>
        <v>394000</v>
      </c>
      <c r="S35" s="45">
        <f t="shared" si="9"/>
        <v>13133.333333333334</v>
      </c>
      <c r="T35" s="73">
        <f t="shared" si="10"/>
        <v>30</v>
      </c>
      <c r="U35" s="74">
        <f t="shared" si="10"/>
        <v>335610</v>
      </c>
      <c r="V35" s="74">
        <f t="shared" si="11"/>
        <v>58390</v>
      </c>
      <c r="W35" s="75">
        <f t="shared" si="12"/>
        <v>394000</v>
      </c>
      <c r="X35" s="74"/>
      <c r="Y35" s="76"/>
      <c r="Z35" s="77">
        <v>124</v>
      </c>
      <c r="AA35" s="78">
        <v>94750</v>
      </c>
      <c r="AB35" s="79">
        <f t="shared" si="13"/>
        <v>764.11290322580646</v>
      </c>
      <c r="AC35" s="78">
        <v>30150</v>
      </c>
      <c r="AD35" s="80">
        <f t="shared" si="14"/>
        <v>243.14516129032259</v>
      </c>
      <c r="AE35" s="81">
        <f t="shared" si="15"/>
        <v>124900</v>
      </c>
      <c r="AF35" s="45">
        <f t="shared" si="16"/>
        <v>1007.258064516129</v>
      </c>
      <c r="AG35" s="73">
        <f t="shared" si="17"/>
        <v>30</v>
      </c>
      <c r="AH35" s="74">
        <f t="shared" si="18"/>
        <v>430360</v>
      </c>
      <c r="AI35" s="74">
        <f t="shared" si="19"/>
        <v>88540</v>
      </c>
      <c r="AJ35" s="55">
        <f t="shared" si="20"/>
        <v>518900</v>
      </c>
      <c r="AK35" s="48">
        <f t="shared" si="21"/>
        <v>12650</v>
      </c>
      <c r="AL35" s="56">
        <v>30</v>
      </c>
      <c r="AM35" s="56">
        <v>335610</v>
      </c>
      <c r="AN35" s="56">
        <v>58390</v>
      </c>
      <c r="AO35" s="57">
        <v>11000</v>
      </c>
      <c r="AP35" s="57">
        <v>1650</v>
      </c>
      <c r="AQ35" s="57">
        <v>0</v>
      </c>
      <c r="AR35" s="57">
        <v>0</v>
      </c>
      <c r="AS35" s="58">
        <f t="shared" si="22"/>
        <v>406650</v>
      </c>
      <c r="AT35" s="36">
        <v>31</v>
      </c>
      <c r="AU35" s="59">
        <f t="shared" si="23"/>
        <v>406650</v>
      </c>
      <c r="AV35" s="36"/>
    </row>
    <row r="36" spans="1:48" ht="15.75" customHeight="1" thickTop="1">
      <c r="A36" s="82"/>
      <c r="B36" s="83" t="s">
        <v>26</v>
      </c>
      <c r="C36" s="84">
        <f>SUM(C5:C35)</f>
        <v>0</v>
      </c>
      <c r="D36" s="85">
        <f>SUM(D5:D35)</f>
        <v>0</v>
      </c>
      <c r="E36" s="86">
        <f>SUM(E5:E35)</f>
        <v>373</v>
      </c>
      <c r="F36" s="87">
        <f>SUM(F5:F35)</f>
        <v>1424770</v>
      </c>
      <c r="G36" s="88">
        <f>F36/E36</f>
        <v>3819.7587131367291</v>
      </c>
      <c r="H36" s="84">
        <f>SUM(H5:H35)</f>
        <v>237470</v>
      </c>
      <c r="I36" s="89">
        <f>H36/E36</f>
        <v>636.6487935656836</v>
      </c>
      <c r="J36" s="90">
        <f>SUM(J5:J35)</f>
        <v>1662240</v>
      </c>
      <c r="K36" s="91">
        <f>J36/E36</f>
        <v>4456.4075067024132</v>
      </c>
      <c r="L36" s="92">
        <f>SUM(L5:L35)</f>
        <v>0</v>
      </c>
      <c r="M36" s="86">
        <f>SUM(M5:M35)</f>
        <v>966</v>
      </c>
      <c r="N36" s="87">
        <f>SUM(N5:N35)</f>
        <v>8854930</v>
      </c>
      <c r="O36" s="88">
        <f>N36/M36</f>
        <v>9166.5942028985501</v>
      </c>
      <c r="P36" s="93">
        <f>SUM(P5:P35)</f>
        <v>1493810</v>
      </c>
      <c r="Q36" s="89">
        <f>P36/M36</f>
        <v>1546.3871635610767</v>
      </c>
      <c r="R36" s="94">
        <f>SUM(R5:R35)</f>
        <v>10348740</v>
      </c>
      <c r="S36" s="95">
        <f>R36/M36</f>
        <v>10712.981366459628</v>
      </c>
      <c r="T36" s="86">
        <f t="shared" ref="T36:AA36" si="25">SUM(T5:T35)</f>
        <v>1339</v>
      </c>
      <c r="U36" s="166">
        <f t="shared" si="25"/>
        <v>10279700</v>
      </c>
      <c r="V36" s="93">
        <f t="shared" si="25"/>
        <v>1731280</v>
      </c>
      <c r="W36" s="167">
        <f t="shared" si="25"/>
        <v>12010980</v>
      </c>
      <c r="X36" s="84">
        <f t="shared" si="25"/>
        <v>0</v>
      </c>
      <c r="Y36" s="85">
        <f t="shared" si="25"/>
        <v>0</v>
      </c>
      <c r="Z36" s="86">
        <f t="shared" si="25"/>
        <v>3443</v>
      </c>
      <c r="AA36" s="87">
        <f t="shared" si="25"/>
        <v>2321500</v>
      </c>
      <c r="AB36" s="88"/>
      <c r="AC36" s="84">
        <f>SUM(AC5:AC35)</f>
        <v>825700</v>
      </c>
      <c r="AD36" s="89"/>
      <c r="AE36" s="94">
        <f>SUM(AE5:AE35)</f>
        <v>3147200</v>
      </c>
      <c r="AF36" s="96">
        <f>AE36/Z36</f>
        <v>914.08655242521058</v>
      </c>
      <c r="AG36" s="86">
        <f t="shared" ref="AG36:AS36" si="26">SUM(AG5:AG35)</f>
        <v>1339</v>
      </c>
      <c r="AH36" s="166">
        <f t="shared" si="26"/>
        <v>12601200</v>
      </c>
      <c r="AI36" s="93">
        <f t="shared" si="26"/>
        <v>2556980</v>
      </c>
      <c r="AJ36" s="94">
        <f t="shared" si="26"/>
        <v>15158180</v>
      </c>
      <c r="AK36" s="84">
        <f t="shared" si="26"/>
        <v>933730</v>
      </c>
      <c r="AL36" s="97">
        <f t="shared" si="26"/>
        <v>1339</v>
      </c>
      <c r="AM36" s="97">
        <f t="shared" si="26"/>
        <v>10279700</v>
      </c>
      <c r="AN36" s="97">
        <f t="shared" si="26"/>
        <v>1731280</v>
      </c>
      <c r="AO36" s="97">
        <f t="shared" si="26"/>
        <v>559900</v>
      </c>
      <c r="AP36" s="97">
        <f t="shared" si="26"/>
        <v>360630</v>
      </c>
      <c r="AQ36" s="97">
        <f t="shared" si="26"/>
        <v>13200</v>
      </c>
      <c r="AR36" s="97">
        <f t="shared" si="26"/>
        <v>114400</v>
      </c>
      <c r="AS36" s="97">
        <f t="shared" si="26"/>
        <v>12944710</v>
      </c>
      <c r="AT36" s="82"/>
      <c r="AU36" s="98">
        <f>SUM(AU5:AU35)</f>
        <v>13059110</v>
      </c>
      <c r="AV36" s="82"/>
    </row>
    <row r="37" spans="1:48" ht="15.75" customHeight="1">
      <c r="A37" s="82"/>
      <c r="B37" s="82"/>
      <c r="C37" s="82"/>
      <c r="D37" s="82"/>
      <c r="E37" s="99" t="s">
        <v>39</v>
      </c>
      <c r="F37" s="100">
        <f>F36/1.1</f>
        <v>1295245.4545454544</v>
      </c>
      <c r="G37" s="101">
        <f>F37/E36</f>
        <v>3472.5079210333897</v>
      </c>
      <c r="H37" s="57">
        <f>H36/1.1</f>
        <v>215881.81818181818</v>
      </c>
      <c r="I37" s="101">
        <f>H37/E36</f>
        <v>578.77163051425782</v>
      </c>
      <c r="J37" s="97">
        <f>J36/1.1</f>
        <v>1511127.2727272727</v>
      </c>
      <c r="K37" s="102">
        <f>G37+I37</f>
        <v>4051.2795515476473</v>
      </c>
      <c r="L37" s="103"/>
      <c r="M37" s="99" t="s">
        <v>39</v>
      </c>
      <c r="N37" s="100">
        <f>N36/1.1</f>
        <v>8049936.3636363633</v>
      </c>
      <c r="O37" s="101">
        <f>N37/M36</f>
        <v>8333.2674571805001</v>
      </c>
      <c r="P37" s="100">
        <f>P36/1.1</f>
        <v>1358009.0909090908</v>
      </c>
      <c r="Q37" s="101">
        <f>P37/M36</f>
        <v>1405.8065123282513</v>
      </c>
      <c r="R37" s="101">
        <f>R36/1.1</f>
        <v>9407945.4545454532</v>
      </c>
      <c r="S37" s="168">
        <f>R37/M36</f>
        <v>9739.0739695087505</v>
      </c>
      <c r="T37" s="99" t="s">
        <v>39</v>
      </c>
      <c r="U37" s="100">
        <f>U36/1.1</f>
        <v>9345181.8181818184</v>
      </c>
      <c r="V37" s="100">
        <f>V36/1.1</f>
        <v>1573890.9090909089</v>
      </c>
      <c r="W37" s="169">
        <f>W36/1.1</f>
        <v>10919072.727272727</v>
      </c>
      <c r="X37" s="105"/>
      <c r="Y37" s="103"/>
      <c r="Z37" s="99" t="s">
        <v>39</v>
      </c>
      <c r="AA37" s="100">
        <f>AA36/1.1</f>
        <v>2110454.5454545454</v>
      </c>
      <c r="AB37" s="57">
        <f>AA37/Z36</f>
        <v>612.96966176431761</v>
      </c>
      <c r="AC37" s="57">
        <f>AC36/1.1</f>
        <v>750636.36363636353</v>
      </c>
      <c r="AD37" s="57">
        <f>AC37/Z36</f>
        <v>218.01811316769198</v>
      </c>
      <c r="AE37" s="101">
        <f>AE36/1.1</f>
        <v>2861090.9090909087</v>
      </c>
      <c r="AF37" s="106" t="e">
        <f>AE37/Y36</f>
        <v>#DIV/0!</v>
      </c>
      <c r="AG37" s="99" t="s">
        <v>39</v>
      </c>
      <c r="AH37" s="170">
        <f>AH36/1.1</f>
        <v>11455636.363636363</v>
      </c>
      <c r="AI37" s="100">
        <f>AI36/1.1</f>
        <v>2324527.2727272725</v>
      </c>
      <c r="AJ37" s="101">
        <f>AJ36/1.1</f>
        <v>13780163.636363635</v>
      </c>
      <c r="AK37" s="107">
        <f>AK36/1.1</f>
        <v>848845.45454545447</v>
      </c>
      <c r="AL37" s="82"/>
      <c r="AM37" s="82"/>
      <c r="AN37" s="82"/>
      <c r="AO37" s="82"/>
      <c r="AP37" s="108"/>
      <c r="AQ37" s="82"/>
      <c r="AR37" s="82"/>
      <c r="AS37" s="108"/>
      <c r="AT37" s="82"/>
      <c r="AU37" s="108"/>
      <c r="AV37" s="82"/>
    </row>
    <row r="38" spans="1:48" ht="15.75" customHeight="1">
      <c r="A38" s="36"/>
      <c r="B38" s="36"/>
      <c r="C38" s="36"/>
      <c r="D38" s="36"/>
      <c r="E38" s="109" t="s">
        <v>40</v>
      </c>
      <c r="F38" s="110">
        <f>E36/G38</f>
        <v>23.3125</v>
      </c>
      <c r="G38" s="111">
        <v>16</v>
      </c>
      <c r="H38" s="112" t="s">
        <v>41</v>
      </c>
      <c r="I38" s="110"/>
      <c r="J38" s="113" t="s">
        <v>42</v>
      </c>
      <c r="K38" s="114">
        <f>J37/G38</f>
        <v>94445.454545454544</v>
      </c>
      <c r="L38" s="36"/>
      <c r="M38" s="109" t="s">
        <v>40</v>
      </c>
      <c r="N38" s="110">
        <f>M36/O38</f>
        <v>31.161290322580644</v>
      </c>
      <c r="O38" s="111">
        <v>31</v>
      </c>
      <c r="P38" s="112" t="s">
        <v>41</v>
      </c>
      <c r="Q38" s="110"/>
      <c r="R38" s="113" t="s">
        <v>42</v>
      </c>
      <c r="S38" s="115">
        <f>R37/O38</f>
        <v>303482.1114369501</v>
      </c>
      <c r="T38" s="36"/>
      <c r="U38" s="36"/>
      <c r="V38" s="36"/>
      <c r="W38" s="59"/>
      <c r="X38" s="59"/>
      <c r="Y38" s="36"/>
      <c r="Z38" s="36"/>
      <c r="AA38" s="116">
        <v>31</v>
      </c>
      <c r="AB38" s="112" t="s">
        <v>41</v>
      </c>
      <c r="AC38" s="110"/>
      <c r="AD38" s="110"/>
      <c r="AE38" s="110"/>
      <c r="AF38" s="114">
        <f>AE37/AA38</f>
        <v>92293.25513196479</v>
      </c>
      <c r="AG38" s="36"/>
      <c r="AH38" s="36"/>
      <c r="AI38" s="36"/>
      <c r="AJ38" s="59"/>
      <c r="AK38" s="59" t="e">
        <f>AJ37/AL37</f>
        <v>#DIV/0!</v>
      </c>
      <c r="AL38" s="117">
        <f>AG36+T36</f>
        <v>2678</v>
      </c>
      <c r="AM38" s="36"/>
      <c r="AN38" s="36"/>
      <c r="AO38" s="36"/>
      <c r="AP38" s="59"/>
      <c r="AQ38" s="36"/>
      <c r="AR38" s="36"/>
      <c r="AS38" s="59"/>
      <c r="AT38" s="36"/>
      <c r="AU38" s="59"/>
      <c r="AV38" s="36"/>
    </row>
    <row r="39" spans="1:48" ht="15.75" customHeight="1">
      <c r="A39" s="36"/>
      <c r="B39" s="36"/>
      <c r="C39" s="36"/>
      <c r="D39" s="118" t="s">
        <v>43</v>
      </c>
      <c r="E39" s="119"/>
      <c r="F39" s="110"/>
      <c r="G39" s="120"/>
      <c r="H39" s="110"/>
      <c r="I39" s="110"/>
      <c r="J39" s="113"/>
      <c r="K39" s="114"/>
      <c r="L39" s="121" t="s">
        <v>44</v>
      </c>
      <c r="M39" s="109"/>
      <c r="N39" s="110"/>
      <c r="O39" s="110"/>
      <c r="P39" s="110"/>
      <c r="Q39" s="110"/>
      <c r="R39" s="113"/>
      <c r="S39" s="114"/>
      <c r="T39" s="36"/>
      <c r="U39" s="36"/>
      <c r="V39" s="36"/>
      <c r="W39" s="59"/>
      <c r="X39" s="59"/>
      <c r="Y39" s="121" t="s">
        <v>45</v>
      </c>
      <c r="Z39" s="36"/>
      <c r="AA39" s="110"/>
      <c r="AB39" s="110"/>
      <c r="AC39" s="110"/>
      <c r="AD39" s="110"/>
      <c r="AE39" s="110"/>
      <c r="AF39" s="114"/>
      <c r="AG39" s="36"/>
      <c r="AH39" s="36"/>
      <c r="AI39" s="36"/>
      <c r="AJ39" s="59">
        <f>AJ36+AK36</f>
        <v>16091910</v>
      </c>
      <c r="AK39" s="122">
        <f>AJ39/G38</f>
        <v>1005744.375</v>
      </c>
      <c r="AL39" s="36" t="s">
        <v>46</v>
      </c>
      <c r="AM39" s="36"/>
      <c r="AN39" s="36"/>
      <c r="AO39" s="36"/>
      <c r="AP39" s="59"/>
      <c r="AQ39" s="36"/>
      <c r="AR39" s="36"/>
      <c r="AS39" s="59"/>
      <c r="AT39" s="36"/>
      <c r="AU39" s="59"/>
      <c r="AV39" s="36"/>
    </row>
    <row r="40" spans="1:48" ht="21" customHeight="1">
      <c r="A40" s="36"/>
      <c r="B40" s="36"/>
      <c r="C40" s="121"/>
      <c r="D40" s="123" t="s">
        <v>65</v>
      </c>
      <c r="E40" s="13"/>
      <c r="F40" s="13"/>
      <c r="G40" s="13"/>
      <c r="H40" s="13"/>
      <c r="I40" s="13"/>
      <c r="J40" s="13"/>
      <c r="K40" s="124"/>
      <c r="L40" s="123" t="s">
        <v>66</v>
      </c>
      <c r="M40" s="13"/>
      <c r="N40" s="13"/>
      <c r="O40" s="13"/>
      <c r="P40" s="13"/>
      <c r="Q40" s="13"/>
      <c r="R40" s="13"/>
      <c r="S40" s="124"/>
      <c r="T40" s="36"/>
      <c r="U40" s="36"/>
      <c r="V40" s="36"/>
      <c r="W40" s="59"/>
      <c r="X40" s="36"/>
      <c r="Y40" s="123" t="s">
        <v>67</v>
      </c>
      <c r="Z40" s="13"/>
      <c r="AA40" s="13"/>
      <c r="AB40" s="13"/>
      <c r="AC40" s="13"/>
      <c r="AD40" s="13"/>
      <c r="AE40" s="13"/>
      <c r="AF40" s="124"/>
      <c r="AG40" s="36"/>
      <c r="AH40" s="36"/>
      <c r="AI40" s="36"/>
      <c r="AJ40" s="126">
        <f>AJ37+AK37</f>
        <v>14629009.09090909</v>
      </c>
      <c r="AK40" s="36"/>
      <c r="AL40" s="36"/>
      <c r="AM40" s="36"/>
      <c r="AN40" s="36"/>
      <c r="AO40" s="36"/>
      <c r="AP40" s="36"/>
      <c r="AQ40" s="36"/>
      <c r="AR40" s="36"/>
      <c r="AS40" s="59"/>
      <c r="AT40" s="36"/>
      <c r="AU40" s="59"/>
      <c r="AV40" s="36"/>
    </row>
    <row r="41" spans="1:48" ht="21" customHeight="1">
      <c r="A41" s="36"/>
      <c r="B41" s="36"/>
      <c r="C41" s="121"/>
      <c r="D41" s="127"/>
      <c r="E41" s="128"/>
      <c r="F41" s="128"/>
      <c r="G41" s="128"/>
      <c r="H41" s="128"/>
      <c r="I41" s="128"/>
      <c r="J41" s="128"/>
      <c r="K41" s="129"/>
      <c r="L41" s="127"/>
      <c r="M41" s="128"/>
      <c r="N41" s="128"/>
      <c r="O41" s="128"/>
      <c r="P41" s="128"/>
      <c r="Q41" s="128"/>
      <c r="R41" s="128"/>
      <c r="S41" s="129"/>
      <c r="T41" s="36"/>
      <c r="U41" s="36"/>
      <c r="V41" s="36"/>
      <c r="W41" s="59"/>
      <c r="X41" s="36"/>
      <c r="Y41" s="127"/>
      <c r="Z41" s="128"/>
      <c r="AA41" s="128"/>
      <c r="AB41" s="128"/>
      <c r="AC41" s="128"/>
      <c r="AD41" s="128"/>
      <c r="AE41" s="128"/>
      <c r="AF41" s="129"/>
      <c r="AG41" s="36"/>
      <c r="AH41" s="36"/>
      <c r="AI41" s="36"/>
      <c r="AJ41" s="59"/>
      <c r="AK41" s="122">
        <f>AJ40/G38</f>
        <v>914313.06818181812</v>
      </c>
      <c r="AL41" s="36" t="s">
        <v>50</v>
      </c>
      <c r="AM41" s="36"/>
      <c r="AN41" s="36"/>
      <c r="AO41" s="36"/>
      <c r="AP41" s="36"/>
      <c r="AQ41" s="36"/>
      <c r="AR41" s="36"/>
      <c r="AS41" s="59"/>
      <c r="AT41" s="36"/>
      <c r="AU41" s="59"/>
      <c r="AV41" s="36"/>
    </row>
    <row r="42" spans="1:48" ht="21" customHeight="1">
      <c r="A42" s="36"/>
      <c r="B42" s="36"/>
      <c r="C42" s="121"/>
      <c r="D42" s="127"/>
      <c r="E42" s="128"/>
      <c r="F42" s="128"/>
      <c r="G42" s="128"/>
      <c r="H42" s="128"/>
      <c r="I42" s="128"/>
      <c r="J42" s="128"/>
      <c r="K42" s="129"/>
      <c r="L42" s="127"/>
      <c r="M42" s="128"/>
      <c r="N42" s="128"/>
      <c r="O42" s="128"/>
      <c r="P42" s="128"/>
      <c r="Q42" s="128"/>
      <c r="R42" s="128"/>
      <c r="S42" s="129"/>
      <c r="T42" s="36"/>
      <c r="U42" s="36"/>
      <c r="V42" s="36"/>
      <c r="W42" s="59"/>
      <c r="X42" s="36"/>
      <c r="Y42" s="127"/>
      <c r="Z42" s="128"/>
      <c r="AA42" s="128"/>
      <c r="AB42" s="128"/>
      <c r="AC42" s="128"/>
      <c r="AD42" s="128"/>
      <c r="AE42" s="128"/>
      <c r="AF42" s="129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59"/>
      <c r="AT42" s="36"/>
      <c r="AU42" s="59"/>
      <c r="AV42" s="36"/>
    </row>
    <row r="43" spans="1:48" ht="21" customHeight="1">
      <c r="A43" s="36"/>
      <c r="B43" s="36"/>
      <c r="C43" s="121"/>
      <c r="D43" s="127"/>
      <c r="E43" s="128"/>
      <c r="F43" s="128"/>
      <c r="G43" s="128"/>
      <c r="H43" s="128"/>
      <c r="I43" s="128"/>
      <c r="J43" s="128"/>
      <c r="K43" s="129"/>
      <c r="L43" s="127"/>
      <c r="M43" s="128"/>
      <c r="N43" s="128"/>
      <c r="O43" s="128"/>
      <c r="P43" s="128"/>
      <c r="Q43" s="128"/>
      <c r="R43" s="128"/>
      <c r="S43" s="129"/>
      <c r="T43" s="36"/>
      <c r="U43" s="36"/>
      <c r="V43" s="36"/>
      <c r="W43" s="36"/>
      <c r="X43" s="36"/>
      <c r="Y43" s="127"/>
      <c r="Z43" s="128"/>
      <c r="AA43" s="128"/>
      <c r="AB43" s="128"/>
      <c r="AC43" s="128"/>
      <c r="AD43" s="128"/>
      <c r="AE43" s="128"/>
      <c r="AF43" s="129"/>
      <c r="AG43" s="36"/>
      <c r="AH43" s="36"/>
      <c r="AI43" s="36"/>
      <c r="AJ43" s="59">
        <f>AJ37+AK37</f>
        <v>14629009.09090909</v>
      </c>
      <c r="AK43" s="130" t="s">
        <v>51</v>
      </c>
      <c r="AL43" s="36"/>
      <c r="AM43" s="36"/>
      <c r="AN43" s="36"/>
      <c r="AO43" s="36"/>
      <c r="AP43" s="36"/>
      <c r="AQ43" s="36"/>
      <c r="AR43" s="36"/>
      <c r="AS43" s="59"/>
      <c r="AT43" s="36"/>
      <c r="AU43" s="59"/>
      <c r="AV43" s="36"/>
    </row>
    <row r="44" spans="1:48" ht="21" customHeight="1">
      <c r="A44" s="36"/>
      <c r="B44" s="36"/>
      <c r="C44" s="121"/>
      <c r="D44" s="131"/>
      <c r="E44" s="132"/>
      <c r="F44" s="132"/>
      <c r="G44" s="132"/>
      <c r="H44" s="132"/>
      <c r="I44" s="132"/>
      <c r="J44" s="132"/>
      <c r="K44" s="133"/>
      <c r="L44" s="131"/>
      <c r="M44" s="132"/>
      <c r="N44" s="132"/>
      <c r="O44" s="132"/>
      <c r="P44" s="132"/>
      <c r="Q44" s="132"/>
      <c r="R44" s="132"/>
      <c r="S44" s="133"/>
      <c r="T44" s="36"/>
      <c r="U44" s="36"/>
      <c r="V44" s="36"/>
      <c r="W44" s="36"/>
      <c r="X44" s="36"/>
      <c r="Y44" s="131"/>
      <c r="Z44" s="132"/>
      <c r="AA44" s="132"/>
      <c r="AB44" s="132"/>
      <c r="AC44" s="132"/>
      <c r="AD44" s="132"/>
      <c r="AE44" s="132"/>
      <c r="AF44" s="133"/>
      <c r="AG44" s="36"/>
      <c r="AH44" s="134"/>
      <c r="AI44" s="135" t="s">
        <v>52</v>
      </c>
      <c r="AJ44" s="136">
        <f>J45+R45+AE45+AK44</f>
        <v>10671042</v>
      </c>
      <c r="AK44" s="137">
        <v>524582</v>
      </c>
      <c r="AL44" s="134"/>
      <c r="AM44" s="36"/>
      <c r="AN44" s="36"/>
      <c r="AO44" s="36"/>
      <c r="AP44" s="36"/>
      <c r="AQ44" s="36"/>
      <c r="AR44" s="36"/>
      <c r="AS44" s="59"/>
      <c r="AT44" s="36"/>
      <c r="AU44" s="59"/>
      <c r="AV44" s="36"/>
    </row>
    <row r="45" spans="1:48" ht="21" customHeight="1">
      <c r="A45" s="36"/>
      <c r="B45" s="36"/>
      <c r="C45" s="36"/>
      <c r="D45" s="36"/>
      <c r="E45" s="36"/>
      <c r="F45" s="36"/>
      <c r="G45" s="36"/>
      <c r="H45" s="138"/>
      <c r="I45" s="139" t="s">
        <v>53</v>
      </c>
      <c r="J45" s="136">
        <v>1047200</v>
      </c>
      <c r="K45" s="140" t="s">
        <v>54</v>
      </c>
      <c r="L45" s="134"/>
      <c r="M45" s="134"/>
      <c r="N45" s="134"/>
      <c r="O45" s="134"/>
      <c r="P45" s="134"/>
      <c r="Q45" s="139" t="s">
        <v>55</v>
      </c>
      <c r="R45" s="136">
        <v>7299260</v>
      </c>
      <c r="S45" s="140" t="s">
        <v>54</v>
      </c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8" t="s">
        <v>56</v>
      </c>
      <c r="AE45" s="136">
        <v>1800000</v>
      </c>
      <c r="AF45" s="140" t="s">
        <v>54</v>
      </c>
      <c r="AG45" s="134"/>
      <c r="AH45" s="134"/>
      <c r="AI45" s="135" t="s">
        <v>57</v>
      </c>
      <c r="AJ45" s="136">
        <f>AJ44-AJ37-AK37</f>
        <v>-3957967.0909090894</v>
      </c>
      <c r="AK45" s="136">
        <f>AK44-AK37</f>
        <v>-324263.45454545447</v>
      </c>
      <c r="AL45" s="141">
        <f>AK37/AK44</f>
        <v>1.6181368299816892</v>
      </c>
      <c r="AM45" s="36"/>
      <c r="AN45" s="36"/>
      <c r="AO45" s="36"/>
      <c r="AP45" s="36"/>
      <c r="AQ45" s="59"/>
      <c r="AR45" s="36"/>
      <c r="AS45" s="59"/>
      <c r="AT45" s="36"/>
      <c r="AU45" s="36"/>
      <c r="AV45" s="36"/>
    </row>
    <row r="46" spans="1:48" ht="21" customHeight="1">
      <c r="A46" s="36"/>
      <c r="B46" s="36"/>
      <c r="C46" s="36"/>
      <c r="D46" s="36"/>
      <c r="E46" s="36"/>
      <c r="F46" s="36"/>
      <c r="G46" s="36"/>
      <c r="H46" s="138"/>
      <c r="I46" s="138" t="s">
        <v>57</v>
      </c>
      <c r="J46" s="136">
        <f>J45-J37</f>
        <v>-463927.27272727271</v>
      </c>
      <c r="K46" s="142">
        <v>0</v>
      </c>
      <c r="L46" s="134"/>
      <c r="M46" s="134"/>
      <c r="N46" s="134"/>
      <c r="O46" s="134"/>
      <c r="P46" s="134"/>
      <c r="Q46" s="138" t="s">
        <v>57</v>
      </c>
      <c r="R46" s="136">
        <f>R45-R37</f>
        <v>-2108685.4545454532</v>
      </c>
      <c r="S46" s="134">
        <f>K46</f>
        <v>0</v>
      </c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8" t="s">
        <v>57</v>
      </c>
      <c r="AE46" s="136">
        <f>AE45-AE37</f>
        <v>-1061090.9090909087</v>
      </c>
      <c r="AF46" s="134">
        <f>K46</f>
        <v>0</v>
      </c>
      <c r="AG46" s="134"/>
      <c r="AH46" s="143"/>
      <c r="AI46" s="144" t="s">
        <v>58</v>
      </c>
      <c r="AJ46" s="145" t="e">
        <f>AJ45/K46</f>
        <v>#DIV/0!</v>
      </c>
      <c r="AK46" s="146">
        <f>(AJ37+AK37)/AJ44</f>
        <v>1.3709072732455827</v>
      </c>
      <c r="AL46" s="143"/>
      <c r="AM46" s="147"/>
      <c r="AN46" s="36"/>
      <c r="AO46" s="36"/>
      <c r="AP46" s="36"/>
      <c r="AQ46" s="59"/>
      <c r="AR46" s="36"/>
      <c r="AS46" s="59"/>
      <c r="AT46" s="36"/>
      <c r="AU46" s="36"/>
      <c r="AV46" s="36"/>
    </row>
    <row r="47" spans="1:48" ht="25.5" customHeight="1">
      <c r="A47" s="147"/>
      <c r="B47" s="147"/>
      <c r="C47" s="147"/>
      <c r="D47" s="147"/>
      <c r="E47" s="147"/>
      <c r="F47" s="147"/>
      <c r="G47" s="147"/>
      <c r="H47" s="148"/>
      <c r="I47" s="144" t="s">
        <v>58</v>
      </c>
      <c r="J47" s="149" t="e">
        <f>J46/K46</f>
        <v>#DIV/0!</v>
      </c>
      <c r="K47" s="150">
        <f>J37/J45</f>
        <v>1.4430168761719564</v>
      </c>
      <c r="L47" s="143"/>
      <c r="M47" s="143"/>
      <c r="N47" s="143"/>
      <c r="O47" s="143"/>
      <c r="P47" s="143"/>
      <c r="Q47" s="144" t="s">
        <v>58</v>
      </c>
      <c r="R47" s="145" t="e">
        <f>R46/S46</f>
        <v>#DIV/0!</v>
      </c>
      <c r="S47" s="150">
        <f>R37/R45</f>
        <v>1.2888903059413492</v>
      </c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4" t="s">
        <v>58</v>
      </c>
      <c r="AE47" s="149" t="e">
        <f>AE46/AF46</f>
        <v>#DIV/0!</v>
      </c>
      <c r="AF47" s="150">
        <f>AE37/AE45</f>
        <v>1.5894949494949493</v>
      </c>
      <c r="AG47" s="143"/>
      <c r="AH47" s="36"/>
      <c r="AI47" s="36"/>
      <c r="AJ47" s="59"/>
      <c r="AK47" s="36"/>
      <c r="AL47" s="36"/>
      <c r="AM47" s="36"/>
      <c r="AN47" s="147"/>
      <c r="AO47" s="147"/>
      <c r="AP47" s="147"/>
      <c r="AQ47" s="151"/>
      <c r="AR47" s="147"/>
      <c r="AS47" s="151"/>
      <c r="AT47" s="147"/>
      <c r="AU47" s="147"/>
      <c r="AV47" s="147"/>
    </row>
    <row r="48" spans="1: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152"/>
      <c r="AI48" s="152"/>
      <c r="AJ48" s="152"/>
      <c r="AK48" s="152"/>
      <c r="AL48" s="152"/>
      <c r="AM48" s="152"/>
      <c r="AN48" s="36"/>
      <c r="AO48" s="36"/>
      <c r="AP48" s="36"/>
      <c r="AQ48" s="59"/>
      <c r="AR48" s="36"/>
      <c r="AS48" s="59"/>
      <c r="AT48" s="36"/>
      <c r="AU48" s="36"/>
      <c r="AV48" s="36"/>
    </row>
    <row r="49" spans="1:48" ht="36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3"/>
      <c r="M49" s="36"/>
      <c r="N49" s="36"/>
      <c r="O49" s="36"/>
      <c r="P49" s="36"/>
      <c r="Q49" s="36"/>
      <c r="R49" s="153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"/>
      <c r="AI49" s="1"/>
      <c r="AJ49" s="1"/>
      <c r="AK49" s="1"/>
      <c r="AL49" s="1"/>
      <c r="AM49" s="1"/>
      <c r="AN49" s="152"/>
      <c r="AO49" s="152"/>
      <c r="AP49" s="152"/>
      <c r="AQ49" s="154"/>
      <c r="AR49" s="152"/>
      <c r="AS49" s="154"/>
      <c r="AT49" s="152"/>
      <c r="AU49" s="152"/>
      <c r="AV49" s="152"/>
    </row>
    <row r="50" spans="1:48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55"/>
      <c r="M50" s="36"/>
      <c r="N50" s="36"/>
      <c r="O50" s="36"/>
      <c r="P50" s="36"/>
      <c r="Q50" s="36"/>
      <c r="R50" s="155"/>
      <c r="S50" s="155"/>
      <c r="T50" s="1"/>
      <c r="U50" s="1"/>
      <c r="V50" s="1"/>
      <c r="W50" s="1"/>
      <c r="X50" s="1"/>
      <c r="Y50" s="1"/>
      <c r="Z50" s="156"/>
      <c r="AA50" s="1"/>
      <c r="AB50" s="1"/>
      <c r="AC50" s="1"/>
      <c r="AD50" s="1"/>
      <c r="AE50" s="1"/>
      <c r="AF50" s="1"/>
      <c r="AG50" s="1"/>
      <c r="AH50" s="152"/>
      <c r="AI50" s="152"/>
      <c r="AJ50" s="152"/>
      <c r="AK50" s="152"/>
      <c r="AL50" s="152"/>
      <c r="AM50" s="152"/>
      <c r="AN50" s="1"/>
      <c r="AO50" s="1"/>
      <c r="AP50" s="1"/>
      <c r="AQ50" s="157"/>
      <c r="AR50" s="1"/>
      <c r="AS50" s="157"/>
      <c r="AT50" s="1"/>
      <c r="AU50" s="1"/>
      <c r="AV50" s="1"/>
    </row>
    <row r="51" spans="1:48" ht="36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"/>
      <c r="L51" s="155"/>
      <c r="M51" s="36"/>
      <c r="N51" s="36"/>
      <c r="O51" s="36"/>
      <c r="P51" s="36"/>
      <c r="Q51" s="36"/>
      <c r="R51" s="158"/>
      <c r="S51" s="159"/>
      <c r="T51" s="159"/>
      <c r="U51" s="159"/>
      <c r="V51" s="159"/>
      <c r="W51" s="160"/>
      <c r="X51" s="161"/>
      <c r="Y51" s="162"/>
      <c r="Z51" s="163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4"/>
      <c r="AR51" s="152"/>
      <c r="AS51" s="154"/>
      <c r="AT51" s="152"/>
      <c r="AU51" s="152"/>
      <c r="AV51" s="152"/>
    </row>
    <row r="52" spans="1:48" ht="36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"/>
      <c r="L52" s="155"/>
      <c r="M52" s="36"/>
      <c r="N52" s="36"/>
      <c r="O52" s="36"/>
      <c r="P52" s="36"/>
      <c r="Q52" s="36"/>
      <c r="R52" s="160"/>
      <c r="S52" s="159"/>
      <c r="T52" s="159"/>
      <c r="U52" s="159"/>
      <c r="V52" s="159"/>
      <c r="W52" s="160"/>
      <c r="X52" s="161"/>
      <c r="Y52" s="162"/>
      <c r="Z52" s="163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4"/>
      <c r="AR52" s="152"/>
      <c r="AS52" s="154"/>
      <c r="AT52" s="152"/>
      <c r="AU52" s="152"/>
      <c r="AV52" s="152"/>
    </row>
    <row r="53" spans="1:48" ht="36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"/>
      <c r="L53" s="155"/>
      <c r="M53" s="36"/>
      <c r="N53" s="36"/>
      <c r="O53" s="36"/>
      <c r="P53" s="36"/>
      <c r="Q53" s="36"/>
      <c r="R53" s="160"/>
      <c r="S53" s="159"/>
      <c r="T53" s="159"/>
      <c r="U53" s="159"/>
      <c r="V53" s="159"/>
      <c r="W53" s="160"/>
      <c r="X53" s="161"/>
      <c r="Y53" s="162"/>
      <c r="Z53" s="163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4"/>
      <c r="AR53" s="152"/>
      <c r="AS53" s="154"/>
      <c r="AT53" s="152"/>
      <c r="AU53" s="152"/>
      <c r="AV53" s="152"/>
    </row>
    <row r="54" spans="1:48" ht="36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"/>
      <c r="L54" s="155"/>
      <c r="M54" s="36"/>
      <c r="N54" s="36"/>
      <c r="O54" s="36"/>
      <c r="P54" s="36"/>
      <c r="Q54" s="36"/>
      <c r="R54" s="160"/>
      <c r="S54" s="159"/>
      <c r="T54" s="159"/>
      <c r="U54" s="159"/>
      <c r="V54" s="159"/>
      <c r="W54" s="160"/>
      <c r="X54" s="161"/>
      <c r="Y54" s="162"/>
      <c r="Z54" s="163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4"/>
      <c r="AR54" s="152"/>
      <c r="AS54" s="154"/>
      <c r="AT54" s="152"/>
      <c r="AU54" s="152"/>
      <c r="AV54" s="152"/>
    </row>
    <row r="55" spans="1:48" ht="36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3"/>
      <c r="M55" s="36"/>
      <c r="N55" s="36"/>
      <c r="O55" s="36"/>
      <c r="P55" s="36"/>
      <c r="Q55" s="36"/>
      <c r="R55" s="160"/>
      <c r="S55" s="159"/>
      <c r="T55" s="159"/>
      <c r="U55" s="159"/>
      <c r="V55" s="159"/>
      <c r="W55" s="161"/>
      <c r="X55" s="161"/>
      <c r="Y55" s="162"/>
      <c r="Z55" s="163"/>
      <c r="AA55" s="152"/>
      <c r="AB55" s="152"/>
      <c r="AC55" s="152"/>
      <c r="AD55" s="152"/>
      <c r="AE55" s="152"/>
      <c r="AF55" s="152"/>
      <c r="AG55" s="152"/>
      <c r="AH55" s="36"/>
      <c r="AI55" s="36"/>
      <c r="AJ55" s="36"/>
      <c r="AK55" s="36"/>
      <c r="AL55" s="36"/>
      <c r="AM55" s="36"/>
      <c r="AN55" s="152"/>
      <c r="AO55" s="152"/>
      <c r="AP55" s="152"/>
      <c r="AQ55" s="154"/>
      <c r="AR55" s="152"/>
      <c r="AS55" s="154"/>
      <c r="AT55" s="152"/>
      <c r="AU55" s="152"/>
      <c r="AV55" s="152"/>
    </row>
    <row r="56" spans="1:48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162"/>
      <c r="Z56" s="162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59"/>
      <c r="AT56" s="36"/>
      <c r="AU56" s="59"/>
      <c r="AV56" s="36"/>
    </row>
    <row r="57" spans="1:48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152"/>
      <c r="Z57" s="152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59"/>
      <c r="AT57" s="36"/>
      <c r="AU57" s="59"/>
      <c r="AV57" s="36"/>
    </row>
    <row r="58" spans="1:4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59"/>
      <c r="AT58" s="36"/>
      <c r="AU58" s="59"/>
      <c r="AV58" s="36"/>
    </row>
    <row r="59" spans="1:48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59"/>
      <c r="AT59" s="36"/>
      <c r="AU59" s="59"/>
      <c r="AV59" s="36"/>
    </row>
    <row r="60" spans="1:48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59"/>
      <c r="AT60" s="36"/>
      <c r="AU60" s="59"/>
      <c r="AV60" s="36"/>
    </row>
    <row r="61" spans="1:48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59"/>
      <c r="AT61" s="36"/>
      <c r="AU61" s="59"/>
      <c r="AV61" s="36"/>
    </row>
    <row r="62" spans="1:48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59"/>
      <c r="AT62" s="36"/>
      <c r="AU62" s="59"/>
      <c r="AV62" s="36"/>
    </row>
    <row r="63" spans="1:48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59"/>
      <c r="AT63" s="36"/>
      <c r="AU63" s="59"/>
      <c r="AV63" s="36"/>
    </row>
    <row r="64" spans="1:48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59"/>
      <c r="AT64" s="36"/>
      <c r="AU64" s="59"/>
      <c r="AV64" s="36"/>
    </row>
    <row r="65" spans="1:48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59"/>
      <c r="AT65" s="36"/>
      <c r="AU65" s="59"/>
      <c r="AV65" s="36"/>
    </row>
    <row r="66" spans="1:48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59"/>
      <c r="AT66" s="36"/>
      <c r="AU66" s="59"/>
      <c r="AV66" s="36"/>
    </row>
    <row r="67" spans="1:48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59"/>
      <c r="AT67" s="36"/>
      <c r="AU67" s="59"/>
      <c r="AV67" s="36"/>
    </row>
    <row r="68" spans="1:4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59"/>
      <c r="AT68" s="36"/>
      <c r="AU68" s="59"/>
      <c r="AV68" s="36"/>
    </row>
    <row r="69" spans="1:48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59"/>
      <c r="AT69" s="36"/>
      <c r="AU69" s="59"/>
      <c r="AV69" s="36"/>
    </row>
    <row r="70" spans="1:48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59"/>
      <c r="AT70" s="36"/>
      <c r="AU70" s="59"/>
      <c r="AV70" s="36"/>
    </row>
    <row r="71" spans="1:48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59"/>
      <c r="AT71" s="36"/>
      <c r="AU71" s="59"/>
      <c r="AV71" s="36"/>
    </row>
    <row r="72" spans="1:48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59"/>
      <c r="AT72" s="36"/>
      <c r="AU72" s="59"/>
      <c r="AV72" s="36"/>
    </row>
    <row r="73" spans="1:48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59"/>
      <c r="AT73" s="36"/>
      <c r="AU73" s="59"/>
      <c r="AV73" s="36"/>
    </row>
    <row r="74" spans="1:48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59"/>
      <c r="AT74" s="36"/>
      <c r="AU74" s="59"/>
      <c r="AV74" s="36"/>
    </row>
    <row r="75" spans="1:48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59"/>
      <c r="AT75" s="36"/>
      <c r="AU75" s="59"/>
      <c r="AV75" s="36"/>
    </row>
    <row r="76" spans="1:48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59"/>
      <c r="AT76" s="36"/>
      <c r="AU76" s="59"/>
      <c r="AV76" s="36"/>
    </row>
    <row r="77" spans="1:48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59"/>
      <c r="AT77" s="36"/>
      <c r="AU77" s="59"/>
      <c r="AV77" s="36"/>
    </row>
    <row r="78" spans="1:4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59"/>
      <c r="AT78" s="36"/>
      <c r="AU78" s="59"/>
      <c r="AV78" s="36"/>
    </row>
    <row r="79" spans="1:48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59"/>
      <c r="AT79" s="36"/>
      <c r="AU79" s="59"/>
      <c r="AV79" s="36"/>
    </row>
    <row r="80" spans="1:48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59"/>
      <c r="AT80" s="36"/>
      <c r="AU80" s="59"/>
      <c r="AV80" s="36"/>
    </row>
    <row r="81" spans="1:48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59"/>
      <c r="AT81" s="36"/>
      <c r="AU81" s="59"/>
      <c r="AV81" s="36"/>
    </row>
    <row r="82" spans="1:48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59"/>
      <c r="AT82" s="36"/>
      <c r="AU82" s="59"/>
      <c r="AV82" s="36"/>
    </row>
    <row r="83" spans="1:48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59"/>
      <c r="AT83" s="36"/>
      <c r="AU83" s="59"/>
      <c r="AV83" s="36"/>
    </row>
    <row r="84" spans="1:48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59"/>
      <c r="AT84" s="36"/>
      <c r="AU84" s="59"/>
      <c r="AV84" s="36"/>
    </row>
    <row r="85" spans="1:48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59"/>
      <c r="AT85" s="36"/>
      <c r="AU85" s="59"/>
      <c r="AV85" s="36"/>
    </row>
    <row r="86" spans="1:48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59"/>
      <c r="AT86" s="36"/>
      <c r="AU86" s="59"/>
      <c r="AV86" s="36"/>
    </row>
    <row r="87" spans="1:48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59"/>
      <c r="AT87" s="36"/>
      <c r="AU87" s="59"/>
      <c r="AV87" s="36"/>
    </row>
    <row r="88" spans="1:4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59"/>
      <c r="AT88" s="36"/>
      <c r="AU88" s="59"/>
      <c r="AV88" s="36"/>
    </row>
    <row r="89" spans="1:48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59"/>
      <c r="AT89" s="36"/>
      <c r="AU89" s="59"/>
      <c r="AV89" s="36"/>
    </row>
    <row r="90" spans="1:48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59"/>
      <c r="AT90" s="36"/>
      <c r="AU90" s="59"/>
      <c r="AV90" s="36"/>
    </row>
    <row r="91" spans="1:48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59"/>
      <c r="AT91" s="36"/>
      <c r="AU91" s="59"/>
      <c r="AV91" s="36"/>
    </row>
    <row r="92" spans="1:48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59"/>
      <c r="AT92" s="36"/>
      <c r="AU92" s="59"/>
      <c r="AV92" s="36"/>
    </row>
    <row r="93" spans="1:48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59"/>
      <c r="AT93" s="36"/>
      <c r="AU93" s="59"/>
      <c r="AV93" s="36"/>
    </row>
    <row r="94" spans="1:48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59"/>
      <c r="AT94" s="36"/>
      <c r="AU94" s="59"/>
      <c r="AV94" s="36"/>
    </row>
    <row r="95" spans="1:48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59"/>
      <c r="AT95" s="36"/>
      <c r="AU95" s="59"/>
      <c r="AV95" s="36"/>
    </row>
    <row r="96" spans="1:48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59"/>
      <c r="AT96" s="36"/>
      <c r="AU96" s="59"/>
      <c r="AV96" s="36"/>
    </row>
    <row r="97" spans="1:48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59"/>
      <c r="AT97" s="36"/>
      <c r="AU97" s="59"/>
      <c r="AV97" s="36"/>
    </row>
    <row r="98" spans="1:4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59"/>
      <c r="AT98" s="36"/>
      <c r="AU98" s="59"/>
      <c r="AV98" s="36"/>
    </row>
    <row r="99" spans="1:48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59"/>
      <c r="AT99" s="36"/>
      <c r="AU99" s="59"/>
      <c r="AV99" s="36"/>
    </row>
    <row r="100" spans="1:48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59"/>
      <c r="AT100" s="36"/>
      <c r="AU100" s="59"/>
      <c r="AV100" s="36"/>
    </row>
    <row r="101" spans="1:48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59"/>
      <c r="AT101" s="36"/>
      <c r="AU101" s="59"/>
      <c r="AV101" s="36"/>
    </row>
    <row r="102" spans="1:48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59"/>
      <c r="AT102" s="36"/>
      <c r="AU102" s="59"/>
      <c r="AV102" s="36"/>
    </row>
    <row r="103" spans="1:48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59"/>
      <c r="AT103" s="36"/>
      <c r="AU103" s="59"/>
      <c r="AV103" s="36"/>
    </row>
    <row r="104" spans="1:48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59"/>
      <c r="AT104" s="36"/>
      <c r="AU104" s="59"/>
      <c r="AV104" s="36"/>
    </row>
    <row r="105" spans="1:48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59"/>
      <c r="AT105" s="36"/>
      <c r="AU105" s="59"/>
      <c r="AV105" s="36"/>
    </row>
    <row r="106" spans="1:48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59"/>
      <c r="AT106" s="36"/>
      <c r="AU106" s="59"/>
      <c r="AV106" s="36"/>
    </row>
    <row r="107" spans="1:48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59"/>
      <c r="AT107" s="36"/>
      <c r="AU107" s="59"/>
      <c r="AV107" s="36"/>
    </row>
    <row r="108" spans="1:4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59"/>
      <c r="AT108" s="36"/>
      <c r="AU108" s="59"/>
      <c r="AV108" s="36"/>
    </row>
    <row r="109" spans="1:48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59"/>
      <c r="AT109" s="36"/>
      <c r="AU109" s="59"/>
      <c r="AV109" s="36"/>
    </row>
    <row r="110" spans="1:48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59"/>
      <c r="AT110" s="36"/>
      <c r="AU110" s="59"/>
      <c r="AV110" s="36"/>
    </row>
    <row r="111" spans="1:48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59"/>
      <c r="AT111" s="36"/>
      <c r="AU111" s="59"/>
      <c r="AV111" s="36"/>
    </row>
    <row r="112" spans="1:48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59"/>
      <c r="AT112" s="36"/>
      <c r="AU112" s="59"/>
      <c r="AV112" s="36"/>
    </row>
    <row r="113" spans="1:48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59"/>
      <c r="AT113" s="36"/>
      <c r="AU113" s="59"/>
      <c r="AV113" s="36"/>
    </row>
    <row r="114" spans="1:48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59"/>
      <c r="AT114" s="36"/>
      <c r="AU114" s="59"/>
      <c r="AV114" s="36"/>
    </row>
    <row r="115" spans="1:48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59"/>
      <c r="AT115" s="36"/>
      <c r="AU115" s="59"/>
      <c r="AV115" s="36"/>
    </row>
    <row r="116" spans="1:48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59"/>
      <c r="AT116" s="36"/>
      <c r="AU116" s="59"/>
      <c r="AV116" s="36"/>
    </row>
    <row r="117" spans="1:48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59"/>
      <c r="AT117" s="36"/>
      <c r="AU117" s="59"/>
      <c r="AV117" s="36"/>
    </row>
    <row r="118" spans="1:4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59"/>
      <c r="AT118" s="36"/>
      <c r="AU118" s="59"/>
      <c r="AV118" s="36"/>
    </row>
    <row r="119" spans="1:48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59"/>
      <c r="AT119" s="36"/>
      <c r="AU119" s="59"/>
      <c r="AV119" s="36"/>
    </row>
    <row r="120" spans="1:48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59"/>
      <c r="AT120" s="36"/>
      <c r="AU120" s="59"/>
      <c r="AV120" s="36"/>
    </row>
    <row r="121" spans="1:48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59"/>
      <c r="AT121" s="36"/>
      <c r="AU121" s="59"/>
      <c r="AV121" s="36"/>
    </row>
    <row r="122" spans="1:48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59"/>
      <c r="AT122" s="36"/>
      <c r="AU122" s="59"/>
      <c r="AV122" s="36"/>
    </row>
    <row r="123" spans="1:48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59"/>
      <c r="AT123" s="36"/>
      <c r="AU123" s="59"/>
      <c r="AV123" s="36"/>
    </row>
    <row r="124" spans="1:48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59"/>
      <c r="AT124" s="36"/>
      <c r="AU124" s="59"/>
      <c r="AV124" s="36"/>
    </row>
    <row r="125" spans="1:48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59"/>
      <c r="AT125" s="36"/>
      <c r="AU125" s="59"/>
      <c r="AV125" s="36"/>
    </row>
    <row r="126" spans="1:48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59"/>
      <c r="AT126" s="36"/>
      <c r="AU126" s="59"/>
      <c r="AV126" s="36"/>
    </row>
    <row r="127" spans="1:48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59"/>
      <c r="AT127" s="36"/>
      <c r="AU127" s="59"/>
      <c r="AV127" s="36"/>
    </row>
    <row r="128" spans="1:4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59"/>
      <c r="AT128" s="36"/>
      <c r="AU128" s="59"/>
      <c r="AV128" s="36"/>
    </row>
    <row r="129" spans="1:48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59"/>
      <c r="AT129" s="36"/>
      <c r="AU129" s="59"/>
      <c r="AV129" s="36"/>
    </row>
    <row r="130" spans="1:48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59"/>
      <c r="AT130" s="36"/>
      <c r="AU130" s="59"/>
      <c r="AV130" s="36"/>
    </row>
    <row r="131" spans="1:48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59"/>
      <c r="AT131" s="36"/>
      <c r="AU131" s="59"/>
      <c r="AV131" s="36"/>
    </row>
    <row r="132" spans="1:48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59"/>
      <c r="AT132" s="36"/>
      <c r="AU132" s="59"/>
      <c r="AV132" s="36"/>
    </row>
    <row r="133" spans="1:48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59"/>
      <c r="AT133" s="36"/>
      <c r="AU133" s="59"/>
      <c r="AV133" s="36"/>
    </row>
    <row r="134" spans="1:48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59"/>
      <c r="AT134" s="36"/>
      <c r="AU134" s="59"/>
      <c r="AV134" s="36"/>
    </row>
    <row r="135" spans="1:48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59"/>
      <c r="AT135" s="36"/>
      <c r="AU135" s="59"/>
      <c r="AV135" s="36"/>
    </row>
    <row r="136" spans="1:48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59"/>
      <c r="AT136" s="36"/>
      <c r="AU136" s="59"/>
      <c r="AV136" s="36"/>
    </row>
    <row r="137" spans="1:48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59"/>
      <c r="AT137" s="36"/>
      <c r="AU137" s="59"/>
      <c r="AV137" s="36"/>
    </row>
    <row r="138" spans="1:4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59"/>
      <c r="AT138" s="36"/>
      <c r="AU138" s="59"/>
      <c r="AV138" s="36"/>
    </row>
    <row r="139" spans="1:48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59"/>
      <c r="AT139" s="36"/>
      <c r="AU139" s="59"/>
      <c r="AV139" s="36"/>
    </row>
    <row r="140" spans="1:48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59"/>
      <c r="AT140" s="36"/>
      <c r="AU140" s="59"/>
      <c r="AV140" s="36"/>
    </row>
    <row r="141" spans="1:48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59"/>
      <c r="AT141" s="36"/>
      <c r="AU141" s="59"/>
      <c r="AV141" s="36"/>
    </row>
    <row r="142" spans="1:48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59"/>
      <c r="AT142" s="36"/>
      <c r="AU142" s="59"/>
      <c r="AV142" s="36"/>
    </row>
    <row r="143" spans="1:48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59"/>
      <c r="AT143" s="36"/>
      <c r="AU143" s="59"/>
      <c r="AV143" s="36"/>
    </row>
    <row r="144" spans="1:48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59"/>
      <c r="AT144" s="36"/>
      <c r="AU144" s="59"/>
      <c r="AV144" s="36"/>
    </row>
    <row r="145" spans="1:48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59"/>
      <c r="AT145" s="36"/>
      <c r="AU145" s="59"/>
      <c r="AV145" s="36"/>
    </row>
    <row r="146" spans="1:48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59"/>
      <c r="AT146" s="36"/>
      <c r="AU146" s="59"/>
      <c r="AV146" s="36"/>
    </row>
    <row r="147" spans="1:48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59"/>
      <c r="AT147" s="36"/>
      <c r="AU147" s="59"/>
      <c r="AV147" s="36"/>
    </row>
    <row r="148" spans="1: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59"/>
      <c r="AT148" s="36"/>
      <c r="AU148" s="59"/>
      <c r="AV148" s="36"/>
    </row>
    <row r="149" spans="1:48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59"/>
      <c r="AT149" s="36"/>
      <c r="AU149" s="59"/>
      <c r="AV149" s="36"/>
    </row>
    <row r="150" spans="1:48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59"/>
      <c r="AT150" s="36"/>
      <c r="AU150" s="59"/>
      <c r="AV150" s="36"/>
    </row>
    <row r="151" spans="1:48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59"/>
      <c r="AT151" s="36"/>
      <c r="AU151" s="59"/>
      <c r="AV151" s="36"/>
    </row>
    <row r="152" spans="1:48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59"/>
      <c r="AT152" s="36"/>
      <c r="AU152" s="59"/>
      <c r="AV152" s="36"/>
    </row>
    <row r="153" spans="1:48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59"/>
      <c r="AT153" s="36"/>
      <c r="AU153" s="59"/>
      <c r="AV153" s="36"/>
    </row>
    <row r="154" spans="1:48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59"/>
      <c r="AT154" s="36"/>
      <c r="AU154" s="59"/>
      <c r="AV154" s="36"/>
    </row>
    <row r="155" spans="1:48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59"/>
      <c r="AT155" s="36"/>
      <c r="AU155" s="59"/>
      <c r="AV155" s="36"/>
    </row>
    <row r="156" spans="1:48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59"/>
      <c r="AT156" s="36"/>
      <c r="AU156" s="59"/>
      <c r="AV156" s="36"/>
    </row>
    <row r="157" spans="1:48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59"/>
      <c r="AT157" s="36"/>
      <c r="AU157" s="59"/>
      <c r="AV157" s="36"/>
    </row>
    <row r="158" spans="1:4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59"/>
      <c r="AT158" s="36"/>
      <c r="AU158" s="59"/>
      <c r="AV158" s="36"/>
    </row>
    <row r="159" spans="1:48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59"/>
      <c r="AT159" s="36"/>
      <c r="AU159" s="59"/>
      <c r="AV159" s="36"/>
    </row>
    <row r="160" spans="1:48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59"/>
      <c r="AT160" s="36"/>
      <c r="AU160" s="59"/>
      <c r="AV160" s="36"/>
    </row>
    <row r="161" spans="1:48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59"/>
      <c r="AT161" s="36"/>
      <c r="AU161" s="59"/>
      <c r="AV161" s="36"/>
    </row>
    <row r="162" spans="1:48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59"/>
      <c r="AT162" s="36"/>
      <c r="AU162" s="59"/>
      <c r="AV162" s="36"/>
    </row>
    <row r="163" spans="1:48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59"/>
      <c r="AT163" s="36"/>
      <c r="AU163" s="59"/>
      <c r="AV163" s="36"/>
    </row>
    <row r="164" spans="1:48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59"/>
      <c r="AT164" s="36"/>
      <c r="AU164" s="59"/>
      <c r="AV164" s="36"/>
    </row>
    <row r="165" spans="1:48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59"/>
      <c r="AT165" s="36"/>
      <c r="AU165" s="59"/>
      <c r="AV165" s="36"/>
    </row>
    <row r="166" spans="1:48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59"/>
      <c r="AT166" s="36"/>
      <c r="AU166" s="59"/>
      <c r="AV166" s="36"/>
    </row>
    <row r="167" spans="1:48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59"/>
      <c r="AT167" s="36"/>
      <c r="AU167" s="59"/>
      <c r="AV167" s="36"/>
    </row>
    <row r="168" spans="1:4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59"/>
      <c r="AT168" s="36"/>
      <c r="AU168" s="59"/>
      <c r="AV168" s="36"/>
    </row>
    <row r="169" spans="1:48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59"/>
      <c r="AT169" s="36"/>
      <c r="AU169" s="59"/>
      <c r="AV169" s="36"/>
    </row>
    <row r="170" spans="1:48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59"/>
      <c r="AT170" s="36"/>
      <c r="AU170" s="59"/>
      <c r="AV170" s="36"/>
    </row>
    <row r="171" spans="1:48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59"/>
      <c r="AT171" s="36"/>
      <c r="AU171" s="59"/>
      <c r="AV171" s="36"/>
    </row>
    <row r="172" spans="1:48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59"/>
      <c r="AT172" s="36"/>
      <c r="AU172" s="59"/>
      <c r="AV172" s="36"/>
    </row>
    <row r="173" spans="1:48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59"/>
      <c r="AT173" s="36"/>
      <c r="AU173" s="59"/>
      <c r="AV173" s="36"/>
    </row>
    <row r="174" spans="1:48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59"/>
      <c r="AT174" s="36"/>
      <c r="AU174" s="59"/>
      <c r="AV174" s="36"/>
    </row>
    <row r="175" spans="1:48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59"/>
      <c r="AT175" s="36"/>
      <c r="AU175" s="59"/>
      <c r="AV175" s="36"/>
    </row>
    <row r="176" spans="1:48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59"/>
      <c r="AT176" s="36"/>
      <c r="AU176" s="59"/>
      <c r="AV176" s="36"/>
    </row>
    <row r="177" spans="1:48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59"/>
      <c r="AT177" s="36"/>
      <c r="AU177" s="59"/>
      <c r="AV177" s="36"/>
    </row>
    <row r="178" spans="1:4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59"/>
      <c r="AT178" s="36"/>
      <c r="AU178" s="59"/>
      <c r="AV178" s="36"/>
    </row>
    <row r="179" spans="1:48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59"/>
      <c r="AT179" s="36"/>
      <c r="AU179" s="59"/>
      <c r="AV179" s="36"/>
    </row>
    <row r="180" spans="1:48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59"/>
      <c r="AT180" s="36"/>
      <c r="AU180" s="59"/>
      <c r="AV180" s="36"/>
    </row>
    <row r="181" spans="1:48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59"/>
      <c r="AT181" s="36"/>
      <c r="AU181" s="59"/>
      <c r="AV181" s="36"/>
    </row>
    <row r="182" spans="1:48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59"/>
      <c r="AT182" s="36"/>
      <c r="AU182" s="59"/>
      <c r="AV182" s="36"/>
    </row>
    <row r="183" spans="1:48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59"/>
      <c r="AT183" s="36"/>
      <c r="AU183" s="59"/>
      <c r="AV183" s="36"/>
    </row>
    <row r="184" spans="1:48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59"/>
      <c r="AT184" s="36"/>
      <c r="AU184" s="59"/>
      <c r="AV184" s="36"/>
    </row>
    <row r="185" spans="1:48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59"/>
      <c r="AT185" s="36"/>
      <c r="AU185" s="59"/>
      <c r="AV185" s="36"/>
    </row>
    <row r="186" spans="1:48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59"/>
      <c r="AT186" s="36"/>
      <c r="AU186" s="59"/>
      <c r="AV186" s="36"/>
    </row>
    <row r="187" spans="1:48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59"/>
      <c r="AT187" s="36"/>
      <c r="AU187" s="59"/>
      <c r="AV187" s="36"/>
    </row>
    <row r="188" spans="1:4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59"/>
      <c r="AT188" s="36"/>
      <c r="AU188" s="59"/>
      <c r="AV188" s="36"/>
    </row>
    <row r="189" spans="1:48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59"/>
      <c r="AT189" s="36"/>
      <c r="AU189" s="59"/>
      <c r="AV189" s="36"/>
    </row>
    <row r="190" spans="1:48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59"/>
      <c r="AT190" s="36"/>
      <c r="AU190" s="59"/>
      <c r="AV190" s="36"/>
    </row>
    <row r="191" spans="1:48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59"/>
      <c r="AT191" s="36"/>
      <c r="AU191" s="59"/>
      <c r="AV191" s="36"/>
    </row>
    <row r="192" spans="1:48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59"/>
      <c r="AT192" s="36"/>
      <c r="AU192" s="59"/>
      <c r="AV192" s="36"/>
    </row>
    <row r="193" spans="1:48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59"/>
      <c r="AT193" s="36"/>
      <c r="AU193" s="59"/>
      <c r="AV193" s="36"/>
    </row>
    <row r="194" spans="1:48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59"/>
      <c r="AT194" s="36"/>
      <c r="AU194" s="59"/>
      <c r="AV194" s="36"/>
    </row>
    <row r="195" spans="1:48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59"/>
      <c r="AT195" s="36"/>
      <c r="AU195" s="59"/>
      <c r="AV195" s="36"/>
    </row>
    <row r="196" spans="1:48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59"/>
      <c r="AT196" s="36"/>
      <c r="AU196" s="59"/>
      <c r="AV196" s="36"/>
    </row>
    <row r="197" spans="1:48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59"/>
      <c r="AT197" s="36"/>
      <c r="AU197" s="59"/>
      <c r="AV197" s="36"/>
    </row>
    <row r="198" spans="1:4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59"/>
      <c r="AT198" s="36"/>
      <c r="AU198" s="59"/>
      <c r="AV198" s="36"/>
    </row>
    <row r="199" spans="1:48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59"/>
      <c r="AT199" s="36"/>
      <c r="AU199" s="59"/>
      <c r="AV199" s="36"/>
    </row>
    <row r="200" spans="1:48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59"/>
      <c r="AT200" s="36"/>
      <c r="AU200" s="59"/>
      <c r="AV200" s="36"/>
    </row>
    <row r="201" spans="1:48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59"/>
      <c r="AT201" s="36"/>
      <c r="AU201" s="59"/>
      <c r="AV201" s="36"/>
    </row>
    <row r="202" spans="1:48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59"/>
      <c r="AT202" s="36"/>
      <c r="AU202" s="59"/>
      <c r="AV202" s="36"/>
    </row>
    <row r="203" spans="1:48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59"/>
      <c r="AT203" s="36"/>
      <c r="AU203" s="59"/>
      <c r="AV203" s="36"/>
    </row>
    <row r="204" spans="1:48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59"/>
      <c r="AT204" s="36"/>
      <c r="AU204" s="59"/>
      <c r="AV204" s="36"/>
    </row>
    <row r="205" spans="1:48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59"/>
      <c r="AT205" s="36"/>
      <c r="AU205" s="59"/>
      <c r="AV205" s="36"/>
    </row>
    <row r="206" spans="1:48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59"/>
      <c r="AT206" s="36"/>
      <c r="AU206" s="59"/>
      <c r="AV206" s="36"/>
    </row>
    <row r="207" spans="1:48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59"/>
      <c r="AT207" s="36"/>
      <c r="AU207" s="59"/>
      <c r="AV207" s="36"/>
    </row>
    <row r="208" spans="1:4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59"/>
      <c r="AT208" s="36"/>
      <c r="AU208" s="59"/>
      <c r="AV208" s="36"/>
    </row>
    <row r="209" spans="1:48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59"/>
      <c r="AT209" s="36"/>
      <c r="AU209" s="59"/>
      <c r="AV209" s="36"/>
    </row>
    <row r="210" spans="1:48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59"/>
      <c r="AT210" s="36"/>
      <c r="AU210" s="59"/>
      <c r="AV210" s="36"/>
    </row>
    <row r="211" spans="1:48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59"/>
      <c r="AT211" s="36"/>
      <c r="AU211" s="59"/>
      <c r="AV211" s="36"/>
    </row>
    <row r="212" spans="1:48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59"/>
      <c r="AT212" s="36"/>
      <c r="AU212" s="59"/>
      <c r="AV212" s="36"/>
    </row>
    <row r="213" spans="1:48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59"/>
      <c r="AT213" s="36"/>
      <c r="AU213" s="59"/>
      <c r="AV213" s="36"/>
    </row>
    <row r="214" spans="1:48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59"/>
      <c r="AT214" s="36"/>
      <c r="AU214" s="59"/>
      <c r="AV214" s="36"/>
    </row>
    <row r="215" spans="1:48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59"/>
      <c r="AT215" s="36"/>
      <c r="AU215" s="59"/>
      <c r="AV215" s="36"/>
    </row>
    <row r="216" spans="1:48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59"/>
      <c r="AT216" s="36"/>
      <c r="AU216" s="59"/>
      <c r="AV216" s="36"/>
    </row>
    <row r="217" spans="1:48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59"/>
      <c r="AT217" s="36"/>
      <c r="AU217" s="59"/>
      <c r="AV217" s="36"/>
    </row>
    <row r="218" spans="1:4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59"/>
      <c r="AT218" s="36"/>
      <c r="AU218" s="59"/>
      <c r="AV218" s="36"/>
    </row>
    <row r="219" spans="1:48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59"/>
      <c r="AT219" s="36"/>
      <c r="AU219" s="59"/>
      <c r="AV219" s="36"/>
    </row>
    <row r="220" spans="1:48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59"/>
      <c r="AT220" s="36"/>
      <c r="AU220" s="59"/>
      <c r="AV220" s="36"/>
    </row>
    <row r="221" spans="1:48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59"/>
      <c r="AT221" s="36"/>
      <c r="AU221" s="59"/>
      <c r="AV221" s="36"/>
    </row>
    <row r="222" spans="1:48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59"/>
      <c r="AT222" s="36"/>
      <c r="AU222" s="59"/>
      <c r="AV222" s="36"/>
    </row>
    <row r="223" spans="1:48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59"/>
      <c r="AT223" s="36"/>
      <c r="AU223" s="59"/>
      <c r="AV223" s="36"/>
    </row>
    <row r="224" spans="1:48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59"/>
      <c r="AT224" s="36"/>
      <c r="AU224" s="59"/>
      <c r="AV224" s="36"/>
    </row>
    <row r="225" spans="1:48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59"/>
      <c r="AT225" s="36"/>
      <c r="AU225" s="59"/>
      <c r="AV225" s="36"/>
    </row>
    <row r="226" spans="1:48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59"/>
      <c r="AT226" s="36"/>
      <c r="AU226" s="59"/>
      <c r="AV226" s="36"/>
    </row>
    <row r="227" spans="1:48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59"/>
      <c r="AT227" s="36"/>
      <c r="AU227" s="59"/>
      <c r="AV227" s="36"/>
    </row>
    <row r="228" spans="1:4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59"/>
      <c r="AT228" s="36"/>
      <c r="AU228" s="59"/>
      <c r="AV228" s="36"/>
    </row>
    <row r="229" spans="1:48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59"/>
      <c r="AT229" s="36"/>
      <c r="AU229" s="59"/>
      <c r="AV229" s="36"/>
    </row>
    <row r="230" spans="1:48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59"/>
      <c r="AT230" s="36"/>
      <c r="AU230" s="59"/>
      <c r="AV230" s="36"/>
    </row>
    <row r="231" spans="1:48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59"/>
      <c r="AT231" s="36"/>
      <c r="AU231" s="59"/>
      <c r="AV231" s="36"/>
    </row>
    <row r="232" spans="1:48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59"/>
      <c r="AT232" s="36"/>
      <c r="AU232" s="59"/>
      <c r="AV232" s="36"/>
    </row>
    <row r="233" spans="1:48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59"/>
      <c r="AT233" s="36"/>
      <c r="AU233" s="59"/>
      <c r="AV233" s="36"/>
    </row>
    <row r="234" spans="1:48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59"/>
      <c r="AT234" s="36"/>
      <c r="AU234" s="59"/>
      <c r="AV234" s="36"/>
    </row>
    <row r="235" spans="1:48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59"/>
      <c r="AT235" s="36"/>
      <c r="AU235" s="59"/>
      <c r="AV235" s="36"/>
    </row>
    <row r="236" spans="1:48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59"/>
      <c r="AT236" s="36"/>
      <c r="AU236" s="59"/>
      <c r="AV236" s="36"/>
    </row>
    <row r="237" spans="1:48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59"/>
      <c r="AT237" s="36"/>
      <c r="AU237" s="59"/>
      <c r="AV237" s="36"/>
    </row>
    <row r="238" spans="1:4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59"/>
      <c r="AT238" s="36"/>
      <c r="AU238" s="59"/>
      <c r="AV238" s="36"/>
    </row>
    <row r="239" spans="1:48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59"/>
      <c r="AT239" s="36"/>
      <c r="AU239" s="59"/>
      <c r="AV239" s="36"/>
    </row>
    <row r="240" spans="1:48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59"/>
      <c r="AT240" s="36"/>
      <c r="AU240" s="59"/>
      <c r="AV240" s="36"/>
    </row>
    <row r="241" spans="1:48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59"/>
      <c r="AT241" s="36"/>
      <c r="AU241" s="59"/>
      <c r="AV241" s="36"/>
    </row>
    <row r="242" spans="1:48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59"/>
      <c r="AT242" s="36"/>
      <c r="AU242" s="59"/>
      <c r="AV242" s="36"/>
    </row>
    <row r="243" spans="1:48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59"/>
      <c r="AT243" s="36"/>
      <c r="AU243" s="59"/>
      <c r="AV243" s="36"/>
    </row>
    <row r="244" spans="1:48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59"/>
      <c r="AT244" s="36"/>
      <c r="AU244" s="59"/>
      <c r="AV244" s="36"/>
    </row>
    <row r="245" spans="1:48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59"/>
      <c r="AT245" s="36"/>
      <c r="AU245" s="59"/>
      <c r="AV245" s="36"/>
    </row>
    <row r="246" spans="1:48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59"/>
      <c r="AT246" s="36"/>
      <c r="AU246" s="59"/>
      <c r="AV246" s="36"/>
    </row>
    <row r="247" spans="1:48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59"/>
      <c r="AT247" s="36"/>
      <c r="AU247" s="59"/>
      <c r="AV247" s="36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U1000"/>
  <sheetViews>
    <sheetView tabSelected="1" workbookViewId="0">
      <selection activeCell="C12" sqref="C12"/>
    </sheetView>
  </sheetViews>
  <sheetFormatPr baseColWidth="10" defaultColWidth="10.28515625" defaultRowHeight="20"/>
  <cols>
    <col min="1" max="2" width="9.28515625" style="4" customWidth="1"/>
    <col min="3" max="3" width="13.28515625" style="4" customWidth="1"/>
    <col min="4" max="4" width="3.42578125" style="4" customWidth="1"/>
    <col min="5" max="6" width="6.28515625" style="4" customWidth="1"/>
    <col min="7" max="7" width="9.7109375" style="4" customWidth="1"/>
    <col min="8" max="9" width="6.28515625" style="4" customWidth="1"/>
    <col min="10" max="10" width="7.42578125" style="4" customWidth="1"/>
    <col min="11" max="11" width="6.28515625" style="4" customWidth="1"/>
    <col min="12" max="12" width="3.28515625" style="4" customWidth="1"/>
    <col min="13" max="14" width="6.28515625" style="4" customWidth="1"/>
    <col min="15" max="15" width="9.7109375" style="4" customWidth="1"/>
    <col min="16" max="17" width="6.28515625" style="4" customWidth="1"/>
    <col min="18" max="18" width="10.28515625" style="4"/>
    <col min="19" max="22" width="6.28515625" style="4" customWidth="1"/>
    <col min="23" max="23" width="7" style="4" customWidth="1"/>
    <col min="24" max="24" width="6.28515625" style="4" customWidth="1"/>
    <col min="25" max="25" width="2.5703125" style="4" customWidth="1"/>
    <col min="26" max="30" width="6.28515625" style="4" customWidth="1"/>
    <col min="31" max="31" width="9.140625" style="4" customWidth="1"/>
    <col min="32" max="35" width="6.28515625" style="4" customWidth="1"/>
    <col min="36" max="36" width="11.28515625" style="4" customWidth="1"/>
    <col min="37" max="47" width="9.28515625" style="4" customWidth="1"/>
    <col min="48" max="16384" width="10.28515625" style="4"/>
  </cols>
  <sheetData>
    <row r="1" spans="1:4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2"/>
      <c r="AU1" s="3"/>
    </row>
    <row r="2" spans="1:47" ht="34">
      <c r="A2" s="5">
        <v>2023</v>
      </c>
      <c r="B2" s="6">
        <v>6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2"/>
      <c r="S2" s="2"/>
      <c r="T2" s="2"/>
      <c r="U2" s="2"/>
      <c r="V2" s="2"/>
      <c r="W2" s="2"/>
      <c r="X2" s="2" t="s">
        <v>1</v>
      </c>
      <c r="Y2" s="8"/>
      <c r="Z2" s="8"/>
      <c r="AA2" s="8"/>
      <c r="AB2" s="8"/>
      <c r="AC2" s="8"/>
      <c r="AD2" s="8"/>
      <c r="AE2" s="2"/>
      <c r="AF2" s="2"/>
      <c r="AG2" s="2"/>
      <c r="AH2" s="2"/>
      <c r="AI2" s="2"/>
      <c r="AJ2" s="2"/>
      <c r="AK2" s="2" t="s">
        <v>1</v>
      </c>
      <c r="AL2" s="2"/>
      <c r="AM2" s="2"/>
      <c r="AN2" s="2"/>
      <c r="AO2" s="2"/>
      <c r="AP2" s="2"/>
      <c r="AQ2" s="2"/>
      <c r="AR2" s="2"/>
      <c r="AS2" s="3"/>
      <c r="AT2" s="2"/>
      <c r="AU2" s="3"/>
    </row>
    <row r="3" spans="1:47" ht="33" customHeight="1">
      <c r="A3" s="9"/>
      <c r="B3" s="10" t="s">
        <v>2</v>
      </c>
      <c r="C3" s="11"/>
      <c r="D3" s="12" t="s">
        <v>3</v>
      </c>
      <c r="E3" s="13"/>
      <c r="F3" s="13"/>
      <c r="G3" s="13"/>
      <c r="H3" s="13"/>
      <c r="I3" s="13"/>
      <c r="J3" s="13"/>
      <c r="K3" s="13"/>
      <c r="L3" s="14" t="s">
        <v>4</v>
      </c>
      <c r="M3" s="13"/>
      <c r="N3" s="13"/>
      <c r="O3" s="13"/>
      <c r="P3" s="13"/>
      <c r="Q3" s="13"/>
      <c r="R3" s="13"/>
      <c r="S3" s="13"/>
      <c r="T3" s="15" t="s">
        <v>5</v>
      </c>
      <c r="U3" s="16"/>
      <c r="V3" s="16"/>
      <c r="W3" s="16"/>
      <c r="X3" s="17"/>
      <c r="Y3" s="18" t="s">
        <v>6</v>
      </c>
      <c r="Z3" s="13"/>
      <c r="AA3" s="13"/>
      <c r="AB3" s="13"/>
      <c r="AC3" s="13"/>
      <c r="AD3" s="13"/>
      <c r="AE3" s="13"/>
      <c r="AF3" s="13"/>
      <c r="AG3" s="15" t="s">
        <v>7</v>
      </c>
      <c r="AH3" s="16"/>
      <c r="AI3" s="16"/>
      <c r="AJ3" s="16"/>
      <c r="AK3" s="17"/>
      <c r="AL3" s="19" t="s">
        <v>8</v>
      </c>
      <c r="AM3" s="16"/>
      <c r="AN3" s="16"/>
      <c r="AO3" s="16"/>
      <c r="AP3" s="16"/>
      <c r="AQ3" s="16"/>
      <c r="AR3" s="16"/>
      <c r="AS3" s="17"/>
      <c r="AT3" s="2"/>
      <c r="AU3" s="3"/>
    </row>
    <row r="4" spans="1:47" ht="53.25" customHeight="1" thickBot="1">
      <c r="A4" s="9"/>
      <c r="B4" s="20"/>
      <c r="C4" s="21" t="s">
        <v>9</v>
      </c>
      <c r="D4" s="22" t="s">
        <v>10</v>
      </c>
      <c r="E4" s="23" t="s">
        <v>11</v>
      </c>
      <c r="F4" s="22" t="s">
        <v>12</v>
      </c>
      <c r="G4" s="24" t="s">
        <v>13</v>
      </c>
      <c r="H4" s="22" t="s">
        <v>14</v>
      </c>
      <c r="I4" s="25" t="s">
        <v>15</v>
      </c>
      <c r="J4" s="23" t="s">
        <v>16</v>
      </c>
      <c r="K4" s="22" t="s">
        <v>17</v>
      </c>
      <c r="L4" s="22" t="s">
        <v>18</v>
      </c>
      <c r="M4" s="26" t="s">
        <v>11</v>
      </c>
      <c r="N4" s="22" t="s">
        <v>12</v>
      </c>
      <c r="O4" s="24" t="s">
        <v>13</v>
      </c>
      <c r="P4" s="22" t="s">
        <v>14</v>
      </c>
      <c r="Q4" s="25" t="s">
        <v>15</v>
      </c>
      <c r="R4" s="23" t="s">
        <v>16</v>
      </c>
      <c r="S4" s="27" t="s">
        <v>17</v>
      </c>
      <c r="T4" s="28" t="s">
        <v>19</v>
      </c>
      <c r="U4" s="29" t="s">
        <v>20</v>
      </c>
      <c r="V4" s="29" t="s">
        <v>21</v>
      </c>
      <c r="W4" s="30" t="s">
        <v>22</v>
      </c>
      <c r="X4" s="29"/>
      <c r="Y4" s="31" t="s">
        <v>23</v>
      </c>
      <c r="Z4" s="32" t="s">
        <v>11</v>
      </c>
      <c r="AA4" s="22" t="s">
        <v>20</v>
      </c>
      <c r="AB4" s="24" t="s">
        <v>24</v>
      </c>
      <c r="AC4" s="22" t="s">
        <v>21</v>
      </c>
      <c r="AD4" s="25" t="s">
        <v>25</v>
      </c>
      <c r="AE4" s="26" t="s">
        <v>26</v>
      </c>
      <c r="AF4" s="33" t="s">
        <v>17</v>
      </c>
      <c r="AG4" s="28" t="s">
        <v>19</v>
      </c>
      <c r="AH4" s="29" t="s">
        <v>20</v>
      </c>
      <c r="AI4" s="29" t="s">
        <v>21</v>
      </c>
      <c r="AJ4" s="30" t="s">
        <v>22</v>
      </c>
      <c r="AK4" s="29" t="s">
        <v>27</v>
      </c>
      <c r="AL4" s="34" t="s">
        <v>28</v>
      </c>
      <c r="AM4" s="34" t="s">
        <v>29</v>
      </c>
      <c r="AN4" s="34" t="s">
        <v>30</v>
      </c>
      <c r="AO4" s="34" t="s">
        <v>31</v>
      </c>
      <c r="AP4" s="34" t="s">
        <v>32</v>
      </c>
      <c r="AQ4" s="34" t="s">
        <v>33</v>
      </c>
      <c r="AR4" s="34" t="s">
        <v>34</v>
      </c>
      <c r="AS4" s="35" t="s">
        <v>35</v>
      </c>
      <c r="AT4" s="2"/>
      <c r="AU4" s="3"/>
    </row>
    <row r="5" spans="1:47" ht="22" thickTop="1">
      <c r="A5" s="36"/>
      <c r="B5" s="171">
        <f>DATE($A$2,$B$2,1)</f>
        <v>45078</v>
      </c>
      <c r="C5" s="61" t="s">
        <v>61</v>
      </c>
      <c r="D5" s="39"/>
      <c r="E5" s="40"/>
      <c r="F5" s="41"/>
      <c r="G5" s="42" t="e">
        <f t="shared" ref="G5:G35" si="0">ROUNDDOWN(F5/1.1,0)/E5</f>
        <v>#DIV/0!</v>
      </c>
      <c r="H5" s="41"/>
      <c r="I5" s="43" t="e">
        <f t="shared" ref="I5:I35" si="1">ROUNDDOWN(H5/1.1,0)/E5</f>
        <v>#DIV/0!</v>
      </c>
      <c r="J5" s="44">
        <f t="shared" ref="J5:J35" si="2">F5+H5</f>
        <v>0</v>
      </c>
      <c r="K5" s="45" t="str">
        <f t="shared" ref="K5:K35" si="3">IF(E5="","",J5/E5)</f>
        <v/>
      </c>
      <c r="L5" s="46"/>
      <c r="M5" s="47">
        <f t="shared" ref="M5:N35" si="4">AL5-E5</f>
        <v>37</v>
      </c>
      <c r="N5" s="48">
        <f t="shared" si="4"/>
        <v>280280</v>
      </c>
      <c r="O5" s="42">
        <f t="shared" ref="O5:O35" si="5">ROUNDDOWN(N5/1.1,0)/M5</f>
        <v>6886.4864864864867</v>
      </c>
      <c r="P5" s="48">
        <f t="shared" ref="P5:P35" si="6">AN5-H5</f>
        <v>75100</v>
      </c>
      <c r="Q5" s="43">
        <f t="shared" ref="Q5:Q35" si="7">ROUNDDOWN(P5/1.1,0)/M5</f>
        <v>1845.1891891891892</v>
      </c>
      <c r="R5" s="49">
        <f t="shared" ref="R5:R35" si="8">N5+P5</f>
        <v>355380</v>
      </c>
      <c r="S5" s="45">
        <f t="shared" ref="S5:S35" si="9">IF(M5="","",R5/M5)</f>
        <v>9604.864864864865</v>
      </c>
      <c r="T5" s="50">
        <f t="shared" ref="T5:U35" si="10">E5+M5</f>
        <v>37</v>
      </c>
      <c r="U5" s="48">
        <f t="shared" si="10"/>
        <v>280280</v>
      </c>
      <c r="V5" s="48">
        <f t="shared" ref="V5:V35" si="11">H5+P5</f>
        <v>75100</v>
      </c>
      <c r="W5" s="51">
        <f t="shared" ref="W5:W35" si="12">J5+R5</f>
        <v>355380</v>
      </c>
      <c r="X5" s="48">
        <f t="shared" ref="X5:X34" si="13">IF(T5="","",W5/T5)</f>
        <v>9604.864864864865</v>
      </c>
      <c r="Y5" s="52"/>
      <c r="Z5" s="53">
        <v>92</v>
      </c>
      <c r="AA5" s="41">
        <v>74450</v>
      </c>
      <c r="AB5" s="42">
        <f t="shared" ref="AB5:AB35" si="14">AA5/Z5</f>
        <v>809.23913043478262</v>
      </c>
      <c r="AC5" s="41">
        <v>22300</v>
      </c>
      <c r="AD5" s="43">
        <f t="shared" ref="AD5:AD35" si="15">AC5/Z5</f>
        <v>242.39130434782609</v>
      </c>
      <c r="AE5" s="54">
        <f t="shared" ref="AE5:AE35" si="16">AA5+AC5</f>
        <v>96750</v>
      </c>
      <c r="AF5" s="45">
        <f t="shared" ref="AF5:AF35" si="17">IF(Z5="","",AE5/Z5)</f>
        <v>1051.6304347826087</v>
      </c>
      <c r="AG5" s="50">
        <f t="shared" ref="AG5:AG35" si="18">SUM(E5,M5)</f>
        <v>37</v>
      </c>
      <c r="AH5" s="48">
        <f t="shared" ref="AH5:AH35" si="19">U5+AA5</f>
        <v>354730</v>
      </c>
      <c r="AI5" s="48">
        <f t="shared" ref="AI5:AI35" si="20">V5+AC5</f>
        <v>97400</v>
      </c>
      <c r="AJ5" s="55">
        <f t="shared" ref="AJ5:AJ35" si="21">W5+AE5</f>
        <v>452130</v>
      </c>
      <c r="AK5" s="48">
        <f t="shared" ref="AK5:AK35" si="22">AO5+AP5+AQ5</f>
        <v>20900</v>
      </c>
      <c r="AL5" s="56">
        <v>37</v>
      </c>
      <c r="AM5" s="56">
        <v>280280</v>
      </c>
      <c r="AN5" s="56">
        <v>75100</v>
      </c>
      <c r="AO5" s="57">
        <v>20900</v>
      </c>
      <c r="AP5" s="57">
        <v>0</v>
      </c>
      <c r="AQ5" s="57">
        <v>0</v>
      </c>
      <c r="AR5" s="57">
        <v>0</v>
      </c>
      <c r="AS5" s="58">
        <f t="shared" ref="AS5:AS35" si="23">SUM(AM5:AQ5)</f>
        <v>376280</v>
      </c>
      <c r="AT5" s="36">
        <v>1</v>
      </c>
      <c r="AU5" s="59">
        <f t="shared" ref="AU5:AU35" si="24">AR5+AS5</f>
        <v>376280</v>
      </c>
    </row>
    <row r="6" spans="1:47" ht="21">
      <c r="A6" s="36"/>
      <c r="B6" s="165">
        <f t="shared" ref="B6:B34" si="25">B5+1</f>
        <v>45079</v>
      </c>
      <c r="C6" s="61" t="s">
        <v>61</v>
      </c>
      <c r="D6" s="39"/>
      <c r="E6" s="40"/>
      <c r="F6" s="41"/>
      <c r="G6" s="42" t="e">
        <f t="shared" si="0"/>
        <v>#DIV/0!</v>
      </c>
      <c r="H6" s="41"/>
      <c r="I6" s="43" t="e">
        <f t="shared" si="1"/>
        <v>#DIV/0!</v>
      </c>
      <c r="J6" s="44">
        <f t="shared" si="2"/>
        <v>0</v>
      </c>
      <c r="K6" s="45" t="str">
        <f t="shared" si="3"/>
        <v/>
      </c>
      <c r="L6" s="46"/>
      <c r="M6" s="47">
        <f t="shared" si="4"/>
        <v>29</v>
      </c>
      <c r="N6" s="48">
        <f t="shared" si="4"/>
        <v>283030</v>
      </c>
      <c r="O6" s="42">
        <f t="shared" si="5"/>
        <v>8872.4137931034475</v>
      </c>
      <c r="P6" s="48">
        <f t="shared" si="6"/>
        <v>45750</v>
      </c>
      <c r="Q6" s="43">
        <f t="shared" si="7"/>
        <v>1434.1379310344828</v>
      </c>
      <c r="R6" s="49">
        <f t="shared" si="8"/>
        <v>328780</v>
      </c>
      <c r="S6" s="45">
        <f t="shared" si="9"/>
        <v>11337.241379310344</v>
      </c>
      <c r="T6" s="62">
        <f t="shared" si="10"/>
        <v>29</v>
      </c>
      <c r="U6" s="48">
        <f t="shared" si="10"/>
        <v>283030</v>
      </c>
      <c r="V6" s="48">
        <f t="shared" si="11"/>
        <v>45750</v>
      </c>
      <c r="W6" s="51">
        <f t="shared" si="12"/>
        <v>328780</v>
      </c>
      <c r="X6" s="48">
        <f t="shared" si="13"/>
        <v>11337.241379310344</v>
      </c>
      <c r="Y6" s="52"/>
      <c r="Z6" s="53">
        <v>42</v>
      </c>
      <c r="AA6" s="41">
        <v>25650</v>
      </c>
      <c r="AB6" s="42">
        <f t="shared" si="14"/>
        <v>610.71428571428567</v>
      </c>
      <c r="AC6" s="41">
        <v>14600</v>
      </c>
      <c r="AD6" s="43">
        <f t="shared" si="15"/>
        <v>347.61904761904759</v>
      </c>
      <c r="AE6" s="54">
        <f t="shared" si="16"/>
        <v>40250</v>
      </c>
      <c r="AF6" s="45">
        <f t="shared" si="17"/>
        <v>958.33333333333337</v>
      </c>
      <c r="AG6" s="62">
        <f t="shared" si="18"/>
        <v>29</v>
      </c>
      <c r="AH6" s="48">
        <f t="shared" si="19"/>
        <v>308680</v>
      </c>
      <c r="AI6" s="48">
        <f t="shared" si="20"/>
        <v>60350</v>
      </c>
      <c r="AJ6" s="55">
        <f t="shared" si="21"/>
        <v>369030</v>
      </c>
      <c r="AK6" s="48">
        <f t="shared" si="22"/>
        <v>23650</v>
      </c>
      <c r="AL6" s="56">
        <v>29</v>
      </c>
      <c r="AM6" s="56">
        <v>283030</v>
      </c>
      <c r="AN6" s="56">
        <v>45750</v>
      </c>
      <c r="AO6" s="57">
        <v>23650</v>
      </c>
      <c r="AP6" s="57">
        <v>0</v>
      </c>
      <c r="AQ6" s="57">
        <v>0</v>
      </c>
      <c r="AR6" s="57">
        <v>3300</v>
      </c>
      <c r="AS6" s="58">
        <f t="shared" si="23"/>
        <v>352430</v>
      </c>
      <c r="AT6" s="36">
        <v>2</v>
      </c>
      <c r="AU6" s="59">
        <f t="shared" si="24"/>
        <v>355730</v>
      </c>
    </row>
    <row r="7" spans="1:47" ht="21">
      <c r="A7" s="36"/>
      <c r="B7" s="172">
        <f t="shared" si="25"/>
        <v>45080</v>
      </c>
      <c r="C7" s="61"/>
      <c r="D7" s="39"/>
      <c r="E7" s="40">
        <v>20</v>
      </c>
      <c r="F7" s="41">
        <v>84480</v>
      </c>
      <c r="G7" s="42">
        <f t="shared" si="0"/>
        <v>3840</v>
      </c>
      <c r="H7" s="41">
        <v>18680</v>
      </c>
      <c r="I7" s="43">
        <f t="shared" si="1"/>
        <v>849.05</v>
      </c>
      <c r="J7" s="44">
        <f t="shared" si="2"/>
        <v>103160</v>
      </c>
      <c r="K7" s="45">
        <f t="shared" si="3"/>
        <v>5158</v>
      </c>
      <c r="L7" s="46"/>
      <c r="M7" s="47">
        <f t="shared" si="4"/>
        <v>39</v>
      </c>
      <c r="N7" s="48">
        <f t="shared" si="4"/>
        <v>344850</v>
      </c>
      <c r="O7" s="42">
        <f t="shared" si="5"/>
        <v>8038.4615384615381</v>
      </c>
      <c r="P7" s="48">
        <f t="shared" si="6"/>
        <v>52860</v>
      </c>
      <c r="Q7" s="43">
        <f t="shared" si="7"/>
        <v>1232.1538461538462</v>
      </c>
      <c r="R7" s="49">
        <f t="shared" si="8"/>
        <v>397710</v>
      </c>
      <c r="S7" s="45">
        <f t="shared" si="9"/>
        <v>10197.692307692309</v>
      </c>
      <c r="T7" s="62">
        <f t="shared" si="10"/>
        <v>59</v>
      </c>
      <c r="U7" s="48">
        <f t="shared" si="10"/>
        <v>429330</v>
      </c>
      <c r="V7" s="48">
        <f t="shared" si="11"/>
        <v>71540</v>
      </c>
      <c r="W7" s="51">
        <f t="shared" si="12"/>
        <v>500870</v>
      </c>
      <c r="X7" s="48">
        <f t="shared" si="13"/>
        <v>8489.3220338983047</v>
      </c>
      <c r="Y7" s="52"/>
      <c r="Z7" s="53">
        <v>35</v>
      </c>
      <c r="AA7" s="41">
        <v>22200</v>
      </c>
      <c r="AB7" s="42">
        <f t="shared" si="14"/>
        <v>634.28571428571433</v>
      </c>
      <c r="AC7" s="41">
        <v>12300</v>
      </c>
      <c r="AD7" s="43">
        <f t="shared" si="15"/>
        <v>351.42857142857144</v>
      </c>
      <c r="AE7" s="54">
        <f t="shared" si="16"/>
        <v>34500</v>
      </c>
      <c r="AF7" s="45">
        <f t="shared" si="17"/>
        <v>985.71428571428567</v>
      </c>
      <c r="AG7" s="62">
        <f t="shared" si="18"/>
        <v>59</v>
      </c>
      <c r="AH7" s="48">
        <f t="shared" si="19"/>
        <v>451530</v>
      </c>
      <c r="AI7" s="48">
        <f t="shared" si="20"/>
        <v>83840</v>
      </c>
      <c r="AJ7" s="55">
        <f t="shared" si="21"/>
        <v>535370</v>
      </c>
      <c r="AK7" s="48">
        <f t="shared" si="22"/>
        <v>26400</v>
      </c>
      <c r="AL7" s="56">
        <v>59</v>
      </c>
      <c r="AM7" s="56">
        <v>429330</v>
      </c>
      <c r="AN7" s="56">
        <v>71540</v>
      </c>
      <c r="AO7" s="57">
        <v>26400</v>
      </c>
      <c r="AP7" s="57">
        <v>0</v>
      </c>
      <c r="AQ7" s="57">
        <v>0</v>
      </c>
      <c r="AR7" s="57">
        <v>0</v>
      </c>
      <c r="AS7" s="58">
        <f t="shared" si="23"/>
        <v>527270</v>
      </c>
      <c r="AT7" s="36">
        <v>3</v>
      </c>
      <c r="AU7" s="59">
        <f t="shared" si="24"/>
        <v>527270</v>
      </c>
    </row>
    <row r="8" spans="1:47" ht="21">
      <c r="A8" s="36"/>
      <c r="B8" s="65">
        <f t="shared" si="25"/>
        <v>45081</v>
      </c>
      <c r="C8" s="61"/>
      <c r="D8" s="39"/>
      <c r="E8" s="40">
        <v>23</v>
      </c>
      <c r="F8" s="41">
        <v>65120</v>
      </c>
      <c r="G8" s="42">
        <f t="shared" si="0"/>
        <v>2573.913043478261</v>
      </c>
      <c r="H8" s="41">
        <v>10610</v>
      </c>
      <c r="I8" s="43">
        <f t="shared" si="1"/>
        <v>419.3478260869565</v>
      </c>
      <c r="J8" s="44">
        <f t="shared" si="2"/>
        <v>75730</v>
      </c>
      <c r="K8" s="45">
        <f t="shared" si="3"/>
        <v>3292.608695652174</v>
      </c>
      <c r="L8" s="46"/>
      <c r="M8" s="47">
        <f t="shared" si="4"/>
        <v>38</v>
      </c>
      <c r="N8" s="48">
        <f t="shared" si="4"/>
        <v>245120</v>
      </c>
      <c r="O8" s="42">
        <f t="shared" si="5"/>
        <v>5864.105263157895</v>
      </c>
      <c r="P8" s="48">
        <f t="shared" si="6"/>
        <v>100320</v>
      </c>
      <c r="Q8" s="43">
        <f t="shared" si="7"/>
        <v>2400</v>
      </c>
      <c r="R8" s="49">
        <f t="shared" si="8"/>
        <v>345440</v>
      </c>
      <c r="S8" s="45">
        <f t="shared" si="9"/>
        <v>9090.5263157894733</v>
      </c>
      <c r="T8" s="62">
        <f t="shared" si="10"/>
        <v>61</v>
      </c>
      <c r="U8" s="48">
        <f t="shared" si="10"/>
        <v>310240</v>
      </c>
      <c r="V8" s="48">
        <f t="shared" si="11"/>
        <v>110930</v>
      </c>
      <c r="W8" s="51">
        <f t="shared" si="12"/>
        <v>421170</v>
      </c>
      <c r="X8" s="48">
        <f t="shared" si="13"/>
        <v>6904.4262295081971</v>
      </c>
      <c r="Y8" s="52"/>
      <c r="Z8" s="53">
        <v>78</v>
      </c>
      <c r="AA8" s="41">
        <v>41250</v>
      </c>
      <c r="AB8" s="42">
        <f t="shared" si="14"/>
        <v>528.84615384615381</v>
      </c>
      <c r="AC8" s="41">
        <v>29800</v>
      </c>
      <c r="AD8" s="43">
        <f t="shared" si="15"/>
        <v>382.05128205128204</v>
      </c>
      <c r="AE8" s="54">
        <f t="shared" si="16"/>
        <v>71050</v>
      </c>
      <c r="AF8" s="45">
        <f t="shared" si="17"/>
        <v>910.89743589743591</v>
      </c>
      <c r="AG8" s="62">
        <f t="shared" si="18"/>
        <v>61</v>
      </c>
      <c r="AH8" s="48">
        <f t="shared" si="19"/>
        <v>351490</v>
      </c>
      <c r="AI8" s="48">
        <f t="shared" si="20"/>
        <v>140730</v>
      </c>
      <c r="AJ8" s="64">
        <f t="shared" si="21"/>
        <v>492220</v>
      </c>
      <c r="AK8" s="48">
        <f t="shared" si="22"/>
        <v>0</v>
      </c>
      <c r="AL8" s="56">
        <v>61</v>
      </c>
      <c r="AM8" s="56">
        <v>310240</v>
      </c>
      <c r="AN8" s="56">
        <v>110930</v>
      </c>
      <c r="AO8" s="57">
        <v>0</v>
      </c>
      <c r="AP8" s="57">
        <v>0</v>
      </c>
      <c r="AQ8" s="57">
        <v>0</v>
      </c>
      <c r="AR8" s="57">
        <v>0</v>
      </c>
      <c r="AS8" s="58">
        <f t="shared" si="23"/>
        <v>421170</v>
      </c>
      <c r="AT8" s="36">
        <v>4</v>
      </c>
      <c r="AU8" s="59">
        <f t="shared" si="24"/>
        <v>421170</v>
      </c>
    </row>
    <row r="9" spans="1:47" ht="21">
      <c r="A9" s="36"/>
      <c r="B9" s="165">
        <f t="shared" si="25"/>
        <v>45082</v>
      </c>
      <c r="C9" s="61" t="s">
        <v>61</v>
      </c>
      <c r="D9" s="39"/>
      <c r="E9" s="40"/>
      <c r="F9" s="41"/>
      <c r="G9" s="42" t="e">
        <f t="shared" si="0"/>
        <v>#DIV/0!</v>
      </c>
      <c r="H9" s="41"/>
      <c r="I9" s="43" t="e">
        <f t="shared" si="1"/>
        <v>#DIV/0!</v>
      </c>
      <c r="J9" s="44">
        <f t="shared" si="2"/>
        <v>0</v>
      </c>
      <c r="K9" s="45" t="str">
        <f t="shared" si="3"/>
        <v/>
      </c>
      <c r="L9" s="46"/>
      <c r="M9" s="47">
        <f t="shared" si="4"/>
        <v>29</v>
      </c>
      <c r="N9" s="48">
        <f t="shared" si="4"/>
        <v>242770</v>
      </c>
      <c r="O9" s="42">
        <f t="shared" si="5"/>
        <v>7610.3448275862065</v>
      </c>
      <c r="P9" s="48">
        <f t="shared" si="6"/>
        <v>52130</v>
      </c>
      <c r="Q9" s="43">
        <f t="shared" si="7"/>
        <v>1634.1379310344828</v>
      </c>
      <c r="R9" s="49">
        <f t="shared" si="8"/>
        <v>294900</v>
      </c>
      <c r="S9" s="45">
        <f t="shared" si="9"/>
        <v>10168.965517241379</v>
      </c>
      <c r="T9" s="62">
        <f t="shared" si="10"/>
        <v>29</v>
      </c>
      <c r="U9" s="48">
        <f t="shared" si="10"/>
        <v>242770</v>
      </c>
      <c r="V9" s="48">
        <f t="shared" si="11"/>
        <v>52130</v>
      </c>
      <c r="W9" s="51">
        <f t="shared" si="12"/>
        <v>294900</v>
      </c>
      <c r="X9" s="48">
        <f t="shared" si="13"/>
        <v>10168.965517241379</v>
      </c>
      <c r="Y9" s="52"/>
      <c r="Z9" s="53">
        <v>71</v>
      </c>
      <c r="AA9" s="41">
        <v>44150</v>
      </c>
      <c r="AB9" s="42">
        <f t="shared" si="14"/>
        <v>621.83098591549299</v>
      </c>
      <c r="AC9" s="41">
        <v>21250</v>
      </c>
      <c r="AD9" s="43">
        <f t="shared" si="15"/>
        <v>299.2957746478873</v>
      </c>
      <c r="AE9" s="54">
        <f t="shared" si="16"/>
        <v>65400</v>
      </c>
      <c r="AF9" s="45">
        <f t="shared" si="17"/>
        <v>921.12676056338023</v>
      </c>
      <c r="AG9" s="62">
        <f t="shared" si="18"/>
        <v>29</v>
      </c>
      <c r="AH9" s="48">
        <f t="shared" si="19"/>
        <v>286920</v>
      </c>
      <c r="AI9" s="48">
        <f t="shared" si="20"/>
        <v>73380</v>
      </c>
      <c r="AJ9" s="55">
        <f t="shared" si="21"/>
        <v>360300</v>
      </c>
      <c r="AK9" s="48">
        <f t="shared" si="22"/>
        <v>80500</v>
      </c>
      <c r="AL9" s="56">
        <v>29</v>
      </c>
      <c r="AM9" s="56">
        <v>242770</v>
      </c>
      <c r="AN9" s="56">
        <v>52130</v>
      </c>
      <c r="AO9" s="57">
        <v>25850</v>
      </c>
      <c r="AP9" s="57">
        <v>54650</v>
      </c>
      <c r="AQ9" s="57">
        <v>0</v>
      </c>
      <c r="AR9" s="57">
        <v>0</v>
      </c>
      <c r="AS9" s="58">
        <f t="shared" si="23"/>
        <v>375400</v>
      </c>
      <c r="AT9" s="36">
        <v>5</v>
      </c>
      <c r="AU9" s="59">
        <f t="shared" si="24"/>
        <v>375400</v>
      </c>
    </row>
    <row r="10" spans="1:47" ht="21">
      <c r="A10" s="36"/>
      <c r="B10" s="165">
        <f t="shared" si="25"/>
        <v>45083</v>
      </c>
      <c r="C10" s="61" t="s">
        <v>68</v>
      </c>
      <c r="D10" s="39"/>
      <c r="E10" s="40">
        <v>12</v>
      </c>
      <c r="F10" s="41">
        <v>40260</v>
      </c>
      <c r="G10" s="42">
        <f t="shared" si="0"/>
        <v>3050</v>
      </c>
      <c r="H10" s="41">
        <v>20080</v>
      </c>
      <c r="I10" s="43">
        <f t="shared" si="1"/>
        <v>1521.1666666666667</v>
      </c>
      <c r="J10" s="44">
        <f t="shared" si="2"/>
        <v>60340</v>
      </c>
      <c r="K10" s="45">
        <f t="shared" si="3"/>
        <v>5028.333333333333</v>
      </c>
      <c r="L10" s="46"/>
      <c r="M10" s="47">
        <f t="shared" si="4"/>
        <v>25</v>
      </c>
      <c r="N10" s="48">
        <f t="shared" si="4"/>
        <v>239470</v>
      </c>
      <c r="O10" s="42">
        <f t="shared" si="5"/>
        <v>8708</v>
      </c>
      <c r="P10" s="48">
        <f t="shared" si="6"/>
        <v>47940</v>
      </c>
      <c r="Q10" s="43">
        <f t="shared" si="7"/>
        <v>1743.24</v>
      </c>
      <c r="R10" s="49">
        <f t="shared" si="8"/>
        <v>287410</v>
      </c>
      <c r="S10" s="45">
        <f t="shared" si="9"/>
        <v>11496.4</v>
      </c>
      <c r="T10" s="62">
        <f t="shared" si="10"/>
        <v>37</v>
      </c>
      <c r="U10" s="48">
        <f t="shared" si="10"/>
        <v>279730</v>
      </c>
      <c r="V10" s="48">
        <f t="shared" si="11"/>
        <v>68020</v>
      </c>
      <c r="W10" s="51">
        <f t="shared" si="12"/>
        <v>347750</v>
      </c>
      <c r="X10" s="48">
        <f t="shared" si="13"/>
        <v>9398.6486486486483</v>
      </c>
      <c r="Y10" s="52"/>
      <c r="Z10" s="53">
        <v>67</v>
      </c>
      <c r="AA10" s="41">
        <v>43200</v>
      </c>
      <c r="AB10" s="42">
        <f t="shared" si="14"/>
        <v>644.77611940298505</v>
      </c>
      <c r="AC10" s="41">
        <v>13300</v>
      </c>
      <c r="AD10" s="43">
        <f t="shared" si="15"/>
        <v>198.50746268656715</v>
      </c>
      <c r="AE10" s="54">
        <f t="shared" si="16"/>
        <v>56500</v>
      </c>
      <c r="AF10" s="45">
        <f t="shared" si="17"/>
        <v>843.28358208955228</v>
      </c>
      <c r="AG10" s="62">
        <f t="shared" si="18"/>
        <v>37</v>
      </c>
      <c r="AH10" s="48">
        <f t="shared" si="19"/>
        <v>322930</v>
      </c>
      <c r="AI10" s="48">
        <f t="shared" si="20"/>
        <v>81320</v>
      </c>
      <c r="AJ10" s="55">
        <f t="shared" si="21"/>
        <v>404250</v>
      </c>
      <c r="AK10" s="48">
        <f t="shared" si="22"/>
        <v>10450</v>
      </c>
      <c r="AL10" s="56">
        <v>37</v>
      </c>
      <c r="AM10" s="56">
        <v>279730</v>
      </c>
      <c r="AN10" s="56">
        <v>68020</v>
      </c>
      <c r="AO10" s="57">
        <v>10450</v>
      </c>
      <c r="AP10" s="57">
        <v>0</v>
      </c>
      <c r="AQ10" s="57">
        <v>0</v>
      </c>
      <c r="AR10" s="57">
        <v>0</v>
      </c>
      <c r="AS10" s="58">
        <f t="shared" si="23"/>
        <v>358200</v>
      </c>
      <c r="AT10" s="36">
        <v>6</v>
      </c>
      <c r="AU10" s="59">
        <f t="shared" si="24"/>
        <v>358200</v>
      </c>
    </row>
    <row r="11" spans="1:47" ht="21">
      <c r="A11" s="36"/>
      <c r="B11" s="165">
        <f t="shared" si="25"/>
        <v>45084</v>
      </c>
      <c r="C11" s="61" t="s">
        <v>61</v>
      </c>
      <c r="D11" s="39"/>
      <c r="E11" s="40"/>
      <c r="F11" s="41"/>
      <c r="G11" s="42" t="e">
        <f t="shared" si="0"/>
        <v>#DIV/0!</v>
      </c>
      <c r="H11" s="41"/>
      <c r="I11" s="43" t="e">
        <f t="shared" si="1"/>
        <v>#DIV/0!</v>
      </c>
      <c r="J11" s="44">
        <f t="shared" si="2"/>
        <v>0</v>
      </c>
      <c r="K11" s="45" t="str">
        <f t="shared" si="3"/>
        <v/>
      </c>
      <c r="L11" s="46"/>
      <c r="M11" s="47">
        <f t="shared" si="4"/>
        <v>23</v>
      </c>
      <c r="N11" s="48">
        <f t="shared" si="4"/>
        <v>157080</v>
      </c>
      <c r="O11" s="42">
        <f t="shared" si="5"/>
        <v>6208.695652173913</v>
      </c>
      <c r="P11" s="48">
        <f t="shared" si="6"/>
        <v>93190</v>
      </c>
      <c r="Q11" s="43">
        <f t="shared" si="7"/>
        <v>3683.391304347826</v>
      </c>
      <c r="R11" s="49">
        <f t="shared" si="8"/>
        <v>250270</v>
      </c>
      <c r="S11" s="45">
        <f t="shared" si="9"/>
        <v>10881.304347826086</v>
      </c>
      <c r="T11" s="62">
        <f t="shared" si="10"/>
        <v>23</v>
      </c>
      <c r="U11" s="48">
        <f t="shared" si="10"/>
        <v>157080</v>
      </c>
      <c r="V11" s="48">
        <f t="shared" si="11"/>
        <v>93190</v>
      </c>
      <c r="W11" s="51">
        <f t="shared" si="12"/>
        <v>250270</v>
      </c>
      <c r="X11" s="48">
        <f t="shared" si="13"/>
        <v>10881.304347826086</v>
      </c>
      <c r="Y11" s="52"/>
      <c r="Z11" s="53">
        <v>22</v>
      </c>
      <c r="AA11" s="41">
        <v>10700</v>
      </c>
      <c r="AB11" s="42">
        <f t="shared" si="14"/>
        <v>486.36363636363637</v>
      </c>
      <c r="AC11" s="41">
        <v>4650</v>
      </c>
      <c r="AD11" s="43">
        <f t="shared" si="15"/>
        <v>211.36363636363637</v>
      </c>
      <c r="AE11" s="54">
        <f t="shared" si="16"/>
        <v>15350</v>
      </c>
      <c r="AF11" s="45">
        <f t="shared" si="17"/>
        <v>697.72727272727275</v>
      </c>
      <c r="AG11" s="62">
        <f t="shared" si="18"/>
        <v>23</v>
      </c>
      <c r="AH11" s="48">
        <f t="shared" si="19"/>
        <v>167780</v>
      </c>
      <c r="AI11" s="48">
        <f t="shared" si="20"/>
        <v>97840</v>
      </c>
      <c r="AJ11" s="55">
        <f t="shared" si="21"/>
        <v>265620</v>
      </c>
      <c r="AK11" s="48">
        <f t="shared" si="22"/>
        <v>7700</v>
      </c>
      <c r="AL11" s="56">
        <v>23</v>
      </c>
      <c r="AM11" s="56">
        <v>157080</v>
      </c>
      <c r="AN11" s="56">
        <v>93190</v>
      </c>
      <c r="AO11" s="57">
        <v>7700</v>
      </c>
      <c r="AP11" s="57">
        <v>0</v>
      </c>
      <c r="AQ11" s="57">
        <v>0</v>
      </c>
      <c r="AR11" s="57">
        <v>0</v>
      </c>
      <c r="AS11" s="58">
        <f t="shared" si="23"/>
        <v>257970</v>
      </c>
      <c r="AT11" s="36">
        <v>7</v>
      </c>
      <c r="AU11" s="59">
        <f t="shared" si="24"/>
        <v>257970</v>
      </c>
    </row>
    <row r="12" spans="1:47" ht="21">
      <c r="A12" s="36"/>
      <c r="B12" s="165">
        <f t="shared" si="25"/>
        <v>45085</v>
      </c>
      <c r="C12" s="61" t="s">
        <v>61</v>
      </c>
      <c r="D12" s="39"/>
      <c r="E12" s="40"/>
      <c r="F12" s="41"/>
      <c r="G12" s="42" t="e">
        <f t="shared" si="0"/>
        <v>#DIV/0!</v>
      </c>
      <c r="H12" s="41"/>
      <c r="I12" s="43" t="e">
        <f t="shared" si="1"/>
        <v>#DIV/0!</v>
      </c>
      <c r="J12" s="44">
        <f t="shared" si="2"/>
        <v>0</v>
      </c>
      <c r="K12" s="45" t="str">
        <f t="shared" si="3"/>
        <v/>
      </c>
      <c r="L12" s="46"/>
      <c r="M12" s="47">
        <f t="shared" si="4"/>
        <v>28</v>
      </c>
      <c r="N12" s="48">
        <f t="shared" si="4"/>
        <v>273460</v>
      </c>
      <c r="O12" s="42">
        <f t="shared" si="5"/>
        <v>8878.5714285714294</v>
      </c>
      <c r="P12" s="48">
        <f t="shared" si="6"/>
        <v>40050</v>
      </c>
      <c r="Q12" s="67">
        <f t="shared" si="7"/>
        <v>1300.3214285714287</v>
      </c>
      <c r="R12" s="49">
        <f t="shared" si="8"/>
        <v>313510</v>
      </c>
      <c r="S12" s="45">
        <f t="shared" si="9"/>
        <v>11196.785714285714</v>
      </c>
      <c r="T12" s="62">
        <f t="shared" si="10"/>
        <v>28</v>
      </c>
      <c r="U12" s="48">
        <f t="shared" si="10"/>
        <v>273460</v>
      </c>
      <c r="V12" s="48">
        <f t="shared" si="11"/>
        <v>40050</v>
      </c>
      <c r="W12" s="51">
        <f t="shared" si="12"/>
        <v>313510</v>
      </c>
      <c r="X12" s="48">
        <f t="shared" si="13"/>
        <v>11196.785714285714</v>
      </c>
      <c r="Y12" s="52"/>
      <c r="Z12" s="53">
        <v>98</v>
      </c>
      <c r="AA12" s="41">
        <v>63600</v>
      </c>
      <c r="AB12" s="42">
        <f t="shared" si="14"/>
        <v>648.9795918367347</v>
      </c>
      <c r="AC12" s="41">
        <v>21950</v>
      </c>
      <c r="AD12" s="43">
        <f t="shared" si="15"/>
        <v>223.9795918367347</v>
      </c>
      <c r="AE12" s="54">
        <f t="shared" si="16"/>
        <v>85550</v>
      </c>
      <c r="AF12" s="45">
        <f t="shared" si="17"/>
        <v>872.9591836734694</v>
      </c>
      <c r="AG12" s="62">
        <f t="shared" si="18"/>
        <v>28</v>
      </c>
      <c r="AH12" s="48">
        <f t="shared" si="19"/>
        <v>337060</v>
      </c>
      <c r="AI12" s="48">
        <f t="shared" si="20"/>
        <v>62000</v>
      </c>
      <c r="AJ12" s="55">
        <f t="shared" si="21"/>
        <v>399060</v>
      </c>
      <c r="AK12" s="48">
        <f t="shared" si="22"/>
        <v>23650</v>
      </c>
      <c r="AL12" s="56">
        <v>28</v>
      </c>
      <c r="AM12" s="56">
        <v>273460</v>
      </c>
      <c r="AN12" s="56">
        <v>40050</v>
      </c>
      <c r="AO12" s="57">
        <v>22000</v>
      </c>
      <c r="AP12" s="57">
        <v>1650</v>
      </c>
      <c r="AQ12" s="57">
        <v>0</v>
      </c>
      <c r="AR12" s="57">
        <v>0</v>
      </c>
      <c r="AS12" s="58">
        <f t="shared" si="23"/>
        <v>337160</v>
      </c>
      <c r="AT12" s="36">
        <v>8</v>
      </c>
      <c r="AU12" s="59">
        <f t="shared" si="24"/>
        <v>337160</v>
      </c>
    </row>
    <row r="13" spans="1:47" ht="21">
      <c r="A13" s="36"/>
      <c r="B13" s="165">
        <f t="shared" si="25"/>
        <v>45086</v>
      </c>
      <c r="C13" s="61" t="s">
        <v>61</v>
      </c>
      <c r="D13" s="39"/>
      <c r="E13" s="40"/>
      <c r="F13" s="41"/>
      <c r="G13" s="42" t="e">
        <f t="shared" si="0"/>
        <v>#DIV/0!</v>
      </c>
      <c r="H13" s="41"/>
      <c r="I13" s="43" t="e">
        <f t="shared" si="1"/>
        <v>#DIV/0!</v>
      </c>
      <c r="J13" s="44">
        <f t="shared" si="2"/>
        <v>0</v>
      </c>
      <c r="K13" s="45" t="str">
        <f t="shared" si="3"/>
        <v/>
      </c>
      <c r="L13" s="46"/>
      <c r="M13" s="47">
        <f t="shared" si="4"/>
        <v>22</v>
      </c>
      <c r="N13" s="48">
        <f t="shared" si="4"/>
        <v>201740</v>
      </c>
      <c r="O13" s="42">
        <f t="shared" si="5"/>
        <v>8336.363636363636</v>
      </c>
      <c r="P13" s="48">
        <f t="shared" si="6"/>
        <v>39450</v>
      </c>
      <c r="Q13" s="43">
        <f t="shared" si="7"/>
        <v>1630.1363636363637</v>
      </c>
      <c r="R13" s="49">
        <f t="shared" si="8"/>
        <v>241190</v>
      </c>
      <c r="S13" s="45">
        <f t="shared" si="9"/>
        <v>10963.181818181818</v>
      </c>
      <c r="T13" s="62">
        <f t="shared" si="10"/>
        <v>22</v>
      </c>
      <c r="U13" s="48">
        <f t="shared" si="10"/>
        <v>201740</v>
      </c>
      <c r="V13" s="48">
        <f t="shared" si="11"/>
        <v>39450</v>
      </c>
      <c r="W13" s="51">
        <f t="shared" si="12"/>
        <v>241190</v>
      </c>
      <c r="X13" s="48">
        <f t="shared" si="13"/>
        <v>10963.181818181818</v>
      </c>
      <c r="Y13" s="52"/>
      <c r="Z13" s="53">
        <v>1</v>
      </c>
      <c r="AA13" s="41">
        <v>550</v>
      </c>
      <c r="AB13" s="42">
        <f t="shared" si="14"/>
        <v>550</v>
      </c>
      <c r="AC13" s="41">
        <v>0</v>
      </c>
      <c r="AD13" s="43">
        <f t="shared" si="15"/>
        <v>0</v>
      </c>
      <c r="AE13" s="54">
        <f t="shared" si="16"/>
        <v>550</v>
      </c>
      <c r="AF13" s="45">
        <f t="shared" si="17"/>
        <v>550</v>
      </c>
      <c r="AG13" s="62">
        <f t="shared" si="18"/>
        <v>22</v>
      </c>
      <c r="AH13" s="48">
        <f t="shared" si="19"/>
        <v>202290</v>
      </c>
      <c r="AI13" s="48">
        <f t="shared" si="20"/>
        <v>39450</v>
      </c>
      <c r="AJ13" s="55">
        <f t="shared" si="21"/>
        <v>241740</v>
      </c>
      <c r="AK13" s="48">
        <f t="shared" si="22"/>
        <v>11000</v>
      </c>
      <c r="AL13" s="56">
        <v>22</v>
      </c>
      <c r="AM13" s="56">
        <v>201740</v>
      </c>
      <c r="AN13" s="56">
        <v>39450</v>
      </c>
      <c r="AO13" s="57">
        <v>11000</v>
      </c>
      <c r="AP13" s="57">
        <v>0</v>
      </c>
      <c r="AQ13" s="57">
        <v>0</v>
      </c>
      <c r="AR13" s="57">
        <v>0</v>
      </c>
      <c r="AS13" s="58">
        <f t="shared" si="23"/>
        <v>252190</v>
      </c>
      <c r="AT13" s="36">
        <v>9</v>
      </c>
      <c r="AU13" s="59">
        <f t="shared" si="24"/>
        <v>252190</v>
      </c>
    </row>
    <row r="14" spans="1:47" ht="21">
      <c r="A14" s="36"/>
      <c r="B14" s="172">
        <f t="shared" si="25"/>
        <v>45087</v>
      </c>
      <c r="C14" s="61"/>
      <c r="D14" s="39"/>
      <c r="E14" s="40">
        <v>24</v>
      </c>
      <c r="F14" s="41">
        <v>75130</v>
      </c>
      <c r="G14" s="42">
        <f t="shared" si="0"/>
        <v>2845.8333333333335</v>
      </c>
      <c r="H14" s="41">
        <v>12850</v>
      </c>
      <c r="I14" s="43">
        <f t="shared" si="1"/>
        <v>486.70833333333331</v>
      </c>
      <c r="J14" s="44">
        <f t="shared" si="2"/>
        <v>87980</v>
      </c>
      <c r="K14" s="45">
        <f t="shared" si="3"/>
        <v>3665.8333333333335</v>
      </c>
      <c r="L14" s="46"/>
      <c r="M14" s="47">
        <f t="shared" si="4"/>
        <v>35</v>
      </c>
      <c r="N14" s="48">
        <f t="shared" si="4"/>
        <v>309650</v>
      </c>
      <c r="O14" s="42">
        <f t="shared" si="5"/>
        <v>8042.8571428571431</v>
      </c>
      <c r="P14" s="48">
        <f t="shared" si="6"/>
        <v>39480</v>
      </c>
      <c r="Q14" s="43">
        <f t="shared" si="7"/>
        <v>1025.4285714285713</v>
      </c>
      <c r="R14" s="49">
        <f t="shared" si="8"/>
        <v>349130</v>
      </c>
      <c r="S14" s="45">
        <f t="shared" si="9"/>
        <v>9975.1428571428569</v>
      </c>
      <c r="T14" s="62">
        <f t="shared" si="10"/>
        <v>59</v>
      </c>
      <c r="U14" s="48">
        <f t="shared" si="10"/>
        <v>384780</v>
      </c>
      <c r="V14" s="48">
        <f t="shared" si="11"/>
        <v>52330</v>
      </c>
      <c r="W14" s="51">
        <f t="shared" si="12"/>
        <v>437110</v>
      </c>
      <c r="X14" s="48">
        <f t="shared" si="13"/>
        <v>7408.6440677966102</v>
      </c>
      <c r="Y14" s="52"/>
      <c r="Z14" s="53">
        <v>92</v>
      </c>
      <c r="AA14" s="41">
        <v>59300</v>
      </c>
      <c r="AB14" s="42">
        <f t="shared" si="14"/>
        <v>644.56521739130437</v>
      </c>
      <c r="AC14" s="41">
        <v>18950</v>
      </c>
      <c r="AD14" s="43">
        <f t="shared" si="15"/>
        <v>205.97826086956522</v>
      </c>
      <c r="AE14" s="54">
        <f t="shared" si="16"/>
        <v>78250</v>
      </c>
      <c r="AF14" s="45">
        <f t="shared" si="17"/>
        <v>850.54347826086962</v>
      </c>
      <c r="AG14" s="62">
        <f t="shared" si="18"/>
        <v>59</v>
      </c>
      <c r="AH14" s="48">
        <f t="shared" si="19"/>
        <v>444080</v>
      </c>
      <c r="AI14" s="48">
        <f t="shared" si="20"/>
        <v>71280</v>
      </c>
      <c r="AJ14" s="64">
        <f t="shared" si="21"/>
        <v>515360</v>
      </c>
      <c r="AK14" s="48">
        <f t="shared" si="22"/>
        <v>32450</v>
      </c>
      <c r="AL14" s="56">
        <v>59</v>
      </c>
      <c r="AM14" s="56">
        <v>384780</v>
      </c>
      <c r="AN14" s="56">
        <v>52330</v>
      </c>
      <c r="AO14" s="57">
        <v>28050</v>
      </c>
      <c r="AP14" s="57">
        <v>4400</v>
      </c>
      <c r="AQ14" s="57">
        <v>0</v>
      </c>
      <c r="AR14" s="57">
        <v>0</v>
      </c>
      <c r="AS14" s="58">
        <f t="shared" si="23"/>
        <v>469560</v>
      </c>
      <c r="AT14" s="36">
        <v>10</v>
      </c>
      <c r="AU14" s="59">
        <f t="shared" si="24"/>
        <v>469560</v>
      </c>
    </row>
    <row r="15" spans="1:47" ht="21">
      <c r="A15" s="36"/>
      <c r="B15" s="65">
        <f t="shared" si="25"/>
        <v>45088</v>
      </c>
      <c r="C15" s="61"/>
      <c r="D15" s="39"/>
      <c r="E15" s="40">
        <v>27</v>
      </c>
      <c r="F15" s="41">
        <v>91960</v>
      </c>
      <c r="G15" s="42">
        <f t="shared" si="0"/>
        <v>3096.2962962962961</v>
      </c>
      <c r="H15" s="41">
        <v>15210</v>
      </c>
      <c r="I15" s="43">
        <f t="shared" si="1"/>
        <v>512.11111111111109</v>
      </c>
      <c r="J15" s="44">
        <f t="shared" si="2"/>
        <v>107170</v>
      </c>
      <c r="K15" s="45">
        <f t="shared" si="3"/>
        <v>3969.2592592592591</v>
      </c>
      <c r="L15" s="46"/>
      <c r="M15" s="47">
        <f t="shared" si="4"/>
        <v>36</v>
      </c>
      <c r="N15" s="48">
        <f t="shared" si="4"/>
        <v>293040</v>
      </c>
      <c r="O15" s="42">
        <f t="shared" si="5"/>
        <v>7400</v>
      </c>
      <c r="P15" s="48">
        <f t="shared" si="6"/>
        <v>51680</v>
      </c>
      <c r="Q15" s="43">
        <f t="shared" si="7"/>
        <v>1305.0277777777778</v>
      </c>
      <c r="R15" s="49">
        <f t="shared" si="8"/>
        <v>344720</v>
      </c>
      <c r="S15" s="45">
        <f t="shared" si="9"/>
        <v>9575.5555555555547</v>
      </c>
      <c r="T15" s="62">
        <f t="shared" si="10"/>
        <v>63</v>
      </c>
      <c r="U15" s="48">
        <f t="shared" si="10"/>
        <v>385000</v>
      </c>
      <c r="V15" s="48">
        <f t="shared" si="11"/>
        <v>66890</v>
      </c>
      <c r="W15" s="51">
        <f t="shared" si="12"/>
        <v>451890</v>
      </c>
      <c r="X15" s="48">
        <f t="shared" si="13"/>
        <v>7172.8571428571431</v>
      </c>
      <c r="Y15" s="52"/>
      <c r="Z15" s="53">
        <v>165</v>
      </c>
      <c r="AA15" s="41">
        <v>116850</v>
      </c>
      <c r="AB15" s="42">
        <f t="shared" si="14"/>
        <v>708.18181818181813</v>
      </c>
      <c r="AC15" s="41">
        <v>26850</v>
      </c>
      <c r="AD15" s="43">
        <f t="shared" si="15"/>
        <v>162.72727272727272</v>
      </c>
      <c r="AE15" s="54">
        <f t="shared" si="16"/>
        <v>143700</v>
      </c>
      <c r="AF15" s="45">
        <f t="shared" si="17"/>
        <v>870.90909090909088</v>
      </c>
      <c r="AG15" s="62">
        <f t="shared" si="18"/>
        <v>63</v>
      </c>
      <c r="AH15" s="48">
        <f t="shared" si="19"/>
        <v>501850</v>
      </c>
      <c r="AI15" s="48">
        <f t="shared" si="20"/>
        <v>93740</v>
      </c>
      <c r="AJ15" s="55">
        <f t="shared" si="21"/>
        <v>595590</v>
      </c>
      <c r="AK15" s="48">
        <f t="shared" si="22"/>
        <v>30470</v>
      </c>
      <c r="AL15" s="56">
        <v>63</v>
      </c>
      <c r="AM15" s="56">
        <v>385000</v>
      </c>
      <c r="AN15" s="56">
        <v>66890</v>
      </c>
      <c r="AO15" s="57">
        <v>26400</v>
      </c>
      <c r="AP15" s="57">
        <v>4070</v>
      </c>
      <c r="AQ15" s="57">
        <v>0</v>
      </c>
      <c r="AR15" s="57">
        <v>13200</v>
      </c>
      <c r="AS15" s="58">
        <f t="shared" si="23"/>
        <v>482360</v>
      </c>
      <c r="AT15" s="36">
        <v>11</v>
      </c>
      <c r="AU15" s="59">
        <f t="shared" si="24"/>
        <v>495560</v>
      </c>
    </row>
    <row r="16" spans="1:47" ht="21">
      <c r="A16" s="36"/>
      <c r="B16" s="165">
        <f t="shared" si="25"/>
        <v>45089</v>
      </c>
      <c r="C16" s="61" t="s">
        <v>61</v>
      </c>
      <c r="D16" s="39"/>
      <c r="E16" s="40"/>
      <c r="F16" s="41"/>
      <c r="G16" s="42" t="e">
        <f t="shared" si="0"/>
        <v>#DIV/0!</v>
      </c>
      <c r="H16" s="41"/>
      <c r="I16" s="43" t="e">
        <f t="shared" si="1"/>
        <v>#DIV/0!</v>
      </c>
      <c r="J16" s="44">
        <f t="shared" si="2"/>
        <v>0</v>
      </c>
      <c r="K16" s="45" t="str">
        <f t="shared" si="3"/>
        <v/>
      </c>
      <c r="L16" s="46"/>
      <c r="M16" s="47">
        <f t="shared" si="4"/>
        <v>25</v>
      </c>
      <c r="N16" s="48">
        <f t="shared" si="4"/>
        <v>231000</v>
      </c>
      <c r="O16" s="42">
        <f t="shared" si="5"/>
        <v>8400</v>
      </c>
      <c r="P16" s="48">
        <f t="shared" si="6"/>
        <v>48930</v>
      </c>
      <c r="Q16" s="43">
        <f t="shared" si="7"/>
        <v>1779.24</v>
      </c>
      <c r="R16" s="49">
        <f t="shared" si="8"/>
        <v>279930</v>
      </c>
      <c r="S16" s="45">
        <f t="shared" si="9"/>
        <v>11197.2</v>
      </c>
      <c r="T16" s="62">
        <f t="shared" si="10"/>
        <v>25</v>
      </c>
      <c r="U16" s="48">
        <f t="shared" si="10"/>
        <v>231000</v>
      </c>
      <c r="V16" s="48">
        <f t="shared" si="11"/>
        <v>48930</v>
      </c>
      <c r="W16" s="51">
        <f t="shared" si="12"/>
        <v>279930</v>
      </c>
      <c r="X16" s="48">
        <f t="shared" si="13"/>
        <v>11197.2</v>
      </c>
      <c r="Y16" s="52"/>
      <c r="Z16" s="53">
        <v>107</v>
      </c>
      <c r="AA16" s="41">
        <v>61650</v>
      </c>
      <c r="AB16" s="42">
        <f t="shared" si="14"/>
        <v>576.1682242990654</v>
      </c>
      <c r="AC16" s="41">
        <v>26700</v>
      </c>
      <c r="AD16" s="43">
        <f t="shared" si="15"/>
        <v>249.53271028037383</v>
      </c>
      <c r="AE16" s="54">
        <f t="shared" si="16"/>
        <v>88350</v>
      </c>
      <c r="AF16" s="45">
        <f t="shared" si="17"/>
        <v>825.70093457943926</v>
      </c>
      <c r="AG16" s="62">
        <f t="shared" si="18"/>
        <v>25</v>
      </c>
      <c r="AH16" s="48">
        <f t="shared" si="19"/>
        <v>292650</v>
      </c>
      <c r="AI16" s="48">
        <f t="shared" si="20"/>
        <v>75630</v>
      </c>
      <c r="AJ16" s="55">
        <f t="shared" si="21"/>
        <v>368280</v>
      </c>
      <c r="AK16" s="48">
        <f t="shared" si="22"/>
        <v>116900</v>
      </c>
      <c r="AL16" s="56">
        <v>25</v>
      </c>
      <c r="AM16" s="56">
        <v>231000</v>
      </c>
      <c r="AN16" s="56">
        <v>48930</v>
      </c>
      <c r="AO16" s="57">
        <v>20900</v>
      </c>
      <c r="AP16" s="57">
        <v>96000</v>
      </c>
      <c r="AQ16" s="57">
        <v>0</v>
      </c>
      <c r="AR16" s="57">
        <v>0</v>
      </c>
      <c r="AS16" s="58">
        <f t="shared" si="23"/>
        <v>396830</v>
      </c>
      <c r="AT16" s="36">
        <v>12</v>
      </c>
      <c r="AU16" s="59">
        <f t="shared" si="24"/>
        <v>396830</v>
      </c>
    </row>
    <row r="17" spans="1:47" ht="21">
      <c r="A17" s="36"/>
      <c r="B17" s="165">
        <f t="shared" si="25"/>
        <v>45090</v>
      </c>
      <c r="C17" s="61" t="s">
        <v>61</v>
      </c>
      <c r="D17" s="39"/>
      <c r="E17" s="40"/>
      <c r="F17" s="41"/>
      <c r="G17" s="42" t="e">
        <f t="shared" si="0"/>
        <v>#DIV/0!</v>
      </c>
      <c r="H17" s="41"/>
      <c r="I17" s="43" t="e">
        <f t="shared" si="1"/>
        <v>#DIV/0!</v>
      </c>
      <c r="J17" s="44">
        <f t="shared" si="2"/>
        <v>0</v>
      </c>
      <c r="K17" s="45" t="str">
        <f t="shared" si="3"/>
        <v/>
      </c>
      <c r="L17" s="46"/>
      <c r="M17" s="47">
        <f t="shared" si="4"/>
        <v>30</v>
      </c>
      <c r="N17" s="48">
        <f t="shared" si="4"/>
        <v>301840</v>
      </c>
      <c r="O17" s="42">
        <f t="shared" si="5"/>
        <v>9146.6666666666661</v>
      </c>
      <c r="P17" s="48">
        <f t="shared" si="6"/>
        <v>76780</v>
      </c>
      <c r="Q17" s="43">
        <f t="shared" si="7"/>
        <v>2326.6666666666665</v>
      </c>
      <c r="R17" s="49">
        <f t="shared" si="8"/>
        <v>378620</v>
      </c>
      <c r="S17" s="45">
        <f t="shared" si="9"/>
        <v>12620.666666666666</v>
      </c>
      <c r="T17" s="62">
        <f t="shared" si="10"/>
        <v>30</v>
      </c>
      <c r="U17" s="48">
        <f t="shared" si="10"/>
        <v>301840</v>
      </c>
      <c r="V17" s="48">
        <f t="shared" si="11"/>
        <v>76780</v>
      </c>
      <c r="W17" s="51">
        <f t="shared" si="12"/>
        <v>378620</v>
      </c>
      <c r="X17" s="48">
        <f t="shared" si="13"/>
        <v>12620.666666666666</v>
      </c>
      <c r="Y17" s="52"/>
      <c r="Z17" s="53">
        <v>17</v>
      </c>
      <c r="AA17" s="41">
        <v>12450</v>
      </c>
      <c r="AB17" s="42">
        <f t="shared" si="14"/>
        <v>732.35294117647061</v>
      </c>
      <c r="AC17" s="41">
        <v>4050</v>
      </c>
      <c r="AD17" s="43">
        <f t="shared" si="15"/>
        <v>238.23529411764707</v>
      </c>
      <c r="AE17" s="54">
        <f t="shared" si="16"/>
        <v>16500</v>
      </c>
      <c r="AF17" s="45">
        <f t="shared" si="17"/>
        <v>970.58823529411768</v>
      </c>
      <c r="AG17" s="62">
        <f t="shared" si="18"/>
        <v>30</v>
      </c>
      <c r="AH17" s="48">
        <f t="shared" si="19"/>
        <v>314290</v>
      </c>
      <c r="AI17" s="48">
        <f t="shared" si="20"/>
        <v>80830</v>
      </c>
      <c r="AJ17" s="55">
        <f t="shared" si="21"/>
        <v>395120</v>
      </c>
      <c r="AK17" s="48">
        <f t="shared" si="22"/>
        <v>19910</v>
      </c>
      <c r="AL17" s="56">
        <v>30</v>
      </c>
      <c r="AM17" s="56">
        <v>301840</v>
      </c>
      <c r="AN17" s="56">
        <v>76780</v>
      </c>
      <c r="AO17" s="57">
        <v>18700</v>
      </c>
      <c r="AP17" s="57">
        <v>1210</v>
      </c>
      <c r="AQ17" s="57">
        <v>0</v>
      </c>
      <c r="AR17" s="57">
        <v>0</v>
      </c>
      <c r="AS17" s="58">
        <f t="shared" si="23"/>
        <v>398530</v>
      </c>
      <c r="AT17" s="36">
        <v>13</v>
      </c>
      <c r="AU17" s="59">
        <f t="shared" si="24"/>
        <v>398530</v>
      </c>
    </row>
    <row r="18" spans="1:47" ht="21">
      <c r="A18" s="36"/>
      <c r="B18" s="165">
        <f t="shared" si="25"/>
        <v>45091</v>
      </c>
      <c r="C18" s="61" t="s">
        <v>61</v>
      </c>
      <c r="D18" s="39"/>
      <c r="E18" s="40"/>
      <c r="F18" s="41"/>
      <c r="G18" s="42" t="e">
        <f t="shared" si="0"/>
        <v>#DIV/0!</v>
      </c>
      <c r="H18" s="41"/>
      <c r="I18" s="43" t="e">
        <f t="shared" si="1"/>
        <v>#DIV/0!</v>
      </c>
      <c r="J18" s="44">
        <f t="shared" si="2"/>
        <v>0</v>
      </c>
      <c r="K18" s="45" t="str">
        <f t="shared" si="3"/>
        <v/>
      </c>
      <c r="L18" s="46"/>
      <c r="M18" s="47">
        <f t="shared" si="4"/>
        <v>36</v>
      </c>
      <c r="N18" s="48">
        <f t="shared" si="4"/>
        <v>356840</v>
      </c>
      <c r="O18" s="42">
        <f t="shared" si="5"/>
        <v>9011.1111111111113</v>
      </c>
      <c r="P18" s="48">
        <f t="shared" si="6"/>
        <v>78470</v>
      </c>
      <c r="Q18" s="43">
        <f t="shared" si="7"/>
        <v>1981.5555555555557</v>
      </c>
      <c r="R18" s="49">
        <f t="shared" si="8"/>
        <v>435310</v>
      </c>
      <c r="S18" s="45">
        <f t="shared" si="9"/>
        <v>12091.944444444445</v>
      </c>
      <c r="T18" s="62">
        <f t="shared" si="10"/>
        <v>36</v>
      </c>
      <c r="U18" s="48">
        <f t="shared" si="10"/>
        <v>356840</v>
      </c>
      <c r="V18" s="48">
        <f t="shared" si="11"/>
        <v>78470</v>
      </c>
      <c r="W18" s="51">
        <f t="shared" si="12"/>
        <v>435310</v>
      </c>
      <c r="X18" s="48">
        <f t="shared" si="13"/>
        <v>12091.944444444445</v>
      </c>
      <c r="Y18" s="52"/>
      <c r="Z18" s="53">
        <v>42</v>
      </c>
      <c r="AA18" s="41">
        <v>24900</v>
      </c>
      <c r="AB18" s="42">
        <f t="shared" si="14"/>
        <v>592.85714285714289</v>
      </c>
      <c r="AC18" s="41">
        <v>9700</v>
      </c>
      <c r="AD18" s="43">
        <f t="shared" si="15"/>
        <v>230.95238095238096</v>
      </c>
      <c r="AE18" s="54">
        <f t="shared" si="16"/>
        <v>34600</v>
      </c>
      <c r="AF18" s="45">
        <f t="shared" si="17"/>
        <v>823.80952380952385</v>
      </c>
      <c r="AG18" s="62">
        <f t="shared" si="18"/>
        <v>36</v>
      </c>
      <c r="AH18" s="48">
        <f t="shared" si="19"/>
        <v>381740</v>
      </c>
      <c r="AI18" s="48">
        <f t="shared" si="20"/>
        <v>88170</v>
      </c>
      <c r="AJ18" s="55">
        <f t="shared" si="21"/>
        <v>469910</v>
      </c>
      <c r="AK18" s="48">
        <f t="shared" si="22"/>
        <v>25850</v>
      </c>
      <c r="AL18" s="56">
        <v>36</v>
      </c>
      <c r="AM18" s="56">
        <v>356840</v>
      </c>
      <c r="AN18" s="56">
        <v>78470</v>
      </c>
      <c r="AO18" s="57">
        <v>25850</v>
      </c>
      <c r="AP18" s="57">
        <v>0</v>
      </c>
      <c r="AQ18" s="57">
        <v>0</v>
      </c>
      <c r="AR18" s="57">
        <v>0</v>
      </c>
      <c r="AS18" s="58">
        <f t="shared" si="23"/>
        <v>461160</v>
      </c>
      <c r="AT18" s="36">
        <v>14</v>
      </c>
      <c r="AU18" s="59">
        <f t="shared" si="24"/>
        <v>461160</v>
      </c>
    </row>
    <row r="19" spans="1:47" ht="21">
      <c r="A19" s="36"/>
      <c r="B19" s="165">
        <f t="shared" si="25"/>
        <v>45092</v>
      </c>
      <c r="C19" s="61" t="s">
        <v>61</v>
      </c>
      <c r="D19" s="39"/>
      <c r="E19" s="40"/>
      <c r="F19" s="41"/>
      <c r="G19" s="42" t="e">
        <f t="shared" si="0"/>
        <v>#DIV/0!</v>
      </c>
      <c r="H19" s="41"/>
      <c r="I19" s="43" t="e">
        <f t="shared" si="1"/>
        <v>#DIV/0!</v>
      </c>
      <c r="J19" s="44">
        <f t="shared" si="2"/>
        <v>0</v>
      </c>
      <c r="K19" s="45" t="str">
        <f t="shared" si="3"/>
        <v/>
      </c>
      <c r="L19" s="46"/>
      <c r="M19" s="47">
        <f t="shared" si="4"/>
        <v>34</v>
      </c>
      <c r="N19" s="48">
        <f t="shared" si="4"/>
        <v>296780</v>
      </c>
      <c r="O19" s="42">
        <f t="shared" si="5"/>
        <v>7935.2941176470586</v>
      </c>
      <c r="P19" s="48">
        <f t="shared" si="6"/>
        <v>103830</v>
      </c>
      <c r="Q19" s="67">
        <f t="shared" si="7"/>
        <v>2776.1764705882351</v>
      </c>
      <c r="R19" s="49">
        <f t="shared" si="8"/>
        <v>400610</v>
      </c>
      <c r="S19" s="45">
        <f t="shared" si="9"/>
        <v>11782.64705882353</v>
      </c>
      <c r="T19" s="62">
        <f t="shared" si="10"/>
        <v>34</v>
      </c>
      <c r="U19" s="48">
        <f t="shared" si="10"/>
        <v>296780</v>
      </c>
      <c r="V19" s="48">
        <f t="shared" si="11"/>
        <v>103830</v>
      </c>
      <c r="W19" s="51">
        <f t="shared" si="12"/>
        <v>400610</v>
      </c>
      <c r="X19" s="48">
        <f t="shared" si="13"/>
        <v>11782.64705882353</v>
      </c>
      <c r="Y19" s="52"/>
      <c r="Z19" s="53">
        <v>31</v>
      </c>
      <c r="AA19" s="41">
        <v>28050</v>
      </c>
      <c r="AB19" s="42">
        <f t="shared" si="14"/>
        <v>904.83870967741939</v>
      </c>
      <c r="AC19" s="41">
        <v>9950</v>
      </c>
      <c r="AD19" s="43">
        <f t="shared" si="15"/>
        <v>320.96774193548384</v>
      </c>
      <c r="AE19" s="54">
        <f t="shared" si="16"/>
        <v>38000</v>
      </c>
      <c r="AF19" s="45">
        <f t="shared" si="17"/>
        <v>1225.8064516129032</v>
      </c>
      <c r="AG19" s="62">
        <f t="shared" si="18"/>
        <v>34</v>
      </c>
      <c r="AH19" s="48">
        <f t="shared" si="19"/>
        <v>324830</v>
      </c>
      <c r="AI19" s="48">
        <f t="shared" si="20"/>
        <v>113780</v>
      </c>
      <c r="AJ19" s="55">
        <f t="shared" si="21"/>
        <v>438610</v>
      </c>
      <c r="AK19" s="48">
        <f t="shared" si="22"/>
        <v>3850</v>
      </c>
      <c r="AL19" s="56">
        <v>34</v>
      </c>
      <c r="AM19" s="56">
        <v>296780</v>
      </c>
      <c r="AN19" s="56">
        <v>103830</v>
      </c>
      <c r="AO19" s="57">
        <v>3850</v>
      </c>
      <c r="AP19" s="57">
        <v>0</v>
      </c>
      <c r="AQ19" s="57">
        <v>0</v>
      </c>
      <c r="AR19" s="57">
        <v>0</v>
      </c>
      <c r="AS19" s="58">
        <f t="shared" si="23"/>
        <v>404460</v>
      </c>
      <c r="AT19" s="36">
        <v>15</v>
      </c>
      <c r="AU19" s="59">
        <f t="shared" si="24"/>
        <v>404460</v>
      </c>
    </row>
    <row r="20" spans="1:47" ht="21">
      <c r="A20" s="36"/>
      <c r="B20" s="165">
        <f t="shared" si="25"/>
        <v>45093</v>
      </c>
      <c r="C20" s="61" t="s">
        <v>61</v>
      </c>
      <c r="D20" s="39"/>
      <c r="E20" s="40"/>
      <c r="F20" s="41"/>
      <c r="G20" s="42" t="e">
        <f t="shared" si="0"/>
        <v>#DIV/0!</v>
      </c>
      <c r="H20" s="41"/>
      <c r="I20" s="42" t="e">
        <f t="shared" si="1"/>
        <v>#DIV/0!</v>
      </c>
      <c r="J20" s="44">
        <f t="shared" si="2"/>
        <v>0</v>
      </c>
      <c r="K20" s="45" t="str">
        <f t="shared" si="3"/>
        <v/>
      </c>
      <c r="L20" s="46"/>
      <c r="M20" s="47">
        <f t="shared" si="4"/>
        <v>29</v>
      </c>
      <c r="N20" s="48">
        <f t="shared" si="4"/>
        <v>233420</v>
      </c>
      <c r="O20" s="42">
        <f t="shared" si="5"/>
        <v>7317.2413793103451</v>
      </c>
      <c r="P20" s="48">
        <f t="shared" si="6"/>
        <v>86600</v>
      </c>
      <c r="Q20" s="67">
        <f t="shared" si="7"/>
        <v>2714.7241379310344</v>
      </c>
      <c r="R20" s="49">
        <f t="shared" si="8"/>
        <v>320020</v>
      </c>
      <c r="S20" s="45">
        <f t="shared" si="9"/>
        <v>11035.172413793103</v>
      </c>
      <c r="T20" s="62">
        <f t="shared" si="10"/>
        <v>29</v>
      </c>
      <c r="U20" s="48">
        <f t="shared" si="10"/>
        <v>233420</v>
      </c>
      <c r="V20" s="48">
        <f t="shared" si="11"/>
        <v>86600</v>
      </c>
      <c r="W20" s="51">
        <f t="shared" si="12"/>
        <v>320020</v>
      </c>
      <c r="X20" s="48">
        <f t="shared" si="13"/>
        <v>11035.172413793103</v>
      </c>
      <c r="Y20" s="52"/>
      <c r="Z20" s="53">
        <v>112</v>
      </c>
      <c r="AA20" s="41">
        <v>76600</v>
      </c>
      <c r="AB20" s="42">
        <f t="shared" si="14"/>
        <v>683.92857142857144</v>
      </c>
      <c r="AC20" s="41">
        <v>12950</v>
      </c>
      <c r="AD20" s="43">
        <f t="shared" si="15"/>
        <v>115.625</v>
      </c>
      <c r="AE20" s="54">
        <f t="shared" si="16"/>
        <v>89550</v>
      </c>
      <c r="AF20" s="45">
        <f t="shared" si="17"/>
        <v>799.55357142857144</v>
      </c>
      <c r="AG20" s="62">
        <f t="shared" si="18"/>
        <v>29</v>
      </c>
      <c r="AH20" s="56">
        <f t="shared" si="19"/>
        <v>310020</v>
      </c>
      <c r="AI20" s="56">
        <f t="shared" si="20"/>
        <v>99550</v>
      </c>
      <c r="AJ20" s="55">
        <f t="shared" si="21"/>
        <v>409570</v>
      </c>
      <c r="AK20" s="48">
        <f t="shared" si="22"/>
        <v>0</v>
      </c>
      <c r="AL20" s="56">
        <v>29</v>
      </c>
      <c r="AM20" s="56">
        <v>233420</v>
      </c>
      <c r="AN20" s="56">
        <v>86600</v>
      </c>
      <c r="AO20" s="57">
        <v>0</v>
      </c>
      <c r="AP20" s="57">
        <v>0</v>
      </c>
      <c r="AQ20" s="57">
        <v>0</v>
      </c>
      <c r="AR20" s="57">
        <v>0</v>
      </c>
      <c r="AS20" s="58">
        <f t="shared" si="23"/>
        <v>320020</v>
      </c>
      <c r="AT20" s="36">
        <v>16</v>
      </c>
      <c r="AU20" s="59">
        <f t="shared" si="24"/>
        <v>320020</v>
      </c>
    </row>
    <row r="21" spans="1:47" ht="15.75" customHeight="1">
      <c r="A21" s="36"/>
      <c r="B21" s="172">
        <f t="shared" si="25"/>
        <v>45094</v>
      </c>
      <c r="C21" s="61"/>
      <c r="D21" s="39"/>
      <c r="E21" s="40">
        <v>29</v>
      </c>
      <c r="F21" s="41">
        <v>90640</v>
      </c>
      <c r="G21" s="42">
        <f t="shared" si="0"/>
        <v>2841.3793103448274</v>
      </c>
      <c r="H21" s="41">
        <v>15110</v>
      </c>
      <c r="I21" s="42">
        <f t="shared" si="1"/>
        <v>473.65517241379308</v>
      </c>
      <c r="J21" s="44">
        <f t="shared" si="2"/>
        <v>105750</v>
      </c>
      <c r="K21" s="45">
        <f t="shared" si="3"/>
        <v>3646.5517241379312</v>
      </c>
      <c r="L21" s="46"/>
      <c r="M21" s="47">
        <f t="shared" si="4"/>
        <v>37</v>
      </c>
      <c r="N21" s="48">
        <f t="shared" si="4"/>
        <v>342210</v>
      </c>
      <c r="O21" s="42">
        <f t="shared" si="5"/>
        <v>8408.1081081081084</v>
      </c>
      <c r="P21" s="48">
        <f t="shared" si="6"/>
        <v>52280</v>
      </c>
      <c r="Q21" s="67">
        <f t="shared" si="7"/>
        <v>1284.5135135135135</v>
      </c>
      <c r="R21" s="49">
        <f t="shared" si="8"/>
        <v>394490</v>
      </c>
      <c r="S21" s="45">
        <f t="shared" si="9"/>
        <v>10661.891891891892</v>
      </c>
      <c r="T21" s="62">
        <f t="shared" si="10"/>
        <v>66</v>
      </c>
      <c r="U21" s="48">
        <f t="shared" si="10"/>
        <v>432850</v>
      </c>
      <c r="V21" s="48">
        <f t="shared" si="11"/>
        <v>67390</v>
      </c>
      <c r="W21" s="51">
        <f t="shared" si="12"/>
        <v>500240</v>
      </c>
      <c r="X21" s="48">
        <f t="shared" si="13"/>
        <v>7579.393939393939</v>
      </c>
      <c r="Y21" s="52"/>
      <c r="Z21" s="53">
        <v>121</v>
      </c>
      <c r="AA21" s="41">
        <v>80500</v>
      </c>
      <c r="AB21" s="42">
        <f t="shared" si="14"/>
        <v>665.28925619834706</v>
      </c>
      <c r="AC21" s="41">
        <v>24050</v>
      </c>
      <c r="AD21" s="43">
        <f t="shared" si="15"/>
        <v>198.7603305785124</v>
      </c>
      <c r="AE21" s="54">
        <f t="shared" si="16"/>
        <v>104550</v>
      </c>
      <c r="AF21" s="45">
        <f t="shared" si="17"/>
        <v>864.04958677685954</v>
      </c>
      <c r="AG21" s="62">
        <f t="shared" si="18"/>
        <v>66</v>
      </c>
      <c r="AH21" s="56">
        <f t="shared" si="19"/>
        <v>513350</v>
      </c>
      <c r="AI21" s="56">
        <f t="shared" si="20"/>
        <v>91440</v>
      </c>
      <c r="AJ21" s="55">
        <f t="shared" si="21"/>
        <v>604790</v>
      </c>
      <c r="AK21" s="48">
        <f t="shared" si="22"/>
        <v>26950</v>
      </c>
      <c r="AL21" s="56">
        <v>66</v>
      </c>
      <c r="AM21" s="56">
        <v>432850</v>
      </c>
      <c r="AN21" s="56">
        <v>67390</v>
      </c>
      <c r="AO21" s="57">
        <v>26950</v>
      </c>
      <c r="AP21" s="57">
        <v>0</v>
      </c>
      <c r="AQ21" s="57">
        <v>0</v>
      </c>
      <c r="AR21" s="57">
        <v>0</v>
      </c>
      <c r="AS21" s="58">
        <f t="shared" si="23"/>
        <v>527190</v>
      </c>
      <c r="AT21" s="36">
        <v>17</v>
      </c>
      <c r="AU21" s="59">
        <f t="shared" si="24"/>
        <v>527190</v>
      </c>
    </row>
    <row r="22" spans="1:47" ht="15.75" customHeight="1">
      <c r="A22" s="36"/>
      <c r="B22" s="65">
        <f t="shared" si="25"/>
        <v>45095</v>
      </c>
      <c r="C22" s="61"/>
      <c r="D22" s="39"/>
      <c r="E22" s="40">
        <v>29</v>
      </c>
      <c r="F22" s="41">
        <v>112640</v>
      </c>
      <c r="G22" s="42">
        <f t="shared" si="0"/>
        <v>3531.0344827586205</v>
      </c>
      <c r="H22" s="41">
        <v>15770</v>
      </c>
      <c r="I22" s="42">
        <f t="shared" si="1"/>
        <v>494.34482758620692</v>
      </c>
      <c r="J22" s="44">
        <f t="shared" si="2"/>
        <v>128410</v>
      </c>
      <c r="K22" s="45">
        <f t="shared" si="3"/>
        <v>4427.9310344827591</v>
      </c>
      <c r="L22" s="46"/>
      <c r="M22" s="47">
        <f t="shared" si="4"/>
        <v>25</v>
      </c>
      <c r="N22" s="48">
        <f t="shared" si="4"/>
        <v>234300</v>
      </c>
      <c r="O22" s="42">
        <f t="shared" si="5"/>
        <v>8520</v>
      </c>
      <c r="P22" s="48">
        <f t="shared" si="6"/>
        <v>40300</v>
      </c>
      <c r="Q22" s="67">
        <f t="shared" si="7"/>
        <v>1465.44</v>
      </c>
      <c r="R22" s="49">
        <f t="shared" si="8"/>
        <v>274600</v>
      </c>
      <c r="S22" s="45">
        <f t="shared" si="9"/>
        <v>10984</v>
      </c>
      <c r="T22" s="62">
        <f t="shared" si="10"/>
        <v>54</v>
      </c>
      <c r="U22" s="48">
        <f t="shared" si="10"/>
        <v>346940</v>
      </c>
      <c r="V22" s="48">
        <f t="shared" si="11"/>
        <v>56070</v>
      </c>
      <c r="W22" s="51">
        <f t="shared" si="12"/>
        <v>403010</v>
      </c>
      <c r="X22" s="48">
        <f t="shared" si="13"/>
        <v>7463.1481481481478</v>
      </c>
      <c r="Y22" s="52"/>
      <c r="Z22" s="53">
        <v>79</v>
      </c>
      <c r="AA22" s="41">
        <v>43900</v>
      </c>
      <c r="AB22" s="42">
        <f t="shared" si="14"/>
        <v>555.69620253164555</v>
      </c>
      <c r="AC22" s="41">
        <v>25550</v>
      </c>
      <c r="AD22" s="43">
        <f t="shared" si="15"/>
        <v>323.41772151898732</v>
      </c>
      <c r="AE22" s="54">
        <f t="shared" si="16"/>
        <v>69450</v>
      </c>
      <c r="AF22" s="45">
        <f t="shared" si="17"/>
        <v>879.11392405063293</v>
      </c>
      <c r="AG22" s="62">
        <f t="shared" si="18"/>
        <v>54</v>
      </c>
      <c r="AH22" s="56">
        <f t="shared" si="19"/>
        <v>390840</v>
      </c>
      <c r="AI22" s="56">
        <f t="shared" si="20"/>
        <v>81620</v>
      </c>
      <c r="AJ22" s="55">
        <f t="shared" si="21"/>
        <v>472460</v>
      </c>
      <c r="AK22" s="48">
        <f t="shared" si="22"/>
        <v>34100</v>
      </c>
      <c r="AL22" s="56">
        <v>54</v>
      </c>
      <c r="AM22" s="56">
        <v>346940</v>
      </c>
      <c r="AN22" s="56">
        <v>56070</v>
      </c>
      <c r="AO22" s="57">
        <v>34100</v>
      </c>
      <c r="AP22" s="57">
        <v>0</v>
      </c>
      <c r="AQ22" s="57">
        <v>0</v>
      </c>
      <c r="AR22" s="57">
        <v>11000</v>
      </c>
      <c r="AS22" s="58">
        <f t="shared" si="23"/>
        <v>437110</v>
      </c>
      <c r="AT22" s="36">
        <v>18</v>
      </c>
      <c r="AU22" s="59">
        <f t="shared" si="24"/>
        <v>448110</v>
      </c>
    </row>
    <row r="23" spans="1:47" ht="15.75" customHeight="1">
      <c r="A23" s="36"/>
      <c r="B23" s="165">
        <f t="shared" si="25"/>
        <v>45096</v>
      </c>
      <c r="C23" s="61" t="s">
        <v>61</v>
      </c>
      <c r="D23" s="39"/>
      <c r="E23" s="40"/>
      <c r="F23" s="41"/>
      <c r="G23" s="42" t="e">
        <f t="shared" si="0"/>
        <v>#DIV/0!</v>
      </c>
      <c r="H23" s="41"/>
      <c r="I23" s="42" t="e">
        <f t="shared" si="1"/>
        <v>#DIV/0!</v>
      </c>
      <c r="J23" s="44">
        <f t="shared" si="2"/>
        <v>0</v>
      </c>
      <c r="K23" s="45" t="str">
        <f t="shared" si="3"/>
        <v/>
      </c>
      <c r="L23" s="46"/>
      <c r="M23" s="47">
        <f t="shared" si="4"/>
        <v>29</v>
      </c>
      <c r="N23" s="48">
        <f t="shared" si="4"/>
        <v>235840</v>
      </c>
      <c r="O23" s="42">
        <f t="shared" si="5"/>
        <v>7393.1034482758623</v>
      </c>
      <c r="P23" s="48">
        <f t="shared" si="6"/>
        <v>29400</v>
      </c>
      <c r="Q23" s="67">
        <f t="shared" si="7"/>
        <v>921.62068965517244</v>
      </c>
      <c r="R23" s="49">
        <f t="shared" si="8"/>
        <v>265240</v>
      </c>
      <c r="S23" s="45">
        <f t="shared" si="9"/>
        <v>9146.2068965517246</v>
      </c>
      <c r="T23" s="62">
        <f t="shared" si="10"/>
        <v>29</v>
      </c>
      <c r="U23" s="48">
        <f t="shared" si="10"/>
        <v>235840</v>
      </c>
      <c r="V23" s="48">
        <f t="shared" si="11"/>
        <v>29400</v>
      </c>
      <c r="W23" s="51">
        <f t="shared" si="12"/>
        <v>265240</v>
      </c>
      <c r="X23" s="48">
        <f t="shared" si="13"/>
        <v>9146.2068965517246</v>
      </c>
      <c r="Y23" s="52"/>
      <c r="Z23" s="53">
        <v>66</v>
      </c>
      <c r="AA23" s="41">
        <v>36800</v>
      </c>
      <c r="AB23" s="42">
        <f t="shared" si="14"/>
        <v>557.57575757575762</v>
      </c>
      <c r="AC23" s="41">
        <v>21750</v>
      </c>
      <c r="AD23" s="43">
        <f t="shared" si="15"/>
        <v>329.54545454545456</v>
      </c>
      <c r="AE23" s="54">
        <f t="shared" si="16"/>
        <v>58550</v>
      </c>
      <c r="AF23" s="45">
        <f t="shared" si="17"/>
        <v>887.12121212121212</v>
      </c>
      <c r="AG23" s="62">
        <f t="shared" si="18"/>
        <v>29</v>
      </c>
      <c r="AH23" s="56">
        <f t="shared" si="19"/>
        <v>272640</v>
      </c>
      <c r="AI23" s="56">
        <f t="shared" si="20"/>
        <v>51150</v>
      </c>
      <c r="AJ23" s="55">
        <f t="shared" si="21"/>
        <v>323790</v>
      </c>
      <c r="AK23" s="48">
        <f t="shared" si="22"/>
        <v>53750</v>
      </c>
      <c r="AL23" s="56">
        <v>29</v>
      </c>
      <c r="AM23" s="56">
        <v>235840</v>
      </c>
      <c r="AN23" s="56">
        <v>29400</v>
      </c>
      <c r="AO23" s="57">
        <v>12100</v>
      </c>
      <c r="AP23" s="57">
        <v>41650</v>
      </c>
      <c r="AQ23" s="57">
        <v>0</v>
      </c>
      <c r="AR23" s="57">
        <v>0</v>
      </c>
      <c r="AS23" s="58">
        <f t="shared" si="23"/>
        <v>318990</v>
      </c>
      <c r="AT23" s="36">
        <v>19</v>
      </c>
      <c r="AU23" s="59">
        <f t="shared" si="24"/>
        <v>318990</v>
      </c>
    </row>
    <row r="24" spans="1:47" ht="15.75" customHeight="1">
      <c r="A24" s="36"/>
      <c r="B24" s="165">
        <f t="shared" si="25"/>
        <v>45097</v>
      </c>
      <c r="C24" s="61" t="s">
        <v>62</v>
      </c>
      <c r="D24" s="39"/>
      <c r="E24" s="40">
        <v>33</v>
      </c>
      <c r="F24" s="41">
        <v>132000</v>
      </c>
      <c r="G24" s="42">
        <f t="shared" si="0"/>
        <v>3636.3636363636365</v>
      </c>
      <c r="H24" s="41">
        <v>0</v>
      </c>
      <c r="I24" s="42">
        <f t="shared" si="1"/>
        <v>0</v>
      </c>
      <c r="J24" s="44">
        <f t="shared" si="2"/>
        <v>132000</v>
      </c>
      <c r="K24" s="45">
        <f t="shared" si="3"/>
        <v>4000</v>
      </c>
      <c r="L24" s="46"/>
      <c r="M24" s="47">
        <f t="shared" si="4"/>
        <v>28</v>
      </c>
      <c r="N24" s="48">
        <f t="shared" si="4"/>
        <v>268840</v>
      </c>
      <c r="O24" s="42">
        <f t="shared" si="5"/>
        <v>8728.5714285714294</v>
      </c>
      <c r="P24" s="48">
        <f t="shared" si="6"/>
        <v>27810</v>
      </c>
      <c r="Q24" s="67">
        <f t="shared" si="7"/>
        <v>902.89285714285711</v>
      </c>
      <c r="R24" s="49">
        <f t="shared" si="8"/>
        <v>296650</v>
      </c>
      <c r="S24" s="45">
        <f t="shared" si="9"/>
        <v>10594.642857142857</v>
      </c>
      <c r="T24" s="62">
        <f t="shared" si="10"/>
        <v>61</v>
      </c>
      <c r="U24" s="48">
        <f t="shared" si="10"/>
        <v>400840</v>
      </c>
      <c r="V24" s="48">
        <f t="shared" si="11"/>
        <v>27810</v>
      </c>
      <c r="W24" s="51">
        <f t="shared" si="12"/>
        <v>428650</v>
      </c>
      <c r="X24" s="48">
        <f t="shared" si="13"/>
        <v>7027.0491803278692</v>
      </c>
      <c r="Y24" s="52"/>
      <c r="Z24" s="53">
        <v>92</v>
      </c>
      <c r="AA24" s="41">
        <v>60700</v>
      </c>
      <c r="AB24" s="42">
        <f t="shared" si="14"/>
        <v>659.78260869565213</v>
      </c>
      <c r="AC24" s="41">
        <v>14000</v>
      </c>
      <c r="AD24" s="43">
        <f t="shared" si="15"/>
        <v>152.17391304347825</v>
      </c>
      <c r="AE24" s="54">
        <f t="shared" si="16"/>
        <v>74700</v>
      </c>
      <c r="AF24" s="45">
        <f t="shared" si="17"/>
        <v>811.95652173913038</v>
      </c>
      <c r="AG24" s="62">
        <f t="shared" si="18"/>
        <v>61</v>
      </c>
      <c r="AH24" s="56">
        <f t="shared" si="19"/>
        <v>461540</v>
      </c>
      <c r="AI24" s="56">
        <f t="shared" si="20"/>
        <v>41810</v>
      </c>
      <c r="AJ24" s="55">
        <f t="shared" si="21"/>
        <v>503350</v>
      </c>
      <c r="AK24" s="48">
        <f t="shared" si="22"/>
        <v>20900</v>
      </c>
      <c r="AL24" s="56">
        <v>61</v>
      </c>
      <c r="AM24" s="56">
        <v>400840</v>
      </c>
      <c r="AN24" s="56">
        <v>27810</v>
      </c>
      <c r="AO24" s="57">
        <v>20900</v>
      </c>
      <c r="AP24" s="57">
        <v>0</v>
      </c>
      <c r="AQ24" s="57">
        <v>0</v>
      </c>
      <c r="AR24" s="57">
        <v>0</v>
      </c>
      <c r="AS24" s="58">
        <f t="shared" si="23"/>
        <v>449550</v>
      </c>
      <c r="AT24" s="36">
        <v>20</v>
      </c>
      <c r="AU24" s="59">
        <f t="shared" si="24"/>
        <v>449550</v>
      </c>
    </row>
    <row r="25" spans="1:47" ht="15.75" customHeight="1">
      <c r="A25" s="36"/>
      <c r="B25" s="165">
        <f t="shared" si="25"/>
        <v>45098</v>
      </c>
      <c r="C25" s="61" t="s">
        <v>61</v>
      </c>
      <c r="D25" s="39"/>
      <c r="E25" s="40"/>
      <c r="F25" s="41"/>
      <c r="G25" s="42" t="e">
        <f t="shared" si="0"/>
        <v>#DIV/0!</v>
      </c>
      <c r="H25" s="41"/>
      <c r="I25" s="42" t="e">
        <f t="shared" si="1"/>
        <v>#DIV/0!</v>
      </c>
      <c r="J25" s="44">
        <f t="shared" si="2"/>
        <v>0</v>
      </c>
      <c r="K25" s="45" t="str">
        <f t="shared" si="3"/>
        <v/>
      </c>
      <c r="L25" s="46"/>
      <c r="M25" s="47">
        <f t="shared" si="4"/>
        <v>35</v>
      </c>
      <c r="N25" s="48">
        <f t="shared" si="4"/>
        <v>380160</v>
      </c>
      <c r="O25" s="42">
        <f t="shared" si="5"/>
        <v>9874.2857142857138</v>
      </c>
      <c r="P25" s="48">
        <f t="shared" si="6"/>
        <v>58080</v>
      </c>
      <c r="Q25" s="67">
        <f t="shared" si="7"/>
        <v>1508.5714285714287</v>
      </c>
      <c r="R25" s="49">
        <f t="shared" si="8"/>
        <v>438240</v>
      </c>
      <c r="S25" s="45">
        <f t="shared" si="9"/>
        <v>12521.142857142857</v>
      </c>
      <c r="T25" s="62">
        <f t="shared" si="10"/>
        <v>35</v>
      </c>
      <c r="U25" s="48">
        <f t="shared" si="10"/>
        <v>380160</v>
      </c>
      <c r="V25" s="48">
        <f t="shared" si="11"/>
        <v>58080</v>
      </c>
      <c r="W25" s="51">
        <f t="shared" si="12"/>
        <v>438240</v>
      </c>
      <c r="X25" s="48">
        <f t="shared" si="13"/>
        <v>12521.142857142857</v>
      </c>
      <c r="Y25" s="52"/>
      <c r="Z25" s="53">
        <v>82</v>
      </c>
      <c r="AA25" s="41">
        <v>53600</v>
      </c>
      <c r="AB25" s="42">
        <f t="shared" si="14"/>
        <v>653.65853658536582</v>
      </c>
      <c r="AC25" s="41">
        <v>19400</v>
      </c>
      <c r="AD25" s="43">
        <f t="shared" si="15"/>
        <v>236.58536585365854</v>
      </c>
      <c r="AE25" s="54">
        <f t="shared" si="16"/>
        <v>73000</v>
      </c>
      <c r="AF25" s="45">
        <f t="shared" si="17"/>
        <v>890.2439024390244</v>
      </c>
      <c r="AG25" s="62">
        <f t="shared" si="18"/>
        <v>35</v>
      </c>
      <c r="AH25" s="56">
        <f t="shared" si="19"/>
        <v>433760</v>
      </c>
      <c r="AI25" s="56">
        <f t="shared" si="20"/>
        <v>77480</v>
      </c>
      <c r="AJ25" s="55">
        <f t="shared" si="21"/>
        <v>511240</v>
      </c>
      <c r="AK25" s="48">
        <f t="shared" si="22"/>
        <v>19250</v>
      </c>
      <c r="AL25" s="56">
        <v>35</v>
      </c>
      <c r="AM25" s="56">
        <v>380160</v>
      </c>
      <c r="AN25" s="56">
        <v>58080</v>
      </c>
      <c r="AO25" s="57">
        <v>19250</v>
      </c>
      <c r="AP25" s="57">
        <v>0</v>
      </c>
      <c r="AQ25" s="57">
        <v>0</v>
      </c>
      <c r="AR25" s="57">
        <v>0</v>
      </c>
      <c r="AS25" s="58">
        <f t="shared" si="23"/>
        <v>457490</v>
      </c>
      <c r="AT25" s="36">
        <v>21</v>
      </c>
      <c r="AU25" s="59">
        <f t="shared" si="24"/>
        <v>457490</v>
      </c>
    </row>
    <row r="26" spans="1:47" ht="15.75" customHeight="1">
      <c r="A26" s="36"/>
      <c r="B26" s="165">
        <f t="shared" si="25"/>
        <v>45099</v>
      </c>
      <c r="C26" s="61" t="s">
        <v>61</v>
      </c>
      <c r="D26" s="39"/>
      <c r="E26" s="40"/>
      <c r="F26" s="41"/>
      <c r="G26" s="42" t="e">
        <f t="shared" si="0"/>
        <v>#DIV/0!</v>
      </c>
      <c r="H26" s="41"/>
      <c r="I26" s="42" t="e">
        <f t="shared" si="1"/>
        <v>#DIV/0!</v>
      </c>
      <c r="J26" s="44">
        <f t="shared" si="2"/>
        <v>0</v>
      </c>
      <c r="K26" s="45" t="str">
        <f t="shared" si="3"/>
        <v/>
      </c>
      <c r="L26" s="46"/>
      <c r="M26" s="47">
        <f t="shared" si="4"/>
        <v>35</v>
      </c>
      <c r="N26" s="48">
        <f t="shared" si="4"/>
        <v>313280</v>
      </c>
      <c r="O26" s="42">
        <f t="shared" si="5"/>
        <v>8137.1428571428569</v>
      </c>
      <c r="P26" s="48">
        <f t="shared" si="6"/>
        <v>41650</v>
      </c>
      <c r="Q26" s="67">
        <f t="shared" si="7"/>
        <v>1081.8</v>
      </c>
      <c r="R26" s="49">
        <f t="shared" si="8"/>
        <v>354930</v>
      </c>
      <c r="S26" s="45">
        <f t="shared" si="9"/>
        <v>10140.857142857143</v>
      </c>
      <c r="T26" s="62">
        <f t="shared" si="10"/>
        <v>35</v>
      </c>
      <c r="U26" s="48">
        <f t="shared" si="10"/>
        <v>313280</v>
      </c>
      <c r="V26" s="48">
        <f t="shared" si="11"/>
        <v>41650</v>
      </c>
      <c r="W26" s="51">
        <f t="shared" si="12"/>
        <v>354930</v>
      </c>
      <c r="X26" s="48">
        <f t="shared" si="13"/>
        <v>10140.857142857143</v>
      </c>
      <c r="Y26" s="52"/>
      <c r="Z26" s="53">
        <v>61</v>
      </c>
      <c r="AA26" s="41">
        <v>31700</v>
      </c>
      <c r="AB26" s="42">
        <f t="shared" si="14"/>
        <v>519.67213114754099</v>
      </c>
      <c r="AC26" s="41">
        <v>16900</v>
      </c>
      <c r="AD26" s="43">
        <f t="shared" si="15"/>
        <v>277.04918032786884</v>
      </c>
      <c r="AE26" s="54">
        <f t="shared" si="16"/>
        <v>48600</v>
      </c>
      <c r="AF26" s="45">
        <f t="shared" si="17"/>
        <v>796.72131147540983</v>
      </c>
      <c r="AG26" s="62">
        <f t="shared" si="18"/>
        <v>35</v>
      </c>
      <c r="AH26" s="56">
        <f t="shared" si="19"/>
        <v>344980</v>
      </c>
      <c r="AI26" s="56">
        <f t="shared" si="20"/>
        <v>58550</v>
      </c>
      <c r="AJ26" s="55">
        <f t="shared" si="21"/>
        <v>403530</v>
      </c>
      <c r="AK26" s="48">
        <f t="shared" si="22"/>
        <v>28380</v>
      </c>
      <c r="AL26" s="56">
        <v>35</v>
      </c>
      <c r="AM26" s="56">
        <v>313280</v>
      </c>
      <c r="AN26" s="56">
        <v>41650</v>
      </c>
      <c r="AO26" s="57">
        <v>26400</v>
      </c>
      <c r="AP26" s="57">
        <v>1980</v>
      </c>
      <c r="AQ26" s="57">
        <v>0</v>
      </c>
      <c r="AR26" s="57">
        <v>0</v>
      </c>
      <c r="AS26" s="58">
        <f t="shared" si="23"/>
        <v>383310</v>
      </c>
      <c r="AT26" s="36">
        <v>22</v>
      </c>
      <c r="AU26" s="59">
        <f t="shared" si="24"/>
        <v>383310</v>
      </c>
    </row>
    <row r="27" spans="1:47" ht="15.75" customHeight="1">
      <c r="A27" s="36"/>
      <c r="B27" s="165">
        <f t="shared" si="25"/>
        <v>45100</v>
      </c>
      <c r="C27" s="61" t="s">
        <v>61</v>
      </c>
      <c r="D27" s="39"/>
      <c r="E27" s="40"/>
      <c r="F27" s="41"/>
      <c r="G27" s="42" t="e">
        <f t="shared" si="0"/>
        <v>#DIV/0!</v>
      </c>
      <c r="H27" s="41"/>
      <c r="I27" s="42" t="e">
        <f t="shared" si="1"/>
        <v>#DIV/0!</v>
      </c>
      <c r="J27" s="44">
        <f t="shared" si="2"/>
        <v>0</v>
      </c>
      <c r="K27" s="45" t="str">
        <f t="shared" si="3"/>
        <v/>
      </c>
      <c r="L27" s="46"/>
      <c r="M27" s="47">
        <f t="shared" si="4"/>
        <v>29</v>
      </c>
      <c r="N27" s="48">
        <f t="shared" si="4"/>
        <v>324390</v>
      </c>
      <c r="O27" s="42">
        <f t="shared" si="5"/>
        <v>10168.965517241379</v>
      </c>
      <c r="P27" s="48">
        <f t="shared" si="6"/>
        <v>47640</v>
      </c>
      <c r="Q27" s="43">
        <f t="shared" si="7"/>
        <v>1493.4137931034484</v>
      </c>
      <c r="R27" s="49">
        <f t="shared" si="8"/>
        <v>372030</v>
      </c>
      <c r="S27" s="45">
        <f t="shared" si="9"/>
        <v>12828.620689655172</v>
      </c>
      <c r="T27" s="62">
        <f t="shared" si="10"/>
        <v>29</v>
      </c>
      <c r="U27" s="48">
        <f t="shared" si="10"/>
        <v>324390</v>
      </c>
      <c r="V27" s="48">
        <f t="shared" si="11"/>
        <v>47640</v>
      </c>
      <c r="W27" s="51">
        <f t="shared" si="12"/>
        <v>372030</v>
      </c>
      <c r="X27" s="48">
        <f t="shared" si="13"/>
        <v>12828.620689655172</v>
      </c>
      <c r="Y27" s="52"/>
      <c r="Z27" s="53">
        <v>52</v>
      </c>
      <c r="AA27" s="41">
        <v>29950</v>
      </c>
      <c r="AB27" s="42">
        <f t="shared" si="14"/>
        <v>575.96153846153845</v>
      </c>
      <c r="AC27" s="41">
        <v>14250</v>
      </c>
      <c r="AD27" s="43">
        <f t="shared" si="15"/>
        <v>274.03846153846155</v>
      </c>
      <c r="AE27" s="54">
        <f t="shared" si="16"/>
        <v>44200</v>
      </c>
      <c r="AF27" s="45">
        <f t="shared" si="17"/>
        <v>850</v>
      </c>
      <c r="AG27" s="62">
        <f t="shared" si="18"/>
        <v>29</v>
      </c>
      <c r="AH27" s="56">
        <f t="shared" si="19"/>
        <v>354340</v>
      </c>
      <c r="AI27" s="56">
        <f t="shared" si="20"/>
        <v>61890</v>
      </c>
      <c r="AJ27" s="55">
        <f t="shared" si="21"/>
        <v>416230</v>
      </c>
      <c r="AK27" s="48">
        <f t="shared" si="22"/>
        <v>17490</v>
      </c>
      <c r="AL27" s="56">
        <v>29</v>
      </c>
      <c r="AM27" s="56">
        <v>324390</v>
      </c>
      <c r="AN27" s="56">
        <v>47640</v>
      </c>
      <c r="AO27" s="57">
        <v>14300</v>
      </c>
      <c r="AP27" s="57">
        <v>3190</v>
      </c>
      <c r="AQ27" s="57">
        <v>0</v>
      </c>
      <c r="AR27" s="57">
        <v>0</v>
      </c>
      <c r="AS27" s="58">
        <f t="shared" si="23"/>
        <v>389520</v>
      </c>
      <c r="AT27" s="36">
        <v>23</v>
      </c>
      <c r="AU27" s="59">
        <f t="shared" si="24"/>
        <v>389520</v>
      </c>
    </row>
    <row r="28" spans="1:47" ht="15.75" customHeight="1">
      <c r="A28" s="36"/>
      <c r="B28" s="172">
        <f t="shared" si="25"/>
        <v>45101</v>
      </c>
      <c r="C28" s="61"/>
      <c r="D28" s="39"/>
      <c r="E28" s="40">
        <v>30</v>
      </c>
      <c r="F28" s="41">
        <v>85140</v>
      </c>
      <c r="G28" s="42">
        <f t="shared" si="0"/>
        <v>2580</v>
      </c>
      <c r="H28" s="41">
        <v>23610</v>
      </c>
      <c r="I28" s="42">
        <f t="shared" si="1"/>
        <v>715.43333333333328</v>
      </c>
      <c r="J28" s="44">
        <f t="shared" si="2"/>
        <v>108750</v>
      </c>
      <c r="K28" s="45">
        <f t="shared" si="3"/>
        <v>3625</v>
      </c>
      <c r="L28" s="46"/>
      <c r="M28" s="47">
        <f t="shared" si="4"/>
        <v>45</v>
      </c>
      <c r="N28" s="48">
        <f t="shared" si="4"/>
        <v>491370</v>
      </c>
      <c r="O28" s="42">
        <f t="shared" si="5"/>
        <v>9926.6666666666661</v>
      </c>
      <c r="P28" s="48">
        <f t="shared" si="6"/>
        <v>76490</v>
      </c>
      <c r="Q28" s="43">
        <f t="shared" si="7"/>
        <v>1545.2444444444445</v>
      </c>
      <c r="R28" s="49">
        <f t="shared" si="8"/>
        <v>567860</v>
      </c>
      <c r="S28" s="45">
        <f t="shared" si="9"/>
        <v>12619.111111111111</v>
      </c>
      <c r="T28" s="62">
        <f t="shared" si="10"/>
        <v>75</v>
      </c>
      <c r="U28" s="48">
        <f t="shared" si="10"/>
        <v>576510</v>
      </c>
      <c r="V28" s="48">
        <f t="shared" si="11"/>
        <v>100100</v>
      </c>
      <c r="W28" s="51">
        <f t="shared" si="12"/>
        <v>676610</v>
      </c>
      <c r="X28" s="48">
        <f t="shared" si="13"/>
        <v>9021.4666666666672</v>
      </c>
      <c r="Y28" s="52"/>
      <c r="Z28" s="53">
        <v>126</v>
      </c>
      <c r="AA28" s="41">
        <v>85200</v>
      </c>
      <c r="AB28" s="42">
        <f t="shared" si="14"/>
        <v>676.19047619047615</v>
      </c>
      <c r="AC28" s="41">
        <v>15250</v>
      </c>
      <c r="AD28" s="43">
        <f t="shared" si="15"/>
        <v>121.03174603174604</v>
      </c>
      <c r="AE28" s="54">
        <f t="shared" si="16"/>
        <v>100450</v>
      </c>
      <c r="AF28" s="45">
        <f t="shared" si="17"/>
        <v>797.22222222222217</v>
      </c>
      <c r="AG28" s="62">
        <f t="shared" si="18"/>
        <v>75</v>
      </c>
      <c r="AH28" s="56">
        <f t="shared" si="19"/>
        <v>661710</v>
      </c>
      <c r="AI28" s="56">
        <f t="shared" si="20"/>
        <v>115350</v>
      </c>
      <c r="AJ28" s="55">
        <f t="shared" si="21"/>
        <v>777060</v>
      </c>
      <c r="AK28" s="48">
        <f t="shared" si="22"/>
        <v>25850</v>
      </c>
      <c r="AL28" s="56">
        <v>75</v>
      </c>
      <c r="AM28" s="56">
        <v>576510</v>
      </c>
      <c r="AN28" s="56">
        <v>100100</v>
      </c>
      <c r="AO28" s="57">
        <v>25850</v>
      </c>
      <c r="AP28" s="57">
        <v>0</v>
      </c>
      <c r="AQ28" s="57">
        <v>0</v>
      </c>
      <c r="AR28" s="57">
        <v>12650</v>
      </c>
      <c r="AS28" s="58">
        <f t="shared" si="23"/>
        <v>702460</v>
      </c>
      <c r="AT28" s="36">
        <v>24</v>
      </c>
      <c r="AU28" s="59">
        <f t="shared" si="24"/>
        <v>715110</v>
      </c>
    </row>
    <row r="29" spans="1:47" ht="15.75" customHeight="1">
      <c r="A29" s="36"/>
      <c r="B29" s="65">
        <f t="shared" si="25"/>
        <v>45102</v>
      </c>
      <c r="C29" s="61"/>
      <c r="D29" s="39"/>
      <c r="E29" s="40">
        <v>29</v>
      </c>
      <c r="F29" s="41">
        <v>107800</v>
      </c>
      <c r="G29" s="42">
        <f t="shared" si="0"/>
        <v>3379.3103448275861</v>
      </c>
      <c r="H29" s="41">
        <v>29240</v>
      </c>
      <c r="I29" s="42">
        <f t="shared" si="1"/>
        <v>916.58620689655174</v>
      </c>
      <c r="J29" s="44">
        <f t="shared" si="2"/>
        <v>137040</v>
      </c>
      <c r="K29" s="45">
        <f t="shared" si="3"/>
        <v>4725.5172413793107</v>
      </c>
      <c r="L29" s="46"/>
      <c r="M29" s="47">
        <f t="shared" si="4"/>
        <v>38</v>
      </c>
      <c r="N29" s="48">
        <f t="shared" si="4"/>
        <v>358870</v>
      </c>
      <c r="O29" s="42">
        <f t="shared" si="5"/>
        <v>8585.394736842105</v>
      </c>
      <c r="P29" s="48">
        <f t="shared" si="6"/>
        <v>63040</v>
      </c>
      <c r="Q29" s="43">
        <f t="shared" si="7"/>
        <v>1508.1315789473683</v>
      </c>
      <c r="R29" s="49">
        <f t="shared" si="8"/>
        <v>421910</v>
      </c>
      <c r="S29" s="45">
        <f t="shared" si="9"/>
        <v>11102.894736842105</v>
      </c>
      <c r="T29" s="62">
        <f t="shared" si="10"/>
        <v>67</v>
      </c>
      <c r="U29" s="48">
        <f t="shared" si="10"/>
        <v>466670</v>
      </c>
      <c r="V29" s="48">
        <f t="shared" si="11"/>
        <v>92280</v>
      </c>
      <c r="W29" s="51">
        <f t="shared" si="12"/>
        <v>558950</v>
      </c>
      <c r="X29" s="48">
        <f t="shared" si="13"/>
        <v>8342.5373134328365</v>
      </c>
      <c r="Y29" s="52"/>
      <c r="Z29" s="53">
        <v>166</v>
      </c>
      <c r="AA29" s="41">
        <v>122550</v>
      </c>
      <c r="AB29" s="42">
        <f t="shared" si="14"/>
        <v>738.25301204819277</v>
      </c>
      <c r="AC29" s="41">
        <v>28500</v>
      </c>
      <c r="AD29" s="43">
        <f t="shared" si="15"/>
        <v>171.68674698795181</v>
      </c>
      <c r="AE29" s="54">
        <f t="shared" si="16"/>
        <v>151050</v>
      </c>
      <c r="AF29" s="45">
        <f t="shared" si="17"/>
        <v>909.93975903614455</v>
      </c>
      <c r="AG29" s="62">
        <f t="shared" si="18"/>
        <v>67</v>
      </c>
      <c r="AH29" s="56">
        <f t="shared" si="19"/>
        <v>589220</v>
      </c>
      <c r="AI29" s="56">
        <f t="shared" si="20"/>
        <v>120780</v>
      </c>
      <c r="AJ29" s="55">
        <f t="shared" si="21"/>
        <v>710000</v>
      </c>
      <c r="AK29" s="48">
        <f t="shared" si="22"/>
        <v>32120</v>
      </c>
      <c r="AL29" s="56">
        <v>67</v>
      </c>
      <c r="AM29" s="56">
        <v>466670</v>
      </c>
      <c r="AN29" s="56">
        <v>92280</v>
      </c>
      <c r="AO29" s="57">
        <v>26950</v>
      </c>
      <c r="AP29" s="57">
        <v>5170</v>
      </c>
      <c r="AQ29" s="57">
        <v>0</v>
      </c>
      <c r="AR29" s="57">
        <v>0</v>
      </c>
      <c r="AS29" s="58">
        <f t="shared" si="23"/>
        <v>591070</v>
      </c>
      <c r="AT29" s="36">
        <v>25</v>
      </c>
      <c r="AU29" s="59">
        <f t="shared" si="24"/>
        <v>591070</v>
      </c>
    </row>
    <row r="30" spans="1:47" ht="15.75" customHeight="1">
      <c r="A30" s="36"/>
      <c r="B30" s="165">
        <f t="shared" si="25"/>
        <v>45103</v>
      </c>
      <c r="C30" s="61" t="s">
        <v>61</v>
      </c>
      <c r="D30" s="39"/>
      <c r="E30" s="40"/>
      <c r="F30" s="41"/>
      <c r="G30" s="42" t="e">
        <f t="shared" si="0"/>
        <v>#DIV/0!</v>
      </c>
      <c r="H30" s="41"/>
      <c r="I30" s="42" t="e">
        <f t="shared" si="1"/>
        <v>#DIV/0!</v>
      </c>
      <c r="J30" s="44">
        <f t="shared" si="2"/>
        <v>0</v>
      </c>
      <c r="K30" s="45" t="str">
        <f t="shared" si="3"/>
        <v/>
      </c>
      <c r="L30" s="46"/>
      <c r="M30" s="47">
        <f t="shared" si="4"/>
        <v>34</v>
      </c>
      <c r="N30" s="48">
        <f t="shared" si="4"/>
        <v>339570</v>
      </c>
      <c r="O30" s="42">
        <f t="shared" si="5"/>
        <v>9079.4117647058829</v>
      </c>
      <c r="P30" s="48">
        <f t="shared" si="6"/>
        <v>43320</v>
      </c>
      <c r="Q30" s="42">
        <f t="shared" si="7"/>
        <v>1158.2647058823529</v>
      </c>
      <c r="R30" s="49">
        <f t="shared" si="8"/>
        <v>382890</v>
      </c>
      <c r="S30" s="45">
        <f t="shared" si="9"/>
        <v>11261.470588235294</v>
      </c>
      <c r="T30" s="62">
        <f t="shared" si="10"/>
        <v>34</v>
      </c>
      <c r="U30" s="48">
        <f t="shared" si="10"/>
        <v>339570</v>
      </c>
      <c r="V30" s="48">
        <f t="shared" si="11"/>
        <v>43320</v>
      </c>
      <c r="W30" s="51">
        <f t="shared" si="12"/>
        <v>382890</v>
      </c>
      <c r="X30" s="48">
        <f t="shared" si="13"/>
        <v>11261.470588235294</v>
      </c>
      <c r="Y30" s="52"/>
      <c r="Z30" s="53">
        <v>84</v>
      </c>
      <c r="AA30" s="41">
        <v>55600</v>
      </c>
      <c r="AB30" s="42">
        <f t="shared" si="14"/>
        <v>661.90476190476193</v>
      </c>
      <c r="AC30" s="41">
        <v>18900</v>
      </c>
      <c r="AD30" s="43">
        <f t="shared" si="15"/>
        <v>225</v>
      </c>
      <c r="AE30" s="54">
        <f t="shared" si="16"/>
        <v>74500</v>
      </c>
      <c r="AF30" s="45">
        <f t="shared" si="17"/>
        <v>886.90476190476193</v>
      </c>
      <c r="AG30" s="62">
        <f t="shared" si="18"/>
        <v>34</v>
      </c>
      <c r="AH30" s="56">
        <f t="shared" si="19"/>
        <v>395170</v>
      </c>
      <c r="AI30" s="56">
        <f t="shared" si="20"/>
        <v>62220</v>
      </c>
      <c r="AJ30" s="55">
        <f t="shared" si="21"/>
        <v>457390</v>
      </c>
      <c r="AK30" s="48">
        <f t="shared" si="22"/>
        <v>23100</v>
      </c>
      <c r="AL30" s="56">
        <v>34</v>
      </c>
      <c r="AM30" s="56">
        <v>339570</v>
      </c>
      <c r="AN30" s="56">
        <v>43320</v>
      </c>
      <c r="AO30" s="57">
        <v>23100</v>
      </c>
      <c r="AP30" s="57">
        <v>0</v>
      </c>
      <c r="AQ30" s="57">
        <v>0</v>
      </c>
      <c r="AR30" s="57">
        <v>0</v>
      </c>
      <c r="AS30" s="58">
        <f t="shared" si="23"/>
        <v>405990</v>
      </c>
      <c r="AT30" s="36">
        <v>26</v>
      </c>
      <c r="AU30" s="59">
        <f t="shared" si="24"/>
        <v>405990</v>
      </c>
    </row>
    <row r="31" spans="1:47" ht="15.75" customHeight="1">
      <c r="A31" s="36"/>
      <c r="B31" s="165">
        <f t="shared" si="25"/>
        <v>45104</v>
      </c>
      <c r="C31" s="61" t="s">
        <v>61</v>
      </c>
      <c r="D31" s="39"/>
      <c r="E31" s="40"/>
      <c r="F31" s="41"/>
      <c r="G31" s="42" t="e">
        <f t="shared" si="0"/>
        <v>#DIV/0!</v>
      </c>
      <c r="H31" s="41"/>
      <c r="I31" s="42" t="e">
        <f t="shared" si="1"/>
        <v>#DIV/0!</v>
      </c>
      <c r="J31" s="44">
        <f t="shared" si="2"/>
        <v>0</v>
      </c>
      <c r="K31" s="45" t="str">
        <f t="shared" si="3"/>
        <v/>
      </c>
      <c r="L31" s="46"/>
      <c r="M31" s="47">
        <f t="shared" si="4"/>
        <v>31</v>
      </c>
      <c r="N31" s="48">
        <f t="shared" si="4"/>
        <v>298320</v>
      </c>
      <c r="O31" s="42">
        <f t="shared" si="5"/>
        <v>8748.3870967741932</v>
      </c>
      <c r="P31" s="48">
        <f t="shared" si="6"/>
        <v>34620</v>
      </c>
      <c r="Q31" s="42">
        <f t="shared" si="7"/>
        <v>1015.2258064516129</v>
      </c>
      <c r="R31" s="49">
        <f t="shared" si="8"/>
        <v>332940</v>
      </c>
      <c r="S31" s="45">
        <f t="shared" si="9"/>
        <v>10740</v>
      </c>
      <c r="T31" s="62">
        <f t="shared" si="10"/>
        <v>31</v>
      </c>
      <c r="U31" s="48">
        <f t="shared" si="10"/>
        <v>298320</v>
      </c>
      <c r="V31" s="48">
        <f t="shared" si="11"/>
        <v>34620</v>
      </c>
      <c r="W31" s="51">
        <f t="shared" si="12"/>
        <v>332940</v>
      </c>
      <c r="X31" s="48">
        <f t="shared" si="13"/>
        <v>10740</v>
      </c>
      <c r="Y31" s="52"/>
      <c r="Z31" s="53">
        <v>76</v>
      </c>
      <c r="AA31" s="41">
        <v>55200</v>
      </c>
      <c r="AB31" s="42">
        <f t="shared" si="14"/>
        <v>726.31578947368416</v>
      </c>
      <c r="AC31" s="41">
        <v>21650</v>
      </c>
      <c r="AD31" s="43">
        <f t="shared" si="15"/>
        <v>284.86842105263156</v>
      </c>
      <c r="AE31" s="54">
        <f t="shared" si="16"/>
        <v>76850</v>
      </c>
      <c r="AF31" s="45">
        <f t="shared" si="17"/>
        <v>1011.1842105263158</v>
      </c>
      <c r="AG31" s="62">
        <f t="shared" si="18"/>
        <v>31</v>
      </c>
      <c r="AH31" s="56">
        <f t="shared" si="19"/>
        <v>353520</v>
      </c>
      <c r="AI31" s="56">
        <f t="shared" si="20"/>
        <v>56270</v>
      </c>
      <c r="AJ31" s="55">
        <f t="shared" si="21"/>
        <v>409790</v>
      </c>
      <c r="AK31" s="48">
        <f t="shared" si="22"/>
        <v>88410</v>
      </c>
      <c r="AL31" s="56">
        <v>31</v>
      </c>
      <c r="AM31" s="56">
        <v>298320</v>
      </c>
      <c r="AN31" s="56">
        <v>34620</v>
      </c>
      <c r="AO31" s="57">
        <v>24200</v>
      </c>
      <c r="AP31" s="57">
        <v>64210</v>
      </c>
      <c r="AQ31" s="57">
        <v>0</v>
      </c>
      <c r="AR31" s="57">
        <v>0</v>
      </c>
      <c r="AS31" s="58">
        <f t="shared" si="23"/>
        <v>421350</v>
      </c>
      <c r="AT31" s="36">
        <v>27</v>
      </c>
      <c r="AU31" s="59">
        <f t="shared" si="24"/>
        <v>421350</v>
      </c>
    </row>
    <row r="32" spans="1:47" ht="15.75" customHeight="1">
      <c r="A32" s="36"/>
      <c r="B32" s="165">
        <f t="shared" si="25"/>
        <v>45105</v>
      </c>
      <c r="C32" s="61" t="s">
        <v>61</v>
      </c>
      <c r="D32" s="39"/>
      <c r="E32" s="40"/>
      <c r="F32" s="41"/>
      <c r="G32" s="42" t="e">
        <f t="shared" si="0"/>
        <v>#DIV/0!</v>
      </c>
      <c r="H32" s="41"/>
      <c r="I32" s="42" t="e">
        <f t="shared" si="1"/>
        <v>#DIV/0!</v>
      </c>
      <c r="J32" s="44">
        <f t="shared" si="2"/>
        <v>0</v>
      </c>
      <c r="K32" s="45" t="str">
        <f t="shared" si="3"/>
        <v/>
      </c>
      <c r="L32" s="46"/>
      <c r="M32" s="47">
        <f t="shared" si="4"/>
        <v>40</v>
      </c>
      <c r="N32" s="48">
        <f t="shared" si="4"/>
        <v>325600</v>
      </c>
      <c r="O32" s="42">
        <f t="shared" si="5"/>
        <v>7400</v>
      </c>
      <c r="P32" s="48">
        <f t="shared" si="6"/>
        <v>52220</v>
      </c>
      <c r="Q32" s="42">
        <f t="shared" si="7"/>
        <v>1186.8</v>
      </c>
      <c r="R32" s="49">
        <f t="shared" si="8"/>
        <v>377820</v>
      </c>
      <c r="S32" s="45">
        <f t="shared" si="9"/>
        <v>9445.5</v>
      </c>
      <c r="T32" s="62">
        <f t="shared" si="10"/>
        <v>40</v>
      </c>
      <c r="U32" s="48">
        <f t="shared" si="10"/>
        <v>325600</v>
      </c>
      <c r="V32" s="48">
        <f t="shared" si="11"/>
        <v>52220</v>
      </c>
      <c r="W32" s="51">
        <f t="shared" si="12"/>
        <v>377820</v>
      </c>
      <c r="X32" s="48">
        <f t="shared" si="13"/>
        <v>9445.5</v>
      </c>
      <c r="Y32" s="52"/>
      <c r="Z32" s="53">
        <v>51</v>
      </c>
      <c r="AA32" s="41">
        <v>35650</v>
      </c>
      <c r="AB32" s="42">
        <f t="shared" si="14"/>
        <v>699.01960784313724</v>
      </c>
      <c r="AC32" s="41">
        <v>17100</v>
      </c>
      <c r="AD32" s="43">
        <f t="shared" si="15"/>
        <v>335.29411764705884</v>
      </c>
      <c r="AE32" s="54">
        <f t="shared" si="16"/>
        <v>52750</v>
      </c>
      <c r="AF32" s="45">
        <f t="shared" si="17"/>
        <v>1034.313725490196</v>
      </c>
      <c r="AG32" s="62">
        <f t="shared" si="18"/>
        <v>40</v>
      </c>
      <c r="AH32" s="56">
        <f t="shared" si="19"/>
        <v>361250</v>
      </c>
      <c r="AI32" s="56">
        <f t="shared" si="20"/>
        <v>69320</v>
      </c>
      <c r="AJ32" s="55">
        <f t="shared" si="21"/>
        <v>430570</v>
      </c>
      <c r="AK32" s="48">
        <f t="shared" si="22"/>
        <v>24310</v>
      </c>
      <c r="AL32" s="56">
        <v>40</v>
      </c>
      <c r="AM32" s="56">
        <v>325600</v>
      </c>
      <c r="AN32" s="56">
        <v>52220</v>
      </c>
      <c r="AO32" s="57">
        <v>23100</v>
      </c>
      <c r="AP32" s="57">
        <v>1210</v>
      </c>
      <c r="AQ32" s="57">
        <v>0</v>
      </c>
      <c r="AR32" s="57">
        <v>0</v>
      </c>
      <c r="AS32" s="58">
        <f t="shared" si="23"/>
        <v>402130</v>
      </c>
      <c r="AT32" s="36">
        <v>28</v>
      </c>
      <c r="AU32" s="59">
        <f t="shared" si="24"/>
        <v>402130</v>
      </c>
    </row>
    <row r="33" spans="1:47" ht="15.75" customHeight="1">
      <c r="A33" s="36"/>
      <c r="B33" s="165">
        <f t="shared" si="25"/>
        <v>45106</v>
      </c>
      <c r="C33" s="61" t="s">
        <v>61</v>
      </c>
      <c r="D33" s="39"/>
      <c r="E33" s="40"/>
      <c r="F33" s="41"/>
      <c r="G33" s="42" t="e">
        <f t="shared" si="0"/>
        <v>#DIV/0!</v>
      </c>
      <c r="H33" s="41"/>
      <c r="I33" s="42" t="e">
        <f t="shared" si="1"/>
        <v>#DIV/0!</v>
      </c>
      <c r="J33" s="44">
        <f t="shared" si="2"/>
        <v>0</v>
      </c>
      <c r="K33" s="45" t="str">
        <f t="shared" si="3"/>
        <v/>
      </c>
      <c r="L33" s="46"/>
      <c r="M33" s="47">
        <f t="shared" si="4"/>
        <v>23</v>
      </c>
      <c r="N33" s="48">
        <f t="shared" si="4"/>
        <v>265650</v>
      </c>
      <c r="O33" s="42">
        <f t="shared" si="5"/>
        <v>10500</v>
      </c>
      <c r="P33" s="48">
        <f t="shared" si="6"/>
        <v>13160</v>
      </c>
      <c r="Q33" s="42">
        <f t="shared" si="7"/>
        <v>520.13043478260875</v>
      </c>
      <c r="R33" s="49">
        <f t="shared" si="8"/>
        <v>278810</v>
      </c>
      <c r="S33" s="45">
        <f t="shared" si="9"/>
        <v>12122.173913043478</v>
      </c>
      <c r="T33" s="62">
        <f t="shared" si="10"/>
        <v>23</v>
      </c>
      <c r="U33" s="48">
        <f t="shared" si="10"/>
        <v>265650</v>
      </c>
      <c r="V33" s="48">
        <f t="shared" si="11"/>
        <v>13160</v>
      </c>
      <c r="W33" s="51">
        <f t="shared" si="12"/>
        <v>278810</v>
      </c>
      <c r="X33" s="48">
        <f t="shared" si="13"/>
        <v>12122.173913043478</v>
      </c>
      <c r="Y33" s="52"/>
      <c r="Z33" s="53">
        <v>17</v>
      </c>
      <c r="AA33" s="41">
        <v>17400</v>
      </c>
      <c r="AB33" s="42">
        <f t="shared" si="14"/>
        <v>1023.5294117647059</v>
      </c>
      <c r="AC33" s="41">
        <v>1800</v>
      </c>
      <c r="AD33" s="43">
        <f t="shared" si="15"/>
        <v>105.88235294117646</v>
      </c>
      <c r="AE33" s="54">
        <f t="shared" si="16"/>
        <v>19200</v>
      </c>
      <c r="AF33" s="45">
        <f t="shared" si="17"/>
        <v>1129.4117647058824</v>
      </c>
      <c r="AG33" s="62">
        <f t="shared" si="18"/>
        <v>23</v>
      </c>
      <c r="AH33" s="56">
        <f t="shared" si="19"/>
        <v>283050</v>
      </c>
      <c r="AI33" s="56">
        <f t="shared" si="20"/>
        <v>14960</v>
      </c>
      <c r="AJ33" s="55">
        <f t="shared" si="21"/>
        <v>298010</v>
      </c>
      <c r="AK33" s="48">
        <f t="shared" si="22"/>
        <v>0</v>
      </c>
      <c r="AL33" s="56">
        <v>23</v>
      </c>
      <c r="AM33" s="56">
        <v>265650</v>
      </c>
      <c r="AN33" s="56">
        <v>13160</v>
      </c>
      <c r="AO33" s="57">
        <v>0</v>
      </c>
      <c r="AP33" s="57">
        <v>0</v>
      </c>
      <c r="AQ33" s="57">
        <v>0</v>
      </c>
      <c r="AR33" s="57">
        <v>0</v>
      </c>
      <c r="AS33" s="58">
        <f t="shared" si="23"/>
        <v>278810</v>
      </c>
      <c r="AT33" s="36">
        <v>29</v>
      </c>
      <c r="AU33" s="59">
        <f t="shared" si="24"/>
        <v>278810</v>
      </c>
    </row>
    <row r="34" spans="1:47" ht="15.75" customHeight="1">
      <c r="A34" s="36"/>
      <c r="B34" s="165">
        <f t="shared" si="25"/>
        <v>45107</v>
      </c>
      <c r="C34" s="61" t="s">
        <v>61</v>
      </c>
      <c r="D34" s="39"/>
      <c r="E34" s="40"/>
      <c r="F34" s="41"/>
      <c r="G34" s="42" t="e">
        <f t="shared" si="0"/>
        <v>#DIV/0!</v>
      </c>
      <c r="H34" s="41"/>
      <c r="I34" s="42" t="e">
        <f t="shared" si="1"/>
        <v>#DIV/0!</v>
      </c>
      <c r="J34" s="44">
        <f t="shared" si="2"/>
        <v>0</v>
      </c>
      <c r="K34" s="45" t="str">
        <f t="shared" si="3"/>
        <v/>
      </c>
      <c r="L34" s="46"/>
      <c r="M34" s="47">
        <f t="shared" si="4"/>
        <v>40</v>
      </c>
      <c r="N34" s="48">
        <f t="shared" si="4"/>
        <v>387830</v>
      </c>
      <c r="O34" s="42">
        <f t="shared" si="5"/>
        <v>8814.2999999999993</v>
      </c>
      <c r="P34" s="48">
        <f t="shared" si="6"/>
        <v>62480</v>
      </c>
      <c r="Q34" s="42">
        <f t="shared" si="7"/>
        <v>1420</v>
      </c>
      <c r="R34" s="49">
        <f t="shared" si="8"/>
        <v>450310</v>
      </c>
      <c r="S34" s="45">
        <f t="shared" si="9"/>
        <v>11257.75</v>
      </c>
      <c r="T34" s="62">
        <f t="shared" si="10"/>
        <v>40</v>
      </c>
      <c r="U34" s="48">
        <f t="shared" si="10"/>
        <v>387830</v>
      </c>
      <c r="V34" s="48">
        <f t="shared" si="11"/>
        <v>62480</v>
      </c>
      <c r="W34" s="51">
        <f t="shared" si="12"/>
        <v>450310</v>
      </c>
      <c r="X34" s="48">
        <f t="shared" si="13"/>
        <v>11257.75</v>
      </c>
      <c r="Y34" s="68"/>
      <c r="Z34" s="69">
        <v>26</v>
      </c>
      <c r="AA34" s="70">
        <v>18100</v>
      </c>
      <c r="AB34" s="42">
        <f t="shared" si="14"/>
        <v>696.15384615384619</v>
      </c>
      <c r="AC34" s="70">
        <v>4750</v>
      </c>
      <c r="AD34" s="43">
        <f t="shared" si="15"/>
        <v>182.69230769230768</v>
      </c>
      <c r="AE34" s="54">
        <f t="shared" si="16"/>
        <v>22850</v>
      </c>
      <c r="AF34" s="45">
        <f t="shared" si="17"/>
        <v>878.84615384615381</v>
      </c>
      <c r="AG34" s="62">
        <f t="shared" si="18"/>
        <v>40</v>
      </c>
      <c r="AH34" s="56">
        <f t="shared" si="19"/>
        <v>405930</v>
      </c>
      <c r="AI34" s="56">
        <f t="shared" si="20"/>
        <v>67230</v>
      </c>
      <c r="AJ34" s="55">
        <f t="shared" si="21"/>
        <v>473160</v>
      </c>
      <c r="AK34" s="48">
        <f t="shared" si="22"/>
        <v>22000</v>
      </c>
      <c r="AL34" s="56">
        <v>40</v>
      </c>
      <c r="AM34" s="56">
        <v>387830</v>
      </c>
      <c r="AN34" s="56">
        <v>62480</v>
      </c>
      <c r="AO34" s="57">
        <v>22000</v>
      </c>
      <c r="AP34" s="57">
        <v>0</v>
      </c>
      <c r="AQ34" s="57">
        <v>0</v>
      </c>
      <c r="AR34" s="57">
        <v>0</v>
      </c>
      <c r="AS34" s="58">
        <f t="shared" si="23"/>
        <v>472310</v>
      </c>
      <c r="AT34" s="36">
        <v>30</v>
      </c>
      <c r="AU34" s="59">
        <f t="shared" si="24"/>
        <v>472310</v>
      </c>
    </row>
    <row r="35" spans="1:47" ht="15.75" customHeight="1" thickBot="1">
      <c r="A35" s="36"/>
      <c r="B35" s="60"/>
      <c r="C35" s="61"/>
      <c r="D35" s="39"/>
      <c r="E35" s="40"/>
      <c r="F35" s="41"/>
      <c r="G35" s="42" t="e">
        <f t="shared" si="0"/>
        <v>#DIV/0!</v>
      </c>
      <c r="H35" s="41"/>
      <c r="I35" s="42" t="e">
        <f t="shared" si="1"/>
        <v>#DIV/0!</v>
      </c>
      <c r="J35" s="44">
        <f t="shared" si="2"/>
        <v>0</v>
      </c>
      <c r="K35" s="45" t="str">
        <f t="shared" si="3"/>
        <v/>
      </c>
      <c r="L35" s="46"/>
      <c r="M35" s="72">
        <f t="shared" si="4"/>
        <v>0</v>
      </c>
      <c r="N35" s="48">
        <f t="shared" si="4"/>
        <v>0</v>
      </c>
      <c r="O35" s="42" t="e">
        <f t="shared" si="5"/>
        <v>#DIV/0!</v>
      </c>
      <c r="P35" s="48">
        <f t="shared" si="6"/>
        <v>0</v>
      </c>
      <c r="Q35" s="42" t="e">
        <f t="shared" si="7"/>
        <v>#DIV/0!</v>
      </c>
      <c r="R35" s="49">
        <f t="shared" si="8"/>
        <v>0</v>
      </c>
      <c r="S35" s="45" t="e">
        <f t="shared" si="9"/>
        <v>#DIV/0!</v>
      </c>
      <c r="T35" s="73">
        <f t="shared" si="10"/>
        <v>0</v>
      </c>
      <c r="U35" s="74">
        <f t="shared" si="10"/>
        <v>0</v>
      </c>
      <c r="V35" s="74">
        <f t="shared" si="11"/>
        <v>0</v>
      </c>
      <c r="W35" s="75">
        <f t="shared" si="12"/>
        <v>0</v>
      </c>
      <c r="X35" s="74"/>
      <c r="Y35" s="76"/>
      <c r="Z35" s="77"/>
      <c r="AA35" s="78"/>
      <c r="AB35" s="79" t="e">
        <f t="shared" si="14"/>
        <v>#DIV/0!</v>
      </c>
      <c r="AC35" s="78"/>
      <c r="AD35" s="80" t="e">
        <f t="shared" si="15"/>
        <v>#DIV/0!</v>
      </c>
      <c r="AE35" s="81">
        <f t="shared" si="16"/>
        <v>0</v>
      </c>
      <c r="AF35" s="45" t="str">
        <f t="shared" si="17"/>
        <v/>
      </c>
      <c r="AG35" s="73">
        <f t="shared" si="18"/>
        <v>0</v>
      </c>
      <c r="AH35" s="74">
        <f t="shared" si="19"/>
        <v>0</v>
      </c>
      <c r="AI35" s="74">
        <f t="shared" si="20"/>
        <v>0</v>
      </c>
      <c r="AJ35" s="55">
        <f t="shared" si="21"/>
        <v>0</v>
      </c>
      <c r="AK35" s="48">
        <f t="shared" si="22"/>
        <v>0</v>
      </c>
      <c r="AL35" s="56"/>
      <c r="AM35" s="56"/>
      <c r="AN35" s="56"/>
      <c r="AO35" s="57"/>
      <c r="AP35" s="57"/>
      <c r="AQ35" s="57"/>
      <c r="AR35" s="57"/>
      <c r="AS35" s="58">
        <f t="shared" si="23"/>
        <v>0</v>
      </c>
      <c r="AT35" s="36">
        <v>31</v>
      </c>
      <c r="AU35" s="59">
        <f t="shared" si="24"/>
        <v>0</v>
      </c>
    </row>
    <row r="36" spans="1:47" ht="15.75" customHeight="1" thickTop="1" thickBot="1">
      <c r="A36" s="82"/>
      <c r="B36" s="83" t="s">
        <v>26</v>
      </c>
      <c r="C36" s="84">
        <f>SUM(C5:C35)</f>
        <v>0</v>
      </c>
      <c r="D36" s="85">
        <f>SUM(D5:D35)</f>
        <v>0</v>
      </c>
      <c r="E36" s="86">
        <f>SUM(E5:E35)</f>
        <v>256</v>
      </c>
      <c r="F36" s="87">
        <f>SUM(F5:F35)</f>
        <v>885170</v>
      </c>
      <c r="G36" s="88">
        <f>F36/E36</f>
        <v>3457.6953125</v>
      </c>
      <c r="H36" s="84">
        <f>SUM(H5:H35)</f>
        <v>161160</v>
      </c>
      <c r="I36" s="89">
        <f>H36/E36</f>
        <v>629.53125</v>
      </c>
      <c r="J36" s="90">
        <f>SUM(J5:J35)</f>
        <v>1046330</v>
      </c>
      <c r="K36" s="91">
        <f>J36/E36</f>
        <v>4087.2265625</v>
      </c>
      <c r="L36" s="92">
        <f>SUM(L5:L35)</f>
        <v>0</v>
      </c>
      <c r="M36" s="86">
        <f>SUM(M5:M35)</f>
        <v>964</v>
      </c>
      <c r="N36" s="87">
        <f>SUM(N5:N35)</f>
        <v>8856600</v>
      </c>
      <c r="O36" s="88">
        <f>N36/M36</f>
        <v>9187.3443983402485</v>
      </c>
      <c r="P36" s="93">
        <f>SUM(P5:P35)</f>
        <v>1675050</v>
      </c>
      <c r="Q36" s="89">
        <f>P36/M36</f>
        <v>1737.6037344398339</v>
      </c>
      <c r="R36" s="94">
        <f>SUM(R5:R35)</f>
        <v>10531650</v>
      </c>
      <c r="S36" s="95">
        <f>R36/M36</f>
        <v>10924.948132780082</v>
      </c>
      <c r="T36" s="86">
        <f>SUM(T5:T35)</f>
        <v>1220</v>
      </c>
      <c r="U36" s="166">
        <f>SUM(U5:U35)</f>
        <v>9741770</v>
      </c>
      <c r="V36" s="93">
        <f>SUM(V5:V35)</f>
        <v>1836210</v>
      </c>
      <c r="W36" s="167">
        <f>SUM(W5:W35)</f>
        <v>11577980</v>
      </c>
      <c r="X36" s="173">
        <f>W36/T36</f>
        <v>9490.1475409836057</v>
      </c>
      <c r="Y36" s="85">
        <f>SUM(Y5:Y35)</f>
        <v>0</v>
      </c>
      <c r="Z36" s="86">
        <f>SUM(Z5:Z35)</f>
        <v>2171</v>
      </c>
      <c r="AA36" s="87">
        <f>SUM(AA5:AA35)</f>
        <v>1432400</v>
      </c>
      <c r="AB36" s="88"/>
      <c r="AC36" s="84">
        <f>SUM(AC5:AC35)</f>
        <v>493150</v>
      </c>
      <c r="AD36" s="89"/>
      <c r="AE36" s="94">
        <f>SUM(AE5:AE35)</f>
        <v>1925550</v>
      </c>
      <c r="AF36" s="96">
        <f>AE36/Z36</f>
        <v>886.94150161216032</v>
      </c>
      <c r="AG36" s="86">
        <f t="shared" ref="AG36:AS36" si="26">SUM(AG5:AG35)</f>
        <v>1220</v>
      </c>
      <c r="AH36" s="166">
        <f t="shared" si="26"/>
        <v>11174170</v>
      </c>
      <c r="AI36" s="93">
        <f t="shared" si="26"/>
        <v>2329360</v>
      </c>
      <c r="AJ36" s="94">
        <f t="shared" si="26"/>
        <v>13503530</v>
      </c>
      <c r="AK36" s="84">
        <f t="shared" si="26"/>
        <v>850290</v>
      </c>
      <c r="AL36" s="97">
        <f t="shared" si="26"/>
        <v>1220</v>
      </c>
      <c r="AM36" s="97">
        <f t="shared" si="26"/>
        <v>9741770</v>
      </c>
      <c r="AN36" s="97">
        <f t="shared" si="26"/>
        <v>1836210</v>
      </c>
      <c r="AO36" s="97">
        <f t="shared" si="26"/>
        <v>570900</v>
      </c>
      <c r="AP36" s="97">
        <f t="shared" si="26"/>
        <v>279390</v>
      </c>
      <c r="AQ36" s="97">
        <f t="shared" si="26"/>
        <v>0</v>
      </c>
      <c r="AR36" s="97">
        <f t="shared" si="26"/>
        <v>40150</v>
      </c>
      <c r="AS36" s="97">
        <f t="shared" si="26"/>
        <v>12428270</v>
      </c>
      <c r="AT36" s="82"/>
      <c r="AU36" s="98">
        <f>SUM(AU5:AU35)</f>
        <v>12468420</v>
      </c>
    </row>
    <row r="37" spans="1:47" ht="15.75" customHeight="1" thickTop="1">
      <c r="A37" s="82"/>
      <c r="B37" s="82"/>
      <c r="C37" s="82"/>
      <c r="D37" s="82"/>
      <c r="E37" s="99" t="s">
        <v>39</v>
      </c>
      <c r="F37" s="100">
        <f>F36/1.1</f>
        <v>804699.99999999988</v>
      </c>
      <c r="G37" s="101">
        <f>F37/E36</f>
        <v>3143.3593749999995</v>
      </c>
      <c r="H37" s="57">
        <f>H36/1.1</f>
        <v>146509.09090909091</v>
      </c>
      <c r="I37" s="101">
        <f>H37/E36</f>
        <v>572.30113636363637</v>
      </c>
      <c r="J37" s="97">
        <f>J36/1.1</f>
        <v>951209.09090909082</v>
      </c>
      <c r="K37" s="102">
        <f>G37+I37</f>
        <v>3715.660511363636</v>
      </c>
      <c r="L37" s="103"/>
      <c r="M37" s="99" t="s">
        <v>39</v>
      </c>
      <c r="N37" s="100">
        <f>N36/1.1</f>
        <v>8051454.5454545449</v>
      </c>
      <c r="O37" s="101">
        <f>N37/M36</f>
        <v>8352.1312712184081</v>
      </c>
      <c r="P37" s="100">
        <f>P36/1.1</f>
        <v>1522772.7272727271</v>
      </c>
      <c r="Q37" s="101">
        <f>P37/M36</f>
        <v>1579.6397585816671</v>
      </c>
      <c r="R37" s="101">
        <f>R36/1.1</f>
        <v>9574227.2727272715</v>
      </c>
      <c r="S37" s="168">
        <f>R37/M36</f>
        <v>9931.7710298000748</v>
      </c>
      <c r="T37" s="99" t="s">
        <v>39</v>
      </c>
      <c r="U37" s="100">
        <f>U36/1.1</f>
        <v>8856154.5454545449</v>
      </c>
      <c r="V37" s="100">
        <f>V36/1.1</f>
        <v>1669281.8181818181</v>
      </c>
      <c r="W37" s="169">
        <f>W36/1.1</f>
        <v>10525436.363636363</v>
      </c>
      <c r="X37" s="173">
        <f>W37/T36</f>
        <v>8627.4068554396417</v>
      </c>
      <c r="Y37" s="103"/>
      <c r="Z37" s="99" t="s">
        <v>39</v>
      </c>
      <c r="AA37" s="100">
        <f>AA36/1.1</f>
        <v>1302181.8181818181</v>
      </c>
      <c r="AB37" s="57">
        <f>AA37/Z36</f>
        <v>599.80737825049198</v>
      </c>
      <c r="AC37" s="57">
        <f>AC36/1.1</f>
        <v>448318.18181818177</v>
      </c>
      <c r="AD37" s="57">
        <f>AC37/Z36</f>
        <v>206.50307776056277</v>
      </c>
      <c r="AE37" s="101">
        <f>AE36/1.1</f>
        <v>1750499.9999999998</v>
      </c>
      <c r="AF37" s="106">
        <f>AE37/Z36</f>
        <v>806.31045601105473</v>
      </c>
      <c r="AG37" s="99" t="s">
        <v>39</v>
      </c>
      <c r="AH37" s="170">
        <f>AH36/1.1</f>
        <v>10158336.363636363</v>
      </c>
      <c r="AI37" s="100">
        <f>AI36/1.1</f>
        <v>2117600</v>
      </c>
      <c r="AJ37" s="101">
        <f>AJ36/1.1</f>
        <v>12275936.363636363</v>
      </c>
      <c r="AK37" s="107">
        <f>AK36/1.1</f>
        <v>772990.90909090906</v>
      </c>
      <c r="AL37" s="82"/>
      <c r="AM37" s="82"/>
      <c r="AN37" s="82"/>
      <c r="AO37" s="82"/>
      <c r="AP37" s="108"/>
      <c r="AQ37" s="82"/>
      <c r="AR37" s="82"/>
      <c r="AS37" s="108"/>
      <c r="AT37" s="82"/>
      <c r="AU37" s="108"/>
    </row>
    <row r="38" spans="1:47" ht="15.75" customHeight="1">
      <c r="A38" s="36"/>
      <c r="B38" s="36"/>
      <c r="C38" s="36"/>
      <c r="D38" s="36"/>
      <c r="E38" s="109" t="s">
        <v>40</v>
      </c>
      <c r="F38" s="110">
        <f>E36/G38</f>
        <v>25.6</v>
      </c>
      <c r="G38" s="111">
        <v>10</v>
      </c>
      <c r="H38" s="112" t="s">
        <v>41</v>
      </c>
      <c r="I38" s="110"/>
      <c r="J38" s="113" t="s">
        <v>42</v>
      </c>
      <c r="K38" s="114">
        <f>J37/G38</f>
        <v>95120.909090909088</v>
      </c>
      <c r="L38" s="36"/>
      <c r="M38" s="109" t="s">
        <v>40</v>
      </c>
      <c r="N38" s="110">
        <f>M36/O38</f>
        <v>33.241379310344826</v>
      </c>
      <c r="O38" s="111">
        <v>29</v>
      </c>
      <c r="P38" s="112" t="s">
        <v>41</v>
      </c>
      <c r="Q38" s="110"/>
      <c r="R38" s="113" t="s">
        <v>42</v>
      </c>
      <c r="S38" s="115">
        <f>R37/O38</f>
        <v>330145.76802507835</v>
      </c>
      <c r="T38" s="36"/>
      <c r="U38" s="36"/>
      <c r="V38" s="36"/>
      <c r="W38" s="59"/>
      <c r="X38" s="59"/>
      <c r="Y38" s="36"/>
      <c r="Z38" s="36"/>
      <c r="AA38" s="116">
        <v>29</v>
      </c>
      <c r="AB38" s="112" t="s">
        <v>41</v>
      </c>
      <c r="AC38" s="110"/>
      <c r="AD38" s="110"/>
      <c r="AE38" s="113" t="s">
        <v>42</v>
      </c>
      <c r="AF38" s="114">
        <f>AE37/AA38</f>
        <v>60362.068965517232</v>
      </c>
      <c r="AG38" s="36"/>
      <c r="AH38" s="36"/>
      <c r="AI38" s="36" t="s">
        <v>69</v>
      </c>
      <c r="AJ38" s="59"/>
      <c r="AK38" s="59">
        <f>AJ37/AL38</f>
        <v>3620.1522747379427</v>
      </c>
      <c r="AL38" s="174">
        <f>AG36+Z36</f>
        <v>3391</v>
      </c>
      <c r="AM38" s="36" t="s">
        <v>70</v>
      </c>
      <c r="AN38" s="36"/>
      <c r="AO38" s="36"/>
      <c r="AP38" s="59"/>
      <c r="AQ38" s="36"/>
      <c r="AR38" s="36"/>
      <c r="AS38" s="59"/>
      <c r="AT38" s="36"/>
      <c r="AU38" s="59"/>
    </row>
    <row r="39" spans="1:47" ht="15.75" customHeight="1">
      <c r="A39" s="36"/>
      <c r="B39" s="36"/>
      <c r="C39" s="36"/>
      <c r="D39" s="118" t="s">
        <v>43</v>
      </c>
      <c r="E39" s="119"/>
      <c r="F39" s="110"/>
      <c r="G39" s="120"/>
      <c r="H39" s="110"/>
      <c r="I39" s="110"/>
      <c r="J39" s="113"/>
      <c r="K39" s="114"/>
      <c r="L39" s="121" t="s">
        <v>44</v>
      </c>
      <c r="M39" s="109"/>
      <c r="N39" s="110"/>
      <c r="O39" s="110"/>
      <c r="P39" s="110"/>
      <c r="Q39" s="110"/>
      <c r="R39" s="113"/>
      <c r="S39" s="114"/>
      <c r="T39" s="36"/>
      <c r="U39" s="36"/>
      <c r="V39" s="36"/>
      <c r="W39" s="59"/>
      <c r="X39" s="59"/>
      <c r="Y39" s="121" t="s">
        <v>45</v>
      </c>
      <c r="Z39" s="36"/>
      <c r="AA39" s="110"/>
      <c r="AB39" s="110"/>
      <c r="AC39" s="110"/>
      <c r="AD39" s="110"/>
      <c r="AE39" s="110"/>
      <c r="AF39" s="114"/>
      <c r="AG39" s="36"/>
      <c r="AH39" s="36"/>
      <c r="AI39" s="36" t="s">
        <v>71</v>
      </c>
      <c r="AK39" s="122">
        <f>AJ37/AA38</f>
        <v>423308.15047021944</v>
      </c>
      <c r="AL39" s="36" t="s">
        <v>72</v>
      </c>
      <c r="AM39" s="36"/>
      <c r="AN39" s="36"/>
      <c r="AO39" s="36"/>
      <c r="AP39" s="59"/>
      <c r="AQ39" s="36"/>
      <c r="AR39" s="36"/>
      <c r="AS39" s="59"/>
      <c r="AT39" s="36"/>
      <c r="AU39" s="59"/>
    </row>
    <row r="40" spans="1:47" ht="21" customHeight="1">
      <c r="A40" s="36"/>
      <c r="B40" s="36"/>
      <c r="C40" s="121"/>
      <c r="D40" s="125" t="s">
        <v>65</v>
      </c>
      <c r="E40" s="13"/>
      <c r="F40" s="13"/>
      <c r="G40" s="13"/>
      <c r="H40" s="13"/>
      <c r="I40" s="13"/>
      <c r="J40" s="13"/>
      <c r="K40" s="124"/>
      <c r="L40" s="125" t="s">
        <v>66</v>
      </c>
      <c r="M40" s="13"/>
      <c r="N40" s="13"/>
      <c r="O40" s="13"/>
      <c r="P40" s="13"/>
      <c r="Q40" s="13"/>
      <c r="R40" s="13"/>
      <c r="S40" s="124"/>
      <c r="T40" s="36"/>
      <c r="U40" s="36"/>
      <c r="V40" s="36"/>
      <c r="W40" s="59"/>
      <c r="X40" s="36"/>
      <c r="Y40" s="125" t="s">
        <v>67</v>
      </c>
      <c r="Z40" s="13"/>
      <c r="AA40" s="13"/>
      <c r="AB40" s="13"/>
      <c r="AC40" s="13"/>
      <c r="AD40" s="13"/>
      <c r="AE40" s="13"/>
      <c r="AF40" s="124"/>
      <c r="AG40" s="36"/>
      <c r="AH40" s="36"/>
      <c r="AI40" s="36" t="s">
        <v>73</v>
      </c>
      <c r="AJ40" s="59">
        <f>AJ36+AK36</f>
        <v>14353820</v>
      </c>
      <c r="AK40" s="122">
        <f>AJ40/AA38</f>
        <v>494959.31034482759</v>
      </c>
      <c r="AL40" s="36" t="s">
        <v>46</v>
      </c>
      <c r="AM40" s="36"/>
      <c r="AN40" s="36"/>
      <c r="AO40" s="36"/>
      <c r="AP40" s="36"/>
      <c r="AQ40" s="36"/>
      <c r="AR40" s="36"/>
      <c r="AS40" s="59"/>
      <c r="AT40" s="36"/>
      <c r="AU40" s="59"/>
    </row>
    <row r="41" spans="1:47" ht="21" customHeight="1">
      <c r="A41" s="36"/>
      <c r="B41" s="36"/>
      <c r="C41" s="121"/>
      <c r="D41" s="127"/>
      <c r="E41" s="128"/>
      <c r="F41" s="128"/>
      <c r="G41" s="128"/>
      <c r="H41" s="128"/>
      <c r="I41" s="128"/>
      <c r="J41" s="128"/>
      <c r="K41" s="129"/>
      <c r="L41" s="127"/>
      <c r="M41" s="128"/>
      <c r="N41" s="128"/>
      <c r="O41" s="128"/>
      <c r="P41" s="128"/>
      <c r="Q41" s="128"/>
      <c r="R41" s="128"/>
      <c r="S41" s="129"/>
      <c r="T41" s="36"/>
      <c r="U41" s="36"/>
      <c r="V41" s="36"/>
      <c r="W41" s="59"/>
      <c r="X41" s="36"/>
      <c r="Y41" s="127"/>
      <c r="Z41" s="128"/>
      <c r="AA41" s="128"/>
      <c r="AB41" s="128"/>
      <c r="AC41" s="128"/>
      <c r="AD41" s="128"/>
      <c r="AE41" s="128"/>
      <c r="AF41" s="129"/>
      <c r="AG41" s="36"/>
      <c r="AH41" s="36"/>
      <c r="AI41" s="36" t="s">
        <v>74</v>
      </c>
      <c r="AJ41" s="175">
        <f>AJ37+AK37</f>
        <v>13048927.272727272</v>
      </c>
      <c r="AK41" s="122">
        <f>AJ41/AA38</f>
        <v>449963.00940438866</v>
      </c>
      <c r="AL41" s="36" t="s">
        <v>72</v>
      </c>
      <c r="AM41" s="36"/>
      <c r="AN41" s="36"/>
      <c r="AO41" s="36"/>
      <c r="AP41" s="36"/>
      <c r="AQ41" s="36"/>
      <c r="AR41" s="36"/>
      <c r="AS41" s="59"/>
      <c r="AT41" s="36"/>
      <c r="AU41" s="59"/>
    </row>
    <row r="42" spans="1:47" ht="21" customHeight="1">
      <c r="A42" s="36"/>
      <c r="B42" s="36"/>
      <c r="C42" s="121"/>
      <c r="D42" s="127"/>
      <c r="E42" s="128"/>
      <c r="F42" s="128"/>
      <c r="G42" s="128"/>
      <c r="H42" s="128"/>
      <c r="I42" s="128"/>
      <c r="J42" s="128"/>
      <c r="K42" s="129"/>
      <c r="L42" s="127"/>
      <c r="M42" s="128"/>
      <c r="N42" s="128"/>
      <c r="O42" s="128"/>
      <c r="P42" s="128"/>
      <c r="Q42" s="128"/>
      <c r="R42" s="128"/>
      <c r="S42" s="129"/>
      <c r="T42" s="36"/>
      <c r="U42" s="36"/>
      <c r="V42" s="36"/>
      <c r="W42" s="59"/>
      <c r="X42" s="36"/>
      <c r="Y42" s="127"/>
      <c r="Z42" s="128"/>
      <c r="AA42" s="128"/>
      <c r="AB42" s="128"/>
      <c r="AC42" s="128"/>
      <c r="AD42" s="128"/>
      <c r="AE42" s="128"/>
      <c r="AF42" s="129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59"/>
      <c r="AT42" s="36"/>
      <c r="AU42" s="59"/>
    </row>
    <row r="43" spans="1:47" ht="21" customHeight="1">
      <c r="A43" s="36"/>
      <c r="B43" s="36"/>
      <c r="C43" s="121"/>
      <c r="D43" s="127"/>
      <c r="E43" s="128"/>
      <c r="F43" s="128"/>
      <c r="G43" s="128"/>
      <c r="H43" s="128"/>
      <c r="I43" s="128"/>
      <c r="J43" s="128"/>
      <c r="K43" s="129"/>
      <c r="L43" s="127"/>
      <c r="M43" s="128"/>
      <c r="N43" s="128"/>
      <c r="O43" s="128"/>
      <c r="P43" s="128"/>
      <c r="Q43" s="128"/>
      <c r="R43" s="128"/>
      <c r="S43" s="129"/>
      <c r="T43" s="36"/>
      <c r="U43" s="36"/>
      <c r="V43" s="36"/>
      <c r="W43" s="36"/>
      <c r="X43" s="36"/>
      <c r="Y43" s="127"/>
      <c r="Z43" s="128"/>
      <c r="AA43" s="128"/>
      <c r="AB43" s="128"/>
      <c r="AC43" s="128"/>
      <c r="AD43" s="128"/>
      <c r="AE43" s="128"/>
      <c r="AF43" s="129"/>
      <c r="AG43" s="36"/>
      <c r="AH43" s="36"/>
      <c r="AI43" s="36"/>
      <c r="AJ43" s="59">
        <f>AJ37+AK37</f>
        <v>13048927.272727272</v>
      </c>
      <c r="AK43" s="130" t="s">
        <v>51</v>
      </c>
      <c r="AL43" s="36"/>
      <c r="AM43" s="36"/>
      <c r="AN43" s="36"/>
      <c r="AO43" s="36"/>
      <c r="AP43" s="36"/>
      <c r="AQ43" s="36"/>
      <c r="AR43" s="36"/>
      <c r="AS43" s="59"/>
      <c r="AT43" s="36"/>
      <c r="AU43" s="59"/>
    </row>
    <row r="44" spans="1:47" ht="21" customHeight="1">
      <c r="A44" s="36"/>
      <c r="B44" s="36"/>
      <c r="C44" s="121"/>
      <c r="D44" s="131"/>
      <c r="E44" s="132"/>
      <c r="F44" s="132"/>
      <c r="G44" s="132"/>
      <c r="H44" s="132"/>
      <c r="I44" s="132"/>
      <c r="J44" s="132"/>
      <c r="K44" s="133"/>
      <c r="L44" s="131"/>
      <c r="M44" s="132"/>
      <c r="N44" s="132"/>
      <c r="O44" s="132"/>
      <c r="P44" s="132"/>
      <c r="Q44" s="132"/>
      <c r="R44" s="132"/>
      <c r="S44" s="133"/>
      <c r="T44" s="36"/>
      <c r="U44" s="36"/>
      <c r="V44" s="36"/>
      <c r="W44" s="36"/>
      <c r="X44" s="36"/>
      <c r="Y44" s="131"/>
      <c r="Z44" s="132"/>
      <c r="AA44" s="132"/>
      <c r="AB44" s="132"/>
      <c r="AC44" s="132"/>
      <c r="AD44" s="132"/>
      <c r="AE44" s="132"/>
      <c r="AF44" s="133"/>
      <c r="AG44" s="36"/>
      <c r="AH44" s="134"/>
      <c r="AI44" s="135" t="s">
        <v>52</v>
      </c>
      <c r="AJ44" s="136">
        <f>J45+R45+AE45+AK44</f>
        <v>11653418</v>
      </c>
      <c r="AK44" s="137">
        <v>541068</v>
      </c>
      <c r="AL44" s="134"/>
      <c r="AM44" s="36"/>
      <c r="AN44" s="36"/>
      <c r="AO44" s="36"/>
      <c r="AP44" s="36"/>
      <c r="AQ44" s="36"/>
      <c r="AR44" s="36"/>
      <c r="AS44" s="59"/>
      <c r="AT44" s="36"/>
      <c r="AU44" s="59"/>
    </row>
    <row r="45" spans="1:47" ht="21" customHeight="1">
      <c r="A45" s="36"/>
      <c r="B45" s="36"/>
      <c r="C45" s="36"/>
      <c r="D45" s="36"/>
      <c r="E45" s="36"/>
      <c r="F45" s="36"/>
      <c r="G45" s="36"/>
      <c r="H45" s="138"/>
      <c r="I45" s="139" t="s">
        <v>53</v>
      </c>
      <c r="J45" s="136">
        <v>761600</v>
      </c>
      <c r="K45" s="140" t="s">
        <v>54</v>
      </c>
      <c r="L45" s="134"/>
      <c r="M45" s="134"/>
      <c r="N45" s="134"/>
      <c r="O45" s="134"/>
      <c r="P45" s="134"/>
      <c r="Q45" s="139" t="s">
        <v>55</v>
      </c>
      <c r="R45" s="136">
        <v>8250750</v>
      </c>
      <c r="S45" s="140" t="s">
        <v>54</v>
      </c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8" t="s">
        <v>56</v>
      </c>
      <c r="AE45" s="136">
        <v>2100000</v>
      </c>
      <c r="AF45" s="140" t="s">
        <v>54</v>
      </c>
      <c r="AG45" s="134"/>
      <c r="AH45" s="134"/>
      <c r="AI45" s="135" t="s">
        <v>57</v>
      </c>
      <c r="AJ45" s="136">
        <f>AJ44-AJ37-AK37</f>
        <v>-1395509.2727272725</v>
      </c>
      <c r="AK45" s="136">
        <f>AK44-AK37</f>
        <v>-231922.90909090906</v>
      </c>
      <c r="AL45" s="141">
        <f>AK37/AK44</f>
        <v>1.4286391157690144</v>
      </c>
      <c r="AM45" s="36"/>
      <c r="AN45" s="36"/>
      <c r="AO45" s="36"/>
      <c r="AP45" s="36"/>
      <c r="AQ45" s="59"/>
      <c r="AR45" s="36"/>
      <c r="AS45" s="59"/>
      <c r="AT45" s="36"/>
      <c r="AU45" s="36"/>
    </row>
    <row r="46" spans="1:47" ht="21" customHeight="1">
      <c r="A46" s="36"/>
      <c r="B46" s="36"/>
      <c r="C46" s="36"/>
      <c r="D46" s="36"/>
      <c r="E46" s="36"/>
      <c r="F46" s="36"/>
      <c r="G46" s="36"/>
      <c r="H46" s="138"/>
      <c r="I46" s="138" t="s">
        <v>57</v>
      </c>
      <c r="J46" s="136">
        <f>J45-J37</f>
        <v>-189609.09090909082</v>
      </c>
      <c r="K46" s="142">
        <v>0</v>
      </c>
      <c r="L46" s="134"/>
      <c r="M46" s="134"/>
      <c r="N46" s="134"/>
      <c r="O46" s="134"/>
      <c r="P46" s="134"/>
      <c r="Q46" s="138" t="s">
        <v>57</v>
      </c>
      <c r="R46" s="136">
        <f>R45-R37</f>
        <v>-1323477.2727272715</v>
      </c>
      <c r="S46" s="134">
        <f>K46</f>
        <v>0</v>
      </c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8" t="s">
        <v>57</v>
      </c>
      <c r="AE46" s="136">
        <f>AE45-AE37</f>
        <v>349500.00000000023</v>
      </c>
      <c r="AF46" s="134">
        <f>K46</f>
        <v>0</v>
      </c>
      <c r="AG46" s="134"/>
      <c r="AH46" s="143"/>
      <c r="AI46" s="144" t="s">
        <v>58</v>
      </c>
      <c r="AJ46" s="145" t="e">
        <f>AJ45/K46</f>
        <v>#DIV/0!</v>
      </c>
      <c r="AK46" s="146">
        <f>(AJ37+AK37)/AJ44</f>
        <v>1.1197510698343844</v>
      </c>
      <c r="AL46" s="143"/>
      <c r="AM46" s="147"/>
      <c r="AN46" s="36"/>
      <c r="AO46" s="36"/>
      <c r="AP46" s="36"/>
      <c r="AQ46" s="59"/>
      <c r="AR46" s="36"/>
      <c r="AS46" s="59"/>
      <c r="AT46" s="36"/>
      <c r="AU46" s="36"/>
    </row>
    <row r="47" spans="1:47" ht="25.5" customHeight="1">
      <c r="A47" s="147"/>
      <c r="B47" s="147"/>
      <c r="C47" s="147"/>
      <c r="D47" s="147"/>
      <c r="E47" s="147"/>
      <c r="F47" s="147"/>
      <c r="G47" s="147"/>
      <c r="H47" s="148"/>
      <c r="I47" s="144" t="s">
        <v>58</v>
      </c>
      <c r="J47" s="149" t="e">
        <f>J46/K46</f>
        <v>#DIV/0!</v>
      </c>
      <c r="K47" s="150">
        <f>J37/J45</f>
        <v>1.2489615164247516</v>
      </c>
      <c r="L47" s="143"/>
      <c r="M47" s="143"/>
      <c r="N47" s="143"/>
      <c r="O47" s="143"/>
      <c r="P47" s="143"/>
      <c r="Q47" s="144" t="s">
        <v>58</v>
      </c>
      <c r="R47" s="145" t="e">
        <f>R46/S46</f>
        <v>#DIV/0!</v>
      </c>
      <c r="S47" s="150">
        <f>R37/R45</f>
        <v>1.1604069051573822</v>
      </c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4" t="s">
        <v>58</v>
      </c>
      <c r="AE47" s="149" t="e">
        <f>AE46/AF46</f>
        <v>#DIV/0!</v>
      </c>
      <c r="AF47" s="150">
        <f>AE37/AE45</f>
        <v>0.83357142857142841</v>
      </c>
      <c r="AG47" s="143"/>
      <c r="AH47" s="36"/>
      <c r="AI47" s="36"/>
      <c r="AJ47" s="59"/>
      <c r="AK47" s="36"/>
      <c r="AL47" s="36"/>
      <c r="AM47" s="36"/>
      <c r="AN47" s="147"/>
      <c r="AO47" s="147"/>
      <c r="AP47" s="147"/>
      <c r="AQ47" s="151"/>
      <c r="AR47" s="147"/>
      <c r="AS47" s="151"/>
      <c r="AT47" s="147"/>
      <c r="AU47" s="147"/>
    </row>
    <row r="48" spans="1:47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152"/>
      <c r="AI48" s="152"/>
      <c r="AJ48" s="152"/>
      <c r="AK48" s="152"/>
      <c r="AL48" s="152"/>
      <c r="AM48" s="152"/>
      <c r="AN48" s="36"/>
      <c r="AO48" s="36"/>
      <c r="AP48" s="36"/>
      <c r="AQ48" s="59"/>
      <c r="AR48" s="36"/>
      <c r="AS48" s="59"/>
      <c r="AT48" s="36"/>
      <c r="AU48" s="36"/>
    </row>
    <row r="49" spans="1:47" ht="36" customHeight="1">
      <c r="A49" s="152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3"/>
      <c r="M49" s="36"/>
      <c r="N49" s="36"/>
      <c r="O49" s="36"/>
      <c r="P49" s="36"/>
      <c r="Q49" s="36"/>
      <c r="R49" s="153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"/>
      <c r="AI49" s="1"/>
      <c r="AJ49" s="1"/>
      <c r="AK49" s="1"/>
      <c r="AL49" s="1"/>
      <c r="AM49" s="1"/>
      <c r="AN49" s="152"/>
      <c r="AO49" s="152"/>
      <c r="AP49" s="152"/>
      <c r="AQ49" s="154"/>
      <c r="AR49" s="152"/>
      <c r="AS49" s="154"/>
      <c r="AT49" s="152"/>
      <c r="AU49" s="152"/>
    </row>
    <row r="50" spans="1:47" ht="3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55"/>
      <c r="M50" s="36"/>
      <c r="N50" s="36"/>
      <c r="O50" s="36"/>
      <c r="P50" s="36"/>
      <c r="Q50" s="36"/>
      <c r="R50" s="155"/>
      <c r="S50" s="155"/>
      <c r="T50" s="1"/>
      <c r="U50" s="1"/>
      <c r="V50" s="1"/>
      <c r="W50" s="1"/>
      <c r="X50" s="1"/>
      <c r="Y50" s="1"/>
      <c r="Z50" s="156"/>
      <c r="AA50" s="1"/>
      <c r="AB50" s="1"/>
      <c r="AC50" s="1"/>
      <c r="AD50" s="1"/>
      <c r="AE50" s="1"/>
      <c r="AF50" s="1"/>
      <c r="AG50" s="1"/>
      <c r="AH50" s="152"/>
      <c r="AI50" s="152"/>
      <c r="AJ50" s="152"/>
      <c r="AK50" s="152"/>
      <c r="AL50" s="152"/>
      <c r="AM50" s="152"/>
      <c r="AN50" s="1"/>
      <c r="AO50" s="1"/>
      <c r="AP50" s="1"/>
      <c r="AQ50" s="157"/>
      <c r="AR50" s="1"/>
      <c r="AS50" s="157"/>
      <c r="AT50" s="1"/>
      <c r="AU50" s="1"/>
    </row>
    <row r="51" spans="1:47" ht="36" customHeight="1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"/>
      <c r="L51" s="155"/>
      <c r="M51" s="36"/>
      <c r="N51" s="36"/>
      <c r="O51" s="36"/>
      <c r="P51" s="36"/>
      <c r="Q51" s="36"/>
      <c r="R51" s="158"/>
      <c r="S51" s="159"/>
      <c r="T51" s="159"/>
      <c r="U51" s="159"/>
      <c r="V51" s="159"/>
      <c r="W51" s="160"/>
      <c r="X51" s="161"/>
      <c r="Y51" s="162"/>
      <c r="Z51" s="163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4"/>
      <c r="AR51" s="152"/>
      <c r="AS51" s="154"/>
      <c r="AT51" s="152"/>
      <c r="AU51" s="152"/>
    </row>
    <row r="52" spans="1:47" ht="36" customHeight="1">
      <c r="A52" s="152"/>
      <c r="B52" s="152"/>
      <c r="C52" s="152"/>
      <c r="D52" s="152"/>
      <c r="E52" s="152"/>
      <c r="F52" s="152"/>
      <c r="G52" s="152"/>
      <c r="H52" s="152"/>
      <c r="I52" s="152"/>
      <c r="J52" s="152"/>
      <c r="K52" s="1"/>
      <c r="L52" s="155"/>
      <c r="M52" s="36"/>
      <c r="N52" s="36"/>
      <c r="O52" s="36"/>
      <c r="P52" s="36"/>
      <c r="Q52" s="36"/>
      <c r="R52" s="160"/>
      <c r="S52" s="159"/>
      <c r="T52" s="159"/>
      <c r="U52" s="159"/>
      <c r="V52" s="159"/>
      <c r="W52" s="160"/>
      <c r="X52" s="161"/>
      <c r="Y52" s="162"/>
      <c r="Z52" s="163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4"/>
      <c r="AR52" s="152"/>
      <c r="AS52" s="154"/>
      <c r="AT52" s="152"/>
      <c r="AU52" s="152"/>
    </row>
    <row r="53" spans="1:47" ht="36" customHeight="1">
      <c r="A53" s="152"/>
      <c r="B53" s="152"/>
      <c r="C53" s="152"/>
      <c r="D53" s="152"/>
      <c r="E53" s="152"/>
      <c r="F53" s="152"/>
      <c r="G53" s="152"/>
      <c r="H53" s="152"/>
      <c r="I53" s="152"/>
      <c r="J53" s="152"/>
      <c r="K53" s="1"/>
      <c r="L53" s="155"/>
      <c r="M53" s="36"/>
      <c r="N53" s="36"/>
      <c r="O53" s="36"/>
      <c r="P53" s="36"/>
      <c r="Q53" s="36"/>
      <c r="R53" s="160"/>
      <c r="S53" s="159"/>
      <c r="T53" s="159"/>
      <c r="U53" s="159"/>
      <c r="V53" s="159"/>
      <c r="W53" s="160"/>
      <c r="X53" s="161"/>
      <c r="Y53" s="162"/>
      <c r="Z53" s="163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4"/>
      <c r="AR53" s="152"/>
      <c r="AS53" s="154"/>
      <c r="AT53" s="152"/>
      <c r="AU53" s="152"/>
    </row>
    <row r="54" spans="1:47" ht="36" customHeight="1">
      <c r="A54" s="152"/>
      <c r="B54" s="152"/>
      <c r="C54" s="152"/>
      <c r="D54" s="152"/>
      <c r="E54" s="152"/>
      <c r="F54" s="152"/>
      <c r="G54" s="152"/>
      <c r="H54" s="152"/>
      <c r="I54" s="152"/>
      <c r="J54" s="152"/>
      <c r="K54" s="1"/>
      <c r="L54" s="155"/>
      <c r="M54" s="36"/>
      <c r="N54" s="36"/>
      <c r="O54" s="36"/>
      <c r="P54" s="36"/>
      <c r="Q54" s="36"/>
      <c r="R54" s="160"/>
      <c r="S54" s="159"/>
      <c r="T54" s="159"/>
      <c r="U54" s="159"/>
      <c r="V54" s="159"/>
      <c r="W54" s="160"/>
      <c r="X54" s="161"/>
      <c r="Y54" s="162"/>
      <c r="Z54" s="163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4"/>
      <c r="AR54" s="152"/>
      <c r="AS54" s="154"/>
      <c r="AT54" s="152"/>
      <c r="AU54" s="152"/>
    </row>
    <row r="55" spans="1:47" ht="36" customHeight="1">
      <c r="A55" s="152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3"/>
      <c r="M55" s="36"/>
      <c r="N55" s="36"/>
      <c r="O55" s="36"/>
      <c r="P55" s="36"/>
      <c r="Q55" s="36"/>
      <c r="R55" s="160"/>
      <c r="S55" s="159"/>
      <c r="T55" s="159"/>
      <c r="U55" s="159"/>
      <c r="V55" s="159"/>
      <c r="W55" s="161"/>
      <c r="X55" s="161"/>
      <c r="Y55" s="162"/>
      <c r="Z55" s="163"/>
      <c r="AA55" s="152"/>
      <c r="AB55" s="152"/>
      <c r="AC55" s="152"/>
      <c r="AD55" s="152"/>
      <c r="AE55" s="152"/>
      <c r="AF55" s="152"/>
      <c r="AG55" s="152"/>
      <c r="AH55" s="36"/>
      <c r="AI55" s="36"/>
      <c r="AJ55" s="36"/>
      <c r="AK55" s="36"/>
      <c r="AL55" s="36"/>
      <c r="AM55" s="36"/>
      <c r="AN55" s="152"/>
      <c r="AO55" s="152"/>
      <c r="AP55" s="152"/>
      <c r="AQ55" s="154"/>
      <c r="AR55" s="152"/>
      <c r="AS55" s="154"/>
      <c r="AT55" s="152"/>
      <c r="AU55" s="152"/>
    </row>
    <row r="56" spans="1:47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162"/>
      <c r="Z56" s="162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59"/>
      <c r="AT56" s="36"/>
      <c r="AU56" s="59"/>
    </row>
    <row r="57" spans="1:4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152"/>
      <c r="Z57" s="152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59"/>
      <c r="AT57" s="36"/>
      <c r="AU57" s="59"/>
    </row>
    <row r="58" spans="1:47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59"/>
      <c r="AT58" s="36"/>
      <c r="AU58" s="59"/>
    </row>
    <row r="59" spans="1:47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59"/>
      <c r="AT59" s="36"/>
      <c r="AU59" s="59"/>
    </row>
    <row r="60" spans="1:47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59"/>
      <c r="AT60" s="36"/>
      <c r="AU60" s="59"/>
    </row>
    <row r="61" spans="1:47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59"/>
      <c r="AT61" s="36"/>
      <c r="AU61" s="59"/>
    </row>
    <row r="62" spans="1:47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59"/>
      <c r="AT62" s="36"/>
      <c r="AU62" s="59"/>
    </row>
    <row r="63" spans="1:47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59"/>
      <c r="AT63" s="36"/>
      <c r="AU63" s="59"/>
    </row>
    <row r="64" spans="1:47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59"/>
      <c r="AT64" s="36"/>
      <c r="AU64" s="59"/>
    </row>
    <row r="65" spans="1:47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59"/>
      <c r="AT65" s="36"/>
      <c r="AU65" s="59"/>
    </row>
    <row r="66" spans="1:47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59"/>
      <c r="AT66" s="36"/>
      <c r="AU66" s="59"/>
    </row>
    <row r="67" spans="1:4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59"/>
      <c r="AT67" s="36"/>
      <c r="AU67" s="59"/>
    </row>
    <row r="68" spans="1:47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59"/>
      <c r="AT68" s="36"/>
      <c r="AU68" s="59"/>
    </row>
    <row r="69" spans="1:47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59"/>
      <c r="AT69" s="36"/>
      <c r="AU69" s="59"/>
    </row>
    <row r="70" spans="1:47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59"/>
      <c r="AT70" s="36"/>
      <c r="AU70" s="59"/>
    </row>
    <row r="71" spans="1:47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59"/>
      <c r="AT71" s="36"/>
      <c r="AU71" s="59"/>
    </row>
    <row r="72" spans="1:47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59"/>
      <c r="AT72" s="36"/>
      <c r="AU72" s="59"/>
    </row>
    <row r="73" spans="1:47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59"/>
      <c r="AT73" s="36"/>
      <c r="AU73" s="59"/>
    </row>
    <row r="74" spans="1:47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59"/>
      <c r="AT74" s="36"/>
      <c r="AU74" s="59"/>
    </row>
    <row r="75" spans="1:47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59"/>
      <c r="AT75" s="36"/>
      <c r="AU75" s="59"/>
    </row>
    <row r="76" spans="1:47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59"/>
      <c r="AT76" s="36"/>
      <c r="AU76" s="59"/>
    </row>
    <row r="77" spans="1:4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59"/>
      <c r="AT77" s="36"/>
      <c r="AU77" s="59"/>
    </row>
    <row r="78" spans="1:47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59"/>
      <c r="AT78" s="36"/>
      <c r="AU78" s="59"/>
    </row>
    <row r="79" spans="1:47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59"/>
      <c r="AT79" s="36"/>
      <c r="AU79" s="59"/>
    </row>
    <row r="80" spans="1:47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59"/>
      <c r="AT80" s="36"/>
      <c r="AU80" s="59"/>
    </row>
    <row r="81" spans="1:47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59"/>
      <c r="AT81" s="36"/>
      <c r="AU81" s="59"/>
    </row>
    <row r="82" spans="1:47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59"/>
      <c r="AT82" s="36"/>
      <c r="AU82" s="59"/>
    </row>
    <row r="83" spans="1:47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59"/>
      <c r="AT83" s="36"/>
      <c r="AU83" s="59"/>
    </row>
    <row r="84" spans="1:47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59"/>
      <c r="AT84" s="36"/>
      <c r="AU84" s="59"/>
    </row>
    <row r="85" spans="1:47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59"/>
      <c r="AT85" s="36"/>
      <c r="AU85" s="59"/>
    </row>
    <row r="86" spans="1:47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59"/>
      <c r="AT86" s="36"/>
      <c r="AU86" s="59"/>
    </row>
    <row r="87" spans="1:4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59"/>
      <c r="AT87" s="36"/>
      <c r="AU87" s="59"/>
    </row>
    <row r="88" spans="1:47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59"/>
      <c r="AT88" s="36"/>
      <c r="AU88" s="59"/>
    </row>
    <row r="89" spans="1:47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59"/>
      <c r="AT89" s="36"/>
      <c r="AU89" s="59"/>
    </row>
    <row r="90" spans="1:47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59"/>
      <c r="AT90" s="36"/>
      <c r="AU90" s="59"/>
    </row>
    <row r="91" spans="1:47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59"/>
      <c r="AT91" s="36"/>
      <c r="AU91" s="59"/>
    </row>
    <row r="92" spans="1:47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59"/>
      <c r="AT92" s="36"/>
      <c r="AU92" s="59"/>
    </row>
    <row r="93" spans="1:47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59"/>
      <c r="AT93" s="36"/>
      <c r="AU93" s="59"/>
    </row>
    <row r="94" spans="1:47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59"/>
      <c r="AT94" s="36"/>
      <c r="AU94" s="59"/>
    </row>
    <row r="95" spans="1:47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59"/>
      <c r="AT95" s="36"/>
      <c r="AU95" s="59"/>
    </row>
    <row r="96" spans="1:47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59"/>
      <c r="AT96" s="36"/>
      <c r="AU96" s="59"/>
    </row>
    <row r="97" spans="1:4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59"/>
      <c r="AT97" s="36"/>
      <c r="AU97" s="59"/>
    </row>
    <row r="98" spans="1:47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59"/>
      <c r="AT98" s="36"/>
      <c r="AU98" s="59"/>
    </row>
    <row r="99" spans="1:47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59"/>
      <c r="AT99" s="36"/>
      <c r="AU99" s="59"/>
    </row>
    <row r="100" spans="1:47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59"/>
      <c r="AT100" s="36"/>
      <c r="AU100" s="59"/>
    </row>
    <row r="101" spans="1:47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59"/>
      <c r="AT101" s="36"/>
      <c r="AU101" s="59"/>
    </row>
    <row r="102" spans="1:47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59"/>
      <c r="AT102" s="36"/>
      <c r="AU102" s="59"/>
    </row>
    <row r="103" spans="1:47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59"/>
      <c r="AT103" s="36"/>
      <c r="AU103" s="59"/>
    </row>
    <row r="104" spans="1:47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59"/>
      <c r="AT104" s="36"/>
      <c r="AU104" s="59"/>
    </row>
    <row r="105" spans="1:47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59"/>
      <c r="AT105" s="36"/>
      <c r="AU105" s="59"/>
    </row>
    <row r="106" spans="1:47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59"/>
      <c r="AT106" s="36"/>
      <c r="AU106" s="59"/>
    </row>
    <row r="107" spans="1:4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59"/>
      <c r="AT107" s="36"/>
      <c r="AU107" s="59"/>
    </row>
    <row r="108" spans="1:47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59"/>
      <c r="AT108" s="36"/>
      <c r="AU108" s="59"/>
    </row>
    <row r="109" spans="1:47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59"/>
      <c r="AT109" s="36"/>
      <c r="AU109" s="59"/>
    </row>
    <row r="110" spans="1:47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59"/>
      <c r="AT110" s="36"/>
      <c r="AU110" s="59"/>
    </row>
    <row r="111" spans="1:47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59"/>
      <c r="AT111" s="36"/>
      <c r="AU111" s="59"/>
    </row>
    <row r="112" spans="1:47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59"/>
      <c r="AT112" s="36"/>
      <c r="AU112" s="59"/>
    </row>
    <row r="113" spans="1:47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59"/>
      <c r="AT113" s="36"/>
      <c r="AU113" s="59"/>
    </row>
    <row r="114" spans="1:47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59"/>
      <c r="AT114" s="36"/>
      <c r="AU114" s="59"/>
    </row>
    <row r="115" spans="1:47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59"/>
      <c r="AT115" s="36"/>
      <c r="AU115" s="59"/>
    </row>
    <row r="116" spans="1:47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59"/>
      <c r="AT116" s="36"/>
      <c r="AU116" s="59"/>
    </row>
    <row r="117" spans="1:4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59"/>
      <c r="AT117" s="36"/>
      <c r="AU117" s="59"/>
    </row>
    <row r="118" spans="1:47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59"/>
      <c r="AT118" s="36"/>
      <c r="AU118" s="59"/>
    </row>
    <row r="119" spans="1:47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59"/>
      <c r="AT119" s="36"/>
      <c r="AU119" s="59"/>
    </row>
    <row r="120" spans="1:47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59"/>
      <c r="AT120" s="36"/>
      <c r="AU120" s="59"/>
    </row>
    <row r="121" spans="1:47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59"/>
      <c r="AT121" s="36"/>
      <c r="AU121" s="59"/>
    </row>
    <row r="122" spans="1:47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59"/>
      <c r="AT122" s="36"/>
      <c r="AU122" s="59"/>
    </row>
    <row r="123" spans="1:47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59"/>
      <c r="AT123" s="36"/>
      <c r="AU123" s="59"/>
    </row>
    <row r="124" spans="1:47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59"/>
      <c r="AT124" s="36"/>
      <c r="AU124" s="59"/>
    </row>
    <row r="125" spans="1:47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59"/>
      <c r="AT125" s="36"/>
      <c r="AU125" s="59"/>
    </row>
    <row r="126" spans="1:47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59"/>
      <c r="AT126" s="36"/>
      <c r="AU126" s="59"/>
    </row>
    <row r="127" spans="1:4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59"/>
      <c r="AT127" s="36"/>
      <c r="AU127" s="59"/>
    </row>
    <row r="128" spans="1:47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59"/>
      <c r="AT128" s="36"/>
      <c r="AU128" s="59"/>
    </row>
    <row r="129" spans="1:47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59"/>
      <c r="AT129" s="36"/>
      <c r="AU129" s="59"/>
    </row>
    <row r="130" spans="1:47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59"/>
      <c r="AT130" s="36"/>
      <c r="AU130" s="59"/>
    </row>
    <row r="131" spans="1:47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59"/>
      <c r="AT131" s="36"/>
      <c r="AU131" s="59"/>
    </row>
    <row r="132" spans="1:47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59"/>
      <c r="AT132" s="36"/>
      <c r="AU132" s="59"/>
    </row>
    <row r="133" spans="1:47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59"/>
      <c r="AT133" s="36"/>
      <c r="AU133" s="59"/>
    </row>
    <row r="134" spans="1:47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59"/>
      <c r="AT134" s="36"/>
      <c r="AU134" s="59"/>
    </row>
    <row r="135" spans="1:47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59"/>
      <c r="AT135" s="36"/>
      <c r="AU135" s="59"/>
    </row>
    <row r="136" spans="1:47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59"/>
      <c r="AT136" s="36"/>
      <c r="AU136" s="59"/>
    </row>
    <row r="137" spans="1:4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59"/>
      <c r="AT137" s="36"/>
      <c r="AU137" s="59"/>
    </row>
    <row r="138" spans="1:47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59"/>
      <c r="AT138" s="36"/>
      <c r="AU138" s="59"/>
    </row>
    <row r="139" spans="1:47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59"/>
      <c r="AT139" s="36"/>
      <c r="AU139" s="59"/>
    </row>
    <row r="140" spans="1:47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59"/>
      <c r="AT140" s="36"/>
      <c r="AU140" s="59"/>
    </row>
    <row r="141" spans="1:47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59"/>
      <c r="AT141" s="36"/>
      <c r="AU141" s="59"/>
    </row>
    <row r="142" spans="1:47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59"/>
      <c r="AT142" s="36"/>
      <c r="AU142" s="59"/>
    </row>
    <row r="143" spans="1:47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59"/>
      <c r="AT143" s="36"/>
      <c r="AU143" s="59"/>
    </row>
    <row r="144" spans="1:47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59"/>
      <c r="AT144" s="36"/>
      <c r="AU144" s="59"/>
    </row>
    <row r="145" spans="1:47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59"/>
      <c r="AT145" s="36"/>
      <c r="AU145" s="59"/>
    </row>
    <row r="146" spans="1:47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59"/>
      <c r="AT146" s="36"/>
      <c r="AU146" s="59"/>
    </row>
    <row r="147" spans="1: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59"/>
      <c r="AT147" s="36"/>
      <c r="AU147" s="59"/>
    </row>
    <row r="148" spans="1:47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59"/>
      <c r="AT148" s="36"/>
      <c r="AU148" s="59"/>
    </row>
    <row r="149" spans="1:47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59"/>
      <c r="AT149" s="36"/>
      <c r="AU149" s="59"/>
    </row>
    <row r="150" spans="1:47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59"/>
      <c r="AT150" s="36"/>
      <c r="AU150" s="59"/>
    </row>
    <row r="151" spans="1:47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59"/>
      <c r="AT151" s="36"/>
      <c r="AU151" s="59"/>
    </row>
    <row r="152" spans="1:47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59"/>
      <c r="AT152" s="36"/>
      <c r="AU152" s="59"/>
    </row>
    <row r="153" spans="1:47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59"/>
      <c r="AT153" s="36"/>
      <c r="AU153" s="59"/>
    </row>
    <row r="154" spans="1:47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59"/>
      <c r="AT154" s="36"/>
      <c r="AU154" s="59"/>
    </row>
    <row r="155" spans="1:47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59"/>
      <c r="AT155" s="36"/>
      <c r="AU155" s="59"/>
    </row>
    <row r="156" spans="1:47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59"/>
      <c r="AT156" s="36"/>
      <c r="AU156" s="59"/>
    </row>
    <row r="157" spans="1:4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59"/>
      <c r="AT157" s="36"/>
      <c r="AU157" s="59"/>
    </row>
    <row r="158" spans="1:47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59"/>
      <c r="AT158" s="36"/>
      <c r="AU158" s="59"/>
    </row>
    <row r="159" spans="1:47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59"/>
      <c r="AT159" s="36"/>
      <c r="AU159" s="59"/>
    </row>
    <row r="160" spans="1:47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59"/>
      <c r="AT160" s="36"/>
      <c r="AU160" s="59"/>
    </row>
    <row r="161" spans="1:47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59"/>
      <c r="AT161" s="36"/>
      <c r="AU161" s="59"/>
    </row>
    <row r="162" spans="1:47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59"/>
      <c r="AT162" s="36"/>
      <c r="AU162" s="59"/>
    </row>
    <row r="163" spans="1:47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59"/>
      <c r="AT163" s="36"/>
      <c r="AU163" s="59"/>
    </row>
    <row r="164" spans="1:47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59"/>
      <c r="AT164" s="36"/>
      <c r="AU164" s="59"/>
    </row>
    <row r="165" spans="1:47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59"/>
      <c r="AT165" s="36"/>
      <c r="AU165" s="59"/>
    </row>
    <row r="166" spans="1:47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59"/>
      <c r="AT166" s="36"/>
      <c r="AU166" s="59"/>
    </row>
    <row r="167" spans="1:4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59"/>
      <c r="AT167" s="36"/>
      <c r="AU167" s="59"/>
    </row>
    <row r="168" spans="1:47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59"/>
      <c r="AT168" s="36"/>
      <c r="AU168" s="59"/>
    </row>
    <row r="169" spans="1:47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59"/>
      <c r="AT169" s="36"/>
      <c r="AU169" s="59"/>
    </row>
    <row r="170" spans="1:47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59"/>
      <c r="AT170" s="36"/>
      <c r="AU170" s="59"/>
    </row>
    <row r="171" spans="1:47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59"/>
      <c r="AT171" s="36"/>
      <c r="AU171" s="59"/>
    </row>
    <row r="172" spans="1:47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59"/>
      <c r="AT172" s="36"/>
      <c r="AU172" s="59"/>
    </row>
    <row r="173" spans="1:47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59"/>
      <c r="AT173" s="36"/>
      <c r="AU173" s="59"/>
    </row>
    <row r="174" spans="1:47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59"/>
      <c r="AT174" s="36"/>
      <c r="AU174" s="59"/>
    </row>
    <row r="175" spans="1:47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59"/>
      <c r="AT175" s="36"/>
      <c r="AU175" s="59"/>
    </row>
    <row r="176" spans="1:47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59"/>
      <c r="AT176" s="36"/>
      <c r="AU176" s="59"/>
    </row>
    <row r="177" spans="1:4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59"/>
      <c r="AT177" s="36"/>
      <c r="AU177" s="59"/>
    </row>
    <row r="178" spans="1:47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59"/>
      <c r="AT178" s="36"/>
      <c r="AU178" s="59"/>
    </row>
    <row r="179" spans="1:47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59"/>
      <c r="AT179" s="36"/>
      <c r="AU179" s="59"/>
    </row>
    <row r="180" spans="1:47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59"/>
      <c r="AT180" s="36"/>
      <c r="AU180" s="59"/>
    </row>
    <row r="181" spans="1:47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59"/>
      <c r="AT181" s="36"/>
      <c r="AU181" s="59"/>
    </row>
    <row r="182" spans="1:47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59"/>
      <c r="AT182" s="36"/>
      <c r="AU182" s="59"/>
    </row>
    <row r="183" spans="1:47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59"/>
      <c r="AT183" s="36"/>
      <c r="AU183" s="59"/>
    </row>
    <row r="184" spans="1:47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59"/>
      <c r="AT184" s="36"/>
      <c r="AU184" s="59"/>
    </row>
    <row r="185" spans="1:47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59"/>
      <c r="AT185" s="36"/>
      <c r="AU185" s="59"/>
    </row>
    <row r="186" spans="1:47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59"/>
      <c r="AT186" s="36"/>
      <c r="AU186" s="59"/>
    </row>
    <row r="187" spans="1:4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59"/>
      <c r="AT187" s="36"/>
      <c r="AU187" s="59"/>
    </row>
    <row r="188" spans="1:47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59"/>
      <c r="AT188" s="36"/>
      <c r="AU188" s="59"/>
    </row>
    <row r="189" spans="1:47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59"/>
      <c r="AT189" s="36"/>
      <c r="AU189" s="59"/>
    </row>
    <row r="190" spans="1:47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59"/>
      <c r="AT190" s="36"/>
      <c r="AU190" s="59"/>
    </row>
    <row r="191" spans="1:47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59"/>
      <c r="AT191" s="36"/>
      <c r="AU191" s="59"/>
    </row>
    <row r="192" spans="1:47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59"/>
      <c r="AT192" s="36"/>
      <c r="AU192" s="59"/>
    </row>
    <row r="193" spans="1:47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59"/>
      <c r="AT193" s="36"/>
      <c r="AU193" s="59"/>
    </row>
    <row r="194" spans="1:47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59"/>
      <c r="AT194" s="36"/>
      <c r="AU194" s="59"/>
    </row>
    <row r="195" spans="1:47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59"/>
      <c r="AT195" s="36"/>
      <c r="AU195" s="59"/>
    </row>
    <row r="196" spans="1:47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59"/>
      <c r="AT196" s="36"/>
      <c r="AU196" s="59"/>
    </row>
    <row r="197" spans="1:4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59"/>
      <c r="AT197" s="36"/>
      <c r="AU197" s="59"/>
    </row>
    <row r="198" spans="1:47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59"/>
      <c r="AT198" s="36"/>
      <c r="AU198" s="59"/>
    </row>
    <row r="199" spans="1:47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59"/>
      <c r="AT199" s="36"/>
      <c r="AU199" s="59"/>
    </row>
    <row r="200" spans="1:47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59"/>
      <c r="AT200" s="36"/>
      <c r="AU200" s="59"/>
    </row>
    <row r="201" spans="1:47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59"/>
      <c r="AT201" s="36"/>
      <c r="AU201" s="59"/>
    </row>
    <row r="202" spans="1:47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59"/>
      <c r="AT202" s="36"/>
      <c r="AU202" s="59"/>
    </row>
    <row r="203" spans="1:47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59"/>
      <c r="AT203" s="36"/>
      <c r="AU203" s="59"/>
    </row>
    <row r="204" spans="1:47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59"/>
      <c r="AT204" s="36"/>
      <c r="AU204" s="59"/>
    </row>
    <row r="205" spans="1:47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59"/>
      <c r="AT205" s="36"/>
      <c r="AU205" s="59"/>
    </row>
    <row r="206" spans="1:47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59"/>
      <c r="AT206" s="36"/>
      <c r="AU206" s="59"/>
    </row>
    <row r="207" spans="1:4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59"/>
      <c r="AT207" s="36"/>
      <c r="AU207" s="59"/>
    </row>
    <row r="208" spans="1:47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59"/>
      <c r="AT208" s="36"/>
      <c r="AU208" s="59"/>
    </row>
    <row r="209" spans="1:47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59"/>
      <c r="AT209" s="36"/>
      <c r="AU209" s="59"/>
    </row>
    <row r="210" spans="1:47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59"/>
      <c r="AT210" s="36"/>
      <c r="AU210" s="59"/>
    </row>
    <row r="211" spans="1:47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59"/>
      <c r="AT211" s="36"/>
      <c r="AU211" s="59"/>
    </row>
    <row r="212" spans="1:47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59"/>
      <c r="AT212" s="36"/>
      <c r="AU212" s="59"/>
    </row>
    <row r="213" spans="1:47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59"/>
      <c r="AT213" s="36"/>
      <c r="AU213" s="59"/>
    </row>
    <row r="214" spans="1:47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59"/>
      <c r="AT214" s="36"/>
      <c r="AU214" s="59"/>
    </row>
    <row r="215" spans="1:47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59"/>
      <c r="AT215" s="36"/>
      <c r="AU215" s="59"/>
    </row>
    <row r="216" spans="1:47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59"/>
      <c r="AT216" s="36"/>
      <c r="AU216" s="59"/>
    </row>
    <row r="217" spans="1:4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59"/>
      <c r="AT217" s="36"/>
      <c r="AU217" s="59"/>
    </row>
    <row r="218" spans="1:47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59"/>
      <c r="AT218" s="36"/>
      <c r="AU218" s="59"/>
    </row>
    <row r="219" spans="1:47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59"/>
      <c r="AT219" s="36"/>
      <c r="AU219" s="59"/>
    </row>
    <row r="220" spans="1:47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59"/>
      <c r="AT220" s="36"/>
      <c r="AU220" s="59"/>
    </row>
    <row r="221" spans="1:47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59"/>
      <c r="AT221" s="36"/>
      <c r="AU221" s="59"/>
    </row>
    <row r="222" spans="1:47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59"/>
      <c r="AT222" s="36"/>
      <c r="AU222" s="59"/>
    </row>
    <row r="223" spans="1:47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59"/>
      <c r="AT223" s="36"/>
      <c r="AU223" s="59"/>
    </row>
    <row r="224" spans="1:47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59"/>
      <c r="AT224" s="36"/>
      <c r="AU224" s="59"/>
    </row>
    <row r="225" spans="1:47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59"/>
      <c r="AT225" s="36"/>
      <c r="AU225" s="59"/>
    </row>
    <row r="226" spans="1:47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59"/>
      <c r="AT226" s="36"/>
      <c r="AU226" s="59"/>
    </row>
    <row r="227" spans="1:4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59"/>
      <c r="AT227" s="36"/>
      <c r="AU227" s="59"/>
    </row>
    <row r="228" spans="1:47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59"/>
      <c r="AT228" s="36"/>
      <c r="AU228" s="59"/>
    </row>
    <row r="229" spans="1:47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59"/>
      <c r="AT229" s="36"/>
      <c r="AU229" s="59"/>
    </row>
    <row r="230" spans="1:47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59"/>
      <c r="AT230" s="36"/>
      <c r="AU230" s="59"/>
    </row>
    <row r="231" spans="1:47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59"/>
      <c r="AT231" s="36"/>
      <c r="AU231" s="59"/>
    </row>
    <row r="232" spans="1:47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59"/>
      <c r="AT232" s="36"/>
      <c r="AU232" s="59"/>
    </row>
    <row r="233" spans="1:47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59"/>
      <c r="AT233" s="36"/>
      <c r="AU233" s="59"/>
    </row>
    <row r="234" spans="1:47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59"/>
      <c r="AT234" s="36"/>
      <c r="AU234" s="59"/>
    </row>
    <row r="235" spans="1:47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59"/>
      <c r="AT235" s="36"/>
      <c r="AU235" s="59"/>
    </row>
    <row r="236" spans="1:47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59"/>
      <c r="AT236" s="36"/>
      <c r="AU236" s="59"/>
    </row>
    <row r="237" spans="1:4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59"/>
      <c r="AT237" s="36"/>
      <c r="AU237" s="59"/>
    </row>
    <row r="238" spans="1:47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59"/>
      <c r="AT238" s="36"/>
      <c r="AU238" s="59"/>
    </row>
    <row r="239" spans="1:47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59"/>
      <c r="AT239" s="36"/>
      <c r="AU239" s="59"/>
    </row>
    <row r="240" spans="1:47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59"/>
      <c r="AT240" s="36"/>
      <c r="AU240" s="59"/>
    </row>
    <row r="241" spans="1:47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59"/>
      <c r="AT241" s="36"/>
      <c r="AU241" s="59"/>
    </row>
    <row r="242" spans="1:47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59"/>
      <c r="AT242" s="36"/>
      <c r="AU242" s="59"/>
    </row>
    <row r="243" spans="1:47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59"/>
      <c r="AT243" s="36"/>
      <c r="AU243" s="59"/>
    </row>
    <row r="244" spans="1:47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59"/>
      <c r="AT244" s="36"/>
      <c r="AU244" s="59"/>
    </row>
    <row r="245" spans="1:47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59"/>
      <c r="AT245" s="36"/>
      <c r="AU245" s="59"/>
    </row>
    <row r="246" spans="1:47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59"/>
      <c r="AT246" s="36"/>
      <c r="AU246" s="59"/>
    </row>
    <row r="247" spans="1: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59"/>
      <c r="AT247" s="36"/>
      <c r="AU247" s="59"/>
    </row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s="4" customFormat="1" ht="15.75" customHeight="1"/>
    <row r="258" s="4" customFormat="1" ht="15.75" customHeight="1"/>
    <row r="259" s="4" customFormat="1" ht="15.75" customHeight="1"/>
    <row r="260" s="4" customFormat="1" ht="15.75" customHeight="1"/>
    <row r="261" s="4" customFormat="1" ht="15.75" customHeight="1"/>
    <row r="262" s="4" customFormat="1" ht="15.75" customHeight="1"/>
    <row r="263" s="4" customFormat="1" ht="15.75" customHeight="1"/>
    <row r="264" s="4" customFormat="1" ht="15.75" customHeight="1"/>
    <row r="265" s="4" customFormat="1" ht="15.75" customHeight="1"/>
    <row r="266" s="4" customFormat="1" ht="15.75" customHeight="1"/>
    <row r="267" s="4" customFormat="1" ht="15.75" customHeight="1"/>
    <row r="268" s="4" customFormat="1" ht="15.75" customHeight="1"/>
    <row r="269" s="4" customFormat="1" ht="15.75" customHeight="1"/>
    <row r="270" s="4" customFormat="1" ht="15.75" customHeight="1"/>
    <row r="271" s="4" customFormat="1" ht="15.75" customHeight="1"/>
    <row r="272" s="4" customFormat="1" ht="15.75" customHeight="1"/>
    <row r="273" s="4" customFormat="1" ht="15.75" customHeight="1"/>
    <row r="274" s="4" customFormat="1" ht="15.75" customHeight="1"/>
    <row r="275" s="4" customFormat="1" ht="15.75" customHeight="1"/>
    <row r="276" s="4" customFormat="1" ht="15.75" customHeight="1"/>
    <row r="277" s="4" customFormat="1" ht="15.75" customHeight="1"/>
    <row r="278" s="4" customFormat="1" ht="15.75" customHeight="1"/>
    <row r="279" s="4" customFormat="1" ht="15.75" customHeight="1"/>
    <row r="280" s="4" customFormat="1" ht="15.75" customHeight="1"/>
    <row r="281" s="4" customFormat="1" ht="15.75" customHeight="1"/>
    <row r="282" s="4" customFormat="1" ht="15.75" customHeight="1"/>
    <row r="283" s="4" customFormat="1" ht="15.75" customHeight="1"/>
    <row r="284" s="4" customFormat="1" ht="15.75" customHeight="1"/>
    <row r="285" s="4" customFormat="1" ht="15.75" customHeight="1"/>
    <row r="286" s="4" customFormat="1" ht="15.75" customHeight="1"/>
    <row r="287" s="4" customFormat="1" ht="15.75" customHeight="1"/>
    <row r="288" s="4" customFormat="1" ht="15.75" customHeight="1"/>
    <row r="289" s="4" customFormat="1" ht="15.75" customHeight="1"/>
    <row r="290" s="4" customFormat="1" ht="15.75" customHeight="1"/>
    <row r="291" s="4" customFormat="1" ht="15.75" customHeight="1"/>
    <row r="292" s="4" customFormat="1" ht="15.75" customHeight="1"/>
    <row r="293" s="4" customFormat="1" ht="15.75" customHeight="1"/>
    <row r="294" s="4" customFormat="1" ht="15.75" customHeight="1"/>
    <row r="295" s="4" customFormat="1" ht="15.75" customHeight="1"/>
    <row r="296" s="4" customFormat="1" ht="15.75" customHeight="1"/>
    <row r="297" s="4" customFormat="1" ht="15.75" customHeight="1"/>
    <row r="298" s="4" customFormat="1" ht="15.75" customHeight="1"/>
    <row r="299" s="4" customFormat="1" ht="15.75" customHeight="1"/>
    <row r="300" s="4" customFormat="1" ht="15.75" customHeight="1"/>
    <row r="301" s="4" customFormat="1" ht="15.75" customHeight="1"/>
    <row r="302" s="4" customFormat="1" ht="15.75" customHeight="1"/>
    <row r="303" s="4" customFormat="1" ht="15.75" customHeight="1"/>
    <row r="304" s="4" customFormat="1" ht="15.75" customHeight="1"/>
    <row r="305" s="4" customFormat="1" ht="15.75" customHeight="1"/>
    <row r="306" s="4" customFormat="1" ht="15.75" customHeight="1"/>
    <row r="307" s="4" customFormat="1" ht="15.75" customHeight="1"/>
    <row r="308" s="4" customFormat="1" ht="15.75" customHeight="1"/>
    <row r="309" s="4" customFormat="1" ht="15.75" customHeight="1"/>
    <row r="310" s="4" customFormat="1" ht="15.75" customHeight="1"/>
    <row r="311" s="4" customFormat="1" ht="15.75" customHeight="1"/>
    <row r="312" s="4" customFormat="1" ht="15.75" customHeight="1"/>
    <row r="313" s="4" customFormat="1" ht="15.75" customHeight="1"/>
    <row r="314" s="4" customFormat="1" ht="15.75" customHeight="1"/>
    <row r="315" s="4" customFormat="1" ht="15.75" customHeight="1"/>
    <row r="316" s="4" customFormat="1" ht="15.75" customHeight="1"/>
    <row r="317" s="4" customFormat="1" ht="15.75" customHeight="1"/>
    <row r="318" s="4" customFormat="1" ht="15.75" customHeight="1"/>
    <row r="319" s="4" customFormat="1" ht="15.75" customHeight="1"/>
    <row r="320" s="4" customFormat="1" ht="15.75" customHeight="1"/>
    <row r="321" s="4" customFormat="1" ht="15.75" customHeight="1"/>
    <row r="322" s="4" customFormat="1" ht="15.75" customHeight="1"/>
    <row r="323" s="4" customFormat="1" ht="15.75" customHeight="1"/>
    <row r="324" s="4" customFormat="1" ht="15.75" customHeight="1"/>
    <row r="325" s="4" customFormat="1" ht="15.75" customHeight="1"/>
    <row r="326" s="4" customFormat="1" ht="15.75" customHeight="1"/>
    <row r="327" s="4" customFormat="1" ht="15.75" customHeight="1"/>
    <row r="328" s="4" customFormat="1" ht="15.75" customHeight="1"/>
    <row r="329" s="4" customFormat="1" ht="15.75" customHeight="1"/>
    <row r="330" s="4" customFormat="1" ht="15.75" customHeight="1"/>
    <row r="331" s="4" customFormat="1" ht="15.75" customHeight="1"/>
    <row r="332" s="4" customFormat="1" ht="15.75" customHeight="1"/>
    <row r="333" s="4" customFormat="1" ht="15.75" customHeight="1"/>
    <row r="334" s="4" customFormat="1" ht="15.75" customHeight="1"/>
    <row r="335" s="4" customFormat="1" ht="15.75" customHeight="1"/>
    <row r="336" s="4" customFormat="1" ht="15.75" customHeight="1"/>
    <row r="337" s="4" customFormat="1" ht="15.75" customHeight="1"/>
    <row r="338" s="4" customFormat="1" ht="15.75" customHeight="1"/>
    <row r="339" s="4" customFormat="1" ht="15.75" customHeight="1"/>
    <row r="340" s="4" customFormat="1" ht="15.75" customHeight="1"/>
    <row r="341" s="4" customFormat="1" ht="15.75" customHeight="1"/>
    <row r="342" s="4" customFormat="1" ht="15.75" customHeight="1"/>
    <row r="343" s="4" customFormat="1" ht="15.75" customHeight="1"/>
    <row r="344" s="4" customFormat="1" ht="15.75" customHeight="1"/>
    <row r="345" s="4" customFormat="1" ht="15.75" customHeight="1"/>
    <row r="346" s="4" customFormat="1" ht="15.75" customHeight="1"/>
    <row r="347" s="4" customFormat="1" ht="15.75" customHeight="1"/>
    <row r="348" s="4" customFormat="1" ht="15.75" customHeight="1"/>
    <row r="349" s="4" customFormat="1" ht="15.75" customHeight="1"/>
    <row r="350" s="4" customFormat="1" ht="15.75" customHeight="1"/>
    <row r="351" s="4" customFormat="1" ht="15.75" customHeight="1"/>
    <row r="352" s="4" customFormat="1" ht="15.75" customHeight="1"/>
    <row r="353" s="4" customFormat="1" ht="15.75" customHeight="1"/>
    <row r="354" s="4" customFormat="1" ht="15.75" customHeight="1"/>
    <row r="355" s="4" customFormat="1" ht="15.75" customHeight="1"/>
    <row r="356" s="4" customFormat="1" ht="15.75" customHeight="1"/>
    <row r="357" s="4" customFormat="1" ht="15.75" customHeight="1"/>
    <row r="358" s="4" customFormat="1" ht="15.75" customHeight="1"/>
    <row r="359" s="4" customFormat="1" ht="15.75" customHeight="1"/>
    <row r="360" s="4" customFormat="1" ht="15.75" customHeight="1"/>
    <row r="361" s="4" customFormat="1" ht="15.75" customHeight="1"/>
    <row r="362" s="4" customFormat="1" ht="15.75" customHeight="1"/>
    <row r="363" s="4" customFormat="1" ht="15.75" customHeight="1"/>
    <row r="364" s="4" customFormat="1" ht="15.75" customHeight="1"/>
    <row r="365" s="4" customFormat="1" ht="15.75" customHeight="1"/>
    <row r="366" s="4" customFormat="1" ht="15.75" customHeight="1"/>
    <row r="367" s="4" customFormat="1" ht="15.75" customHeight="1"/>
    <row r="368" s="4" customFormat="1" ht="15.75" customHeight="1"/>
    <row r="369" s="4" customFormat="1" ht="15.75" customHeight="1"/>
    <row r="370" s="4" customFormat="1" ht="15.75" customHeight="1"/>
    <row r="371" s="4" customFormat="1" ht="15.75" customHeight="1"/>
    <row r="372" s="4" customFormat="1" ht="15.75" customHeight="1"/>
    <row r="373" s="4" customFormat="1" ht="15.75" customHeight="1"/>
    <row r="374" s="4" customFormat="1" ht="15.75" customHeight="1"/>
    <row r="375" s="4" customFormat="1" ht="15.75" customHeight="1"/>
    <row r="376" s="4" customFormat="1" ht="15.75" customHeight="1"/>
    <row r="377" s="4" customFormat="1" ht="15.75" customHeight="1"/>
    <row r="378" s="4" customFormat="1" ht="15.75" customHeight="1"/>
    <row r="379" s="4" customFormat="1" ht="15.75" customHeight="1"/>
    <row r="380" s="4" customFormat="1" ht="15.75" customHeight="1"/>
    <row r="381" s="4" customFormat="1" ht="15.75" customHeight="1"/>
    <row r="382" s="4" customFormat="1" ht="15.75" customHeight="1"/>
    <row r="383" s="4" customFormat="1" ht="15.75" customHeight="1"/>
    <row r="384" s="4" customFormat="1" ht="15.75" customHeight="1"/>
    <row r="385" s="4" customFormat="1" ht="15.75" customHeight="1"/>
    <row r="386" s="4" customFormat="1" ht="15.75" customHeight="1"/>
    <row r="387" s="4" customFormat="1" ht="15.75" customHeight="1"/>
    <row r="388" s="4" customFormat="1" ht="15.75" customHeight="1"/>
    <row r="389" s="4" customFormat="1" ht="15.75" customHeight="1"/>
    <row r="390" s="4" customFormat="1" ht="15.75" customHeight="1"/>
    <row r="391" s="4" customFormat="1" ht="15.75" customHeight="1"/>
    <row r="392" s="4" customFormat="1" ht="15.75" customHeight="1"/>
    <row r="393" s="4" customFormat="1" ht="15.75" customHeight="1"/>
    <row r="394" s="4" customFormat="1" ht="15.75" customHeight="1"/>
    <row r="395" s="4" customFormat="1" ht="15.75" customHeight="1"/>
    <row r="396" s="4" customFormat="1" ht="15.75" customHeight="1"/>
    <row r="397" s="4" customFormat="1" ht="15.75" customHeight="1"/>
    <row r="398" s="4" customFormat="1" ht="15.75" customHeight="1"/>
    <row r="399" s="4" customFormat="1" ht="15.75" customHeight="1"/>
    <row r="400" s="4" customFormat="1" ht="15.75" customHeight="1"/>
    <row r="401" s="4" customFormat="1" ht="15.75" customHeight="1"/>
    <row r="402" s="4" customFormat="1" ht="15.75" customHeight="1"/>
    <row r="403" s="4" customFormat="1" ht="15.75" customHeight="1"/>
    <row r="404" s="4" customFormat="1" ht="15.75" customHeight="1"/>
    <row r="405" s="4" customFormat="1" ht="15.75" customHeight="1"/>
    <row r="406" s="4" customFormat="1" ht="15.75" customHeight="1"/>
    <row r="407" s="4" customFormat="1" ht="15.75" customHeight="1"/>
    <row r="408" s="4" customFormat="1" ht="15.75" customHeight="1"/>
    <row r="409" s="4" customFormat="1" ht="15.75" customHeight="1"/>
    <row r="410" s="4" customFormat="1" ht="15.75" customHeight="1"/>
    <row r="411" s="4" customFormat="1" ht="15.75" customHeight="1"/>
    <row r="412" s="4" customFormat="1" ht="15.75" customHeight="1"/>
    <row r="413" s="4" customFormat="1" ht="15.75" customHeight="1"/>
    <row r="414" s="4" customFormat="1" ht="15.75" customHeight="1"/>
    <row r="415" s="4" customFormat="1" ht="15.75" customHeight="1"/>
    <row r="416" s="4" customFormat="1" ht="15.75" customHeight="1"/>
    <row r="417" s="4" customFormat="1" ht="15.75" customHeight="1"/>
    <row r="418" s="4" customFormat="1" ht="15.75" customHeight="1"/>
    <row r="419" s="4" customFormat="1" ht="15.75" customHeight="1"/>
    <row r="420" s="4" customFormat="1" ht="15.75" customHeight="1"/>
    <row r="421" s="4" customFormat="1" ht="15.75" customHeight="1"/>
    <row r="422" s="4" customFormat="1" ht="15.75" customHeight="1"/>
    <row r="423" s="4" customFormat="1" ht="15.75" customHeight="1"/>
    <row r="424" s="4" customFormat="1" ht="15.75" customHeight="1"/>
    <row r="425" s="4" customFormat="1" ht="15.75" customHeight="1"/>
    <row r="426" s="4" customFormat="1" ht="15.75" customHeight="1"/>
    <row r="427" s="4" customFormat="1" ht="15.75" customHeight="1"/>
    <row r="428" s="4" customFormat="1" ht="15.75" customHeight="1"/>
    <row r="429" s="4" customFormat="1" ht="15.75" customHeight="1"/>
    <row r="430" s="4" customFormat="1" ht="15.75" customHeight="1"/>
    <row r="431" s="4" customFormat="1" ht="15.75" customHeight="1"/>
    <row r="432" s="4" customFormat="1" ht="15.75" customHeight="1"/>
    <row r="433" s="4" customFormat="1" ht="15.75" customHeight="1"/>
    <row r="434" s="4" customFormat="1" ht="15.75" customHeight="1"/>
    <row r="435" s="4" customFormat="1" ht="15.75" customHeight="1"/>
    <row r="436" s="4" customFormat="1" ht="15.75" customHeight="1"/>
    <row r="437" s="4" customFormat="1" ht="15.75" customHeight="1"/>
    <row r="438" s="4" customFormat="1" ht="15.75" customHeight="1"/>
    <row r="439" s="4" customFormat="1" ht="15.75" customHeight="1"/>
    <row r="440" s="4" customFormat="1" ht="15.75" customHeight="1"/>
    <row r="441" s="4" customFormat="1" ht="15.75" customHeight="1"/>
    <row r="442" s="4" customFormat="1" ht="15.75" customHeight="1"/>
    <row r="443" s="4" customFormat="1" ht="15.75" customHeight="1"/>
    <row r="444" s="4" customFormat="1" ht="15.75" customHeight="1"/>
    <row r="445" s="4" customFormat="1" ht="15.75" customHeight="1"/>
    <row r="446" s="4" customFormat="1" ht="15.75" customHeight="1"/>
    <row r="447" s="4" customFormat="1" ht="15.75" customHeight="1"/>
    <row r="448" s="4" customFormat="1" ht="15.75" customHeight="1"/>
    <row r="449" s="4" customFormat="1" ht="15.75" customHeight="1"/>
    <row r="450" s="4" customFormat="1" ht="15.75" customHeight="1"/>
    <row r="451" s="4" customFormat="1" ht="15.75" customHeight="1"/>
    <row r="452" s="4" customFormat="1" ht="15.75" customHeight="1"/>
    <row r="453" s="4" customFormat="1" ht="15.75" customHeight="1"/>
    <row r="454" s="4" customFormat="1" ht="15.75" customHeight="1"/>
    <row r="455" s="4" customFormat="1" ht="15.75" customHeight="1"/>
    <row r="456" s="4" customFormat="1" ht="15.75" customHeight="1"/>
    <row r="457" s="4" customFormat="1" ht="15.75" customHeight="1"/>
    <row r="458" s="4" customFormat="1" ht="15.75" customHeight="1"/>
    <row r="459" s="4" customFormat="1" ht="15.75" customHeight="1"/>
    <row r="460" s="4" customFormat="1" ht="15.75" customHeight="1"/>
    <row r="461" s="4" customFormat="1" ht="15.75" customHeight="1"/>
    <row r="462" s="4" customFormat="1" ht="15.75" customHeight="1"/>
    <row r="463" s="4" customFormat="1" ht="15.75" customHeight="1"/>
    <row r="464" s="4" customFormat="1" ht="15.75" customHeight="1"/>
    <row r="465" s="4" customFormat="1" ht="15.75" customHeight="1"/>
    <row r="466" s="4" customFormat="1" ht="15.75" customHeight="1"/>
    <row r="467" s="4" customFormat="1" ht="15.75" customHeight="1"/>
    <row r="468" s="4" customFormat="1" ht="15.75" customHeight="1"/>
    <row r="469" s="4" customFormat="1" ht="15.75" customHeight="1"/>
    <row r="470" s="4" customFormat="1" ht="15.75" customHeight="1"/>
    <row r="471" s="4" customFormat="1" ht="15.75" customHeight="1"/>
    <row r="472" s="4" customFormat="1" ht="15.75" customHeight="1"/>
    <row r="473" s="4" customFormat="1" ht="15.75" customHeight="1"/>
    <row r="474" s="4" customFormat="1" ht="15.75" customHeight="1"/>
    <row r="475" s="4" customFormat="1" ht="15.75" customHeight="1"/>
    <row r="476" s="4" customFormat="1" ht="15.75" customHeight="1"/>
    <row r="477" s="4" customFormat="1" ht="15.75" customHeight="1"/>
    <row r="478" s="4" customFormat="1" ht="15.75" customHeight="1"/>
    <row r="479" s="4" customFormat="1" ht="15.75" customHeight="1"/>
    <row r="480" s="4" customFormat="1" ht="15.75" customHeight="1"/>
    <row r="481" s="4" customFormat="1" ht="15.75" customHeight="1"/>
    <row r="482" s="4" customFormat="1" ht="15.75" customHeight="1"/>
    <row r="483" s="4" customFormat="1" ht="15.75" customHeight="1"/>
    <row r="484" s="4" customFormat="1" ht="15.75" customHeight="1"/>
    <row r="485" s="4" customFormat="1" ht="15.75" customHeight="1"/>
    <row r="486" s="4" customFormat="1" ht="15.75" customHeight="1"/>
    <row r="487" s="4" customFormat="1" ht="15.75" customHeight="1"/>
    <row r="488" s="4" customFormat="1" ht="15.75" customHeight="1"/>
    <row r="489" s="4" customFormat="1" ht="15.75" customHeight="1"/>
    <row r="490" s="4" customFormat="1" ht="15.75" customHeight="1"/>
    <row r="491" s="4" customFormat="1" ht="15.75" customHeight="1"/>
    <row r="492" s="4" customFormat="1" ht="15.75" customHeight="1"/>
    <row r="493" s="4" customFormat="1" ht="15.75" customHeight="1"/>
    <row r="494" s="4" customFormat="1" ht="15.75" customHeight="1"/>
    <row r="495" s="4" customFormat="1" ht="15.75" customHeight="1"/>
    <row r="496" s="4" customFormat="1" ht="15.75" customHeight="1"/>
    <row r="497" s="4" customFormat="1" ht="15.75" customHeight="1"/>
    <row r="498" s="4" customFormat="1" ht="15.75" customHeight="1"/>
    <row r="499" s="4" customFormat="1" ht="15.75" customHeight="1"/>
    <row r="500" s="4" customFormat="1" ht="15.75" customHeight="1"/>
    <row r="501" s="4" customFormat="1" ht="15.75" customHeight="1"/>
    <row r="502" s="4" customFormat="1" ht="15.75" customHeight="1"/>
    <row r="503" s="4" customFormat="1" ht="15.75" customHeight="1"/>
    <row r="504" s="4" customFormat="1" ht="15.75" customHeight="1"/>
    <row r="505" s="4" customFormat="1" ht="15.75" customHeight="1"/>
    <row r="506" s="4" customFormat="1" ht="15.75" customHeight="1"/>
    <row r="507" s="4" customFormat="1" ht="15.75" customHeight="1"/>
    <row r="508" s="4" customFormat="1" ht="15.75" customHeight="1"/>
    <row r="509" s="4" customFormat="1" ht="15.75" customHeight="1"/>
    <row r="510" s="4" customFormat="1" ht="15.75" customHeight="1"/>
    <row r="511" s="4" customFormat="1" ht="15.75" customHeight="1"/>
    <row r="512" s="4" customFormat="1" ht="15.75" customHeight="1"/>
    <row r="513" s="4" customFormat="1" ht="15.75" customHeight="1"/>
    <row r="514" s="4" customFormat="1" ht="15.75" customHeight="1"/>
    <row r="515" s="4" customFormat="1" ht="15.75" customHeight="1"/>
    <row r="516" s="4" customFormat="1" ht="15.75" customHeight="1"/>
    <row r="517" s="4" customFormat="1" ht="15.75" customHeight="1"/>
    <row r="518" s="4" customFormat="1" ht="15.75" customHeight="1"/>
    <row r="519" s="4" customFormat="1" ht="15.75" customHeight="1"/>
    <row r="520" s="4" customFormat="1" ht="15.75" customHeight="1"/>
    <row r="521" s="4" customFormat="1" ht="15.75" customHeight="1"/>
    <row r="522" s="4" customFormat="1" ht="15.75" customHeight="1"/>
    <row r="523" s="4" customFormat="1" ht="15.75" customHeight="1"/>
    <row r="524" s="4" customFormat="1" ht="15.75" customHeight="1"/>
    <row r="525" s="4" customFormat="1" ht="15.75" customHeight="1"/>
    <row r="526" s="4" customFormat="1" ht="15.75" customHeight="1"/>
    <row r="527" s="4" customFormat="1" ht="15.75" customHeight="1"/>
    <row r="528" s="4" customFormat="1" ht="15.75" customHeight="1"/>
    <row r="529" s="4" customFormat="1" ht="15.75" customHeight="1"/>
    <row r="530" s="4" customFormat="1" ht="15.75" customHeight="1"/>
    <row r="531" s="4" customFormat="1" ht="15.75" customHeight="1"/>
    <row r="532" s="4" customFormat="1" ht="15.75" customHeight="1"/>
    <row r="533" s="4" customFormat="1" ht="15.75" customHeight="1"/>
    <row r="534" s="4" customFormat="1" ht="15.75" customHeight="1"/>
    <row r="535" s="4" customFormat="1" ht="15.75" customHeight="1"/>
    <row r="536" s="4" customFormat="1" ht="15.75" customHeight="1"/>
    <row r="537" s="4" customFormat="1" ht="15.75" customHeight="1"/>
    <row r="538" s="4" customFormat="1" ht="15.75" customHeight="1"/>
    <row r="539" s="4" customFormat="1" ht="15.75" customHeight="1"/>
    <row r="540" s="4" customFormat="1" ht="15.75" customHeight="1"/>
    <row r="541" s="4" customFormat="1" ht="15.75" customHeight="1"/>
    <row r="542" s="4" customFormat="1" ht="15.75" customHeight="1"/>
    <row r="543" s="4" customFormat="1" ht="15.75" customHeight="1"/>
    <row r="544" s="4" customFormat="1" ht="15.75" customHeight="1"/>
    <row r="545" s="4" customFormat="1" ht="15.75" customHeight="1"/>
    <row r="546" s="4" customFormat="1" ht="15.75" customHeight="1"/>
    <row r="547" s="4" customFormat="1" ht="15.75" customHeight="1"/>
    <row r="548" s="4" customFormat="1" ht="15.75" customHeight="1"/>
    <row r="549" s="4" customFormat="1" ht="15.75" customHeight="1"/>
    <row r="550" s="4" customFormat="1" ht="15.75" customHeight="1"/>
    <row r="551" s="4" customFormat="1" ht="15.75" customHeight="1"/>
    <row r="552" s="4" customFormat="1" ht="15.75" customHeight="1"/>
    <row r="553" s="4" customFormat="1" ht="15.75" customHeight="1"/>
    <row r="554" s="4" customFormat="1" ht="15.75" customHeight="1"/>
    <row r="555" s="4" customFormat="1" ht="15.75" customHeight="1"/>
    <row r="556" s="4" customFormat="1" ht="15.75" customHeight="1"/>
    <row r="557" s="4" customFormat="1" ht="15.75" customHeight="1"/>
    <row r="558" s="4" customFormat="1" ht="15.75" customHeight="1"/>
    <row r="559" s="4" customFormat="1" ht="15.75" customHeight="1"/>
    <row r="560" s="4" customFormat="1" ht="15.75" customHeight="1"/>
    <row r="561" s="4" customFormat="1" ht="15.75" customHeight="1"/>
    <row r="562" s="4" customFormat="1" ht="15.75" customHeight="1"/>
    <row r="563" s="4" customFormat="1" ht="15.75" customHeight="1"/>
    <row r="564" s="4" customFormat="1" ht="15.75" customHeight="1"/>
    <row r="565" s="4" customFormat="1" ht="15.75" customHeight="1"/>
    <row r="566" s="4" customFormat="1" ht="15.75" customHeight="1"/>
    <row r="567" s="4" customFormat="1" ht="15.75" customHeight="1"/>
    <row r="568" s="4" customFormat="1" ht="15.75" customHeight="1"/>
    <row r="569" s="4" customFormat="1" ht="15.75" customHeight="1"/>
    <row r="570" s="4" customFormat="1" ht="15.75" customHeight="1"/>
    <row r="571" s="4" customFormat="1" ht="15.75" customHeight="1"/>
    <row r="572" s="4" customFormat="1" ht="15.75" customHeight="1"/>
    <row r="573" s="4" customFormat="1" ht="15.75" customHeight="1"/>
    <row r="574" s="4" customFormat="1" ht="15.75" customHeight="1"/>
    <row r="575" s="4" customFormat="1" ht="15.75" customHeight="1"/>
    <row r="576" s="4" customFormat="1" ht="15.75" customHeight="1"/>
    <row r="577" s="4" customFormat="1" ht="15.75" customHeight="1"/>
    <row r="578" s="4" customFormat="1" ht="15.75" customHeight="1"/>
    <row r="579" s="4" customFormat="1" ht="15.75" customHeight="1"/>
    <row r="580" s="4" customFormat="1" ht="15.75" customHeight="1"/>
    <row r="581" s="4" customFormat="1" ht="15.75" customHeight="1"/>
    <row r="582" s="4" customFormat="1" ht="15.75" customHeight="1"/>
    <row r="583" s="4" customFormat="1" ht="15.75" customHeight="1"/>
    <row r="584" s="4" customFormat="1" ht="15.75" customHeight="1"/>
    <row r="585" s="4" customFormat="1" ht="15.75" customHeight="1"/>
    <row r="586" s="4" customFormat="1" ht="15.75" customHeight="1"/>
    <row r="587" s="4" customFormat="1" ht="15.75" customHeight="1"/>
    <row r="588" s="4" customFormat="1" ht="15.75" customHeight="1"/>
    <row r="589" s="4" customFormat="1" ht="15.75" customHeight="1"/>
    <row r="590" s="4" customFormat="1" ht="15.75" customHeight="1"/>
    <row r="591" s="4" customFormat="1" ht="15.75" customHeight="1"/>
    <row r="592" s="4" customFormat="1" ht="15.75" customHeight="1"/>
    <row r="593" s="4" customFormat="1" ht="15.75" customHeight="1"/>
    <row r="594" s="4" customFormat="1" ht="15.75" customHeight="1"/>
    <row r="595" s="4" customFormat="1" ht="15.75" customHeight="1"/>
    <row r="596" s="4" customFormat="1" ht="15.75" customHeight="1"/>
    <row r="597" s="4" customFormat="1" ht="15.75" customHeight="1"/>
    <row r="598" s="4" customFormat="1" ht="15.75" customHeight="1"/>
    <row r="599" s="4" customFormat="1" ht="15.75" customHeight="1"/>
    <row r="600" s="4" customFormat="1" ht="15.75" customHeight="1"/>
    <row r="601" s="4" customFormat="1" ht="15.75" customHeight="1"/>
    <row r="602" s="4" customFormat="1" ht="15.75" customHeight="1"/>
    <row r="603" s="4" customFormat="1" ht="15.75" customHeight="1"/>
    <row r="604" s="4" customFormat="1" ht="15.75" customHeight="1"/>
    <row r="605" s="4" customFormat="1" ht="15.75" customHeight="1"/>
    <row r="606" s="4" customFormat="1" ht="15.75" customHeight="1"/>
    <row r="607" s="4" customFormat="1" ht="15.75" customHeight="1"/>
    <row r="608" s="4" customFormat="1" ht="15.75" customHeight="1"/>
    <row r="609" s="4" customFormat="1" ht="15.75" customHeight="1"/>
    <row r="610" s="4" customFormat="1" ht="15.75" customHeight="1"/>
    <row r="611" s="4" customFormat="1" ht="15.75" customHeight="1"/>
    <row r="612" s="4" customFormat="1" ht="15.75" customHeight="1"/>
    <row r="613" s="4" customFormat="1" ht="15.75" customHeight="1"/>
    <row r="614" s="4" customFormat="1" ht="15.75" customHeight="1"/>
    <row r="615" s="4" customFormat="1" ht="15.75" customHeight="1"/>
    <row r="616" s="4" customFormat="1" ht="15.75" customHeight="1"/>
    <row r="617" s="4" customFormat="1" ht="15.75" customHeight="1"/>
    <row r="618" s="4" customFormat="1" ht="15.75" customHeight="1"/>
    <row r="619" s="4" customFormat="1" ht="15.75" customHeight="1"/>
    <row r="620" s="4" customFormat="1" ht="15.75" customHeight="1"/>
    <row r="621" s="4" customFormat="1" ht="15.75" customHeight="1"/>
    <row r="622" s="4" customFormat="1" ht="15.75" customHeight="1"/>
    <row r="623" s="4" customFormat="1" ht="15.75" customHeight="1"/>
    <row r="624" s="4" customFormat="1" ht="15.75" customHeight="1"/>
    <row r="625" s="4" customFormat="1" ht="15.75" customHeight="1"/>
    <row r="626" s="4" customFormat="1" ht="15.75" customHeight="1"/>
    <row r="627" s="4" customFormat="1" ht="15.75" customHeight="1"/>
    <row r="628" s="4" customFormat="1" ht="15.75" customHeight="1"/>
    <row r="629" s="4" customFormat="1" ht="15.75" customHeight="1"/>
    <row r="630" s="4" customFormat="1" ht="15.75" customHeight="1"/>
    <row r="631" s="4" customFormat="1" ht="15.75" customHeight="1"/>
    <row r="632" s="4" customFormat="1" ht="15.75" customHeight="1"/>
    <row r="633" s="4" customFormat="1" ht="15.75" customHeight="1"/>
    <row r="634" s="4" customFormat="1" ht="15.75" customHeight="1"/>
    <row r="635" s="4" customFormat="1" ht="15.75" customHeight="1"/>
    <row r="636" s="4" customFormat="1" ht="15.75" customHeight="1"/>
    <row r="637" s="4" customFormat="1" ht="15.75" customHeight="1"/>
    <row r="638" s="4" customFormat="1" ht="15.75" customHeight="1"/>
    <row r="639" s="4" customFormat="1" ht="15.75" customHeight="1"/>
    <row r="640" s="4" customFormat="1" ht="15.75" customHeight="1"/>
    <row r="641" s="4" customFormat="1" ht="15.75" customHeight="1"/>
    <row r="642" s="4" customFormat="1" ht="15.75" customHeight="1"/>
    <row r="643" s="4" customFormat="1" ht="15.75" customHeight="1"/>
    <row r="644" s="4" customFormat="1" ht="15.75" customHeight="1"/>
    <row r="645" s="4" customFormat="1" ht="15.75" customHeight="1"/>
    <row r="646" s="4" customFormat="1" ht="15.75" customHeight="1"/>
    <row r="647" s="4" customFormat="1" ht="15.75" customHeight="1"/>
    <row r="648" s="4" customFormat="1" ht="15.75" customHeight="1"/>
    <row r="649" s="4" customFormat="1" ht="15.75" customHeight="1"/>
    <row r="650" s="4" customFormat="1" ht="15.75" customHeight="1"/>
    <row r="651" s="4" customFormat="1" ht="15.75" customHeight="1"/>
    <row r="652" s="4" customFormat="1" ht="15.75" customHeight="1"/>
    <row r="653" s="4" customFormat="1" ht="15.75" customHeight="1"/>
    <row r="654" s="4" customFormat="1" ht="15.75" customHeight="1"/>
    <row r="655" s="4" customFormat="1" ht="15.75" customHeight="1"/>
    <row r="656" s="4" customFormat="1" ht="15.75" customHeight="1"/>
    <row r="657" s="4" customFormat="1" ht="15.75" customHeight="1"/>
    <row r="658" s="4" customFormat="1" ht="15.75" customHeight="1"/>
    <row r="659" s="4" customFormat="1" ht="15.75" customHeight="1"/>
    <row r="660" s="4" customFormat="1" ht="15.75" customHeight="1"/>
    <row r="661" s="4" customFormat="1" ht="15.75" customHeight="1"/>
    <row r="662" s="4" customFormat="1" ht="15.75" customHeight="1"/>
    <row r="663" s="4" customFormat="1" ht="15.75" customHeight="1"/>
    <row r="664" s="4" customFormat="1" ht="15.75" customHeight="1"/>
    <row r="665" s="4" customFormat="1" ht="15.75" customHeight="1"/>
    <row r="666" s="4" customFormat="1" ht="15.75" customHeight="1"/>
    <row r="667" s="4" customFormat="1" ht="15.75" customHeight="1"/>
    <row r="668" s="4" customFormat="1" ht="15.75" customHeight="1"/>
    <row r="669" s="4" customFormat="1" ht="15.75" customHeight="1"/>
    <row r="670" s="4" customFormat="1" ht="15.75" customHeight="1"/>
    <row r="671" s="4" customFormat="1" ht="15.75" customHeight="1"/>
    <row r="672" s="4" customFormat="1" ht="15.75" customHeight="1"/>
    <row r="673" s="4" customFormat="1" ht="15.75" customHeight="1"/>
    <row r="674" s="4" customFormat="1" ht="15.75" customHeight="1"/>
    <row r="675" s="4" customFormat="1" ht="15.75" customHeight="1"/>
    <row r="676" s="4" customFormat="1" ht="15.75" customHeight="1"/>
    <row r="677" s="4" customFormat="1" ht="15.75" customHeight="1"/>
    <row r="678" s="4" customFormat="1" ht="15.75" customHeight="1"/>
    <row r="679" s="4" customFormat="1" ht="15.75" customHeight="1"/>
    <row r="680" s="4" customFormat="1" ht="15.75" customHeight="1"/>
    <row r="681" s="4" customFormat="1" ht="15.75" customHeight="1"/>
    <row r="682" s="4" customFormat="1" ht="15.75" customHeight="1"/>
    <row r="683" s="4" customFormat="1" ht="15.75" customHeight="1"/>
    <row r="684" s="4" customFormat="1" ht="15.75" customHeight="1"/>
    <row r="685" s="4" customFormat="1" ht="15.75" customHeight="1"/>
    <row r="686" s="4" customFormat="1" ht="15.75" customHeight="1"/>
    <row r="687" s="4" customFormat="1" ht="15.75" customHeight="1"/>
    <row r="688" s="4" customFormat="1" ht="15.75" customHeight="1"/>
    <row r="689" s="4" customFormat="1" ht="15.75" customHeight="1"/>
    <row r="690" s="4" customFormat="1" ht="15.75" customHeight="1"/>
    <row r="691" s="4" customFormat="1" ht="15.75" customHeight="1"/>
    <row r="692" s="4" customFormat="1" ht="15.75" customHeight="1"/>
    <row r="693" s="4" customFormat="1" ht="15.75" customHeight="1"/>
    <row r="694" s="4" customFormat="1" ht="15.75" customHeight="1"/>
    <row r="695" s="4" customFormat="1" ht="15.75" customHeight="1"/>
    <row r="696" s="4" customFormat="1" ht="15.75" customHeight="1"/>
    <row r="697" s="4" customFormat="1" ht="15.75" customHeight="1"/>
    <row r="698" s="4" customFormat="1" ht="15.75" customHeight="1"/>
    <row r="699" s="4" customFormat="1" ht="15.75" customHeight="1"/>
    <row r="700" s="4" customFormat="1" ht="15.75" customHeight="1"/>
    <row r="701" s="4" customFormat="1" ht="15.75" customHeight="1"/>
    <row r="702" s="4" customFormat="1" ht="15.75" customHeight="1"/>
    <row r="703" s="4" customFormat="1" ht="15.75" customHeight="1"/>
    <row r="704" s="4" customFormat="1" ht="15.75" customHeight="1"/>
    <row r="705" s="4" customFormat="1" ht="15.75" customHeight="1"/>
    <row r="706" s="4" customFormat="1" ht="15.75" customHeight="1"/>
    <row r="707" s="4" customFormat="1" ht="15.75" customHeight="1"/>
    <row r="708" s="4" customFormat="1" ht="15.75" customHeight="1"/>
    <row r="709" s="4" customFormat="1" ht="15.75" customHeight="1"/>
    <row r="710" s="4" customFormat="1" ht="15.75" customHeight="1"/>
    <row r="711" s="4" customFormat="1" ht="15.75" customHeight="1"/>
    <row r="712" s="4" customFormat="1" ht="15.75" customHeight="1"/>
    <row r="713" s="4" customFormat="1" ht="15.75" customHeight="1"/>
    <row r="714" s="4" customFormat="1" ht="15.75" customHeight="1"/>
    <row r="715" s="4" customFormat="1" ht="15.75" customHeight="1"/>
    <row r="716" s="4" customFormat="1" ht="15.75" customHeight="1"/>
    <row r="717" s="4" customFormat="1" ht="15.75" customHeight="1"/>
    <row r="718" s="4" customFormat="1" ht="15.75" customHeight="1"/>
    <row r="719" s="4" customFormat="1" ht="15.75" customHeight="1"/>
    <row r="720" s="4" customFormat="1" ht="15.75" customHeight="1"/>
    <row r="721" s="4" customFormat="1" ht="15.75" customHeight="1"/>
    <row r="722" s="4" customFormat="1" ht="15.75" customHeight="1"/>
    <row r="723" s="4" customFormat="1" ht="15.75" customHeight="1"/>
    <row r="724" s="4" customFormat="1" ht="15.75" customHeight="1"/>
    <row r="725" s="4" customFormat="1" ht="15.75" customHeight="1"/>
    <row r="726" s="4" customFormat="1" ht="15.75" customHeight="1"/>
    <row r="727" s="4" customFormat="1" ht="15.75" customHeight="1"/>
    <row r="728" s="4" customFormat="1" ht="15.75" customHeight="1"/>
    <row r="729" s="4" customFormat="1" ht="15.75" customHeight="1"/>
    <row r="730" s="4" customFormat="1" ht="15.75" customHeight="1"/>
    <row r="731" s="4" customFormat="1" ht="15.75" customHeight="1"/>
    <row r="732" s="4" customFormat="1" ht="15.75" customHeight="1"/>
    <row r="733" s="4" customFormat="1" ht="15.75" customHeight="1"/>
    <row r="734" s="4" customFormat="1" ht="15.75" customHeight="1"/>
    <row r="735" s="4" customFormat="1" ht="15.75" customHeight="1"/>
    <row r="736" s="4" customFormat="1" ht="15.75" customHeight="1"/>
    <row r="737" s="4" customFormat="1" ht="15.75" customHeight="1"/>
    <row r="738" s="4" customFormat="1" ht="15.75" customHeight="1"/>
    <row r="739" s="4" customFormat="1" ht="15.75" customHeight="1"/>
    <row r="740" s="4" customFormat="1" ht="15.75" customHeight="1"/>
    <row r="741" s="4" customFormat="1" ht="15.75" customHeight="1"/>
    <row r="742" s="4" customFormat="1" ht="15.75" customHeight="1"/>
    <row r="743" s="4" customFormat="1" ht="15.75" customHeight="1"/>
    <row r="744" s="4" customFormat="1" ht="15.75" customHeight="1"/>
    <row r="745" s="4" customFormat="1" ht="15.75" customHeight="1"/>
    <row r="746" s="4" customFormat="1" ht="15.75" customHeight="1"/>
    <row r="747" s="4" customFormat="1" ht="15.75" customHeight="1"/>
    <row r="748" s="4" customFormat="1" ht="15.75" customHeight="1"/>
    <row r="749" s="4" customFormat="1" ht="15.75" customHeight="1"/>
    <row r="750" s="4" customFormat="1" ht="15.75" customHeight="1"/>
    <row r="751" s="4" customFormat="1" ht="15.75" customHeight="1"/>
    <row r="752" s="4" customFormat="1" ht="15.75" customHeight="1"/>
    <row r="753" s="4" customFormat="1" ht="15.75" customHeight="1"/>
    <row r="754" s="4" customFormat="1" ht="15.75" customHeight="1"/>
    <row r="755" s="4" customFormat="1" ht="15.75" customHeight="1"/>
    <row r="756" s="4" customFormat="1" ht="15.75" customHeight="1"/>
    <row r="757" s="4" customFormat="1" ht="15.75" customHeight="1"/>
    <row r="758" s="4" customFormat="1" ht="15.75" customHeight="1"/>
    <row r="759" s="4" customFormat="1" ht="15.75" customHeight="1"/>
    <row r="760" s="4" customFormat="1" ht="15.75" customHeight="1"/>
    <row r="761" s="4" customFormat="1" ht="15.75" customHeight="1"/>
    <row r="762" s="4" customFormat="1" ht="15.75" customHeight="1"/>
    <row r="763" s="4" customFormat="1" ht="15.75" customHeight="1"/>
    <row r="764" s="4" customFormat="1" ht="15.75" customHeight="1"/>
    <row r="765" s="4" customFormat="1" ht="15.75" customHeight="1"/>
    <row r="766" s="4" customFormat="1" ht="15.75" customHeight="1"/>
    <row r="767" s="4" customFormat="1" ht="15.75" customHeight="1"/>
    <row r="768" s="4" customFormat="1" ht="15.75" customHeight="1"/>
    <row r="769" s="4" customFormat="1" ht="15.75" customHeight="1"/>
    <row r="770" s="4" customFormat="1" ht="15.75" customHeight="1"/>
    <row r="771" s="4" customFormat="1" ht="15.75" customHeight="1"/>
    <row r="772" s="4" customFormat="1" ht="15.75" customHeight="1"/>
    <row r="773" s="4" customFormat="1" ht="15.75" customHeight="1"/>
    <row r="774" s="4" customFormat="1" ht="15.75" customHeight="1"/>
    <row r="775" s="4" customFormat="1" ht="15.75" customHeight="1"/>
    <row r="776" s="4" customFormat="1" ht="15.75" customHeight="1"/>
    <row r="777" s="4" customFormat="1" ht="15.75" customHeight="1"/>
    <row r="778" s="4" customFormat="1" ht="15.75" customHeight="1"/>
    <row r="779" s="4" customFormat="1" ht="15.75" customHeight="1"/>
    <row r="780" s="4" customFormat="1" ht="15.75" customHeight="1"/>
    <row r="781" s="4" customFormat="1" ht="15.75" customHeight="1"/>
    <row r="782" s="4" customFormat="1" ht="15.75" customHeight="1"/>
    <row r="783" s="4" customFormat="1" ht="15.75" customHeight="1"/>
    <row r="784" s="4" customFormat="1" ht="15.75" customHeight="1"/>
    <row r="785" s="4" customFormat="1" ht="15.75" customHeight="1"/>
    <row r="786" s="4" customFormat="1" ht="15.75" customHeight="1"/>
    <row r="787" s="4" customFormat="1" ht="15.75" customHeight="1"/>
    <row r="788" s="4" customFormat="1" ht="15.75" customHeight="1"/>
    <row r="789" s="4" customFormat="1" ht="15.75" customHeight="1"/>
    <row r="790" s="4" customFormat="1" ht="15.75" customHeight="1"/>
    <row r="791" s="4" customFormat="1" ht="15.75" customHeight="1"/>
    <row r="792" s="4" customFormat="1" ht="15.75" customHeight="1"/>
    <row r="793" s="4" customFormat="1" ht="15.75" customHeight="1"/>
    <row r="794" s="4" customFormat="1" ht="15.75" customHeight="1"/>
    <row r="795" s="4" customFormat="1" ht="15.75" customHeight="1"/>
    <row r="796" s="4" customFormat="1" ht="15.75" customHeight="1"/>
    <row r="797" s="4" customFormat="1" ht="15.75" customHeight="1"/>
    <row r="798" s="4" customFormat="1" ht="15.75" customHeight="1"/>
    <row r="799" s="4" customFormat="1" ht="15.75" customHeight="1"/>
    <row r="800" s="4" customFormat="1" ht="15.75" customHeight="1"/>
    <row r="801" s="4" customFormat="1" ht="15.75" customHeight="1"/>
    <row r="802" s="4" customFormat="1" ht="15.75" customHeight="1"/>
    <row r="803" s="4" customFormat="1" ht="15.75" customHeight="1"/>
    <row r="804" s="4" customFormat="1" ht="15.75" customHeight="1"/>
    <row r="805" s="4" customFormat="1" ht="15.75" customHeight="1"/>
    <row r="806" s="4" customFormat="1" ht="15.75" customHeight="1"/>
    <row r="807" s="4" customFormat="1" ht="15.75" customHeight="1"/>
    <row r="808" s="4" customFormat="1" ht="15.75" customHeight="1"/>
    <row r="809" s="4" customFormat="1" ht="15.75" customHeight="1"/>
    <row r="810" s="4" customFormat="1" ht="15.75" customHeight="1"/>
    <row r="811" s="4" customFormat="1" ht="15.75" customHeight="1"/>
    <row r="812" s="4" customFormat="1" ht="15.75" customHeight="1"/>
    <row r="813" s="4" customFormat="1" ht="15.75" customHeight="1"/>
    <row r="814" s="4" customFormat="1" ht="15.75" customHeight="1"/>
    <row r="815" s="4" customFormat="1" ht="15.75" customHeight="1"/>
    <row r="816" s="4" customFormat="1" ht="15.75" customHeight="1"/>
    <row r="817" s="4" customFormat="1" ht="15.75" customHeight="1"/>
    <row r="818" s="4" customFormat="1" ht="15.75" customHeight="1"/>
    <row r="819" s="4" customFormat="1" ht="15.75" customHeight="1"/>
    <row r="820" s="4" customFormat="1" ht="15.75" customHeight="1"/>
    <row r="821" s="4" customFormat="1" ht="15.75" customHeight="1"/>
    <row r="822" s="4" customFormat="1" ht="15.75" customHeight="1"/>
    <row r="823" s="4" customFormat="1" ht="15.75" customHeight="1"/>
    <row r="824" s="4" customFormat="1" ht="15.75" customHeight="1"/>
    <row r="825" s="4" customFormat="1" ht="15.75" customHeight="1"/>
    <row r="826" s="4" customFormat="1" ht="15.75" customHeight="1"/>
    <row r="827" s="4" customFormat="1" ht="15.75" customHeight="1"/>
    <row r="828" s="4" customFormat="1" ht="15.75" customHeight="1"/>
    <row r="829" s="4" customFormat="1" ht="15.75" customHeight="1"/>
    <row r="830" s="4" customFormat="1" ht="15.75" customHeight="1"/>
    <row r="831" s="4" customFormat="1" ht="15.75" customHeight="1"/>
    <row r="832" s="4" customFormat="1" ht="15.75" customHeight="1"/>
    <row r="833" s="4" customFormat="1" ht="15.75" customHeight="1"/>
    <row r="834" s="4" customFormat="1" ht="15.75" customHeight="1"/>
    <row r="835" s="4" customFormat="1" ht="15.75" customHeight="1"/>
    <row r="836" s="4" customFormat="1" ht="15.75" customHeight="1"/>
    <row r="837" s="4" customFormat="1" ht="15.75" customHeight="1"/>
    <row r="838" s="4" customFormat="1" ht="15.75" customHeight="1"/>
    <row r="839" s="4" customFormat="1" ht="15.75" customHeight="1"/>
    <row r="840" s="4" customFormat="1" ht="15.75" customHeight="1"/>
    <row r="841" s="4" customFormat="1" ht="15.75" customHeight="1"/>
    <row r="842" s="4" customFormat="1" ht="15.75" customHeight="1"/>
    <row r="843" s="4" customFormat="1" ht="15.75" customHeight="1"/>
    <row r="844" s="4" customFormat="1" ht="15.75" customHeight="1"/>
    <row r="845" s="4" customFormat="1" ht="15.75" customHeight="1"/>
    <row r="846" s="4" customFormat="1" ht="15.75" customHeight="1"/>
    <row r="847" s="4" customFormat="1" ht="15.75" customHeight="1"/>
    <row r="848" s="4" customFormat="1" ht="15.75" customHeight="1"/>
    <row r="849" s="4" customFormat="1" ht="15.75" customHeight="1"/>
    <row r="850" s="4" customFormat="1" ht="15.75" customHeight="1"/>
    <row r="851" s="4" customFormat="1" ht="15.75" customHeight="1"/>
    <row r="852" s="4" customFormat="1" ht="15.75" customHeight="1"/>
    <row r="853" s="4" customFormat="1" ht="15.75" customHeight="1"/>
    <row r="854" s="4" customFormat="1" ht="15.75" customHeight="1"/>
    <row r="855" s="4" customFormat="1" ht="15.75" customHeight="1"/>
    <row r="856" s="4" customFormat="1" ht="15.75" customHeight="1"/>
    <row r="857" s="4" customFormat="1" ht="15.75" customHeight="1"/>
    <row r="858" s="4" customFormat="1" ht="15.75" customHeight="1"/>
    <row r="859" s="4" customFormat="1" ht="15.75" customHeight="1"/>
    <row r="860" s="4" customFormat="1" ht="15.75" customHeight="1"/>
    <row r="861" s="4" customFormat="1" ht="15.75" customHeight="1"/>
    <row r="862" s="4" customFormat="1" ht="15.75" customHeight="1"/>
    <row r="863" s="4" customFormat="1" ht="15.75" customHeight="1"/>
    <row r="864" s="4" customFormat="1" ht="15.75" customHeight="1"/>
    <row r="865" s="4" customFormat="1" ht="15.75" customHeight="1"/>
    <row r="866" s="4" customFormat="1" ht="15.75" customHeight="1"/>
    <row r="867" s="4" customFormat="1" ht="15.75" customHeight="1"/>
    <row r="868" s="4" customFormat="1" ht="15.75" customHeight="1"/>
    <row r="869" s="4" customFormat="1" ht="15.75" customHeight="1"/>
    <row r="870" s="4" customFormat="1" ht="15.75" customHeight="1"/>
    <row r="871" s="4" customFormat="1" ht="15.75" customHeight="1"/>
    <row r="872" s="4" customFormat="1" ht="15.75" customHeight="1"/>
    <row r="873" s="4" customFormat="1" ht="15.75" customHeight="1"/>
    <row r="874" s="4" customFormat="1" ht="15.75" customHeight="1"/>
    <row r="875" s="4" customFormat="1" ht="15.75" customHeight="1"/>
    <row r="876" s="4" customFormat="1" ht="15.75" customHeight="1"/>
    <row r="877" s="4" customFormat="1" ht="15.75" customHeight="1"/>
    <row r="878" s="4" customFormat="1" ht="15.75" customHeight="1"/>
    <row r="879" s="4" customFormat="1" ht="15.75" customHeight="1"/>
    <row r="880" s="4" customFormat="1" ht="15.75" customHeight="1"/>
    <row r="881" s="4" customFormat="1" ht="15.75" customHeight="1"/>
    <row r="882" s="4" customFormat="1" ht="15.75" customHeight="1"/>
    <row r="883" s="4" customFormat="1" ht="15.75" customHeight="1"/>
    <row r="884" s="4" customFormat="1" ht="15.75" customHeight="1"/>
    <row r="885" s="4" customFormat="1" ht="15.75" customHeight="1"/>
    <row r="886" s="4" customFormat="1" ht="15.75" customHeight="1"/>
    <row r="887" s="4" customFormat="1" ht="15.75" customHeight="1"/>
    <row r="888" s="4" customFormat="1" ht="15.75" customHeight="1"/>
    <row r="889" s="4" customFormat="1" ht="15.75" customHeight="1"/>
    <row r="890" s="4" customFormat="1" ht="15.75" customHeight="1"/>
    <row r="891" s="4" customFormat="1" ht="15.75" customHeight="1"/>
    <row r="892" s="4" customFormat="1" ht="15.75" customHeight="1"/>
    <row r="893" s="4" customFormat="1" ht="15.75" customHeight="1"/>
    <row r="894" s="4" customFormat="1" ht="15.75" customHeight="1"/>
    <row r="895" s="4" customFormat="1" ht="15.75" customHeight="1"/>
    <row r="896" s="4" customFormat="1" ht="15.75" customHeight="1"/>
    <row r="897" s="4" customFormat="1" ht="15.75" customHeight="1"/>
    <row r="898" s="4" customFormat="1" ht="15.75" customHeight="1"/>
    <row r="899" s="4" customFormat="1" ht="15.75" customHeight="1"/>
    <row r="900" s="4" customFormat="1" ht="15.75" customHeight="1"/>
    <row r="901" s="4" customFormat="1" ht="15.75" customHeight="1"/>
    <row r="902" s="4" customFormat="1" ht="15.75" customHeight="1"/>
    <row r="903" s="4" customFormat="1" ht="15.75" customHeight="1"/>
    <row r="904" s="4" customFormat="1" ht="15.75" customHeight="1"/>
    <row r="905" s="4" customFormat="1" ht="15.75" customHeight="1"/>
    <row r="906" s="4" customFormat="1" ht="15.75" customHeight="1"/>
    <row r="907" s="4" customFormat="1" ht="15.75" customHeight="1"/>
    <row r="908" s="4" customFormat="1" ht="15.75" customHeight="1"/>
    <row r="909" s="4" customFormat="1" ht="15.75" customHeight="1"/>
    <row r="910" s="4" customFormat="1" ht="15.75" customHeight="1"/>
    <row r="911" s="4" customFormat="1" ht="15.75" customHeight="1"/>
    <row r="912" s="4" customFormat="1" ht="15.75" customHeight="1"/>
    <row r="913" s="4" customFormat="1" ht="15.75" customHeight="1"/>
    <row r="914" s="4" customFormat="1" ht="15.75" customHeight="1"/>
    <row r="915" s="4" customFormat="1" ht="15.75" customHeight="1"/>
    <row r="916" s="4" customFormat="1" ht="15.75" customHeight="1"/>
    <row r="917" s="4" customFormat="1" ht="15.75" customHeight="1"/>
    <row r="918" s="4" customFormat="1" ht="15.75" customHeight="1"/>
    <row r="919" s="4" customFormat="1" ht="15.75" customHeight="1"/>
    <row r="920" s="4" customFormat="1" ht="15.75" customHeight="1"/>
    <row r="921" s="4" customFormat="1" ht="15.75" customHeight="1"/>
    <row r="922" s="4" customFormat="1" ht="15.75" customHeight="1"/>
    <row r="923" s="4" customFormat="1" ht="15.75" customHeight="1"/>
    <row r="924" s="4" customFormat="1" ht="15.75" customHeight="1"/>
    <row r="925" s="4" customFormat="1" ht="15.75" customHeight="1"/>
    <row r="926" s="4" customFormat="1" ht="15.75" customHeight="1"/>
    <row r="927" s="4" customFormat="1" ht="15.75" customHeight="1"/>
    <row r="928" s="4" customFormat="1" ht="15.75" customHeight="1"/>
    <row r="929" s="4" customFormat="1" ht="15.75" customHeight="1"/>
    <row r="930" s="4" customFormat="1" ht="15.75" customHeight="1"/>
    <row r="931" s="4" customFormat="1" ht="15.75" customHeight="1"/>
    <row r="932" s="4" customFormat="1" ht="15.75" customHeight="1"/>
    <row r="933" s="4" customFormat="1" ht="15.75" customHeight="1"/>
    <row r="934" s="4" customFormat="1" ht="15.75" customHeight="1"/>
    <row r="935" s="4" customFormat="1" ht="15.75" customHeight="1"/>
    <row r="936" s="4" customFormat="1" ht="15.75" customHeight="1"/>
    <row r="937" s="4" customFormat="1" ht="15.75" customHeight="1"/>
    <row r="938" s="4" customFormat="1" ht="15.75" customHeight="1"/>
    <row r="939" s="4" customFormat="1" ht="15.75" customHeight="1"/>
    <row r="940" s="4" customFormat="1" ht="15.75" customHeight="1"/>
    <row r="941" s="4" customFormat="1" ht="15.75" customHeight="1"/>
    <row r="942" s="4" customFormat="1" ht="15.75" customHeight="1"/>
    <row r="943" s="4" customFormat="1" ht="15.75" customHeight="1"/>
    <row r="944" s="4" customFormat="1" ht="15.75" customHeight="1"/>
    <row r="945" s="4" customFormat="1" ht="15.75" customHeight="1"/>
    <row r="946" s="4" customFormat="1" ht="15.75" customHeight="1"/>
    <row r="947" s="4" customFormat="1" ht="15.75" customHeight="1"/>
    <row r="948" s="4" customFormat="1" ht="15.75" customHeight="1"/>
    <row r="949" s="4" customFormat="1" ht="15.75" customHeight="1"/>
    <row r="950" s="4" customFormat="1" ht="15.75" customHeight="1"/>
    <row r="951" s="4" customFormat="1" ht="15.75" customHeight="1"/>
    <row r="952" s="4" customFormat="1" ht="15.75" customHeight="1"/>
    <row r="953" s="4" customFormat="1" ht="15.75" customHeight="1"/>
    <row r="954" s="4" customFormat="1" ht="15.75" customHeight="1"/>
    <row r="955" s="4" customFormat="1" ht="15.75" customHeight="1"/>
    <row r="956" s="4" customFormat="1" ht="15.75" customHeight="1"/>
    <row r="957" s="4" customFormat="1" ht="15.75" customHeight="1"/>
    <row r="958" s="4" customFormat="1" ht="15.75" customHeight="1"/>
    <row r="959" s="4" customFormat="1" ht="15.75" customHeight="1"/>
    <row r="960" s="4" customFormat="1" ht="15.75" customHeight="1"/>
    <row r="961" s="4" customFormat="1" ht="15.75" customHeight="1"/>
    <row r="962" s="4" customFormat="1" ht="15.75" customHeight="1"/>
    <row r="963" s="4" customFormat="1" ht="15.75" customHeight="1"/>
    <row r="964" s="4" customFormat="1" ht="15.75" customHeight="1"/>
    <row r="965" s="4" customFormat="1" ht="15.75" customHeight="1"/>
    <row r="966" s="4" customFormat="1" ht="15.75" customHeight="1"/>
    <row r="967" s="4" customFormat="1" ht="15.75" customHeight="1"/>
    <row r="968" s="4" customFormat="1" ht="15.75" customHeight="1"/>
    <row r="969" s="4" customFormat="1" ht="15.75" customHeight="1"/>
    <row r="970" s="4" customFormat="1" ht="15.75" customHeight="1"/>
    <row r="971" s="4" customFormat="1" ht="15.75" customHeight="1"/>
    <row r="972" s="4" customFormat="1" ht="15.75" customHeight="1"/>
    <row r="973" s="4" customFormat="1" ht="15.75" customHeight="1"/>
    <row r="974" s="4" customFormat="1" ht="15.75" customHeight="1"/>
    <row r="975" s="4" customFormat="1" ht="15.75" customHeight="1"/>
    <row r="976" s="4" customFormat="1" ht="15.75" customHeight="1"/>
    <row r="977" s="4" customFormat="1" ht="15.75" customHeight="1"/>
    <row r="978" s="4" customFormat="1" ht="15.75" customHeight="1"/>
    <row r="979" s="4" customFormat="1" ht="15.75" customHeight="1"/>
    <row r="980" s="4" customFormat="1" ht="15.75" customHeight="1"/>
    <row r="981" s="4" customFormat="1" ht="15.75" customHeight="1"/>
    <row r="982" s="4" customFormat="1" ht="15.75" customHeight="1"/>
    <row r="983" s="4" customFormat="1" ht="15.75" customHeight="1"/>
    <row r="984" s="4" customFormat="1" ht="15.75" customHeight="1"/>
    <row r="985" s="4" customFormat="1" ht="15.75" customHeight="1"/>
    <row r="986" s="4" customFormat="1" ht="15.75" customHeight="1"/>
    <row r="987" s="4" customFormat="1" ht="15.75" customHeight="1"/>
    <row r="988" s="4" customFormat="1" ht="15.75" customHeight="1"/>
    <row r="989" s="4" customFormat="1" ht="15.75" customHeight="1"/>
    <row r="990" s="4" customFormat="1" ht="15.75" customHeight="1"/>
    <row r="991" s="4" customFormat="1" ht="15.75" customHeight="1"/>
    <row r="992" s="4" customFormat="1" ht="15.75" customHeight="1"/>
    <row r="993" s="4" customFormat="1" ht="15.75" customHeight="1"/>
    <row r="994" s="4" customFormat="1" ht="15.75" customHeight="1"/>
    <row r="995" s="4" customFormat="1" ht="15.75" customHeight="1"/>
    <row r="996" s="4" customFormat="1" ht="15.75" customHeight="1"/>
    <row r="997" s="4" customFormat="1" ht="15.75" customHeight="1"/>
    <row r="998" s="4" customFormat="1" ht="15.75" customHeight="1"/>
    <row r="999" s="4" customFormat="1" ht="15.75" customHeight="1"/>
    <row r="1000" s="4" customFormat="1" ht="15.75" customHeight="1"/>
  </sheetData>
  <mergeCells count="10">
    <mergeCell ref="AL3:AS3"/>
    <mergeCell ref="D40:K44"/>
    <mergeCell ref="L40:S44"/>
    <mergeCell ref="Y40:AF44"/>
    <mergeCell ref="B3:B4"/>
    <mergeCell ref="D3:K3"/>
    <mergeCell ref="L3:S3"/>
    <mergeCell ref="T3:X3"/>
    <mergeCell ref="Y3:AF3"/>
    <mergeCell ref="AG3:AK3"/>
  </mergeCells>
  <phoneticPr fontId="2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２０２３.０４</vt:lpstr>
      <vt:lpstr>2023.05</vt:lpstr>
      <vt:lpstr>2023.06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2026-02-11T10:27:28Z</dcterms:modified>
</cp:coreProperties>
</file>