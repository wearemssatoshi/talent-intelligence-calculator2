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99F2D461-9B03-1840-98F0-925C60EEF567}" xr6:coauthVersionLast="47" xr6:coauthVersionMax="47" xr10:uidLastSave="{00000000-0000-0000-0000-000000000000}"/>
  <bookViews>
    <workbookView xWindow="0" yWindow="660" windowWidth="30240" windowHeight="18980" xr2:uid="{7F9D5D59-A1FC-3B48-93F3-6D616DF54B86}"/>
  </bookViews>
  <sheets>
    <sheet name="２０２4.01" sheetId="1" r:id="rId1"/>
    <sheet name="2024.02" sheetId="2" r:id="rId2"/>
    <sheet name="2024.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3" l="1"/>
  <c r="S46" i="3"/>
  <c r="AJ44" i="3"/>
  <c r="AD37" i="3"/>
  <c r="AC37" i="3"/>
  <c r="AA37" i="3"/>
  <c r="AB37" i="3" s="1"/>
  <c r="F37" i="3"/>
  <c r="AR36" i="3"/>
  <c r="AQ36" i="3"/>
  <c r="AP36" i="3"/>
  <c r="AO36" i="3"/>
  <c r="AN36" i="3"/>
  <c r="AM36" i="3"/>
  <c r="AL36" i="3"/>
  <c r="AC36" i="3"/>
  <c r="AA36" i="3"/>
  <c r="Z36" i="3"/>
  <c r="Y36" i="3"/>
  <c r="X36" i="3"/>
  <c r="L36" i="3"/>
  <c r="H36" i="3"/>
  <c r="H37" i="3" s="1"/>
  <c r="F36" i="3"/>
  <c r="E36" i="3"/>
  <c r="F38" i="3" s="1"/>
  <c r="D36" i="3"/>
  <c r="C36" i="3"/>
  <c r="AS35" i="3"/>
  <c r="AU35" i="3" s="1"/>
  <c r="AK35" i="3"/>
  <c r="AG35" i="3"/>
  <c r="AF35" i="3"/>
  <c r="AE35" i="3"/>
  <c r="AJ35" i="3" s="1"/>
  <c r="AD35" i="3"/>
  <c r="AB35" i="3"/>
  <c r="V35" i="3"/>
  <c r="AI35" i="3" s="1"/>
  <c r="U35" i="3"/>
  <c r="AH35" i="3" s="1"/>
  <c r="P35" i="3"/>
  <c r="R35" i="3" s="1"/>
  <c r="O35" i="3"/>
  <c r="N35" i="3"/>
  <c r="M35" i="3"/>
  <c r="T35" i="3" s="1"/>
  <c r="K35" i="3"/>
  <c r="J35" i="3"/>
  <c r="W35" i="3" s="1"/>
  <c r="I35" i="3"/>
  <c r="G35" i="3"/>
  <c r="AU34" i="3"/>
  <c r="AS34" i="3"/>
  <c r="AK34" i="3"/>
  <c r="AF34" i="3"/>
  <c r="AE34" i="3"/>
  <c r="AD34" i="3"/>
  <c r="AB34" i="3"/>
  <c r="V34" i="3"/>
  <c r="AI34" i="3" s="1"/>
  <c r="P34" i="3"/>
  <c r="N34" i="3"/>
  <c r="M34" i="3"/>
  <c r="K34" i="3"/>
  <c r="J34" i="3"/>
  <c r="I34" i="3"/>
  <c r="G34" i="3"/>
  <c r="AU33" i="3"/>
  <c r="AS33" i="3"/>
  <c r="AK33" i="3"/>
  <c r="AH33" i="3"/>
  <c r="AG33" i="3"/>
  <c r="AF33" i="3"/>
  <c r="AE33" i="3"/>
  <c r="AD33" i="3"/>
  <c r="AB33" i="3"/>
  <c r="U33" i="3"/>
  <c r="T33" i="3"/>
  <c r="P33" i="3"/>
  <c r="O33" i="3"/>
  <c r="N33" i="3"/>
  <c r="M33" i="3"/>
  <c r="K33" i="3"/>
  <c r="J33" i="3"/>
  <c r="I33" i="3"/>
  <c r="G33" i="3"/>
  <c r="AS32" i="3"/>
  <c r="AU32" i="3" s="1"/>
  <c r="AK32" i="3"/>
  <c r="AF32" i="3"/>
  <c r="AE32" i="3"/>
  <c r="AD32" i="3"/>
  <c r="AB32" i="3"/>
  <c r="P32" i="3"/>
  <c r="V32" i="3" s="1"/>
  <c r="AI32" i="3" s="1"/>
  <c r="N32" i="3"/>
  <c r="U32" i="3" s="1"/>
  <c r="AH32" i="3" s="1"/>
  <c r="M32" i="3"/>
  <c r="K32" i="3"/>
  <c r="J32" i="3"/>
  <c r="I32" i="3"/>
  <c r="G32" i="3"/>
  <c r="AS31" i="3"/>
  <c r="AU31" i="3" s="1"/>
  <c r="AK31" i="3"/>
  <c r="AF31" i="3"/>
  <c r="AE31" i="3"/>
  <c r="AD31" i="3"/>
  <c r="AB31" i="3"/>
  <c r="P31" i="3"/>
  <c r="Q31" i="3" s="1"/>
  <c r="O31" i="3"/>
  <c r="N31" i="3"/>
  <c r="M31" i="3"/>
  <c r="AG31" i="3" s="1"/>
  <c r="K31" i="3"/>
  <c r="J31" i="3"/>
  <c r="I31" i="3"/>
  <c r="G31" i="3"/>
  <c r="AS30" i="3"/>
  <c r="AU30" i="3" s="1"/>
  <c r="AK30" i="3"/>
  <c r="AF30" i="3"/>
  <c r="AE30" i="3"/>
  <c r="AD30" i="3"/>
  <c r="AB30" i="3"/>
  <c r="V30" i="3"/>
  <c r="AI30" i="3" s="1"/>
  <c r="U30" i="3"/>
  <c r="AH30" i="3" s="1"/>
  <c r="T30" i="3"/>
  <c r="P30" i="3"/>
  <c r="R30" i="3" s="1"/>
  <c r="N30" i="3"/>
  <c r="M30" i="3"/>
  <c r="O30" i="3" s="1"/>
  <c r="K30" i="3"/>
  <c r="J30" i="3"/>
  <c r="I30" i="3"/>
  <c r="G30" i="3"/>
  <c r="AS29" i="3"/>
  <c r="AU29" i="3" s="1"/>
  <c r="AK29" i="3"/>
  <c r="AF29" i="3"/>
  <c r="AE29" i="3"/>
  <c r="AD29" i="3"/>
  <c r="AB29" i="3"/>
  <c r="P29" i="3"/>
  <c r="V29" i="3" s="1"/>
  <c r="AI29" i="3" s="1"/>
  <c r="N29" i="3"/>
  <c r="M29" i="3"/>
  <c r="T29" i="3" s="1"/>
  <c r="K29" i="3"/>
  <c r="J29" i="3"/>
  <c r="I29" i="3"/>
  <c r="G29" i="3"/>
  <c r="AU28" i="3"/>
  <c r="AS28" i="3"/>
  <c r="AK28" i="3"/>
  <c r="AE28" i="3"/>
  <c r="AF28" i="3" s="1"/>
  <c r="AD28" i="3"/>
  <c r="AB28" i="3"/>
  <c r="U28" i="3"/>
  <c r="AH28" i="3" s="1"/>
  <c r="T28" i="3"/>
  <c r="P28" i="3"/>
  <c r="N28" i="3"/>
  <c r="R28" i="3" s="1"/>
  <c r="M28" i="3"/>
  <c r="S28" i="3" s="1"/>
  <c r="J28" i="3"/>
  <c r="I28" i="3"/>
  <c r="G28" i="3"/>
  <c r="AS27" i="3"/>
  <c r="AU27" i="3" s="1"/>
  <c r="AK27" i="3"/>
  <c r="AF27" i="3"/>
  <c r="AE27" i="3"/>
  <c r="AD27" i="3"/>
  <c r="AB27" i="3"/>
  <c r="V27" i="3"/>
  <c r="AI27" i="3" s="1"/>
  <c r="U27" i="3"/>
  <c r="AH27" i="3" s="1"/>
  <c r="R27" i="3"/>
  <c r="P27" i="3"/>
  <c r="N27" i="3"/>
  <c r="M27" i="3"/>
  <c r="K27" i="3"/>
  <c r="J27" i="3"/>
  <c r="W27" i="3" s="1"/>
  <c r="AJ27" i="3" s="1"/>
  <c r="I27" i="3"/>
  <c r="G27" i="3"/>
  <c r="AU26" i="3"/>
  <c r="AS26" i="3"/>
  <c r="AK26" i="3"/>
  <c r="AI26" i="3"/>
  <c r="AG26" i="3"/>
  <c r="AE26" i="3"/>
  <c r="AF26" i="3" s="1"/>
  <c r="AD26" i="3"/>
  <c r="AB26" i="3"/>
  <c r="T26" i="3"/>
  <c r="P26" i="3"/>
  <c r="V26" i="3" s="1"/>
  <c r="N26" i="3"/>
  <c r="U26" i="3" s="1"/>
  <c r="AH26" i="3" s="1"/>
  <c r="M26" i="3"/>
  <c r="K26" i="3"/>
  <c r="J26" i="3"/>
  <c r="I26" i="3"/>
  <c r="G26" i="3"/>
  <c r="AS25" i="3"/>
  <c r="AU25" i="3" s="1"/>
  <c r="AK25" i="3"/>
  <c r="AG25" i="3"/>
  <c r="AF25" i="3"/>
  <c r="AE25" i="3"/>
  <c r="AJ25" i="3" s="1"/>
  <c r="AD25" i="3"/>
  <c r="AB25" i="3"/>
  <c r="V25" i="3"/>
  <c r="AI25" i="3" s="1"/>
  <c r="U25" i="3"/>
  <c r="AH25" i="3" s="1"/>
  <c r="P25" i="3"/>
  <c r="R25" i="3" s="1"/>
  <c r="O25" i="3"/>
  <c r="N25" i="3"/>
  <c r="M25" i="3"/>
  <c r="T25" i="3" s="1"/>
  <c r="K25" i="3"/>
  <c r="J25" i="3"/>
  <c r="W25" i="3" s="1"/>
  <c r="I25" i="3"/>
  <c r="G25" i="3"/>
  <c r="AU24" i="3"/>
  <c r="AS24" i="3"/>
  <c r="AK24" i="3"/>
  <c r="AF24" i="3"/>
  <c r="AE24" i="3"/>
  <c r="AD24" i="3"/>
  <c r="AB24" i="3"/>
  <c r="V24" i="3"/>
  <c r="AI24" i="3" s="1"/>
  <c r="P24" i="3"/>
  <c r="N24" i="3"/>
  <c r="M24" i="3"/>
  <c r="K24" i="3"/>
  <c r="J24" i="3"/>
  <c r="I24" i="3"/>
  <c r="G24" i="3"/>
  <c r="AU23" i="3"/>
  <c r="AS23" i="3"/>
  <c r="AK23" i="3"/>
  <c r="AH23" i="3"/>
  <c r="AG23" i="3"/>
  <c r="AF23" i="3"/>
  <c r="AE23" i="3"/>
  <c r="AD23" i="3"/>
  <c r="AB23" i="3"/>
  <c r="U23" i="3"/>
  <c r="T23" i="3"/>
  <c r="P23" i="3"/>
  <c r="O23" i="3"/>
  <c r="N23" i="3"/>
  <c r="M23" i="3"/>
  <c r="K23" i="3"/>
  <c r="J23" i="3"/>
  <c r="I23" i="3"/>
  <c r="G23" i="3"/>
  <c r="AS22" i="3"/>
  <c r="AU22" i="3" s="1"/>
  <c r="AK22" i="3"/>
  <c r="AF22" i="3"/>
  <c r="AE22" i="3"/>
  <c r="AD22" i="3"/>
  <c r="AB22" i="3"/>
  <c r="P22" i="3"/>
  <c r="V22" i="3" s="1"/>
  <c r="AI22" i="3" s="1"/>
  <c r="N22" i="3"/>
  <c r="U22" i="3" s="1"/>
  <c r="AH22" i="3" s="1"/>
  <c r="M22" i="3"/>
  <c r="K22" i="3"/>
  <c r="J22" i="3"/>
  <c r="I22" i="3"/>
  <c r="G22" i="3"/>
  <c r="AS21" i="3"/>
  <c r="AU21" i="3" s="1"/>
  <c r="AK21" i="3"/>
  <c r="AI21" i="3"/>
  <c r="AF21" i="3"/>
  <c r="AE21" i="3"/>
  <c r="AD21" i="3"/>
  <c r="AB21" i="3"/>
  <c r="V21" i="3"/>
  <c r="P21" i="3"/>
  <c r="N21" i="3"/>
  <c r="M21" i="3"/>
  <c r="K21" i="3"/>
  <c r="J21" i="3"/>
  <c r="I21" i="3"/>
  <c r="G21" i="3"/>
  <c r="AU20" i="3"/>
  <c r="AS20" i="3"/>
  <c r="AK20" i="3"/>
  <c r="AH20" i="3"/>
  <c r="AE20" i="3"/>
  <c r="AF20" i="3" s="1"/>
  <c r="AD20" i="3"/>
  <c r="AB20" i="3"/>
  <c r="T20" i="3"/>
  <c r="R20" i="3"/>
  <c r="S20" i="3" s="1"/>
  <c r="P20" i="3"/>
  <c r="V20" i="3" s="1"/>
  <c r="AI20" i="3" s="1"/>
  <c r="O20" i="3"/>
  <c r="N20" i="3"/>
  <c r="U20" i="3" s="1"/>
  <c r="M20" i="3"/>
  <c r="K20" i="3"/>
  <c r="J20" i="3"/>
  <c r="W20" i="3" s="1"/>
  <c r="AJ20" i="3" s="1"/>
  <c r="I20" i="3"/>
  <c r="G20" i="3"/>
  <c r="AS19" i="3"/>
  <c r="AU19" i="3" s="1"/>
  <c r="AK19" i="3"/>
  <c r="AE19" i="3"/>
  <c r="AF19" i="3" s="1"/>
  <c r="AD19" i="3"/>
  <c r="AB19" i="3"/>
  <c r="U19" i="3"/>
  <c r="AH19" i="3" s="1"/>
  <c r="P19" i="3"/>
  <c r="R19" i="3" s="1"/>
  <c r="O19" i="3"/>
  <c r="N19" i="3"/>
  <c r="M19" i="3"/>
  <c r="T19" i="3" s="1"/>
  <c r="K19" i="3"/>
  <c r="J19" i="3"/>
  <c r="W19" i="3" s="1"/>
  <c r="AJ19" i="3" s="1"/>
  <c r="I19" i="3"/>
  <c r="G19" i="3"/>
  <c r="AS18" i="3"/>
  <c r="AU18" i="3" s="1"/>
  <c r="AK18" i="3"/>
  <c r="AG18" i="3"/>
  <c r="AF18" i="3"/>
  <c r="AE18" i="3"/>
  <c r="AD18" i="3"/>
  <c r="AB18" i="3"/>
  <c r="V18" i="3"/>
  <c r="AI18" i="3" s="1"/>
  <c r="P18" i="3"/>
  <c r="N18" i="3"/>
  <c r="M18" i="3"/>
  <c r="K18" i="3"/>
  <c r="J18" i="3"/>
  <c r="I18" i="3"/>
  <c r="G18" i="3"/>
  <c r="AU17" i="3"/>
  <c r="AS17" i="3"/>
  <c r="AK17" i="3"/>
  <c r="AG17" i="3"/>
  <c r="AF17" i="3"/>
  <c r="AE17" i="3"/>
  <c r="AD17" i="3"/>
  <c r="AB17" i="3"/>
  <c r="U17" i="3"/>
  <c r="AH17" i="3" s="1"/>
  <c r="T17" i="3"/>
  <c r="P17" i="3"/>
  <c r="O17" i="3"/>
  <c r="N17" i="3"/>
  <c r="M17" i="3"/>
  <c r="K17" i="3"/>
  <c r="J17" i="3"/>
  <c r="I17" i="3"/>
  <c r="G17" i="3"/>
  <c r="AS16" i="3"/>
  <c r="AU16" i="3" s="1"/>
  <c r="AK16" i="3"/>
  <c r="AE16" i="3"/>
  <c r="AF16" i="3" s="1"/>
  <c r="AD16" i="3"/>
  <c r="AB16" i="3"/>
  <c r="R16" i="3"/>
  <c r="W16" i="3" s="1"/>
  <c r="AJ16" i="3" s="1"/>
  <c r="P16" i="3"/>
  <c r="V16" i="3" s="1"/>
  <c r="AI16" i="3" s="1"/>
  <c r="N16" i="3"/>
  <c r="U16" i="3" s="1"/>
  <c r="AH16" i="3" s="1"/>
  <c r="M16" i="3"/>
  <c r="K16" i="3"/>
  <c r="J16" i="3"/>
  <c r="I16" i="3"/>
  <c r="G16" i="3"/>
  <c r="AS15" i="3"/>
  <c r="AU15" i="3" s="1"/>
  <c r="AK15" i="3"/>
  <c r="AE15" i="3"/>
  <c r="AF15" i="3" s="1"/>
  <c r="AD15" i="3"/>
  <c r="AB15" i="3"/>
  <c r="P15" i="3"/>
  <c r="N15" i="3"/>
  <c r="M15" i="3"/>
  <c r="AG15" i="3" s="1"/>
  <c r="K15" i="3"/>
  <c r="J15" i="3"/>
  <c r="I15" i="3"/>
  <c r="G15" i="3"/>
  <c r="AS14" i="3"/>
  <c r="AU14" i="3" s="1"/>
  <c r="AK14" i="3"/>
  <c r="AG14" i="3"/>
  <c r="AE14" i="3"/>
  <c r="AF14" i="3" s="1"/>
  <c r="AD14" i="3"/>
  <c r="AB14" i="3"/>
  <c r="U14" i="3"/>
  <c r="AH14" i="3" s="1"/>
  <c r="T14" i="3"/>
  <c r="P14" i="3"/>
  <c r="V14" i="3" s="1"/>
  <c r="AI14" i="3" s="1"/>
  <c r="N14" i="3"/>
  <c r="M14" i="3"/>
  <c r="J14" i="3"/>
  <c r="K14" i="3" s="1"/>
  <c r="I14" i="3"/>
  <c r="G14" i="3"/>
  <c r="AS13" i="3"/>
  <c r="AU13" i="3" s="1"/>
  <c r="AK13" i="3"/>
  <c r="AI13" i="3"/>
  <c r="AF13" i="3"/>
  <c r="AE13" i="3"/>
  <c r="AD13" i="3"/>
  <c r="AB13" i="3"/>
  <c r="R13" i="3"/>
  <c r="W13" i="3" s="1"/>
  <c r="AJ13" i="3" s="1"/>
  <c r="P13" i="3"/>
  <c r="V13" i="3" s="1"/>
  <c r="N13" i="3"/>
  <c r="U13" i="3" s="1"/>
  <c r="AH13" i="3" s="1"/>
  <c r="M13" i="3"/>
  <c r="Q13" i="3" s="1"/>
  <c r="K13" i="3"/>
  <c r="J13" i="3"/>
  <c r="I13" i="3"/>
  <c r="G13" i="3"/>
  <c r="AU12" i="3"/>
  <c r="AS12" i="3"/>
  <c r="AK12" i="3"/>
  <c r="AF12" i="3"/>
  <c r="AE12" i="3"/>
  <c r="AD12" i="3"/>
  <c r="AB12" i="3"/>
  <c r="V12" i="3"/>
  <c r="AI12" i="3" s="1"/>
  <c r="T12" i="3"/>
  <c r="P12" i="3"/>
  <c r="Q12" i="3" s="1"/>
  <c r="N12" i="3"/>
  <c r="R12" i="3" s="1"/>
  <c r="M12" i="3"/>
  <c r="K12" i="3"/>
  <c r="J12" i="3"/>
  <c r="W12" i="3" s="1"/>
  <c r="AJ12" i="3" s="1"/>
  <c r="I12" i="3"/>
  <c r="G12" i="3"/>
  <c r="AS11" i="3"/>
  <c r="AU11" i="3" s="1"/>
  <c r="AK11" i="3"/>
  <c r="AF11" i="3"/>
  <c r="AE11" i="3"/>
  <c r="AD11" i="3"/>
  <c r="AB11" i="3"/>
  <c r="V11" i="3"/>
  <c r="AI11" i="3" s="1"/>
  <c r="P11" i="3"/>
  <c r="N11" i="3"/>
  <c r="M11" i="3"/>
  <c r="T11" i="3" s="1"/>
  <c r="K11" i="3"/>
  <c r="J11" i="3"/>
  <c r="I11" i="3"/>
  <c r="G11" i="3"/>
  <c r="AU10" i="3"/>
  <c r="AS10" i="3"/>
  <c r="AK10" i="3"/>
  <c r="AG10" i="3"/>
  <c r="AE10" i="3"/>
  <c r="AF10" i="3" s="1"/>
  <c r="AD10" i="3"/>
  <c r="AB10" i="3"/>
  <c r="U10" i="3"/>
  <c r="AH10" i="3" s="1"/>
  <c r="T10" i="3"/>
  <c r="P10" i="3"/>
  <c r="N10" i="3"/>
  <c r="O10" i="3" s="1"/>
  <c r="M10" i="3"/>
  <c r="K10" i="3"/>
  <c r="J10" i="3"/>
  <c r="I10" i="3"/>
  <c r="G10" i="3"/>
  <c r="AS9" i="3"/>
  <c r="AU9" i="3" s="1"/>
  <c r="AK9" i="3"/>
  <c r="AE9" i="3"/>
  <c r="AF9" i="3" s="1"/>
  <c r="AD9" i="3"/>
  <c r="AB9" i="3"/>
  <c r="V9" i="3"/>
  <c r="AI9" i="3" s="1"/>
  <c r="U9" i="3"/>
  <c r="AH9" i="3" s="1"/>
  <c r="R9" i="3"/>
  <c r="P9" i="3"/>
  <c r="Q9" i="3" s="1"/>
  <c r="N9" i="3"/>
  <c r="M9" i="3"/>
  <c r="K9" i="3"/>
  <c r="J9" i="3"/>
  <c r="W9" i="3" s="1"/>
  <c r="AJ9" i="3" s="1"/>
  <c r="I9" i="3"/>
  <c r="G9" i="3"/>
  <c r="AS8" i="3"/>
  <c r="AU8" i="3" s="1"/>
  <c r="AK8" i="3"/>
  <c r="AI8" i="3"/>
  <c r="AH8" i="3"/>
  <c r="AF8" i="3"/>
  <c r="AE8" i="3"/>
  <c r="AD8" i="3"/>
  <c r="AB8" i="3"/>
  <c r="V8" i="3"/>
  <c r="R8" i="3"/>
  <c r="W8" i="3" s="1"/>
  <c r="AJ8" i="3" s="1"/>
  <c r="P8" i="3"/>
  <c r="N8" i="3"/>
  <c r="U8" i="3" s="1"/>
  <c r="M8" i="3"/>
  <c r="Q8" i="3" s="1"/>
  <c r="K8" i="3"/>
  <c r="J8" i="3"/>
  <c r="I8" i="3"/>
  <c r="G8" i="3"/>
  <c r="AU7" i="3"/>
  <c r="AS7" i="3"/>
  <c r="AK7" i="3"/>
  <c r="AI7" i="3"/>
  <c r="AH7" i="3"/>
  <c r="AG7" i="3"/>
  <c r="AE7" i="3"/>
  <c r="AF7" i="3" s="1"/>
  <c r="AD7" i="3"/>
  <c r="AB7" i="3"/>
  <c r="V7" i="3"/>
  <c r="U7" i="3"/>
  <c r="T7" i="3"/>
  <c r="S7" i="3"/>
  <c r="Q7" i="3"/>
  <c r="P7" i="3"/>
  <c r="R7" i="3" s="1"/>
  <c r="O7" i="3"/>
  <c r="N7" i="3"/>
  <c r="M7" i="3"/>
  <c r="J7" i="3"/>
  <c r="W7" i="3" s="1"/>
  <c r="AJ7" i="3" s="1"/>
  <c r="I7" i="3"/>
  <c r="G7" i="3"/>
  <c r="AS6" i="3"/>
  <c r="AU6" i="3" s="1"/>
  <c r="AK6" i="3"/>
  <c r="AK36" i="3" s="1"/>
  <c r="AK37" i="3" s="1"/>
  <c r="AF6" i="3"/>
  <c r="AE6" i="3"/>
  <c r="AD6" i="3"/>
  <c r="AB6" i="3"/>
  <c r="V6" i="3"/>
  <c r="AI6" i="3" s="1"/>
  <c r="P6" i="3"/>
  <c r="Q6" i="3" s="1"/>
  <c r="N6" i="3"/>
  <c r="M6" i="3"/>
  <c r="T6" i="3" s="1"/>
  <c r="K6" i="3"/>
  <c r="J6" i="3"/>
  <c r="I6" i="3"/>
  <c r="G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AS5" i="3"/>
  <c r="AU5" i="3" s="1"/>
  <c r="AU36" i="3" s="1"/>
  <c r="AK5" i="3"/>
  <c r="AF5" i="3"/>
  <c r="AE5" i="3"/>
  <c r="AE36" i="3" s="1"/>
  <c r="AD5" i="3"/>
  <c r="AB5" i="3"/>
  <c r="P5" i="3"/>
  <c r="O5" i="3"/>
  <c r="N5" i="3"/>
  <c r="M5" i="3"/>
  <c r="AG5" i="3" s="1"/>
  <c r="K5" i="3"/>
  <c r="J5" i="3"/>
  <c r="I5" i="3"/>
  <c r="G5" i="3"/>
  <c r="B5" i="3"/>
  <c r="AF46" i="2"/>
  <c r="S46" i="2"/>
  <c r="AJ44" i="2"/>
  <c r="F38" i="2"/>
  <c r="AC37" i="2"/>
  <c r="AD37" i="2" s="1"/>
  <c r="AR36" i="2"/>
  <c r="AQ36" i="2"/>
  <c r="AP36" i="2"/>
  <c r="AO36" i="2"/>
  <c r="AN36" i="2"/>
  <c r="AM36" i="2"/>
  <c r="AL36" i="2"/>
  <c r="AC36" i="2"/>
  <c r="AA36" i="2"/>
  <c r="AA37" i="2" s="1"/>
  <c r="AB37" i="2" s="1"/>
  <c r="Z36" i="2"/>
  <c r="Y36" i="2"/>
  <c r="L36" i="2"/>
  <c r="H36" i="2"/>
  <c r="F36" i="2"/>
  <c r="G36" i="2" s="1"/>
  <c r="E36" i="2"/>
  <c r="D36" i="2"/>
  <c r="C36" i="2"/>
  <c r="AS35" i="2"/>
  <c r="AU35" i="2" s="1"/>
  <c r="AV35" i="2" s="1"/>
  <c r="AK35" i="2"/>
  <c r="AI35" i="2"/>
  <c r="AH35" i="2"/>
  <c r="AG35" i="2"/>
  <c r="AF35" i="2"/>
  <c r="AE35" i="2"/>
  <c r="AD35" i="2"/>
  <c r="AB35" i="2"/>
  <c r="U35" i="2"/>
  <c r="T35" i="2"/>
  <c r="R35" i="2"/>
  <c r="S35" i="2" s="1"/>
  <c r="P35" i="2"/>
  <c r="V35" i="2" s="1"/>
  <c r="O35" i="2"/>
  <c r="N35" i="2"/>
  <c r="M35" i="2"/>
  <c r="K35" i="2"/>
  <c r="J35" i="2"/>
  <c r="I35" i="2"/>
  <c r="G35" i="2"/>
  <c r="AS34" i="2"/>
  <c r="AU34" i="2" s="1"/>
  <c r="AV34" i="2" s="1"/>
  <c r="AK34" i="2"/>
  <c r="AF34" i="2"/>
  <c r="AE34" i="2"/>
  <c r="AD34" i="2"/>
  <c r="AB34" i="2"/>
  <c r="R34" i="2"/>
  <c r="W34" i="2" s="1"/>
  <c r="AJ34" i="2" s="1"/>
  <c r="P34" i="2"/>
  <c r="V34" i="2" s="1"/>
  <c r="AI34" i="2" s="1"/>
  <c r="N34" i="2"/>
  <c r="U34" i="2" s="1"/>
  <c r="AH34" i="2" s="1"/>
  <c r="M34" i="2"/>
  <c r="K34" i="2"/>
  <c r="J34" i="2"/>
  <c r="I34" i="2"/>
  <c r="G34" i="2"/>
  <c r="AS33" i="2"/>
  <c r="AU33" i="2" s="1"/>
  <c r="AV33" i="2" s="1"/>
  <c r="AK33" i="2"/>
  <c r="AE33" i="2"/>
  <c r="AF33" i="2" s="1"/>
  <c r="AD33" i="2"/>
  <c r="AB33" i="2"/>
  <c r="P33" i="2"/>
  <c r="Q33" i="2" s="1"/>
  <c r="O33" i="2"/>
  <c r="N33" i="2"/>
  <c r="M33" i="2"/>
  <c r="K33" i="2"/>
  <c r="J33" i="2"/>
  <c r="I33" i="2"/>
  <c r="G33" i="2"/>
  <c r="AS32" i="2"/>
  <c r="AU32" i="2" s="1"/>
  <c r="AV32" i="2" s="1"/>
  <c r="AK32" i="2"/>
  <c r="AF32" i="2"/>
  <c r="AE32" i="2"/>
  <c r="AD32" i="2"/>
  <c r="AB32" i="2"/>
  <c r="V32" i="2"/>
  <c r="AI32" i="2" s="1"/>
  <c r="P32" i="2"/>
  <c r="N32" i="2"/>
  <c r="R32" i="2" s="1"/>
  <c r="W32" i="2" s="1"/>
  <c r="AJ32" i="2" s="1"/>
  <c r="M32" i="2"/>
  <c r="T32" i="2" s="1"/>
  <c r="X32" i="2" s="1"/>
  <c r="K32" i="2"/>
  <c r="J32" i="2"/>
  <c r="I32" i="2"/>
  <c r="G32" i="2"/>
  <c r="AS31" i="2"/>
  <c r="AU31" i="2" s="1"/>
  <c r="AV31" i="2" s="1"/>
  <c r="AK31" i="2"/>
  <c r="AI31" i="2"/>
  <c r="AG31" i="2"/>
  <c r="AE31" i="2"/>
  <c r="AF31" i="2" s="1"/>
  <c r="AD31" i="2"/>
  <c r="AB31" i="2"/>
  <c r="V31" i="2"/>
  <c r="T31" i="2"/>
  <c r="P31" i="2"/>
  <c r="Q31" i="2" s="1"/>
  <c r="N31" i="2"/>
  <c r="U31" i="2" s="1"/>
  <c r="AH31" i="2" s="1"/>
  <c r="M31" i="2"/>
  <c r="K31" i="2"/>
  <c r="J31" i="2"/>
  <c r="I31" i="2"/>
  <c r="G31" i="2"/>
  <c r="AS30" i="2"/>
  <c r="AU30" i="2" s="1"/>
  <c r="AV30" i="2" s="1"/>
  <c r="AK30" i="2"/>
  <c r="AI30" i="2"/>
  <c r="AH30" i="2"/>
  <c r="AF30" i="2"/>
  <c r="AE30" i="2"/>
  <c r="AD30" i="2"/>
  <c r="AB30" i="2"/>
  <c r="V30" i="2"/>
  <c r="U30" i="2"/>
  <c r="T30" i="2"/>
  <c r="S30" i="2"/>
  <c r="R30" i="2"/>
  <c r="P30" i="2"/>
  <c r="N30" i="2"/>
  <c r="M30" i="2"/>
  <c r="AG30" i="2" s="1"/>
  <c r="K30" i="2"/>
  <c r="J30" i="2"/>
  <c r="W30" i="2" s="1"/>
  <c r="AJ30" i="2" s="1"/>
  <c r="I30" i="2"/>
  <c r="G30" i="2"/>
  <c r="AU29" i="2"/>
  <c r="AV29" i="2" s="1"/>
  <c r="AS29" i="2"/>
  <c r="AK29" i="2"/>
  <c r="AI29" i="2"/>
  <c r="AH29" i="2"/>
  <c r="AG29" i="2"/>
  <c r="AE29" i="2"/>
  <c r="AF29" i="2" s="1"/>
  <c r="AD29" i="2"/>
  <c r="AB29" i="2"/>
  <c r="V29" i="2"/>
  <c r="U29" i="2"/>
  <c r="T29" i="2"/>
  <c r="S29" i="2"/>
  <c r="R29" i="2"/>
  <c r="Q29" i="2"/>
  <c r="P29" i="2"/>
  <c r="N29" i="2"/>
  <c r="O29" i="2" s="1"/>
  <c r="M29" i="2"/>
  <c r="K29" i="2"/>
  <c r="J29" i="2"/>
  <c r="I29" i="2"/>
  <c r="G29" i="2"/>
  <c r="AV28" i="2"/>
  <c r="AS28" i="2"/>
  <c r="AU28" i="2" s="1"/>
  <c r="AK28" i="2"/>
  <c r="AH28" i="2"/>
  <c r="AG28" i="2"/>
  <c r="AE28" i="2"/>
  <c r="AF28" i="2" s="1"/>
  <c r="AD28" i="2"/>
  <c r="AB28" i="2"/>
  <c r="U28" i="2"/>
  <c r="T28" i="2"/>
  <c r="P28" i="2"/>
  <c r="V28" i="2" s="1"/>
  <c r="AI28" i="2" s="1"/>
  <c r="N28" i="2"/>
  <c r="O28" i="2" s="1"/>
  <c r="M28" i="2"/>
  <c r="J28" i="2"/>
  <c r="I28" i="2"/>
  <c r="G28" i="2"/>
  <c r="AU27" i="2"/>
  <c r="AV27" i="2" s="1"/>
  <c r="AS27" i="2"/>
  <c r="AK27" i="2"/>
  <c r="AH27" i="2"/>
  <c r="AG27" i="2"/>
  <c r="AE27" i="2"/>
  <c r="AF27" i="2" s="1"/>
  <c r="AD27" i="2"/>
  <c r="AB27" i="2"/>
  <c r="U27" i="2"/>
  <c r="T27" i="2"/>
  <c r="R27" i="2"/>
  <c r="S27" i="2" s="1"/>
  <c r="P27" i="2"/>
  <c r="V27" i="2" s="1"/>
  <c r="AI27" i="2" s="1"/>
  <c r="O27" i="2"/>
  <c r="N27" i="2"/>
  <c r="M27" i="2"/>
  <c r="J27" i="2"/>
  <c r="I27" i="2"/>
  <c r="G27" i="2"/>
  <c r="AS26" i="2"/>
  <c r="AU26" i="2" s="1"/>
  <c r="AV26" i="2" s="1"/>
  <c r="AK26" i="2"/>
  <c r="AG26" i="2"/>
  <c r="AF26" i="2"/>
  <c r="AE26" i="2"/>
  <c r="AD26" i="2"/>
  <c r="AB26" i="2"/>
  <c r="T26" i="2"/>
  <c r="P26" i="2"/>
  <c r="V26" i="2" s="1"/>
  <c r="AI26" i="2" s="1"/>
  <c r="O26" i="2"/>
  <c r="N26" i="2"/>
  <c r="U26" i="2" s="1"/>
  <c r="AH26" i="2" s="1"/>
  <c r="M26" i="2"/>
  <c r="K26" i="2"/>
  <c r="J26" i="2"/>
  <c r="I26" i="2"/>
  <c r="G26" i="2"/>
  <c r="AU25" i="2"/>
  <c r="AV25" i="2" s="1"/>
  <c r="AS25" i="2"/>
  <c r="AK25" i="2"/>
  <c r="AE25" i="2"/>
  <c r="AF25" i="2" s="1"/>
  <c r="AD25" i="2"/>
  <c r="AB25" i="2"/>
  <c r="P25" i="2"/>
  <c r="V25" i="2" s="1"/>
  <c r="AI25" i="2" s="1"/>
  <c r="N25" i="2"/>
  <c r="U25" i="2" s="1"/>
  <c r="AH25" i="2" s="1"/>
  <c r="M25" i="2"/>
  <c r="Q25" i="2" s="1"/>
  <c r="K25" i="2"/>
  <c r="J25" i="2"/>
  <c r="I25" i="2"/>
  <c r="G25" i="2"/>
  <c r="AU24" i="2"/>
  <c r="AS24" i="2"/>
  <c r="AK24" i="2"/>
  <c r="AF24" i="2"/>
  <c r="AE24" i="2"/>
  <c r="AV24" i="2" s="1"/>
  <c r="AD24" i="2"/>
  <c r="AB24" i="2"/>
  <c r="V24" i="2"/>
  <c r="AI24" i="2" s="1"/>
  <c r="P24" i="2"/>
  <c r="Q24" i="2" s="1"/>
  <c r="N24" i="2"/>
  <c r="O24" i="2" s="1"/>
  <c r="M24" i="2"/>
  <c r="K24" i="2"/>
  <c r="J24" i="2"/>
  <c r="I24" i="2"/>
  <c r="G24" i="2"/>
  <c r="AS23" i="2"/>
  <c r="AU23" i="2" s="1"/>
  <c r="AV23" i="2" s="1"/>
  <c r="AK23" i="2"/>
  <c r="AE23" i="2"/>
  <c r="AF23" i="2" s="1"/>
  <c r="AD23" i="2"/>
  <c r="AB23" i="2"/>
  <c r="P23" i="2"/>
  <c r="Q23" i="2" s="1"/>
  <c r="N23" i="2"/>
  <c r="R23" i="2" s="1"/>
  <c r="W23" i="2" s="1"/>
  <c r="AJ23" i="2" s="1"/>
  <c r="M23" i="2"/>
  <c r="K23" i="2"/>
  <c r="J23" i="2"/>
  <c r="I23" i="2"/>
  <c r="G23" i="2"/>
  <c r="AS22" i="2"/>
  <c r="AU22" i="2" s="1"/>
  <c r="AV22" i="2" s="1"/>
  <c r="AK22" i="2"/>
  <c r="AI22" i="2"/>
  <c r="AE22" i="2"/>
  <c r="AF22" i="2" s="1"/>
  <c r="AD22" i="2"/>
  <c r="AB22" i="2"/>
  <c r="V22" i="2"/>
  <c r="U22" i="2"/>
  <c r="AH22" i="2" s="1"/>
  <c r="T22" i="2"/>
  <c r="X22" i="2" s="1"/>
  <c r="P22" i="2"/>
  <c r="Q22" i="2" s="1"/>
  <c r="N22" i="2"/>
  <c r="R22" i="2" s="1"/>
  <c r="M22" i="2"/>
  <c r="K22" i="2"/>
  <c r="J22" i="2"/>
  <c r="W22" i="2" s="1"/>
  <c r="AJ22" i="2" s="1"/>
  <c r="I22" i="2"/>
  <c r="G22" i="2"/>
  <c r="AS21" i="2"/>
  <c r="AU21" i="2" s="1"/>
  <c r="AV21" i="2" s="1"/>
  <c r="AK21" i="2"/>
  <c r="AE21" i="2"/>
  <c r="AF21" i="2" s="1"/>
  <c r="AD21" i="2"/>
  <c r="AB21" i="2"/>
  <c r="V21" i="2"/>
  <c r="AI21" i="2" s="1"/>
  <c r="U21" i="2"/>
  <c r="AH21" i="2" s="1"/>
  <c r="P21" i="2"/>
  <c r="N21" i="2"/>
  <c r="M21" i="2"/>
  <c r="T21" i="2" s="1"/>
  <c r="J21" i="2"/>
  <c r="K21" i="2" s="1"/>
  <c r="I21" i="2"/>
  <c r="G21" i="2"/>
  <c r="AS20" i="2"/>
  <c r="AU20" i="2" s="1"/>
  <c r="AV20" i="2" s="1"/>
  <c r="AK20" i="2"/>
  <c r="AI20" i="2"/>
  <c r="AH20" i="2"/>
  <c r="AF20" i="2"/>
  <c r="AE20" i="2"/>
  <c r="AD20" i="2"/>
  <c r="AB20" i="2"/>
  <c r="V20" i="2"/>
  <c r="U20" i="2"/>
  <c r="R20" i="2"/>
  <c r="P20" i="2"/>
  <c r="N20" i="2"/>
  <c r="M20" i="2"/>
  <c r="T20" i="2" s="1"/>
  <c r="X20" i="2" s="1"/>
  <c r="K20" i="2"/>
  <c r="J20" i="2"/>
  <c r="W20" i="2" s="1"/>
  <c r="AJ20" i="2" s="1"/>
  <c r="I20" i="2"/>
  <c r="G20" i="2"/>
  <c r="AU19" i="2"/>
  <c r="AV19" i="2" s="1"/>
  <c r="AS19" i="2"/>
  <c r="AK19" i="2"/>
  <c r="AI19" i="2"/>
  <c r="AH19" i="2"/>
  <c r="AG19" i="2"/>
  <c r="AE19" i="2"/>
  <c r="AF19" i="2" s="1"/>
  <c r="AD19" i="2"/>
  <c r="AB19" i="2"/>
  <c r="V19" i="2"/>
  <c r="U19" i="2"/>
  <c r="T19" i="2"/>
  <c r="R19" i="2"/>
  <c r="S19" i="2" s="1"/>
  <c r="Q19" i="2"/>
  <c r="P19" i="2"/>
  <c r="N19" i="2"/>
  <c r="M19" i="2"/>
  <c r="O19" i="2" s="1"/>
  <c r="K19" i="2"/>
  <c r="J19" i="2"/>
  <c r="I19" i="2"/>
  <c r="G19" i="2"/>
  <c r="AS18" i="2"/>
  <c r="AU18" i="2" s="1"/>
  <c r="AV18" i="2" s="1"/>
  <c r="AK18" i="2"/>
  <c r="AG18" i="2"/>
  <c r="AF18" i="2"/>
  <c r="AE18" i="2"/>
  <c r="AD18" i="2"/>
  <c r="AB18" i="2"/>
  <c r="U18" i="2"/>
  <c r="AH18" i="2" s="1"/>
  <c r="T18" i="2"/>
  <c r="P18" i="2"/>
  <c r="V18" i="2" s="1"/>
  <c r="AI18" i="2" s="1"/>
  <c r="N18" i="2"/>
  <c r="O18" i="2" s="1"/>
  <c r="M18" i="2"/>
  <c r="K18" i="2"/>
  <c r="J18" i="2"/>
  <c r="I18" i="2"/>
  <c r="G18" i="2"/>
  <c r="AU17" i="2"/>
  <c r="AV17" i="2" s="1"/>
  <c r="AS17" i="2"/>
  <c r="AK17" i="2"/>
  <c r="AH17" i="2"/>
  <c r="AG17" i="2"/>
  <c r="AE17" i="2"/>
  <c r="AF17" i="2" s="1"/>
  <c r="AD17" i="2"/>
  <c r="AB17" i="2"/>
  <c r="U17" i="2"/>
  <c r="T17" i="2"/>
  <c r="P17" i="2"/>
  <c r="V17" i="2" s="1"/>
  <c r="AI17" i="2" s="1"/>
  <c r="O17" i="2"/>
  <c r="N17" i="2"/>
  <c r="M17" i="2"/>
  <c r="K17" i="2"/>
  <c r="J17" i="2"/>
  <c r="I17" i="2"/>
  <c r="G17" i="2"/>
  <c r="AS16" i="2"/>
  <c r="AU16" i="2" s="1"/>
  <c r="AV16" i="2" s="1"/>
  <c r="AK16" i="2"/>
  <c r="AH16" i="2"/>
  <c r="AG16" i="2"/>
  <c r="AE16" i="2"/>
  <c r="AF16" i="2" s="1"/>
  <c r="AD16" i="2"/>
  <c r="AB16" i="2"/>
  <c r="T16" i="2"/>
  <c r="R16" i="2"/>
  <c r="S16" i="2" s="1"/>
  <c r="Q16" i="2"/>
  <c r="P16" i="2"/>
  <c r="V16" i="2" s="1"/>
  <c r="AI16" i="2" s="1"/>
  <c r="N16" i="2"/>
  <c r="U16" i="2" s="1"/>
  <c r="M16" i="2"/>
  <c r="J16" i="2"/>
  <c r="I16" i="2"/>
  <c r="G16" i="2"/>
  <c r="AU15" i="2"/>
  <c r="AV15" i="2" s="1"/>
  <c r="AS15" i="2"/>
  <c r="AK15" i="2"/>
  <c r="AG15" i="2"/>
  <c r="AF15" i="2"/>
  <c r="AE15" i="2"/>
  <c r="AD15" i="2"/>
  <c r="AB15" i="2"/>
  <c r="P15" i="2"/>
  <c r="V15" i="2" s="1"/>
  <c r="AI15" i="2" s="1"/>
  <c r="O15" i="2"/>
  <c r="N15" i="2"/>
  <c r="U15" i="2" s="1"/>
  <c r="AH15" i="2" s="1"/>
  <c r="M15" i="2"/>
  <c r="T15" i="2" s="1"/>
  <c r="J15" i="2"/>
  <c r="K15" i="2" s="1"/>
  <c r="I15" i="2"/>
  <c r="G15" i="2"/>
  <c r="AS14" i="2"/>
  <c r="AU14" i="2" s="1"/>
  <c r="AV14" i="2" s="1"/>
  <c r="AK14" i="2"/>
  <c r="AE14" i="2"/>
  <c r="AF14" i="2" s="1"/>
  <c r="AD14" i="2"/>
  <c r="AB14" i="2"/>
  <c r="P14" i="2"/>
  <c r="V14" i="2" s="1"/>
  <c r="AI14" i="2" s="1"/>
  <c r="N14" i="2"/>
  <c r="U14" i="2" s="1"/>
  <c r="AH14" i="2" s="1"/>
  <c r="M14" i="2"/>
  <c r="K14" i="2"/>
  <c r="J14" i="2"/>
  <c r="I14" i="2"/>
  <c r="G14" i="2"/>
  <c r="AU13" i="2"/>
  <c r="AS13" i="2"/>
  <c r="AK13" i="2"/>
  <c r="AE13" i="2"/>
  <c r="AF13" i="2" s="1"/>
  <c r="AD13" i="2"/>
  <c r="AB13" i="2"/>
  <c r="P13" i="2"/>
  <c r="V13" i="2" s="1"/>
  <c r="AI13" i="2" s="1"/>
  <c r="N13" i="2"/>
  <c r="R13" i="2" s="1"/>
  <c r="W13" i="2" s="1"/>
  <c r="AJ13" i="2" s="1"/>
  <c r="M13" i="2"/>
  <c r="K13" i="2"/>
  <c r="J13" i="2"/>
  <c r="I13" i="2"/>
  <c r="G13" i="2"/>
  <c r="AS12" i="2"/>
  <c r="AU12" i="2" s="1"/>
  <c r="AV12" i="2" s="1"/>
  <c r="AK12" i="2"/>
  <c r="AJ12" i="2"/>
  <c r="AF12" i="2"/>
  <c r="AE12" i="2"/>
  <c r="AD12" i="2"/>
  <c r="AB12" i="2"/>
  <c r="W12" i="2"/>
  <c r="V12" i="2"/>
  <c r="AI12" i="2" s="1"/>
  <c r="U12" i="2"/>
  <c r="AH12" i="2" s="1"/>
  <c r="P12" i="2"/>
  <c r="N12" i="2"/>
  <c r="R12" i="2" s="1"/>
  <c r="M12" i="2"/>
  <c r="K12" i="2"/>
  <c r="J12" i="2"/>
  <c r="I12" i="2"/>
  <c r="G12" i="2"/>
  <c r="AU11" i="2"/>
  <c r="AV11" i="2" s="1"/>
  <c r="AS11" i="2"/>
  <c r="AK11" i="2"/>
  <c r="AI11" i="2"/>
  <c r="AE11" i="2"/>
  <c r="AF11" i="2" s="1"/>
  <c r="AD11" i="2"/>
  <c r="AB11" i="2"/>
  <c r="V11" i="2"/>
  <c r="P11" i="2"/>
  <c r="N11" i="2"/>
  <c r="R11" i="2" s="1"/>
  <c r="M11" i="2"/>
  <c r="Q11" i="2" s="1"/>
  <c r="K11" i="2"/>
  <c r="J11" i="2"/>
  <c r="W11" i="2" s="1"/>
  <c r="AJ11" i="2" s="1"/>
  <c r="I11" i="2"/>
  <c r="G11" i="2"/>
  <c r="AS10" i="2"/>
  <c r="AU10" i="2" s="1"/>
  <c r="AV10" i="2" s="1"/>
  <c r="AK10" i="2"/>
  <c r="AK36" i="2" s="1"/>
  <c r="AK37" i="2" s="1"/>
  <c r="AI10" i="2"/>
  <c r="AH10" i="2"/>
  <c r="AG10" i="2"/>
  <c r="AF10" i="2"/>
  <c r="AE10" i="2"/>
  <c r="AD10" i="2"/>
  <c r="AB10" i="2"/>
  <c r="V10" i="2"/>
  <c r="U10" i="2"/>
  <c r="T10" i="2"/>
  <c r="R10" i="2"/>
  <c r="S10" i="2" s="1"/>
  <c r="P10" i="2"/>
  <c r="N10" i="2"/>
  <c r="M10" i="2"/>
  <c r="K10" i="2"/>
  <c r="J10" i="2"/>
  <c r="W10" i="2" s="1"/>
  <c r="AJ10" i="2" s="1"/>
  <c r="I10" i="2"/>
  <c r="G10" i="2"/>
  <c r="AU9" i="2"/>
  <c r="AV9" i="2" s="1"/>
  <c r="AS9" i="2"/>
  <c r="AK9" i="2"/>
  <c r="AI9" i="2"/>
  <c r="AH9" i="2"/>
  <c r="AE9" i="2"/>
  <c r="AF9" i="2" s="1"/>
  <c r="AD9" i="2"/>
  <c r="AB9" i="2"/>
  <c r="W9" i="2"/>
  <c r="AJ9" i="2" s="1"/>
  <c r="V9" i="2"/>
  <c r="U9" i="2"/>
  <c r="R9" i="2"/>
  <c r="P9" i="2"/>
  <c r="N9" i="2"/>
  <c r="M9" i="2"/>
  <c r="O9" i="2" s="1"/>
  <c r="K9" i="2"/>
  <c r="J9" i="2"/>
  <c r="I9" i="2"/>
  <c r="G9" i="2"/>
  <c r="AV8" i="2"/>
  <c r="AS8" i="2"/>
  <c r="AU8" i="2" s="1"/>
  <c r="AK8" i="2"/>
  <c r="AI8" i="2"/>
  <c r="AH8" i="2"/>
  <c r="AG8" i="2"/>
  <c r="AE8" i="2"/>
  <c r="AF8" i="2" s="1"/>
  <c r="AD8" i="2"/>
  <c r="AB8" i="2"/>
  <c r="V8" i="2"/>
  <c r="U8" i="2"/>
  <c r="T8" i="2"/>
  <c r="R8" i="2"/>
  <c r="S8" i="2" s="1"/>
  <c r="P8" i="2"/>
  <c r="Q8" i="2" s="1"/>
  <c r="N8" i="2"/>
  <c r="O8" i="2" s="1"/>
  <c r="M8" i="2"/>
  <c r="K8" i="2"/>
  <c r="J8" i="2"/>
  <c r="I8" i="2"/>
  <c r="G8" i="2"/>
  <c r="AV7" i="2"/>
  <c r="AU7" i="2"/>
  <c r="AS7" i="2"/>
  <c r="AK7" i="2"/>
  <c r="AI7" i="2"/>
  <c r="AH7" i="2"/>
  <c r="AG7" i="2"/>
  <c r="AE7" i="2"/>
  <c r="AF7" i="2" s="1"/>
  <c r="AD7" i="2"/>
  <c r="AB7" i="2"/>
  <c r="U7" i="2"/>
  <c r="T7" i="2"/>
  <c r="R7" i="2"/>
  <c r="S7" i="2" s="1"/>
  <c r="Q7" i="2"/>
  <c r="P7" i="2"/>
  <c r="V7" i="2" s="1"/>
  <c r="O7" i="2"/>
  <c r="N7" i="2"/>
  <c r="M7" i="2"/>
  <c r="J7" i="2"/>
  <c r="I7" i="2"/>
  <c r="G7" i="2"/>
  <c r="AV6" i="2"/>
  <c r="AU6" i="2"/>
  <c r="AS6" i="2"/>
  <c r="AK6" i="2"/>
  <c r="AH6" i="2"/>
  <c r="AG6" i="2"/>
  <c r="AF6" i="2"/>
  <c r="AE6" i="2"/>
  <c r="AD6" i="2"/>
  <c r="AB6" i="2"/>
  <c r="T6" i="2"/>
  <c r="P6" i="2"/>
  <c r="V6" i="2" s="1"/>
  <c r="AI6" i="2" s="1"/>
  <c r="O6" i="2"/>
  <c r="N6" i="2"/>
  <c r="U6" i="2" s="1"/>
  <c r="M6" i="2"/>
  <c r="K6" i="2"/>
  <c r="J6" i="2"/>
  <c r="I6" i="2"/>
  <c r="G6" i="2"/>
  <c r="AS5" i="2"/>
  <c r="AU5" i="2" s="1"/>
  <c r="AK5" i="2"/>
  <c r="AF5" i="2"/>
  <c r="AE5" i="2"/>
  <c r="AD5" i="2"/>
  <c r="AB5" i="2"/>
  <c r="R5" i="2"/>
  <c r="P5" i="2"/>
  <c r="V5" i="2" s="1"/>
  <c r="AI5" i="2" s="1"/>
  <c r="N5" i="2"/>
  <c r="U5" i="2" s="1"/>
  <c r="M5" i="2"/>
  <c r="T5" i="2" s="1"/>
  <c r="K5" i="2"/>
  <c r="J5" i="2"/>
  <c r="I5" i="2"/>
  <c r="G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AF46" i="1"/>
  <c r="S46" i="1"/>
  <c r="AJ44" i="1"/>
  <c r="F38" i="1"/>
  <c r="AC37" i="1"/>
  <c r="AD37" i="1" s="1"/>
  <c r="AA37" i="1"/>
  <c r="AB37" i="1" s="1"/>
  <c r="AR36" i="1"/>
  <c r="AQ36" i="1"/>
  <c r="AP36" i="1"/>
  <c r="AO36" i="1"/>
  <c r="AN36" i="1"/>
  <c r="AM36" i="1"/>
  <c r="AL36" i="1"/>
  <c r="AC36" i="1"/>
  <c r="AA36" i="1"/>
  <c r="Z36" i="1"/>
  <c r="Y36" i="1"/>
  <c r="L36" i="1"/>
  <c r="H36" i="1"/>
  <c r="I36" i="1" s="1"/>
  <c r="F36" i="1"/>
  <c r="G36" i="1" s="1"/>
  <c r="E36" i="1"/>
  <c r="D36" i="1"/>
  <c r="C36" i="1"/>
  <c r="AS35" i="1"/>
  <c r="AU35" i="1" s="1"/>
  <c r="AV35" i="1" s="1"/>
  <c r="AK35" i="1"/>
  <c r="AH35" i="1"/>
  <c r="AG35" i="1"/>
  <c r="AE35" i="1"/>
  <c r="AF35" i="1" s="1"/>
  <c r="AD35" i="1"/>
  <c r="AB35" i="1"/>
  <c r="U35" i="1"/>
  <c r="T35" i="1"/>
  <c r="P35" i="1"/>
  <c r="O35" i="1"/>
  <c r="N35" i="1"/>
  <c r="M35" i="1"/>
  <c r="K35" i="1"/>
  <c r="J35" i="1"/>
  <c r="I35" i="1"/>
  <c r="G35" i="1"/>
  <c r="AS34" i="1"/>
  <c r="AU34" i="1" s="1"/>
  <c r="AV34" i="1" s="1"/>
  <c r="AK34" i="1"/>
  <c r="AG34" i="1"/>
  <c r="AF34" i="1"/>
  <c r="AE34" i="1"/>
  <c r="AD34" i="1"/>
  <c r="AB34" i="1"/>
  <c r="T34" i="1"/>
  <c r="P34" i="1"/>
  <c r="V34" i="1" s="1"/>
  <c r="AI34" i="1" s="1"/>
  <c r="O34" i="1"/>
  <c r="N34" i="1"/>
  <c r="M34" i="1"/>
  <c r="K34" i="1"/>
  <c r="J34" i="1"/>
  <c r="I34" i="1"/>
  <c r="G34" i="1"/>
  <c r="AS33" i="1"/>
  <c r="AU33" i="1" s="1"/>
  <c r="AV33" i="1" s="1"/>
  <c r="AK33" i="1"/>
  <c r="AE33" i="1"/>
  <c r="AF33" i="1" s="1"/>
  <c r="AD33" i="1"/>
  <c r="AB33" i="1"/>
  <c r="P33" i="1"/>
  <c r="V33" i="1" s="1"/>
  <c r="AI33" i="1" s="1"/>
  <c r="N33" i="1"/>
  <c r="M33" i="1"/>
  <c r="K33" i="1"/>
  <c r="J33" i="1"/>
  <c r="I33" i="1"/>
  <c r="G33" i="1"/>
  <c r="AS32" i="1"/>
  <c r="AU32" i="1" s="1"/>
  <c r="AV32" i="1" s="1"/>
  <c r="AK32" i="1"/>
  <c r="AE32" i="1"/>
  <c r="AF32" i="1" s="1"/>
  <c r="AD32" i="1"/>
  <c r="AB32" i="1"/>
  <c r="V32" i="1"/>
  <c r="AI32" i="1" s="1"/>
  <c r="P32" i="1"/>
  <c r="N32" i="1"/>
  <c r="U32" i="1" s="1"/>
  <c r="AH32" i="1" s="1"/>
  <c r="M32" i="1"/>
  <c r="K32" i="1"/>
  <c r="J32" i="1"/>
  <c r="I32" i="1"/>
  <c r="G32" i="1"/>
  <c r="AU31" i="1"/>
  <c r="AV31" i="1" s="1"/>
  <c r="AS31" i="1"/>
  <c r="AK31" i="1"/>
  <c r="AE31" i="1"/>
  <c r="AF31" i="1" s="1"/>
  <c r="AD31" i="1"/>
  <c r="AB31" i="1"/>
  <c r="V31" i="1"/>
  <c r="AI31" i="1" s="1"/>
  <c r="U31" i="1"/>
  <c r="AH31" i="1" s="1"/>
  <c r="P31" i="1"/>
  <c r="Q31" i="1" s="1"/>
  <c r="N31" i="1"/>
  <c r="R31" i="1" s="1"/>
  <c r="M31" i="1"/>
  <c r="T31" i="1" s="1"/>
  <c r="J31" i="1"/>
  <c r="I31" i="1"/>
  <c r="G31" i="1"/>
  <c r="AS30" i="1"/>
  <c r="AU30" i="1" s="1"/>
  <c r="AV30" i="1" s="1"/>
  <c r="AK30" i="1"/>
  <c r="AI30" i="1"/>
  <c r="AH30" i="1"/>
  <c r="AF30" i="1"/>
  <c r="AE30" i="1"/>
  <c r="AD30" i="1"/>
  <c r="AB30" i="1"/>
  <c r="V30" i="1"/>
  <c r="U30" i="1"/>
  <c r="T30" i="1"/>
  <c r="P30" i="1"/>
  <c r="Q30" i="1" s="1"/>
  <c r="N30" i="1"/>
  <c r="R30" i="1" s="1"/>
  <c r="M30" i="1"/>
  <c r="AG30" i="1" s="1"/>
  <c r="K30" i="1"/>
  <c r="J30" i="1"/>
  <c r="I30" i="1"/>
  <c r="G30" i="1"/>
  <c r="AS29" i="1"/>
  <c r="AU29" i="1" s="1"/>
  <c r="AV29" i="1" s="1"/>
  <c r="AK29" i="1"/>
  <c r="AI29" i="1"/>
  <c r="AH29" i="1"/>
  <c r="AG29" i="1"/>
  <c r="AF29" i="1"/>
  <c r="AE29" i="1"/>
  <c r="AD29" i="1"/>
  <c r="AB29" i="1"/>
  <c r="V29" i="1"/>
  <c r="U29" i="1"/>
  <c r="T29" i="1"/>
  <c r="P29" i="1"/>
  <c r="Q29" i="1" s="1"/>
  <c r="N29" i="1"/>
  <c r="R29" i="1" s="1"/>
  <c r="S29" i="1" s="1"/>
  <c r="M29" i="1"/>
  <c r="K29" i="1"/>
  <c r="J29" i="1"/>
  <c r="I29" i="1"/>
  <c r="G29" i="1"/>
  <c r="AS28" i="1"/>
  <c r="AU28" i="1" s="1"/>
  <c r="AV28" i="1" s="1"/>
  <c r="AK28" i="1"/>
  <c r="AI28" i="1"/>
  <c r="AH28" i="1"/>
  <c r="AG28" i="1"/>
  <c r="AF28" i="1"/>
  <c r="AE28" i="1"/>
  <c r="AD28" i="1"/>
  <c r="AB28" i="1"/>
  <c r="V28" i="1"/>
  <c r="U28" i="1"/>
  <c r="T28" i="1"/>
  <c r="R28" i="1"/>
  <c r="S28" i="1" s="1"/>
  <c r="P28" i="1"/>
  <c r="Q28" i="1" s="1"/>
  <c r="N28" i="1"/>
  <c r="O28" i="1" s="1"/>
  <c r="M28" i="1"/>
  <c r="K28" i="1"/>
  <c r="J28" i="1"/>
  <c r="I28" i="1"/>
  <c r="G28" i="1"/>
  <c r="AS27" i="1"/>
  <c r="AU27" i="1" s="1"/>
  <c r="AV27" i="1" s="1"/>
  <c r="AK27" i="1"/>
  <c r="AI27" i="1"/>
  <c r="AG27" i="1"/>
  <c r="AF27" i="1"/>
  <c r="AE27" i="1"/>
  <c r="AD27" i="1"/>
  <c r="AB27" i="1"/>
  <c r="V27" i="1"/>
  <c r="U27" i="1"/>
  <c r="AH27" i="1" s="1"/>
  <c r="T27" i="1"/>
  <c r="R27" i="1"/>
  <c r="S27" i="1" s="1"/>
  <c r="Q27" i="1"/>
  <c r="P27" i="1"/>
  <c r="N27" i="1"/>
  <c r="O27" i="1" s="1"/>
  <c r="M27" i="1"/>
  <c r="K27" i="1"/>
  <c r="J27" i="1"/>
  <c r="I27" i="1"/>
  <c r="G27" i="1"/>
  <c r="AS26" i="1"/>
  <c r="AU26" i="1" s="1"/>
  <c r="AV26" i="1" s="1"/>
  <c r="AK26" i="1"/>
  <c r="AH26" i="1"/>
  <c r="AG26" i="1"/>
  <c r="AE26" i="1"/>
  <c r="AF26" i="1" s="1"/>
  <c r="AD26" i="1"/>
  <c r="AB26" i="1"/>
  <c r="U26" i="1"/>
  <c r="T26" i="1"/>
  <c r="P26" i="1"/>
  <c r="N26" i="1"/>
  <c r="O26" i="1" s="1"/>
  <c r="M26" i="1"/>
  <c r="K26" i="1"/>
  <c r="J26" i="1"/>
  <c r="I26" i="1"/>
  <c r="G26" i="1"/>
  <c r="AU25" i="1"/>
  <c r="AV25" i="1" s="1"/>
  <c r="AS25" i="1"/>
  <c r="AK25" i="1"/>
  <c r="AH25" i="1"/>
  <c r="AG25" i="1"/>
  <c r="AE25" i="1"/>
  <c r="AF25" i="1" s="1"/>
  <c r="AD25" i="1"/>
  <c r="AB25" i="1"/>
  <c r="U25" i="1"/>
  <c r="T25" i="1"/>
  <c r="P25" i="1"/>
  <c r="O25" i="1"/>
  <c r="N25" i="1"/>
  <c r="M25" i="1"/>
  <c r="J25" i="1"/>
  <c r="I25" i="1"/>
  <c r="G25" i="1"/>
  <c r="AU24" i="1"/>
  <c r="AV24" i="1" s="1"/>
  <c r="AS24" i="1"/>
  <c r="AK24" i="1"/>
  <c r="AG24" i="1"/>
  <c r="AF24" i="1"/>
  <c r="AE24" i="1"/>
  <c r="AD24" i="1"/>
  <c r="AB24" i="1"/>
  <c r="T24" i="1"/>
  <c r="P24" i="1"/>
  <c r="V24" i="1" s="1"/>
  <c r="AI24" i="1" s="1"/>
  <c r="N24" i="1"/>
  <c r="M24" i="1"/>
  <c r="K24" i="1"/>
  <c r="J24" i="1"/>
  <c r="I24" i="1"/>
  <c r="G24" i="1"/>
  <c r="AS23" i="1"/>
  <c r="AU23" i="1" s="1"/>
  <c r="AV23" i="1" s="1"/>
  <c r="AK23" i="1"/>
  <c r="AE23" i="1"/>
  <c r="AF23" i="1" s="1"/>
  <c r="AD23" i="1"/>
  <c r="AB23" i="1"/>
  <c r="P23" i="1"/>
  <c r="V23" i="1" s="1"/>
  <c r="AI23" i="1" s="1"/>
  <c r="N23" i="1"/>
  <c r="M23" i="1"/>
  <c r="K23" i="1"/>
  <c r="J23" i="1"/>
  <c r="I23" i="1"/>
  <c r="G23" i="1"/>
  <c r="AS22" i="1"/>
  <c r="AU22" i="1" s="1"/>
  <c r="AV22" i="1" s="1"/>
  <c r="AK22" i="1"/>
  <c r="AE22" i="1"/>
  <c r="AF22" i="1" s="1"/>
  <c r="AD22" i="1"/>
  <c r="AB22" i="1"/>
  <c r="V22" i="1"/>
  <c r="AI22" i="1" s="1"/>
  <c r="P22" i="1"/>
  <c r="Q22" i="1" s="1"/>
  <c r="N22" i="1"/>
  <c r="U22" i="1" s="1"/>
  <c r="AH22" i="1" s="1"/>
  <c r="M22" i="1"/>
  <c r="K22" i="1"/>
  <c r="J22" i="1"/>
  <c r="I22" i="1"/>
  <c r="G22" i="1"/>
  <c r="AS21" i="1"/>
  <c r="AU21" i="1" s="1"/>
  <c r="AV21" i="1" s="1"/>
  <c r="AK21" i="1"/>
  <c r="AE21" i="1"/>
  <c r="AF21" i="1" s="1"/>
  <c r="AD21" i="1"/>
  <c r="AB21" i="1"/>
  <c r="V21" i="1"/>
  <c r="AI21" i="1" s="1"/>
  <c r="U21" i="1"/>
  <c r="AH21" i="1" s="1"/>
  <c r="P21" i="1"/>
  <c r="Q21" i="1" s="1"/>
  <c r="N21" i="1"/>
  <c r="R21" i="1" s="1"/>
  <c r="M21" i="1"/>
  <c r="T21" i="1" s="1"/>
  <c r="K21" i="1"/>
  <c r="J21" i="1"/>
  <c r="I21" i="1"/>
  <c r="G21" i="1"/>
  <c r="AS20" i="1"/>
  <c r="AU20" i="1" s="1"/>
  <c r="AV20" i="1" s="1"/>
  <c r="AK20" i="1"/>
  <c r="AI20" i="1"/>
  <c r="AH20" i="1"/>
  <c r="AF20" i="1"/>
  <c r="AE20" i="1"/>
  <c r="AD20" i="1"/>
  <c r="AB20" i="1"/>
  <c r="V20" i="1"/>
  <c r="U20" i="1"/>
  <c r="T20" i="1"/>
  <c r="P20" i="1"/>
  <c r="Q20" i="1" s="1"/>
  <c r="N20" i="1"/>
  <c r="R20" i="1" s="1"/>
  <c r="M20" i="1"/>
  <c r="AG20" i="1" s="1"/>
  <c r="K20" i="1"/>
  <c r="J20" i="1"/>
  <c r="I20" i="1"/>
  <c r="G20" i="1"/>
  <c r="AS19" i="1"/>
  <c r="AU19" i="1" s="1"/>
  <c r="AV19" i="1" s="1"/>
  <c r="AK19" i="1"/>
  <c r="AI19" i="1"/>
  <c r="AH19" i="1"/>
  <c r="AG19" i="1"/>
  <c r="AF19" i="1"/>
  <c r="AE19" i="1"/>
  <c r="AD19" i="1"/>
  <c r="AB19" i="1"/>
  <c r="V19" i="1"/>
  <c r="U19" i="1"/>
  <c r="T19" i="1"/>
  <c r="P19" i="1"/>
  <c r="Q19" i="1" s="1"/>
  <c r="N19" i="1"/>
  <c r="R19" i="1" s="1"/>
  <c r="S19" i="1" s="1"/>
  <c r="M19" i="1"/>
  <c r="K19" i="1"/>
  <c r="J19" i="1"/>
  <c r="I19" i="1"/>
  <c r="G19" i="1"/>
  <c r="AS18" i="1"/>
  <c r="AU18" i="1" s="1"/>
  <c r="AV18" i="1" s="1"/>
  <c r="AK18" i="1"/>
  <c r="AH18" i="1"/>
  <c r="AG18" i="1"/>
  <c r="AF18" i="1"/>
  <c r="AE18" i="1"/>
  <c r="AD18" i="1"/>
  <c r="AB18" i="1"/>
  <c r="V18" i="1"/>
  <c r="AI18" i="1" s="1"/>
  <c r="U18" i="1"/>
  <c r="T18" i="1"/>
  <c r="R18" i="1"/>
  <c r="S18" i="1" s="1"/>
  <c r="P18" i="1"/>
  <c r="Q18" i="1" s="1"/>
  <c r="N18" i="1"/>
  <c r="O18" i="1" s="1"/>
  <c r="M18" i="1"/>
  <c r="K18" i="1"/>
  <c r="J18" i="1"/>
  <c r="I18" i="1"/>
  <c r="G18" i="1"/>
  <c r="AS17" i="1"/>
  <c r="AU17" i="1" s="1"/>
  <c r="AK17" i="1"/>
  <c r="AI17" i="1"/>
  <c r="AG17" i="1"/>
  <c r="AE17" i="1"/>
  <c r="AF17" i="1" s="1"/>
  <c r="AD17" i="1"/>
  <c r="AB17" i="1"/>
  <c r="V17" i="1"/>
  <c r="U17" i="1"/>
  <c r="AH17" i="1" s="1"/>
  <c r="T17" i="1"/>
  <c r="R17" i="1"/>
  <c r="S17" i="1" s="1"/>
  <c r="Q17" i="1"/>
  <c r="P17" i="1"/>
  <c r="N17" i="1"/>
  <c r="M17" i="1"/>
  <c r="O17" i="1" s="1"/>
  <c r="J17" i="1"/>
  <c r="I17" i="1"/>
  <c r="G17" i="1"/>
  <c r="AS16" i="1"/>
  <c r="AU16" i="1" s="1"/>
  <c r="AV16" i="1" s="1"/>
  <c r="AK16" i="1"/>
  <c r="AH16" i="1"/>
  <c r="AG16" i="1"/>
  <c r="AE16" i="1"/>
  <c r="AF16" i="1" s="1"/>
  <c r="AD16" i="1"/>
  <c r="AB16" i="1"/>
  <c r="U16" i="1"/>
  <c r="T16" i="1"/>
  <c r="P16" i="1"/>
  <c r="N16" i="1"/>
  <c r="O16" i="1" s="1"/>
  <c r="M16" i="1"/>
  <c r="K16" i="1"/>
  <c r="J16" i="1"/>
  <c r="I16" i="1"/>
  <c r="G16" i="1"/>
  <c r="AV15" i="1"/>
  <c r="AU15" i="1"/>
  <c r="AS15" i="1"/>
  <c r="AK15" i="1"/>
  <c r="AH15" i="1"/>
  <c r="AG15" i="1"/>
  <c r="AE15" i="1"/>
  <c r="AF15" i="1" s="1"/>
  <c r="AD15" i="1"/>
  <c r="AB15" i="1"/>
  <c r="U15" i="1"/>
  <c r="T15" i="1"/>
  <c r="P15" i="1"/>
  <c r="O15" i="1"/>
  <c r="N15" i="1"/>
  <c r="M15" i="1"/>
  <c r="K15" i="1"/>
  <c r="J15" i="1"/>
  <c r="I15" i="1"/>
  <c r="G15" i="1"/>
  <c r="AS14" i="1"/>
  <c r="AU14" i="1" s="1"/>
  <c r="AV14" i="1" s="1"/>
  <c r="AK14" i="1"/>
  <c r="AG14" i="1"/>
  <c r="AE14" i="1"/>
  <c r="AF14" i="1" s="1"/>
  <c r="AD14" i="1"/>
  <c r="AB14" i="1"/>
  <c r="T14" i="1"/>
  <c r="P14" i="1"/>
  <c r="V14" i="1" s="1"/>
  <c r="AI14" i="1" s="1"/>
  <c r="N14" i="1"/>
  <c r="M14" i="1"/>
  <c r="K14" i="1"/>
  <c r="J14" i="1"/>
  <c r="I14" i="1"/>
  <c r="G14" i="1"/>
  <c r="AS13" i="1"/>
  <c r="AU13" i="1" s="1"/>
  <c r="AV13" i="1" s="1"/>
  <c r="AK13" i="1"/>
  <c r="AE13" i="1"/>
  <c r="AF13" i="1" s="1"/>
  <c r="AD13" i="1"/>
  <c r="AB13" i="1"/>
  <c r="P13" i="1"/>
  <c r="V13" i="1" s="1"/>
  <c r="AI13" i="1" s="1"/>
  <c r="N13" i="1"/>
  <c r="M13" i="1"/>
  <c r="K13" i="1"/>
  <c r="J13" i="1"/>
  <c r="I13" i="1"/>
  <c r="G13" i="1"/>
  <c r="AS12" i="1"/>
  <c r="AU12" i="1" s="1"/>
  <c r="AV12" i="1" s="1"/>
  <c r="AK12" i="1"/>
  <c r="AE12" i="1"/>
  <c r="AF12" i="1" s="1"/>
  <c r="AD12" i="1"/>
  <c r="AB12" i="1"/>
  <c r="V12" i="1"/>
  <c r="AI12" i="1" s="1"/>
  <c r="P12" i="1"/>
  <c r="N12" i="1"/>
  <c r="U12" i="1" s="1"/>
  <c r="AH12" i="1" s="1"/>
  <c r="M12" i="1"/>
  <c r="M36" i="1" s="1"/>
  <c r="N38" i="1" s="1"/>
  <c r="K12" i="1"/>
  <c r="J12" i="1"/>
  <c r="I12" i="1"/>
  <c r="G12" i="1"/>
  <c r="AS11" i="1"/>
  <c r="AU11" i="1" s="1"/>
  <c r="AV11" i="1" s="1"/>
  <c r="AK11" i="1"/>
  <c r="AE11" i="1"/>
  <c r="AF11" i="1" s="1"/>
  <c r="AD11" i="1"/>
  <c r="AB11" i="1"/>
  <c r="V11" i="1"/>
  <c r="AI11" i="1" s="1"/>
  <c r="U11" i="1"/>
  <c r="AH11" i="1" s="1"/>
  <c r="P11" i="1"/>
  <c r="Q11" i="1" s="1"/>
  <c r="N11" i="1"/>
  <c r="R11" i="1" s="1"/>
  <c r="M11" i="1"/>
  <c r="T11" i="1" s="1"/>
  <c r="K11" i="1"/>
  <c r="J11" i="1"/>
  <c r="I11" i="1"/>
  <c r="G11" i="1"/>
  <c r="AS10" i="1"/>
  <c r="AU10" i="1" s="1"/>
  <c r="AV10" i="1" s="1"/>
  <c r="AK10" i="1"/>
  <c r="AI10" i="1"/>
  <c r="AH10" i="1"/>
  <c r="AF10" i="1"/>
  <c r="AE10" i="1"/>
  <c r="AD10" i="1"/>
  <c r="AB10" i="1"/>
  <c r="V10" i="1"/>
  <c r="U10" i="1"/>
  <c r="T10" i="1"/>
  <c r="P10" i="1"/>
  <c r="Q10" i="1" s="1"/>
  <c r="N10" i="1"/>
  <c r="R10" i="1" s="1"/>
  <c r="M10" i="1"/>
  <c r="AG10" i="1" s="1"/>
  <c r="J10" i="1"/>
  <c r="I10" i="1"/>
  <c r="G10" i="1"/>
  <c r="AS9" i="1"/>
  <c r="AU9" i="1" s="1"/>
  <c r="AV9" i="1" s="1"/>
  <c r="AK9" i="1"/>
  <c r="AI9" i="1"/>
  <c r="AH9" i="1"/>
  <c r="AG9" i="1"/>
  <c r="AF9" i="1"/>
  <c r="AE9" i="1"/>
  <c r="AD9" i="1"/>
  <c r="AB9" i="1"/>
  <c r="V9" i="1"/>
  <c r="U9" i="1"/>
  <c r="T9" i="1"/>
  <c r="S9" i="1"/>
  <c r="P9" i="1"/>
  <c r="Q9" i="1" s="1"/>
  <c r="N9" i="1"/>
  <c r="R9" i="1" s="1"/>
  <c r="M9" i="1"/>
  <c r="K9" i="1"/>
  <c r="J9" i="1"/>
  <c r="W9" i="1" s="1"/>
  <c r="AJ9" i="1" s="1"/>
  <c r="I9" i="1"/>
  <c r="G9" i="1"/>
  <c r="AS8" i="1"/>
  <c r="AU8" i="1" s="1"/>
  <c r="AV8" i="1" s="1"/>
  <c r="AK8" i="1"/>
  <c r="AI8" i="1"/>
  <c r="AH8" i="1"/>
  <c r="AG8" i="1"/>
  <c r="AF8" i="1"/>
  <c r="AE8" i="1"/>
  <c r="AD8" i="1"/>
  <c r="AB8" i="1"/>
  <c r="V8" i="1"/>
  <c r="U8" i="1"/>
  <c r="T8" i="1"/>
  <c r="S8" i="1"/>
  <c r="R8" i="1"/>
  <c r="P8" i="1"/>
  <c r="N8" i="1"/>
  <c r="O8" i="1" s="1"/>
  <c r="M8" i="1"/>
  <c r="Q8" i="1" s="1"/>
  <c r="K8" i="1"/>
  <c r="J8" i="1"/>
  <c r="W8" i="1" s="1"/>
  <c r="AJ8" i="1" s="1"/>
  <c r="I8" i="1"/>
  <c r="G8" i="1"/>
  <c r="AS7" i="1"/>
  <c r="AU7" i="1" s="1"/>
  <c r="AK7" i="1"/>
  <c r="AI7" i="1"/>
  <c r="AH7" i="1"/>
  <c r="AG7" i="1"/>
  <c r="AE7" i="1"/>
  <c r="AF7" i="1" s="1"/>
  <c r="AD7" i="1"/>
  <c r="AB7" i="1"/>
  <c r="V7" i="1"/>
  <c r="U7" i="1"/>
  <c r="T7" i="1"/>
  <c r="R7" i="1"/>
  <c r="S7" i="1" s="1"/>
  <c r="Q7" i="1"/>
  <c r="P7" i="1"/>
  <c r="N7" i="1"/>
  <c r="O7" i="1" s="1"/>
  <c r="M7" i="1"/>
  <c r="K7" i="1"/>
  <c r="J7" i="1"/>
  <c r="I7" i="1"/>
  <c r="G7" i="1"/>
  <c r="AV6" i="1"/>
  <c r="AU6" i="1"/>
  <c r="AS6" i="1"/>
  <c r="AK6" i="1"/>
  <c r="AH6" i="1"/>
  <c r="AG6" i="1"/>
  <c r="AE6" i="1"/>
  <c r="AF6" i="1" s="1"/>
  <c r="AD6" i="1"/>
  <c r="AB6" i="1"/>
  <c r="U6" i="1"/>
  <c r="T6" i="1"/>
  <c r="Q6" i="1"/>
  <c r="P6" i="1"/>
  <c r="O6" i="1"/>
  <c r="N6" i="1"/>
  <c r="M6" i="1"/>
  <c r="K6" i="1"/>
  <c r="J6" i="1"/>
  <c r="I6" i="1"/>
  <c r="G6" i="1"/>
  <c r="AU5" i="1"/>
  <c r="AS5" i="1"/>
  <c r="AK5" i="1"/>
  <c r="AH5" i="1"/>
  <c r="AG5" i="1"/>
  <c r="AE5" i="1"/>
  <c r="AD5" i="1"/>
  <c r="AB5" i="1"/>
  <c r="U5" i="1"/>
  <c r="T5" i="1"/>
  <c r="P5" i="1"/>
  <c r="O5" i="1"/>
  <c r="N5" i="1"/>
  <c r="M5" i="1"/>
  <c r="K5" i="1"/>
  <c r="J5" i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L45" i="3" l="1"/>
  <c r="AK45" i="3"/>
  <c r="AF36" i="3"/>
  <c r="AE37" i="3"/>
  <c r="V10" i="3"/>
  <c r="AI10" i="3" s="1"/>
  <c r="Q10" i="3"/>
  <c r="R10" i="3"/>
  <c r="S10" i="3" s="1"/>
  <c r="O11" i="3"/>
  <c r="S13" i="3"/>
  <c r="AS36" i="3"/>
  <c r="T13" i="3"/>
  <c r="Q14" i="3"/>
  <c r="R15" i="3"/>
  <c r="W15" i="3" s="1"/>
  <c r="AJ15" i="3" s="1"/>
  <c r="S16" i="3"/>
  <c r="T16" i="3"/>
  <c r="W30" i="3"/>
  <c r="AJ30" i="3" s="1"/>
  <c r="R5" i="3"/>
  <c r="O8" i="3"/>
  <c r="Q11" i="3"/>
  <c r="AG11" i="3"/>
  <c r="S12" i="3"/>
  <c r="R14" i="3"/>
  <c r="W14" i="3" s="1"/>
  <c r="AJ14" i="3" s="1"/>
  <c r="O15" i="3"/>
  <c r="AG16" i="3"/>
  <c r="V17" i="3"/>
  <c r="AI17" i="3" s="1"/>
  <c r="R17" i="3"/>
  <c r="S17" i="3" s="1"/>
  <c r="Q17" i="3"/>
  <c r="Q18" i="3"/>
  <c r="T18" i="3"/>
  <c r="Q21" i="3"/>
  <c r="T21" i="3"/>
  <c r="G36" i="3"/>
  <c r="G37" i="3"/>
  <c r="AG8" i="3"/>
  <c r="R11" i="3"/>
  <c r="W11" i="3" s="1"/>
  <c r="AJ11" i="3" s="1"/>
  <c r="Q15" i="3"/>
  <c r="V15" i="3"/>
  <c r="AI15" i="3" s="1"/>
  <c r="O18" i="3"/>
  <c r="U18" i="3"/>
  <c r="AH18" i="3" s="1"/>
  <c r="O21" i="3"/>
  <c r="U21" i="3"/>
  <c r="AH21" i="3" s="1"/>
  <c r="S22" i="3"/>
  <c r="T22" i="3"/>
  <c r="W28" i="3"/>
  <c r="AJ28" i="3" s="1"/>
  <c r="K28" i="3"/>
  <c r="R31" i="3"/>
  <c r="U31" i="3"/>
  <c r="AH31" i="3" s="1"/>
  <c r="T32" i="3"/>
  <c r="S32" i="3"/>
  <c r="I37" i="3"/>
  <c r="P36" i="3"/>
  <c r="Q5" i="3"/>
  <c r="V5" i="3"/>
  <c r="K7" i="3"/>
  <c r="T9" i="3"/>
  <c r="S9" i="3"/>
  <c r="O12" i="3"/>
  <c r="Q16" i="3"/>
  <c r="AG22" i="3"/>
  <c r="V23" i="3"/>
  <c r="AI23" i="3" s="1"/>
  <c r="R23" i="3"/>
  <c r="S23" i="3" s="1"/>
  <c r="Q23" i="3"/>
  <c r="Q24" i="3"/>
  <c r="T24" i="3"/>
  <c r="U29" i="3"/>
  <c r="AH29" i="3" s="1"/>
  <c r="O29" i="3"/>
  <c r="AG29" i="3"/>
  <c r="AG32" i="3"/>
  <c r="V33" i="3"/>
  <c r="AI33" i="3" s="1"/>
  <c r="R33" i="3"/>
  <c r="S33" i="3" s="1"/>
  <c r="Q33" i="3"/>
  <c r="Q34" i="3"/>
  <c r="T34" i="3"/>
  <c r="I36" i="3"/>
  <c r="R18" i="3"/>
  <c r="R21" i="3"/>
  <c r="AG24" i="3"/>
  <c r="T27" i="3"/>
  <c r="S27" i="3"/>
  <c r="O34" i="3"/>
  <c r="U34" i="3"/>
  <c r="AH34" i="3" s="1"/>
  <c r="AG34" i="3"/>
  <c r="J36" i="3"/>
  <c r="O9" i="3"/>
  <c r="O13" i="3"/>
  <c r="Q19" i="3"/>
  <c r="W33" i="3"/>
  <c r="AJ33" i="3" s="1"/>
  <c r="S8" i="3"/>
  <c r="T15" i="3"/>
  <c r="O24" i="3"/>
  <c r="U24" i="3"/>
  <c r="AH24" i="3" s="1"/>
  <c r="U15" i="3"/>
  <c r="AH15" i="3" s="1"/>
  <c r="Q22" i="3"/>
  <c r="O26" i="3"/>
  <c r="AG9" i="3"/>
  <c r="AG13" i="3"/>
  <c r="R22" i="3"/>
  <c r="W22" i="3" s="1"/>
  <c r="AJ22" i="3" s="1"/>
  <c r="R24" i="3"/>
  <c r="W24" i="3" s="1"/>
  <c r="AJ24" i="3" s="1"/>
  <c r="AG27" i="3"/>
  <c r="Q28" i="3"/>
  <c r="V28" i="3"/>
  <c r="AI28" i="3" s="1"/>
  <c r="R29" i="3"/>
  <c r="W29" i="3" s="1"/>
  <c r="AJ29" i="3" s="1"/>
  <c r="T31" i="3"/>
  <c r="R32" i="3"/>
  <c r="W32" i="3" s="1"/>
  <c r="AJ32" i="3" s="1"/>
  <c r="R34" i="3"/>
  <c r="W34" i="3" s="1"/>
  <c r="AJ34" i="3" s="1"/>
  <c r="M36" i="3"/>
  <c r="N38" i="3" s="1"/>
  <c r="U6" i="3"/>
  <c r="AH6" i="3" s="1"/>
  <c r="O6" i="3"/>
  <c r="U11" i="3"/>
  <c r="AH11" i="3" s="1"/>
  <c r="T5" i="3"/>
  <c r="AG6" i="3"/>
  <c r="AG36" i="3" s="1"/>
  <c r="T8" i="3"/>
  <c r="O27" i="3"/>
  <c r="O28" i="3"/>
  <c r="Q29" i="3"/>
  <c r="Q30" i="3"/>
  <c r="Q32" i="3"/>
  <c r="U5" i="3"/>
  <c r="R6" i="3"/>
  <c r="U12" i="3"/>
  <c r="AH12" i="3" s="1"/>
  <c r="O14" i="3"/>
  <c r="V19" i="3"/>
  <c r="AI19" i="3" s="1"/>
  <c r="S24" i="3"/>
  <c r="Q25" i="3"/>
  <c r="R26" i="3"/>
  <c r="S26" i="3" s="1"/>
  <c r="Q27" i="3"/>
  <c r="S29" i="3"/>
  <c r="S34" i="3"/>
  <c r="Q35" i="3"/>
  <c r="N36" i="3"/>
  <c r="AG30" i="3"/>
  <c r="O16" i="3"/>
  <c r="Q20" i="3"/>
  <c r="O22" i="3"/>
  <c r="Q26" i="3"/>
  <c r="S30" i="3"/>
  <c r="V31" i="3"/>
  <c r="AI31" i="3" s="1"/>
  <c r="O32" i="3"/>
  <c r="AG12" i="3"/>
  <c r="S19" i="3"/>
  <c r="S25" i="3"/>
  <c r="AG28" i="3"/>
  <c r="S35" i="3"/>
  <c r="AG19" i="3"/>
  <c r="AL45" i="2"/>
  <c r="AK45" i="2"/>
  <c r="X5" i="2"/>
  <c r="X10" i="2"/>
  <c r="AV5" i="2"/>
  <c r="AU36" i="2"/>
  <c r="X16" i="2"/>
  <c r="R28" i="2"/>
  <c r="S28" i="2" s="1"/>
  <c r="J36" i="2"/>
  <c r="R6" i="2"/>
  <c r="S6" i="2" s="1"/>
  <c r="O11" i="2"/>
  <c r="Q13" i="2"/>
  <c r="X19" i="2"/>
  <c r="O20" i="2"/>
  <c r="U23" i="2"/>
  <c r="AH23" i="2" s="1"/>
  <c r="O32" i="2"/>
  <c r="W35" i="2"/>
  <c r="AJ35" i="2" s="1"/>
  <c r="M36" i="2"/>
  <c r="N38" i="2" s="1"/>
  <c r="W8" i="2"/>
  <c r="AJ8" i="2" s="1"/>
  <c r="Q9" i="2"/>
  <c r="AG11" i="2"/>
  <c r="U13" i="2"/>
  <c r="AH13" i="2" s="1"/>
  <c r="O14" i="2"/>
  <c r="Q17" i="2"/>
  <c r="Q20" i="2"/>
  <c r="V23" i="2"/>
  <c r="AI23" i="2" s="1"/>
  <c r="AI36" i="2" s="1"/>
  <c r="AI37" i="2" s="1"/>
  <c r="O25" i="2"/>
  <c r="W27" i="2"/>
  <c r="AJ27" i="2" s="1"/>
  <c r="Q32" i="2"/>
  <c r="T33" i="2"/>
  <c r="X33" i="2" s="1"/>
  <c r="AG33" i="2"/>
  <c r="P36" i="2"/>
  <c r="AS36" i="2"/>
  <c r="T14" i="2"/>
  <c r="X14" i="2" s="1"/>
  <c r="AG14" i="2"/>
  <c r="X27" i="2"/>
  <c r="AG9" i="2"/>
  <c r="S11" i="2"/>
  <c r="AG12" i="2"/>
  <c r="S12" i="2"/>
  <c r="W16" i="2"/>
  <c r="AJ16" i="2" s="1"/>
  <c r="R17" i="2"/>
  <c r="S17" i="2" s="1"/>
  <c r="W19" i="2"/>
  <c r="AJ19" i="2" s="1"/>
  <c r="AG20" i="2"/>
  <c r="R33" i="2"/>
  <c r="W33" i="2" s="1"/>
  <c r="AJ33" i="2" s="1"/>
  <c r="T34" i="2"/>
  <c r="X34" i="2" s="1"/>
  <c r="AG34" i="2"/>
  <c r="S34" i="2"/>
  <c r="T24" i="2"/>
  <c r="AG24" i="2"/>
  <c r="R31" i="2"/>
  <c r="O31" i="2"/>
  <c r="W5" i="2"/>
  <c r="X8" i="2"/>
  <c r="AE36" i="2"/>
  <c r="W6" i="2"/>
  <c r="S9" i="2"/>
  <c r="T11" i="2"/>
  <c r="X11" i="2" s="1"/>
  <c r="AV13" i="2"/>
  <c r="Q14" i="2"/>
  <c r="S20" i="2"/>
  <c r="R21" i="2"/>
  <c r="W21" i="2" s="1"/>
  <c r="AJ21" i="2" s="1"/>
  <c r="O21" i="2"/>
  <c r="U32" i="2"/>
  <c r="AH32" i="2" s="1"/>
  <c r="W7" i="2"/>
  <c r="AJ7" i="2" s="1"/>
  <c r="K7" i="2"/>
  <c r="S5" i="2"/>
  <c r="Q6" i="2"/>
  <c r="W18" i="2"/>
  <c r="AJ18" i="2" s="1"/>
  <c r="AG25" i="2"/>
  <c r="T25" i="2"/>
  <c r="U11" i="2"/>
  <c r="AH11" i="2" s="1"/>
  <c r="O12" i="2"/>
  <c r="R14" i="2"/>
  <c r="W14" i="2" s="1"/>
  <c r="AJ14" i="2" s="1"/>
  <c r="AG21" i="2"/>
  <c r="R25" i="2"/>
  <c r="W25" i="2" s="1"/>
  <c r="AJ25" i="2" s="1"/>
  <c r="Q26" i="2"/>
  <c r="W28" i="2"/>
  <c r="AJ28" i="2" s="1"/>
  <c r="K28" i="2"/>
  <c r="F37" i="2"/>
  <c r="G37" i="2" s="1"/>
  <c r="AH5" i="2"/>
  <c r="O5" i="2"/>
  <c r="T9" i="2"/>
  <c r="X9" i="2" s="1"/>
  <c r="Q18" i="2"/>
  <c r="Q21" i="2"/>
  <c r="AG22" i="2"/>
  <c r="S22" i="2"/>
  <c r="O30" i="2"/>
  <c r="O34" i="2"/>
  <c r="AG5" i="2"/>
  <c r="X7" i="2"/>
  <c r="O10" i="2"/>
  <c r="Q12" i="2"/>
  <c r="Q15" i="2"/>
  <c r="O16" i="2"/>
  <c r="R18" i="2"/>
  <c r="S18" i="2" s="1"/>
  <c r="S21" i="2"/>
  <c r="R26" i="2"/>
  <c r="S26" i="2" s="1"/>
  <c r="Q30" i="2"/>
  <c r="U33" i="2"/>
  <c r="AH33" i="2" s="1"/>
  <c r="X18" i="2"/>
  <c r="O13" i="2"/>
  <c r="O23" i="2"/>
  <c r="U24" i="2"/>
  <c r="AH24" i="2" s="1"/>
  <c r="R24" i="2"/>
  <c r="W24" i="2" s="1"/>
  <c r="AJ24" i="2" s="1"/>
  <c r="Q28" i="2"/>
  <c r="X30" i="2"/>
  <c r="AG32" i="2"/>
  <c r="S32" i="2"/>
  <c r="N36" i="2"/>
  <c r="Q5" i="2"/>
  <c r="Q10" i="2"/>
  <c r="T12" i="2"/>
  <c r="X12" i="2" s="1"/>
  <c r="T13" i="2"/>
  <c r="X13" i="2" s="1"/>
  <c r="AG13" i="2"/>
  <c r="S13" i="2"/>
  <c r="R15" i="2"/>
  <c r="O22" i="2"/>
  <c r="T23" i="2"/>
  <c r="X23" i="2" s="1"/>
  <c r="AG23" i="2"/>
  <c r="S23" i="2"/>
  <c r="Q27" i="2"/>
  <c r="W29" i="2"/>
  <c r="AJ29" i="2" s="1"/>
  <c r="V33" i="2"/>
  <c r="AI33" i="2" s="1"/>
  <c r="Q34" i="2"/>
  <c r="Q35" i="2"/>
  <c r="I36" i="2"/>
  <c r="H37" i="2"/>
  <c r="I37" i="2" s="1"/>
  <c r="K27" i="2"/>
  <c r="K16" i="2"/>
  <c r="K10" i="1"/>
  <c r="W10" i="1"/>
  <c r="AJ10" i="1" s="1"/>
  <c r="AG13" i="1"/>
  <c r="T13" i="1"/>
  <c r="W24" i="1"/>
  <c r="V26" i="1"/>
  <c r="AI26" i="1" s="1"/>
  <c r="R26" i="1"/>
  <c r="S26" i="1" s="1"/>
  <c r="O33" i="1"/>
  <c r="U33" i="1"/>
  <c r="AH33" i="1" s="1"/>
  <c r="R33" i="1"/>
  <c r="W33" i="1" s="1"/>
  <c r="AJ33" i="1" s="1"/>
  <c r="V6" i="1"/>
  <c r="AI6" i="1" s="1"/>
  <c r="R6" i="1"/>
  <c r="S6" i="1" s="1"/>
  <c r="U13" i="1"/>
  <c r="AH13" i="1" s="1"/>
  <c r="AH36" i="1" s="1"/>
  <c r="AH37" i="1" s="1"/>
  <c r="O13" i="1"/>
  <c r="R13" i="1"/>
  <c r="W13" i="1" s="1"/>
  <c r="AJ13" i="1" s="1"/>
  <c r="Q26" i="1"/>
  <c r="W34" i="1"/>
  <c r="Q5" i="1"/>
  <c r="V5" i="1"/>
  <c r="P36" i="1"/>
  <c r="R5" i="1"/>
  <c r="AU36" i="1"/>
  <c r="V16" i="1"/>
  <c r="AI16" i="1" s="1"/>
  <c r="R16" i="1"/>
  <c r="S16" i="1" s="1"/>
  <c r="X20" i="1"/>
  <c r="Q25" i="1"/>
  <c r="V25" i="1"/>
  <c r="AI25" i="1" s="1"/>
  <c r="R25" i="1"/>
  <c r="S25" i="1" s="1"/>
  <c r="X27" i="1"/>
  <c r="X5" i="1"/>
  <c r="AV5" i="1"/>
  <c r="AV36" i="1" s="1"/>
  <c r="X6" i="1"/>
  <c r="Q16" i="1"/>
  <c r="AV17" i="1"/>
  <c r="X19" i="1"/>
  <c r="T22" i="1"/>
  <c r="AG22" i="1"/>
  <c r="U24" i="1"/>
  <c r="AH24" i="1" s="1"/>
  <c r="R24" i="1"/>
  <c r="S24" i="1" s="1"/>
  <c r="X25" i="1"/>
  <c r="X28" i="1"/>
  <c r="AK36" i="1"/>
  <c r="AK37" i="1" s="1"/>
  <c r="X10" i="1"/>
  <c r="V15" i="1"/>
  <c r="AI15" i="1" s="1"/>
  <c r="Q15" i="1"/>
  <c r="R15" i="1"/>
  <c r="S15" i="1" s="1"/>
  <c r="O24" i="1"/>
  <c r="T32" i="1"/>
  <c r="AG32" i="1"/>
  <c r="U34" i="1"/>
  <c r="AH34" i="1" s="1"/>
  <c r="R34" i="1"/>
  <c r="S34" i="1" s="1"/>
  <c r="V35" i="1"/>
  <c r="AI35" i="1" s="1"/>
  <c r="Q35" i="1"/>
  <c r="R35" i="1"/>
  <c r="S35" i="1" s="1"/>
  <c r="W27" i="1"/>
  <c r="AJ27" i="1" s="1"/>
  <c r="W31" i="1"/>
  <c r="AJ31" i="1" s="1"/>
  <c r="AG23" i="1"/>
  <c r="T23" i="1"/>
  <c r="X23" i="1" s="1"/>
  <c r="S23" i="1"/>
  <c r="Q23" i="1"/>
  <c r="W25" i="1"/>
  <c r="AJ25" i="1" s="1"/>
  <c r="X11" i="1"/>
  <c r="U23" i="1"/>
  <c r="AH23" i="1" s="1"/>
  <c r="O23" i="1"/>
  <c r="R23" i="1"/>
  <c r="W23" i="1" s="1"/>
  <c r="AJ23" i="1" s="1"/>
  <c r="T12" i="1"/>
  <c r="AG12" i="1"/>
  <c r="U14" i="1"/>
  <c r="AH14" i="1" s="1"/>
  <c r="R14" i="1"/>
  <c r="S14" i="1" s="1"/>
  <c r="W21" i="1"/>
  <c r="AJ21" i="1" s="1"/>
  <c r="W6" i="1"/>
  <c r="AJ6" i="1" s="1"/>
  <c r="X8" i="1"/>
  <c r="X9" i="1"/>
  <c r="O14" i="1"/>
  <c r="W28" i="1"/>
  <c r="AJ28" i="1" s="1"/>
  <c r="K31" i="1"/>
  <c r="Q32" i="1"/>
  <c r="AS36" i="1"/>
  <c r="T33" i="1"/>
  <c r="X33" i="1" s="1"/>
  <c r="AG33" i="1"/>
  <c r="S33" i="1"/>
  <c r="AV7" i="1"/>
  <c r="J36" i="1"/>
  <c r="AE36" i="1"/>
  <c r="W7" i="1"/>
  <c r="AJ7" i="1" s="1"/>
  <c r="W11" i="1"/>
  <c r="AJ11" i="1" s="1"/>
  <c r="Q12" i="1"/>
  <c r="W17" i="1"/>
  <c r="AJ17" i="1" s="1"/>
  <c r="W18" i="1"/>
  <c r="AJ18" i="1" s="1"/>
  <c r="W19" i="1"/>
  <c r="AJ19" i="1" s="1"/>
  <c r="W20" i="1"/>
  <c r="AJ20" i="1" s="1"/>
  <c r="W29" i="1"/>
  <c r="AJ29" i="1" s="1"/>
  <c r="W30" i="1"/>
  <c r="AJ30" i="1" s="1"/>
  <c r="X31" i="1"/>
  <c r="AF5" i="1"/>
  <c r="O12" i="1"/>
  <c r="Q14" i="1"/>
  <c r="O22" i="1"/>
  <c r="Q24" i="1"/>
  <c r="O32" i="1"/>
  <c r="Q34" i="1"/>
  <c r="O11" i="1"/>
  <c r="Q13" i="1"/>
  <c r="O21" i="1"/>
  <c r="O31" i="1"/>
  <c r="Q33" i="1"/>
  <c r="F37" i="1"/>
  <c r="G37" i="1" s="1"/>
  <c r="K37" i="1" s="1"/>
  <c r="O10" i="1"/>
  <c r="K17" i="1"/>
  <c r="O20" i="1"/>
  <c r="O30" i="1"/>
  <c r="R12" i="1"/>
  <c r="W12" i="1" s="1"/>
  <c r="AJ12" i="1" s="1"/>
  <c r="O29" i="1"/>
  <c r="R32" i="1"/>
  <c r="W32" i="1" s="1"/>
  <c r="AJ32" i="1" s="1"/>
  <c r="H37" i="1"/>
  <c r="I37" i="1" s="1"/>
  <c r="N36" i="1"/>
  <c r="R22" i="1"/>
  <c r="W22" i="1" s="1"/>
  <c r="AJ22" i="1" s="1"/>
  <c r="K25" i="1"/>
  <c r="O9" i="1"/>
  <c r="W5" i="1"/>
  <c r="S11" i="1"/>
  <c r="AG11" i="1"/>
  <c r="AG36" i="1" s="1"/>
  <c r="AL38" i="1" s="1"/>
  <c r="S21" i="1"/>
  <c r="AG21" i="1"/>
  <c r="S31" i="1"/>
  <c r="AG31" i="1"/>
  <c r="T36" i="1"/>
  <c r="O19" i="1"/>
  <c r="S10" i="1"/>
  <c r="S20" i="1"/>
  <c r="S30" i="1"/>
  <c r="N37" i="3" l="1"/>
  <c r="O37" i="3" s="1"/>
  <c r="O36" i="3"/>
  <c r="T36" i="3"/>
  <c r="AL38" i="3" s="1"/>
  <c r="S6" i="3"/>
  <c r="W6" i="3"/>
  <c r="AJ6" i="3" s="1"/>
  <c r="U36" i="3"/>
  <c r="U37" i="3" s="1"/>
  <c r="AH5" i="3"/>
  <c r="AH36" i="3" s="1"/>
  <c r="AH37" i="3" s="1"/>
  <c r="V36" i="3"/>
  <c r="V37" i="3" s="1"/>
  <c r="AI5" i="3"/>
  <c r="AI36" i="3" s="1"/>
  <c r="AI37" i="3" s="1"/>
  <c r="K37" i="3"/>
  <c r="R36" i="3"/>
  <c r="S5" i="3"/>
  <c r="W5" i="3"/>
  <c r="Q36" i="3"/>
  <c r="P37" i="3"/>
  <c r="Q37" i="3" s="1"/>
  <c r="W26" i="3"/>
  <c r="AJ26" i="3" s="1"/>
  <c r="S15" i="3"/>
  <c r="W18" i="3"/>
  <c r="AJ18" i="3" s="1"/>
  <c r="S18" i="3"/>
  <c r="S11" i="3"/>
  <c r="K36" i="3"/>
  <c r="J37" i="3"/>
  <c r="W31" i="3"/>
  <c r="AJ31" i="3" s="1"/>
  <c r="S31" i="3"/>
  <c r="W17" i="3"/>
  <c r="AJ17" i="3" s="1"/>
  <c r="W23" i="3"/>
  <c r="AJ23" i="3" s="1"/>
  <c r="AF47" i="3"/>
  <c r="AF38" i="3"/>
  <c r="AE46" i="3"/>
  <c r="AE47" i="3" s="1"/>
  <c r="AF37" i="3"/>
  <c r="W21" i="3"/>
  <c r="AJ21" i="3" s="1"/>
  <c r="S21" i="3"/>
  <c r="S14" i="3"/>
  <c r="W10" i="3"/>
  <c r="AJ10" i="3" s="1"/>
  <c r="S24" i="2"/>
  <c r="Q36" i="2"/>
  <c r="P37" i="2"/>
  <c r="Q37" i="2" s="1"/>
  <c r="AV36" i="2"/>
  <c r="X24" i="2"/>
  <c r="S33" i="2"/>
  <c r="AJ6" i="2"/>
  <c r="X6" i="2"/>
  <c r="S31" i="2"/>
  <c r="W31" i="2"/>
  <c r="AH36" i="2"/>
  <c r="AH37" i="2" s="1"/>
  <c r="AF36" i="2"/>
  <c r="AE37" i="2"/>
  <c r="W17" i="2"/>
  <c r="W15" i="2"/>
  <c r="S15" i="2"/>
  <c r="X28" i="2"/>
  <c r="K37" i="2"/>
  <c r="X25" i="2"/>
  <c r="AJ5" i="2"/>
  <c r="S14" i="2"/>
  <c r="X21" i="2"/>
  <c r="N37" i="2"/>
  <c r="O37" i="2" s="1"/>
  <c r="O36" i="2"/>
  <c r="AG36" i="2"/>
  <c r="AL38" i="2" s="1"/>
  <c r="V36" i="2"/>
  <c r="V37" i="2" s="1"/>
  <c r="T36" i="2"/>
  <c r="U36" i="2"/>
  <c r="U37" i="2" s="1"/>
  <c r="K36" i="2"/>
  <c r="J37" i="2"/>
  <c r="W26" i="2"/>
  <c r="X29" i="2"/>
  <c r="S25" i="2"/>
  <c r="R36" i="2"/>
  <c r="X18" i="1"/>
  <c r="S22" i="1"/>
  <c r="W16" i="1"/>
  <c r="W14" i="1"/>
  <c r="X13" i="1"/>
  <c r="AJ24" i="1"/>
  <c r="X24" i="1"/>
  <c r="X30" i="1"/>
  <c r="S12" i="1"/>
  <c r="S32" i="1"/>
  <c r="AL45" i="1"/>
  <c r="AK45" i="1"/>
  <c r="X22" i="1"/>
  <c r="R36" i="1"/>
  <c r="S5" i="1"/>
  <c r="X7" i="1"/>
  <c r="Q36" i="1"/>
  <c r="P37" i="1"/>
  <c r="Q37" i="1" s="1"/>
  <c r="O36" i="1"/>
  <c r="N37" i="1"/>
  <c r="O37" i="1" s="1"/>
  <c r="W15" i="1"/>
  <c r="S13" i="1"/>
  <c r="AF36" i="1"/>
  <c r="AE37" i="1"/>
  <c r="K36" i="1"/>
  <c r="J37" i="1"/>
  <c r="W26" i="1"/>
  <c r="X12" i="1"/>
  <c r="X32" i="1"/>
  <c r="U36" i="1"/>
  <c r="U37" i="1" s="1"/>
  <c r="AI5" i="1"/>
  <c r="AI36" i="1" s="1"/>
  <c r="AI37" i="1" s="1"/>
  <c r="V36" i="1"/>
  <c r="V37" i="1" s="1"/>
  <c r="AJ34" i="1"/>
  <c r="X34" i="1"/>
  <c r="X21" i="1"/>
  <c r="AJ5" i="1"/>
  <c r="W35" i="1"/>
  <c r="AJ35" i="1" s="1"/>
  <c r="X29" i="1"/>
  <c r="X17" i="1"/>
  <c r="AJ5" i="3" l="1"/>
  <c r="AJ36" i="3" s="1"/>
  <c r="W36" i="3"/>
  <c r="W37" i="3" s="1"/>
  <c r="J46" i="3"/>
  <c r="J47" i="3" s="1"/>
  <c r="K47" i="3"/>
  <c r="K38" i="3"/>
  <c r="R37" i="3"/>
  <c r="S36" i="3"/>
  <c r="X31" i="2"/>
  <c r="AJ31" i="2"/>
  <c r="S36" i="2"/>
  <c r="R37" i="2"/>
  <c r="AJ17" i="2"/>
  <c r="X17" i="2"/>
  <c r="AF47" i="2"/>
  <c r="AF38" i="2"/>
  <c r="AE46" i="2"/>
  <c r="AE47" i="2" s="1"/>
  <c r="AF37" i="2"/>
  <c r="AJ26" i="2"/>
  <c r="X26" i="2"/>
  <c r="AJ15" i="2"/>
  <c r="AJ36" i="2" s="1"/>
  <c r="X15" i="2"/>
  <c r="J46" i="2"/>
  <c r="J47" i="2" s="1"/>
  <c r="K47" i="2"/>
  <c r="K38" i="2"/>
  <c r="W36" i="2"/>
  <c r="W36" i="1"/>
  <c r="AJ26" i="1"/>
  <c r="X26" i="1"/>
  <c r="K38" i="1"/>
  <c r="J46" i="1"/>
  <c r="J47" i="1" s="1"/>
  <c r="K47" i="1"/>
  <c r="AF47" i="1"/>
  <c r="AF37" i="1"/>
  <c r="AF38" i="1"/>
  <c r="AE46" i="1"/>
  <c r="AE47" i="1" s="1"/>
  <c r="S36" i="1"/>
  <c r="R37" i="1"/>
  <c r="AJ14" i="1"/>
  <c r="AJ36" i="1" s="1"/>
  <c r="X14" i="1"/>
  <c r="AJ16" i="1"/>
  <c r="X16" i="1"/>
  <c r="AJ15" i="1"/>
  <c r="X15" i="1"/>
  <c r="S37" i="3" l="1"/>
  <c r="R46" i="3"/>
  <c r="R47" i="3" s="1"/>
  <c r="S47" i="3"/>
  <c r="S38" i="3"/>
  <c r="AJ37" i="3"/>
  <c r="AJ39" i="3"/>
  <c r="AK39" i="3" s="1"/>
  <c r="AJ40" i="2"/>
  <c r="AK40" i="2" s="1"/>
  <c r="AJ37" i="2"/>
  <c r="W37" i="2"/>
  <c r="X37" i="2" s="1"/>
  <c r="X36" i="2"/>
  <c r="R46" i="2"/>
  <c r="R47" i="2" s="1"/>
  <c r="S47" i="2"/>
  <c r="S38" i="2"/>
  <c r="S37" i="2"/>
  <c r="AJ40" i="1"/>
  <c r="AK40" i="1" s="1"/>
  <c r="AJ37" i="1"/>
  <c r="R46" i="1"/>
  <c r="R47" i="1" s="1"/>
  <c r="S47" i="1"/>
  <c r="S37" i="1"/>
  <c r="S38" i="1"/>
  <c r="W37" i="1"/>
  <c r="X37" i="1" s="1"/>
  <c r="X36" i="1"/>
  <c r="AK46" i="3" l="1"/>
  <c r="AJ43" i="3"/>
  <c r="AK38" i="3"/>
  <c r="AJ40" i="3"/>
  <c r="AK41" i="3" s="1"/>
  <c r="AJ45" i="3"/>
  <c r="AJ46" i="3" s="1"/>
  <c r="AK39" i="2"/>
  <c r="AJ43" i="2"/>
  <c r="AK46" i="2"/>
  <c r="AJ41" i="2"/>
  <c r="AK41" i="2" s="1"/>
  <c r="AK38" i="2"/>
  <c r="AJ45" i="2"/>
  <c r="AJ46" i="2" s="1"/>
  <c r="AJ43" i="1"/>
  <c r="AK39" i="1"/>
  <c r="AK38" i="1"/>
  <c r="AK46" i="1"/>
  <c r="AJ41" i="1"/>
  <c r="AK41" i="1" s="1"/>
  <c r="AJ45" i="1"/>
  <c r="AJ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1C3B190B-B1C7-A74F-AD97-5C76CC17D502}">
      <text>
        <r>
          <rPr>
            <sz val="10"/>
            <color rgb="FF000000"/>
            <rFont val="游ゴシック"/>
            <family val="2"/>
            <scheme val="minor"/>
          </rPr>
          <t>======
ID#AAAA3zLDsBw
    (2023-08-01 08:19:57)
月の数字のみ入力</t>
        </r>
      </text>
    </comment>
  </commentList>
</comments>
</file>

<file path=xl/sharedStrings.xml><?xml version="1.0" encoding="utf-8"?>
<sst xmlns="http://schemas.openxmlformats.org/spreadsheetml/2006/main" count="344" uniqueCount="85">
  <si>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</si>
  <si>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</si>
  <si>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</si>
  <si>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</si>
  <si>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</si>
  <si>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</si>
  <si>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</si>
  <si>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</si>
  <si>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</si>
  <si>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</si>
  <si>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</si>
  <si>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</si>
  <si>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</si>
  <si>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</si>
  <si>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</si>
  <si>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</si>
  <si>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</si>
  <si>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</si>
  <si>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</si>
  <si>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</si>
  <si>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</si>
  <si>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</si>
  <si>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</si>
  <si>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</si>
  <si>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</si>
  <si>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</si>
  <si>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</si>
  <si>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</si>
  <si>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</si>
  <si>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</si>
  <si>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</si>
  <si>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</si>
  <si>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</si>
  <si>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</si>
  <si>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</si>
  <si>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</si>
  <si>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</si>
  <si>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</si>
  <si>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</si>
  <si>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</si>
  <si>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</si>
  <si>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</si>
  <si>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</si>
  <si>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</si>
  <si>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wine、15個10,650円(税込)。
卒業旅行などの年齢層多数。
途中、自販機南京錠、在庫無し。</t>
  </si>
  <si>
    <t>　1日売上平均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</si>
  <si>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</si>
  <si>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</si>
  <si>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</si>
  <si>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</si>
  <si>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</si>
  <si>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</si>
  <si>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</si>
  <si>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</si>
  <si>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</si>
  <si>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</si>
  <si>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</si>
  <si>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</si>
  <si>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</si>
  <si>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</si>
  <si>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</si>
  <si>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(税抜)</t>
  </si>
  <si>
    <t>売上合計+花束（招待券）</t>
  </si>
  <si>
    <t>総合計
（テイクアウト含む）</t>
  </si>
  <si>
    <t>休業（テイクアウトのみ）</t>
  </si>
  <si>
    <t>ランチ休業、16:30から運行</t>
  </si>
  <si>
    <t>RW16:15〜運行</t>
  </si>
  <si>
    <t>ランチ休業、16時から運行</t>
  </si>
  <si>
    <t>ランチ休業、RW運休、風</t>
  </si>
  <si>
    <t>本年度より土日祝日のみ営業。（平日はテイクアウトのイートインスペースとして利用）
集客17.1名/日、売上58,825円/日(税別)(8日間営業)。強風によるRW運休の為、1日間（8日2-6 23,980円）休業。
1/9道新ワインフェア試食（鹿取様、岩倉様）
前月、集客28.4名/日、売上116,539円/日(税別)(9日間営業)。強風によるRW運休の為、2日間（9日7-19 83,820円、17日8-19 90,860円）休業。Total 174,680円。</t>
    <phoneticPr fontId="30"/>
  </si>
  <si>
    <t xml:space="preserve">集客24.6/日
売上223,695円(税別)/日
強風によるRW運休の為、5日間（15日10-23 231,880円、16日5-13 109,120円、24日4-11 110,770円、25日5-8 120,260円、26日11-27 283,080円）休業。Total 855,110円。
前月、集客33.9/日、売上405,838円(税別)/日
</t>
    <phoneticPr fontId="30"/>
  </si>
  <si>
    <t>56,805円/日、売上対比、F68.3:B31.7
前月、45,064円/日、売上対比、F70:B30</t>
  </si>
  <si>
    <t>夜割引　11,330</t>
  </si>
  <si>
    <t>割引後　489,430</t>
  </si>
  <si>
    <t>)</t>
  </si>
  <si>
    <t>本年度より土日祝日のみ営業。（平日はテイクアウトのイートインスペースとして利用）
集客25.1名/日、売上91,344円/日(税別)(10日間営業)。
外国人のフリーゲストが目立った。
前月、集客17.1名/日、売上58,825円/日(税別)(8日間営業)。</t>
    <rPh sb="76" eb="79">
      <t>ガイコクジン</t>
    </rPh>
    <rPh sb="87" eb="89">
      <t>メダ</t>
    </rPh>
    <phoneticPr fontId="30"/>
  </si>
  <si>
    <t xml:space="preserve">集客25.0/日
売上306,170円(税別)/日
強風によるRW運休の為、4日間（1日8-20 174,460円、2日8-21 251,640円、20日13-29 291,720円、28日8-20 180,400円）休業。Total 898,220円。
前月、集客24.6/日、売上223,695円(税別)/日
</t>
    <phoneticPr fontId="30"/>
  </si>
  <si>
    <t xml:space="preserve">93,515円/日、売上対比、F69.9:B30.1
強風によるRW運休4日間。
前月、56,805円/日、売上対比、F68.3:B31.7
</t>
    <phoneticPr fontId="30"/>
  </si>
  <si>
    <t>ç</t>
    <phoneticPr fontId="30"/>
  </si>
  <si>
    <t>RW始発から運休</t>
    <rPh sb="2" eb="4">
      <t>シハツ</t>
    </rPh>
    <rPh sb="6" eb="8">
      <t>ウンキュウ</t>
    </rPh>
    <phoneticPr fontId="30"/>
  </si>
  <si>
    <t>RW始発から運休15：40再開</t>
    <rPh sb="2" eb="4">
      <t>シハツ</t>
    </rPh>
    <rPh sb="6" eb="8">
      <t>ウンキュウ</t>
    </rPh>
    <rPh sb="13" eb="15">
      <t>サイカイ</t>
    </rPh>
    <phoneticPr fontId="30"/>
  </si>
  <si>
    <t>RW14:30以降運休</t>
    <rPh sb="7" eb="9">
      <t>イコウ</t>
    </rPh>
    <rPh sb="9" eb="11">
      <t>ウンキュウ</t>
    </rPh>
    <phoneticPr fontId="30"/>
  </si>
  <si>
    <t>休業</t>
  </si>
  <si>
    <t xml:space="preserve">ランチ運休1日（3/16）6組16名57,860円遺失
</t>
    <rPh sb="3" eb="5">
      <t>ウンキュウ</t>
    </rPh>
    <rPh sb="6" eb="7">
      <t>ニチ</t>
    </rPh>
    <rPh sb="14" eb="15">
      <t>クミ</t>
    </rPh>
    <rPh sb="17" eb="18">
      <t>メイ</t>
    </rPh>
    <rPh sb="20" eb="25">
      <t>860エン</t>
    </rPh>
    <rPh sb="25" eb="27">
      <t>イシツ</t>
    </rPh>
    <phoneticPr fontId="30"/>
  </si>
  <si>
    <t>ディナー運休6日間、（3/1.2.13.18.19.20）81組188名1,642,330円遺失</t>
    <phoneticPr fontId="3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</si>
</sst>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34">
    <font>
      <sz val="12"/>
      <color theme="1"/>
      <name val="游ゴシック"/>
      <family val="2"/>
      <charset val="128"/>
      <scheme val="minor"/>
    </font>
    <font>
      <sz val="9"/>
      <color rgb="FF000000"/>
      <name val="Meiryo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2"/>
      <color rgb="FF000000"/>
      <name val="メイリオ1"/>
      <family val="3"/>
      <charset val="128"/>
    </font>
    <font>
      <b/>
      <sz val="12"/>
      <color rgb="FF000000"/>
      <name val="Meiryo"/>
      <family val="3"/>
      <charset val="128"/>
    </font>
    <font>
      <sz val="10"/>
      <name val="Calibri"/>
      <family val="2"/>
    </font>
    <font>
      <b/>
      <sz val="11"/>
      <color rgb="FF000000"/>
      <name val="Meiryo"/>
      <family val="3"/>
      <charset val="128"/>
    </font>
    <font>
      <b/>
      <sz val="11"/>
      <color rgb="FF000000"/>
      <name val="メイリオ1"/>
      <family val="3"/>
      <charset val="128"/>
    </font>
    <font>
      <sz val="9"/>
      <color rgb="FF0070C0"/>
      <name val="Meiryo"/>
      <family val="3"/>
      <charset val="128"/>
    </font>
    <font>
      <sz val="9"/>
      <color rgb="FFFF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7"/>
      <color rgb="FF000000"/>
      <name val="Meiryo"/>
      <family val="3"/>
      <charset val="128"/>
    </font>
    <font>
      <b/>
      <sz val="6"/>
      <color rgb="FF000000"/>
      <name val="Meiryo"/>
      <family val="3"/>
      <charset val="128"/>
    </font>
    <font>
      <sz val="9"/>
      <color theme="1"/>
      <name val="Meiryo"/>
      <family val="3"/>
      <charset val="128"/>
    </font>
    <font>
      <b/>
      <sz val="14"/>
      <color rgb="FF000000"/>
      <name val="メイリオ1"/>
      <family val="3"/>
      <charset val="128"/>
    </font>
    <font>
      <b/>
      <sz val="9"/>
      <color rgb="FF000000"/>
      <name val="メイリオ1"/>
      <family val="3"/>
      <charset val="128"/>
    </font>
    <font>
      <sz val="11"/>
      <color rgb="FF000000"/>
      <name val="メイリオ1"/>
      <family val="3"/>
      <charset val="128"/>
    </font>
    <font>
      <b/>
      <sz val="10"/>
      <color rgb="FF000000"/>
      <name val="メイリオ1"/>
      <family val="3"/>
      <charset val="128"/>
    </font>
    <font>
      <sz val="12"/>
      <color rgb="FF000000"/>
      <name val="Meiryo"/>
      <family val="3"/>
      <charset val="128"/>
    </font>
    <font>
      <sz val="11"/>
      <color rgb="FF000000"/>
      <name val="游ゴシック"/>
      <family val="3"/>
      <charset val="128"/>
    </font>
    <font>
      <sz val="10"/>
      <color rgb="FF000000"/>
      <name val="游ゴシック"/>
      <family val="2"/>
      <scheme val="minor"/>
    </font>
    <font>
      <sz val="9"/>
      <color rgb="FF00B0F0"/>
      <name val="Meiryo"/>
      <family val="3"/>
      <charset val="128"/>
    </font>
    <font>
      <sz val="9"/>
      <color theme="4"/>
      <name val="Meiryo"/>
      <family val="3"/>
      <charset val="128"/>
    </font>
    <font>
      <b/>
      <sz val="10"/>
      <color rgb="FF000000"/>
      <name val="Meiryo"/>
      <family val="3"/>
      <charset val="128"/>
    </font>
    <font>
      <b/>
      <sz val="12"/>
      <color theme="1"/>
      <name val="メイリオ1"/>
      <family val="3"/>
      <charset val="128"/>
    </font>
    <font>
      <b/>
      <sz val="9"/>
      <color theme="1"/>
      <name val="Meiryo"/>
      <family val="3"/>
      <charset val="128"/>
    </font>
    <font>
      <sz val="11"/>
      <color theme="1"/>
      <name val="メイリオ1"/>
      <family val="3"/>
      <charset val="128"/>
    </font>
    <font>
      <sz val="10"/>
      <color rgb="FF000000"/>
      <name val="Calibri"/>
      <family val="2"/>
    </font>
    <font>
      <sz val="6"/>
      <name val="游ゴシック"/>
      <family val="3"/>
      <charset val="128"/>
      <scheme val="minor"/>
    </font>
    <font>
      <sz val="9"/>
      <name val="Meiryo"/>
      <family val="3"/>
      <charset val="128"/>
    </font>
    <font>
      <sz val="10"/>
      <name val="游ゴシック"/>
      <family val="2"/>
      <scheme val="minor"/>
    </font>
    <font>
      <sz val="6"/>
      <color rgb="FF000000"/>
      <name val="Meiry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2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3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8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179" fontId="1" fillId="0" borderId="18" xfId="0" applyNumberFormat="1" applyFont="1" applyBorder="1" applyAlignment="1"/>
    <xf numFmtId="180" fontId="1" fillId="2" borderId="18" xfId="0" applyNumberFormat="1" applyFont="1" applyFill="1" applyBorder="1" applyAlignment="1"/>
    <xf numFmtId="38" fontId="1" fillId="6" borderId="18" xfId="0" applyNumberFormat="1" applyFont="1" applyFill="1" applyBorder="1" applyAlignment="1"/>
    <xf numFmtId="38" fontId="4" fillId="0" borderId="19" xfId="0" applyNumberFormat="1" applyFont="1" applyBorder="1" applyAlignment="1"/>
    <xf numFmtId="38" fontId="4" fillId="0" borderId="17" xfId="0" applyNumberFormat="1" applyFont="1" applyBorder="1" applyAlignment="1"/>
    <xf numFmtId="38" fontId="8" fillId="2" borderId="18" xfId="0" applyNumberFormat="1" applyFont="1" applyFill="1" applyBorder="1" applyAlignment="1"/>
    <xf numFmtId="40" fontId="1" fillId="0" borderId="20" xfId="0" applyNumberFormat="1" applyFont="1" applyBorder="1" applyAlignment="1"/>
    <xf numFmtId="181" fontId="1" fillId="0" borderId="18" xfId="0" applyNumberFormat="1" applyFont="1" applyBorder="1" applyAlignment="1"/>
    <xf numFmtId="180" fontId="1" fillId="3" borderId="18" xfId="0" applyNumberFormat="1" applyFont="1" applyFill="1" applyBorder="1" applyAlignment="1"/>
    <xf numFmtId="38" fontId="1" fillId="0" borderId="18" xfId="0" applyNumberFormat="1" applyFont="1" applyBorder="1" applyAlignment="1"/>
    <xf numFmtId="38" fontId="8" fillId="0" borderId="16" xfId="0" applyNumberFormat="1" applyFont="1" applyBorder="1" applyAlignment="1"/>
    <xf numFmtId="180" fontId="1" fillId="0" borderId="21" xfId="0" applyNumberFormat="1" applyFont="1" applyBorder="1" applyAlignment="1"/>
    <xf numFmtId="38" fontId="1" fillId="7" borderId="17" xfId="0" applyNumberFormat="1" applyFont="1" applyFill="1" applyBorder="1" applyAlignment="1"/>
    <xf numFmtId="179" fontId="1" fillId="4" borderId="18" xfId="0" applyNumberFormat="1" applyFont="1" applyFill="1" applyBorder="1" applyAlignment="1"/>
    <xf numFmtId="180" fontId="1" fillId="0" borderId="18" xfId="0" applyNumberFormat="1" applyFont="1" applyBorder="1" applyAlignment="1"/>
    <xf numFmtId="38" fontId="1" fillId="3" borderId="16" xfId="0" applyNumberFormat="1" applyFont="1" applyFill="1" applyBorder="1" applyAlignment="1"/>
    <xf numFmtId="38" fontId="9" fillId="0" borderId="17" xfId="0" applyNumberFormat="1" applyFont="1" applyBorder="1" applyAlignment="1"/>
    <xf numFmtId="38" fontId="1" fillId="0" borderId="16" xfId="0" applyNumberFormat="1" applyFont="1" applyBorder="1" applyAlignment="1"/>
    <xf numFmtId="38" fontId="4" fillId="0" borderId="16" xfId="0" applyNumberFormat="1" applyFont="1" applyBorder="1" applyAlignment="1"/>
    <xf numFmtId="38" fontId="1" fillId="7" borderId="16" xfId="0" applyNumberFormat="1" applyFont="1" applyFill="1" applyBorder="1" applyAlignment="1"/>
    <xf numFmtId="38" fontId="1" fillId="0" borderId="0" xfId="0" applyNumberFormat="1" applyFont="1" applyAlignment="1"/>
    <xf numFmtId="38" fontId="1" fillId="0" borderId="7" xfId="0" applyNumberFormat="1" applyFont="1" applyBorder="1" applyAlignment="1"/>
    <xf numFmtId="180" fontId="1" fillId="0" borderId="22" xfId="0" applyNumberFormat="1" applyFont="1" applyBorder="1" applyAlignment="1"/>
    <xf numFmtId="38" fontId="9" fillId="8" borderId="17" xfId="0" applyNumberFormat="1" applyFont="1" applyFill="1" applyBorder="1" applyAlignment="1"/>
    <xf numFmtId="178" fontId="11" fillId="0" borderId="7" xfId="0" applyNumberFormat="1" applyFont="1" applyBorder="1" applyAlignment="1"/>
    <xf numFmtId="38" fontId="3" fillId="0" borderId="7" xfId="0" applyNumberFormat="1" applyFont="1" applyBorder="1" applyAlignment="1"/>
    <xf numFmtId="38" fontId="4" fillId="8" borderId="17" xfId="0" applyNumberFormat="1" applyFont="1" applyFill="1" applyBorder="1" applyAlignment="1"/>
    <xf numFmtId="179" fontId="1" fillId="4" borderId="16" xfId="0" applyNumberFormat="1" applyFont="1" applyFill="1" applyBorder="1" applyAlignment="1"/>
    <xf numFmtId="180" fontId="1" fillId="0" borderId="16" xfId="0" applyNumberFormat="1" applyFont="1" applyBorder="1" applyAlignment="1"/>
    <xf numFmtId="38" fontId="1" fillId="6" borderId="16" xfId="0" applyNumberFormat="1" applyFont="1" applyFill="1" applyBorder="1" applyAlignment="1"/>
    <xf numFmtId="38" fontId="1" fillId="0" borderId="1" xfId="0" applyNumberFormat="1" applyFont="1" applyBorder="1" applyAlignment="1"/>
    <xf numFmtId="180" fontId="1" fillId="3" borderId="2" xfId="0" applyNumberFormat="1" applyFont="1" applyFill="1" applyBorder="1" applyAlignment="1"/>
    <xf numFmtId="180" fontId="1" fillId="0" borderId="23" xfId="0" applyNumberFormat="1" applyFont="1" applyBorder="1" applyAlignment="1"/>
    <xf numFmtId="38" fontId="1" fillId="0" borderId="2" xfId="0" applyNumberFormat="1" applyFont="1" applyBorder="1" applyAlignment="1"/>
    <xf numFmtId="38" fontId="1" fillId="7" borderId="1" xfId="0" applyNumberFormat="1" applyFont="1" applyFill="1" applyBorder="1" applyAlignment="1"/>
    <xf numFmtId="179" fontId="1" fillId="4" borderId="2" xfId="0" applyNumberFormat="1" applyFont="1" applyFill="1" applyBorder="1" applyAlignment="1"/>
    <xf numFmtId="180" fontId="1" fillId="0" borderId="2" xfId="0" applyNumberFormat="1" applyFont="1" applyBorder="1" applyAlignment="1"/>
    <xf numFmtId="38" fontId="1" fillId="6" borderId="2" xfId="0" applyNumberFormat="1" applyFont="1" applyFill="1" applyBorder="1" applyAlignment="1"/>
    <xf numFmtId="38" fontId="4" fillId="0" borderId="24" xfId="0" applyNumberFormat="1" applyFont="1" applyBorder="1" applyAlignment="1"/>
    <xf numFmtId="38" fontId="4" fillId="0" borderId="25" xfId="0" applyNumberFormat="1" applyFont="1" applyBorder="1" applyAlignment="1"/>
    <xf numFmtId="38" fontId="1" fillId="3" borderId="2" xfId="0" applyNumberFormat="1" applyFont="1" applyFill="1" applyBorder="1" applyAlignment="1"/>
    <xf numFmtId="0" fontId="4" fillId="0" borderId="0" xfId="0" applyFont="1" applyAlignment="1"/>
    <xf numFmtId="0" fontId="4" fillId="0" borderId="26" xfId="0" applyFont="1" applyBorder="1" applyAlignment="1"/>
    <xf numFmtId="38" fontId="4" fillId="0" borderId="27" xfId="0" applyNumberFormat="1" applyFont="1" applyBorder="1" applyAlignment="1"/>
    <xf numFmtId="179" fontId="4" fillId="0" borderId="28" xfId="0" applyNumberFormat="1" applyFont="1" applyBorder="1" applyAlignment="1"/>
    <xf numFmtId="180" fontId="4" fillId="0" borderId="27" xfId="0" applyNumberFormat="1" applyFont="1" applyBorder="1" applyAlignment="1"/>
    <xf numFmtId="38" fontId="12" fillId="0" borderId="28" xfId="0" applyNumberFormat="1" applyFont="1" applyBorder="1" applyAlignment="1"/>
    <xf numFmtId="38" fontId="4" fillId="0" borderId="28" xfId="0" applyNumberFormat="1" applyFont="1" applyBorder="1" applyAlignment="1"/>
    <xf numFmtId="38" fontId="4" fillId="0" borderId="26" xfId="0" applyNumberFormat="1" applyFont="1" applyBorder="1" applyAlignment="1"/>
    <xf numFmtId="38" fontId="4" fillId="5" borderId="27" xfId="0" applyNumberFormat="1" applyFont="1" applyFill="1" applyBorder="1" applyAlignment="1"/>
    <xf numFmtId="182" fontId="4" fillId="0" borderId="27" xfId="0" applyNumberFormat="1" applyFont="1" applyBorder="1" applyAlignment="1">
      <alignment shrinkToFit="1"/>
    </xf>
    <xf numFmtId="181" fontId="4" fillId="0" borderId="28" xfId="0" applyNumberFormat="1" applyFont="1" applyBorder="1" applyAlignment="1"/>
    <xf numFmtId="38" fontId="12" fillId="0" borderId="27" xfId="0" applyNumberFormat="1" applyFont="1" applyBorder="1" applyAlignment="1"/>
    <xf numFmtId="38" fontId="8" fillId="5" borderId="27" xfId="0" applyNumberFormat="1" applyFont="1" applyFill="1" applyBorder="1" applyAlignment="1"/>
    <xf numFmtId="182" fontId="13" fillId="0" borderId="28" xfId="0" applyNumberFormat="1" applyFont="1" applyBorder="1" applyAlignment="1">
      <alignment shrinkToFit="1"/>
    </xf>
    <xf numFmtId="182" fontId="4" fillId="0" borderId="28" xfId="0" applyNumberFormat="1" applyFont="1" applyBorder="1" applyAlignment="1"/>
    <xf numFmtId="38" fontId="4" fillId="5" borderId="16" xfId="0" applyNumberFormat="1" applyFont="1" applyFill="1" applyBorder="1" applyAlignment="1"/>
    <xf numFmtId="38" fontId="4" fillId="8" borderId="16" xfId="0" applyNumberFormat="1" applyFont="1" applyFill="1" applyBorder="1" applyAlignment="1"/>
    <xf numFmtId="0" fontId="4" fillId="0" borderId="7" xfId="0" applyFont="1" applyBorder="1" applyAlignment="1"/>
    <xf numFmtId="38" fontId="12" fillId="0" borderId="16" xfId="0" applyNumberFormat="1" applyFont="1" applyBorder="1" applyAlignment="1"/>
    <xf numFmtId="38" fontId="8" fillId="5" borderId="16" xfId="0" applyNumberFormat="1" applyFont="1" applyFill="1" applyBorder="1" applyAlignment="1"/>
    <xf numFmtId="182" fontId="4" fillId="0" borderId="0" xfId="0" applyNumberFormat="1" applyFont="1" applyAlignment="1">
      <alignment shrinkToFit="1"/>
    </xf>
    <xf numFmtId="179" fontId="4" fillId="0" borderId="0" xfId="0" applyNumberFormat="1" applyFont="1" applyAlignment="1"/>
    <xf numFmtId="182" fontId="12" fillId="0" borderId="0" xfId="0" applyNumberFormat="1" applyFont="1" applyAlignment="1"/>
    <xf numFmtId="0" fontId="4" fillId="0" borderId="6" xfId="0" applyFont="1" applyBorder="1" applyAlignment="1"/>
    <xf numFmtId="182" fontId="4" fillId="0" borderId="0" xfId="0" applyNumberFormat="1" applyFont="1" applyAlignment="1"/>
    <xf numFmtId="38" fontId="4" fillId="0" borderId="6" xfId="0" applyNumberFormat="1" applyFont="1" applyBorder="1" applyAlignment="1"/>
    <xf numFmtId="38" fontId="4" fillId="0" borderId="0" xfId="0" applyNumberFormat="1" applyFont="1" applyAlignment="1"/>
    <xf numFmtId="0" fontId="1" fillId="0" borderId="0" xfId="0" applyFont="1" applyAlignment="1">
      <alignment horizontal="right"/>
    </xf>
    <xf numFmtId="183" fontId="4" fillId="0" borderId="0" xfId="0" applyNumberFormat="1" applyFont="1" applyAlignment="1"/>
    <xf numFmtId="183" fontId="4" fillId="6" borderId="0" xfId="0" applyNumberFormat="1" applyFont="1" applyFill="1" applyAlignment="1"/>
    <xf numFmtId="183" fontId="14" fillId="0" borderId="0" xfId="0" applyNumberFormat="1" applyFont="1" applyAlignment="1"/>
    <xf numFmtId="183" fontId="4" fillId="0" borderId="0" xfId="0" applyNumberFormat="1" applyFont="1" applyAlignment="1">
      <alignment horizontal="right"/>
    </xf>
    <xf numFmtId="184" fontId="4" fillId="0" borderId="0" xfId="0" applyNumberFormat="1" applyFont="1" applyAlignment="1"/>
    <xf numFmtId="184" fontId="4" fillId="0" borderId="0" xfId="0" applyNumberFormat="1" applyFont="1" applyAlignment="1">
      <alignment shrinkToFit="1"/>
    </xf>
    <xf numFmtId="183" fontId="4" fillId="4" borderId="0" xfId="0" applyNumberFormat="1" applyFont="1" applyFill="1" applyAlignment="1"/>
    <xf numFmtId="180" fontId="1" fillId="0" borderId="0" xfId="0" applyNumberFormat="1" applyFont="1" applyAlignment="1"/>
    <xf numFmtId="0" fontId="1" fillId="0" borderId="19" xfId="0" applyFont="1" applyBorder="1" applyAlignment="1"/>
    <xf numFmtId="0" fontId="1" fillId="0" borderId="25" xfId="0" applyFont="1" applyBorder="1" applyAlignment="1">
      <alignment horizontal="right"/>
    </xf>
    <xf numFmtId="183" fontId="4" fillId="8" borderId="0" xfId="0" applyNumberFormat="1" applyFont="1" applyFill="1" applyAlignment="1"/>
    <xf numFmtId="0" fontId="1" fillId="0" borderId="29" xfId="0" applyFont="1" applyBorder="1" applyAlignment="1"/>
    <xf numFmtId="185" fontId="1" fillId="0" borderId="0" xfId="0" applyNumberFormat="1" applyFont="1" applyAlignment="1"/>
    <xf numFmtId="38" fontId="16" fillId="0" borderId="0" xfId="0" applyNumberFormat="1" applyFont="1">
      <alignment vertical="center"/>
    </xf>
    <xf numFmtId="0" fontId="1" fillId="0" borderId="0" xfId="0" applyFont="1" applyAlignment="1">
      <alignment horizontal="center"/>
    </xf>
    <xf numFmtId="0" fontId="17" fillId="0" borderId="0" xfId="0" applyFont="1" applyAlignment="1"/>
    <xf numFmtId="0" fontId="17" fillId="0" borderId="0" xfId="0" applyFont="1" applyAlignment="1">
      <alignment horizontal="center"/>
    </xf>
    <xf numFmtId="38" fontId="17" fillId="0" borderId="0" xfId="0" applyNumberFormat="1" applyFont="1" applyAlignment="1"/>
    <xf numFmtId="38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 shrinkToFit="1"/>
    </xf>
    <xf numFmtId="186" fontId="17" fillId="0" borderId="0" xfId="0" applyNumberFormat="1" applyFont="1" applyAlignment="1"/>
    <xf numFmtId="0" fontId="17" fillId="5" borderId="0" xfId="0" applyFont="1" applyFill="1" applyAlignment="1"/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84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84" fontId="19" fillId="0" borderId="0" xfId="0" applyNumberFormat="1" applyFont="1">
      <alignment vertical="center"/>
    </xf>
    <xf numFmtId="10" fontId="19" fillId="0" borderId="0" xfId="0" applyNumberFormat="1" applyFont="1">
      <alignment vertical="center"/>
    </xf>
    <xf numFmtId="38" fontId="18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6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20" fillId="0" borderId="0" xfId="0" applyNumberFormat="1" applyFont="1">
      <alignment vertical="center"/>
    </xf>
    <xf numFmtId="0" fontId="20" fillId="0" borderId="0" xfId="0" applyFont="1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178" fontId="15" fillId="0" borderId="7" xfId="0" applyNumberFormat="1" applyFont="1" applyBorder="1" applyAlignment="1"/>
    <xf numFmtId="38" fontId="13" fillId="0" borderId="27" xfId="0" applyNumberFormat="1" applyFont="1" applyBorder="1" applyAlignment="1"/>
    <xf numFmtId="38" fontId="12" fillId="5" borderId="27" xfId="0" applyNumberFormat="1" applyFont="1" applyFill="1" applyBorder="1" applyAlignment="1"/>
    <xf numFmtId="182" fontId="13" fillId="0" borderId="0" xfId="0" applyNumberFormat="1" applyFont="1" applyAlignment="1"/>
    <xf numFmtId="38" fontId="12" fillId="5" borderId="16" xfId="0" applyNumberFormat="1" applyFont="1" applyFill="1" applyBorder="1" applyAlignment="1"/>
    <xf numFmtId="38" fontId="13" fillId="0" borderId="16" xfId="0" applyNumberFormat="1" applyFont="1" applyBorder="1" applyAlignment="1"/>
    <xf numFmtId="178" fontId="15" fillId="0" borderId="17" xfId="0" applyNumberFormat="1" applyFont="1" applyBorder="1" applyAlignment="1"/>
    <xf numFmtId="178" fontId="24" fillId="0" borderId="7" xfId="0" applyNumberFormat="1" applyFont="1" applyBorder="1" applyAlignment="1"/>
    <xf numFmtId="182" fontId="12" fillId="0" borderId="28" xfId="0" applyNumberFormat="1" applyFont="1" applyBorder="1" applyAlignment="1">
      <alignment shrinkToFit="1"/>
    </xf>
    <xf numFmtId="3" fontId="1" fillId="0" borderId="0" xfId="0" applyNumberFormat="1" applyFont="1" applyAlignment="1"/>
    <xf numFmtId="0" fontId="8" fillId="5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/>
    <xf numFmtId="0" fontId="7" fillId="0" borderId="6" xfId="0" applyFont="1" applyBorder="1" applyAlignment="1"/>
    <xf numFmtId="0" fontId="15" fillId="0" borderId="1" xfId="0" applyFont="1" applyBorder="1" applyAlignment="1">
      <alignment horizontal="left" vertical="top" wrapText="1"/>
    </xf>
    <xf numFmtId="0" fontId="7" fillId="0" borderId="3" xfId="0" applyFont="1" applyBorder="1" applyAlignment="1"/>
    <xf numFmtId="0" fontId="7" fillId="0" borderId="24" xfId="0" applyFont="1" applyBorder="1" applyAlignment="1"/>
    <xf numFmtId="0" fontId="7" fillId="0" borderId="25" xfId="0" applyFont="1" applyBorder="1" applyAlignment="1"/>
    <xf numFmtId="0" fontId="0" fillId="0" borderId="0" xfId="0" applyAlignment="1"/>
    <xf numFmtId="0" fontId="7" fillId="0" borderId="29" xfId="0" applyFont="1" applyBorder="1" applyAlignment="1"/>
    <xf numFmtId="0" fontId="7" fillId="0" borderId="17" xfId="0" applyFont="1" applyBorder="1" applyAlignment="1"/>
    <xf numFmtId="0" fontId="7" fillId="0" borderId="20" xfId="0" applyFont="1" applyBorder="1" applyAlignment="1"/>
    <xf numFmtId="0" fontId="7" fillId="0" borderId="19" xfId="0" applyFont="1" applyBorder="1" applyAlignment="1"/>
    <xf numFmtId="177" fontId="5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/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38" fontId="13" fillId="0" borderId="28" xfId="0" applyNumberFormat="1" applyFont="1" applyBorder="1" applyAlignment="1"/>
    <xf numFmtId="38" fontId="25" fillId="5" borderId="27" xfId="0" applyNumberFormat="1" applyFont="1" applyFill="1" applyBorder="1" applyAlignment="1"/>
    <xf numFmtId="184" fontId="12" fillId="0" borderId="0" xfId="0" applyNumberFormat="1" applyFont="1" applyAlignment="1"/>
    <xf numFmtId="184" fontId="12" fillId="0" borderId="0" xfId="0" applyNumberFormat="1" applyFont="1" applyAlignment="1">
      <alignment shrinkToFit="1"/>
    </xf>
    <xf numFmtId="0" fontId="15" fillId="0" borderId="0" xfId="0" applyFont="1" applyAlignment="1">
      <alignment horizontal="center" vertical="center" wrapText="1"/>
    </xf>
    <xf numFmtId="177" fontId="15" fillId="0" borderId="0" xfId="0" applyNumberFormat="1" applyFont="1" applyAlignment="1">
      <alignment horizontal="center" vertical="center" wrapText="1"/>
    </xf>
    <xf numFmtId="177" fontId="26" fillId="0" borderId="1" xfId="0" applyNumberFormat="1" applyFont="1" applyBorder="1" applyAlignment="1">
      <alignment horizontal="center" vertical="center" wrapText="1"/>
    </xf>
    <xf numFmtId="0" fontId="27" fillId="0" borderId="26" xfId="0" applyFont="1" applyBorder="1" applyAlignment="1"/>
    <xf numFmtId="182" fontId="12" fillId="0" borderId="28" xfId="0" applyNumberFormat="1" applyFont="1" applyBorder="1" applyAlignment="1"/>
    <xf numFmtId="0" fontId="27" fillId="0" borderId="0" xfId="0" applyFont="1" applyAlignment="1"/>
    <xf numFmtId="0" fontId="15" fillId="0" borderId="0" xfId="0" applyFont="1" applyAlignment="1"/>
    <xf numFmtId="0" fontId="28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78" fontId="15" fillId="0" borderId="17" xfId="0" applyNumberFormat="1" applyFont="1" applyBorder="1">
      <alignment vertical="center"/>
    </xf>
    <xf numFmtId="38" fontId="1" fillId="0" borderId="7" xfId="0" applyNumberFormat="1" applyFont="1" applyBorder="1">
      <alignment vertical="center"/>
    </xf>
    <xf numFmtId="179" fontId="1" fillId="0" borderId="18" xfId="0" applyNumberFormat="1" applyFont="1" applyBorder="1">
      <alignment vertical="center"/>
    </xf>
    <xf numFmtId="180" fontId="1" fillId="2" borderId="18" xfId="0" applyNumberFormat="1" applyFont="1" applyFill="1" applyBorder="1">
      <alignment vertical="center"/>
    </xf>
    <xf numFmtId="38" fontId="1" fillId="6" borderId="18" xfId="0" applyNumberFormat="1" applyFont="1" applyFill="1" applyBorder="1">
      <alignment vertical="center"/>
    </xf>
    <xf numFmtId="38" fontId="4" fillId="0" borderId="19" xfId="0" applyNumberFormat="1" applyFont="1" applyBorder="1">
      <alignment vertical="center"/>
    </xf>
    <xf numFmtId="38" fontId="4" fillId="0" borderId="17" xfId="0" applyNumberFormat="1" applyFont="1" applyBorder="1">
      <alignment vertical="center"/>
    </xf>
    <xf numFmtId="38" fontId="8" fillId="2" borderId="18" xfId="0" applyNumberFormat="1" applyFont="1" applyFill="1" applyBorder="1">
      <alignment vertical="center"/>
    </xf>
    <xf numFmtId="40" fontId="1" fillId="0" borderId="20" xfId="0" applyNumberFormat="1" applyFont="1" applyBorder="1">
      <alignment vertical="center"/>
    </xf>
    <xf numFmtId="181" fontId="1" fillId="0" borderId="18" xfId="0" applyNumberFormat="1" applyFont="1" applyBorder="1">
      <alignment vertical="center"/>
    </xf>
    <xf numFmtId="180" fontId="1" fillId="3" borderId="18" xfId="0" applyNumberFormat="1" applyFont="1" applyFill="1" applyBorder="1">
      <alignment vertical="center"/>
    </xf>
    <xf numFmtId="38" fontId="1" fillId="0" borderId="18" xfId="0" applyNumberFormat="1" applyFont="1" applyBorder="1">
      <alignment vertical="center"/>
    </xf>
    <xf numFmtId="38" fontId="8" fillId="0" borderId="16" xfId="0" applyNumberFormat="1" applyFont="1" applyBorder="1">
      <alignment vertical="center"/>
    </xf>
    <xf numFmtId="180" fontId="1" fillId="0" borderId="21" xfId="0" applyNumberFormat="1" applyFont="1" applyBorder="1">
      <alignment vertical="center"/>
    </xf>
    <xf numFmtId="38" fontId="1" fillId="7" borderId="17" xfId="0" applyNumberFormat="1" applyFont="1" applyFill="1" applyBorder="1">
      <alignment vertical="center"/>
    </xf>
    <xf numFmtId="180" fontId="1" fillId="0" borderId="18" xfId="0" applyNumberFormat="1" applyFont="1" applyBorder="1">
      <alignment vertical="center"/>
    </xf>
    <xf numFmtId="38" fontId="1" fillId="3" borderId="16" xfId="0" applyNumberFormat="1" applyFont="1" applyFill="1" applyBorder="1">
      <alignment vertical="center"/>
    </xf>
    <xf numFmtId="38" fontId="9" fillId="0" borderId="17" xfId="0" applyNumberFormat="1" applyFont="1" applyBorder="1">
      <alignment vertical="center"/>
    </xf>
    <xf numFmtId="38" fontId="1" fillId="0" borderId="16" xfId="0" applyNumberFormat="1" applyFont="1" applyBorder="1">
      <alignment vertical="center"/>
    </xf>
    <xf numFmtId="38" fontId="4" fillId="0" borderId="16" xfId="0" applyNumberFormat="1" applyFont="1" applyBorder="1">
      <alignment vertical="center"/>
    </xf>
    <xf numFmtId="38" fontId="1" fillId="7" borderId="16" xfId="0" applyNumberFormat="1" applyFont="1" applyFill="1" applyBorder="1">
      <alignment vertical="center"/>
    </xf>
    <xf numFmtId="178" fontId="23" fillId="0" borderId="7" xfId="0" applyNumberFormat="1" applyFont="1" applyBorder="1">
      <alignment vertical="center"/>
    </xf>
    <xf numFmtId="180" fontId="1" fillId="0" borderId="22" xfId="0" applyNumberFormat="1" applyFont="1" applyBorder="1">
      <alignment vertical="center"/>
    </xf>
    <xf numFmtId="178" fontId="11" fillId="0" borderId="7" xfId="0" applyNumberFormat="1" applyFont="1" applyBorder="1">
      <alignment vertical="center"/>
    </xf>
    <xf numFmtId="178" fontId="15" fillId="0" borderId="7" xfId="0" applyNumberFormat="1" applyFont="1" applyBorder="1">
      <alignment vertical="center"/>
    </xf>
    <xf numFmtId="38" fontId="9" fillId="8" borderId="17" xfId="0" applyNumberFormat="1" applyFont="1" applyFill="1" applyBorder="1">
      <alignment vertical="center"/>
    </xf>
    <xf numFmtId="38" fontId="4" fillId="8" borderId="17" xfId="0" applyNumberFormat="1" applyFont="1" applyFill="1" applyBorder="1">
      <alignment vertical="center"/>
    </xf>
    <xf numFmtId="180" fontId="1" fillId="0" borderId="16" xfId="0" applyNumberFormat="1" applyFont="1" applyBorder="1">
      <alignment vertical="center"/>
    </xf>
    <xf numFmtId="38" fontId="1" fillId="6" borderId="16" xfId="0" applyNumberFormat="1" applyFont="1" applyFill="1" applyBorder="1">
      <alignment vertical="center"/>
    </xf>
    <xf numFmtId="180" fontId="1" fillId="3" borderId="2" xfId="0" applyNumberFormat="1" applyFont="1" applyFill="1" applyBorder="1">
      <alignment vertical="center"/>
    </xf>
    <xf numFmtId="180" fontId="1" fillId="0" borderId="2" xfId="0" applyNumberFormat="1" applyFont="1" applyBorder="1">
      <alignment vertical="center"/>
    </xf>
    <xf numFmtId="38" fontId="1" fillId="6" borderId="2" xfId="0" applyNumberFormat="1" applyFont="1" applyFill="1" applyBorder="1">
      <alignment vertical="center"/>
    </xf>
    <xf numFmtId="38" fontId="4" fillId="0" borderId="24" xfId="0" applyNumberFormat="1" applyFont="1" applyBorder="1">
      <alignment vertical="center"/>
    </xf>
    <xf numFmtId="38" fontId="4" fillId="0" borderId="25" xfId="0" applyNumberFormat="1" applyFont="1" applyBorder="1">
      <alignment vertical="center"/>
    </xf>
    <xf numFmtId="38" fontId="1" fillId="3" borderId="2" xfId="0" applyNumberFormat="1" applyFont="1" applyFill="1" applyBorder="1">
      <alignment vertical="center"/>
    </xf>
    <xf numFmtId="38" fontId="17" fillId="9" borderId="0" xfId="0" applyNumberFormat="1" applyFont="1" applyFill="1" applyAlignment="1">
      <alignment horizontal="right"/>
    </xf>
    <xf numFmtId="38" fontId="17" fillId="9" borderId="0" xfId="0" applyNumberFormat="1" applyFont="1" applyFill="1" applyAlignment="1"/>
    <xf numFmtId="178" fontId="11" fillId="0" borderId="17" xfId="0" applyNumberFormat="1" applyFont="1" applyBorder="1">
      <alignment vertical="center"/>
    </xf>
    <xf numFmtId="38" fontId="12" fillId="0" borderId="28" xfId="0" applyNumberFormat="1" applyFont="1" applyBorder="1" applyAlignment="1">
      <alignment shrinkToFit="1"/>
    </xf>
    <xf numFmtId="38" fontId="12" fillId="0" borderId="16" xfId="0" applyNumberFormat="1" applyFont="1" applyBorder="1" applyAlignment="1">
      <alignment shrinkToFit="1"/>
    </xf>
    <xf numFmtId="38" fontId="1" fillId="0" borderId="0" xfId="0" applyNumberFormat="1" applyFont="1" applyAlignment="1">
      <alignment horizontal="right" vertical="top"/>
    </xf>
    <xf numFmtId="0" fontId="7" fillId="0" borderId="30" xfId="0" applyFont="1" applyBorder="1" applyAlignment="1"/>
    <xf numFmtId="0" fontId="8" fillId="4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38" fontId="1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8" fontId="1" fillId="0" borderId="32" xfId="0" applyNumberFormat="1" applyFont="1" applyBorder="1">
      <alignment vertical="center"/>
    </xf>
    <xf numFmtId="179" fontId="1" fillId="4" borderId="19" xfId="0" applyNumberFormat="1" applyFont="1" applyFill="1" applyBorder="1">
      <alignment vertical="center"/>
    </xf>
    <xf numFmtId="38" fontId="1" fillId="0" borderId="28" xfId="0" applyNumberFormat="1" applyFont="1" applyBorder="1">
      <alignment vertical="center"/>
    </xf>
    <xf numFmtId="38" fontId="1" fillId="0" borderId="27" xfId="0" applyNumberFormat="1" applyFont="1" applyBorder="1">
      <alignment vertical="center"/>
    </xf>
    <xf numFmtId="38" fontId="4" fillId="0" borderId="27" xfId="0" applyNumberFormat="1" applyFont="1" applyBorder="1">
      <alignment vertical="center"/>
    </xf>
    <xf numFmtId="38" fontId="1" fillId="7" borderId="27" xfId="0" applyNumberFormat="1" applyFont="1" applyFill="1" applyBorder="1">
      <alignment vertical="center"/>
    </xf>
    <xf numFmtId="38" fontId="29" fillId="0" borderId="0" xfId="0" applyNumberFormat="1" applyFont="1">
      <alignment vertical="center"/>
    </xf>
    <xf numFmtId="38" fontId="1" fillId="0" borderId="6" xfId="0" applyNumberFormat="1" applyFont="1" applyBorder="1">
      <alignment vertical="center"/>
    </xf>
    <xf numFmtId="179" fontId="1" fillId="4" borderId="6" xfId="0" applyNumberFormat="1" applyFont="1" applyFill="1" applyBorder="1">
      <alignment vertical="center"/>
    </xf>
    <xf numFmtId="180" fontId="1" fillId="0" borderId="14" xfId="0" applyNumberFormat="1" applyFont="1" applyBorder="1">
      <alignment vertical="center"/>
    </xf>
    <xf numFmtId="38" fontId="1" fillId="0" borderId="10" xfId="0" applyNumberFormat="1" applyFont="1" applyBorder="1">
      <alignment vertical="center"/>
    </xf>
    <xf numFmtId="38" fontId="1" fillId="7" borderId="12" xfId="0" applyNumberFormat="1" applyFont="1" applyFill="1" applyBorder="1">
      <alignment vertical="center"/>
    </xf>
    <xf numFmtId="38" fontId="1" fillId="0" borderId="13" xfId="0" applyNumberFormat="1" applyFont="1" applyBorder="1">
      <alignment vertical="center"/>
    </xf>
    <xf numFmtId="179" fontId="1" fillId="4" borderId="24" xfId="0" applyNumberFormat="1" applyFont="1" applyFill="1" applyBorder="1">
      <alignment vertical="center"/>
    </xf>
    <xf numFmtId="180" fontId="1" fillId="0" borderId="33" xfId="0" applyNumberFormat="1" applyFont="1" applyBorder="1">
      <alignment vertical="center"/>
    </xf>
    <xf numFmtId="38" fontId="9" fillId="0" borderId="8" xfId="0" applyNumberFormat="1" applyFont="1" applyBorder="1">
      <alignment vertical="center"/>
    </xf>
    <xf numFmtId="38" fontId="1" fillId="0" borderId="31" xfId="0" applyNumberFormat="1" applyFont="1" applyBorder="1">
      <alignment vertical="center"/>
    </xf>
    <xf numFmtId="0" fontId="17" fillId="10" borderId="0" xfId="0" applyFont="1" applyFill="1" applyAlignment="1">
      <alignment horizontal="center"/>
    </xf>
    <xf numFmtId="38" fontId="17" fillId="10" borderId="0" xfId="0" applyNumberFormat="1" applyFont="1" applyFill="1" applyAlignment="1"/>
    <xf numFmtId="178" fontId="10" fillId="0" borderId="7" xfId="0" applyNumberFormat="1" applyFont="1" applyBorder="1">
      <alignment vertical="center"/>
    </xf>
    <xf numFmtId="3" fontId="0" fillId="0" borderId="0" xfId="0" applyNumberFormat="1" applyAlignment="1"/>
    <xf numFmtId="38" fontId="25" fillId="5" borderId="16" xfId="0" applyNumberFormat="1" applyFont="1" applyFill="1" applyBorder="1" applyAlignment="1"/>
    <xf numFmtId="0" fontId="31" fillId="0" borderId="1" xfId="0" applyFont="1" applyBorder="1" applyAlignment="1">
      <alignment horizontal="left" vertical="top" wrapText="1"/>
    </xf>
    <xf numFmtId="0" fontId="32" fillId="0" borderId="0" xfId="0" applyFont="1" applyAlignment="1"/>
    <xf numFmtId="38" fontId="3" fillId="0" borderId="17" xfId="0" applyNumberFormat="1" applyFont="1" applyBorder="1" applyAlignment="1"/>
    <xf numFmtId="38" fontId="33" fillId="0" borderId="7" xfId="0" applyNumberFormat="1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V1000"/>
  <sheetViews>
    <sheetView tabSelected="1" workbookViewId="0">
      <selection activeCell="C8" sqref="C8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285156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9.85546875" style="4" bestFit="1" customWidth="1"/>
    <col min="32" max="35" width="6.28515625" style="4" customWidth="1"/>
    <col min="36" max="36" width="11.28515625" style="4" customWidth="1"/>
    <col min="37" max="47" width="9.28515625" style="4" customWidth="1"/>
    <col min="48" max="48" width="10.28515625" style="4" customWidth="1"/>
    <col min="49" max="16384" width="10.28515625" style="4"/>
  </cols>
  <sheetData>
    <row r="1" spans="1:48" ht="13.5" customHeight="1">
      <c r="A1" s="1" t="s">
        <v>0</v>
      </c>
      <c r="B1" s="17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13.5" customHeight="1">
      <c r="A2" s="5">
        <v>2024</v>
      </c>
      <c r="B2" s="174">
        <v>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9"/>
      <c r="B3" s="175" t="s">
        <v>2</v>
      </c>
      <c r="C3" s="10"/>
      <c r="D3" s="165" t="s">
        <v>3</v>
      </c>
      <c r="E3" s="155"/>
      <c r="F3" s="155"/>
      <c r="G3" s="155"/>
      <c r="H3" s="155"/>
      <c r="I3" s="155"/>
      <c r="J3" s="155"/>
      <c r="K3" s="155"/>
      <c r="L3" s="166" t="s">
        <v>4</v>
      </c>
      <c r="M3" s="155"/>
      <c r="N3" s="155"/>
      <c r="O3" s="155"/>
      <c r="P3" s="155"/>
      <c r="Q3" s="155"/>
      <c r="R3" s="155"/>
      <c r="S3" s="155"/>
      <c r="T3" s="167" t="s">
        <v>5</v>
      </c>
      <c r="U3" s="152"/>
      <c r="V3" s="152"/>
      <c r="W3" s="152"/>
      <c r="X3" s="224"/>
      <c r="Y3" s="225" t="s">
        <v>6</v>
      </c>
      <c r="Z3" s="155"/>
      <c r="AA3" s="155"/>
      <c r="AB3" s="155"/>
      <c r="AC3" s="155"/>
      <c r="AD3" s="155"/>
      <c r="AE3" s="155"/>
      <c r="AF3" s="155"/>
      <c r="AG3" s="167" t="s">
        <v>7</v>
      </c>
      <c r="AH3" s="152"/>
      <c r="AI3" s="152"/>
      <c r="AJ3" s="152"/>
      <c r="AK3" s="224"/>
      <c r="AL3" s="226" t="s">
        <v>8</v>
      </c>
      <c r="AM3" s="152"/>
      <c r="AN3" s="152"/>
      <c r="AO3" s="152"/>
      <c r="AP3" s="152"/>
      <c r="AQ3" s="152"/>
      <c r="AR3" s="152"/>
      <c r="AS3" s="153"/>
      <c r="AT3" s="2"/>
      <c r="AU3" s="3"/>
    </row>
    <row r="4" spans="1:48" ht="53.25" customHeight="1" thickBot="1">
      <c r="A4" s="9"/>
      <c r="B4" s="164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227"/>
      <c r="Y4" s="228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227" t="s">
        <v>27</v>
      </c>
      <c r="AL4" s="14" t="s">
        <v>28</v>
      </c>
      <c r="AM4" s="12" t="s">
        <v>29</v>
      </c>
      <c r="AN4" s="12" t="s">
        <v>30</v>
      </c>
      <c r="AO4" s="12" t="s">
        <v>31</v>
      </c>
      <c r="AP4" s="12" t="s">
        <v>32</v>
      </c>
      <c r="AQ4" s="12" t="s">
        <v>33</v>
      </c>
      <c r="AR4" s="12" t="s">
        <v>34</v>
      </c>
      <c r="AS4" s="229" t="s">
        <v>35</v>
      </c>
      <c r="AT4" s="2"/>
      <c r="AU4" s="3" t="s">
        <v>62</v>
      </c>
      <c r="AV4" s="230" t="s">
        <v>63</v>
      </c>
    </row>
    <row r="5" spans="1:48" ht="13.5" customHeight="1" thickTop="1">
      <c r="A5" s="139"/>
      <c r="B5" s="220">
        <f>DATE($A$2,$B$2,1)</f>
        <v>45292</v>
      </c>
      <c r="C5" s="184" t="s">
        <v>64</v>
      </c>
      <c r="D5" s="185"/>
      <c r="E5" s="186"/>
      <c r="F5" s="187"/>
      <c r="G5" s="188" t="e">
        <f t="shared" ref="G5:G35" si="0">ROUNDDOWN(F5/1.1,0)/E5</f>
        <v>#DIV/0!</v>
      </c>
      <c r="H5" s="187"/>
      <c r="I5" s="189" t="e">
        <f t="shared" ref="I5:I35" si="1">ROUNDDOWN(H5/1.1,0)/E5</f>
        <v>#DIV/0!</v>
      </c>
      <c r="J5" s="190">
        <f t="shared" ref="J5:J35" si="2">F5+H5</f>
        <v>0</v>
      </c>
      <c r="K5" s="191" t="str">
        <f t="shared" ref="K5:K35" si="3">IF(E5="","",J5/E5)</f>
        <v/>
      </c>
      <c r="L5" s="192"/>
      <c r="M5" s="193">
        <f t="shared" ref="M5:N35" si="4">AL5-E5</f>
        <v>0</v>
      </c>
      <c r="N5" s="194">
        <f t="shared" si="4"/>
        <v>0</v>
      </c>
      <c r="O5" s="188" t="e">
        <f t="shared" ref="O5:O35" si="5">ROUNDDOWN(N5/1.1,0)/M5</f>
        <v>#DIV/0!</v>
      </c>
      <c r="P5" s="194">
        <f t="shared" ref="P5:P35" si="6">AN5-H5</f>
        <v>0</v>
      </c>
      <c r="Q5" s="189" t="e">
        <f t="shared" ref="Q5:Q35" si="7">ROUNDDOWN(P5/1.1,0)/M5</f>
        <v>#DIV/0!</v>
      </c>
      <c r="R5" s="195">
        <f t="shared" ref="R5:R35" si="8">N5+P5</f>
        <v>0</v>
      </c>
      <c r="S5" s="191" t="e">
        <f t="shared" ref="S5:S35" si="9">IF(M5="","",R5/M5)</f>
        <v>#DIV/0!</v>
      </c>
      <c r="T5" s="196">
        <f t="shared" ref="T5:U35" si="10">E5+M5</f>
        <v>0</v>
      </c>
      <c r="U5" s="194">
        <f t="shared" si="10"/>
        <v>0</v>
      </c>
      <c r="V5" s="194">
        <f t="shared" ref="V5:V35" si="11">H5+P5</f>
        <v>0</v>
      </c>
      <c r="W5" s="197">
        <f t="shared" ref="W5:W35" si="12">J5+R5</f>
        <v>0</v>
      </c>
      <c r="X5" s="231" t="e">
        <f t="shared" ref="X5:X34" si="13">IF(T5="","",W5/T5)</f>
        <v>#DIV/0!</v>
      </c>
      <c r="Y5" s="232"/>
      <c r="Z5" s="198">
        <v>90</v>
      </c>
      <c r="AA5" s="187">
        <v>33550</v>
      </c>
      <c r="AB5" s="188">
        <f t="shared" ref="AB5:AB35" si="14">AA5/Z5</f>
        <v>372.77777777777777</v>
      </c>
      <c r="AC5" s="187">
        <v>28600</v>
      </c>
      <c r="AD5" s="189">
        <f t="shared" ref="AD5:AD35" si="15">AC5/Z5</f>
        <v>317.77777777777777</v>
      </c>
      <c r="AE5" s="199">
        <f t="shared" ref="AE5:AE35" si="16">AA5+AC5</f>
        <v>62150</v>
      </c>
      <c r="AF5" s="191">
        <f t="shared" ref="AF5:AF35" si="17">IF(Z5="","",AE5/Z5)</f>
        <v>690.55555555555554</v>
      </c>
      <c r="AG5" s="196">
        <f t="shared" ref="AG5:AG35" si="18">SUM(E5,M5)</f>
        <v>0</v>
      </c>
      <c r="AH5" s="194">
        <f t="shared" ref="AH5:AH35" si="19">U5+AA5</f>
        <v>33550</v>
      </c>
      <c r="AI5" s="194">
        <f t="shared" ref="AI5:AI35" si="20">V5+AC5</f>
        <v>28600</v>
      </c>
      <c r="AJ5" s="200">
        <f t="shared" ref="AJ5:AJ35" si="21">W5+AE5</f>
        <v>62150</v>
      </c>
      <c r="AK5" s="231">
        <f t="shared" ref="AK5:AK35" si="22">AO5+AP5+AQ5</f>
        <v>0</v>
      </c>
      <c r="AL5" s="233">
        <v>0</v>
      </c>
      <c r="AM5" s="234">
        <v>0</v>
      </c>
      <c r="AN5" s="234">
        <v>0</v>
      </c>
      <c r="AO5" s="235">
        <v>0</v>
      </c>
      <c r="AP5" s="235">
        <v>0</v>
      </c>
      <c r="AQ5" s="235">
        <v>0</v>
      </c>
      <c r="AR5" s="235">
        <v>0</v>
      </c>
      <c r="AS5" s="236">
        <f t="shared" ref="AS5:AS24" si="23">SUM(AM5:AQ5)</f>
        <v>0</v>
      </c>
      <c r="AT5" s="139">
        <v>1</v>
      </c>
      <c r="AU5" s="140">
        <f t="shared" ref="AU5:AU35" si="24">AR5+AS5</f>
        <v>0</v>
      </c>
      <c r="AV5" s="237">
        <f t="shared" ref="AV5:AV35" si="25">AU5+AE5</f>
        <v>62150</v>
      </c>
    </row>
    <row r="6" spans="1:48" ht="13.5" customHeight="1">
      <c r="A6" s="139"/>
      <c r="B6" s="207">
        <f t="shared" ref="B6:B35" si="26">B5+1</f>
        <v>45293</v>
      </c>
      <c r="C6" s="184" t="s">
        <v>54</v>
      </c>
      <c r="D6" s="185"/>
      <c r="E6" s="186"/>
      <c r="F6" s="187"/>
      <c r="G6" s="188" t="e">
        <f t="shared" si="0"/>
        <v>#DIV/0!</v>
      </c>
      <c r="H6" s="187"/>
      <c r="I6" s="189" t="e">
        <f t="shared" si="1"/>
        <v>#DIV/0!</v>
      </c>
      <c r="J6" s="190">
        <f t="shared" si="2"/>
        <v>0</v>
      </c>
      <c r="K6" s="191" t="str">
        <f t="shared" si="3"/>
        <v/>
      </c>
      <c r="L6" s="192"/>
      <c r="M6" s="193">
        <f t="shared" si="4"/>
        <v>37</v>
      </c>
      <c r="N6" s="194">
        <f t="shared" si="4"/>
        <v>381920</v>
      </c>
      <c r="O6" s="188">
        <f t="shared" si="5"/>
        <v>9383.7837837837833</v>
      </c>
      <c r="P6" s="194">
        <f t="shared" si="6"/>
        <v>103230</v>
      </c>
      <c r="Q6" s="189">
        <f t="shared" si="7"/>
        <v>2536.3513513513512</v>
      </c>
      <c r="R6" s="195">
        <f t="shared" si="8"/>
        <v>485150</v>
      </c>
      <c r="S6" s="191">
        <f t="shared" si="9"/>
        <v>13112.162162162162</v>
      </c>
      <c r="T6" s="196">
        <f t="shared" si="10"/>
        <v>37</v>
      </c>
      <c r="U6" s="194">
        <f t="shared" si="10"/>
        <v>381920</v>
      </c>
      <c r="V6" s="194">
        <f t="shared" si="11"/>
        <v>103230</v>
      </c>
      <c r="W6" s="197">
        <f t="shared" si="12"/>
        <v>485150</v>
      </c>
      <c r="X6" s="231">
        <f t="shared" si="13"/>
        <v>13112.162162162162</v>
      </c>
      <c r="Y6" s="232"/>
      <c r="Z6" s="198">
        <v>100</v>
      </c>
      <c r="AA6" s="187">
        <v>80900</v>
      </c>
      <c r="AB6" s="188">
        <f t="shared" si="14"/>
        <v>809</v>
      </c>
      <c r="AC6" s="187">
        <v>25800</v>
      </c>
      <c r="AD6" s="189">
        <f t="shared" si="15"/>
        <v>258</v>
      </c>
      <c r="AE6" s="199">
        <f t="shared" si="16"/>
        <v>106700</v>
      </c>
      <c r="AF6" s="191">
        <f t="shared" si="17"/>
        <v>1067</v>
      </c>
      <c r="AG6" s="205">
        <f t="shared" si="18"/>
        <v>37</v>
      </c>
      <c r="AH6" s="194">
        <f t="shared" si="19"/>
        <v>462820</v>
      </c>
      <c r="AI6" s="194">
        <f t="shared" si="20"/>
        <v>129030</v>
      </c>
      <c r="AJ6" s="200">
        <f t="shared" si="21"/>
        <v>591850</v>
      </c>
      <c r="AK6" s="231">
        <f t="shared" si="22"/>
        <v>12210</v>
      </c>
      <c r="AL6" s="238">
        <v>37</v>
      </c>
      <c r="AM6" s="201">
        <v>381920</v>
      </c>
      <c r="AN6" s="201">
        <v>103230</v>
      </c>
      <c r="AO6" s="202">
        <v>11000</v>
      </c>
      <c r="AP6" s="202">
        <v>1210</v>
      </c>
      <c r="AQ6" s="202">
        <v>0</v>
      </c>
      <c r="AR6" s="202">
        <v>0</v>
      </c>
      <c r="AS6" s="203">
        <f t="shared" si="23"/>
        <v>497360</v>
      </c>
      <c r="AT6" s="139">
        <v>2</v>
      </c>
      <c r="AU6" s="140">
        <f t="shared" si="24"/>
        <v>497360</v>
      </c>
      <c r="AV6" s="237">
        <f t="shared" si="25"/>
        <v>604060</v>
      </c>
    </row>
    <row r="7" spans="1:48" ht="13.5" customHeight="1">
      <c r="A7" s="139"/>
      <c r="B7" s="207">
        <f t="shared" si="26"/>
        <v>45294</v>
      </c>
      <c r="C7" s="184" t="s">
        <v>54</v>
      </c>
      <c r="D7" s="185"/>
      <c r="E7" s="186"/>
      <c r="F7" s="187"/>
      <c r="G7" s="188" t="e">
        <f t="shared" si="0"/>
        <v>#DIV/0!</v>
      </c>
      <c r="H7" s="187"/>
      <c r="I7" s="189" t="e">
        <f t="shared" si="1"/>
        <v>#DIV/0!</v>
      </c>
      <c r="J7" s="190">
        <f t="shared" si="2"/>
        <v>0</v>
      </c>
      <c r="K7" s="191" t="str">
        <f t="shared" si="3"/>
        <v/>
      </c>
      <c r="L7" s="192"/>
      <c r="M7" s="193">
        <f t="shared" si="4"/>
        <v>32</v>
      </c>
      <c r="N7" s="194">
        <f t="shared" si="4"/>
        <v>256300</v>
      </c>
      <c r="O7" s="188">
        <f t="shared" si="5"/>
        <v>7281.25</v>
      </c>
      <c r="P7" s="194">
        <f t="shared" si="6"/>
        <v>48880</v>
      </c>
      <c r="Q7" s="189">
        <f t="shared" si="7"/>
        <v>1388.625</v>
      </c>
      <c r="R7" s="195">
        <f t="shared" si="8"/>
        <v>305180</v>
      </c>
      <c r="S7" s="191">
        <f t="shared" si="9"/>
        <v>9536.875</v>
      </c>
      <c r="T7" s="196">
        <f t="shared" si="10"/>
        <v>32</v>
      </c>
      <c r="U7" s="194">
        <f t="shared" si="10"/>
        <v>256300</v>
      </c>
      <c r="V7" s="194">
        <f t="shared" si="11"/>
        <v>48880</v>
      </c>
      <c r="W7" s="197">
        <f t="shared" si="12"/>
        <v>305180</v>
      </c>
      <c r="X7" s="231">
        <f t="shared" si="13"/>
        <v>9536.875</v>
      </c>
      <c r="Y7" s="232"/>
      <c r="Z7" s="198">
        <v>93</v>
      </c>
      <c r="AA7" s="187">
        <v>72450</v>
      </c>
      <c r="AB7" s="188">
        <f t="shared" si="14"/>
        <v>779.0322580645161</v>
      </c>
      <c r="AC7" s="187">
        <v>32150</v>
      </c>
      <c r="AD7" s="189">
        <f t="shared" si="15"/>
        <v>345.69892473118279</v>
      </c>
      <c r="AE7" s="199">
        <f t="shared" si="16"/>
        <v>104600</v>
      </c>
      <c r="AF7" s="191">
        <f t="shared" si="17"/>
        <v>1124.7311827956989</v>
      </c>
      <c r="AG7" s="205">
        <f t="shared" si="18"/>
        <v>32</v>
      </c>
      <c r="AH7" s="194">
        <f t="shared" si="19"/>
        <v>328750</v>
      </c>
      <c r="AI7" s="194">
        <f t="shared" si="20"/>
        <v>81030</v>
      </c>
      <c r="AJ7" s="200">
        <f t="shared" si="21"/>
        <v>409780</v>
      </c>
      <c r="AK7" s="231">
        <f t="shared" si="22"/>
        <v>26310</v>
      </c>
      <c r="AL7" s="238">
        <v>32</v>
      </c>
      <c r="AM7" s="201">
        <v>256300</v>
      </c>
      <c r="AN7" s="201">
        <v>48880</v>
      </c>
      <c r="AO7" s="202">
        <v>24750</v>
      </c>
      <c r="AP7" s="202">
        <v>1560</v>
      </c>
      <c r="AQ7" s="202">
        <v>0</v>
      </c>
      <c r="AR7" s="202">
        <v>0</v>
      </c>
      <c r="AS7" s="203">
        <f t="shared" si="23"/>
        <v>331490</v>
      </c>
      <c r="AT7" s="139">
        <v>3</v>
      </c>
      <c r="AU7" s="140">
        <f t="shared" si="24"/>
        <v>331490</v>
      </c>
      <c r="AV7" s="237">
        <f t="shared" si="25"/>
        <v>436090</v>
      </c>
    </row>
    <row r="8" spans="1:48" ht="13.5" customHeight="1">
      <c r="A8" s="139"/>
      <c r="B8" s="207">
        <f t="shared" si="26"/>
        <v>45295</v>
      </c>
      <c r="C8" s="184" t="s">
        <v>54</v>
      </c>
      <c r="D8" s="185"/>
      <c r="E8" s="186"/>
      <c r="F8" s="187"/>
      <c r="G8" s="188" t="e">
        <f t="shared" si="0"/>
        <v>#DIV/0!</v>
      </c>
      <c r="H8" s="187"/>
      <c r="I8" s="189" t="e">
        <f t="shared" si="1"/>
        <v>#DIV/0!</v>
      </c>
      <c r="J8" s="190">
        <f t="shared" si="2"/>
        <v>0</v>
      </c>
      <c r="K8" s="191" t="str">
        <f t="shared" si="3"/>
        <v/>
      </c>
      <c r="L8" s="192"/>
      <c r="M8" s="193">
        <f t="shared" si="4"/>
        <v>37</v>
      </c>
      <c r="N8" s="194">
        <f t="shared" si="4"/>
        <v>336430</v>
      </c>
      <c r="O8" s="188">
        <f t="shared" si="5"/>
        <v>8266.0810810810817</v>
      </c>
      <c r="P8" s="194">
        <f t="shared" si="6"/>
        <v>65830</v>
      </c>
      <c r="Q8" s="189">
        <f t="shared" si="7"/>
        <v>1617.4324324324325</v>
      </c>
      <c r="R8" s="195">
        <f t="shared" si="8"/>
        <v>402260</v>
      </c>
      <c r="S8" s="191">
        <f t="shared" si="9"/>
        <v>10871.891891891892</v>
      </c>
      <c r="T8" s="196">
        <f t="shared" si="10"/>
        <v>37</v>
      </c>
      <c r="U8" s="194">
        <f t="shared" si="10"/>
        <v>336430</v>
      </c>
      <c r="V8" s="194">
        <f t="shared" si="11"/>
        <v>65830</v>
      </c>
      <c r="W8" s="197">
        <f t="shared" si="12"/>
        <v>402260</v>
      </c>
      <c r="X8" s="231">
        <f t="shared" si="13"/>
        <v>10871.891891891892</v>
      </c>
      <c r="Y8" s="232"/>
      <c r="Z8" s="198">
        <v>145</v>
      </c>
      <c r="AA8" s="187">
        <v>124450</v>
      </c>
      <c r="AB8" s="188">
        <f t="shared" si="14"/>
        <v>858.27586206896547</v>
      </c>
      <c r="AC8" s="187">
        <v>40100</v>
      </c>
      <c r="AD8" s="189">
        <f t="shared" si="15"/>
        <v>276.55172413793105</v>
      </c>
      <c r="AE8" s="199">
        <f t="shared" si="16"/>
        <v>164550</v>
      </c>
      <c r="AF8" s="191">
        <f t="shared" si="17"/>
        <v>1134.8275862068965</v>
      </c>
      <c r="AG8" s="205">
        <f t="shared" si="18"/>
        <v>37</v>
      </c>
      <c r="AH8" s="194">
        <f t="shared" si="19"/>
        <v>460880</v>
      </c>
      <c r="AI8" s="194">
        <f t="shared" si="20"/>
        <v>105930</v>
      </c>
      <c r="AJ8" s="208">
        <f t="shared" si="21"/>
        <v>566810</v>
      </c>
      <c r="AK8" s="231">
        <f t="shared" si="22"/>
        <v>25760</v>
      </c>
      <c r="AL8" s="238">
        <v>37</v>
      </c>
      <c r="AM8" s="201">
        <v>336430</v>
      </c>
      <c r="AN8" s="201">
        <v>65830</v>
      </c>
      <c r="AO8" s="202">
        <v>22550</v>
      </c>
      <c r="AP8" s="202">
        <v>3210</v>
      </c>
      <c r="AQ8" s="202">
        <v>0</v>
      </c>
      <c r="AR8" s="202">
        <v>3300</v>
      </c>
      <c r="AS8" s="203">
        <f t="shared" si="23"/>
        <v>428020</v>
      </c>
      <c r="AT8" s="139">
        <v>4</v>
      </c>
      <c r="AU8" s="140">
        <f t="shared" si="24"/>
        <v>431320</v>
      </c>
      <c r="AV8" s="237">
        <f t="shared" si="25"/>
        <v>595870</v>
      </c>
    </row>
    <row r="9" spans="1:48" ht="13.5" customHeight="1">
      <c r="A9" s="139"/>
      <c r="B9" s="207">
        <f t="shared" si="26"/>
        <v>45296</v>
      </c>
      <c r="C9" s="184" t="s">
        <v>65</v>
      </c>
      <c r="D9" s="185"/>
      <c r="E9" s="186"/>
      <c r="F9" s="187"/>
      <c r="G9" s="188" t="e">
        <f t="shared" si="0"/>
        <v>#DIV/0!</v>
      </c>
      <c r="H9" s="187"/>
      <c r="I9" s="189" t="e">
        <f t="shared" si="1"/>
        <v>#DIV/0!</v>
      </c>
      <c r="J9" s="190">
        <f t="shared" si="2"/>
        <v>0</v>
      </c>
      <c r="K9" s="191" t="str">
        <f t="shared" si="3"/>
        <v/>
      </c>
      <c r="L9" s="192"/>
      <c r="M9" s="193">
        <f t="shared" si="4"/>
        <v>29</v>
      </c>
      <c r="N9" s="194">
        <f t="shared" si="4"/>
        <v>277090</v>
      </c>
      <c r="O9" s="188">
        <f t="shared" si="5"/>
        <v>8686.2068965517246</v>
      </c>
      <c r="P9" s="194">
        <f t="shared" si="6"/>
        <v>33380</v>
      </c>
      <c r="Q9" s="189">
        <f t="shared" si="7"/>
        <v>1046.3793103448277</v>
      </c>
      <c r="R9" s="195">
        <f t="shared" si="8"/>
        <v>310470</v>
      </c>
      <c r="S9" s="191">
        <f t="shared" si="9"/>
        <v>10705.862068965518</v>
      </c>
      <c r="T9" s="196">
        <f t="shared" si="10"/>
        <v>29</v>
      </c>
      <c r="U9" s="194">
        <f t="shared" si="10"/>
        <v>277090</v>
      </c>
      <c r="V9" s="194">
        <f t="shared" si="11"/>
        <v>33380</v>
      </c>
      <c r="W9" s="197">
        <f t="shared" si="12"/>
        <v>310470</v>
      </c>
      <c r="X9" s="231">
        <f t="shared" si="13"/>
        <v>10705.862068965518</v>
      </c>
      <c r="Y9" s="232"/>
      <c r="Z9" s="198">
        <v>21</v>
      </c>
      <c r="AA9" s="187">
        <v>9400</v>
      </c>
      <c r="AB9" s="188">
        <f t="shared" si="14"/>
        <v>447.61904761904759</v>
      </c>
      <c r="AC9" s="187">
        <v>5750</v>
      </c>
      <c r="AD9" s="189">
        <f t="shared" si="15"/>
        <v>273.8095238095238</v>
      </c>
      <c r="AE9" s="199">
        <f t="shared" si="16"/>
        <v>15150</v>
      </c>
      <c r="AF9" s="191">
        <f t="shared" si="17"/>
        <v>721.42857142857144</v>
      </c>
      <c r="AG9" s="205">
        <f t="shared" si="18"/>
        <v>29</v>
      </c>
      <c r="AH9" s="194">
        <f t="shared" si="19"/>
        <v>286490</v>
      </c>
      <c r="AI9" s="194">
        <f t="shared" si="20"/>
        <v>39130</v>
      </c>
      <c r="AJ9" s="200">
        <f t="shared" si="21"/>
        <v>325620</v>
      </c>
      <c r="AK9" s="231">
        <f t="shared" si="22"/>
        <v>23650</v>
      </c>
      <c r="AL9" s="238">
        <v>29</v>
      </c>
      <c r="AM9" s="201">
        <v>277090</v>
      </c>
      <c r="AN9" s="201">
        <v>33380</v>
      </c>
      <c r="AO9" s="202">
        <v>23650</v>
      </c>
      <c r="AP9" s="202">
        <v>0</v>
      </c>
      <c r="AQ9" s="202">
        <v>0</v>
      </c>
      <c r="AR9" s="202">
        <v>0</v>
      </c>
      <c r="AS9" s="203">
        <f t="shared" si="23"/>
        <v>334120</v>
      </c>
      <c r="AT9" s="139">
        <v>5</v>
      </c>
      <c r="AU9" s="140">
        <f t="shared" si="24"/>
        <v>334120</v>
      </c>
      <c r="AV9" s="237">
        <f t="shared" si="25"/>
        <v>349270</v>
      </c>
    </row>
    <row r="10" spans="1:48" ht="13.5" customHeight="1">
      <c r="A10" s="139"/>
      <c r="B10" s="204">
        <f t="shared" si="26"/>
        <v>45297</v>
      </c>
      <c r="C10" s="184"/>
      <c r="D10" s="185"/>
      <c r="E10" s="186">
        <v>21</v>
      </c>
      <c r="F10" s="187">
        <v>53812</v>
      </c>
      <c r="G10" s="188">
        <f t="shared" si="0"/>
        <v>2329.5238095238096</v>
      </c>
      <c r="H10" s="187">
        <v>6270</v>
      </c>
      <c r="I10" s="189">
        <f t="shared" si="1"/>
        <v>271.42857142857144</v>
      </c>
      <c r="J10" s="190">
        <f t="shared" si="2"/>
        <v>60082</v>
      </c>
      <c r="K10" s="191">
        <f t="shared" si="3"/>
        <v>2861.0476190476193</v>
      </c>
      <c r="L10" s="192"/>
      <c r="M10" s="193">
        <f t="shared" si="4"/>
        <v>32</v>
      </c>
      <c r="N10" s="194">
        <f t="shared" si="4"/>
        <v>277750</v>
      </c>
      <c r="O10" s="188">
        <f t="shared" si="5"/>
        <v>7890.625</v>
      </c>
      <c r="P10" s="194">
        <f t="shared" si="6"/>
        <v>33300</v>
      </c>
      <c r="Q10" s="189">
        <f t="shared" si="7"/>
        <v>946</v>
      </c>
      <c r="R10" s="195">
        <f t="shared" si="8"/>
        <v>311050</v>
      </c>
      <c r="S10" s="191">
        <f t="shared" si="9"/>
        <v>9720.3125</v>
      </c>
      <c r="T10" s="196">
        <f t="shared" si="10"/>
        <v>53</v>
      </c>
      <c r="U10" s="194">
        <f t="shared" si="10"/>
        <v>331562</v>
      </c>
      <c r="V10" s="194">
        <f t="shared" si="11"/>
        <v>39570</v>
      </c>
      <c r="W10" s="197">
        <f t="shared" si="12"/>
        <v>371132</v>
      </c>
      <c r="X10" s="231">
        <f t="shared" si="13"/>
        <v>7002.4905660377362</v>
      </c>
      <c r="Y10" s="232"/>
      <c r="Z10" s="198">
        <v>105</v>
      </c>
      <c r="AA10" s="187">
        <v>55900</v>
      </c>
      <c r="AB10" s="188">
        <f t="shared" si="14"/>
        <v>532.38095238095241</v>
      </c>
      <c r="AC10" s="187">
        <v>26200</v>
      </c>
      <c r="AD10" s="189">
        <f t="shared" si="15"/>
        <v>249.52380952380952</v>
      </c>
      <c r="AE10" s="199">
        <f t="shared" si="16"/>
        <v>82100</v>
      </c>
      <c r="AF10" s="191">
        <f t="shared" si="17"/>
        <v>781.90476190476193</v>
      </c>
      <c r="AG10" s="205">
        <f t="shared" si="18"/>
        <v>53</v>
      </c>
      <c r="AH10" s="194">
        <f t="shared" si="19"/>
        <v>387462</v>
      </c>
      <c r="AI10" s="194">
        <f t="shared" si="20"/>
        <v>65770</v>
      </c>
      <c r="AJ10" s="200">
        <f t="shared" si="21"/>
        <v>453232</v>
      </c>
      <c r="AK10" s="231">
        <f t="shared" si="22"/>
        <v>31350</v>
      </c>
      <c r="AL10" s="238">
        <v>53</v>
      </c>
      <c r="AM10" s="201">
        <v>331562</v>
      </c>
      <c r="AN10" s="201">
        <v>39570</v>
      </c>
      <c r="AO10" s="202">
        <v>31350</v>
      </c>
      <c r="AP10" s="202">
        <v>0</v>
      </c>
      <c r="AQ10" s="202">
        <v>0</v>
      </c>
      <c r="AR10" s="202">
        <v>0</v>
      </c>
      <c r="AS10" s="203">
        <f t="shared" si="23"/>
        <v>402482</v>
      </c>
      <c r="AT10" s="139">
        <v>6</v>
      </c>
      <c r="AU10" s="140">
        <f t="shared" si="24"/>
        <v>402482</v>
      </c>
      <c r="AV10" s="237">
        <f t="shared" si="25"/>
        <v>484582</v>
      </c>
    </row>
    <row r="11" spans="1:48" ht="13.5" customHeight="1">
      <c r="A11" s="139"/>
      <c r="B11" s="206">
        <f t="shared" si="26"/>
        <v>45298</v>
      </c>
      <c r="C11" s="184"/>
      <c r="D11" s="185"/>
      <c r="E11" s="186">
        <v>16</v>
      </c>
      <c r="F11" s="187">
        <v>56540</v>
      </c>
      <c r="G11" s="188">
        <f t="shared" si="0"/>
        <v>3212.5</v>
      </c>
      <c r="H11" s="187">
        <v>11580</v>
      </c>
      <c r="I11" s="189">
        <f t="shared" si="1"/>
        <v>657.9375</v>
      </c>
      <c r="J11" s="190">
        <f t="shared" si="2"/>
        <v>68120</v>
      </c>
      <c r="K11" s="191">
        <f t="shared" si="3"/>
        <v>4257.5</v>
      </c>
      <c r="L11" s="192"/>
      <c r="M11" s="193">
        <f t="shared" si="4"/>
        <v>38</v>
      </c>
      <c r="N11" s="194">
        <f t="shared" si="4"/>
        <v>367840</v>
      </c>
      <c r="O11" s="188">
        <f t="shared" si="5"/>
        <v>8800</v>
      </c>
      <c r="P11" s="194">
        <f t="shared" si="6"/>
        <v>39550</v>
      </c>
      <c r="Q11" s="189">
        <f t="shared" si="7"/>
        <v>946.15789473684208</v>
      </c>
      <c r="R11" s="195">
        <f t="shared" si="8"/>
        <v>407390</v>
      </c>
      <c r="S11" s="191">
        <f t="shared" si="9"/>
        <v>10720.78947368421</v>
      </c>
      <c r="T11" s="196">
        <f t="shared" si="10"/>
        <v>54</v>
      </c>
      <c r="U11" s="194">
        <f t="shared" si="10"/>
        <v>424380</v>
      </c>
      <c r="V11" s="194">
        <f t="shared" si="11"/>
        <v>51130</v>
      </c>
      <c r="W11" s="197">
        <f t="shared" si="12"/>
        <v>475510</v>
      </c>
      <c r="X11" s="231">
        <f t="shared" si="13"/>
        <v>8805.7407407407409</v>
      </c>
      <c r="Y11" s="232"/>
      <c r="Z11" s="198">
        <v>52</v>
      </c>
      <c r="AA11" s="187">
        <v>32150</v>
      </c>
      <c r="AB11" s="188">
        <f t="shared" si="14"/>
        <v>618.26923076923072</v>
      </c>
      <c r="AC11" s="187">
        <v>13750</v>
      </c>
      <c r="AD11" s="189">
        <f t="shared" si="15"/>
        <v>264.42307692307691</v>
      </c>
      <c r="AE11" s="199">
        <f t="shared" si="16"/>
        <v>45900</v>
      </c>
      <c r="AF11" s="191">
        <f t="shared" si="17"/>
        <v>882.69230769230774</v>
      </c>
      <c r="AG11" s="205">
        <f t="shared" si="18"/>
        <v>54</v>
      </c>
      <c r="AH11" s="194">
        <f t="shared" si="19"/>
        <v>456530</v>
      </c>
      <c r="AI11" s="194">
        <f t="shared" si="20"/>
        <v>64880</v>
      </c>
      <c r="AJ11" s="200">
        <f t="shared" si="21"/>
        <v>521410</v>
      </c>
      <c r="AK11" s="231">
        <f t="shared" si="22"/>
        <v>18150</v>
      </c>
      <c r="AL11" s="238">
        <v>54</v>
      </c>
      <c r="AM11" s="201">
        <v>424380</v>
      </c>
      <c r="AN11" s="201">
        <v>51130</v>
      </c>
      <c r="AO11" s="202">
        <v>16500</v>
      </c>
      <c r="AP11" s="202">
        <v>1650</v>
      </c>
      <c r="AQ11" s="202">
        <v>0</v>
      </c>
      <c r="AR11" s="202">
        <v>0</v>
      </c>
      <c r="AS11" s="203">
        <f t="shared" si="23"/>
        <v>493660</v>
      </c>
      <c r="AT11" s="139">
        <v>7</v>
      </c>
      <c r="AU11" s="140">
        <f t="shared" si="24"/>
        <v>493660</v>
      </c>
      <c r="AV11" s="237">
        <f t="shared" si="25"/>
        <v>539560</v>
      </c>
    </row>
    <row r="12" spans="1:48" ht="13.5" customHeight="1">
      <c r="A12" s="139"/>
      <c r="B12" s="206">
        <f t="shared" si="26"/>
        <v>45299</v>
      </c>
      <c r="C12" s="184" t="s">
        <v>66</v>
      </c>
      <c r="D12" s="185"/>
      <c r="E12" s="186">
        <v>0</v>
      </c>
      <c r="F12" s="187">
        <v>0</v>
      </c>
      <c r="G12" s="188" t="e">
        <f t="shared" si="0"/>
        <v>#DIV/0!</v>
      </c>
      <c r="H12" s="187">
        <v>0</v>
      </c>
      <c r="I12" s="189" t="e">
        <f t="shared" si="1"/>
        <v>#DIV/0!</v>
      </c>
      <c r="J12" s="190">
        <f t="shared" si="2"/>
        <v>0</v>
      </c>
      <c r="K12" s="191" t="e">
        <f t="shared" si="3"/>
        <v>#DIV/0!</v>
      </c>
      <c r="L12" s="192"/>
      <c r="M12" s="193">
        <f t="shared" si="4"/>
        <v>20</v>
      </c>
      <c r="N12" s="194">
        <f t="shared" si="4"/>
        <v>176220</v>
      </c>
      <c r="O12" s="188">
        <f t="shared" si="5"/>
        <v>8010</v>
      </c>
      <c r="P12" s="194">
        <f t="shared" si="6"/>
        <v>22010</v>
      </c>
      <c r="Q12" s="209">
        <f t="shared" si="7"/>
        <v>1000.45</v>
      </c>
      <c r="R12" s="195">
        <f t="shared" si="8"/>
        <v>198230</v>
      </c>
      <c r="S12" s="191">
        <f t="shared" si="9"/>
        <v>9911.5</v>
      </c>
      <c r="T12" s="196">
        <f t="shared" si="10"/>
        <v>20</v>
      </c>
      <c r="U12" s="194">
        <f t="shared" si="10"/>
        <v>176220</v>
      </c>
      <c r="V12" s="194">
        <f t="shared" si="11"/>
        <v>22010</v>
      </c>
      <c r="W12" s="197">
        <f t="shared" si="12"/>
        <v>198230</v>
      </c>
      <c r="X12" s="231">
        <f t="shared" si="13"/>
        <v>9911.5</v>
      </c>
      <c r="Y12" s="232"/>
      <c r="Z12" s="198">
        <v>23</v>
      </c>
      <c r="AA12" s="187">
        <v>13850</v>
      </c>
      <c r="AB12" s="188">
        <f t="shared" si="14"/>
        <v>602.17391304347825</v>
      </c>
      <c r="AC12" s="187">
        <v>2700</v>
      </c>
      <c r="AD12" s="189">
        <f t="shared" si="15"/>
        <v>117.39130434782609</v>
      </c>
      <c r="AE12" s="199">
        <f t="shared" si="16"/>
        <v>16550</v>
      </c>
      <c r="AF12" s="191">
        <f t="shared" si="17"/>
        <v>719.56521739130437</v>
      </c>
      <c r="AG12" s="205">
        <f t="shared" si="18"/>
        <v>20</v>
      </c>
      <c r="AH12" s="194">
        <f t="shared" si="19"/>
        <v>190070</v>
      </c>
      <c r="AI12" s="194">
        <f t="shared" si="20"/>
        <v>24710</v>
      </c>
      <c r="AJ12" s="200">
        <f t="shared" si="21"/>
        <v>214780</v>
      </c>
      <c r="AK12" s="231">
        <f t="shared" si="22"/>
        <v>11000</v>
      </c>
      <c r="AL12" s="238">
        <v>20</v>
      </c>
      <c r="AM12" s="201">
        <v>176220</v>
      </c>
      <c r="AN12" s="201">
        <v>22010</v>
      </c>
      <c r="AO12" s="202">
        <v>11000</v>
      </c>
      <c r="AP12" s="202">
        <v>0</v>
      </c>
      <c r="AQ12" s="202">
        <v>0</v>
      </c>
      <c r="AR12" s="202">
        <v>0</v>
      </c>
      <c r="AS12" s="203">
        <f t="shared" si="23"/>
        <v>209230</v>
      </c>
      <c r="AT12" s="139">
        <v>8</v>
      </c>
      <c r="AU12" s="140">
        <f t="shared" si="24"/>
        <v>209230</v>
      </c>
      <c r="AV12" s="237">
        <f t="shared" si="25"/>
        <v>225780</v>
      </c>
    </row>
    <row r="13" spans="1:48" ht="13.5" customHeight="1">
      <c r="A13" s="139"/>
      <c r="B13" s="207">
        <f t="shared" si="26"/>
        <v>45300</v>
      </c>
      <c r="C13" s="184" t="s">
        <v>54</v>
      </c>
      <c r="D13" s="185"/>
      <c r="E13" s="186"/>
      <c r="F13" s="187"/>
      <c r="G13" s="188" t="e">
        <f t="shared" si="0"/>
        <v>#DIV/0!</v>
      </c>
      <c r="H13" s="187"/>
      <c r="I13" s="189" t="e">
        <f t="shared" si="1"/>
        <v>#DIV/0!</v>
      </c>
      <c r="J13" s="190">
        <f t="shared" si="2"/>
        <v>0</v>
      </c>
      <c r="K13" s="191" t="str">
        <f t="shared" si="3"/>
        <v/>
      </c>
      <c r="L13" s="192"/>
      <c r="M13" s="193">
        <f t="shared" si="4"/>
        <v>22</v>
      </c>
      <c r="N13" s="194">
        <f t="shared" si="4"/>
        <v>221650</v>
      </c>
      <c r="O13" s="188">
        <f t="shared" si="5"/>
        <v>9159.0909090909099</v>
      </c>
      <c r="P13" s="194">
        <f t="shared" si="6"/>
        <v>52930</v>
      </c>
      <c r="Q13" s="189">
        <f t="shared" si="7"/>
        <v>2187.181818181818</v>
      </c>
      <c r="R13" s="195">
        <f t="shared" si="8"/>
        <v>274580</v>
      </c>
      <c r="S13" s="191">
        <f t="shared" si="9"/>
        <v>12480.90909090909</v>
      </c>
      <c r="T13" s="196">
        <f t="shared" si="10"/>
        <v>22</v>
      </c>
      <c r="U13" s="194">
        <f t="shared" si="10"/>
        <v>221650</v>
      </c>
      <c r="V13" s="194">
        <f t="shared" si="11"/>
        <v>52930</v>
      </c>
      <c r="W13" s="197">
        <f t="shared" si="12"/>
        <v>274580</v>
      </c>
      <c r="X13" s="231">
        <f t="shared" si="13"/>
        <v>12480.90909090909</v>
      </c>
      <c r="Y13" s="232"/>
      <c r="Z13" s="198">
        <v>26</v>
      </c>
      <c r="AA13" s="187">
        <v>19550</v>
      </c>
      <c r="AB13" s="188">
        <f t="shared" si="14"/>
        <v>751.92307692307691</v>
      </c>
      <c r="AC13" s="187">
        <v>9500</v>
      </c>
      <c r="AD13" s="189">
        <f t="shared" si="15"/>
        <v>365.38461538461536</v>
      </c>
      <c r="AE13" s="199">
        <f t="shared" si="16"/>
        <v>29050</v>
      </c>
      <c r="AF13" s="191">
        <f t="shared" si="17"/>
        <v>1117.3076923076924</v>
      </c>
      <c r="AG13" s="205">
        <f t="shared" si="18"/>
        <v>22</v>
      </c>
      <c r="AH13" s="194">
        <f t="shared" si="19"/>
        <v>241200</v>
      </c>
      <c r="AI13" s="194">
        <f t="shared" si="20"/>
        <v>62430</v>
      </c>
      <c r="AJ13" s="200">
        <f t="shared" si="21"/>
        <v>303630</v>
      </c>
      <c r="AK13" s="231">
        <f t="shared" si="22"/>
        <v>20080</v>
      </c>
      <c r="AL13" s="238">
        <v>22</v>
      </c>
      <c r="AM13" s="201">
        <v>221650</v>
      </c>
      <c r="AN13" s="201">
        <v>52930</v>
      </c>
      <c r="AO13" s="202">
        <v>15400</v>
      </c>
      <c r="AP13" s="202">
        <v>4680</v>
      </c>
      <c r="AQ13" s="202">
        <v>0</v>
      </c>
      <c r="AR13" s="202">
        <v>0</v>
      </c>
      <c r="AS13" s="203">
        <f t="shared" si="23"/>
        <v>294660</v>
      </c>
      <c r="AT13" s="139">
        <v>9</v>
      </c>
      <c r="AU13" s="140">
        <f t="shared" si="24"/>
        <v>294660</v>
      </c>
      <c r="AV13" s="237">
        <f t="shared" si="25"/>
        <v>323710</v>
      </c>
    </row>
    <row r="14" spans="1:48" ht="13.5" customHeight="1">
      <c r="A14" s="139"/>
      <c r="B14" s="207">
        <f t="shared" si="26"/>
        <v>45301</v>
      </c>
      <c r="C14" s="184" t="s">
        <v>67</v>
      </c>
      <c r="D14" s="185"/>
      <c r="E14" s="186"/>
      <c r="F14" s="187"/>
      <c r="G14" s="188" t="e">
        <f t="shared" si="0"/>
        <v>#DIV/0!</v>
      </c>
      <c r="H14" s="187"/>
      <c r="I14" s="189" t="e">
        <f t="shared" si="1"/>
        <v>#DIV/0!</v>
      </c>
      <c r="J14" s="190">
        <f t="shared" si="2"/>
        <v>0</v>
      </c>
      <c r="K14" s="191" t="str">
        <f t="shared" si="3"/>
        <v/>
      </c>
      <c r="L14" s="192"/>
      <c r="M14" s="193">
        <f t="shared" si="4"/>
        <v>16</v>
      </c>
      <c r="N14" s="194">
        <f t="shared" si="4"/>
        <v>136070</v>
      </c>
      <c r="O14" s="188">
        <f t="shared" si="5"/>
        <v>7731.25</v>
      </c>
      <c r="P14" s="194">
        <f t="shared" si="6"/>
        <v>19320</v>
      </c>
      <c r="Q14" s="189">
        <f t="shared" si="7"/>
        <v>1097.6875</v>
      </c>
      <c r="R14" s="195">
        <f t="shared" si="8"/>
        <v>155390</v>
      </c>
      <c r="S14" s="191">
        <f t="shared" si="9"/>
        <v>9711.875</v>
      </c>
      <c r="T14" s="196">
        <f t="shared" si="10"/>
        <v>16</v>
      </c>
      <c r="U14" s="194">
        <f t="shared" si="10"/>
        <v>136070</v>
      </c>
      <c r="V14" s="194">
        <f t="shared" si="11"/>
        <v>19320</v>
      </c>
      <c r="W14" s="197">
        <f t="shared" si="12"/>
        <v>155390</v>
      </c>
      <c r="X14" s="231">
        <f t="shared" si="13"/>
        <v>9711.875</v>
      </c>
      <c r="Y14" s="232"/>
      <c r="Z14" s="198">
        <v>17</v>
      </c>
      <c r="AA14" s="187">
        <v>4950</v>
      </c>
      <c r="AB14" s="188">
        <f t="shared" si="14"/>
        <v>291.1764705882353</v>
      </c>
      <c r="AC14" s="187">
        <v>6200</v>
      </c>
      <c r="AD14" s="189">
        <f t="shared" si="15"/>
        <v>364.70588235294116</v>
      </c>
      <c r="AE14" s="199">
        <f t="shared" si="16"/>
        <v>11150</v>
      </c>
      <c r="AF14" s="191">
        <f t="shared" si="17"/>
        <v>655.88235294117646</v>
      </c>
      <c r="AG14" s="205">
        <f t="shared" si="18"/>
        <v>16</v>
      </c>
      <c r="AH14" s="194">
        <f t="shared" si="19"/>
        <v>141020</v>
      </c>
      <c r="AI14" s="194">
        <f t="shared" si="20"/>
        <v>25520</v>
      </c>
      <c r="AJ14" s="208">
        <f t="shared" si="21"/>
        <v>166540</v>
      </c>
      <c r="AK14" s="231">
        <f t="shared" si="22"/>
        <v>15400</v>
      </c>
      <c r="AL14" s="238">
        <v>16</v>
      </c>
      <c r="AM14" s="201">
        <v>136070</v>
      </c>
      <c r="AN14" s="201">
        <v>19320</v>
      </c>
      <c r="AO14" s="202">
        <v>15400</v>
      </c>
      <c r="AP14" s="202">
        <v>0</v>
      </c>
      <c r="AQ14" s="202">
        <v>0</v>
      </c>
      <c r="AR14" s="202">
        <v>0</v>
      </c>
      <c r="AS14" s="203">
        <f t="shared" si="23"/>
        <v>170790</v>
      </c>
      <c r="AT14" s="139">
        <v>10</v>
      </c>
      <c r="AU14" s="140">
        <f t="shared" si="24"/>
        <v>170790</v>
      </c>
      <c r="AV14" s="237">
        <f t="shared" si="25"/>
        <v>181940</v>
      </c>
    </row>
    <row r="15" spans="1:48" ht="13.5" customHeight="1">
      <c r="A15" s="139"/>
      <c r="B15" s="207">
        <f t="shared" si="26"/>
        <v>45302</v>
      </c>
      <c r="C15" s="184" t="s">
        <v>54</v>
      </c>
      <c r="D15" s="185"/>
      <c r="E15" s="186"/>
      <c r="F15" s="187"/>
      <c r="G15" s="188" t="e">
        <f t="shared" si="0"/>
        <v>#DIV/0!</v>
      </c>
      <c r="H15" s="187"/>
      <c r="I15" s="189" t="e">
        <f t="shared" si="1"/>
        <v>#DIV/0!</v>
      </c>
      <c r="J15" s="190">
        <f t="shared" si="2"/>
        <v>0</v>
      </c>
      <c r="K15" s="191" t="str">
        <f t="shared" si="3"/>
        <v/>
      </c>
      <c r="L15" s="192"/>
      <c r="M15" s="193">
        <f t="shared" si="4"/>
        <v>24</v>
      </c>
      <c r="N15" s="194">
        <f t="shared" si="4"/>
        <v>171140</v>
      </c>
      <c r="O15" s="188">
        <f t="shared" si="5"/>
        <v>6482.541666666667</v>
      </c>
      <c r="P15" s="194">
        <f t="shared" si="6"/>
        <v>35940</v>
      </c>
      <c r="Q15" s="189">
        <f t="shared" si="7"/>
        <v>1361.3333333333333</v>
      </c>
      <c r="R15" s="195">
        <f t="shared" si="8"/>
        <v>207080</v>
      </c>
      <c r="S15" s="191">
        <f t="shared" si="9"/>
        <v>8628.3333333333339</v>
      </c>
      <c r="T15" s="196">
        <f t="shared" si="10"/>
        <v>24</v>
      </c>
      <c r="U15" s="194">
        <f t="shared" si="10"/>
        <v>171140</v>
      </c>
      <c r="V15" s="194">
        <f t="shared" si="11"/>
        <v>35940</v>
      </c>
      <c r="W15" s="197">
        <f t="shared" si="12"/>
        <v>207080</v>
      </c>
      <c r="X15" s="231">
        <f t="shared" si="13"/>
        <v>8628.3333333333339</v>
      </c>
      <c r="Y15" s="232"/>
      <c r="Z15" s="198">
        <v>57</v>
      </c>
      <c r="AA15" s="187">
        <v>26200</v>
      </c>
      <c r="AB15" s="188">
        <f t="shared" si="14"/>
        <v>459.64912280701753</v>
      </c>
      <c r="AC15" s="187">
        <v>19350</v>
      </c>
      <c r="AD15" s="189">
        <f t="shared" si="15"/>
        <v>339.4736842105263</v>
      </c>
      <c r="AE15" s="199">
        <f t="shared" si="16"/>
        <v>45550</v>
      </c>
      <c r="AF15" s="191">
        <f t="shared" si="17"/>
        <v>799.12280701754389</v>
      </c>
      <c r="AG15" s="205">
        <f t="shared" si="18"/>
        <v>24</v>
      </c>
      <c r="AH15" s="194">
        <f t="shared" si="19"/>
        <v>197340</v>
      </c>
      <c r="AI15" s="194">
        <f t="shared" si="20"/>
        <v>55290</v>
      </c>
      <c r="AJ15" s="200">
        <f t="shared" si="21"/>
        <v>252630</v>
      </c>
      <c r="AK15" s="231">
        <f t="shared" si="22"/>
        <v>21450</v>
      </c>
      <c r="AL15" s="238">
        <v>24</v>
      </c>
      <c r="AM15" s="201">
        <v>171140</v>
      </c>
      <c r="AN15" s="201">
        <v>35940</v>
      </c>
      <c r="AO15" s="202">
        <v>19800</v>
      </c>
      <c r="AP15" s="202">
        <v>1650</v>
      </c>
      <c r="AQ15" s="202">
        <v>0</v>
      </c>
      <c r="AR15" s="202">
        <v>9240</v>
      </c>
      <c r="AS15" s="203">
        <f t="shared" si="23"/>
        <v>228530</v>
      </c>
      <c r="AT15" s="139">
        <v>11</v>
      </c>
      <c r="AU15" s="140">
        <f t="shared" si="24"/>
        <v>237770</v>
      </c>
      <c r="AV15" s="237">
        <f t="shared" si="25"/>
        <v>283320</v>
      </c>
    </row>
    <row r="16" spans="1:48" ht="13.5" customHeight="1">
      <c r="A16" s="139"/>
      <c r="B16" s="207">
        <f t="shared" si="26"/>
        <v>45303</v>
      </c>
      <c r="C16" s="184" t="s">
        <v>54</v>
      </c>
      <c r="D16" s="185"/>
      <c r="E16" s="186"/>
      <c r="F16" s="187"/>
      <c r="G16" s="188" t="e">
        <f t="shared" si="0"/>
        <v>#DIV/0!</v>
      </c>
      <c r="H16" s="187"/>
      <c r="I16" s="189" t="e">
        <f t="shared" si="1"/>
        <v>#DIV/0!</v>
      </c>
      <c r="J16" s="190">
        <f t="shared" si="2"/>
        <v>0</v>
      </c>
      <c r="K16" s="191" t="str">
        <f t="shared" si="3"/>
        <v/>
      </c>
      <c r="L16" s="192"/>
      <c r="M16" s="193">
        <f t="shared" si="4"/>
        <v>23</v>
      </c>
      <c r="N16" s="194">
        <f t="shared" si="4"/>
        <v>175670</v>
      </c>
      <c r="O16" s="188">
        <f t="shared" si="5"/>
        <v>6943.478260869565</v>
      </c>
      <c r="P16" s="194">
        <f t="shared" si="6"/>
        <v>16280</v>
      </c>
      <c r="Q16" s="189">
        <f t="shared" si="7"/>
        <v>643.47826086956525</v>
      </c>
      <c r="R16" s="195">
        <f t="shared" si="8"/>
        <v>191950</v>
      </c>
      <c r="S16" s="191">
        <f t="shared" si="9"/>
        <v>8345.652173913044</v>
      </c>
      <c r="T16" s="196">
        <f t="shared" si="10"/>
        <v>23</v>
      </c>
      <c r="U16" s="194">
        <f t="shared" si="10"/>
        <v>175670</v>
      </c>
      <c r="V16" s="194">
        <f t="shared" si="11"/>
        <v>16280</v>
      </c>
      <c r="W16" s="197">
        <f t="shared" si="12"/>
        <v>191950</v>
      </c>
      <c r="X16" s="231">
        <f t="shared" si="13"/>
        <v>8345.652173913044</v>
      </c>
      <c r="Y16" s="232"/>
      <c r="Z16" s="198">
        <v>42</v>
      </c>
      <c r="AA16" s="187">
        <v>30850</v>
      </c>
      <c r="AB16" s="188">
        <f t="shared" si="14"/>
        <v>734.52380952380952</v>
      </c>
      <c r="AC16" s="187">
        <v>14100</v>
      </c>
      <c r="AD16" s="189">
        <f t="shared" si="15"/>
        <v>335.71428571428572</v>
      </c>
      <c r="AE16" s="199">
        <f t="shared" si="16"/>
        <v>44950</v>
      </c>
      <c r="AF16" s="191">
        <f t="shared" si="17"/>
        <v>1070.2380952380952</v>
      </c>
      <c r="AG16" s="205">
        <f t="shared" si="18"/>
        <v>23</v>
      </c>
      <c r="AH16" s="194">
        <f t="shared" si="19"/>
        <v>206520</v>
      </c>
      <c r="AI16" s="194">
        <f t="shared" si="20"/>
        <v>30380</v>
      </c>
      <c r="AJ16" s="200">
        <f t="shared" si="21"/>
        <v>236900</v>
      </c>
      <c r="AK16" s="231">
        <f t="shared" si="22"/>
        <v>7700</v>
      </c>
      <c r="AL16" s="238">
        <v>23</v>
      </c>
      <c r="AM16" s="201">
        <v>175670</v>
      </c>
      <c r="AN16" s="201">
        <v>16280</v>
      </c>
      <c r="AO16" s="202">
        <v>7700</v>
      </c>
      <c r="AP16" s="202">
        <v>0</v>
      </c>
      <c r="AQ16" s="202">
        <v>0</v>
      </c>
      <c r="AR16" s="202">
        <v>0</v>
      </c>
      <c r="AS16" s="203">
        <f t="shared" si="23"/>
        <v>199650</v>
      </c>
      <c r="AT16" s="139">
        <v>12</v>
      </c>
      <c r="AU16" s="140">
        <f t="shared" si="24"/>
        <v>199650</v>
      </c>
      <c r="AV16" s="237">
        <f t="shared" si="25"/>
        <v>244600</v>
      </c>
    </row>
    <row r="17" spans="1:48" ht="13.5" customHeight="1">
      <c r="A17" s="139"/>
      <c r="B17" s="204">
        <f t="shared" si="26"/>
        <v>45304</v>
      </c>
      <c r="C17" s="184"/>
      <c r="D17" s="185"/>
      <c r="E17" s="186">
        <v>16</v>
      </c>
      <c r="F17" s="187">
        <v>43890</v>
      </c>
      <c r="G17" s="188">
        <f t="shared" si="0"/>
        <v>2493.75</v>
      </c>
      <c r="H17" s="187">
        <v>8830</v>
      </c>
      <c r="I17" s="189">
        <f t="shared" si="1"/>
        <v>501.6875</v>
      </c>
      <c r="J17" s="190">
        <f t="shared" si="2"/>
        <v>52720</v>
      </c>
      <c r="K17" s="191">
        <f t="shared" si="3"/>
        <v>3295</v>
      </c>
      <c r="L17" s="192"/>
      <c r="M17" s="193">
        <f t="shared" si="4"/>
        <v>27</v>
      </c>
      <c r="N17" s="194">
        <f t="shared" si="4"/>
        <v>216130</v>
      </c>
      <c r="O17" s="188">
        <f t="shared" si="5"/>
        <v>7277.0740740740739</v>
      </c>
      <c r="P17" s="194">
        <f t="shared" si="6"/>
        <v>38470</v>
      </c>
      <c r="Q17" s="189">
        <f t="shared" si="7"/>
        <v>1295.2592592592594</v>
      </c>
      <c r="R17" s="195">
        <f t="shared" si="8"/>
        <v>254600</v>
      </c>
      <c r="S17" s="191">
        <f t="shared" si="9"/>
        <v>9429.6296296296296</v>
      </c>
      <c r="T17" s="196">
        <f t="shared" si="10"/>
        <v>43</v>
      </c>
      <c r="U17" s="194">
        <f t="shared" si="10"/>
        <v>260020</v>
      </c>
      <c r="V17" s="194">
        <f t="shared" si="11"/>
        <v>47300</v>
      </c>
      <c r="W17" s="197">
        <f t="shared" si="12"/>
        <v>307320</v>
      </c>
      <c r="X17" s="231">
        <f t="shared" si="13"/>
        <v>7146.9767441860467</v>
      </c>
      <c r="Y17" s="232"/>
      <c r="Z17" s="198">
        <v>42</v>
      </c>
      <c r="AA17" s="187">
        <v>25900</v>
      </c>
      <c r="AB17" s="188">
        <f t="shared" si="14"/>
        <v>616.66666666666663</v>
      </c>
      <c r="AC17" s="187">
        <v>18550</v>
      </c>
      <c r="AD17" s="189">
        <f t="shared" si="15"/>
        <v>441.66666666666669</v>
      </c>
      <c r="AE17" s="199">
        <f t="shared" si="16"/>
        <v>44450</v>
      </c>
      <c r="AF17" s="191">
        <f t="shared" si="17"/>
        <v>1058.3333333333333</v>
      </c>
      <c r="AG17" s="205">
        <f t="shared" si="18"/>
        <v>43</v>
      </c>
      <c r="AH17" s="194">
        <f t="shared" si="19"/>
        <v>285920</v>
      </c>
      <c r="AI17" s="194">
        <f t="shared" si="20"/>
        <v>65850</v>
      </c>
      <c r="AJ17" s="200">
        <f t="shared" si="21"/>
        <v>351770</v>
      </c>
      <c r="AK17" s="231">
        <f t="shared" si="22"/>
        <v>7700</v>
      </c>
      <c r="AL17" s="238">
        <v>43</v>
      </c>
      <c r="AM17" s="201">
        <v>260020</v>
      </c>
      <c r="AN17" s="201">
        <v>47300</v>
      </c>
      <c r="AO17" s="202">
        <v>7700</v>
      </c>
      <c r="AP17" s="202">
        <v>0</v>
      </c>
      <c r="AQ17" s="202">
        <v>0</v>
      </c>
      <c r="AR17" s="202">
        <v>0</v>
      </c>
      <c r="AS17" s="203">
        <f t="shared" si="23"/>
        <v>315020</v>
      </c>
      <c r="AT17" s="139">
        <v>13</v>
      </c>
      <c r="AU17" s="140">
        <f t="shared" si="24"/>
        <v>315020</v>
      </c>
      <c r="AV17" s="237">
        <f t="shared" si="25"/>
        <v>359470</v>
      </c>
    </row>
    <row r="18" spans="1:48" ht="13.5" customHeight="1">
      <c r="A18" s="139"/>
      <c r="B18" s="206">
        <f t="shared" si="26"/>
        <v>45305</v>
      </c>
      <c r="C18" s="184"/>
      <c r="D18" s="185"/>
      <c r="E18" s="186">
        <v>13</v>
      </c>
      <c r="F18" s="187">
        <v>48840</v>
      </c>
      <c r="G18" s="188">
        <f t="shared" si="0"/>
        <v>3415.3846153846152</v>
      </c>
      <c r="H18" s="187">
        <v>2170</v>
      </c>
      <c r="I18" s="189">
        <f t="shared" si="1"/>
        <v>151.69230769230768</v>
      </c>
      <c r="J18" s="190">
        <f t="shared" si="2"/>
        <v>51010</v>
      </c>
      <c r="K18" s="191">
        <f t="shared" si="3"/>
        <v>3923.8461538461538</v>
      </c>
      <c r="L18" s="192"/>
      <c r="M18" s="193">
        <f t="shared" si="4"/>
        <v>22</v>
      </c>
      <c r="N18" s="194">
        <f t="shared" si="4"/>
        <v>219120</v>
      </c>
      <c r="O18" s="188">
        <f t="shared" si="5"/>
        <v>9054.545454545454</v>
      </c>
      <c r="P18" s="194">
        <f t="shared" si="6"/>
        <v>49310</v>
      </c>
      <c r="Q18" s="189">
        <f t="shared" si="7"/>
        <v>2037.590909090909</v>
      </c>
      <c r="R18" s="195">
        <f t="shared" si="8"/>
        <v>268430</v>
      </c>
      <c r="S18" s="191">
        <f t="shared" si="9"/>
        <v>12201.363636363636</v>
      </c>
      <c r="T18" s="196">
        <f t="shared" si="10"/>
        <v>35</v>
      </c>
      <c r="U18" s="194">
        <f t="shared" si="10"/>
        <v>267960</v>
      </c>
      <c r="V18" s="194">
        <f t="shared" si="11"/>
        <v>51480</v>
      </c>
      <c r="W18" s="197">
        <f t="shared" si="12"/>
        <v>319440</v>
      </c>
      <c r="X18" s="231">
        <f t="shared" si="13"/>
        <v>9126.8571428571431</v>
      </c>
      <c r="Y18" s="232"/>
      <c r="Z18" s="198">
        <v>71</v>
      </c>
      <c r="AA18" s="187">
        <v>40150</v>
      </c>
      <c r="AB18" s="188">
        <f t="shared" si="14"/>
        <v>565.49295774647885</v>
      </c>
      <c r="AC18" s="187">
        <v>17700</v>
      </c>
      <c r="AD18" s="189">
        <f t="shared" si="15"/>
        <v>249.29577464788733</v>
      </c>
      <c r="AE18" s="199">
        <f t="shared" si="16"/>
        <v>57850</v>
      </c>
      <c r="AF18" s="191">
        <f t="shared" si="17"/>
        <v>814.78873239436621</v>
      </c>
      <c r="AG18" s="205">
        <f t="shared" si="18"/>
        <v>35</v>
      </c>
      <c r="AH18" s="194">
        <f t="shared" si="19"/>
        <v>308110</v>
      </c>
      <c r="AI18" s="194">
        <f t="shared" si="20"/>
        <v>69180</v>
      </c>
      <c r="AJ18" s="200">
        <f t="shared" si="21"/>
        <v>377290</v>
      </c>
      <c r="AK18" s="231">
        <f t="shared" si="22"/>
        <v>22460</v>
      </c>
      <c r="AL18" s="238">
        <v>35</v>
      </c>
      <c r="AM18" s="201">
        <v>267960</v>
      </c>
      <c r="AN18" s="201">
        <v>51480</v>
      </c>
      <c r="AO18" s="202">
        <v>20900</v>
      </c>
      <c r="AP18" s="202">
        <v>1560</v>
      </c>
      <c r="AQ18" s="202">
        <v>0</v>
      </c>
      <c r="AR18" s="202">
        <v>0</v>
      </c>
      <c r="AS18" s="203">
        <f t="shared" si="23"/>
        <v>341900</v>
      </c>
      <c r="AT18" s="139">
        <v>14</v>
      </c>
      <c r="AU18" s="140">
        <f t="shared" si="24"/>
        <v>341900</v>
      </c>
      <c r="AV18" s="237">
        <f t="shared" si="25"/>
        <v>399750</v>
      </c>
    </row>
    <row r="19" spans="1:48" ht="13.5" customHeight="1">
      <c r="A19" s="139"/>
      <c r="B19" s="207">
        <f t="shared" si="26"/>
        <v>45306</v>
      </c>
      <c r="C19" s="184" t="s">
        <v>68</v>
      </c>
      <c r="D19" s="185"/>
      <c r="E19" s="186"/>
      <c r="F19" s="187"/>
      <c r="G19" s="188" t="e">
        <f t="shared" si="0"/>
        <v>#DIV/0!</v>
      </c>
      <c r="H19" s="187"/>
      <c r="I19" s="189" t="e">
        <f t="shared" si="1"/>
        <v>#DIV/0!</v>
      </c>
      <c r="J19" s="190">
        <f t="shared" si="2"/>
        <v>0</v>
      </c>
      <c r="K19" s="191" t="str">
        <f t="shared" si="3"/>
        <v/>
      </c>
      <c r="L19" s="192"/>
      <c r="M19" s="193">
        <f t="shared" si="4"/>
        <v>0</v>
      </c>
      <c r="N19" s="194">
        <f t="shared" si="4"/>
        <v>0</v>
      </c>
      <c r="O19" s="188" t="e">
        <f t="shared" si="5"/>
        <v>#DIV/0!</v>
      </c>
      <c r="P19" s="194">
        <f t="shared" si="6"/>
        <v>0</v>
      </c>
      <c r="Q19" s="209" t="e">
        <f t="shared" si="7"/>
        <v>#DIV/0!</v>
      </c>
      <c r="R19" s="195">
        <f t="shared" si="8"/>
        <v>0</v>
      </c>
      <c r="S19" s="191" t="e">
        <f t="shared" si="9"/>
        <v>#DIV/0!</v>
      </c>
      <c r="T19" s="196">
        <f t="shared" si="10"/>
        <v>0</v>
      </c>
      <c r="U19" s="194">
        <f t="shared" si="10"/>
        <v>0</v>
      </c>
      <c r="V19" s="194">
        <f t="shared" si="11"/>
        <v>0</v>
      </c>
      <c r="W19" s="197">
        <f t="shared" si="12"/>
        <v>0</v>
      </c>
      <c r="X19" s="231" t="e">
        <f t="shared" si="13"/>
        <v>#DIV/0!</v>
      </c>
      <c r="Y19" s="232"/>
      <c r="Z19" s="198">
        <v>0</v>
      </c>
      <c r="AA19" s="187">
        <v>0</v>
      </c>
      <c r="AB19" s="188" t="e">
        <f t="shared" si="14"/>
        <v>#DIV/0!</v>
      </c>
      <c r="AC19" s="187">
        <v>0</v>
      </c>
      <c r="AD19" s="189" t="e">
        <f t="shared" si="15"/>
        <v>#DIV/0!</v>
      </c>
      <c r="AE19" s="199">
        <f t="shared" si="16"/>
        <v>0</v>
      </c>
      <c r="AF19" s="191" t="e">
        <f t="shared" si="17"/>
        <v>#DIV/0!</v>
      </c>
      <c r="AG19" s="205">
        <f t="shared" si="18"/>
        <v>0</v>
      </c>
      <c r="AH19" s="194">
        <f t="shared" si="19"/>
        <v>0</v>
      </c>
      <c r="AI19" s="194">
        <f t="shared" si="20"/>
        <v>0</v>
      </c>
      <c r="AJ19" s="200">
        <f t="shared" si="21"/>
        <v>0</v>
      </c>
      <c r="AK19" s="231">
        <f t="shared" si="22"/>
        <v>0</v>
      </c>
      <c r="AL19" s="238">
        <v>0</v>
      </c>
      <c r="AM19" s="201">
        <v>0</v>
      </c>
      <c r="AN19" s="201">
        <v>0</v>
      </c>
      <c r="AO19" s="202">
        <v>0</v>
      </c>
      <c r="AP19" s="202">
        <v>0</v>
      </c>
      <c r="AQ19" s="202">
        <v>0</v>
      </c>
      <c r="AR19" s="202">
        <v>0</v>
      </c>
      <c r="AS19" s="203">
        <f t="shared" si="23"/>
        <v>0</v>
      </c>
      <c r="AT19" s="139">
        <v>15</v>
      </c>
      <c r="AU19" s="140">
        <f t="shared" si="24"/>
        <v>0</v>
      </c>
      <c r="AV19" s="237">
        <f t="shared" si="25"/>
        <v>0</v>
      </c>
    </row>
    <row r="20" spans="1:48" ht="13.5" customHeight="1">
      <c r="A20" s="139"/>
      <c r="B20" s="207">
        <f t="shared" si="26"/>
        <v>45307</v>
      </c>
      <c r="C20" s="184" t="s">
        <v>68</v>
      </c>
      <c r="D20" s="185"/>
      <c r="E20" s="186"/>
      <c r="F20" s="187"/>
      <c r="G20" s="188" t="e">
        <f t="shared" si="0"/>
        <v>#DIV/0!</v>
      </c>
      <c r="H20" s="187"/>
      <c r="I20" s="188" t="e">
        <f t="shared" si="1"/>
        <v>#DIV/0!</v>
      </c>
      <c r="J20" s="190">
        <f t="shared" si="2"/>
        <v>0</v>
      </c>
      <c r="K20" s="191" t="str">
        <f t="shared" si="3"/>
        <v/>
      </c>
      <c r="L20" s="192"/>
      <c r="M20" s="193">
        <f t="shared" si="4"/>
        <v>0</v>
      </c>
      <c r="N20" s="194">
        <f t="shared" si="4"/>
        <v>0</v>
      </c>
      <c r="O20" s="188" t="e">
        <f t="shared" si="5"/>
        <v>#DIV/0!</v>
      </c>
      <c r="P20" s="194">
        <f t="shared" si="6"/>
        <v>0</v>
      </c>
      <c r="Q20" s="209" t="e">
        <f t="shared" si="7"/>
        <v>#DIV/0!</v>
      </c>
      <c r="R20" s="195">
        <f t="shared" si="8"/>
        <v>0</v>
      </c>
      <c r="S20" s="191" t="e">
        <f t="shared" si="9"/>
        <v>#DIV/0!</v>
      </c>
      <c r="T20" s="196">
        <f t="shared" si="10"/>
        <v>0</v>
      </c>
      <c r="U20" s="194">
        <f t="shared" si="10"/>
        <v>0</v>
      </c>
      <c r="V20" s="194">
        <f t="shared" si="11"/>
        <v>0</v>
      </c>
      <c r="W20" s="197">
        <f t="shared" si="12"/>
        <v>0</v>
      </c>
      <c r="X20" s="231" t="e">
        <f t="shared" si="13"/>
        <v>#DIV/0!</v>
      </c>
      <c r="Y20" s="232"/>
      <c r="Z20" s="198">
        <v>0</v>
      </c>
      <c r="AA20" s="187">
        <v>0</v>
      </c>
      <c r="AB20" s="188" t="e">
        <f t="shared" si="14"/>
        <v>#DIV/0!</v>
      </c>
      <c r="AC20" s="187">
        <v>0</v>
      </c>
      <c r="AD20" s="189" t="e">
        <f t="shared" si="15"/>
        <v>#DIV/0!</v>
      </c>
      <c r="AE20" s="199">
        <f t="shared" si="16"/>
        <v>0</v>
      </c>
      <c r="AF20" s="191" t="e">
        <f t="shared" si="17"/>
        <v>#DIV/0!</v>
      </c>
      <c r="AG20" s="205">
        <f t="shared" si="18"/>
        <v>0</v>
      </c>
      <c r="AH20" s="201">
        <f t="shared" si="19"/>
        <v>0</v>
      </c>
      <c r="AI20" s="201">
        <f t="shared" si="20"/>
        <v>0</v>
      </c>
      <c r="AJ20" s="200">
        <f t="shared" si="21"/>
        <v>0</v>
      </c>
      <c r="AK20" s="231">
        <f t="shared" si="22"/>
        <v>0</v>
      </c>
      <c r="AL20" s="238">
        <v>0</v>
      </c>
      <c r="AM20" s="201">
        <v>0</v>
      </c>
      <c r="AN20" s="201">
        <v>0</v>
      </c>
      <c r="AO20" s="202">
        <v>0</v>
      </c>
      <c r="AP20" s="202">
        <v>0</v>
      </c>
      <c r="AQ20" s="202">
        <v>0</v>
      </c>
      <c r="AR20" s="202">
        <v>0</v>
      </c>
      <c r="AS20" s="203">
        <f t="shared" si="23"/>
        <v>0</v>
      </c>
      <c r="AT20" s="139">
        <v>16</v>
      </c>
      <c r="AU20" s="140">
        <f t="shared" si="24"/>
        <v>0</v>
      </c>
      <c r="AV20" s="237">
        <f t="shared" si="25"/>
        <v>0</v>
      </c>
    </row>
    <row r="21" spans="1:48" ht="15.75" customHeight="1">
      <c r="A21" s="139"/>
      <c r="B21" s="207">
        <f t="shared" si="26"/>
        <v>45308</v>
      </c>
      <c r="C21" s="184" t="s">
        <v>54</v>
      </c>
      <c r="D21" s="185"/>
      <c r="E21" s="186"/>
      <c r="F21" s="187"/>
      <c r="G21" s="188" t="e">
        <f t="shared" si="0"/>
        <v>#DIV/0!</v>
      </c>
      <c r="H21" s="187"/>
      <c r="I21" s="188" t="e">
        <f t="shared" si="1"/>
        <v>#DIV/0!</v>
      </c>
      <c r="J21" s="190">
        <f t="shared" si="2"/>
        <v>0</v>
      </c>
      <c r="K21" s="191" t="str">
        <f t="shared" si="3"/>
        <v/>
      </c>
      <c r="L21" s="192"/>
      <c r="M21" s="193">
        <f t="shared" si="4"/>
        <v>12</v>
      </c>
      <c r="N21" s="194">
        <f t="shared" si="4"/>
        <v>107580</v>
      </c>
      <c r="O21" s="188">
        <f t="shared" si="5"/>
        <v>8150</v>
      </c>
      <c r="P21" s="194">
        <f t="shared" si="6"/>
        <v>14640</v>
      </c>
      <c r="Q21" s="209">
        <f t="shared" si="7"/>
        <v>1109.0833333333333</v>
      </c>
      <c r="R21" s="195">
        <f t="shared" si="8"/>
        <v>122220</v>
      </c>
      <c r="S21" s="191">
        <f t="shared" si="9"/>
        <v>10185</v>
      </c>
      <c r="T21" s="196">
        <f t="shared" si="10"/>
        <v>12</v>
      </c>
      <c r="U21" s="194">
        <f t="shared" si="10"/>
        <v>107580</v>
      </c>
      <c r="V21" s="194">
        <f t="shared" si="11"/>
        <v>14640</v>
      </c>
      <c r="W21" s="197">
        <f t="shared" si="12"/>
        <v>122220</v>
      </c>
      <c r="X21" s="231">
        <f t="shared" si="13"/>
        <v>10185</v>
      </c>
      <c r="Y21" s="232"/>
      <c r="Z21" s="198">
        <v>40</v>
      </c>
      <c r="AA21" s="187">
        <v>21800</v>
      </c>
      <c r="AB21" s="188">
        <f t="shared" si="14"/>
        <v>545</v>
      </c>
      <c r="AC21" s="187">
        <v>13000</v>
      </c>
      <c r="AD21" s="189">
        <f t="shared" si="15"/>
        <v>325</v>
      </c>
      <c r="AE21" s="199">
        <f t="shared" si="16"/>
        <v>34800</v>
      </c>
      <c r="AF21" s="191">
        <f t="shared" si="17"/>
        <v>870</v>
      </c>
      <c r="AG21" s="205">
        <f t="shared" si="18"/>
        <v>12</v>
      </c>
      <c r="AH21" s="201">
        <f t="shared" si="19"/>
        <v>129380</v>
      </c>
      <c r="AI21" s="201">
        <f t="shared" si="20"/>
        <v>27640</v>
      </c>
      <c r="AJ21" s="200">
        <f t="shared" si="21"/>
        <v>157020</v>
      </c>
      <c r="AK21" s="231">
        <f t="shared" si="22"/>
        <v>9260</v>
      </c>
      <c r="AL21" s="238">
        <v>12</v>
      </c>
      <c r="AM21" s="201">
        <v>107580</v>
      </c>
      <c r="AN21" s="201">
        <v>14640</v>
      </c>
      <c r="AO21" s="202">
        <v>7700</v>
      </c>
      <c r="AP21" s="202">
        <v>1560</v>
      </c>
      <c r="AQ21" s="202">
        <v>0</v>
      </c>
      <c r="AR21" s="202">
        <v>0</v>
      </c>
      <c r="AS21" s="203">
        <f t="shared" si="23"/>
        <v>131480</v>
      </c>
      <c r="AT21" s="139">
        <v>17</v>
      </c>
      <c r="AU21" s="140">
        <f t="shared" si="24"/>
        <v>131480</v>
      </c>
      <c r="AV21" s="237">
        <f t="shared" si="25"/>
        <v>166280</v>
      </c>
    </row>
    <row r="22" spans="1:48" ht="15.75" customHeight="1">
      <c r="A22" s="139"/>
      <c r="B22" s="207">
        <f t="shared" si="26"/>
        <v>45309</v>
      </c>
      <c r="C22" s="184" t="s">
        <v>54</v>
      </c>
      <c r="D22" s="185"/>
      <c r="E22" s="186"/>
      <c r="F22" s="187"/>
      <c r="G22" s="188" t="e">
        <f t="shared" si="0"/>
        <v>#DIV/0!</v>
      </c>
      <c r="H22" s="187"/>
      <c r="I22" s="188" t="e">
        <f t="shared" si="1"/>
        <v>#DIV/0!</v>
      </c>
      <c r="J22" s="190">
        <f t="shared" si="2"/>
        <v>0</v>
      </c>
      <c r="K22" s="191" t="str">
        <f t="shared" si="3"/>
        <v/>
      </c>
      <c r="L22" s="192"/>
      <c r="M22" s="193">
        <f t="shared" si="4"/>
        <v>13</v>
      </c>
      <c r="N22" s="194">
        <f t="shared" si="4"/>
        <v>116930</v>
      </c>
      <c r="O22" s="188">
        <f t="shared" si="5"/>
        <v>8176.9230769230771</v>
      </c>
      <c r="P22" s="194">
        <f t="shared" si="6"/>
        <v>12280</v>
      </c>
      <c r="Q22" s="209">
        <f t="shared" si="7"/>
        <v>858.69230769230774</v>
      </c>
      <c r="R22" s="195">
        <f t="shared" si="8"/>
        <v>129210</v>
      </c>
      <c r="S22" s="191">
        <f t="shared" si="9"/>
        <v>9939.2307692307695</v>
      </c>
      <c r="T22" s="196">
        <f t="shared" si="10"/>
        <v>13</v>
      </c>
      <c r="U22" s="194">
        <f t="shared" si="10"/>
        <v>116930</v>
      </c>
      <c r="V22" s="194">
        <f t="shared" si="11"/>
        <v>12280</v>
      </c>
      <c r="W22" s="197">
        <f t="shared" si="12"/>
        <v>129210</v>
      </c>
      <c r="X22" s="231">
        <f t="shared" si="13"/>
        <v>9939.2307692307695</v>
      </c>
      <c r="Y22" s="232"/>
      <c r="Z22" s="198">
        <v>55</v>
      </c>
      <c r="AA22" s="187">
        <v>35950</v>
      </c>
      <c r="AB22" s="188">
        <f t="shared" si="14"/>
        <v>653.63636363636363</v>
      </c>
      <c r="AC22" s="187">
        <v>18300</v>
      </c>
      <c r="AD22" s="189">
        <f t="shared" si="15"/>
        <v>332.72727272727275</v>
      </c>
      <c r="AE22" s="199">
        <f t="shared" si="16"/>
        <v>54250</v>
      </c>
      <c r="AF22" s="191">
        <f t="shared" si="17"/>
        <v>986.36363636363637</v>
      </c>
      <c r="AG22" s="205">
        <f t="shared" si="18"/>
        <v>13</v>
      </c>
      <c r="AH22" s="201">
        <f t="shared" si="19"/>
        <v>152880</v>
      </c>
      <c r="AI22" s="201">
        <f t="shared" si="20"/>
        <v>30580</v>
      </c>
      <c r="AJ22" s="200">
        <f t="shared" si="21"/>
        <v>183460</v>
      </c>
      <c r="AK22" s="231">
        <f t="shared" si="22"/>
        <v>2200</v>
      </c>
      <c r="AL22" s="238">
        <v>13</v>
      </c>
      <c r="AM22" s="201">
        <v>116930</v>
      </c>
      <c r="AN22" s="201">
        <v>12280</v>
      </c>
      <c r="AO22" s="202">
        <v>2200</v>
      </c>
      <c r="AP22" s="202">
        <v>0</v>
      </c>
      <c r="AQ22" s="202">
        <v>0</v>
      </c>
      <c r="AR22" s="202">
        <v>0</v>
      </c>
      <c r="AS22" s="203">
        <f t="shared" si="23"/>
        <v>131410</v>
      </c>
      <c r="AT22" s="139">
        <v>18</v>
      </c>
      <c r="AU22" s="140">
        <f t="shared" si="24"/>
        <v>131410</v>
      </c>
      <c r="AV22" s="237">
        <f t="shared" si="25"/>
        <v>185660</v>
      </c>
    </row>
    <row r="23" spans="1:48" ht="15.75" customHeight="1">
      <c r="A23" s="139"/>
      <c r="B23" s="207">
        <f t="shared" si="26"/>
        <v>45310</v>
      </c>
      <c r="C23" s="184" t="s">
        <v>54</v>
      </c>
      <c r="D23" s="185"/>
      <c r="E23" s="186"/>
      <c r="F23" s="187"/>
      <c r="G23" s="188" t="e">
        <f t="shared" si="0"/>
        <v>#DIV/0!</v>
      </c>
      <c r="H23" s="187"/>
      <c r="I23" s="188" t="e">
        <f t="shared" si="1"/>
        <v>#DIV/0!</v>
      </c>
      <c r="J23" s="190">
        <f t="shared" si="2"/>
        <v>0</v>
      </c>
      <c r="K23" s="191" t="str">
        <f t="shared" si="3"/>
        <v/>
      </c>
      <c r="L23" s="192"/>
      <c r="M23" s="193">
        <f t="shared" si="4"/>
        <v>24</v>
      </c>
      <c r="N23" s="194">
        <f t="shared" si="4"/>
        <v>208890</v>
      </c>
      <c r="O23" s="188">
        <f t="shared" si="5"/>
        <v>7912.5</v>
      </c>
      <c r="P23" s="194">
        <f t="shared" si="6"/>
        <v>48510</v>
      </c>
      <c r="Q23" s="209">
        <f t="shared" si="7"/>
        <v>1837.5</v>
      </c>
      <c r="R23" s="195">
        <f t="shared" si="8"/>
        <v>257400</v>
      </c>
      <c r="S23" s="191">
        <f t="shared" si="9"/>
        <v>10725</v>
      </c>
      <c r="T23" s="196">
        <f t="shared" si="10"/>
        <v>24</v>
      </c>
      <c r="U23" s="194">
        <f t="shared" si="10"/>
        <v>208890</v>
      </c>
      <c r="V23" s="194">
        <f t="shared" si="11"/>
        <v>48510</v>
      </c>
      <c r="W23" s="197">
        <f t="shared" si="12"/>
        <v>257400</v>
      </c>
      <c r="X23" s="231">
        <f t="shared" si="13"/>
        <v>10725</v>
      </c>
      <c r="Y23" s="232"/>
      <c r="Z23" s="198">
        <v>64</v>
      </c>
      <c r="AA23" s="187">
        <v>41250</v>
      </c>
      <c r="AB23" s="188">
        <f t="shared" si="14"/>
        <v>644.53125</v>
      </c>
      <c r="AC23" s="187">
        <v>18300</v>
      </c>
      <c r="AD23" s="189">
        <f t="shared" si="15"/>
        <v>285.9375</v>
      </c>
      <c r="AE23" s="199">
        <f t="shared" si="16"/>
        <v>59550</v>
      </c>
      <c r="AF23" s="191">
        <f t="shared" si="17"/>
        <v>930.46875</v>
      </c>
      <c r="AG23" s="205">
        <f t="shared" si="18"/>
        <v>24</v>
      </c>
      <c r="AH23" s="201">
        <f t="shared" si="19"/>
        <v>250140</v>
      </c>
      <c r="AI23" s="201">
        <f t="shared" si="20"/>
        <v>66810</v>
      </c>
      <c r="AJ23" s="200">
        <f t="shared" si="21"/>
        <v>316950</v>
      </c>
      <c r="AK23" s="231">
        <f t="shared" si="22"/>
        <v>19250</v>
      </c>
      <c r="AL23" s="238">
        <v>24</v>
      </c>
      <c r="AM23" s="201">
        <v>208890</v>
      </c>
      <c r="AN23" s="201">
        <v>48510</v>
      </c>
      <c r="AO23" s="202">
        <v>19250</v>
      </c>
      <c r="AP23" s="202">
        <v>0</v>
      </c>
      <c r="AQ23" s="202">
        <v>0</v>
      </c>
      <c r="AR23" s="202">
        <v>0</v>
      </c>
      <c r="AS23" s="203">
        <f t="shared" si="23"/>
        <v>276650</v>
      </c>
      <c r="AT23" s="139">
        <v>19</v>
      </c>
      <c r="AU23" s="140">
        <f t="shared" si="24"/>
        <v>276650</v>
      </c>
      <c r="AV23" s="237">
        <f t="shared" si="25"/>
        <v>336200</v>
      </c>
    </row>
    <row r="24" spans="1:48" ht="15.75" customHeight="1">
      <c r="A24" s="139"/>
      <c r="B24" s="204">
        <f t="shared" si="26"/>
        <v>45311</v>
      </c>
      <c r="C24" s="184"/>
      <c r="D24" s="185"/>
      <c r="E24" s="186">
        <v>11</v>
      </c>
      <c r="F24" s="187">
        <v>40150</v>
      </c>
      <c r="G24" s="188">
        <f t="shared" si="0"/>
        <v>3318.181818181818</v>
      </c>
      <c r="H24" s="187">
        <v>6640</v>
      </c>
      <c r="I24" s="188">
        <f t="shared" si="1"/>
        <v>548.72727272727275</v>
      </c>
      <c r="J24" s="190">
        <f t="shared" si="2"/>
        <v>46790</v>
      </c>
      <c r="K24" s="191">
        <f t="shared" si="3"/>
        <v>4253.636363636364</v>
      </c>
      <c r="L24" s="192"/>
      <c r="M24" s="193">
        <f t="shared" si="4"/>
        <v>30</v>
      </c>
      <c r="N24" s="194">
        <f t="shared" si="4"/>
        <v>276100</v>
      </c>
      <c r="O24" s="188">
        <f t="shared" si="5"/>
        <v>8366.6666666666661</v>
      </c>
      <c r="P24" s="194">
        <f t="shared" si="6"/>
        <v>58790</v>
      </c>
      <c r="Q24" s="209">
        <f t="shared" si="7"/>
        <v>1781.5</v>
      </c>
      <c r="R24" s="195">
        <f t="shared" si="8"/>
        <v>334890</v>
      </c>
      <c r="S24" s="191">
        <f t="shared" si="9"/>
        <v>11163</v>
      </c>
      <c r="T24" s="196">
        <f t="shared" si="10"/>
        <v>41</v>
      </c>
      <c r="U24" s="194">
        <f t="shared" si="10"/>
        <v>316250</v>
      </c>
      <c r="V24" s="194">
        <f t="shared" si="11"/>
        <v>65430</v>
      </c>
      <c r="W24" s="197">
        <f t="shared" si="12"/>
        <v>381680</v>
      </c>
      <c r="X24" s="231">
        <f t="shared" si="13"/>
        <v>9309.2682926829275</v>
      </c>
      <c r="Y24" s="232"/>
      <c r="Z24" s="198">
        <v>57</v>
      </c>
      <c r="AA24" s="187">
        <v>38600</v>
      </c>
      <c r="AB24" s="188">
        <f t="shared" si="14"/>
        <v>677.19298245614038</v>
      </c>
      <c r="AC24" s="187">
        <v>8450</v>
      </c>
      <c r="AD24" s="189">
        <f t="shared" si="15"/>
        <v>148.24561403508773</v>
      </c>
      <c r="AE24" s="199">
        <f t="shared" si="16"/>
        <v>47050</v>
      </c>
      <c r="AF24" s="191">
        <f t="shared" si="17"/>
        <v>825.43859649122805</v>
      </c>
      <c r="AG24" s="205">
        <f t="shared" si="18"/>
        <v>41</v>
      </c>
      <c r="AH24" s="201">
        <f t="shared" si="19"/>
        <v>354850</v>
      </c>
      <c r="AI24" s="201">
        <f t="shared" si="20"/>
        <v>73880</v>
      </c>
      <c r="AJ24" s="200">
        <f t="shared" si="21"/>
        <v>428730</v>
      </c>
      <c r="AK24" s="231">
        <f t="shared" si="22"/>
        <v>18060</v>
      </c>
      <c r="AL24" s="238">
        <v>41</v>
      </c>
      <c r="AM24" s="201">
        <v>316250</v>
      </c>
      <c r="AN24" s="201">
        <v>65430</v>
      </c>
      <c r="AO24" s="202">
        <v>16500</v>
      </c>
      <c r="AP24" s="202">
        <v>1560</v>
      </c>
      <c r="AQ24" s="202">
        <v>0</v>
      </c>
      <c r="AR24" s="202">
        <v>0</v>
      </c>
      <c r="AS24" s="203">
        <f t="shared" si="23"/>
        <v>399740</v>
      </c>
      <c r="AT24" s="139">
        <v>20</v>
      </c>
      <c r="AU24" s="140">
        <f t="shared" si="24"/>
        <v>399740</v>
      </c>
      <c r="AV24" s="237">
        <f t="shared" si="25"/>
        <v>446790</v>
      </c>
    </row>
    <row r="25" spans="1:48" ht="15.75" customHeight="1">
      <c r="A25" s="139"/>
      <c r="B25" s="206">
        <f t="shared" si="26"/>
        <v>45312</v>
      </c>
      <c r="C25" s="184"/>
      <c r="D25" s="185"/>
      <c r="E25" s="186">
        <v>12</v>
      </c>
      <c r="F25" s="187">
        <v>44220</v>
      </c>
      <c r="G25" s="188">
        <f t="shared" si="0"/>
        <v>3350</v>
      </c>
      <c r="H25" s="187">
        <v>11310</v>
      </c>
      <c r="I25" s="188">
        <f t="shared" si="1"/>
        <v>856.75</v>
      </c>
      <c r="J25" s="190">
        <f t="shared" si="2"/>
        <v>55530</v>
      </c>
      <c r="K25" s="191">
        <f t="shared" si="3"/>
        <v>4627.5</v>
      </c>
      <c r="L25" s="192"/>
      <c r="M25" s="193">
        <f t="shared" si="4"/>
        <v>24</v>
      </c>
      <c r="N25" s="194">
        <f t="shared" si="4"/>
        <v>199390</v>
      </c>
      <c r="O25" s="188">
        <f t="shared" si="5"/>
        <v>7552.625</v>
      </c>
      <c r="P25" s="194">
        <f t="shared" si="6"/>
        <v>24930</v>
      </c>
      <c r="Q25" s="209">
        <f t="shared" si="7"/>
        <v>944.29166666666663</v>
      </c>
      <c r="R25" s="195">
        <f t="shared" si="8"/>
        <v>224320</v>
      </c>
      <c r="S25" s="191">
        <f t="shared" si="9"/>
        <v>9346.6666666666661</v>
      </c>
      <c r="T25" s="196">
        <f t="shared" si="10"/>
        <v>36</v>
      </c>
      <c r="U25" s="194">
        <f t="shared" si="10"/>
        <v>243610</v>
      </c>
      <c r="V25" s="194">
        <f t="shared" si="11"/>
        <v>36240</v>
      </c>
      <c r="W25" s="197">
        <f t="shared" si="12"/>
        <v>279850</v>
      </c>
      <c r="X25" s="231">
        <f t="shared" si="13"/>
        <v>7773.6111111111113</v>
      </c>
      <c r="Y25" s="232"/>
      <c r="Z25" s="198">
        <v>59</v>
      </c>
      <c r="AA25" s="187">
        <v>34050</v>
      </c>
      <c r="AB25" s="188">
        <f t="shared" si="14"/>
        <v>577.11864406779659</v>
      </c>
      <c r="AC25" s="187">
        <v>25300</v>
      </c>
      <c r="AD25" s="189">
        <f t="shared" si="15"/>
        <v>428.81355932203388</v>
      </c>
      <c r="AE25" s="199">
        <f t="shared" si="16"/>
        <v>59350</v>
      </c>
      <c r="AF25" s="191">
        <f t="shared" si="17"/>
        <v>1005.9322033898305</v>
      </c>
      <c r="AG25" s="205">
        <f t="shared" si="18"/>
        <v>36</v>
      </c>
      <c r="AH25" s="201">
        <f t="shared" si="19"/>
        <v>277660</v>
      </c>
      <c r="AI25" s="201">
        <f t="shared" si="20"/>
        <v>61540</v>
      </c>
      <c r="AJ25" s="200">
        <f t="shared" si="21"/>
        <v>339200</v>
      </c>
      <c r="AK25" s="231">
        <f t="shared" si="22"/>
        <v>7700</v>
      </c>
      <c r="AL25" s="238">
        <v>36</v>
      </c>
      <c r="AM25" s="201">
        <v>243610</v>
      </c>
      <c r="AN25" s="201">
        <v>36240</v>
      </c>
      <c r="AO25" s="202">
        <v>7700</v>
      </c>
      <c r="AP25" s="202">
        <v>0</v>
      </c>
      <c r="AQ25" s="202">
        <v>0</v>
      </c>
      <c r="AR25" s="202">
        <v>0</v>
      </c>
      <c r="AS25" s="203">
        <f>SUM(AM25:AR25)</f>
        <v>287550</v>
      </c>
      <c r="AT25" s="139">
        <v>21</v>
      </c>
      <c r="AU25" s="140">
        <f t="shared" si="24"/>
        <v>287550</v>
      </c>
      <c r="AV25" s="237">
        <f t="shared" si="25"/>
        <v>346900</v>
      </c>
    </row>
    <row r="26" spans="1:48" ht="15.75" customHeight="1">
      <c r="A26" s="139"/>
      <c r="B26" s="207">
        <f t="shared" si="26"/>
        <v>45313</v>
      </c>
      <c r="C26" s="184" t="s">
        <v>54</v>
      </c>
      <c r="D26" s="185"/>
      <c r="E26" s="186"/>
      <c r="F26" s="187"/>
      <c r="G26" s="188" t="e">
        <f t="shared" si="0"/>
        <v>#DIV/0!</v>
      </c>
      <c r="H26" s="187"/>
      <c r="I26" s="188" t="e">
        <f t="shared" si="1"/>
        <v>#DIV/0!</v>
      </c>
      <c r="J26" s="190">
        <f t="shared" si="2"/>
        <v>0</v>
      </c>
      <c r="K26" s="191" t="str">
        <f t="shared" si="3"/>
        <v/>
      </c>
      <c r="L26" s="192"/>
      <c r="M26" s="193">
        <f t="shared" si="4"/>
        <v>12</v>
      </c>
      <c r="N26" s="194">
        <f t="shared" si="4"/>
        <v>126060</v>
      </c>
      <c r="O26" s="188">
        <f t="shared" si="5"/>
        <v>9550</v>
      </c>
      <c r="P26" s="194">
        <f t="shared" si="6"/>
        <v>19520</v>
      </c>
      <c r="Q26" s="209">
        <f t="shared" si="7"/>
        <v>1478.75</v>
      </c>
      <c r="R26" s="195">
        <f t="shared" si="8"/>
        <v>145580</v>
      </c>
      <c r="S26" s="191">
        <f t="shared" si="9"/>
        <v>12131.666666666666</v>
      </c>
      <c r="T26" s="196">
        <f t="shared" si="10"/>
        <v>12</v>
      </c>
      <c r="U26" s="194">
        <f t="shared" si="10"/>
        <v>126060</v>
      </c>
      <c r="V26" s="194">
        <f t="shared" si="11"/>
        <v>19520</v>
      </c>
      <c r="W26" s="197">
        <f t="shared" si="12"/>
        <v>145580</v>
      </c>
      <c r="X26" s="231">
        <f t="shared" si="13"/>
        <v>12131.666666666666</v>
      </c>
      <c r="Y26" s="232"/>
      <c r="Z26" s="198">
        <v>62</v>
      </c>
      <c r="AA26" s="187">
        <v>29450</v>
      </c>
      <c r="AB26" s="188">
        <f t="shared" si="14"/>
        <v>475</v>
      </c>
      <c r="AC26" s="187">
        <v>19450</v>
      </c>
      <c r="AD26" s="189">
        <f t="shared" si="15"/>
        <v>313.70967741935482</v>
      </c>
      <c r="AE26" s="199">
        <f t="shared" si="16"/>
        <v>48900</v>
      </c>
      <c r="AF26" s="191">
        <f t="shared" si="17"/>
        <v>788.70967741935488</v>
      </c>
      <c r="AG26" s="205">
        <f t="shared" si="18"/>
        <v>12</v>
      </c>
      <c r="AH26" s="201">
        <f t="shared" si="19"/>
        <v>155510</v>
      </c>
      <c r="AI26" s="201">
        <f t="shared" si="20"/>
        <v>38970</v>
      </c>
      <c r="AJ26" s="200">
        <f t="shared" si="21"/>
        <v>194480</v>
      </c>
      <c r="AK26" s="231">
        <f t="shared" si="22"/>
        <v>8250</v>
      </c>
      <c r="AL26" s="238">
        <v>12</v>
      </c>
      <c r="AM26" s="201">
        <v>126060</v>
      </c>
      <c r="AN26" s="201">
        <v>19520</v>
      </c>
      <c r="AO26" s="202">
        <v>6600</v>
      </c>
      <c r="AP26" s="202">
        <v>1650</v>
      </c>
      <c r="AQ26" s="202">
        <v>0</v>
      </c>
      <c r="AR26" s="202">
        <v>0</v>
      </c>
      <c r="AS26" s="203">
        <f t="shared" ref="AS26:AS34" si="27">SUM(AM26:AQ26)</f>
        <v>153830</v>
      </c>
      <c r="AT26" s="139">
        <v>22</v>
      </c>
      <c r="AU26" s="140">
        <f t="shared" si="24"/>
        <v>153830</v>
      </c>
      <c r="AV26" s="237">
        <f t="shared" si="25"/>
        <v>202730</v>
      </c>
    </row>
    <row r="27" spans="1:48" ht="15.75" customHeight="1">
      <c r="A27" s="139"/>
      <c r="B27" s="207">
        <f t="shared" si="26"/>
        <v>45314</v>
      </c>
      <c r="C27" s="184" t="s">
        <v>54</v>
      </c>
      <c r="D27" s="185"/>
      <c r="E27" s="186"/>
      <c r="F27" s="187"/>
      <c r="G27" s="188" t="e">
        <f t="shared" si="0"/>
        <v>#DIV/0!</v>
      </c>
      <c r="H27" s="187"/>
      <c r="I27" s="188" t="e">
        <f t="shared" si="1"/>
        <v>#DIV/0!</v>
      </c>
      <c r="J27" s="190">
        <f t="shared" si="2"/>
        <v>0</v>
      </c>
      <c r="K27" s="191" t="str">
        <f t="shared" si="3"/>
        <v/>
      </c>
      <c r="L27" s="192"/>
      <c r="M27" s="193">
        <f t="shared" si="4"/>
        <v>12</v>
      </c>
      <c r="N27" s="194">
        <f t="shared" si="4"/>
        <v>92070</v>
      </c>
      <c r="O27" s="188">
        <f t="shared" si="5"/>
        <v>6975</v>
      </c>
      <c r="P27" s="194">
        <f t="shared" si="6"/>
        <v>21580</v>
      </c>
      <c r="Q27" s="189">
        <f t="shared" si="7"/>
        <v>1634.8333333333333</v>
      </c>
      <c r="R27" s="195">
        <f t="shared" si="8"/>
        <v>113650</v>
      </c>
      <c r="S27" s="191">
        <f t="shared" si="9"/>
        <v>9470.8333333333339</v>
      </c>
      <c r="T27" s="196">
        <f t="shared" si="10"/>
        <v>12</v>
      </c>
      <c r="U27" s="194">
        <f t="shared" si="10"/>
        <v>92070</v>
      </c>
      <c r="V27" s="194">
        <f t="shared" si="11"/>
        <v>21580</v>
      </c>
      <c r="W27" s="197">
        <f t="shared" si="12"/>
        <v>113650</v>
      </c>
      <c r="X27" s="231">
        <f t="shared" si="13"/>
        <v>9470.8333333333339</v>
      </c>
      <c r="Y27" s="232"/>
      <c r="Z27" s="198">
        <v>71</v>
      </c>
      <c r="AA27" s="187">
        <v>32100</v>
      </c>
      <c r="AB27" s="188">
        <f t="shared" si="14"/>
        <v>452.11267605633805</v>
      </c>
      <c r="AC27" s="187">
        <v>24600</v>
      </c>
      <c r="AD27" s="189">
        <f t="shared" si="15"/>
        <v>346.47887323943661</v>
      </c>
      <c r="AE27" s="199">
        <f t="shared" si="16"/>
        <v>56700</v>
      </c>
      <c r="AF27" s="191">
        <f t="shared" si="17"/>
        <v>798.5915492957746</v>
      </c>
      <c r="AG27" s="205">
        <f t="shared" si="18"/>
        <v>12</v>
      </c>
      <c r="AH27" s="201">
        <f t="shared" si="19"/>
        <v>124170</v>
      </c>
      <c r="AI27" s="201">
        <f t="shared" si="20"/>
        <v>46180</v>
      </c>
      <c r="AJ27" s="200">
        <f t="shared" si="21"/>
        <v>170350</v>
      </c>
      <c r="AK27" s="231">
        <f t="shared" si="22"/>
        <v>6600</v>
      </c>
      <c r="AL27" s="238">
        <v>12</v>
      </c>
      <c r="AM27" s="201">
        <v>92070</v>
      </c>
      <c r="AN27" s="201">
        <v>21580</v>
      </c>
      <c r="AO27" s="202">
        <v>6600</v>
      </c>
      <c r="AP27" s="202">
        <v>0</v>
      </c>
      <c r="AQ27" s="202">
        <v>0</v>
      </c>
      <c r="AR27" s="202">
        <v>3300</v>
      </c>
      <c r="AS27" s="203">
        <f t="shared" si="27"/>
        <v>120250</v>
      </c>
      <c r="AT27" s="139">
        <v>23</v>
      </c>
      <c r="AU27" s="140">
        <f t="shared" si="24"/>
        <v>123550</v>
      </c>
      <c r="AV27" s="237">
        <f t="shared" si="25"/>
        <v>180250</v>
      </c>
    </row>
    <row r="28" spans="1:48" ht="15.75" customHeight="1">
      <c r="A28" s="139"/>
      <c r="B28" s="207">
        <f t="shared" si="26"/>
        <v>45315</v>
      </c>
      <c r="C28" s="184" t="s">
        <v>68</v>
      </c>
      <c r="D28" s="185"/>
      <c r="E28" s="186"/>
      <c r="F28" s="187"/>
      <c r="G28" s="188" t="e">
        <f t="shared" si="0"/>
        <v>#DIV/0!</v>
      </c>
      <c r="H28" s="187"/>
      <c r="I28" s="188" t="e">
        <f t="shared" si="1"/>
        <v>#DIV/0!</v>
      </c>
      <c r="J28" s="190">
        <f t="shared" si="2"/>
        <v>0</v>
      </c>
      <c r="K28" s="191" t="str">
        <f t="shared" si="3"/>
        <v/>
      </c>
      <c r="L28" s="192"/>
      <c r="M28" s="193">
        <f t="shared" si="4"/>
        <v>0</v>
      </c>
      <c r="N28" s="194">
        <f t="shared" si="4"/>
        <v>0</v>
      </c>
      <c r="O28" s="188" t="e">
        <f t="shared" si="5"/>
        <v>#DIV/0!</v>
      </c>
      <c r="P28" s="194">
        <f t="shared" si="6"/>
        <v>0</v>
      </c>
      <c r="Q28" s="189" t="e">
        <f t="shared" si="7"/>
        <v>#DIV/0!</v>
      </c>
      <c r="R28" s="195">
        <f t="shared" si="8"/>
        <v>0</v>
      </c>
      <c r="S28" s="191" t="e">
        <f t="shared" si="9"/>
        <v>#DIV/0!</v>
      </c>
      <c r="T28" s="196">
        <f t="shared" si="10"/>
        <v>0</v>
      </c>
      <c r="U28" s="194">
        <f t="shared" si="10"/>
        <v>0</v>
      </c>
      <c r="V28" s="194">
        <f t="shared" si="11"/>
        <v>0</v>
      </c>
      <c r="W28" s="197">
        <f t="shared" si="12"/>
        <v>0</v>
      </c>
      <c r="X28" s="231" t="e">
        <f t="shared" si="13"/>
        <v>#DIV/0!</v>
      </c>
      <c r="Y28" s="232"/>
      <c r="Z28" s="198"/>
      <c r="AA28" s="187"/>
      <c r="AB28" s="188" t="e">
        <f t="shared" si="14"/>
        <v>#DIV/0!</v>
      </c>
      <c r="AC28" s="187"/>
      <c r="AD28" s="189" t="e">
        <f t="shared" si="15"/>
        <v>#DIV/0!</v>
      </c>
      <c r="AE28" s="199">
        <f t="shared" si="16"/>
        <v>0</v>
      </c>
      <c r="AF28" s="191" t="str">
        <f t="shared" si="17"/>
        <v/>
      </c>
      <c r="AG28" s="205">
        <f t="shared" si="18"/>
        <v>0</v>
      </c>
      <c r="AH28" s="201">
        <f t="shared" si="19"/>
        <v>0</v>
      </c>
      <c r="AI28" s="201">
        <f t="shared" si="20"/>
        <v>0</v>
      </c>
      <c r="AJ28" s="200">
        <f t="shared" si="21"/>
        <v>0</v>
      </c>
      <c r="AK28" s="231">
        <f t="shared" si="22"/>
        <v>0</v>
      </c>
      <c r="AL28" s="238"/>
      <c r="AM28" s="201"/>
      <c r="AN28" s="201"/>
      <c r="AO28" s="202"/>
      <c r="AP28" s="202"/>
      <c r="AQ28" s="202">
        <v>0</v>
      </c>
      <c r="AR28" s="202">
        <v>0</v>
      </c>
      <c r="AS28" s="203">
        <f t="shared" si="27"/>
        <v>0</v>
      </c>
      <c r="AT28" s="139">
        <v>24</v>
      </c>
      <c r="AU28" s="140">
        <f t="shared" si="24"/>
        <v>0</v>
      </c>
      <c r="AV28" s="237">
        <f t="shared" si="25"/>
        <v>0</v>
      </c>
    </row>
    <row r="29" spans="1:48" ht="15.75" customHeight="1">
      <c r="A29" s="139"/>
      <c r="B29" s="207">
        <f t="shared" si="26"/>
        <v>45316</v>
      </c>
      <c r="C29" s="184" t="s">
        <v>68</v>
      </c>
      <c r="D29" s="185"/>
      <c r="E29" s="186"/>
      <c r="F29" s="187"/>
      <c r="G29" s="188" t="e">
        <f t="shared" si="0"/>
        <v>#DIV/0!</v>
      </c>
      <c r="H29" s="187"/>
      <c r="I29" s="188" t="e">
        <f t="shared" si="1"/>
        <v>#DIV/0!</v>
      </c>
      <c r="J29" s="190">
        <f t="shared" si="2"/>
        <v>0</v>
      </c>
      <c r="K29" s="191" t="str">
        <f t="shared" si="3"/>
        <v/>
      </c>
      <c r="L29" s="192"/>
      <c r="M29" s="193">
        <f t="shared" si="4"/>
        <v>0</v>
      </c>
      <c r="N29" s="194">
        <f t="shared" si="4"/>
        <v>0</v>
      </c>
      <c r="O29" s="188" t="e">
        <f t="shared" si="5"/>
        <v>#DIV/0!</v>
      </c>
      <c r="P29" s="194">
        <f t="shared" si="6"/>
        <v>0</v>
      </c>
      <c r="Q29" s="189" t="e">
        <f t="shared" si="7"/>
        <v>#DIV/0!</v>
      </c>
      <c r="R29" s="195">
        <f t="shared" si="8"/>
        <v>0</v>
      </c>
      <c r="S29" s="191" t="e">
        <f t="shared" si="9"/>
        <v>#DIV/0!</v>
      </c>
      <c r="T29" s="196">
        <f t="shared" si="10"/>
        <v>0</v>
      </c>
      <c r="U29" s="194">
        <f t="shared" si="10"/>
        <v>0</v>
      </c>
      <c r="V29" s="194">
        <f t="shared" si="11"/>
        <v>0</v>
      </c>
      <c r="W29" s="197">
        <f t="shared" si="12"/>
        <v>0</v>
      </c>
      <c r="X29" s="231" t="e">
        <f t="shared" si="13"/>
        <v>#DIV/0!</v>
      </c>
      <c r="Y29" s="232"/>
      <c r="Z29" s="198"/>
      <c r="AA29" s="187"/>
      <c r="AB29" s="188" t="e">
        <f t="shared" si="14"/>
        <v>#DIV/0!</v>
      </c>
      <c r="AC29" s="187"/>
      <c r="AD29" s="189" t="e">
        <f t="shared" si="15"/>
        <v>#DIV/0!</v>
      </c>
      <c r="AE29" s="199">
        <f t="shared" si="16"/>
        <v>0</v>
      </c>
      <c r="AF29" s="191" t="str">
        <f t="shared" si="17"/>
        <v/>
      </c>
      <c r="AG29" s="205">
        <f t="shared" si="18"/>
        <v>0</v>
      </c>
      <c r="AH29" s="201">
        <f t="shared" si="19"/>
        <v>0</v>
      </c>
      <c r="AI29" s="201">
        <f t="shared" si="20"/>
        <v>0</v>
      </c>
      <c r="AJ29" s="200">
        <f t="shared" si="21"/>
        <v>0</v>
      </c>
      <c r="AK29" s="231">
        <f t="shared" si="22"/>
        <v>0</v>
      </c>
      <c r="AL29" s="238"/>
      <c r="AM29" s="201"/>
      <c r="AN29" s="201"/>
      <c r="AO29" s="202"/>
      <c r="AP29" s="202"/>
      <c r="AQ29" s="202">
        <v>0</v>
      </c>
      <c r="AR29" s="202">
        <v>0</v>
      </c>
      <c r="AS29" s="203">
        <f t="shared" si="27"/>
        <v>0</v>
      </c>
      <c r="AT29" s="139">
        <v>25</v>
      </c>
      <c r="AU29" s="140">
        <f t="shared" si="24"/>
        <v>0</v>
      </c>
      <c r="AV29" s="237">
        <f t="shared" si="25"/>
        <v>0</v>
      </c>
    </row>
    <row r="30" spans="1:48" ht="15.75" customHeight="1">
      <c r="A30" s="139"/>
      <c r="B30" s="207">
        <f t="shared" si="26"/>
        <v>45317</v>
      </c>
      <c r="C30" s="184" t="s">
        <v>68</v>
      </c>
      <c r="D30" s="185"/>
      <c r="E30" s="186"/>
      <c r="F30" s="187"/>
      <c r="G30" s="188" t="e">
        <f t="shared" si="0"/>
        <v>#DIV/0!</v>
      </c>
      <c r="H30" s="187"/>
      <c r="I30" s="188" t="e">
        <f t="shared" si="1"/>
        <v>#DIV/0!</v>
      </c>
      <c r="J30" s="190">
        <f t="shared" si="2"/>
        <v>0</v>
      </c>
      <c r="K30" s="191" t="str">
        <f t="shared" si="3"/>
        <v/>
      </c>
      <c r="L30" s="192"/>
      <c r="M30" s="193">
        <f t="shared" si="4"/>
        <v>0</v>
      </c>
      <c r="N30" s="194">
        <f t="shared" si="4"/>
        <v>0</v>
      </c>
      <c r="O30" s="188" t="e">
        <f t="shared" si="5"/>
        <v>#DIV/0!</v>
      </c>
      <c r="P30" s="194">
        <f t="shared" si="6"/>
        <v>0</v>
      </c>
      <c r="Q30" s="188" t="e">
        <f t="shared" si="7"/>
        <v>#DIV/0!</v>
      </c>
      <c r="R30" s="195">
        <f t="shared" si="8"/>
        <v>0</v>
      </c>
      <c r="S30" s="191" t="e">
        <f t="shared" si="9"/>
        <v>#DIV/0!</v>
      </c>
      <c r="T30" s="196">
        <f t="shared" si="10"/>
        <v>0</v>
      </c>
      <c r="U30" s="194">
        <f t="shared" si="10"/>
        <v>0</v>
      </c>
      <c r="V30" s="194">
        <f t="shared" si="11"/>
        <v>0</v>
      </c>
      <c r="W30" s="197">
        <f t="shared" si="12"/>
        <v>0</v>
      </c>
      <c r="X30" s="231" t="e">
        <f t="shared" si="13"/>
        <v>#DIV/0!</v>
      </c>
      <c r="Y30" s="232"/>
      <c r="Z30" s="198"/>
      <c r="AA30" s="187"/>
      <c r="AB30" s="188" t="e">
        <f t="shared" si="14"/>
        <v>#DIV/0!</v>
      </c>
      <c r="AC30" s="187"/>
      <c r="AD30" s="189" t="e">
        <f t="shared" si="15"/>
        <v>#DIV/0!</v>
      </c>
      <c r="AE30" s="199">
        <f t="shared" si="16"/>
        <v>0</v>
      </c>
      <c r="AF30" s="191" t="str">
        <f t="shared" si="17"/>
        <v/>
      </c>
      <c r="AG30" s="205">
        <f t="shared" si="18"/>
        <v>0</v>
      </c>
      <c r="AH30" s="201">
        <f t="shared" si="19"/>
        <v>0</v>
      </c>
      <c r="AI30" s="201">
        <f t="shared" si="20"/>
        <v>0</v>
      </c>
      <c r="AJ30" s="200">
        <f t="shared" si="21"/>
        <v>0</v>
      </c>
      <c r="AK30" s="231">
        <f t="shared" si="22"/>
        <v>0</v>
      </c>
      <c r="AL30" s="238"/>
      <c r="AM30" s="201"/>
      <c r="AN30" s="201"/>
      <c r="AO30" s="202"/>
      <c r="AP30" s="202"/>
      <c r="AQ30" s="202">
        <v>0</v>
      </c>
      <c r="AR30" s="202">
        <v>0</v>
      </c>
      <c r="AS30" s="203">
        <f t="shared" si="27"/>
        <v>0</v>
      </c>
      <c r="AT30" s="139">
        <v>26</v>
      </c>
      <c r="AU30" s="140">
        <f t="shared" si="24"/>
        <v>0</v>
      </c>
      <c r="AV30" s="237">
        <f t="shared" si="25"/>
        <v>0</v>
      </c>
    </row>
    <row r="31" spans="1:48" ht="15.75" customHeight="1">
      <c r="A31" s="139"/>
      <c r="B31" s="204">
        <f t="shared" si="26"/>
        <v>45318</v>
      </c>
      <c r="C31" s="184"/>
      <c r="D31" s="185"/>
      <c r="E31" s="186">
        <v>25</v>
      </c>
      <c r="F31" s="187">
        <v>59378</v>
      </c>
      <c r="G31" s="188">
        <f t="shared" si="0"/>
        <v>2159.1999999999998</v>
      </c>
      <c r="H31" s="187">
        <v>15680</v>
      </c>
      <c r="I31" s="188">
        <f t="shared" si="1"/>
        <v>570.16</v>
      </c>
      <c r="J31" s="190">
        <f t="shared" si="2"/>
        <v>75058</v>
      </c>
      <c r="K31" s="191">
        <f t="shared" si="3"/>
        <v>3002.32</v>
      </c>
      <c r="L31" s="192"/>
      <c r="M31" s="193">
        <f t="shared" si="4"/>
        <v>40</v>
      </c>
      <c r="N31" s="194">
        <f t="shared" si="4"/>
        <v>338140</v>
      </c>
      <c r="O31" s="188">
        <f t="shared" si="5"/>
        <v>7685</v>
      </c>
      <c r="P31" s="194">
        <f t="shared" si="6"/>
        <v>53070</v>
      </c>
      <c r="Q31" s="188">
        <f t="shared" si="7"/>
        <v>1206.125</v>
      </c>
      <c r="R31" s="195">
        <f t="shared" si="8"/>
        <v>391210</v>
      </c>
      <c r="S31" s="191">
        <f t="shared" si="9"/>
        <v>9780.25</v>
      </c>
      <c r="T31" s="196">
        <f t="shared" si="10"/>
        <v>65</v>
      </c>
      <c r="U31" s="194">
        <f t="shared" si="10"/>
        <v>397518</v>
      </c>
      <c r="V31" s="194">
        <f t="shared" si="11"/>
        <v>68750</v>
      </c>
      <c r="W31" s="197">
        <f t="shared" si="12"/>
        <v>466268</v>
      </c>
      <c r="X31" s="231">
        <f t="shared" si="13"/>
        <v>7173.3538461538465</v>
      </c>
      <c r="Y31" s="232"/>
      <c r="Z31" s="198">
        <v>112</v>
      </c>
      <c r="AA31" s="187">
        <v>70600</v>
      </c>
      <c r="AB31" s="188">
        <f t="shared" si="14"/>
        <v>630.35714285714289</v>
      </c>
      <c r="AC31" s="187">
        <v>28000</v>
      </c>
      <c r="AD31" s="189">
        <f t="shared" si="15"/>
        <v>250</v>
      </c>
      <c r="AE31" s="199">
        <f t="shared" si="16"/>
        <v>98600</v>
      </c>
      <c r="AF31" s="191">
        <f t="shared" si="17"/>
        <v>880.35714285714289</v>
      </c>
      <c r="AG31" s="205">
        <f t="shared" si="18"/>
        <v>65</v>
      </c>
      <c r="AH31" s="201">
        <f t="shared" si="19"/>
        <v>468118</v>
      </c>
      <c r="AI31" s="201">
        <f t="shared" si="20"/>
        <v>96750</v>
      </c>
      <c r="AJ31" s="200">
        <f t="shared" si="21"/>
        <v>564868</v>
      </c>
      <c r="AK31" s="231">
        <f t="shared" si="22"/>
        <v>32120</v>
      </c>
      <c r="AL31" s="238">
        <v>65</v>
      </c>
      <c r="AM31" s="201">
        <v>397518</v>
      </c>
      <c r="AN31" s="201">
        <v>68750</v>
      </c>
      <c r="AO31" s="202">
        <v>29700</v>
      </c>
      <c r="AP31" s="202">
        <v>2420</v>
      </c>
      <c r="AQ31" s="202">
        <v>0</v>
      </c>
      <c r="AR31" s="202">
        <v>0</v>
      </c>
      <c r="AS31" s="203">
        <f t="shared" si="27"/>
        <v>498388</v>
      </c>
      <c r="AT31" s="139">
        <v>27</v>
      </c>
      <c r="AU31" s="140">
        <f t="shared" si="24"/>
        <v>498388</v>
      </c>
      <c r="AV31" s="237">
        <f t="shared" si="25"/>
        <v>596988</v>
      </c>
    </row>
    <row r="32" spans="1:48" ht="15.75" customHeight="1">
      <c r="A32" s="139"/>
      <c r="B32" s="206">
        <f t="shared" si="26"/>
        <v>45319</v>
      </c>
      <c r="C32" s="184"/>
      <c r="D32" s="185"/>
      <c r="E32" s="186">
        <v>23</v>
      </c>
      <c r="F32" s="187">
        <v>67540</v>
      </c>
      <c r="G32" s="188">
        <f t="shared" si="0"/>
        <v>2669.5652173913045</v>
      </c>
      <c r="H32" s="187">
        <v>40810</v>
      </c>
      <c r="I32" s="188">
        <f t="shared" si="1"/>
        <v>1613.0434782608695</v>
      </c>
      <c r="J32" s="190">
        <f t="shared" si="2"/>
        <v>108350</v>
      </c>
      <c r="K32" s="191">
        <f t="shared" si="3"/>
        <v>4710.869565217391</v>
      </c>
      <c r="L32" s="192"/>
      <c r="M32" s="193">
        <f t="shared" si="4"/>
        <v>22</v>
      </c>
      <c r="N32" s="194">
        <f t="shared" si="4"/>
        <v>217690</v>
      </c>
      <c r="O32" s="188">
        <f t="shared" si="5"/>
        <v>8995.454545454546</v>
      </c>
      <c r="P32" s="194">
        <f t="shared" si="6"/>
        <v>10380</v>
      </c>
      <c r="Q32" s="188">
        <f t="shared" si="7"/>
        <v>428.90909090909093</v>
      </c>
      <c r="R32" s="195">
        <f t="shared" si="8"/>
        <v>228070</v>
      </c>
      <c r="S32" s="191">
        <f t="shared" si="9"/>
        <v>10366.818181818182</v>
      </c>
      <c r="T32" s="196">
        <f t="shared" si="10"/>
        <v>45</v>
      </c>
      <c r="U32" s="194">
        <f t="shared" si="10"/>
        <v>285230</v>
      </c>
      <c r="V32" s="194">
        <f t="shared" si="11"/>
        <v>51190</v>
      </c>
      <c r="W32" s="197">
        <f t="shared" si="12"/>
        <v>336420</v>
      </c>
      <c r="X32" s="231">
        <f t="shared" si="13"/>
        <v>7476</v>
      </c>
      <c r="Y32" s="232"/>
      <c r="Z32" s="198">
        <v>108</v>
      </c>
      <c r="AA32" s="187">
        <v>73500</v>
      </c>
      <c r="AB32" s="188">
        <f t="shared" si="14"/>
        <v>680.55555555555554</v>
      </c>
      <c r="AC32" s="187">
        <v>27700</v>
      </c>
      <c r="AD32" s="189">
        <f t="shared" si="15"/>
        <v>256.48148148148147</v>
      </c>
      <c r="AE32" s="199">
        <f t="shared" si="16"/>
        <v>101200</v>
      </c>
      <c r="AF32" s="191">
        <f t="shared" si="17"/>
        <v>937.03703703703707</v>
      </c>
      <c r="AG32" s="205">
        <f t="shared" si="18"/>
        <v>45</v>
      </c>
      <c r="AH32" s="201">
        <f t="shared" si="19"/>
        <v>358730</v>
      </c>
      <c r="AI32" s="201">
        <f t="shared" si="20"/>
        <v>78890</v>
      </c>
      <c r="AJ32" s="200">
        <f t="shared" si="21"/>
        <v>437620</v>
      </c>
      <c r="AK32" s="231">
        <f t="shared" si="22"/>
        <v>18700</v>
      </c>
      <c r="AL32" s="238">
        <v>45</v>
      </c>
      <c r="AM32" s="201">
        <v>285230</v>
      </c>
      <c r="AN32" s="201">
        <v>51190</v>
      </c>
      <c r="AO32" s="202">
        <v>18700</v>
      </c>
      <c r="AP32" s="202">
        <v>0</v>
      </c>
      <c r="AQ32" s="202">
        <v>0</v>
      </c>
      <c r="AR32" s="202">
        <v>0</v>
      </c>
      <c r="AS32" s="203">
        <f t="shared" si="27"/>
        <v>355120</v>
      </c>
      <c r="AT32" s="139">
        <v>28</v>
      </c>
      <c r="AU32" s="140">
        <f t="shared" si="24"/>
        <v>355120</v>
      </c>
      <c r="AV32" s="237">
        <f t="shared" si="25"/>
        <v>456320</v>
      </c>
    </row>
    <row r="33" spans="1:48" ht="15.75" customHeight="1">
      <c r="A33" s="139"/>
      <c r="B33" s="207">
        <f t="shared" si="26"/>
        <v>45320</v>
      </c>
      <c r="C33" s="184" t="s">
        <v>54</v>
      </c>
      <c r="D33" s="185"/>
      <c r="E33" s="186"/>
      <c r="F33" s="187"/>
      <c r="G33" s="188" t="e">
        <f t="shared" si="0"/>
        <v>#DIV/0!</v>
      </c>
      <c r="H33" s="187"/>
      <c r="I33" s="188" t="e">
        <f t="shared" si="1"/>
        <v>#DIV/0!</v>
      </c>
      <c r="J33" s="190">
        <f t="shared" si="2"/>
        <v>0</v>
      </c>
      <c r="K33" s="191" t="str">
        <f t="shared" si="3"/>
        <v/>
      </c>
      <c r="L33" s="192"/>
      <c r="M33" s="193">
        <f t="shared" si="4"/>
        <v>14</v>
      </c>
      <c r="N33" s="194">
        <f t="shared" si="4"/>
        <v>107030</v>
      </c>
      <c r="O33" s="188">
        <f t="shared" si="5"/>
        <v>6950</v>
      </c>
      <c r="P33" s="194">
        <f t="shared" si="6"/>
        <v>17260</v>
      </c>
      <c r="Q33" s="188">
        <f t="shared" si="7"/>
        <v>1120.7142857142858</v>
      </c>
      <c r="R33" s="195">
        <f t="shared" si="8"/>
        <v>124290</v>
      </c>
      <c r="S33" s="191">
        <f t="shared" si="9"/>
        <v>8877.8571428571431</v>
      </c>
      <c r="T33" s="196">
        <f t="shared" si="10"/>
        <v>14</v>
      </c>
      <c r="U33" s="194">
        <f t="shared" si="10"/>
        <v>107030</v>
      </c>
      <c r="V33" s="194">
        <f t="shared" si="11"/>
        <v>17260</v>
      </c>
      <c r="W33" s="197">
        <f t="shared" si="12"/>
        <v>124290</v>
      </c>
      <c r="X33" s="231">
        <f t="shared" si="13"/>
        <v>8877.8571428571431</v>
      </c>
      <c r="Y33" s="232"/>
      <c r="Z33" s="198">
        <v>73</v>
      </c>
      <c r="AA33" s="187">
        <v>49600</v>
      </c>
      <c r="AB33" s="188">
        <f t="shared" si="14"/>
        <v>679.45205479452056</v>
      </c>
      <c r="AC33" s="187">
        <v>15800</v>
      </c>
      <c r="AD33" s="189">
        <f t="shared" si="15"/>
        <v>216.43835616438355</v>
      </c>
      <c r="AE33" s="199">
        <f t="shared" si="16"/>
        <v>65400</v>
      </c>
      <c r="AF33" s="191">
        <f t="shared" si="17"/>
        <v>895.89041095890411</v>
      </c>
      <c r="AG33" s="205">
        <f t="shared" si="18"/>
        <v>14</v>
      </c>
      <c r="AH33" s="201">
        <f t="shared" si="19"/>
        <v>156630</v>
      </c>
      <c r="AI33" s="201">
        <f t="shared" si="20"/>
        <v>33060</v>
      </c>
      <c r="AJ33" s="200">
        <f t="shared" si="21"/>
        <v>189690</v>
      </c>
      <c r="AK33" s="231">
        <f t="shared" si="22"/>
        <v>9350</v>
      </c>
      <c r="AL33" s="238">
        <v>14</v>
      </c>
      <c r="AM33" s="201">
        <v>107030</v>
      </c>
      <c r="AN33" s="201">
        <v>17260</v>
      </c>
      <c r="AO33" s="202">
        <v>7700</v>
      </c>
      <c r="AP33" s="202">
        <v>1650</v>
      </c>
      <c r="AQ33" s="202">
        <v>0</v>
      </c>
      <c r="AR33" s="202">
        <v>0</v>
      </c>
      <c r="AS33" s="203">
        <f t="shared" si="27"/>
        <v>133640</v>
      </c>
      <c r="AT33" s="139">
        <v>29</v>
      </c>
      <c r="AU33" s="140">
        <f t="shared" si="24"/>
        <v>133640</v>
      </c>
      <c r="AV33" s="237">
        <f t="shared" si="25"/>
        <v>199040</v>
      </c>
    </row>
    <row r="34" spans="1:48" ht="15.75" customHeight="1">
      <c r="A34" s="139"/>
      <c r="B34" s="207">
        <f t="shared" si="26"/>
        <v>45321</v>
      </c>
      <c r="C34" s="184" t="s">
        <v>54</v>
      </c>
      <c r="D34" s="185"/>
      <c r="E34" s="186"/>
      <c r="F34" s="187"/>
      <c r="G34" s="188" t="e">
        <f t="shared" si="0"/>
        <v>#DIV/0!</v>
      </c>
      <c r="H34" s="187"/>
      <c r="I34" s="188" t="e">
        <f t="shared" si="1"/>
        <v>#DIV/0!</v>
      </c>
      <c r="J34" s="190">
        <f t="shared" si="2"/>
        <v>0</v>
      </c>
      <c r="K34" s="191" t="str">
        <f t="shared" si="3"/>
        <v/>
      </c>
      <c r="L34" s="192"/>
      <c r="M34" s="193">
        <f t="shared" si="4"/>
        <v>30</v>
      </c>
      <c r="N34" s="194">
        <f t="shared" si="4"/>
        <v>293680</v>
      </c>
      <c r="O34" s="188">
        <f t="shared" si="5"/>
        <v>8899.3666666666668</v>
      </c>
      <c r="P34" s="194">
        <f t="shared" si="6"/>
        <v>38270</v>
      </c>
      <c r="Q34" s="188">
        <f t="shared" si="7"/>
        <v>1159.6666666666667</v>
      </c>
      <c r="R34" s="195">
        <f t="shared" si="8"/>
        <v>331950</v>
      </c>
      <c r="S34" s="191">
        <f t="shared" si="9"/>
        <v>11065</v>
      </c>
      <c r="T34" s="196">
        <f t="shared" si="10"/>
        <v>30</v>
      </c>
      <c r="U34" s="194">
        <f t="shared" si="10"/>
        <v>293680</v>
      </c>
      <c r="V34" s="194">
        <f t="shared" si="11"/>
        <v>38270</v>
      </c>
      <c r="W34" s="197">
        <f t="shared" si="12"/>
        <v>331950</v>
      </c>
      <c r="X34" s="231">
        <f t="shared" si="13"/>
        <v>11065</v>
      </c>
      <c r="Y34" s="239"/>
      <c r="Z34" s="210">
        <v>61</v>
      </c>
      <c r="AA34" s="211">
        <v>37950</v>
      </c>
      <c r="AB34" s="188">
        <f t="shared" si="14"/>
        <v>622.13114754098365</v>
      </c>
      <c r="AC34" s="211">
        <v>16700</v>
      </c>
      <c r="AD34" s="189">
        <f t="shared" si="15"/>
        <v>273.77049180327867</v>
      </c>
      <c r="AE34" s="199">
        <f t="shared" si="16"/>
        <v>54650</v>
      </c>
      <c r="AF34" s="191">
        <f t="shared" si="17"/>
        <v>895.90163934426232</v>
      </c>
      <c r="AG34" s="205">
        <f t="shared" si="18"/>
        <v>30</v>
      </c>
      <c r="AH34" s="201">
        <f t="shared" si="19"/>
        <v>331630</v>
      </c>
      <c r="AI34" s="201">
        <f t="shared" si="20"/>
        <v>54970</v>
      </c>
      <c r="AJ34" s="200">
        <f t="shared" si="21"/>
        <v>386600</v>
      </c>
      <c r="AK34" s="231">
        <f t="shared" si="22"/>
        <v>12650</v>
      </c>
      <c r="AL34" s="238">
        <v>30</v>
      </c>
      <c r="AM34" s="201">
        <v>293680</v>
      </c>
      <c r="AN34" s="201">
        <v>38270</v>
      </c>
      <c r="AO34" s="202">
        <v>12650</v>
      </c>
      <c r="AP34" s="202">
        <v>0</v>
      </c>
      <c r="AQ34" s="202">
        <v>0</v>
      </c>
      <c r="AR34" s="202">
        <v>3300</v>
      </c>
      <c r="AS34" s="203">
        <f t="shared" si="27"/>
        <v>344600</v>
      </c>
      <c r="AT34" s="139">
        <v>30</v>
      </c>
      <c r="AU34" s="140">
        <f t="shared" si="24"/>
        <v>347900</v>
      </c>
      <c r="AV34" s="237">
        <f t="shared" si="25"/>
        <v>402550</v>
      </c>
    </row>
    <row r="35" spans="1:48" ht="15.75" customHeight="1" thickBot="1">
      <c r="A35" s="139"/>
      <c r="B35" s="207">
        <f t="shared" si="26"/>
        <v>45322</v>
      </c>
      <c r="C35" s="184" t="s">
        <v>54</v>
      </c>
      <c r="D35" s="185"/>
      <c r="E35" s="186"/>
      <c r="F35" s="187"/>
      <c r="G35" s="188" t="e">
        <f t="shared" si="0"/>
        <v>#DIV/0!</v>
      </c>
      <c r="H35" s="187"/>
      <c r="I35" s="188" t="e">
        <f t="shared" si="1"/>
        <v>#DIV/0!</v>
      </c>
      <c r="J35" s="190">
        <f t="shared" si="2"/>
        <v>0</v>
      </c>
      <c r="K35" s="191" t="str">
        <f t="shared" si="3"/>
        <v/>
      </c>
      <c r="L35" s="192"/>
      <c r="M35" s="212">
        <f t="shared" si="4"/>
        <v>24</v>
      </c>
      <c r="N35" s="194">
        <f t="shared" si="4"/>
        <v>221210</v>
      </c>
      <c r="O35" s="188">
        <f t="shared" si="5"/>
        <v>8379.1666666666661</v>
      </c>
      <c r="P35" s="194">
        <f t="shared" si="6"/>
        <v>30850</v>
      </c>
      <c r="Q35" s="188">
        <f t="shared" si="7"/>
        <v>1168.5416666666667</v>
      </c>
      <c r="R35" s="195">
        <f t="shared" si="8"/>
        <v>252060</v>
      </c>
      <c r="S35" s="191">
        <f t="shared" si="9"/>
        <v>10502.5</v>
      </c>
      <c r="T35" s="240">
        <f t="shared" si="10"/>
        <v>24</v>
      </c>
      <c r="U35" s="241">
        <f t="shared" si="10"/>
        <v>221210</v>
      </c>
      <c r="V35" s="241">
        <f t="shared" si="11"/>
        <v>30850</v>
      </c>
      <c r="W35" s="242">
        <f t="shared" si="12"/>
        <v>252060</v>
      </c>
      <c r="X35" s="243"/>
      <c r="Y35" s="244"/>
      <c r="Z35" s="213">
        <v>67</v>
      </c>
      <c r="AA35" s="214">
        <v>32600</v>
      </c>
      <c r="AB35" s="215">
        <f t="shared" si="14"/>
        <v>486.56716417910445</v>
      </c>
      <c r="AC35" s="214">
        <v>18400</v>
      </c>
      <c r="AD35" s="216">
        <f t="shared" si="15"/>
        <v>274.62686567164178</v>
      </c>
      <c r="AE35" s="217">
        <f t="shared" si="16"/>
        <v>51000</v>
      </c>
      <c r="AF35" s="191">
        <f t="shared" si="17"/>
        <v>761.19402985074623</v>
      </c>
      <c r="AG35" s="245">
        <f t="shared" si="18"/>
        <v>24</v>
      </c>
      <c r="AH35" s="241">
        <f t="shared" si="19"/>
        <v>253810</v>
      </c>
      <c r="AI35" s="241">
        <f t="shared" si="20"/>
        <v>49250</v>
      </c>
      <c r="AJ35" s="246">
        <f t="shared" si="21"/>
        <v>303060</v>
      </c>
      <c r="AK35" s="247">
        <f t="shared" si="22"/>
        <v>19250</v>
      </c>
      <c r="AL35" s="238">
        <v>24</v>
      </c>
      <c r="AM35" s="201">
        <v>221210</v>
      </c>
      <c r="AN35" s="201">
        <v>30850</v>
      </c>
      <c r="AO35" s="202">
        <v>19250</v>
      </c>
      <c r="AP35" s="202"/>
      <c r="AQ35" s="202">
        <v>0</v>
      </c>
      <c r="AR35" s="202">
        <v>0</v>
      </c>
      <c r="AS35" s="203">
        <f>SUM(AM35:AR35)</f>
        <v>271310</v>
      </c>
      <c r="AT35" s="139">
        <v>31</v>
      </c>
      <c r="AU35" s="140">
        <f t="shared" si="24"/>
        <v>271310</v>
      </c>
      <c r="AV35" s="237">
        <f t="shared" si="25"/>
        <v>322310</v>
      </c>
    </row>
    <row r="36" spans="1:48" ht="15.75" customHeight="1" thickTop="1" thickBot="1">
      <c r="A36" s="68"/>
      <c r="B36" s="176" t="s">
        <v>26</v>
      </c>
      <c r="C36" s="70">
        <f>SUM(C5:C35)</f>
        <v>0</v>
      </c>
      <c r="D36" s="71">
        <f>SUM(D5:D35)</f>
        <v>0</v>
      </c>
      <c r="E36" s="72">
        <f>SUM(E5:E35)</f>
        <v>137</v>
      </c>
      <c r="F36" s="73">
        <f>SUM(F5:F35)</f>
        <v>414370</v>
      </c>
      <c r="G36" s="74">
        <f>F36/E36</f>
        <v>3024.5985401459852</v>
      </c>
      <c r="H36" s="70">
        <f>SUM(H5:H35)</f>
        <v>103290</v>
      </c>
      <c r="I36" s="75">
        <f>H36/E36</f>
        <v>753.94160583941607</v>
      </c>
      <c r="J36" s="76">
        <f>SUM(J5:J35)</f>
        <v>517660</v>
      </c>
      <c r="K36" s="77">
        <f>J36/E36</f>
        <v>3778.5401459854015</v>
      </c>
      <c r="L36" s="78">
        <f>SUM(L5:L35)</f>
        <v>0</v>
      </c>
      <c r="M36" s="72">
        <f>SUM(M5:M35)</f>
        <v>616</v>
      </c>
      <c r="N36" s="221">
        <f>SUM(N5:N35)</f>
        <v>5518100</v>
      </c>
      <c r="O36" s="74">
        <f>N36/M36</f>
        <v>8957.954545454546</v>
      </c>
      <c r="P36" s="79">
        <f>SUM(P5:P35)</f>
        <v>908510</v>
      </c>
      <c r="Q36" s="75">
        <f>P36/M36</f>
        <v>1474.8538961038962</v>
      </c>
      <c r="R36" s="80">
        <f>SUM(R5:R35)</f>
        <v>6426610</v>
      </c>
      <c r="S36" s="81">
        <f>R36/M36</f>
        <v>10432.808441558442</v>
      </c>
      <c r="T36" s="72">
        <f>SUM(T5:T35)</f>
        <v>753</v>
      </c>
      <c r="U36" s="142">
        <f>SUM(U5:U35)</f>
        <v>5932470</v>
      </c>
      <c r="V36" s="79">
        <f>SUM(V5:V35)</f>
        <v>1011800</v>
      </c>
      <c r="W36" s="143">
        <f>SUM(W5:W35)</f>
        <v>6944270</v>
      </c>
      <c r="X36" s="149">
        <f>W36/T36</f>
        <v>9222.1381142098271</v>
      </c>
      <c r="Y36" s="71">
        <f>SUM(Y5:Y35)</f>
        <v>0</v>
      </c>
      <c r="Z36" s="72">
        <f>SUM(Z5:Z35)</f>
        <v>1713</v>
      </c>
      <c r="AA36" s="169">
        <f>SUM(AA5:AA35)</f>
        <v>1067700</v>
      </c>
      <c r="AB36" s="74"/>
      <c r="AC36" s="70">
        <f>SUM(AC5:AC35)</f>
        <v>494450</v>
      </c>
      <c r="AD36" s="75"/>
      <c r="AE36" s="170">
        <f>SUM(AE5:AE35)</f>
        <v>1562150</v>
      </c>
      <c r="AF36" s="177">
        <f>AE36/Z36</f>
        <v>911.93812025685929</v>
      </c>
      <c r="AG36" s="72">
        <f t="shared" ref="AG36:AS36" si="28">SUM(AG5:AG35)</f>
        <v>753</v>
      </c>
      <c r="AH36" s="142">
        <f t="shared" si="28"/>
        <v>7000170</v>
      </c>
      <c r="AI36" s="79">
        <f t="shared" si="28"/>
        <v>1506250</v>
      </c>
      <c r="AJ36" s="80">
        <f t="shared" si="28"/>
        <v>8506420</v>
      </c>
      <c r="AK36" s="70">
        <f t="shared" si="28"/>
        <v>406610</v>
      </c>
      <c r="AL36" s="83">
        <f t="shared" si="28"/>
        <v>753</v>
      </c>
      <c r="AM36" s="83">
        <f t="shared" si="28"/>
        <v>5932470</v>
      </c>
      <c r="AN36" s="83">
        <f t="shared" si="28"/>
        <v>1011800</v>
      </c>
      <c r="AO36" s="83">
        <f t="shared" si="28"/>
        <v>382250</v>
      </c>
      <c r="AP36" s="83">
        <f t="shared" si="28"/>
        <v>24360</v>
      </c>
      <c r="AQ36" s="83">
        <f t="shared" si="28"/>
        <v>0</v>
      </c>
      <c r="AR36" s="83">
        <f t="shared" si="28"/>
        <v>19140</v>
      </c>
      <c r="AS36" s="83">
        <f t="shared" si="28"/>
        <v>7350880</v>
      </c>
      <c r="AT36" s="68"/>
      <c r="AU36" s="84">
        <f>SUM(AU5:AU35)</f>
        <v>7370020</v>
      </c>
      <c r="AV36" s="84">
        <f>SUM(AV5:AV35)</f>
        <v>8932170</v>
      </c>
    </row>
    <row r="37" spans="1:48" ht="15.75" customHeight="1" thickTop="1">
      <c r="A37" s="68"/>
      <c r="B37" s="178"/>
      <c r="C37" s="68"/>
      <c r="D37" s="68"/>
      <c r="E37" s="85" t="s">
        <v>36</v>
      </c>
      <c r="F37" s="86">
        <f>F36/1.1</f>
        <v>376699.99999999994</v>
      </c>
      <c r="G37" s="87">
        <f>F37/E36</f>
        <v>2749.63503649635</v>
      </c>
      <c r="H37" s="45">
        <f>H36/1.1</f>
        <v>93899.999999999985</v>
      </c>
      <c r="I37" s="87">
        <f>H37/E36</f>
        <v>685.40145985401455</v>
      </c>
      <c r="J37" s="83">
        <f>J36/1.1</f>
        <v>470599.99999999994</v>
      </c>
      <c r="K37" s="88">
        <f>G37+I37</f>
        <v>3435.0364963503644</v>
      </c>
      <c r="L37" s="89"/>
      <c r="M37" s="85" t="s">
        <v>36</v>
      </c>
      <c r="N37" s="86">
        <f>N36/1.1</f>
        <v>5016454.5454545449</v>
      </c>
      <c r="O37" s="87">
        <f>N37/M36</f>
        <v>8143.5950413223136</v>
      </c>
      <c r="P37" s="86">
        <f>P36/1.1</f>
        <v>825918.18181818177</v>
      </c>
      <c r="Q37" s="87">
        <f>P37/M36</f>
        <v>1340.77626918536</v>
      </c>
      <c r="R37" s="87">
        <f>R36/1.1</f>
        <v>5842372.7272727266</v>
      </c>
      <c r="S37" s="144">
        <f>R37/M36</f>
        <v>9484.3713105076731</v>
      </c>
      <c r="T37" s="85" t="s">
        <v>36</v>
      </c>
      <c r="U37" s="222">
        <f>U36/1.1</f>
        <v>5393154.5454545449</v>
      </c>
      <c r="V37" s="86">
        <f>V36/1.1</f>
        <v>919818.18181818177</v>
      </c>
      <c r="W37" s="145">
        <f>W36/1.1</f>
        <v>6312972.7272727266</v>
      </c>
      <c r="X37" s="149">
        <f>W37/T36</f>
        <v>8383.7619220089327</v>
      </c>
      <c r="Y37" s="89"/>
      <c r="Z37" s="85" t="s">
        <v>36</v>
      </c>
      <c r="AA37" s="86">
        <f>AA36/1.1</f>
        <v>970636.36363636353</v>
      </c>
      <c r="AB37" s="45">
        <f>AA37/Z36</f>
        <v>566.62951759273994</v>
      </c>
      <c r="AC37" s="45">
        <f>AC36/1.1</f>
        <v>449499.99999999994</v>
      </c>
      <c r="AD37" s="45">
        <f>AC37/Z36</f>
        <v>262.40513718622299</v>
      </c>
      <c r="AE37" s="87">
        <f>AE36/1.1</f>
        <v>1420136.3636363635</v>
      </c>
      <c r="AF37" s="92">
        <f>AE37/Z36</f>
        <v>829.03465477896293</v>
      </c>
      <c r="AG37" s="85" t="s">
        <v>36</v>
      </c>
      <c r="AH37" s="146">
        <f>AH36/1.1</f>
        <v>6363790.9090909082</v>
      </c>
      <c r="AI37" s="86">
        <f>AI36/1.1</f>
        <v>1369318.1818181816</v>
      </c>
      <c r="AJ37" s="87">
        <f>AJ36/1.1</f>
        <v>7733109.0909090899</v>
      </c>
      <c r="AK37" s="93">
        <f>AK36/1.1</f>
        <v>369645.45454545453</v>
      </c>
      <c r="AL37" s="68"/>
      <c r="AM37" s="68"/>
      <c r="AN37" s="68"/>
      <c r="AO37" s="68"/>
      <c r="AP37" s="94"/>
      <c r="AQ37" s="68"/>
      <c r="AR37" s="68"/>
      <c r="AS37" s="94"/>
      <c r="AT37" s="68"/>
      <c r="AU37" s="94"/>
    </row>
    <row r="38" spans="1:48" ht="15.75" customHeight="1">
      <c r="A38" s="26"/>
      <c r="B38" s="179"/>
      <c r="C38" s="26"/>
      <c r="D38" s="26"/>
      <c r="E38" s="95" t="s">
        <v>37</v>
      </c>
      <c r="F38" s="96">
        <f>E36/G38</f>
        <v>17.125</v>
      </c>
      <c r="G38" s="97">
        <v>8</v>
      </c>
      <c r="H38" s="98" t="s">
        <v>38</v>
      </c>
      <c r="I38" s="96"/>
      <c r="J38" s="99" t="s">
        <v>39</v>
      </c>
      <c r="K38" s="171">
        <f>J37/G38</f>
        <v>58824.999999999993</v>
      </c>
      <c r="L38" s="26"/>
      <c r="M38" s="95" t="s">
        <v>37</v>
      </c>
      <c r="N38" s="96">
        <f>M36/O38</f>
        <v>24.64</v>
      </c>
      <c r="O38" s="97">
        <v>25</v>
      </c>
      <c r="P38" s="98" t="s">
        <v>38</v>
      </c>
      <c r="Q38" s="96"/>
      <c r="R38" s="99" t="s">
        <v>39</v>
      </c>
      <c r="S38" s="172">
        <f>R37/O38</f>
        <v>233694.90909090906</v>
      </c>
      <c r="T38" s="26"/>
      <c r="U38" s="26"/>
      <c r="V38" s="26"/>
      <c r="W38" s="47"/>
      <c r="X38" s="47"/>
      <c r="Y38" s="26"/>
      <c r="Z38" s="26"/>
      <c r="AA38" s="102">
        <v>25</v>
      </c>
      <c r="AB38" s="98" t="s">
        <v>38</v>
      </c>
      <c r="AC38" s="96"/>
      <c r="AD38" s="96"/>
      <c r="AE38" s="99" t="s">
        <v>39</v>
      </c>
      <c r="AF38" s="100">
        <f>AE37/AA38</f>
        <v>56805.454545454544</v>
      </c>
      <c r="AG38" s="26"/>
      <c r="AH38" s="26"/>
      <c r="AI38" s="26" t="s">
        <v>55</v>
      </c>
      <c r="AJ38" s="47"/>
      <c r="AK38" s="47">
        <f>AJ37/AL38</f>
        <v>3135.891764358917</v>
      </c>
      <c r="AL38" s="150">
        <f>AG36+Z36</f>
        <v>2466</v>
      </c>
      <c r="AM38" s="26" t="s">
        <v>56</v>
      </c>
      <c r="AN38" s="26"/>
      <c r="AO38" s="26"/>
      <c r="AP38" s="47"/>
      <c r="AQ38" s="26"/>
      <c r="AR38" s="26"/>
      <c r="AS38" s="47"/>
      <c r="AT38" s="26"/>
      <c r="AU38" s="47"/>
    </row>
    <row r="39" spans="1:48" ht="15.75" customHeight="1">
      <c r="A39" s="26"/>
      <c r="B39" s="179"/>
      <c r="C39" s="26"/>
      <c r="D39" s="104" t="s">
        <v>40</v>
      </c>
      <c r="E39" s="105"/>
      <c r="F39" s="96"/>
      <c r="G39" s="106"/>
      <c r="H39" s="96"/>
      <c r="I39" s="96"/>
      <c r="J39" s="99"/>
      <c r="K39" s="100"/>
      <c r="L39" s="107" t="s">
        <v>41</v>
      </c>
      <c r="M39" s="95"/>
      <c r="N39" s="96"/>
      <c r="O39" s="96"/>
      <c r="P39" s="96"/>
      <c r="Q39" s="96"/>
      <c r="R39" s="99"/>
      <c r="S39" s="100"/>
      <c r="T39" s="26"/>
      <c r="U39" s="26"/>
      <c r="V39" s="26"/>
      <c r="W39" s="47"/>
      <c r="X39" s="47"/>
      <c r="Y39" s="107" t="s">
        <v>42</v>
      </c>
      <c r="Z39" s="26"/>
      <c r="AA39" s="96"/>
      <c r="AB39" s="96"/>
      <c r="AC39" s="96"/>
      <c r="AD39" s="96"/>
      <c r="AE39" s="96"/>
      <c r="AF39" s="100"/>
      <c r="AG39" s="26"/>
      <c r="AH39" s="26"/>
      <c r="AI39" s="26" t="s">
        <v>57</v>
      </c>
      <c r="AK39" s="108">
        <f>AJ37/AA38</f>
        <v>309324.36363636359</v>
      </c>
      <c r="AL39" s="26" t="s">
        <v>58</v>
      </c>
      <c r="AM39" s="26"/>
      <c r="AN39" s="26"/>
      <c r="AO39" s="26"/>
      <c r="AP39" s="47"/>
      <c r="AQ39" s="26"/>
      <c r="AR39" s="26"/>
      <c r="AS39" s="47"/>
      <c r="AT39" s="26"/>
      <c r="AU39" s="47"/>
    </row>
    <row r="40" spans="1:48" ht="21" customHeight="1">
      <c r="A40" s="26"/>
      <c r="B40" s="179"/>
      <c r="C40" s="107"/>
      <c r="D40" s="154" t="s">
        <v>69</v>
      </c>
      <c r="E40" s="155"/>
      <c r="F40" s="155"/>
      <c r="G40" s="155"/>
      <c r="H40" s="155"/>
      <c r="I40" s="155"/>
      <c r="J40" s="155"/>
      <c r="K40" s="156"/>
      <c r="L40" s="154" t="s">
        <v>70</v>
      </c>
      <c r="M40" s="155"/>
      <c r="N40" s="155"/>
      <c r="O40" s="155"/>
      <c r="P40" s="155"/>
      <c r="Q40" s="155"/>
      <c r="R40" s="155"/>
      <c r="S40" s="156"/>
      <c r="T40" s="26"/>
      <c r="U40" s="26"/>
      <c r="V40" s="26"/>
      <c r="W40" s="47"/>
      <c r="X40" s="26"/>
      <c r="Y40" s="154" t="s">
        <v>71</v>
      </c>
      <c r="Z40" s="155"/>
      <c r="AA40" s="155"/>
      <c r="AB40" s="155"/>
      <c r="AC40" s="155"/>
      <c r="AD40" s="155"/>
      <c r="AE40" s="155"/>
      <c r="AF40" s="156"/>
      <c r="AG40" s="26"/>
      <c r="AH40" s="26"/>
      <c r="AI40" s="26" t="s">
        <v>59</v>
      </c>
      <c r="AJ40" s="47">
        <f>AJ36+AK36</f>
        <v>8913030</v>
      </c>
      <c r="AK40" s="108">
        <f>AJ40/AA38</f>
        <v>356521.2</v>
      </c>
      <c r="AL40" s="26" t="s">
        <v>43</v>
      </c>
      <c r="AM40" s="26"/>
      <c r="AN40" s="26"/>
      <c r="AO40" s="26"/>
      <c r="AP40" s="26"/>
      <c r="AQ40" s="26"/>
      <c r="AR40" s="26"/>
      <c r="AS40" s="47"/>
      <c r="AT40" s="26"/>
      <c r="AU40" s="47"/>
    </row>
    <row r="41" spans="1:48" ht="21" customHeight="1">
      <c r="A41" s="26"/>
      <c r="B41" s="179"/>
      <c r="C41" s="107"/>
      <c r="D41" s="157"/>
      <c r="E41" s="158"/>
      <c r="F41" s="158"/>
      <c r="G41" s="158"/>
      <c r="H41" s="158"/>
      <c r="I41" s="158"/>
      <c r="J41" s="158"/>
      <c r="K41" s="159"/>
      <c r="L41" s="157"/>
      <c r="M41" s="158"/>
      <c r="N41" s="158"/>
      <c r="O41" s="158"/>
      <c r="P41" s="158"/>
      <c r="Q41" s="158"/>
      <c r="R41" s="158"/>
      <c r="S41" s="159"/>
      <c r="T41" s="26"/>
      <c r="U41" s="26"/>
      <c r="V41" s="26"/>
      <c r="W41" s="47"/>
      <c r="X41" s="26"/>
      <c r="Y41" s="157"/>
      <c r="Z41" s="158"/>
      <c r="AA41" s="158"/>
      <c r="AB41" s="158"/>
      <c r="AC41" s="158"/>
      <c r="AD41" s="158"/>
      <c r="AE41" s="158"/>
      <c r="AF41" s="159"/>
      <c r="AG41" s="26"/>
      <c r="AH41" s="26"/>
      <c r="AI41" s="26" t="s">
        <v>60</v>
      </c>
      <c r="AJ41" s="113">
        <f>AJ37+AK37</f>
        <v>8102754.545454544</v>
      </c>
      <c r="AK41" s="108">
        <f>AJ41/AA38</f>
        <v>324110.18181818177</v>
      </c>
      <c r="AL41" s="26" t="s">
        <v>58</v>
      </c>
      <c r="AM41" s="26"/>
      <c r="AN41" s="26"/>
      <c r="AO41" s="26"/>
      <c r="AP41" s="26"/>
      <c r="AQ41" s="26"/>
      <c r="AR41" s="26"/>
      <c r="AS41" s="47"/>
      <c r="AT41" s="26"/>
      <c r="AU41" s="47"/>
    </row>
    <row r="42" spans="1:48" ht="21" customHeight="1">
      <c r="A42" s="26"/>
      <c r="B42" s="179"/>
      <c r="C42" s="107"/>
      <c r="D42" s="157"/>
      <c r="E42" s="158"/>
      <c r="F42" s="158"/>
      <c r="G42" s="158"/>
      <c r="H42" s="158"/>
      <c r="I42" s="158"/>
      <c r="J42" s="158"/>
      <c r="K42" s="159"/>
      <c r="L42" s="157"/>
      <c r="M42" s="158"/>
      <c r="N42" s="158"/>
      <c r="O42" s="158"/>
      <c r="P42" s="158"/>
      <c r="Q42" s="158"/>
      <c r="R42" s="158"/>
      <c r="S42" s="159"/>
      <c r="T42" s="26"/>
      <c r="U42" s="26"/>
      <c r="V42" s="26"/>
      <c r="W42" s="47"/>
      <c r="X42" s="26"/>
      <c r="Y42" s="157"/>
      <c r="Z42" s="158"/>
      <c r="AA42" s="158"/>
      <c r="AB42" s="158"/>
      <c r="AC42" s="158"/>
      <c r="AD42" s="158"/>
      <c r="AE42" s="158"/>
      <c r="AF42" s="159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7"/>
      <c r="AT42" s="26"/>
      <c r="AU42" s="47"/>
    </row>
    <row r="43" spans="1:48" ht="21" customHeight="1">
      <c r="A43" s="26"/>
      <c r="B43" s="179"/>
      <c r="C43" s="107"/>
      <c r="D43" s="157"/>
      <c r="E43" s="158"/>
      <c r="F43" s="158"/>
      <c r="G43" s="158"/>
      <c r="H43" s="158"/>
      <c r="I43" s="158"/>
      <c r="J43" s="158"/>
      <c r="K43" s="159"/>
      <c r="L43" s="157"/>
      <c r="M43" s="158"/>
      <c r="N43" s="158"/>
      <c r="O43" s="158"/>
      <c r="P43" s="158"/>
      <c r="Q43" s="158"/>
      <c r="R43" s="158"/>
      <c r="S43" s="159"/>
      <c r="T43" s="26"/>
      <c r="U43" s="26"/>
      <c r="V43" s="26"/>
      <c r="W43" s="26"/>
      <c r="X43" s="26"/>
      <c r="Y43" s="157"/>
      <c r="Z43" s="158"/>
      <c r="AA43" s="158"/>
      <c r="AB43" s="158"/>
      <c r="AC43" s="158"/>
      <c r="AD43" s="158"/>
      <c r="AE43" s="158"/>
      <c r="AF43" s="159"/>
      <c r="AG43" s="26"/>
      <c r="AH43" s="26"/>
      <c r="AI43" s="26"/>
      <c r="AJ43" s="47">
        <f>AJ37+AK37</f>
        <v>8102754.545454544</v>
      </c>
      <c r="AK43" s="110" t="s">
        <v>46</v>
      </c>
      <c r="AL43" s="26"/>
      <c r="AM43" s="26"/>
      <c r="AN43" s="26"/>
      <c r="AO43" s="26"/>
      <c r="AP43" s="26"/>
      <c r="AQ43" s="26"/>
      <c r="AR43" s="26"/>
      <c r="AS43" s="47"/>
      <c r="AT43" s="26"/>
      <c r="AU43" s="47"/>
    </row>
    <row r="44" spans="1:48" ht="21" customHeight="1">
      <c r="A44" s="26"/>
      <c r="B44" s="179"/>
      <c r="C44" s="107"/>
      <c r="D44" s="160"/>
      <c r="E44" s="161"/>
      <c r="F44" s="161"/>
      <c r="G44" s="161"/>
      <c r="H44" s="161"/>
      <c r="I44" s="161"/>
      <c r="J44" s="161"/>
      <c r="K44" s="162"/>
      <c r="L44" s="160"/>
      <c r="M44" s="161"/>
      <c r="N44" s="161"/>
      <c r="O44" s="161"/>
      <c r="P44" s="161"/>
      <c r="Q44" s="161"/>
      <c r="R44" s="161"/>
      <c r="S44" s="162"/>
      <c r="T44" s="26"/>
      <c r="U44" s="26"/>
      <c r="V44" s="26"/>
      <c r="W44" s="26"/>
      <c r="X44" s="26"/>
      <c r="Y44" s="160"/>
      <c r="Z44" s="161"/>
      <c r="AA44" s="161"/>
      <c r="AB44" s="161"/>
      <c r="AC44" s="161"/>
      <c r="AD44" s="161"/>
      <c r="AE44" s="161"/>
      <c r="AF44" s="162"/>
      <c r="AG44" s="26"/>
      <c r="AH44" s="111"/>
      <c r="AI44" s="248" t="s">
        <v>47</v>
      </c>
      <c r="AJ44" s="249">
        <f>J45+R45+AE45+AK44</f>
        <v>8653855</v>
      </c>
      <c r="AK44" s="218">
        <v>494655</v>
      </c>
      <c r="AL44" s="111"/>
      <c r="AM44" s="26"/>
      <c r="AN44" s="26"/>
      <c r="AO44" s="26"/>
      <c r="AP44" s="26"/>
      <c r="AQ44" s="26"/>
      <c r="AR44" s="26"/>
      <c r="AS44" s="47"/>
      <c r="AT44" s="26"/>
      <c r="AU44" s="47"/>
    </row>
    <row r="45" spans="1:48" ht="21" customHeight="1">
      <c r="A45" s="26"/>
      <c r="B45" s="179"/>
      <c r="C45" s="26"/>
      <c r="D45" s="26"/>
      <c r="E45" s="26"/>
      <c r="F45" s="26"/>
      <c r="G45" s="26"/>
      <c r="H45" s="115"/>
      <c r="I45" s="116" t="s">
        <v>48</v>
      </c>
      <c r="J45" s="219">
        <v>544000</v>
      </c>
      <c r="K45" s="117" t="s">
        <v>49</v>
      </c>
      <c r="L45" s="111"/>
      <c r="M45" s="111"/>
      <c r="N45" s="111"/>
      <c r="O45" s="111"/>
      <c r="P45" s="111"/>
      <c r="Q45" s="116" t="s">
        <v>50</v>
      </c>
      <c r="R45" s="219">
        <v>6115200</v>
      </c>
      <c r="S45" s="117" t="s">
        <v>49</v>
      </c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5" t="s">
        <v>51</v>
      </c>
      <c r="AE45" s="219">
        <v>1500000</v>
      </c>
      <c r="AF45" s="117" t="s">
        <v>49</v>
      </c>
      <c r="AG45" s="111"/>
      <c r="AH45" s="111"/>
      <c r="AI45" s="112" t="s">
        <v>52</v>
      </c>
      <c r="AJ45" s="113">
        <f>AJ44-AJ37-AK37</f>
        <v>551100.45454545552</v>
      </c>
      <c r="AK45" s="113">
        <f>AK44-AK37</f>
        <v>125009.54545454547</v>
      </c>
      <c r="AL45" s="118">
        <f>AK37/AK44</f>
        <v>0.74727932507597117</v>
      </c>
      <c r="AM45" s="26"/>
      <c r="AN45" s="26"/>
      <c r="AO45" s="26"/>
      <c r="AP45" s="26"/>
      <c r="AQ45" s="47"/>
      <c r="AR45" s="26"/>
      <c r="AS45" s="47"/>
      <c r="AT45" s="26"/>
      <c r="AU45" s="26"/>
    </row>
    <row r="46" spans="1:48" ht="21" customHeight="1">
      <c r="A46" s="26"/>
      <c r="B46" s="179"/>
      <c r="C46" s="26"/>
      <c r="D46" s="26"/>
      <c r="E46" s="26"/>
      <c r="F46" s="26"/>
      <c r="G46" s="26"/>
      <c r="H46" s="115"/>
      <c r="I46" s="115" t="s">
        <v>52</v>
      </c>
      <c r="J46" s="113">
        <f>J45-J37</f>
        <v>73400.000000000058</v>
      </c>
      <c r="K46" s="119">
        <v>0</v>
      </c>
      <c r="L46" s="111"/>
      <c r="M46" s="111"/>
      <c r="N46" s="111"/>
      <c r="O46" s="111"/>
      <c r="P46" s="111"/>
      <c r="Q46" s="115" t="s">
        <v>52</v>
      </c>
      <c r="R46" s="113">
        <f>R45-R37</f>
        <v>272827.2727272734</v>
      </c>
      <c r="S46" s="111">
        <f>K46</f>
        <v>0</v>
      </c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5" t="s">
        <v>52</v>
      </c>
      <c r="AE46" s="113">
        <f>AE45-AE37</f>
        <v>79863.636363636469</v>
      </c>
      <c r="AF46" s="111">
        <f>K46</f>
        <v>0</v>
      </c>
      <c r="AG46" s="111"/>
      <c r="AH46" s="120"/>
      <c r="AI46" s="121" t="s">
        <v>53</v>
      </c>
      <c r="AJ46" s="122" t="e">
        <f>AJ45/K46</f>
        <v>#DIV/0!</v>
      </c>
      <c r="AK46" s="123">
        <f>(AJ37+AK37)/AJ44</f>
        <v>0.93631734590590487</v>
      </c>
      <c r="AL46" s="120"/>
      <c r="AM46" s="124"/>
      <c r="AN46" s="26"/>
      <c r="AO46" s="26"/>
      <c r="AP46" s="26"/>
      <c r="AQ46" s="47"/>
      <c r="AR46" s="26"/>
      <c r="AS46" s="47"/>
      <c r="AT46" s="26"/>
      <c r="AU46" s="26"/>
    </row>
    <row r="47" spans="1:48" ht="25.5" customHeight="1">
      <c r="A47" s="124"/>
      <c r="B47" s="180"/>
      <c r="C47" s="124"/>
      <c r="D47" s="124"/>
      <c r="E47" s="124"/>
      <c r="F47" s="124"/>
      <c r="G47" s="124"/>
      <c r="H47" s="125"/>
      <c r="I47" s="121" t="s">
        <v>53</v>
      </c>
      <c r="J47" s="126" t="e">
        <f>J46/K46</f>
        <v>#DIV/0!</v>
      </c>
      <c r="K47" s="127">
        <f>J37/J45</f>
        <v>0.86507352941176463</v>
      </c>
      <c r="L47" s="120"/>
      <c r="M47" s="120"/>
      <c r="N47" s="120"/>
      <c r="O47" s="120"/>
      <c r="P47" s="120"/>
      <c r="Q47" s="121" t="s">
        <v>53</v>
      </c>
      <c r="R47" s="122" t="e">
        <f>R46/S46</f>
        <v>#DIV/0!</v>
      </c>
      <c r="S47" s="127">
        <f>R37/R45</f>
        <v>0.95538538842110254</v>
      </c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1" t="s">
        <v>53</v>
      </c>
      <c r="AE47" s="126" t="e">
        <f>AE46/AF46</f>
        <v>#DIV/0!</v>
      </c>
      <c r="AF47" s="127">
        <f>AE37/AE45</f>
        <v>0.94675757575757569</v>
      </c>
      <c r="AG47" s="120"/>
      <c r="AH47" s="26"/>
      <c r="AI47" s="26"/>
      <c r="AJ47" s="223" t="s">
        <v>61</v>
      </c>
      <c r="AK47" s="26"/>
      <c r="AL47" s="26"/>
      <c r="AM47" s="26"/>
      <c r="AN47" s="124"/>
      <c r="AO47" s="124"/>
      <c r="AP47" s="124"/>
      <c r="AQ47" s="128"/>
      <c r="AR47" s="124"/>
      <c r="AS47" s="128"/>
      <c r="AT47" s="124"/>
      <c r="AU47" s="124"/>
    </row>
    <row r="48" spans="1:48" ht="15.75" customHeight="1">
      <c r="A48" s="26"/>
      <c r="B48" s="179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29"/>
      <c r="AI48" s="129"/>
      <c r="AJ48" s="129"/>
      <c r="AK48" s="129"/>
      <c r="AL48" s="129"/>
      <c r="AM48" s="129"/>
      <c r="AN48" s="26"/>
      <c r="AO48" s="26"/>
      <c r="AP48" s="26"/>
      <c r="AQ48" s="47"/>
      <c r="AR48" s="26"/>
      <c r="AS48" s="47"/>
      <c r="AT48" s="26"/>
      <c r="AU48" s="26"/>
    </row>
    <row r="49" spans="1:47" ht="36" customHeight="1">
      <c r="A49" s="129"/>
      <c r="B49" s="181"/>
      <c r="C49" s="129"/>
      <c r="D49" s="129"/>
      <c r="E49" s="129"/>
      <c r="F49" s="129"/>
      <c r="G49" s="129"/>
      <c r="H49" s="129"/>
      <c r="I49" s="129"/>
      <c r="J49" s="129"/>
      <c r="K49" s="129"/>
      <c r="L49" s="130"/>
      <c r="M49" s="26"/>
      <c r="N49" s="26"/>
      <c r="O49" s="26"/>
      <c r="P49" s="26"/>
      <c r="Q49" s="26"/>
      <c r="R49" s="130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"/>
      <c r="AI49" s="1"/>
      <c r="AJ49" s="1"/>
      <c r="AK49" s="1"/>
      <c r="AL49" s="1"/>
      <c r="AM49" s="1"/>
      <c r="AN49" s="129"/>
      <c r="AO49" s="129"/>
      <c r="AP49" s="129"/>
      <c r="AQ49" s="131"/>
      <c r="AR49" s="129"/>
      <c r="AS49" s="131"/>
      <c r="AT49" s="129"/>
      <c r="AU49" s="129"/>
    </row>
    <row r="50" spans="1:47" ht="36" customHeight="1">
      <c r="A50" s="1"/>
      <c r="B50" s="182"/>
      <c r="C50" s="1"/>
      <c r="D50" s="1"/>
      <c r="E50" s="1"/>
      <c r="F50" s="1"/>
      <c r="G50" s="1"/>
      <c r="H50" s="1"/>
      <c r="I50" s="1"/>
      <c r="J50" s="1"/>
      <c r="K50" s="1"/>
      <c r="L50" s="132"/>
      <c r="M50" s="26"/>
      <c r="N50" s="26"/>
      <c r="O50" s="26"/>
      <c r="P50" s="26"/>
      <c r="Q50" s="26"/>
      <c r="R50" s="132"/>
      <c r="S50" s="132"/>
      <c r="T50" s="1"/>
      <c r="U50" s="1"/>
      <c r="V50" s="1"/>
      <c r="W50" s="1"/>
      <c r="X50" s="1"/>
      <c r="Y50" s="1"/>
      <c r="Z50" s="133"/>
      <c r="AA50" s="1"/>
      <c r="AB50" s="1"/>
      <c r="AC50" s="1"/>
      <c r="AD50" s="1"/>
      <c r="AE50" s="1"/>
      <c r="AF50" s="1"/>
      <c r="AG50" s="1"/>
      <c r="AH50" s="129"/>
      <c r="AI50" s="129"/>
      <c r="AJ50" s="129"/>
      <c r="AK50" s="129"/>
      <c r="AL50" s="129"/>
      <c r="AM50" s="129"/>
      <c r="AN50" s="1"/>
      <c r="AO50" s="1"/>
      <c r="AP50" s="1"/>
      <c r="AQ50" s="134"/>
      <c r="AR50" s="1"/>
      <c r="AS50" s="134"/>
      <c r="AT50" s="1"/>
      <c r="AU50" s="1"/>
    </row>
    <row r="51" spans="1:47" ht="36" customHeight="1">
      <c r="A51" s="129"/>
      <c r="B51" s="181"/>
      <c r="C51" s="129"/>
      <c r="D51" s="129"/>
      <c r="E51" s="129"/>
      <c r="F51" s="129"/>
      <c r="G51" s="129"/>
      <c r="H51" s="129"/>
      <c r="I51" s="129"/>
      <c r="J51" s="129"/>
      <c r="K51" s="1"/>
      <c r="L51" s="132"/>
      <c r="M51" s="26"/>
      <c r="N51" s="26"/>
      <c r="O51" s="26"/>
      <c r="P51" s="26"/>
      <c r="Q51" s="26"/>
      <c r="R51" s="135"/>
      <c r="S51" s="136"/>
      <c r="T51" s="136"/>
      <c r="U51" s="136"/>
      <c r="V51" s="136"/>
      <c r="W51" s="137"/>
      <c r="X51" s="138"/>
      <c r="Y51" s="139"/>
      <c r="Z51" s="140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31"/>
      <c r="AR51" s="129"/>
      <c r="AS51" s="131"/>
      <c r="AT51" s="129"/>
      <c r="AU51" s="129"/>
    </row>
    <row r="52" spans="1:47" ht="36" customHeight="1">
      <c r="A52" s="129"/>
      <c r="B52" s="181"/>
      <c r="C52" s="129"/>
      <c r="D52" s="129"/>
      <c r="E52" s="129"/>
      <c r="F52" s="129"/>
      <c r="G52" s="129"/>
      <c r="H52" s="129"/>
      <c r="I52" s="129"/>
      <c r="J52" s="129"/>
      <c r="K52" s="1"/>
      <c r="L52" s="132"/>
      <c r="M52" s="26"/>
      <c r="N52" s="26"/>
      <c r="O52" s="26"/>
      <c r="P52" s="26"/>
      <c r="Q52" s="26"/>
      <c r="R52" s="137"/>
      <c r="S52" s="136"/>
      <c r="T52" s="136"/>
      <c r="U52" s="136"/>
      <c r="V52" s="136"/>
      <c r="W52" s="137"/>
      <c r="X52" s="138"/>
      <c r="Y52" s="139"/>
      <c r="Z52" s="140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31"/>
      <c r="AR52" s="129"/>
      <c r="AS52" s="131"/>
      <c r="AT52" s="129"/>
      <c r="AU52" s="129"/>
    </row>
    <row r="53" spans="1:47" ht="36" customHeight="1">
      <c r="A53" s="129"/>
      <c r="B53" s="181"/>
      <c r="C53" s="129"/>
      <c r="D53" s="129"/>
      <c r="E53" s="129"/>
      <c r="F53" s="129"/>
      <c r="G53" s="129"/>
      <c r="H53" s="129"/>
      <c r="I53" s="129"/>
      <c r="J53" s="129"/>
      <c r="K53" s="1"/>
      <c r="L53" s="132"/>
      <c r="M53" s="26"/>
      <c r="N53" s="26"/>
      <c r="O53" s="26"/>
      <c r="P53" s="26"/>
      <c r="Q53" s="26"/>
      <c r="R53" s="137"/>
      <c r="S53" s="136"/>
      <c r="T53" s="136"/>
      <c r="U53" s="136"/>
      <c r="V53" s="136"/>
      <c r="W53" s="137"/>
      <c r="X53" s="138"/>
      <c r="Y53" s="139"/>
      <c r="Z53" s="140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31"/>
      <c r="AR53" s="129"/>
      <c r="AS53" s="131"/>
      <c r="AT53" s="129"/>
      <c r="AU53" s="129"/>
    </row>
    <row r="54" spans="1:47" ht="36" customHeight="1">
      <c r="A54" s="129"/>
      <c r="B54" s="181"/>
      <c r="C54" s="129"/>
      <c r="D54" s="129"/>
      <c r="E54" s="129"/>
      <c r="F54" s="129"/>
      <c r="G54" s="129"/>
      <c r="H54" s="129"/>
      <c r="I54" s="129"/>
      <c r="J54" s="129"/>
      <c r="K54" s="1"/>
      <c r="L54" s="132"/>
      <c r="M54" s="26"/>
      <c r="N54" s="26"/>
      <c r="O54" s="26"/>
      <c r="P54" s="26"/>
      <c r="Q54" s="26"/>
      <c r="R54" s="137"/>
      <c r="S54" s="136"/>
      <c r="T54" s="136"/>
      <c r="U54" s="136"/>
      <c r="V54" s="136"/>
      <c r="W54" s="137"/>
      <c r="X54" s="138"/>
      <c r="Y54" s="139"/>
      <c r="Z54" s="140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31"/>
      <c r="AR54" s="129"/>
      <c r="AS54" s="131"/>
      <c r="AT54" s="129"/>
      <c r="AU54" s="129"/>
    </row>
    <row r="55" spans="1:47" ht="36" customHeight="1">
      <c r="A55" s="129"/>
      <c r="B55" s="181"/>
      <c r="C55" s="129"/>
      <c r="D55" s="129"/>
      <c r="E55" s="129"/>
      <c r="F55" s="129"/>
      <c r="G55" s="129"/>
      <c r="H55" s="129"/>
      <c r="I55" s="129"/>
      <c r="J55" s="129"/>
      <c r="K55" s="129"/>
      <c r="L55" s="130"/>
      <c r="M55" s="26"/>
      <c r="N55" s="26"/>
      <c r="O55" s="26"/>
      <c r="P55" s="26"/>
      <c r="Q55" s="26"/>
      <c r="R55" s="137"/>
      <c r="S55" s="136"/>
      <c r="T55" s="136"/>
      <c r="U55" s="136"/>
      <c r="V55" s="136"/>
      <c r="W55" s="138"/>
      <c r="X55" s="138"/>
      <c r="Y55" s="139"/>
      <c r="Z55" s="140"/>
      <c r="AA55" s="129"/>
      <c r="AB55" s="129"/>
      <c r="AC55" s="129"/>
      <c r="AD55" s="129"/>
      <c r="AE55" s="129"/>
      <c r="AF55" s="129"/>
      <c r="AG55" s="129"/>
      <c r="AH55" s="26"/>
      <c r="AI55" s="26"/>
      <c r="AJ55" s="26"/>
      <c r="AK55" s="26"/>
      <c r="AL55" s="26"/>
      <c r="AM55" s="26"/>
      <c r="AN55" s="129"/>
      <c r="AO55" s="129"/>
      <c r="AP55" s="129"/>
      <c r="AQ55" s="131"/>
      <c r="AR55" s="129"/>
      <c r="AS55" s="131"/>
      <c r="AT55" s="129"/>
      <c r="AU55" s="129"/>
    </row>
    <row r="56" spans="1:47" ht="15.75" customHeight="1">
      <c r="A56" s="26"/>
      <c r="B56" s="179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39"/>
      <c r="Z56" s="139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7"/>
      <c r="AT56" s="26"/>
      <c r="AU56" s="47"/>
    </row>
    <row r="57" spans="1:47" ht="15.75" customHeight="1">
      <c r="A57" s="26"/>
      <c r="B57" s="179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29"/>
      <c r="Z57" s="129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7"/>
      <c r="AT57" s="26"/>
      <c r="AU57" s="47"/>
    </row>
    <row r="58" spans="1:47" ht="15.75" customHeight="1">
      <c r="A58" s="26"/>
      <c r="B58" s="179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7"/>
      <c r="AT58" s="26"/>
      <c r="AU58" s="47"/>
    </row>
    <row r="59" spans="1:47" ht="15.75" customHeight="1">
      <c r="A59" s="26"/>
      <c r="B59" s="179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7"/>
      <c r="AT59" s="26"/>
      <c r="AU59" s="47"/>
    </row>
    <row r="60" spans="1:47" ht="15.75" customHeight="1">
      <c r="A60" s="26"/>
      <c r="B60" s="179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7"/>
      <c r="AT60" s="26"/>
      <c r="AU60" s="47"/>
    </row>
    <row r="61" spans="1:47" ht="15.75" customHeight="1">
      <c r="A61" s="26"/>
      <c r="B61" s="179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7"/>
      <c r="AT61" s="26"/>
      <c r="AU61" s="47"/>
    </row>
    <row r="62" spans="1:47" ht="15.75" customHeight="1">
      <c r="A62" s="26"/>
      <c r="B62" s="179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7"/>
      <c r="AT62" s="26"/>
      <c r="AU62" s="47"/>
    </row>
    <row r="63" spans="1:47" ht="15.75" customHeight="1">
      <c r="A63" s="26"/>
      <c r="B63" s="179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7"/>
      <c r="AT63" s="26"/>
      <c r="AU63" s="47"/>
    </row>
    <row r="64" spans="1:47" ht="15.75" customHeight="1">
      <c r="A64" s="26"/>
      <c r="B64" s="179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7"/>
      <c r="AT64" s="26"/>
      <c r="AU64" s="47"/>
    </row>
    <row r="65" spans="1:47" ht="15.75" customHeight="1">
      <c r="A65" s="26"/>
      <c r="B65" s="179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7"/>
      <c r="AT65" s="26"/>
      <c r="AU65" s="47"/>
    </row>
    <row r="66" spans="1:47" ht="15.75" customHeight="1">
      <c r="A66" s="26"/>
      <c r="B66" s="179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7"/>
      <c r="AT66" s="26"/>
      <c r="AU66" s="47"/>
    </row>
    <row r="67" spans="1:47" ht="15.75" customHeight="1">
      <c r="A67" s="26"/>
      <c r="B67" s="179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7"/>
      <c r="AT67" s="26"/>
      <c r="AU67" s="47"/>
    </row>
    <row r="68" spans="1:47" ht="15.75" customHeight="1">
      <c r="A68" s="26"/>
      <c r="B68" s="179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7"/>
      <c r="AT68" s="26"/>
      <c r="AU68" s="47"/>
    </row>
    <row r="69" spans="1:47" ht="15.75" customHeight="1">
      <c r="A69" s="26"/>
      <c r="B69" s="179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7"/>
      <c r="AT69" s="26"/>
      <c r="AU69" s="47"/>
    </row>
    <row r="70" spans="1:47" ht="15.75" customHeight="1">
      <c r="A70" s="26"/>
      <c r="B70" s="179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7"/>
      <c r="AT70" s="26"/>
      <c r="AU70" s="47"/>
    </row>
    <row r="71" spans="1:47" ht="15.75" customHeight="1">
      <c r="A71" s="26"/>
      <c r="B71" s="179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7"/>
      <c r="AT71" s="26"/>
      <c r="AU71" s="47"/>
    </row>
    <row r="72" spans="1:47" ht="15.75" customHeight="1">
      <c r="A72" s="26"/>
      <c r="B72" s="179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7"/>
      <c r="AT72" s="26"/>
      <c r="AU72" s="47"/>
    </row>
    <row r="73" spans="1:47" ht="15.75" customHeight="1">
      <c r="A73" s="26"/>
      <c r="B73" s="179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7"/>
      <c r="AT73" s="26"/>
      <c r="AU73" s="47"/>
    </row>
    <row r="74" spans="1:47" ht="15.75" customHeight="1">
      <c r="A74" s="26"/>
      <c r="B74" s="179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7"/>
      <c r="AT74" s="26"/>
      <c r="AU74" s="47"/>
    </row>
    <row r="75" spans="1:47" ht="15.75" customHeight="1">
      <c r="A75" s="26"/>
      <c r="B75" s="179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7"/>
      <c r="AT75" s="26"/>
      <c r="AU75" s="47"/>
    </row>
    <row r="76" spans="1:47" ht="15.75" customHeight="1">
      <c r="A76" s="26"/>
      <c r="B76" s="179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7"/>
      <c r="AT76" s="26"/>
      <c r="AU76" s="47"/>
    </row>
    <row r="77" spans="1:47" ht="15.75" customHeight="1">
      <c r="A77" s="26"/>
      <c r="B77" s="179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7"/>
      <c r="AT77" s="26"/>
      <c r="AU77" s="47"/>
    </row>
    <row r="78" spans="1:47" ht="15.75" customHeight="1">
      <c r="A78" s="26"/>
      <c r="B78" s="179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7"/>
      <c r="AT78" s="26"/>
      <c r="AU78" s="47"/>
    </row>
    <row r="79" spans="1:47" ht="15.75" customHeight="1">
      <c r="A79" s="26"/>
      <c r="B79" s="179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7"/>
      <c r="AT79" s="26"/>
      <c r="AU79" s="47"/>
    </row>
    <row r="80" spans="1:47" ht="15.75" customHeight="1">
      <c r="A80" s="26"/>
      <c r="B80" s="179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7"/>
      <c r="AT80" s="26"/>
      <c r="AU80" s="47"/>
    </row>
    <row r="81" spans="1:47" ht="15.75" customHeight="1">
      <c r="A81" s="26"/>
      <c r="B81" s="179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7"/>
      <c r="AT81" s="26"/>
      <c r="AU81" s="47"/>
    </row>
    <row r="82" spans="1:47" ht="15.75" customHeight="1">
      <c r="A82" s="26"/>
      <c r="B82" s="179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7"/>
      <c r="AT82" s="26"/>
      <c r="AU82" s="47"/>
    </row>
    <row r="83" spans="1:47" ht="15.75" customHeight="1">
      <c r="A83" s="26"/>
      <c r="B83" s="179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7"/>
      <c r="AT83" s="26"/>
      <c r="AU83" s="47"/>
    </row>
    <row r="84" spans="1:47" ht="15.75" customHeight="1">
      <c r="A84" s="26"/>
      <c r="B84" s="179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7"/>
      <c r="AT84" s="26"/>
      <c r="AU84" s="47"/>
    </row>
    <row r="85" spans="1:47" ht="15.75" customHeight="1">
      <c r="A85" s="26"/>
      <c r="B85" s="179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7"/>
      <c r="AT85" s="26"/>
      <c r="AU85" s="47"/>
    </row>
    <row r="86" spans="1:47" ht="15.75" customHeight="1">
      <c r="A86" s="26"/>
      <c r="B86" s="179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7"/>
      <c r="AT86" s="26"/>
      <c r="AU86" s="47"/>
    </row>
    <row r="87" spans="1:47" ht="15.75" customHeight="1">
      <c r="A87" s="26"/>
      <c r="B87" s="179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7"/>
      <c r="AT87" s="26"/>
      <c r="AU87" s="47"/>
    </row>
    <row r="88" spans="1:47" ht="15.75" customHeight="1">
      <c r="A88" s="26"/>
      <c r="B88" s="179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7"/>
      <c r="AT88" s="26"/>
      <c r="AU88" s="47"/>
    </row>
    <row r="89" spans="1:47" ht="15.75" customHeight="1">
      <c r="A89" s="26"/>
      <c r="B89" s="179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7"/>
      <c r="AT89" s="26"/>
      <c r="AU89" s="47"/>
    </row>
    <row r="90" spans="1:47" ht="15.75" customHeight="1">
      <c r="A90" s="26"/>
      <c r="B90" s="179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7"/>
      <c r="AT90" s="26"/>
      <c r="AU90" s="47"/>
    </row>
    <row r="91" spans="1:47" ht="15.75" customHeight="1">
      <c r="A91" s="26"/>
      <c r="B91" s="179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7"/>
      <c r="AT91" s="26"/>
      <c r="AU91" s="47"/>
    </row>
    <row r="92" spans="1:47" ht="15.75" customHeight="1">
      <c r="A92" s="26"/>
      <c r="B92" s="179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7"/>
      <c r="AT92" s="26"/>
      <c r="AU92" s="47"/>
    </row>
    <row r="93" spans="1:47" ht="15.75" customHeight="1">
      <c r="A93" s="26"/>
      <c r="B93" s="179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7"/>
      <c r="AT93" s="26"/>
      <c r="AU93" s="47"/>
    </row>
    <row r="94" spans="1:47" ht="15.75" customHeight="1">
      <c r="A94" s="26"/>
      <c r="B94" s="179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7"/>
      <c r="AT94" s="26"/>
      <c r="AU94" s="47"/>
    </row>
    <row r="95" spans="1:47" ht="15.75" customHeight="1">
      <c r="A95" s="26"/>
      <c r="B95" s="179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7"/>
      <c r="AT95" s="26"/>
      <c r="AU95" s="47"/>
    </row>
    <row r="96" spans="1:47" ht="15.75" customHeight="1">
      <c r="A96" s="26"/>
      <c r="B96" s="179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7"/>
      <c r="AT96" s="26"/>
      <c r="AU96" s="47"/>
    </row>
    <row r="97" spans="1:47" ht="15.75" customHeight="1">
      <c r="A97" s="26"/>
      <c r="B97" s="179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7"/>
      <c r="AT97" s="26"/>
      <c r="AU97" s="47"/>
    </row>
    <row r="98" spans="1:47" ht="15.75" customHeight="1">
      <c r="A98" s="26"/>
      <c r="B98" s="179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7"/>
      <c r="AT98" s="26"/>
      <c r="AU98" s="47"/>
    </row>
    <row r="99" spans="1:47" ht="15.75" customHeight="1">
      <c r="A99" s="26"/>
      <c r="B99" s="179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7"/>
      <c r="AT99" s="26"/>
      <c r="AU99" s="47"/>
    </row>
    <row r="100" spans="1:47" ht="15.75" customHeight="1">
      <c r="A100" s="26"/>
      <c r="B100" s="179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7"/>
      <c r="AT100" s="26"/>
      <c r="AU100" s="47"/>
    </row>
    <row r="101" spans="1:47" ht="15.75" customHeight="1">
      <c r="A101" s="26"/>
      <c r="B101" s="179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7"/>
      <c r="AT101" s="26"/>
      <c r="AU101" s="47"/>
    </row>
    <row r="102" spans="1:47" ht="15.75" customHeight="1">
      <c r="A102" s="26"/>
      <c r="B102" s="179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7"/>
      <c r="AT102" s="26"/>
      <c r="AU102" s="47"/>
    </row>
    <row r="103" spans="1:47" ht="15.75" customHeight="1">
      <c r="A103" s="26"/>
      <c r="B103" s="179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7"/>
      <c r="AT103" s="26"/>
      <c r="AU103" s="47"/>
    </row>
    <row r="104" spans="1:47" ht="15.75" customHeight="1">
      <c r="A104" s="26"/>
      <c r="B104" s="179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7"/>
      <c r="AT104" s="26"/>
      <c r="AU104" s="47"/>
    </row>
    <row r="105" spans="1:47" ht="15.75" customHeight="1">
      <c r="A105" s="26"/>
      <c r="B105" s="179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7"/>
      <c r="AT105" s="26"/>
      <c r="AU105" s="47"/>
    </row>
    <row r="106" spans="1:47" ht="15.75" customHeight="1">
      <c r="A106" s="26"/>
      <c r="B106" s="179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7"/>
      <c r="AT106" s="26"/>
      <c r="AU106" s="47"/>
    </row>
    <row r="107" spans="1:47" ht="15.75" customHeight="1">
      <c r="A107" s="26"/>
      <c r="B107" s="179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7"/>
      <c r="AT107" s="26"/>
      <c r="AU107" s="47"/>
    </row>
    <row r="108" spans="1:47" ht="15.75" customHeight="1">
      <c r="A108" s="26"/>
      <c r="B108" s="179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7"/>
      <c r="AT108" s="26"/>
      <c r="AU108" s="47"/>
    </row>
    <row r="109" spans="1:47" ht="15.75" customHeight="1">
      <c r="A109" s="26"/>
      <c r="B109" s="179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7"/>
      <c r="AT109" s="26"/>
      <c r="AU109" s="47"/>
    </row>
    <row r="110" spans="1:47" ht="15.75" customHeight="1">
      <c r="A110" s="26"/>
      <c r="B110" s="179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7"/>
      <c r="AT110" s="26"/>
      <c r="AU110" s="47"/>
    </row>
    <row r="111" spans="1:47" ht="15.75" customHeight="1">
      <c r="A111" s="26"/>
      <c r="B111" s="179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7"/>
      <c r="AT111" s="26"/>
      <c r="AU111" s="47"/>
    </row>
    <row r="112" spans="1:47" ht="15.75" customHeight="1">
      <c r="A112" s="26"/>
      <c r="B112" s="179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7"/>
      <c r="AT112" s="26"/>
      <c r="AU112" s="47"/>
    </row>
    <row r="113" spans="1:47" ht="15.75" customHeight="1">
      <c r="A113" s="26"/>
      <c r="B113" s="179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7"/>
      <c r="AT113" s="26"/>
      <c r="AU113" s="47"/>
    </row>
    <row r="114" spans="1:47" ht="15.75" customHeight="1">
      <c r="A114" s="26"/>
      <c r="B114" s="179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7"/>
      <c r="AT114" s="26"/>
      <c r="AU114" s="47"/>
    </row>
    <row r="115" spans="1:47" ht="15.75" customHeight="1">
      <c r="A115" s="26"/>
      <c r="B115" s="179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7"/>
      <c r="AT115" s="26"/>
      <c r="AU115" s="47"/>
    </row>
    <row r="116" spans="1:47" ht="15.75" customHeight="1">
      <c r="A116" s="26"/>
      <c r="B116" s="179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7"/>
      <c r="AT116" s="26"/>
      <c r="AU116" s="47"/>
    </row>
    <row r="117" spans="1:47" ht="15.75" customHeight="1">
      <c r="A117" s="26"/>
      <c r="B117" s="179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7"/>
      <c r="AT117" s="26"/>
      <c r="AU117" s="47"/>
    </row>
    <row r="118" spans="1:47" ht="15.75" customHeight="1">
      <c r="A118" s="26"/>
      <c r="B118" s="179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7"/>
      <c r="AT118" s="26"/>
      <c r="AU118" s="47"/>
    </row>
    <row r="119" spans="1:47" ht="15.75" customHeight="1">
      <c r="A119" s="26"/>
      <c r="B119" s="179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7"/>
      <c r="AT119" s="26"/>
      <c r="AU119" s="47"/>
    </row>
    <row r="120" spans="1:47" ht="15.75" customHeight="1">
      <c r="A120" s="26"/>
      <c r="B120" s="179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7"/>
      <c r="AT120" s="26"/>
      <c r="AU120" s="47"/>
    </row>
    <row r="121" spans="1:47" ht="15.75" customHeight="1">
      <c r="A121" s="26"/>
      <c r="B121" s="179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7"/>
      <c r="AT121" s="26"/>
      <c r="AU121" s="47"/>
    </row>
    <row r="122" spans="1:47" ht="15.75" customHeight="1">
      <c r="A122" s="26"/>
      <c r="B122" s="179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7"/>
      <c r="AT122" s="26"/>
      <c r="AU122" s="47"/>
    </row>
    <row r="123" spans="1:47" ht="15.75" customHeight="1">
      <c r="A123" s="26"/>
      <c r="B123" s="179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7"/>
      <c r="AT123" s="26"/>
      <c r="AU123" s="47"/>
    </row>
    <row r="124" spans="1:47" ht="15.75" customHeight="1">
      <c r="A124" s="26"/>
      <c r="B124" s="179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7"/>
      <c r="AT124" s="26"/>
      <c r="AU124" s="47"/>
    </row>
    <row r="125" spans="1:47" ht="15.75" customHeight="1">
      <c r="A125" s="26"/>
      <c r="B125" s="179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7"/>
      <c r="AT125" s="26"/>
      <c r="AU125" s="47"/>
    </row>
    <row r="126" spans="1:47" ht="15.75" customHeight="1">
      <c r="A126" s="26"/>
      <c r="B126" s="179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7"/>
      <c r="AT126" s="26"/>
      <c r="AU126" s="47"/>
    </row>
    <row r="127" spans="1:47" ht="15.75" customHeight="1">
      <c r="A127" s="26"/>
      <c r="B127" s="179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7"/>
      <c r="AT127" s="26"/>
      <c r="AU127" s="47"/>
    </row>
    <row r="128" spans="1:47" ht="15.75" customHeight="1">
      <c r="A128" s="26"/>
      <c r="B128" s="179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7"/>
      <c r="AT128" s="26"/>
      <c r="AU128" s="47"/>
    </row>
    <row r="129" spans="1:47" ht="15.75" customHeight="1">
      <c r="A129" s="26"/>
      <c r="B129" s="179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7"/>
      <c r="AT129" s="26"/>
      <c r="AU129" s="47"/>
    </row>
    <row r="130" spans="1:47" ht="15.75" customHeight="1">
      <c r="A130" s="26"/>
      <c r="B130" s="179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7"/>
      <c r="AT130" s="26"/>
      <c r="AU130" s="47"/>
    </row>
    <row r="131" spans="1:47" ht="15.75" customHeight="1">
      <c r="A131" s="26"/>
      <c r="B131" s="179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7"/>
      <c r="AT131" s="26"/>
      <c r="AU131" s="47"/>
    </row>
    <row r="132" spans="1:47" ht="15.75" customHeight="1">
      <c r="A132" s="26"/>
      <c r="B132" s="179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7"/>
      <c r="AT132" s="26"/>
      <c r="AU132" s="47"/>
    </row>
    <row r="133" spans="1:47" ht="15.75" customHeight="1">
      <c r="A133" s="26"/>
      <c r="B133" s="179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7"/>
      <c r="AT133" s="26"/>
      <c r="AU133" s="47"/>
    </row>
    <row r="134" spans="1:47" ht="15.75" customHeight="1">
      <c r="A134" s="26"/>
      <c r="B134" s="179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7"/>
      <c r="AT134" s="26"/>
      <c r="AU134" s="47"/>
    </row>
    <row r="135" spans="1:47" ht="15.75" customHeight="1">
      <c r="A135" s="26"/>
      <c r="B135" s="179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7"/>
      <c r="AT135" s="26"/>
      <c r="AU135" s="47"/>
    </row>
    <row r="136" spans="1:47" ht="15.75" customHeight="1">
      <c r="A136" s="26"/>
      <c r="B136" s="179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7"/>
      <c r="AT136" s="26"/>
      <c r="AU136" s="47"/>
    </row>
    <row r="137" spans="1:47" ht="15.75" customHeight="1">
      <c r="A137" s="26"/>
      <c r="B137" s="179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7"/>
      <c r="AT137" s="26"/>
      <c r="AU137" s="47"/>
    </row>
    <row r="138" spans="1:47" ht="15.75" customHeight="1">
      <c r="A138" s="26"/>
      <c r="B138" s="179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7"/>
      <c r="AT138" s="26"/>
      <c r="AU138" s="47"/>
    </row>
    <row r="139" spans="1:47" ht="15.75" customHeight="1">
      <c r="A139" s="26"/>
      <c r="B139" s="179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7"/>
      <c r="AT139" s="26"/>
      <c r="AU139" s="47"/>
    </row>
    <row r="140" spans="1:47" ht="15.75" customHeight="1">
      <c r="A140" s="26"/>
      <c r="B140" s="179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7"/>
      <c r="AT140" s="26"/>
      <c r="AU140" s="47"/>
    </row>
    <row r="141" spans="1:47" ht="15.75" customHeight="1">
      <c r="A141" s="26"/>
      <c r="B141" s="179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7"/>
      <c r="AT141" s="26"/>
      <c r="AU141" s="47"/>
    </row>
    <row r="142" spans="1:47" ht="15.75" customHeight="1">
      <c r="A142" s="26"/>
      <c r="B142" s="179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7"/>
      <c r="AT142" s="26"/>
      <c r="AU142" s="47"/>
    </row>
    <row r="143" spans="1:47" ht="15.75" customHeight="1">
      <c r="A143" s="26"/>
      <c r="B143" s="179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7"/>
      <c r="AT143" s="26"/>
      <c r="AU143" s="47"/>
    </row>
    <row r="144" spans="1:47" ht="15.75" customHeight="1">
      <c r="A144" s="26"/>
      <c r="B144" s="179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7"/>
      <c r="AT144" s="26"/>
      <c r="AU144" s="47"/>
    </row>
    <row r="145" spans="1:47" ht="15.75" customHeight="1">
      <c r="A145" s="26"/>
      <c r="B145" s="179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7"/>
      <c r="AT145" s="26"/>
      <c r="AU145" s="47"/>
    </row>
    <row r="146" spans="1:47" ht="15.75" customHeight="1">
      <c r="A146" s="26"/>
      <c r="B146" s="179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7"/>
      <c r="AT146" s="26"/>
      <c r="AU146" s="47"/>
    </row>
    <row r="147" spans="1:47" ht="15.75" customHeight="1">
      <c r="A147" s="26"/>
      <c r="B147" s="179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7"/>
      <c r="AT147" s="26"/>
      <c r="AU147" s="47"/>
    </row>
    <row r="148" spans="1:47" ht="15.75" customHeight="1">
      <c r="A148" s="26"/>
      <c r="B148" s="179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7"/>
      <c r="AT148" s="26"/>
      <c r="AU148" s="47"/>
    </row>
    <row r="149" spans="1:47" ht="15.75" customHeight="1">
      <c r="A149" s="26"/>
      <c r="B149" s="179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7"/>
      <c r="AT149" s="26"/>
      <c r="AU149" s="47"/>
    </row>
    <row r="150" spans="1:47" ht="15.75" customHeight="1">
      <c r="A150" s="26"/>
      <c r="B150" s="179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7"/>
      <c r="AT150" s="26"/>
      <c r="AU150" s="47"/>
    </row>
    <row r="151" spans="1:47" ht="15.75" customHeight="1">
      <c r="A151" s="26"/>
      <c r="B151" s="179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7"/>
      <c r="AT151" s="26"/>
      <c r="AU151" s="47"/>
    </row>
    <row r="152" spans="1:47" ht="15.75" customHeight="1">
      <c r="A152" s="26"/>
      <c r="B152" s="179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7"/>
      <c r="AT152" s="26"/>
      <c r="AU152" s="47"/>
    </row>
    <row r="153" spans="1:47" ht="15.75" customHeight="1">
      <c r="A153" s="26"/>
      <c r="B153" s="179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7"/>
      <c r="AT153" s="26"/>
      <c r="AU153" s="47"/>
    </row>
    <row r="154" spans="1:47" ht="15.75" customHeight="1">
      <c r="A154" s="26"/>
      <c r="B154" s="179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7"/>
      <c r="AT154" s="26"/>
      <c r="AU154" s="47"/>
    </row>
    <row r="155" spans="1:47" ht="15.75" customHeight="1">
      <c r="A155" s="26"/>
      <c r="B155" s="17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7"/>
      <c r="AT155" s="26"/>
      <c r="AU155" s="47"/>
    </row>
    <row r="156" spans="1:47" ht="15.75" customHeight="1">
      <c r="A156" s="26"/>
      <c r="B156" s="179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7"/>
      <c r="AT156" s="26"/>
      <c r="AU156" s="47"/>
    </row>
    <row r="157" spans="1:47" ht="15.75" customHeight="1">
      <c r="A157" s="26"/>
      <c r="B157" s="179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7"/>
      <c r="AT157" s="26"/>
      <c r="AU157" s="47"/>
    </row>
    <row r="158" spans="1:47" ht="15.75" customHeight="1">
      <c r="A158" s="26"/>
      <c r="B158" s="179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7"/>
      <c r="AT158" s="26"/>
      <c r="AU158" s="47"/>
    </row>
    <row r="159" spans="1:47" ht="15.75" customHeight="1">
      <c r="A159" s="26"/>
      <c r="B159" s="179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7"/>
      <c r="AT159" s="26"/>
      <c r="AU159" s="47"/>
    </row>
    <row r="160" spans="1:47" ht="15.75" customHeight="1">
      <c r="A160" s="26"/>
      <c r="B160" s="179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7"/>
      <c r="AT160" s="26"/>
      <c r="AU160" s="47"/>
    </row>
    <row r="161" spans="1:47" ht="15.75" customHeight="1">
      <c r="A161" s="26"/>
      <c r="B161" s="179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7"/>
      <c r="AT161" s="26"/>
      <c r="AU161" s="47"/>
    </row>
    <row r="162" spans="1:47" ht="15.75" customHeight="1">
      <c r="A162" s="26"/>
      <c r="B162" s="179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7"/>
      <c r="AT162" s="26"/>
      <c r="AU162" s="47"/>
    </row>
    <row r="163" spans="1:47" ht="15.75" customHeight="1">
      <c r="A163" s="26"/>
      <c r="B163" s="179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7"/>
      <c r="AT163" s="26"/>
      <c r="AU163" s="47"/>
    </row>
    <row r="164" spans="1:47" ht="15.75" customHeight="1">
      <c r="A164" s="26"/>
      <c r="B164" s="179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7"/>
      <c r="AT164" s="26"/>
      <c r="AU164" s="47"/>
    </row>
    <row r="165" spans="1:47" ht="15.75" customHeight="1">
      <c r="A165" s="26"/>
      <c r="B165" s="179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7"/>
      <c r="AT165" s="26"/>
      <c r="AU165" s="47"/>
    </row>
    <row r="166" spans="1:47" ht="15.75" customHeight="1">
      <c r="A166" s="26"/>
      <c r="B166" s="179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7"/>
      <c r="AT166" s="26"/>
      <c r="AU166" s="47"/>
    </row>
    <row r="167" spans="1:47" ht="15.75" customHeight="1">
      <c r="A167" s="26"/>
      <c r="B167" s="179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7"/>
      <c r="AT167" s="26"/>
      <c r="AU167" s="47"/>
    </row>
    <row r="168" spans="1:47" ht="15.75" customHeight="1">
      <c r="A168" s="26"/>
      <c r="B168" s="179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7"/>
      <c r="AT168" s="26"/>
      <c r="AU168" s="47"/>
    </row>
    <row r="169" spans="1:47" ht="15.75" customHeight="1">
      <c r="A169" s="26"/>
      <c r="B169" s="179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7"/>
      <c r="AT169" s="26"/>
      <c r="AU169" s="47"/>
    </row>
    <row r="170" spans="1:47" ht="15.75" customHeight="1">
      <c r="A170" s="26"/>
      <c r="B170" s="179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7"/>
      <c r="AT170" s="26"/>
      <c r="AU170" s="47"/>
    </row>
    <row r="171" spans="1:47" ht="15.75" customHeight="1">
      <c r="A171" s="26"/>
      <c r="B171" s="179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7"/>
      <c r="AT171" s="26"/>
      <c r="AU171" s="47"/>
    </row>
    <row r="172" spans="1:47" ht="15.75" customHeight="1">
      <c r="A172" s="26"/>
      <c r="B172" s="179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7"/>
      <c r="AT172" s="26"/>
      <c r="AU172" s="47"/>
    </row>
    <row r="173" spans="1:47" ht="15.75" customHeight="1">
      <c r="A173" s="26"/>
      <c r="B173" s="179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7"/>
      <c r="AT173" s="26"/>
      <c r="AU173" s="47"/>
    </row>
    <row r="174" spans="1:47" ht="15.75" customHeight="1">
      <c r="A174" s="26"/>
      <c r="B174" s="179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7"/>
      <c r="AT174" s="26"/>
      <c r="AU174" s="47"/>
    </row>
    <row r="175" spans="1:47" ht="15.75" customHeight="1">
      <c r="A175" s="26"/>
      <c r="B175" s="179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7"/>
      <c r="AT175" s="26"/>
      <c r="AU175" s="47"/>
    </row>
    <row r="176" spans="1:47" ht="15.75" customHeight="1">
      <c r="A176" s="26"/>
      <c r="B176" s="179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7"/>
      <c r="AT176" s="26"/>
      <c r="AU176" s="47"/>
    </row>
    <row r="177" spans="1:47" ht="15.75" customHeight="1">
      <c r="A177" s="26"/>
      <c r="B177" s="179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7"/>
      <c r="AT177" s="26"/>
      <c r="AU177" s="47"/>
    </row>
    <row r="178" spans="1:47" ht="15.75" customHeight="1">
      <c r="A178" s="26"/>
      <c r="B178" s="179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7"/>
      <c r="AT178" s="26"/>
      <c r="AU178" s="47"/>
    </row>
    <row r="179" spans="1:47" ht="15.75" customHeight="1">
      <c r="A179" s="26"/>
      <c r="B179" s="179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7"/>
      <c r="AT179" s="26"/>
      <c r="AU179" s="47"/>
    </row>
    <row r="180" spans="1:47" ht="15.75" customHeight="1">
      <c r="A180" s="26"/>
      <c r="B180" s="179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7"/>
      <c r="AT180" s="26"/>
      <c r="AU180" s="47"/>
    </row>
    <row r="181" spans="1:47" ht="15.75" customHeight="1">
      <c r="A181" s="26"/>
      <c r="B181" s="179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7"/>
      <c r="AT181" s="26"/>
      <c r="AU181" s="47"/>
    </row>
    <row r="182" spans="1:47" ht="15.75" customHeight="1">
      <c r="A182" s="26"/>
      <c r="B182" s="179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7"/>
      <c r="AT182" s="26"/>
      <c r="AU182" s="47"/>
    </row>
    <row r="183" spans="1:47" ht="15.75" customHeight="1">
      <c r="A183" s="26"/>
      <c r="B183" s="179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7"/>
      <c r="AT183" s="26"/>
      <c r="AU183" s="47"/>
    </row>
    <row r="184" spans="1:47" ht="15.75" customHeight="1">
      <c r="A184" s="26"/>
      <c r="B184" s="179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7"/>
      <c r="AT184" s="26"/>
      <c r="AU184" s="47"/>
    </row>
    <row r="185" spans="1:47" ht="15.75" customHeight="1">
      <c r="A185" s="26"/>
      <c r="B185" s="179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7"/>
      <c r="AT185" s="26"/>
      <c r="AU185" s="47"/>
    </row>
    <row r="186" spans="1:47" ht="15.75" customHeight="1">
      <c r="A186" s="26"/>
      <c r="B186" s="179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7"/>
      <c r="AT186" s="26"/>
      <c r="AU186" s="47"/>
    </row>
    <row r="187" spans="1:47" ht="15.75" customHeight="1">
      <c r="A187" s="26"/>
      <c r="B187" s="179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7"/>
      <c r="AT187" s="26"/>
      <c r="AU187" s="47"/>
    </row>
    <row r="188" spans="1:47" ht="15.75" customHeight="1">
      <c r="A188" s="26"/>
      <c r="B188" s="179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7"/>
      <c r="AT188" s="26"/>
      <c r="AU188" s="47"/>
    </row>
    <row r="189" spans="1:47" ht="15.75" customHeight="1">
      <c r="A189" s="26"/>
      <c r="B189" s="179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7"/>
      <c r="AT189" s="26"/>
      <c r="AU189" s="47"/>
    </row>
    <row r="190" spans="1:47" ht="15.75" customHeight="1">
      <c r="A190" s="26"/>
      <c r="B190" s="179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7"/>
      <c r="AT190" s="26"/>
      <c r="AU190" s="47"/>
    </row>
    <row r="191" spans="1:47" ht="15.75" customHeight="1">
      <c r="A191" s="26"/>
      <c r="B191" s="179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7"/>
      <c r="AT191" s="26"/>
      <c r="AU191" s="47"/>
    </row>
    <row r="192" spans="1:47" ht="15.75" customHeight="1">
      <c r="A192" s="26"/>
      <c r="B192" s="179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7"/>
      <c r="AT192" s="26"/>
      <c r="AU192" s="47"/>
    </row>
    <row r="193" spans="1:47" ht="15.75" customHeight="1">
      <c r="A193" s="26"/>
      <c r="B193" s="179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7"/>
      <c r="AT193" s="26"/>
      <c r="AU193" s="47"/>
    </row>
    <row r="194" spans="1:47" ht="15.75" customHeight="1">
      <c r="A194" s="26"/>
      <c r="B194" s="179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7"/>
      <c r="AT194" s="26"/>
      <c r="AU194" s="47"/>
    </row>
    <row r="195" spans="1:47" ht="15.75" customHeight="1">
      <c r="A195" s="26"/>
      <c r="B195" s="179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7"/>
      <c r="AT195" s="26"/>
      <c r="AU195" s="47"/>
    </row>
    <row r="196" spans="1:47" ht="15.75" customHeight="1">
      <c r="A196" s="26"/>
      <c r="B196" s="179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7"/>
      <c r="AT196" s="26"/>
      <c r="AU196" s="47"/>
    </row>
    <row r="197" spans="1:47" ht="15.75" customHeight="1">
      <c r="A197" s="26"/>
      <c r="B197" s="179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7"/>
      <c r="AT197" s="26"/>
      <c r="AU197" s="47"/>
    </row>
    <row r="198" spans="1:47" ht="15.75" customHeight="1">
      <c r="A198" s="26"/>
      <c r="B198" s="179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7"/>
      <c r="AT198" s="26"/>
      <c r="AU198" s="47"/>
    </row>
    <row r="199" spans="1:47" ht="15.75" customHeight="1">
      <c r="A199" s="26"/>
      <c r="B199" s="179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7"/>
      <c r="AT199" s="26"/>
      <c r="AU199" s="47"/>
    </row>
    <row r="200" spans="1:47" ht="15.75" customHeight="1">
      <c r="A200" s="26"/>
      <c r="B200" s="179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7"/>
      <c r="AT200" s="26"/>
      <c r="AU200" s="47"/>
    </row>
    <row r="201" spans="1:47" ht="15.75" customHeight="1">
      <c r="A201" s="26"/>
      <c r="B201" s="179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7"/>
      <c r="AT201" s="26"/>
      <c r="AU201" s="47"/>
    </row>
    <row r="202" spans="1:47" ht="15.75" customHeight="1">
      <c r="A202" s="26"/>
      <c r="B202" s="179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7"/>
      <c r="AT202" s="26"/>
      <c r="AU202" s="47"/>
    </row>
    <row r="203" spans="1:47" ht="15.75" customHeight="1">
      <c r="A203" s="26"/>
      <c r="B203" s="179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7"/>
      <c r="AT203" s="26"/>
      <c r="AU203" s="47"/>
    </row>
    <row r="204" spans="1:47" ht="15.75" customHeight="1">
      <c r="A204" s="26"/>
      <c r="B204" s="179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7"/>
      <c r="AT204" s="26"/>
      <c r="AU204" s="47"/>
    </row>
    <row r="205" spans="1:47" ht="15.75" customHeight="1">
      <c r="A205" s="26"/>
      <c r="B205" s="179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7"/>
      <c r="AT205" s="26"/>
      <c r="AU205" s="47"/>
    </row>
    <row r="206" spans="1:47" ht="15.75" customHeight="1">
      <c r="A206" s="26"/>
      <c r="B206" s="179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7"/>
      <c r="AT206" s="26"/>
      <c r="AU206" s="47"/>
    </row>
    <row r="207" spans="1:47" ht="15.75" customHeight="1">
      <c r="A207" s="26"/>
      <c r="B207" s="179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7"/>
      <c r="AT207" s="26"/>
      <c r="AU207" s="47"/>
    </row>
    <row r="208" spans="1:47" ht="15.75" customHeight="1">
      <c r="A208" s="26"/>
      <c r="B208" s="179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7"/>
      <c r="AT208" s="26"/>
      <c r="AU208" s="47"/>
    </row>
    <row r="209" spans="1:47" ht="15.75" customHeight="1">
      <c r="A209" s="26"/>
      <c r="B209" s="179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7"/>
      <c r="AT209" s="26"/>
      <c r="AU209" s="47"/>
    </row>
    <row r="210" spans="1:47" ht="15.75" customHeight="1">
      <c r="A210" s="26"/>
      <c r="B210" s="179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7"/>
      <c r="AT210" s="26"/>
      <c r="AU210" s="47"/>
    </row>
    <row r="211" spans="1:47" ht="15.75" customHeight="1">
      <c r="A211" s="26"/>
      <c r="B211" s="179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7"/>
      <c r="AT211" s="26"/>
      <c r="AU211" s="47"/>
    </row>
    <row r="212" spans="1:47" ht="15.75" customHeight="1">
      <c r="A212" s="26"/>
      <c r="B212" s="179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7"/>
      <c r="AT212" s="26"/>
      <c r="AU212" s="47"/>
    </row>
    <row r="213" spans="1:47" ht="15.75" customHeight="1">
      <c r="A213" s="26"/>
      <c r="B213" s="179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7"/>
      <c r="AT213" s="26"/>
      <c r="AU213" s="47"/>
    </row>
    <row r="214" spans="1:47" ht="15.75" customHeight="1">
      <c r="A214" s="26"/>
      <c r="B214" s="179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7"/>
      <c r="AT214" s="26"/>
      <c r="AU214" s="47"/>
    </row>
    <row r="215" spans="1:47" ht="15.75" customHeight="1">
      <c r="A215" s="26"/>
      <c r="B215" s="179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7"/>
      <c r="AT215" s="26"/>
      <c r="AU215" s="47"/>
    </row>
    <row r="216" spans="1:47" ht="15.75" customHeight="1">
      <c r="A216" s="26"/>
      <c r="B216" s="179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7"/>
      <c r="AT216" s="26"/>
      <c r="AU216" s="47"/>
    </row>
    <row r="217" spans="1:47" ht="15.75" customHeight="1">
      <c r="A217" s="26"/>
      <c r="B217" s="179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7"/>
      <c r="AT217" s="26"/>
      <c r="AU217" s="47"/>
    </row>
    <row r="218" spans="1:47" ht="15.75" customHeight="1">
      <c r="A218" s="26"/>
      <c r="B218" s="179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7"/>
      <c r="AT218" s="26"/>
      <c r="AU218" s="47"/>
    </row>
    <row r="219" spans="1:47" ht="15.75" customHeight="1">
      <c r="A219" s="26"/>
      <c r="B219" s="179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7"/>
      <c r="AT219" s="26"/>
      <c r="AU219" s="47"/>
    </row>
    <row r="220" spans="1:47" ht="15.75" customHeight="1">
      <c r="A220" s="26"/>
      <c r="B220" s="179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7"/>
      <c r="AT220" s="26"/>
      <c r="AU220" s="47"/>
    </row>
    <row r="221" spans="1:47" ht="15.75" customHeight="1">
      <c r="A221" s="26"/>
      <c r="B221" s="179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7"/>
      <c r="AT221" s="26"/>
      <c r="AU221" s="47"/>
    </row>
    <row r="222" spans="1:47" ht="15.75" customHeight="1">
      <c r="A222" s="26"/>
      <c r="B222" s="179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7"/>
      <c r="AT222" s="26"/>
      <c r="AU222" s="47"/>
    </row>
    <row r="223" spans="1:47" ht="15.75" customHeight="1">
      <c r="A223" s="26"/>
      <c r="B223" s="179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7"/>
      <c r="AT223" s="26"/>
      <c r="AU223" s="47"/>
    </row>
    <row r="224" spans="1:47" ht="15.75" customHeight="1">
      <c r="A224" s="26"/>
      <c r="B224" s="179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7"/>
      <c r="AT224" s="26"/>
      <c r="AU224" s="47"/>
    </row>
    <row r="225" spans="1:47" ht="15.75" customHeight="1">
      <c r="A225" s="26"/>
      <c r="B225" s="179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7"/>
      <c r="AT225" s="26"/>
      <c r="AU225" s="47"/>
    </row>
    <row r="226" spans="1:47" ht="15.75" customHeight="1">
      <c r="A226" s="26"/>
      <c r="B226" s="179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7"/>
      <c r="AT226" s="26"/>
      <c r="AU226" s="47"/>
    </row>
    <row r="227" spans="1:47" ht="15.75" customHeight="1">
      <c r="A227" s="26"/>
      <c r="B227" s="179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7"/>
      <c r="AT227" s="26"/>
      <c r="AU227" s="47"/>
    </row>
    <row r="228" spans="1:47" ht="15.75" customHeight="1">
      <c r="A228" s="26"/>
      <c r="B228" s="179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7"/>
      <c r="AT228" s="26"/>
      <c r="AU228" s="47"/>
    </row>
    <row r="229" spans="1:47" ht="15.75" customHeight="1">
      <c r="A229" s="26"/>
      <c r="B229" s="179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7"/>
      <c r="AT229" s="26"/>
      <c r="AU229" s="47"/>
    </row>
    <row r="230" spans="1:47" ht="15.75" customHeight="1">
      <c r="A230" s="26"/>
      <c r="B230" s="179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7"/>
      <c r="AT230" s="26"/>
      <c r="AU230" s="47"/>
    </row>
    <row r="231" spans="1:47" ht="15.75" customHeight="1">
      <c r="A231" s="26"/>
      <c r="B231" s="179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7"/>
      <c r="AT231" s="26"/>
      <c r="AU231" s="47"/>
    </row>
    <row r="232" spans="1:47" ht="15.75" customHeight="1">
      <c r="A232" s="26"/>
      <c r="B232" s="179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7"/>
      <c r="AT232" s="26"/>
      <c r="AU232" s="47"/>
    </row>
    <row r="233" spans="1:47" ht="15.75" customHeight="1">
      <c r="A233" s="26"/>
      <c r="B233" s="179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7"/>
      <c r="AT233" s="26"/>
      <c r="AU233" s="47"/>
    </row>
    <row r="234" spans="1:47" ht="15.75" customHeight="1">
      <c r="A234" s="26"/>
      <c r="B234" s="179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7"/>
      <c r="AT234" s="26"/>
      <c r="AU234" s="47"/>
    </row>
    <row r="235" spans="1:47" ht="15.75" customHeight="1">
      <c r="A235" s="26"/>
      <c r="B235" s="179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7"/>
      <c r="AT235" s="26"/>
      <c r="AU235" s="47"/>
    </row>
    <row r="236" spans="1:47" ht="15.75" customHeight="1">
      <c r="A236" s="26"/>
      <c r="B236" s="179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7"/>
      <c r="AT236" s="26"/>
      <c r="AU236" s="47"/>
    </row>
    <row r="237" spans="1:47" ht="15.75" customHeight="1">
      <c r="A237" s="26"/>
      <c r="B237" s="179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7"/>
      <c r="AT237" s="26"/>
      <c r="AU237" s="47"/>
    </row>
    <row r="238" spans="1:47" ht="15.75" customHeight="1">
      <c r="A238" s="26"/>
      <c r="B238" s="179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7"/>
      <c r="AT238" s="26"/>
      <c r="AU238" s="47"/>
    </row>
    <row r="239" spans="1:47" ht="15.75" customHeight="1">
      <c r="A239" s="26"/>
      <c r="B239" s="179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7"/>
      <c r="AT239" s="26"/>
      <c r="AU239" s="47"/>
    </row>
    <row r="240" spans="1:47" ht="15.75" customHeight="1">
      <c r="A240" s="26"/>
      <c r="B240" s="179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7"/>
      <c r="AT240" s="26"/>
      <c r="AU240" s="47"/>
    </row>
    <row r="241" spans="1:47" ht="15.75" customHeight="1">
      <c r="A241" s="26"/>
      <c r="B241" s="179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7"/>
      <c r="AT241" s="26"/>
      <c r="AU241" s="47"/>
    </row>
    <row r="242" spans="1:47" ht="15.75" customHeight="1">
      <c r="A242" s="26"/>
      <c r="B242" s="179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7"/>
      <c r="AT242" s="26"/>
      <c r="AU242" s="47"/>
    </row>
    <row r="243" spans="1:47" ht="15.75" customHeight="1">
      <c r="A243" s="26"/>
      <c r="B243" s="179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7"/>
      <c r="AT243" s="26"/>
      <c r="AU243" s="47"/>
    </row>
    <row r="244" spans="1:47" ht="15.75" customHeight="1">
      <c r="A244" s="26"/>
      <c r="B244" s="179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7"/>
      <c r="AT244" s="26"/>
      <c r="AU244" s="47"/>
    </row>
    <row r="245" spans="1:47" ht="15.75" customHeight="1">
      <c r="A245" s="26"/>
      <c r="B245" s="179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7"/>
      <c r="AT245" s="26"/>
      <c r="AU245" s="47"/>
    </row>
    <row r="246" spans="1:47" ht="15.75" customHeight="1">
      <c r="A246" s="26"/>
      <c r="B246" s="179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7"/>
      <c r="AT246" s="26"/>
      <c r="AU246" s="47"/>
    </row>
    <row r="247" spans="1:47" ht="15.75" customHeight="1">
      <c r="A247" s="26"/>
      <c r="B247" s="179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7"/>
      <c r="AT247" s="26"/>
      <c r="AU247" s="47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X1000"/>
  <sheetViews>
    <sheetView zoomScale="94" workbookViewId="0">
      <selection activeCell="A15"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8.285156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7" width="9.28515625" style="4" customWidth="1"/>
    <col min="48" max="48" width="10.28515625" style="4" customWidth="1"/>
    <col min="49" max="16384" width="10.28515625" style="4"/>
  </cols>
  <sheetData>
    <row r="1" spans="1:48" ht="13.5" customHeight="1">
      <c r="A1" s="1" t="s">
        <v>0</v>
      </c>
      <c r="B1" s="17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8" ht="13.5" customHeight="1">
      <c r="A2" s="5">
        <v>2024</v>
      </c>
      <c r="B2" s="174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8" ht="33" customHeight="1">
      <c r="A3" s="9"/>
      <c r="B3" s="175" t="s">
        <v>2</v>
      </c>
      <c r="C3" s="10"/>
      <c r="D3" s="165" t="s">
        <v>3</v>
      </c>
      <c r="E3" s="155"/>
      <c r="F3" s="155"/>
      <c r="G3" s="155"/>
      <c r="H3" s="155"/>
      <c r="I3" s="155"/>
      <c r="J3" s="155"/>
      <c r="K3" s="155"/>
      <c r="L3" s="166" t="s">
        <v>4</v>
      </c>
      <c r="M3" s="155"/>
      <c r="N3" s="155"/>
      <c r="O3" s="155"/>
      <c r="P3" s="155"/>
      <c r="Q3" s="155"/>
      <c r="R3" s="155"/>
      <c r="S3" s="155"/>
      <c r="T3" s="167" t="s">
        <v>5</v>
      </c>
      <c r="U3" s="152"/>
      <c r="V3" s="152"/>
      <c r="W3" s="152"/>
      <c r="X3" s="224"/>
      <c r="Y3" s="225" t="s">
        <v>6</v>
      </c>
      <c r="Z3" s="155"/>
      <c r="AA3" s="155"/>
      <c r="AB3" s="155"/>
      <c r="AC3" s="155"/>
      <c r="AD3" s="155"/>
      <c r="AE3" s="155"/>
      <c r="AF3" s="155"/>
      <c r="AG3" s="167" t="s">
        <v>7</v>
      </c>
      <c r="AH3" s="152"/>
      <c r="AI3" s="152"/>
      <c r="AJ3" s="152"/>
      <c r="AK3" s="224"/>
      <c r="AL3" s="226" t="s">
        <v>8</v>
      </c>
      <c r="AM3" s="152"/>
      <c r="AN3" s="152"/>
      <c r="AO3" s="152"/>
      <c r="AP3" s="152"/>
      <c r="AQ3" s="152"/>
      <c r="AR3" s="152"/>
      <c r="AS3" s="153"/>
      <c r="AT3" s="2"/>
      <c r="AU3" s="3"/>
    </row>
    <row r="4" spans="1:48" ht="53.25" customHeight="1" thickBot="1">
      <c r="A4" s="9"/>
      <c r="B4" s="164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227"/>
      <c r="Y4" s="228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227" t="s">
        <v>27</v>
      </c>
      <c r="AL4" s="14" t="s">
        <v>28</v>
      </c>
      <c r="AM4" s="12" t="s">
        <v>29</v>
      </c>
      <c r="AN4" s="12" t="s">
        <v>30</v>
      </c>
      <c r="AO4" s="12" t="s">
        <v>31</v>
      </c>
      <c r="AP4" s="12" t="s">
        <v>32</v>
      </c>
      <c r="AQ4" s="12" t="s">
        <v>33</v>
      </c>
      <c r="AR4" s="12" t="s">
        <v>34</v>
      </c>
      <c r="AS4" s="229" t="s">
        <v>35</v>
      </c>
      <c r="AT4" s="2"/>
      <c r="AU4" s="3" t="s">
        <v>62</v>
      </c>
      <c r="AV4" s="230" t="s">
        <v>63</v>
      </c>
    </row>
    <row r="5" spans="1:48" ht="13.5" customHeight="1" thickTop="1">
      <c r="A5" s="139"/>
      <c r="B5" s="183">
        <f>DATE($A$2,$B$2,1)</f>
        <v>45323</v>
      </c>
      <c r="C5" s="184" t="s">
        <v>68</v>
      </c>
      <c r="D5" s="185"/>
      <c r="E5" s="186"/>
      <c r="F5" s="187"/>
      <c r="G5" s="188" t="e">
        <f t="shared" ref="G5:G35" si="0">ROUNDDOWN(F5/1.1,0)/E5</f>
        <v>#DIV/0!</v>
      </c>
      <c r="H5" s="187"/>
      <c r="I5" s="189" t="e">
        <f t="shared" ref="I5:I35" si="1">ROUNDDOWN(H5/1.1,0)/E5</f>
        <v>#DIV/0!</v>
      </c>
      <c r="J5" s="190">
        <f t="shared" ref="J5:J35" si="2">F5+H5</f>
        <v>0</v>
      </c>
      <c r="K5" s="191" t="str">
        <f t="shared" ref="K5:K35" si="3">IF(E5="","",J5/E5)</f>
        <v/>
      </c>
      <c r="L5" s="192"/>
      <c r="M5" s="193">
        <f t="shared" ref="M5:N35" si="4">AL5-E5</f>
        <v>0</v>
      </c>
      <c r="N5" s="194">
        <f t="shared" si="4"/>
        <v>0</v>
      </c>
      <c r="O5" s="188" t="e">
        <f t="shared" ref="O5:O35" si="5">ROUNDDOWN(N5/1.1,0)/M5</f>
        <v>#DIV/0!</v>
      </c>
      <c r="P5" s="194">
        <f t="shared" ref="P5:P35" si="6">AN5-H5</f>
        <v>0</v>
      </c>
      <c r="Q5" s="189" t="e">
        <f t="shared" ref="Q5:Q35" si="7">ROUNDDOWN(P5/1.1,0)/M5</f>
        <v>#DIV/0!</v>
      </c>
      <c r="R5" s="195">
        <f t="shared" ref="R5:R35" si="8">N5+P5</f>
        <v>0</v>
      </c>
      <c r="S5" s="191" t="e">
        <f t="shared" ref="S5:S35" si="9">IF(M5="","",R5/M5)</f>
        <v>#DIV/0!</v>
      </c>
      <c r="T5" s="196">
        <f t="shared" ref="T5:U35" si="10">E5+M5</f>
        <v>0</v>
      </c>
      <c r="U5" s="194">
        <f t="shared" si="10"/>
        <v>0</v>
      </c>
      <c r="V5" s="194">
        <f t="shared" ref="V5:V35" si="11">H5+P5</f>
        <v>0</v>
      </c>
      <c r="W5" s="197">
        <f t="shared" ref="W5:W35" si="12">J5+R5</f>
        <v>0</v>
      </c>
      <c r="X5" s="231" t="e">
        <f t="shared" ref="X5:X34" si="13">IF(T5="","",W5/T5)</f>
        <v>#DIV/0!</v>
      </c>
      <c r="Y5" s="232"/>
      <c r="Z5" s="198"/>
      <c r="AA5" s="187"/>
      <c r="AB5" s="188" t="e">
        <f t="shared" ref="AB5:AB35" si="14">AA5/Z5</f>
        <v>#DIV/0!</v>
      </c>
      <c r="AC5" s="187"/>
      <c r="AD5" s="189" t="e">
        <f t="shared" ref="AD5:AD35" si="15">AC5/Z5</f>
        <v>#DIV/0!</v>
      </c>
      <c r="AE5" s="199">
        <f t="shared" ref="AE5:AE35" si="16">AA5+AC5</f>
        <v>0</v>
      </c>
      <c r="AF5" s="191" t="str">
        <f t="shared" ref="AF5:AF35" si="17">IF(Z5="","",AE5/Z5)</f>
        <v/>
      </c>
      <c r="AG5" s="196">
        <f t="shared" ref="AG5:AG35" si="18">SUM(E5,M5)</f>
        <v>0</v>
      </c>
      <c r="AH5" s="194">
        <f t="shared" ref="AH5:AH35" si="19">U5+AA5</f>
        <v>0</v>
      </c>
      <c r="AI5" s="194">
        <f t="shared" ref="AI5:AI35" si="20">V5+AC5</f>
        <v>0</v>
      </c>
      <c r="AJ5" s="200">
        <f t="shared" ref="AJ5:AJ35" si="21">W5+AE5</f>
        <v>0</v>
      </c>
      <c r="AK5" s="231">
        <f t="shared" ref="AK5:AK35" si="22">AO5+AP5+AQ5</f>
        <v>0</v>
      </c>
      <c r="AL5" s="233"/>
      <c r="AM5" s="234"/>
      <c r="AN5" s="234"/>
      <c r="AO5" s="235"/>
      <c r="AP5" s="235"/>
      <c r="AQ5" s="235">
        <v>0</v>
      </c>
      <c r="AR5" s="235">
        <v>0</v>
      </c>
      <c r="AS5" s="236">
        <f t="shared" ref="AS5:AS24" si="23">SUM(AM5:AQ5)</f>
        <v>0</v>
      </c>
      <c r="AT5" s="139">
        <v>1</v>
      </c>
      <c r="AU5" s="140">
        <f t="shared" ref="AU5:AU35" si="24">AR5+AS5</f>
        <v>0</v>
      </c>
      <c r="AV5" s="237">
        <f t="shared" ref="AV5:AV35" si="25">AU5+AE5</f>
        <v>0</v>
      </c>
    </row>
    <row r="6" spans="1:48" ht="13.5" customHeight="1">
      <c r="A6" s="139"/>
      <c r="B6" s="207">
        <f t="shared" ref="B6:B33" si="26">B5+1</f>
        <v>45324</v>
      </c>
      <c r="C6" s="184" t="s">
        <v>68</v>
      </c>
      <c r="D6" s="185"/>
      <c r="E6" s="186"/>
      <c r="F6" s="187"/>
      <c r="G6" s="188" t="e">
        <f t="shared" si="0"/>
        <v>#DIV/0!</v>
      </c>
      <c r="H6" s="187"/>
      <c r="I6" s="189" t="e">
        <f t="shared" si="1"/>
        <v>#DIV/0!</v>
      </c>
      <c r="J6" s="190">
        <f t="shared" si="2"/>
        <v>0</v>
      </c>
      <c r="K6" s="191" t="str">
        <f t="shared" si="3"/>
        <v/>
      </c>
      <c r="L6" s="192"/>
      <c r="M6" s="193">
        <f t="shared" si="4"/>
        <v>0</v>
      </c>
      <c r="N6" s="194">
        <f t="shared" si="4"/>
        <v>0</v>
      </c>
      <c r="O6" s="188" t="e">
        <f t="shared" si="5"/>
        <v>#DIV/0!</v>
      </c>
      <c r="P6" s="194">
        <f t="shared" si="6"/>
        <v>0</v>
      </c>
      <c r="Q6" s="189" t="e">
        <f t="shared" si="7"/>
        <v>#DIV/0!</v>
      </c>
      <c r="R6" s="195">
        <f t="shared" si="8"/>
        <v>0</v>
      </c>
      <c r="S6" s="191" t="e">
        <f t="shared" si="9"/>
        <v>#DIV/0!</v>
      </c>
      <c r="T6" s="196">
        <f t="shared" si="10"/>
        <v>0</v>
      </c>
      <c r="U6" s="194">
        <f t="shared" si="10"/>
        <v>0</v>
      </c>
      <c r="V6" s="194">
        <f t="shared" si="11"/>
        <v>0</v>
      </c>
      <c r="W6" s="197">
        <f t="shared" si="12"/>
        <v>0</v>
      </c>
      <c r="X6" s="231" t="e">
        <f t="shared" si="13"/>
        <v>#DIV/0!</v>
      </c>
      <c r="Y6" s="232"/>
      <c r="Z6" s="198"/>
      <c r="AA6" s="187"/>
      <c r="AB6" s="188" t="e">
        <f t="shared" si="14"/>
        <v>#DIV/0!</v>
      </c>
      <c r="AC6" s="187"/>
      <c r="AD6" s="189" t="e">
        <f t="shared" si="15"/>
        <v>#DIV/0!</v>
      </c>
      <c r="AE6" s="199">
        <f t="shared" si="16"/>
        <v>0</v>
      </c>
      <c r="AF6" s="191" t="str">
        <f t="shared" si="17"/>
        <v/>
      </c>
      <c r="AG6" s="205">
        <f t="shared" si="18"/>
        <v>0</v>
      </c>
      <c r="AH6" s="194">
        <f t="shared" si="19"/>
        <v>0</v>
      </c>
      <c r="AI6" s="194">
        <f t="shared" si="20"/>
        <v>0</v>
      </c>
      <c r="AJ6" s="200">
        <f t="shared" si="21"/>
        <v>0</v>
      </c>
      <c r="AK6" s="231">
        <f t="shared" si="22"/>
        <v>0</v>
      </c>
      <c r="AL6" s="238"/>
      <c r="AM6" s="201"/>
      <c r="AN6" s="201"/>
      <c r="AO6" s="202"/>
      <c r="AP6" s="202"/>
      <c r="AQ6" s="202">
        <v>0</v>
      </c>
      <c r="AR6" s="202">
        <v>0</v>
      </c>
      <c r="AS6" s="203">
        <f t="shared" si="23"/>
        <v>0</v>
      </c>
      <c r="AT6" s="139">
        <v>2</v>
      </c>
      <c r="AU6" s="140">
        <f t="shared" si="24"/>
        <v>0</v>
      </c>
      <c r="AV6" s="237">
        <f t="shared" si="25"/>
        <v>0</v>
      </c>
    </row>
    <row r="7" spans="1:48" ht="13.5" customHeight="1">
      <c r="A7" s="139"/>
      <c r="B7" s="250">
        <f t="shared" si="26"/>
        <v>45325</v>
      </c>
      <c r="C7" s="184"/>
      <c r="D7" s="185"/>
      <c r="E7" s="186">
        <v>24</v>
      </c>
      <c r="F7" s="187">
        <v>78364</v>
      </c>
      <c r="G7" s="188">
        <f t="shared" si="0"/>
        <v>2968.3333333333335</v>
      </c>
      <c r="H7" s="187">
        <v>22420</v>
      </c>
      <c r="I7" s="189">
        <f t="shared" si="1"/>
        <v>849.20833333333337</v>
      </c>
      <c r="J7" s="190">
        <f t="shared" si="2"/>
        <v>100784</v>
      </c>
      <c r="K7" s="191">
        <f t="shared" si="3"/>
        <v>4199.333333333333</v>
      </c>
      <c r="L7" s="192"/>
      <c r="M7" s="193">
        <f t="shared" si="4"/>
        <v>40</v>
      </c>
      <c r="N7" s="194">
        <f t="shared" si="4"/>
        <v>363750</v>
      </c>
      <c r="O7" s="188">
        <f t="shared" si="5"/>
        <v>8267.0249999999996</v>
      </c>
      <c r="P7" s="194">
        <f t="shared" si="6"/>
        <v>80530</v>
      </c>
      <c r="Q7" s="189">
        <f t="shared" si="7"/>
        <v>1830.2249999999999</v>
      </c>
      <c r="R7" s="195">
        <f t="shared" si="8"/>
        <v>444280</v>
      </c>
      <c r="S7" s="191">
        <f t="shared" si="9"/>
        <v>11107</v>
      </c>
      <c r="T7" s="196">
        <f t="shared" si="10"/>
        <v>64</v>
      </c>
      <c r="U7" s="194">
        <f t="shared" si="10"/>
        <v>442114</v>
      </c>
      <c r="V7" s="194">
        <f t="shared" si="11"/>
        <v>102950</v>
      </c>
      <c r="W7" s="197">
        <f t="shared" si="12"/>
        <v>545064</v>
      </c>
      <c r="X7" s="231">
        <f t="shared" si="13"/>
        <v>8516.625</v>
      </c>
      <c r="Y7" s="232"/>
      <c r="Z7" s="198">
        <v>126</v>
      </c>
      <c r="AA7" s="187">
        <v>80200</v>
      </c>
      <c r="AB7" s="188">
        <f t="shared" si="14"/>
        <v>636.50793650793651</v>
      </c>
      <c r="AC7" s="187">
        <v>33100</v>
      </c>
      <c r="AD7" s="189">
        <f t="shared" si="15"/>
        <v>262.69841269841271</v>
      </c>
      <c r="AE7" s="199">
        <f t="shared" si="16"/>
        <v>113300</v>
      </c>
      <c r="AF7" s="191">
        <f t="shared" si="17"/>
        <v>899.20634920634916</v>
      </c>
      <c r="AG7" s="205">
        <f t="shared" si="18"/>
        <v>64</v>
      </c>
      <c r="AH7" s="194">
        <f t="shared" si="19"/>
        <v>522314</v>
      </c>
      <c r="AI7" s="194">
        <f t="shared" si="20"/>
        <v>136050</v>
      </c>
      <c r="AJ7" s="200">
        <f t="shared" si="21"/>
        <v>658364</v>
      </c>
      <c r="AK7" s="231">
        <f t="shared" si="22"/>
        <v>28050</v>
      </c>
      <c r="AL7" s="238">
        <v>64</v>
      </c>
      <c r="AM7" s="201">
        <v>442114</v>
      </c>
      <c r="AN7" s="201">
        <v>102950</v>
      </c>
      <c r="AO7" s="202">
        <v>28050</v>
      </c>
      <c r="AP7" s="202">
        <v>0</v>
      </c>
      <c r="AQ7" s="202">
        <v>0</v>
      </c>
      <c r="AR7" s="202">
        <v>0</v>
      </c>
      <c r="AS7" s="203">
        <f t="shared" si="23"/>
        <v>573114</v>
      </c>
      <c r="AT7" s="139">
        <v>3</v>
      </c>
      <c r="AU7" s="140">
        <f t="shared" si="24"/>
        <v>573114</v>
      </c>
      <c r="AV7" s="237">
        <f t="shared" si="25"/>
        <v>686414</v>
      </c>
    </row>
    <row r="8" spans="1:48" ht="13.5" customHeight="1">
      <c r="A8" s="139"/>
      <c r="B8" s="206">
        <f t="shared" si="26"/>
        <v>45326</v>
      </c>
      <c r="C8" s="184"/>
      <c r="D8" s="185"/>
      <c r="E8" s="186">
        <v>27</v>
      </c>
      <c r="F8" s="187">
        <v>91652</v>
      </c>
      <c r="G8" s="188">
        <f t="shared" si="0"/>
        <v>3085.9259259259261</v>
      </c>
      <c r="H8" s="187">
        <v>17910</v>
      </c>
      <c r="I8" s="189">
        <f t="shared" si="1"/>
        <v>603</v>
      </c>
      <c r="J8" s="190">
        <f t="shared" si="2"/>
        <v>109562</v>
      </c>
      <c r="K8" s="191">
        <f t="shared" si="3"/>
        <v>4057.8518518518517</v>
      </c>
      <c r="L8" s="192"/>
      <c r="M8" s="193">
        <f t="shared" si="4"/>
        <v>38</v>
      </c>
      <c r="N8" s="194">
        <f t="shared" si="4"/>
        <v>348920</v>
      </c>
      <c r="O8" s="188">
        <f t="shared" si="5"/>
        <v>8347.3684210526317</v>
      </c>
      <c r="P8" s="194">
        <f t="shared" si="6"/>
        <v>72770</v>
      </c>
      <c r="Q8" s="189">
        <f t="shared" si="7"/>
        <v>1740.8947368421052</v>
      </c>
      <c r="R8" s="195">
        <f t="shared" si="8"/>
        <v>421690</v>
      </c>
      <c r="S8" s="191">
        <f t="shared" si="9"/>
        <v>11097.105263157895</v>
      </c>
      <c r="T8" s="196">
        <f t="shared" si="10"/>
        <v>65</v>
      </c>
      <c r="U8" s="194">
        <f t="shared" si="10"/>
        <v>440572</v>
      </c>
      <c r="V8" s="194">
        <f t="shared" si="11"/>
        <v>90680</v>
      </c>
      <c r="W8" s="197">
        <f t="shared" si="12"/>
        <v>531252</v>
      </c>
      <c r="X8" s="231">
        <f t="shared" si="13"/>
        <v>8173.1076923076926</v>
      </c>
      <c r="Y8" s="232"/>
      <c r="Z8" s="198">
        <v>138</v>
      </c>
      <c r="AA8" s="187">
        <v>92850</v>
      </c>
      <c r="AB8" s="188">
        <f t="shared" si="14"/>
        <v>672.82608695652175</v>
      </c>
      <c r="AC8" s="187">
        <v>41400</v>
      </c>
      <c r="AD8" s="189">
        <f t="shared" si="15"/>
        <v>300</v>
      </c>
      <c r="AE8" s="199">
        <f t="shared" si="16"/>
        <v>134250</v>
      </c>
      <c r="AF8" s="191">
        <f t="shared" si="17"/>
        <v>972.82608695652175</v>
      </c>
      <c r="AG8" s="205">
        <f t="shared" si="18"/>
        <v>65</v>
      </c>
      <c r="AH8" s="194">
        <f t="shared" si="19"/>
        <v>533422</v>
      </c>
      <c r="AI8" s="194">
        <f t="shared" si="20"/>
        <v>132080</v>
      </c>
      <c r="AJ8" s="208">
        <f t="shared" si="21"/>
        <v>665502</v>
      </c>
      <c r="AK8" s="231">
        <f t="shared" si="22"/>
        <v>27500</v>
      </c>
      <c r="AL8" s="238">
        <v>65</v>
      </c>
      <c r="AM8" s="201">
        <v>440572</v>
      </c>
      <c r="AN8" s="201">
        <v>90680</v>
      </c>
      <c r="AO8" s="202">
        <v>27500</v>
      </c>
      <c r="AP8" s="202">
        <v>0</v>
      </c>
      <c r="AQ8" s="202">
        <v>0</v>
      </c>
      <c r="AR8" s="202">
        <v>0</v>
      </c>
      <c r="AS8" s="203">
        <f t="shared" si="23"/>
        <v>558752</v>
      </c>
      <c r="AT8" s="139">
        <v>4</v>
      </c>
      <c r="AU8" s="140">
        <f t="shared" si="24"/>
        <v>558752</v>
      </c>
      <c r="AV8" s="237">
        <f t="shared" si="25"/>
        <v>693002</v>
      </c>
    </row>
    <row r="9" spans="1:48" ht="13.5" customHeight="1">
      <c r="A9" s="139"/>
      <c r="B9" s="207">
        <f t="shared" si="26"/>
        <v>45327</v>
      </c>
      <c r="C9" s="184" t="s">
        <v>54</v>
      </c>
      <c r="D9" s="185"/>
      <c r="E9" s="186"/>
      <c r="F9" s="187"/>
      <c r="G9" s="188" t="e">
        <f t="shared" si="0"/>
        <v>#DIV/0!</v>
      </c>
      <c r="H9" s="187"/>
      <c r="I9" s="189" t="e">
        <f t="shared" si="1"/>
        <v>#DIV/0!</v>
      </c>
      <c r="J9" s="190">
        <f t="shared" si="2"/>
        <v>0</v>
      </c>
      <c r="K9" s="191" t="str">
        <f t="shared" si="3"/>
        <v/>
      </c>
      <c r="L9" s="192"/>
      <c r="M9" s="193">
        <f t="shared" si="4"/>
        <v>38</v>
      </c>
      <c r="N9" s="194">
        <f t="shared" si="4"/>
        <v>350240</v>
      </c>
      <c r="O9" s="188">
        <f t="shared" si="5"/>
        <v>8378.9473684210534</v>
      </c>
      <c r="P9" s="194">
        <f t="shared" si="6"/>
        <v>48300</v>
      </c>
      <c r="Q9" s="189">
        <f t="shared" si="7"/>
        <v>1155.5</v>
      </c>
      <c r="R9" s="195">
        <f t="shared" si="8"/>
        <v>398540</v>
      </c>
      <c r="S9" s="191">
        <f t="shared" si="9"/>
        <v>10487.894736842105</v>
      </c>
      <c r="T9" s="196">
        <f t="shared" si="10"/>
        <v>38</v>
      </c>
      <c r="U9" s="194">
        <f t="shared" si="10"/>
        <v>350240</v>
      </c>
      <c r="V9" s="194">
        <f t="shared" si="11"/>
        <v>48300</v>
      </c>
      <c r="W9" s="197">
        <f t="shared" si="12"/>
        <v>398540</v>
      </c>
      <c r="X9" s="231">
        <f t="shared" si="13"/>
        <v>10487.894736842105</v>
      </c>
      <c r="Y9" s="232"/>
      <c r="Z9" s="198">
        <v>244</v>
      </c>
      <c r="AA9" s="187">
        <v>159850</v>
      </c>
      <c r="AB9" s="188">
        <f t="shared" si="14"/>
        <v>655.12295081967216</v>
      </c>
      <c r="AC9" s="187">
        <v>76050</v>
      </c>
      <c r="AD9" s="189">
        <f t="shared" si="15"/>
        <v>311.68032786885249</v>
      </c>
      <c r="AE9" s="199">
        <f t="shared" si="16"/>
        <v>235900</v>
      </c>
      <c r="AF9" s="191">
        <f t="shared" si="17"/>
        <v>966.80327868852464</v>
      </c>
      <c r="AG9" s="205">
        <f t="shared" si="18"/>
        <v>38</v>
      </c>
      <c r="AH9" s="194">
        <f t="shared" si="19"/>
        <v>510090</v>
      </c>
      <c r="AI9" s="194">
        <f t="shared" si="20"/>
        <v>124350</v>
      </c>
      <c r="AJ9" s="200">
        <f t="shared" si="21"/>
        <v>634440</v>
      </c>
      <c r="AK9" s="231">
        <f t="shared" si="22"/>
        <v>22550</v>
      </c>
      <c r="AL9" s="238">
        <v>38</v>
      </c>
      <c r="AM9" s="201">
        <v>350240</v>
      </c>
      <c r="AN9" s="201">
        <v>48300</v>
      </c>
      <c r="AO9" s="202">
        <v>22550</v>
      </c>
      <c r="AP9" s="202">
        <v>0</v>
      </c>
      <c r="AQ9" s="202">
        <v>0</v>
      </c>
      <c r="AR9" s="202">
        <v>0</v>
      </c>
      <c r="AS9" s="203">
        <f t="shared" si="23"/>
        <v>421090</v>
      </c>
      <c r="AT9" s="139">
        <v>5</v>
      </c>
      <c r="AU9" s="140">
        <f t="shared" si="24"/>
        <v>421090</v>
      </c>
      <c r="AV9" s="237">
        <f t="shared" si="25"/>
        <v>656990</v>
      </c>
    </row>
    <row r="10" spans="1:48" ht="13.5" customHeight="1">
      <c r="A10" s="139"/>
      <c r="B10" s="207">
        <f t="shared" si="26"/>
        <v>45328</v>
      </c>
      <c r="C10" s="184" t="s">
        <v>54</v>
      </c>
      <c r="D10" s="185"/>
      <c r="E10" s="186"/>
      <c r="F10" s="187"/>
      <c r="G10" s="188" t="e">
        <f t="shared" si="0"/>
        <v>#DIV/0!</v>
      </c>
      <c r="H10" s="187"/>
      <c r="I10" s="189" t="e">
        <f t="shared" si="1"/>
        <v>#DIV/0!</v>
      </c>
      <c r="J10" s="190">
        <f t="shared" si="2"/>
        <v>0</v>
      </c>
      <c r="K10" s="191" t="str">
        <f t="shared" si="3"/>
        <v/>
      </c>
      <c r="L10" s="192"/>
      <c r="M10" s="193">
        <f t="shared" si="4"/>
        <v>39</v>
      </c>
      <c r="N10" s="194">
        <f t="shared" si="4"/>
        <v>362450</v>
      </c>
      <c r="O10" s="188">
        <f t="shared" si="5"/>
        <v>8448.7179487179492</v>
      </c>
      <c r="P10" s="194">
        <f t="shared" si="6"/>
        <v>54760</v>
      </c>
      <c r="Q10" s="189">
        <f t="shared" si="7"/>
        <v>1276.4358974358975</v>
      </c>
      <c r="R10" s="195">
        <f t="shared" si="8"/>
        <v>417210</v>
      </c>
      <c r="S10" s="191">
        <f t="shared" si="9"/>
        <v>10697.692307692309</v>
      </c>
      <c r="T10" s="196">
        <f t="shared" si="10"/>
        <v>39</v>
      </c>
      <c r="U10" s="194">
        <f t="shared" si="10"/>
        <v>362450</v>
      </c>
      <c r="V10" s="194">
        <f t="shared" si="11"/>
        <v>54760</v>
      </c>
      <c r="W10" s="197">
        <f t="shared" si="12"/>
        <v>417210</v>
      </c>
      <c r="X10" s="231">
        <f t="shared" si="13"/>
        <v>10697.692307692309</v>
      </c>
      <c r="Y10" s="232"/>
      <c r="Z10" s="198">
        <v>183</v>
      </c>
      <c r="AA10" s="187">
        <v>125250</v>
      </c>
      <c r="AB10" s="188">
        <f t="shared" si="14"/>
        <v>684.42622950819668</v>
      </c>
      <c r="AC10" s="187">
        <v>58450</v>
      </c>
      <c r="AD10" s="189">
        <f t="shared" si="15"/>
        <v>319.39890710382514</v>
      </c>
      <c r="AE10" s="199">
        <f t="shared" si="16"/>
        <v>183700</v>
      </c>
      <c r="AF10" s="191">
        <f t="shared" si="17"/>
        <v>1003.8251366120219</v>
      </c>
      <c r="AG10" s="205">
        <f t="shared" si="18"/>
        <v>39</v>
      </c>
      <c r="AH10" s="194">
        <f t="shared" si="19"/>
        <v>487700</v>
      </c>
      <c r="AI10" s="194">
        <f t="shared" si="20"/>
        <v>113210</v>
      </c>
      <c r="AJ10" s="200">
        <f t="shared" si="21"/>
        <v>600910</v>
      </c>
      <c r="AK10" s="231">
        <f t="shared" si="22"/>
        <v>24660</v>
      </c>
      <c r="AL10" s="238">
        <v>39</v>
      </c>
      <c r="AM10" s="201">
        <v>362450</v>
      </c>
      <c r="AN10" s="201">
        <v>54760</v>
      </c>
      <c r="AO10" s="202">
        <v>23100</v>
      </c>
      <c r="AP10" s="202">
        <v>1560</v>
      </c>
      <c r="AQ10" s="202">
        <v>0</v>
      </c>
      <c r="AR10" s="202">
        <v>0</v>
      </c>
      <c r="AS10" s="203">
        <f t="shared" si="23"/>
        <v>441870</v>
      </c>
      <c r="AT10" s="139">
        <v>6</v>
      </c>
      <c r="AU10" s="140">
        <f t="shared" si="24"/>
        <v>441870</v>
      </c>
      <c r="AV10" s="237">
        <f t="shared" si="25"/>
        <v>625570</v>
      </c>
    </row>
    <row r="11" spans="1:48" ht="13.5" customHeight="1">
      <c r="A11" s="139"/>
      <c r="B11" s="207">
        <f t="shared" si="26"/>
        <v>45329</v>
      </c>
      <c r="C11" s="184" t="s">
        <v>54</v>
      </c>
      <c r="D11" s="185"/>
      <c r="E11" s="186"/>
      <c r="F11" s="187"/>
      <c r="G11" s="188" t="e">
        <f t="shared" si="0"/>
        <v>#DIV/0!</v>
      </c>
      <c r="H11" s="187"/>
      <c r="I11" s="189" t="e">
        <f t="shared" si="1"/>
        <v>#DIV/0!</v>
      </c>
      <c r="J11" s="190">
        <f t="shared" si="2"/>
        <v>0</v>
      </c>
      <c r="K11" s="191" t="str">
        <f t="shared" si="3"/>
        <v/>
      </c>
      <c r="L11" s="192"/>
      <c r="M11" s="193">
        <f t="shared" si="4"/>
        <v>38</v>
      </c>
      <c r="N11" s="194">
        <f t="shared" si="4"/>
        <v>350020</v>
      </c>
      <c r="O11" s="188">
        <f t="shared" si="5"/>
        <v>8373.6842105263149</v>
      </c>
      <c r="P11" s="194">
        <f t="shared" si="6"/>
        <v>57990</v>
      </c>
      <c r="Q11" s="189">
        <f t="shared" si="7"/>
        <v>1387.3157894736842</v>
      </c>
      <c r="R11" s="195">
        <f t="shared" si="8"/>
        <v>408010</v>
      </c>
      <c r="S11" s="191">
        <f t="shared" si="9"/>
        <v>10737.105263157895</v>
      </c>
      <c r="T11" s="196">
        <f t="shared" si="10"/>
        <v>38</v>
      </c>
      <c r="U11" s="194">
        <f t="shared" si="10"/>
        <v>350020</v>
      </c>
      <c r="V11" s="194">
        <f t="shared" si="11"/>
        <v>57990</v>
      </c>
      <c r="W11" s="197">
        <f t="shared" si="12"/>
        <v>408010</v>
      </c>
      <c r="X11" s="231">
        <f t="shared" si="13"/>
        <v>10737.105263157895</v>
      </c>
      <c r="Y11" s="232"/>
      <c r="Z11" s="198">
        <v>159</v>
      </c>
      <c r="AA11" s="187">
        <v>107000</v>
      </c>
      <c r="AB11" s="188">
        <f t="shared" si="14"/>
        <v>672.95597484276732</v>
      </c>
      <c r="AC11" s="187">
        <v>53600</v>
      </c>
      <c r="AD11" s="189">
        <f t="shared" si="15"/>
        <v>337.10691823899373</v>
      </c>
      <c r="AE11" s="199">
        <f t="shared" si="16"/>
        <v>160600</v>
      </c>
      <c r="AF11" s="191">
        <f t="shared" si="17"/>
        <v>1010.062893081761</v>
      </c>
      <c r="AG11" s="205">
        <f t="shared" si="18"/>
        <v>38</v>
      </c>
      <c r="AH11" s="194">
        <f t="shared" si="19"/>
        <v>457020</v>
      </c>
      <c r="AI11" s="194">
        <f t="shared" si="20"/>
        <v>111590</v>
      </c>
      <c r="AJ11" s="200">
        <f t="shared" si="21"/>
        <v>568610</v>
      </c>
      <c r="AK11" s="231">
        <f t="shared" si="22"/>
        <v>26950</v>
      </c>
      <c r="AL11" s="238">
        <v>38</v>
      </c>
      <c r="AM11" s="201">
        <v>350020</v>
      </c>
      <c r="AN11" s="201">
        <v>57990</v>
      </c>
      <c r="AO11" s="202">
        <v>22000</v>
      </c>
      <c r="AP11" s="202">
        <v>1650</v>
      </c>
      <c r="AQ11" s="202">
        <v>3300</v>
      </c>
      <c r="AR11" s="202">
        <v>0</v>
      </c>
      <c r="AS11" s="203">
        <f t="shared" si="23"/>
        <v>434960</v>
      </c>
      <c r="AT11" s="139">
        <v>7</v>
      </c>
      <c r="AU11" s="140">
        <f t="shared" si="24"/>
        <v>434960</v>
      </c>
      <c r="AV11" s="237">
        <f t="shared" si="25"/>
        <v>595560</v>
      </c>
    </row>
    <row r="12" spans="1:48" ht="13.5" customHeight="1">
      <c r="A12" s="139"/>
      <c r="B12" s="207">
        <f t="shared" si="26"/>
        <v>45330</v>
      </c>
      <c r="C12" s="184" t="s">
        <v>54</v>
      </c>
      <c r="D12" s="185"/>
      <c r="E12" s="186"/>
      <c r="F12" s="187"/>
      <c r="G12" s="188" t="e">
        <f t="shared" si="0"/>
        <v>#DIV/0!</v>
      </c>
      <c r="H12" s="187"/>
      <c r="I12" s="189" t="e">
        <f t="shared" si="1"/>
        <v>#DIV/0!</v>
      </c>
      <c r="J12" s="190">
        <f t="shared" si="2"/>
        <v>0</v>
      </c>
      <c r="K12" s="191" t="str">
        <f t="shared" si="3"/>
        <v/>
      </c>
      <c r="L12" s="192"/>
      <c r="M12" s="193">
        <f t="shared" si="4"/>
        <v>42</v>
      </c>
      <c r="N12" s="194">
        <f t="shared" si="4"/>
        <v>335390</v>
      </c>
      <c r="O12" s="188">
        <f t="shared" si="5"/>
        <v>7259.5238095238092</v>
      </c>
      <c r="P12" s="194">
        <f t="shared" si="6"/>
        <v>57050</v>
      </c>
      <c r="Q12" s="209">
        <f t="shared" si="7"/>
        <v>1234.8333333333333</v>
      </c>
      <c r="R12" s="195">
        <f t="shared" si="8"/>
        <v>392440</v>
      </c>
      <c r="S12" s="191">
        <f t="shared" si="9"/>
        <v>9343.8095238095229</v>
      </c>
      <c r="T12" s="196">
        <f t="shared" si="10"/>
        <v>42</v>
      </c>
      <c r="U12" s="194">
        <f t="shared" si="10"/>
        <v>335390</v>
      </c>
      <c r="V12" s="194">
        <f t="shared" si="11"/>
        <v>57050</v>
      </c>
      <c r="W12" s="197">
        <f t="shared" si="12"/>
        <v>392440</v>
      </c>
      <c r="X12" s="231">
        <f t="shared" si="13"/>
        <v>9343.8095238095229</v>
      </c>
      <c r="Y12" s="232"/>
      <c r="Z12" s="198">
        <v>136</v>
      </c>
      <c r="AA12" s="187">
        <v>86250</v>
      </c>
      <c r="AB12" s="188">
        <f t="shared" si="14"/>
        <v>634.19117647058829</v>
      </c>
      <c r="AC12" s="187">
        <v>32800</v>
      </c>
      <c r="AD12" s="189">
        <f t="shared" si="15"/>
        <v>241.1764705882353</v>
      </c>
      <c r="AE12" s="199">
        <f t="shared" si="16"/>
        <v>119050</v>
      </c>
      <c r="AF12" s="191">
        <f t="shared" si="17"/>
        <v>875.36764705882354</v>
      </c>
      <c r="AG12" s="205">
        <f t="shared" si="18"/>
        <v>42</v>
      </c>
      <c r="AH12" s="194">
        <f t="shared" si="19"/>
        <v>421640</v>
      </c>
      <c r="AI12" s="194">
        <f t="shared" si="20"/>
        <v>89850</v>
      </c>
      <c r="AJ12" s="200">
        <f t="shared" si="21"/>
        <v>511490</v>
      </c>
      <c r="AK12" s="231">
        <f t="shared" si="22"/>
        <v>116350</v>
      </c>
      <c r="AL12" s="238">
        <v>42</v>
      </c>
      <c r="AM12" s="201">
        <v>335390</v>
      </c>
      <c r="AN12" s="201">
        <v>57050</v>
      </c>
      <c r="AO12" s="202">
        <v>31350</v>
      </c>
      <c r="AP12" s="202">
        <v>85000</v>
      </c>
      <c r="AQ12" s="202">
        <v>0</v>
      </c>
      <c r="AR12" s="202">
        <v>12540</v>
      </c>
      <c r="AS12" s="203">
        <f t="shared" si="23"/>
        <v>508790</v>
      </c>
      <c r="AT12" s="139">
        <v>8</v>
      </c>
      <c r="AU12" s="140">
        <f t="shared" si="24"/>
        <v>521330</v>
      </c>
      <c r="AV12" s="237">
        <f t="shared" si="25"/>
        <v>640380</v>
      </c>
    </row>
    <row r="13" spans="1:48" ht="13.5" customHeight="1">
      <c r="A13" s="139"/>
      <c r="B13" s="207">
        <f t="shared" si="26"/>
        <v>45331</v>
      </c>
      <c r="C13" s="184" t="s">
        <v>54</v>
      </c>
      <c r="D13" s="185"/>
      <c r="E13" s="186"/>
      <c r="F13" s="187"/>
      <c r="G13" s="188" t="e">
        <f t="shared" si="0"/>
        <v>#DIV/0!</v>
      </c>
      <c r="H13" s="187"/>
      <c r="I13" s="189" t="e">
        <f t="shared" si="1"/>
        <v>#DIV/0!</v>
      </c>
      <c r="J13" s="190">
        <f t="shared" si="2"/>
        <v>0</v>
      </c>
      <c r="K13" s="191" t="str">
        <f t="shared" si="3"/>
        <v/>
      </c>
      <c r="L13" s="192"/>
      <c r="M13" s="193">
        <f t="shared" si="4"/>
        <v>37</v>
      </c>
      <c r="N13" s="194">
        <f t="shared" si="4"/>
        <v>339020</v>
      </c>
      <c r="O13" s="188">
        <f t="shared" si="5"/>
        <v>8329.72972972973</v>
      </c>
      <c r="P13" s="194">
        <f t="shared" si="6"/>
        <v>72370</v>
      </c>
      <c r="Q13" s="189">
        <f t="shared" si="7"/>
        <v>1778.1081081081081</v>
      </c>
      <c r="R13" s="195">
        <f t="shared" si="8"/>
        <v>411390</v>
      </c>
      <c r="S13" s="191">
        <f t="shared" si="9"/>
        <v>11118.648648648648</v>
      </c>
      <c r="T13" s="196">
        <f t="shared" si="10"/>
        <v>37</v>
      </c>
      <c r="U13" s="194">
        <f t="shared" si="10"/>
        <v>339020</v>
      </c>
      <c r="V13" s="194">
        <f t="shared" si="11"/>
        <v>72370</v>
      </c>
      <c r="W13" s="197">
        <f t="shared" si="12"/>
        <v>411390</v>
      </c>
      <c r="X13" s="231">
        <f t="shared" si="13"/>
        <v>11118.648648648648</v>
      </c>
      <c r="Y13" s="232"/>
      <c r="Z13" s="198">
        <v>150</v>
      </c>
      <c r="AA13" s="187">
        <v>94700</v>
      </c>
      <c r="AB13" s="188">
        <f t="shared" si="14"/>
        <v>631.33333333333337</v>
      </c>
      <c r="AC13" s="187">
        <v>47650</v>
      </c>
      <c r="AD13" s="189">
        <f t="shared" si="15"/>
        <v>317.66666666666669</v>
      </c>
      <c r="AE13" s="199">
        <f t="shared" si="16"/>
        <v>142350</v>
      </c>
      <c r="AF13" s="191">
        <f t="shared" si="17"/>
        <v>949</v>
      </c>
      <c r="AG13" s="205">
        <f t="shared" si="18"/>
        <v>37</v>
      </c>
      <c r="AH13" s="194">
        <f t="shared" si="19"/>
        <v>433720</v>
      </c>
      <c r="AI13" s="194">
        <f t="shared" si="20"/>
        <v>120020</v>
      </c>
      <c r="AJ13" s="200">
        <f t="shared" si="21"/>
        <v>553740</v>
      </c>
      <c r="AK13" s="231">
        <f t="shared" si="22"/>
        <v>26950</v>
      </c>
      <c r="AL13" s="238">
        <v>37</v>
      </c>
      <c r="AM13" s="201">
        <v>339020</v>
      </c>
      <c r="AN13" s="201">
        <v>72370</v>
      </c>
      <c r="AO13" s="202">
        <v>26950</v>
      </c>
      <c r="AP13" s="202">
        <v>0</v>
      </c>
      <c r="AQ13" s="202">
        <v>0</v>
      </c>
      <c r="AR13" s="202">
        <v>16500</v>
      </c>
      <c r="AS13" s="203">
        <f t="shared" si="23"/>
        <v>438340</v>
      </c>
      <c r="AT13" s="139">
        <v>9</v>
      </c>
      <c r="AU13" s="140">
        <f t="shared" si="24"/>
        <v>454840</v>
      </c>
      <c r="AV13" s="237">
        <f t="shared" si="25"/>
        <v>597190</v>
      </c>
    </row>
    <row r="14" spans="1:48" ht="13.5" customHeight="1">
      <c r="A14" s="139"/>
      <c r="B14" s="250">
        <f t="shared" si="26"/>
        <v>45332</v>
      </c>
      <c r="C14" s="184"/>
      <c r="D14" s="185"/>
      <c r="E14" s="186">
        <v>29</v>
      </c>
      <c r="F14" s="187">
        <v>100430</v>
      </c>
      <c r="G14" s="188">
        <f t="shared" si="0"/>
        <v>3148.2758620689656</v>
      </c>
      <c r="H14" s="187">
        <v>32990</v>
      </c>
      <c r="I14" s="189">
        <f t="shared" si="1"/>
        <v>1034.1379310344828</v>
      </c>
      <c r="J14" s="190">
        <f t="shared" si="2"/>
        <v>133420</v>
      </c>
      <c r="K14" s="191">
        <f t="shared" si="3"/>
        <v>4600.6896551724139</v>
      </c>
      <c r="L14" s="192"/>
      <c r="M14" s="193">
        <f t="shared" si="4"/>
        <v>42</v>
      </c>
      <c r="N14" s="194">
        <f t="shared" si="4"/>
        <v>386980</v>
      </c>
      <c r="O14" s="188">
        <f t="shared" si="5"/>
        <v>8376.1904761904771</v>
      </c>
      <c r="P14" s="194">
        <f t="shared" si="6"/>
        <v>97440</v>
      </c>
      <c r="Q14" s="189">
        <f t="shared" si="7"/>
        <v>2109.0714285714284</v>
      </c>
      <c r="R14" s="195">
        <f t="shared" si="8"/>
        <v>484420</v>
      </c>
      <c r="S14" s="191">
        <f t="shared" si="9"/>
        <v>11533.809523809523</v>
      </c>
      <c r="T14" s="196">
        <f t="shared" si="10"/>
        <v>71</v>
      </c>
      <c r="U14" s="194">
        <f t="shared" si="10"/>
        <v>487410</v>
      </c>
      <c r="V14" s="194">
        <f t="shared" si="11"/>
        <v>130430</v>
      </c>
      <c r="W14" s="197">
        <f t="shared" si="12"/>
        <v>617840</v>
      </c>
      <c r="X14" s="231">
        <f t="shared" si="13"/>
        <v>8701.9718309859163</v>
      </c>
      <c r="Y14" s="232"/>
      <c r="Z14" s="198">
        <v>164</v>
      </c>
      <c r="AA14" s="187">
        <v>108550</v>
      </c>
      <c r="AB14" s="188">
        <f t="shared" si="14"/>
        <v>661.89024390243901</v>
      </c>
      <c r="AC14" s="187">
        <v>58200</v>
      </c>
      <c r="AD14" s="189">
        <f t="shared" si="15"/>
        <v>354.8780487804878</v>
      </c>
      <c r="AE14" s="199">
        <f t="shared" si="16"/>
        <v>166750</v>
      </c>
      <c r="AF14" s="191">
        <f t="shared" si="17"/>
        <v>1016.7682926829268</v>
      </c>
      <c r="AG14" s="205">
        <f t="shared" si="18"/>
        <v>71</v>
      </c>
      <c r="AH14" s="194">
        <f t="shared" si="19"/>
        <v>595960</v>
      </c>
      <c r="AI14" s="194">
        <f t="shared" si="20"/>
        <v>188630</v>
      </c>
      <c r="AJ14" s="208">
        <f t="shared" si="21"/>
        <v>784590</v>
      </c>
      <c r="AK14" s="231">
        <f t="shared" si="22"/>
        <v>18920</v>
      </c>
      <c r="AL14" s="238">
        <v>71</v>
      </c>
      <c r="AM14" s="201">
        <v>487410</v>
      </c>
      <c r="AN14" s="201">
        <v>130430</v>
      </c>
      <c r="AO14" s="202">
        <v>16500</v>
      </c>
      <c r="AP14" s="202">
        <v>2420</v>
      </c>
      <c r="AQ14" s="202">
        <v>0</v>
      </c>
      <c r="AR14" s="202">
        <v>0</v>
      </c>
      <c r="AS14" s="203">
        <f t="shared" si="23"/>
        <v>636760</v>
      </c>
      <c r="AT14" s="139">
        <v>10</v>
      </c>
      <c r="AU14" s="140">
        <f t="shared" si="24"/>
        <v>636760</v>
      </c>
      <c r="AV14" s="237">
        <f t="shared" si="25"/>
        <v>803510</v>
      </c>
    </row>
    <row r="15" spans="1:48" ht="13.5" customHeight="1">
      <c r="A15" s="139"/>
      <c r="B15" s="206">
        <f t="shared" si="26"/>
        <v>45333</v>
      </c>
      <c r="C15" s="184"/>
      <c r="D15" s="185"/>
      <c r="E15" s="186">
        <v>31</v>
      </c>
      <c r="F15" s="187">
        <v>100100</v>
      </c>
      <c r="G15" s="188">
        <f t="shared" si="0"/>
        <v>2935.483870967742</v>
      </c>
      <c r="H15" s="187">
        <v>34540</v>
      </c>
      <c r="I15" s="189">
        <f t="shared" si="1"/>
        <v>1012.9032258064516</v>
      </c>
      <c r="J15" s="190">
        <f t="shared" si="2"/>
        <v>134640</v>
      </c>
      <c r="K15" s="191">
        <f t="shared" si="3"/>
        <v>4343.2258064516127</v>
      </c>
      <c r="L15" s="192"/>
      <c r="M15" s="193">
        <f t="shared" si="4"/>
        <v>39</v>
      </c>
      <c r="N15" s="194">
        <f t="shared" si="4"/>
        <v>356070</v>
      </c>
      <c r="O15" s="188">
        <f t="shared" si="5"/>
        <v>8300</v>
      </c>
      <c r="P15" s="194">
        <f t="shared" si="6"/>
        <v>49250</v>
      </c>
      <c r="Q15" s="189">
        <f t="shared" si="7"/>
        <v>1148</v>
      </c>
      <c r="R15" s="195">
        <f t="shared" si="8"/>
        <v>405320</v>
      </c>
      <c r="S15" s="191">
        <f t="shared" si="9"/>
        <v>10392.820512820514</v>
      </c>
      <c r="T15" s="196">
        <f t="shared" si="10"/>
        <v>70</v>
      </c>
      <c r="U15" s="194">
        <f t="shared" si="10"/>
        <v>456170</v>
      </c>
      <c r="V15" s="194">
        <f t="shared" si="11"/>
        <v>83790</v>
      </c>
      <c r="W15" s="197">
        <f t="shared" si="12"/>
        <v>539960</v>
      </c>
      <c r="X15" s="231">
        <f t="shared" si="13"/>
        <v>7713.7142857142853</v>
      </c>
      <c r="Y15" s="232"/>
      <c r="Z15" s="198">
        <v>126</v>
      </c>
      <c r="AA15" s="187">
        <v>72800</v>
      </c>
      <c r="AB15" s="188">
        <f t="shared" si="14"/>
        <v>577.77777777777783</v>
      </c>
      <c r="AC15" s="187">
        <v>30350</v>
      </c>
      <c r="AD15" s="189">
        <f t="shared" si="15"/>
        <v>240.87301587301587</v>
      </c>
      <c r="AE15" s="199">
        <f t="shared" si="16"/>
        <v>103150</v>
      </c>
      <c r="AF15" s="191">
        <f t="shared" si="17"/>
        <v>818.65079365079362</v>
      </c>
      <c r="AG15" s="205">
        <f t="shared" si="18"/>
        <v>70</v>
      </c>
      <c r="AH15" s="194">
        <f t="shared" si="19"/>
        <v>528970</v>
      </c>
      <c r="AI15" s="194">
        <f t="shared" si="20"/>
        <v>114140</v>
      </c>
      <c r="AJ15" s="200">
        <f t="shared" si="21"/>
        <v>643110</v>
      </c>
      <c r="AK15" s="231">
        <f t="shared" si="22"/>
        <v>118670</v>
      </c>
      <c r="AL15" s="238">
        <v>70</v>
      </c>
      <c r="AM15" s="201">
        <v>456170</v>
      </c>
      <c r="AN15" s="201">
        <v>83790</v>
      </c>
      <c r="AO15" s="202">
        <v>30250</v>
      </c>
      <c r="AP15" s="202">
        <v>88420</v>
      </c>
      <c r="AQ15" s="202">
        <v>0</v>
      </c>
      <c r="AR15" s="202">
        <v>0</v>
      </c>
      <c r="AS15" s="203">
        <f t="shared" si="23"/>
        <v>658630</v>
      </c>
      <c r="AT15" s="139">
        <v>11</v>
      </c>
      <c r="AU15" s="140">
        <f t="shared" si="24"/>
        <v>658630</v>
      </c>
      <c r="AV15" s="237">
        <f t="shared" si="25"/>
        <v>761780</v>
      </c>
    </row>
    <row r="16" spans="1:48" ht="13.5" customHeight="1">
      <c r="A16" s="139"/>
      <c r="B16" s="206">
        <f t="shared" si="26"/>
        <v>45334</v>
      </c>
      <c r="C16" s="184"/>
      <c r="D16" s="185"/>
      <c r="E16" s="186">
        <v>41</v>
      </c>
      <c r="F16" s="187">
        <v>129470</v>
      </c>
      <c r="G16" s="188">
        <f t="shared" si="0"/>
        <v>2870.731707317073</v>
      </c>
      <c r="H16" s="187">
        <v>38480</v>
      </c>
      <c r="I16" s="189">
        <f t="shared" si="1"/>
        <v>853.19512195121956</v>
      </c>
      <c r="J16" s="190">
        <f t="shared" si="2"/>
        <v>167950</v>
      </c>
      <c r="K16" s="191">
        <f t="shared" si="3"/>
        <v>4096.3414634146338</v>
      </c>
      <c r="L16" s="192"/>
      <c r="M16" s="193">
        <f t="shared" si="4"/>
        <v>38</v>
      </c>
      <c r="N16" s="194">
        <f t="shared" si="4"/>
        <v>332310</v>
      </c>
      <c r="O16" s="188">
        <f t="shared" si="5"/>
        <v>7950</v>
      </c>
      <c r="P16" s="194">
        <f t="shared" si="6"/>
        <v>38970</v>
      </c>
      <c r="Q16" s="189">
        <f t="shared" si="7"/>
        <v>932.28947368421052</v>
      </c>
      <c r="R16" s="195">
        <f t="shared" si="8"/>
        <v>371280</v>
      </c>
      <c r="S16" s="191">
        <f t="shared" si="9"/>
        <v>9770.5263157894733</v>
      </c>
      <c r="T16" s="196">
        <f t="shared" si="10"/>
        <v>79</v>
      </c>
      <c r="U16" s="194">
        <f t="shared" si="10"/>
        <v>461780</v>
      </c>
      <c r="V16" s="194">
        <f t="shared" si="11"/>
        <v>77450</v>
      </c>
      <c r="W16" s="197">
        <f t="shared" si="12"/>
        <v>539230</v>
      </c>
      <c r="X16" s="231">
        <f t="shared" si="13"/>
        <v>6825.6962025316452</v>
      </c>
      <c r="Y16" s="232"/>
      <c r="Z16" s="198">
        <v>150</v>
      </c>
      <c r="AA16" s="187">
        <v>106350</v>
      </c>
      <c r="AB16" s="188">
        <f t="shared" si="14"/>
        <v>709</v>
      </c>
      <c r="AC16" s="187">
        <v>35150</v>
      </c>
      <c r="AD16" s="189">
        <f t="shared" si="15"/>
        <v>234.33333333333334</v>
      </c>
      <c r="AE16" s="199">
        <f t="shared" si="16"/>
        <v>141500</v>
      </c>
      <c r="AF16" s="191">
        <f t="shared" si="17"/>
        <v>943.33333333333337</v>
      </c>
      <c r="AG16" s="205">
        <f t="shared" si="18"/>
        <v>79</v>
      </c>
      <c r="AH16" s="194">
        <f t="shared" si="19"/>
        <v>568130</v>
      </c>
      <c r="AI16" s="194">
        <f t="shared" si="20"/>
        <v>112600</v>
      </c>
      <c r="AJ16" s="200">
        <f t="shared" si="21"/>
        <v>680730</v>
      </c>
      <c r="AK16" s="231">
        <f t="shared" si="22"/>
        <v>30250</v>
      </c>
      <c r="AL16" s="238">
        <v>79</v>
      </c>
      <c r="AM16" s="201">
        <v>461780</v>
      </c>
      <c r="AN16" s="201">
        <v>77450</v>
      </c>
      <c r="AO16" s="202">
        <v>30250</v>
      </c>
      <c r="AP16" s="202">
        <v>0</v>
      </c>
      <c r="AQ16" s="202">
        <v>0</v>
      </c>
      <c r="AR16" s="202">
        <v>8800</v>
      </c>
      <c r="AS16" s="203">
        <f t="shared" si="23"/>
        <v>569480</v>
      </c>
      <c r="AT16" s="139">
        <v>12</v>
      </c>
      <c r="AU16" s="140">
        <f t="shared" si="24"/>
        <v>578280</v>
      </c>
      <c r="AV16" s="237">
        <f t="shared" si="25"/>
        <v>719780</v>
      </c>
    </row>
    <row r="17" spans="1:50" ht="13.5" customHeight="1">
      <c r="A17" s="139"/>
      <c r="B17" s="207">
        <f t="shared" si="26"/>
        <v>45335</v>
      </c>
      <c r="C17" s="184" t="s">
        <v>54</v>
      </c>
      <c r="D17" s="185"/>
      <c r="E17" s="186"/>
      <c r="F17" s="187"/>
      <c r="G17" s="188" t="e">
        <f t="shared" si="0"/>
        <v>#DIV/0!</v>
      </c>
      <c r="H17" s="187"/>
      <c r="I17" s="189" t="e">
        <f t="shared" si="1"/>
        <v>#DIV/0!</v>
      </c>
      <c r="J17" s="190">
        <f t="shared" si="2"/>
        <v>0</v>
      </c>
      <c r="K17" s="191" t="str">
        <f t="shared" si="3"/>
        <v/>
      </c>
      <c r="L17" s="192"/>
      <c r="M17" s="193">
        <f t="shared" si="4"/>
        <v>33</v>
      </c>
      <c r="N17" s="194">
        <f t="shared" si="4"/>
        <v>303270</v>
      </c>
      <c r="O17" s="188">
        <f t="shared" si="5"/>
        <v>8354.545454545454</v>
      </c>
      <c r="P17" s="194">
        <f t="shared" si="6"/>
        <v>28930</v>
      </c>
      <c r="Q17" s="189">
        <f t="shared" si="7"/>
        <v>796.969696969697</v>
      </c>
      <c r="R17" s="195">
        <f t="shared" si="8"/>
        <v>332200</v>
      </c>
      <c r="S17" s="191">
        <f t="shared" si="9"/>
        <v>10066.666666666666</v>
      </c>
      <c r="T17" s="196">
        <f t="shared" si="10"/>
        <v>33</v>
      </c>
      <c r="U17" s="194">
        <f t="shared" si="10"/>
        <v>303270</v>
      </c>
      <c r="V17" s="194">
        <f t="shared" si="11"/>
        <v>28930</v>
      </c>
      <c r="W17" s="197">
        <f t="shared" si="12"/>
        <v>332200</v>
      </c>
      <c r="X17" s="231">
        <f t="shared" si="13"/>
        <v>10066.666666666666</v>
      </c>
      <c r="Y17" s="232"/>
      <c r="Z17" s="198">
        <v>130</v>
      </c>
      <c r="AA17" s="187">
        <v>78500</v>
      </c>
      <c r="AB17" s="188">
        <f t="shared" si="14"/>
        <v>603.84615384615381</v>
      </c>
      <c r="AC17" s="187">
        <v>23850</v>
      </c>
      <c r="AD17" s="189">
        <f t="shared" si="15"/>
        <v>183.46153846153845</v>
      </c>
      <c r="AE17" s="199">
        <f t="shared" si="16"/>
        <v>102350</v>
      </c>
      <c r="AF17" s="191">
        <f t="shared" si="17"/>
        <v>787.30769230769226</v>
      </c>
      <c r="AG17" s="205">
        <f t="shared" si="18"/>
        <v>33</v>
      </c>
      <c r="AH17" s="194">
        <f t="shared" si="19"/>
        <v>381770</v>
      </c>
      <c r="AI17" s="194">
        <f t="shared" si="20"/>
        <v>52780</v>
      </c>
      <c r="AJ17" s="200">
        <f t="shared" si="21"/>
        <v>434550</v>
      </c>
      <c r="AK17" s="231">
        <f t="shared" si="22"/>
        <v>75420</v>
      </c>
      <c r="AL17" s="238">
        <v>33</v>
      </c>
      <c r="AM17" s="201">
        <v>303270</v>
      </c>
      <c r="AN17" s="201">
        <v>28930</v>
      </c>
      <c r="AO17" s="202">
        <v>25300</v>
      </c>
      <c r="AP17" s="202">
        <v>50120</v>
      </c>
      <c r="AQ17" s="202">
        <v>0</v>
      </c>
      <c r="AR17" s="202">
        <v>0</v>
      </c>
      <c r="AS17" s="203">
        <f t="shared" si="23"/>
        <v>407620</v>
      </c>
      <c r="AT17" s="139">
        <v>13</v>
      </c>
      <c r="AU17" s="140">
        <f t="shared" si="24"/>
        <v>407620</v>
      </c>
      <c r="AV17" s="237">
        <f t="shared" si="25"/>
        <v>509970</v>
      </c>
    </row>
    <row r="18" spans="1:50" ht="13.5" customHeight="1">
      <c r="A18" s="139"/>
      <c r="B18" s="207">
        <f t="shared" si="26"/>
        <v>45336</v>
      </c>
      <c r="C18" s="184" t="s">
        <v>54</v>
      </c>
      <c r="D18" s="185"/>
      <c r="E18" s="186"/>
      <c r="F18" s="187"/>
      <c r="G18" s="188" t="e">
        <f t="shared" si="0"/>
        <v>#DIV/0!</v>
      </c>
      <c r="H18" s="187"/>
      <c r="I18" s="189" t="e">
        <f t="shared" si="1"/>
        <v>#DIV/0!</v>
      </c>
      <c r="J18" s="190">
        <f t="shared" si="2"/>
        <v>0</v>
      </c>
      <c r="K18" s="191" t="str">
        <f t="shared" si="3"/>
        <v/>
      </c>
      <c r="L18" s="192"/>
      <c r="M18" s="193">
        <f t="shared" si="4"/>
        <v>34</v>
      </c>
      <c r="N18" s="194">
        <f t="shared" si="4"/>
        <v>307230</v>
      </c>
      <c r="O18" s="188">
        <f t="shared" si="5"/>
        <v>8214.7058823529405</v>
      </c>
      <c r="P18" s="194">
        <f t="shared" si="6"/>
        <v>32270</v>
      </c>
      <c r="Q18" s="189">
        <f t="shared" si="7"/>
        <v>862.82352941176475</v>
      </c>
      <c r="R18" s="195">
        <f t="shared" si="8"/>
        <v>339500</v>
      </c>
      <c r="S18" s="191">
        <f t="shared" si="9"/>
        <v>9985.2941176470595</v>
      </c>
      <c r="T18" s="196">
        <f t="shared" si="10"/>
        <v>34</v>
      </c>
      <c r="U18" s="194">
        <f t="shared" si="10"/>
        <v>307230</v>
      </c>
      <c r="V18" s="194">
        <f t="shared" si="11"/>
        <v>32270</v>
      </c>
      <c r="W18" s="197">
        <f t="shared" si="12"/>
        <v>339500</v>
      </c>
      <c r="X18" s="231">
        <f t="shared" si="13"/>
        <v>9985.2941176470595</v>
      </c>
      <c r="Y18" s="232"/>
      <c r="Z18" s="198">
        <v>87</v>
      </c>
      <c r="AA18" s="187">
        <v>66850</v>
      </c>
      <c r="AB18" s="188">
        <f t="shared" si="14"/>
        <v>768.39080459770116</v>
      </c>
      <c r="AC18" s="187">
        <v>21500</v>
      </c>
      <c r="AD18" s="189">
        <f t="shared" si="15"/>
        <v>247.12643678160919</v>
      </c>
      <c r="AE18" s="199">
        <f t="shared" si="16"/>
        <v>88350</v>
      </c>
      <c r="AF18" s="191">
        <f t="shared" si="17"/>
        <v>1015.5172413793103</v>
      </c>
      <c r="AG18" s="205">
        <f t="shared" si="18"/>
        <v>34</v>
      </c>
      <c r="AH18" s="194">
        <f t="shared" si="19"/>
        <v>374080</v>
      </c>
      <c r="AI18" s="194">
        <f t="shared" si="20"/>
        <v>53770</v>
      </c>
      <c r="AJ18" s="200">
        <f t="shared" si="21"/>
        <v>427850</v>
      </c>
      <c r="AK18" s="231">
        <f t="shared" si="22"/>
        <v>22550</v>
      </c>
      <c r="AL18" s="238">
        <v>34</v>
      </c>
      <c r="AM18" s="201">
        <v>307230</v>
      </c>
      <c r="AN18" s="201">
        <v>32270</v>
      </c>
      <c r="AO18" s="202">
        <v>20900</v>
      </c>
      <c r="AP18" s="202">
        <v>1650</v>
      </c>
      <c r="AQ18" s="202">
        <v>0</v>
      </c>
      <c r="AR18" s="202">
        <v>3300</v>
      </c>
      <c r="AS18" s="203">
        <f t="shared" si="23"/>
        <v>362050</v>
      </c>
      <c r="AT18" s="139">
        <v>14</v>
      </c>
      <c r="AU18" s="140">
        <f t="shared" si="24"/>
        <v>365350</v>
      </c>
      <c r="AV18" s="237">
        <f t="shared" si="25"/>
        <v>453700</v>
      </c>
    </row>
    <row r="19" spans="1:50" ht="13.5" customHeight="1">
      <c r="A19" s="139"/>
      <c r="B19" s="207">
        <f t="shared" si="26"/>
        <v>45337</v>
      </c>
      <c r="C19" s="184" t="s">
        <v>54</v>
      </c>
      <c r="D19" s="185"/>
      <c r="E19" s="186"/>
      <c r="F19" s="187"/>
      <c r="G19" s="188" t="e">
        <f t="shared" si="0"/>
        <v>#DIV/0!</v>
      </c>
      <c r="H19" s="187"/>
      <c r="I19" s="189" t="e">
        <f t="shared" si="1"/>
        <v>#DIV/0!</v>
      </c>
      <c r="J19" s="190">
        <f t="shared" si="2"/>
        <v>0</v>
      </c>
      <c r="K19" s="191" t="str">
        <f t="shared" si="3"/>
        <v/>
      </c>
      <c r="L19" s="192"/>
      <c r="M19" s="193">
        <f t="shared" si="4"/>
        <v>18</v>
      </c>
      <c r="N19" s="194">
        <f t="shared" si="4"/>
        <v>161810</v>
      </c>
      <c r="O19" s="188">
        <f t="shared" si="5"/>
        <v>8172.2222222222226</v>
      </c>
      <c r="P19" s="194">
        <f t="shared" si="6"/>
        <v>20670</v>
      </c>
      <c r="Q19" s="209">
        <f t="shared" si="7"/>
        <v>1043.8888888888889</v>
      </c>
      <c r="R19" s="195">
        <f t="shared" si="8"/>
        <v>182480</v>
      </c>
      <c r="S19" s="191">
        <f t="shared" si="9"/>
        <v>10137.777777777777</v>
      </c>
      <c r="T19" s="196">
        <f t="shared" si="10"/>
        <v>18</v>
      </c>
      <c r="U19" s="194">
        <f t="shared" si="10"/>
        <v>161810</v>
      </c>
      <c r="V19" s="194">
        <f t="shared" si="11"/>
        <v>20670</v>
      </c>
      <c r="W19" s="197">
        <f t="shared" si="12"/>
        <v>182480</v>
      </c>
      <c r="X19" s="231">
        <f t="shared" si="13"/>
        <v>10137.777777777777</v>
      </c>
      <c r="Y19" s="232"/>
      <c r="Z19" s="198">
        <v>83</v>
      </c>
      <c r="AA19" s="187">
        <v>59900</v>
      </c>
      <c r="AB19" s="188">
        <f t="shared" si="14"/>
        <v>721.68674698795178</v>
      </c>
      <c r="AC19" s="187">
        <v>20850</v>
      </c>
      <c r="AD19" s="189">
        <f t="shared" si="15"/>
        <v>251.20481927710844</v>
      </c>
      <c r="AE19" s="199">
        <f t="shared" si="16"/>
        <v>80750</v>
      </c>
      <c r="AF19" s="191">
        <f t="shared" si="17"/>
        <v>972.89156626506019</v>
      </c>
      <c r="AG19" s="205">
        <f t="shared" si="18"/>
        <v>18</v>
      </c>
      <c r="AH19" s="194">
        <f t="shared" si="19"/>
        <v>221710</v>
      </c>
      <c r="AI19" s="194">
        <f t="shared" si="20"/>
        <v>41520</v>
      </c>
      <c r="AJ19" s="200">
        <f t="shared" si="21"/>
        <v>263230</v>
      </c>
      <c r="AK19" s="231">
        <f t="shared" si="22"/>
        <v>18810</v>
      </c>
      <c r="AL19" s="238">
        <v>18</v>
      </c>
      <c r="AM19" s="201">
        <v>161810</v>
      </c>
      <c r="AN19" s="201">
        <v>20670</v>
      </c>
      <c r="AO19" s="202">
        <v>17600</v>
      </c>
      <c r="AP19" s="202">
        <v>1210</v>
      </c>
      <c r="AQ19" s="202">
        <v>0</v>
      </c>
      <c r="AR19" s="202">
        <v>5500</v>
      </c>
      <c r="AS19" s="203">
        <f t="shared" si="23"/>
        <v>201290</v>
      </c>
      <c r="AT19" s="139">
        <v>15</v>
      </c>
      <c r="AU19" s="140">
        <f t="shared" si="24"/>
        <v>206790</v>
      </c>
      <c r="AV19" s="237">
        <f t="shared" si="25"/>
        <v>287540</v>
      </c>
    </row>
    <row r="20" spans="1:50" ht="13.5" customHeight="1">
      <c r="A20" s="139"/>
      <c r="B20" s="207">
        <f t="shared" si="26"/>
        <v>45338</v>
      </c>
      <c r="C20" s="184" t="s">
        <v>54</v>
      </c>
      <c r="D20" s="185"/>
      <c r="E20" s="186"/>
      <c r="F20" s="187"/>
      <c r="G20" s="188" t="e">
        <f t="shared" si="0"/>
        <v>#DIV/0!</v>
      </c>
      <c r="H20" s="187"/>
      <c r="I20" s="188" t="e">
        <f t="shared" si="1"/>
        <v>#DIV/0!</v>
      </c>
      <c r="J20" s="190">
        <f t="shared" si="2"/>
        <v>0</v>
      </c>
      <c r="K20" s="191" t="str">
        <f t="shared" si="3"/>
        <v/>
      </c>
      <c r="L20" s="192"/>
      <c r="M20" s="193">
        <f t="shared" si="4"/>
        <v>33</v>
      </c>
      <c r="N20" s="194">
        <f t="shared" si="4"/>
        <v>323950</v>
      </c>
      <c r="O20" s="188">
        <f t="shared" si="5"/>
        <v>8924.242424242424</v>
      </c>
      <c r="P20" s="194">
        <f t="shared" si="6"/>
        <v>49870</v>
      </c>
      <c r="Q20" s="209">
        <f t="shared" si="7"/>
        <v>1373.8181818181818</v>
      </c>
      <c r="R20" s="195">
        <f t="shared" si="8"/>
        <v>373820</v>
      </c>
      <c r="S20" s="191">
        <f t="shared" si="9"/>
        <v>11327.878787878788</v>
      </c>
      <c r="T20" s="196">
        <f t="shared" si="10"/>
        <v>33</v>
      </c>
      <c r="U20" s="194">
        <f t="shared" si="10"/>
        <v>323950</v>
      </c>
      <c r="V20" s="194">
        <f t="shared" si="11"/>
        <v>49870</v>
      </c>
      <c r="W20" s="197">
        <f t="shared" si="12"/>
        <v>373820</v>
      </c>
      <c r="X20" s="231">
        <f t="shared" si="13"/>
        <v>11327.878787878788</v>
      </c>
      <c r="Y20" s="232"/>
      <c r="Z20" s="198">
        <v>43</v>
      </c>
      <c r="AA20" s="187">
        <v>21700</v>
      </c>
      <c r="AB20" s="188">
        <f t="shared" si="14"/>
        <v>504.6511627906977</v>
      </c>
      <c r="AC20" s="187">
        <v>5300</v>
      </c>
      <c r="AD20" s="189">
        <f t="shared" si="15"/>
        <v>123.25581395348837</v>
      </c>
      <c r="AE20" s="199">
        <f t="shared" si="16"/>
        <v>27000</v>
      </c>
      <c r="AF20" s="191">
        <f t="shared" si="17"/>
        <v>627.90697674418607</v>
      </c>
      <c r="AG20" s="205">
        <f t="shared" si="18"/>
        <v>33</v>
      </c>
      <c r="AH20" s="201">
        <f t="shared" si="19"/>
        <v>345650</v>
      </c>
      <c r="AI20" s="201">
        <f t="shared" si="20"/>
        <v>55170</v>
      </c>
      <c r="AJ20" s="200">
        <f t="shared" si="21"/>
        <v>400820</v>
      </c>
      <c r="AK20" s="231">
        <f t="shared" si="22"/>
        <v>27520</v>
      </c>
      <c r="AL20" s="238">
        <v>33</v>
      </c>
      <c r="AM20" s="201">
        <v>323950</v>
      </c>
      <c r="AN20" s="201">
        <v>49870</v>
      </c>
      <c r="AO20" s="202">
        <v>24750</v>
      </c>
      <c r="AP20" s="202">
        <v>2770</v>
      </c>
      <c r="AQ20" s="202">
        <v>0</v>
      </c>
      <c r="AR20" s="202">
        <v>0</v>
      </c>
      <c r="AS20" s="203">
        <f t="shared" si="23"/>
        <v>401340</v>
      </c>
      <c r="AT20" s="139">
        <v>16</v>
      </c>
      <c r="AU20" s="140">
        <f t="shared" si="24"/>
        <v>401340</v>
      </c>
      <c r="AV20" s="237">
        <f t="shared" si="25"/>
        <v>428340</v>
      </c>
    </row>
    <row r="21" spans="1:50" ht="15.75" customHeight="1">
      <c r="A21" s="139"/>
      <c r="B21" s="250">
        <f t="shared" si="26"/>
        <v>45339</v>
      </c>
      <c r="C21" s="184"/>
      <c r="D21" s="185"/>
      <c r="E21" s="186">
        <v>30</v>
      </c>
      <c r="F21" s="187">
        <v>99440</v>
      </c>
      <c r="G21" s="188">
        <f t="shared" si="0"/>
        <v>3013.3333333333335</v>
      </c>
      <c r="H21" s="187">
        <v>12870</v>
      </c>
      <c r="I21" s="188">
        <f t="shared" si="1"/>
        <v>390</v>
      </c>
      <c r="J21" s="190">
        <f t="shared" si="2"/>
        <v>112310</v>
      </c>
      <c r="K21" s="191">
        <f t="shared" si="3"/>
        <v>3743.6666666666665</v>
      </c>
      <c r="L21" s="192"/>
      <c r="M21" s="193">
        <f t="shared" si="4"/>
        <v>38</v>
      </c>
      <c r="N21" s="194">
        <f t="shared" si="4"/>
        <v>361350</v>
      </c>
      <c r="O21" s="188">
        <f t="shared" si="5"/>
        <v>8644.7368421052633</v>
      </c>
      <c r="P21" s="194">
        <f t="shared" si="6"/>
        <v>57570</v>
      </c>
      <c r="Q21" s="209">
        <f t="shared" si="7"/>
        <v>1377.2631578947369</v>
      </c>
      <c r="R21" s="195">
        <f t="shared" si="8"/>
        <v>418920</v>
      </c>
      <c r="S21" s="191">
        <f t="shared" si="9"/>
        <v>11024.21052631579</v>
      </c>
      <c r="T21" s="196">
        <f t="shared" si="10"/>
        <v>68</v>
      </c>
      <c r="U21" s="194">
        <f t="shared" si="10"/>
        <v>460790</v>
      </c>
      <c r="V21" s="194">
        <f t="shared" si="11"/>
        <v>70440</v>
      </c>
      <c r="W21" s="197">
        <f t="shared" si="12"/>
        <v>531230</v>
      </c>
      <c r="X21" s="231">
        <f t="shared" si="13"/>
        <v>7812.2058823529414</v>
      </c>
      <c r="Y21" s="232"/>
      <c r="Z21" s="198">
        <v>106</v>
      </c>
      <c r="AA21" s="187">
        <v>62700</v>
      </c>
      <c r="AB21" s="188">
        <f t="shared" si="14"/>
        <v>591.5094339622641</v>
      </c>
      <c r="AC21" s="187">
        <v>35200</v>
      </c>
      <c r="AD21" s="189">
        <f t="shared" si="15"/>
        <v>332.07547169811323</v>
      </c>
      <c r="AE21" s="199">
        <f t="shared" si="16"/>
        <v>97900</v>
      </c>
      <c r="AF21" s="191">
        <f t="shared" si="17"/>
        <v>923.58490566037733</v>
      </c>
      <c r="AG21" s="205">
        <f t="shared" si="18"/>
        <v>68</v>
      </c>
      <c r="AH21" s="201">
        <f t="shared" si="19"/>
        <v>523490</v>
      </c>
      <c r="AI21" s="201">
        <f t="shared" si="20"/>
        <v>105640</v>
      </c>
      <c r="AJ21" s="200">
        <f t="shared" si="21"/>
        <v>629130</v>
      </c>
      <c r="AK21" s="231">
        <f t="shared" si="22"/>
        <v>30800</v>
      </c>
      <c r="AL21" s="238">
        <v>68</v>
      </c>
      <c r="AM21" s="201">
        <v>460790</v>
      </c>
      <c r="AN21" s="201">
        <v>70440</v>
      </c>
      <c r="AO21" s="202">
        <v>29150</v>
      </c>
      <c r="AP21" s="202">
        <v>1650</v>
      </c>
      <c r="AQ21" s="202">
        <v>0</v>
      </c>
      <c r="AR21" s="202">
        <v>0</v>
      </c>
      <c r="AS21" s="203">
        <f t="shared" si="23"/>
        <v>562030</v>
      </c>
      <c r="AT21" s="139">
        <v>17</v>
      </c>
      <c r="AU21" s="140">
        <f t="shared" si="24"/>
        <v>562030</v>
      </c>
      <c r="AV21" s="237">
        <f t="shared" si="25"/>
        <v>659930</v>
      </c>
    </row>
    <row r="22" spans="1:50" ht="15.75" customHeight="1">
      <c r="A22" s="139"/>
      <c r="B22" s="206">
        <f t="shared" si="26"/>
        <v>45340</v>
      </c>
      <c r="C22" s="184"/>
      <c r="D22" s="185"/>
      <c r="E22" s="186">
        <v>26</v>
      </c>
      <c r="F22" s="187">
        <v>86130</v>
      </c>
      <c r="G22" s="188">
        <f t="shared" si="0"/>
        <v>3011.5384615384614</v>
      </c>
      <c r="H22" s="187">
        <v>17250</v>
      </c>
      <c r="I22" s="188">
        <f t="shared" si="1"/>
        <v>603.11538461538464</v>
      </c>
      <c r="J22" s="190">
        <f t="shared" si="2"/>
        <v>103380</v>
      </c>
      <c r="K22" s="191">
        <f t="shared" si="3"/>
        <v>3976.1538461538462</v>
      </c>
      <c r="L22" s="192"/>
      <c r="M22" s="193">
        <f t="shared" si="4"/>
        <v>24</v>
      </c>
      <c r="N22" s="194">
        <f t="shared" si="4"/>
        <v>204470</v>
      </c>
      <c r="O22" s="188">
        <f t="shared" si="5"/>
        <v>7745.041666666667</v>
      </c>
      <c r="P22" s="194">
        <f t="shared" si="6"/>
        <v>34310</v>
      </c>
      <c r="Q22" s="209">
        <f t="shared" si="7"/>
        <v>1299.5833333333333</v>
      </c>
      <c r="R22" s="195">
        <f t="shared" si="8"/>
        <v>238780</v>
      </c>
      <c r="S22" s="191">
        <f t="shared" si="9"/>
        <v>9949.1666666666661</v>
      </c>
      <c r="T22" s="196">
        <f t="shared" si="10"/>
        <v>50</v>
      </c>
      <c r="U22" s="194">
        <f t="shared" si="10"/>
        <v>290600</v>
      </c>
      <c r="V22" s="194">
        <f t="shared" si="11"/>
        <v>51560</v>
      </c>
      <c r="W22" s="197">
        <f t="shared" si="12"/>
        <v>342160</v>
      </c>
      <c r="X22" s="231">
        <f t="shared" si="13"/>
        <v>6843.2</v>
      </c>
      <c r="Y22" s="232"/>
      <c r="Z22" s="198">
        <v>122</v>
      </c>
      <c r="AA22" s="187">
        <v>89550</v>
      </c>
      <c r="AB22" s="188">
        <f t="shared" si="14"/>
        <v>734.01639344262298</v>
      </c>
      <c r="AC22" s="187">
        <v>31000</v>
      </c>
      <c r="AD22" s="189">
        <f t="shared" si="15"/>
        <v>254.09836065573771</v>
      </c>
      <c r="AE22" s="199">
        <f t="shared" si="16"/>
        <v>120550</v>
      </c>
      <c r="AF22" s="191">
        <f t="shared" si="17"/>
        <v>988.11475409836066</v>
      </c>
      <c r="AG22" s="205">
        <f t="shared" si="18"/>
        <v>50</v>
      </c>
      <c r="AH22" s="201">
        <f t="shared" si="19"/>
        <v>380150</v>
      </c>
      <c r="AI22" s="201">
        <f t="shared" si="20"/>
        <v>82560</v>
      </c>
      <c r="AJ22" s="200">
        <f t="shared" si="21"/>
        <v>462710</v>
      </c>
      <c r="AK22" s="231">
        <f t="shared" si="22"/>
        <v>28600</v>
      </c>
      <c r="AL22" s="238">
        <v>50</v>
      </c>
      <c r="AM22" s="201">
        <v>290600</v>
      </c>
      <c r="AN22" s="201">
        <v>51560</v>
      </c>
      <c r="AO22" s="202">
        <v>28600</v>
      </c>
      <c r="AP22" s="202">
        <v>0</v>
      </c>
      <c r="AQ22" s="202">
        <v>0</v>
      </c>
      <c r="AR22" s="202">
        <v>0</v>
      </c>
      <c r="AS22" s="203">
        <f t="shared" si="23"/>
        <v>370760</v>
      </c>
      <c r="AT22" s="139">
        <v>18</v>
      </c>
      <c r="AU22" s="140">
        <f t="shared" si="24"/>
        <v>370760</v>
      </c>
      <c r="AV22" s="237">
        <f t="shared" si="25"/>
        <v>491310</v>
      </c>
    </row>
    <row r="23" spans="1:50" ht="15.75" customHeight="1">
      <c r="A23" s="139"/>
      <c r="B23" s="207">
        <f t="shared" si="26"/>
        <v>45341</v>
      </c>
      <c r="C23" s="184" t="s">
        <v>54</v>
      </c>
      <c r="D23" s="185"/>
      <c r="E23" s="186"/>
      <c r="F23" s="187"/>
      <c r="G23" s="188" t="e">
        <f t="shared" si="0"/>
        <v>#DIV/0!</v>
      </c>
      <c r="H23" s="187"/>
      <c r="I23" s="188" t="e">
        <f t="shared" si="1"/>
        <v>#DIV/0!</v>
      </c>
      <c r="J23" s="190">
        <f t="shared" si="2"/>
        <v>0</v>
      </c>
      <c r="K23" s="191" t="str">
        <f t="shared" si="3"/>
        <v/>
      </c>
      <c r="L23" s="192"/>
      <c r="M23" s="193">
        <f t="shared" si="4"/>
        <v>15</v>
      </c>
      <c r="N23" s="194">
        <f t="shared" si="4"/>
        <v>122320</v>
      </c>
      <c r="O23" s="188">
        <f t="shared" si="5"/>
        <v>7413.333333333333</v>
      </c>
      <c r="P23" s="194">
        <f t="shared" si="6"/>
        <v>38660</v>
      </c>
      <c r="Q23" s="209">
        <f t="shared" si="7"/>
        <v>2343</v>
      </c>
      <c r="R23" s="195">
        <f t="shared" si="8"/>
        <v>160980</v>
      </c>
      <c r="S23" s="191">
        <f t="shared" si="9"/>
        <v>10732</v>
      </c>
      <c r="T23" s="196">
        <f t="shared" si="10"/>
        <v>15</v>
      </c>
      <c r="U23" s="194">
        <f t="shared" si="10"/>
        <v>122320</v>
      </c>
      <c r="V23" s="194">
        <f t="shared" si="11"/>
        <v>38660</v>
      </c>
      <c r="W23" s="197">
        <f t="shared" si="12"/>
        <v>160980</v>
      </c>
      <c r="X23" s="231">
        <f t="shared" si="13"/>
        <v>10732</v>
      </c>
      <c r="Y23" s="232"/>
      <c r="Z23" s="198">
        <v>116</v>
      </c>
      <c r="AA23" s="187">
        <v>81600</v>
      </c>
      <c r="AB23" s="188">
        <f t="shared" si="14"/>
        <v>703.44827586206895</v>
      </c>
      <c r="AC23" s="187">
        <v>26750</v>
      </c>
      <c r="AD23" s="189">
        <f t="shared" si="15"/>
        <v>230.60344827586206</v>
      </c>
      <c r="AE23" s="199">
        <f t="shared" si="16"/>
        <v>108350</v>
      </c>
      <c r="AF23" s="191">
        <f t="shared" si="17"/>
        <v>934.05172413793105</v>
      </c>
      <c r="AG23" s="205">
        <f t="shared" si="18"/>
        <v>15</v>
      </c>
      <c r="AH23" s="201">
        <f t="shared" si="19"/>
        <v>203920</v>
      </c>
      <c r="AI23" s="201">
        <f t="shared" si="20"/>
        <v>65410</v>
      </c>
      <c r="AJ23" s="200">
        <f t="shared" si="21"/>
        <v>269330</v>
      </c>
      <c r="AK23" s="231">
        <f t="shared" si="22"/>
        <v>1100</v>
      </c>
      <c r="AL23" s="238">
        <v>15</v>
      </c>
      <c r="AM23" s="201">
        <v>122320</v>
      </c>
      <c r="AN23" s="201">
        <v>38660</v>
      </c>
      <c r="AO23" s="202">
        <v>1100</v>
      </c>
      <c r="AP23" s="202">
        <v>0</v>
      </c>
      <c r="AQ23" s="202">
        <v>0</v>
      </c>
      <c r="AR23" s="202">
        <v>0</v>
      </c>
      <c r="AS23" s="203">
        <f t="shared" si="23"/>
        <v>162080</v>
      </c>
      <c r="AT23" s="139">
        <v>19</v>
      </c>
      <c r="AU23" s="140">
        <f t="shared" si="24"/>
        <v>162080</v>
      </c>
      <c r="AV23" s="237">
        <f t="shared" si="25"/>
        <v>270430</v>
      </c>
    </row>
    <row r="24" spans="1:50" ht="15.75" customHeight="1">
      <c r="A24" s="139"/>
      <c r="B24" s="207">
        <f t="shared" si="26"/>
        <v>45342</v>
      </c>
      <c r="C24" s="184" t="s">
        <v>68</v>
      </c>
      <c r="D24" s="185"/>
      <c r="E24" s="186"/>
      <c r="F24" s="187"/>
      <c r="G24" s="188" t="e">
        <f t="shared" si="0"/>
        <v>#DIV/0!</v>
      </c>
      <c r="H24" s="187"/>
      <c r="I24" s="188" t="e">
        <f t="shared" si="1"/>
        <v>#DIV/0!</v>
      </c>
      <c r="J24" s="190">
        <f t="shared" si="2"/>
        <v>0</v>
      </c>
      <c r="K24" s="191" t="str">
        <f t="shared" si="3"/>
        <v/>
      </c>
      <c r="L24" s="192"/>
      <c r="M24" s="193">
        <f t="shared" si="4"/>
        <v>0</v>
      </c>
      <c r="N24" s="194">
        <f t="shared" si="4"/>
        <v>0</v>
      </c>
      <c r="O24" s="188" t="e">
        <f t="shared" si="5"/>
        <v>#DIV/0!</v>
      </c>
      <c r="P24" s="194">
        <f t="shared" si="6"/>
        <v>0</v>
      </c>
      <c r="Q24" s="209" t="e">
        <f t="shared" si="7"/>
        <v>#DIV/0!</v>
      </c>
      <c r="R24" s="195">
        <f t="shared" si="8"/>
        <v>0</v>
      </c>
      <c r="S24" s="191" t="e">
        <f t="shared" si="9"/>
        <v>#DIV/0!</v>
      </c>
      <c r="T24" s="196">
        <f t="shared" si="10"/>
        <v>0</v>
      </c>
      <c r="U24" s="194">
        <f t="shared" si="10"/>
        <v>0</v>
      </c>
      <c r="V24" s="194">
        <f t="shared" si="11"/>
        <v>0</v>
      </c>
      <c r="W24" s="197">
        <f t="shared" si="12"/>
        <v>0</v>
      </c>
      <c r="X24" s="231" t="e">
        <f t="shared" si="13"/>
        <v>#DIV/0!</v>
      </c>
      <c r="Y24" s="232"/>
      <c r="Z24" s="198"/>
      <c r="AA24" s="187"/>
      <c r="AB24" s="188" t="e">
        <f t="shared" si="14"/>
        <v>#DIV/0!</v>
      </c>
      <c r="AC24" s="187"/>
      <c r="AD24" s="189" t="e">
        <f t="shared" si="15"/>
        <v>#DIV/0!</v>
      </c>
      <c r="AE24" s="199">
        <f t="shared" si="16"/>
        <v>0</v>
      </c>
      <c r="AF24" s="191" t="str">
        <f t="shared" si="17"/>
        <v/>
      </c>
      <c r="AG24" s="205">
        <f t="shared" si="18"/>
        <v>0</v>
      </c>
      <c r="AH24" s="201">
        <f t="shared" si="19"/>
        <v>0</v>
      </c>
      <c r="AI24" s="201">
        <f t="shared" si="20"/>
        <v>0</v>
      </c>
      <c r="AJ24" s="200">
        <f t="shared" si="21"/>
        <v>0</v>
      </c>
      <c r="AK24" s="231">
        <f t="shared" si="22"/>
        <v>0</v>
      </c>
      <c r="AL24" s="238"/>
      <c r="AM24" s="201"/>
      <c r="AN24" s="201"/>
      <c r="AO24" s="202"/>
      <c r="AP24" s="202"/>
      <c r="AQ24" s="202">
        <v>0</v>
      </c>
      <c r="AR24" s="202">
        <v>0</v>
      </c>
      <c r="AS24" s="203">
        <f t="shared" si="23"/>
        <v>0</v>
      </c>
      <c r="AT24" s="139">
        <v>20</v>
      </c>
      <c r="AU24" s="140">
        <f t="shared" si="24"/>
        <v>0</v>
      </c>
      <c r="AV24" s="237">
        <f t="shared" si="25"/>
        <v>0</v>
      </c>
    </row>
    <row r="25" spans="1:50" ht="15.75" customHeight="1">
      <c r="A25" s="139"/>
      <c r="B25" s="207">
        <f t="shared" si="26"/>
        <v>45343</v>
      </c>
      <c r="C25" s="184" t="s">
        <v>54</v>
      </c>
      <c r="D25" s="185"/>
      <c r="E25" s="186"/>
      <c r="F25" s="187"/>
      <c r="G25" s="188" t="e">
        <f t="shared" si="0"/>
        <v>#DIV/0!</v>
      </c>
      <c r="H25" s="187"/>
      <c r="I25" s="188" t="e">
        <f t="shared" si="1"/>
        <v>#DIV/0!</v>
      </c>
      <c r="J25" s="190">
        <f t="shared" si="2"/>
        <v>0</v>
      </c>
      <c r="K25" s="191" t="str">
        <f t="shared" si="3"/>
        <v/>
      </c>
      <c r="L25" s="192"/>
      <c r="M25" s="193">
        <f t="shared" si="4"/>
        <v>29</v>
      </c>
      <c r="N25" s="194">
        <f t="shared" si="4"/>
        <v>245390</v>
      </c>
      <c r="O25" s="188">
        <f t="shared" si="5"/>
        <v>7692.4482758620688</v>
      </c>
      <c r="P25" s="194">
        <f t="shared" si="6"/>
        <v>46990</v>
      </c>
      <c r="Q25" s="209">
        <f t="shared" si="7"/>
        <v>1473.0344827586207</v>
      </c>
      <c r="R25" s="195">
        <f t="shared" si="8"/>
        <v>292380</v>
      </c>
      <c r="S25" s="191">
        <f t="shared" si="9"/>
        <v>10082.068965517241</v>
      </c>
      <c r="T25" s="196">
        <f t="shared" si="10"/>
        <v>29</v>
      </c>
      <c r="U25" s="194">
        <f t="shared" si="10"/>
        <v>245390</v>
      </c>
      <c r="V25" s="194">
        <f t="shared" si="11"/>
        <v>46990</v>
      </c>
      <c r="W25" s="197">
        <f t="shared" si="12"/>
        <v>292380</v>
      </c>
      <c r="X25" s="231">
        <f t="shared" si="13"/>
        <v>10082.068965517241</v>
      </c>
      <c r="Y25" s="232"/>
      <c r="Z25" s="198">
        <v>99</v>
      </c>
      <c r="AA25" s="187">
        <v>61700</v>
      </c>
      <c r="AB25" s="188">
        <f t="shared" si="14"/>
        <v>623.23232323232321</v>
      </c>
      <c r="AC25" s="187">
        <v>30050</v>
      </c>
      <c r="AD25" s="189">
        <f t="shared" si="15"/>
        <v>303.53535353535352</v>
      </c>
      <c r="AE25" s="199">
        <f t="shared" si="16"/>
        <v>91750</v>
      </c>
      <c r="AF25" s="191">
        <f t="shared" si="17"/>
        <v>926.76767676767679</v>
      </c>
      <c r="AG25" s="205">
        <f t="shared" si="18"/>
        <v>29</v>
      </c>
      <c r="AH25" s="201">
        <f t="shared" si="19"/>
        <v>307090</v>
      </c>
      <c r="AI25" s="201">
        <f t="shared" si="20"/>
        <v>77040</v>
      </c>
      <c r="AJ25" s="200">
        <f t="shared" si="21"/>
        <v>384130</v>
      </c>
      <c r="AK25" s="231">
        <f t="shared" si="22"/>
        <v>71860</v>
      </c>
      <c r="AL25" s="238">
        <v>29</v>
      </c>
      <c r="AM25" s="201">
        <v>245390</v>
      </c>
      <c r="AN25" s="201">
        <v>46990</v>
      </c>
      <c r="AO25" s="202">
        <v>23650</v>
      </c>
      <c r="AP25" s="202">
        <v>48210</v>
      </c>
      <c r="AQ25" s="202">
        <v>0</v>
      </c>
      <c r="AR25" s="202">
        <v>0</v>
      </c>
      <c r="AS25" s="203">
        <f>SUM(AM25:AR25)</f>
        <v>364240</v>
      </c>
      <c r="AT25" s="139">
        <v>21</v>
      </c>
      <c r="AU25" s="140">
        <f t="shared" si="24"/>
        <v>364240</v>
      </c>
      <c r="AV25" s="237">
        <f t="shared" si="25"/>
        <v>455990</v>
      </c>
    </row>
    <row r="26" spans="1:50" ht="15.75" customHeight="1">
      <c r="A26" s="139"/>
      <c r="B26" s="207">
        <f t="shared" si="26"/>
        <v>45344</v>
      </c>
      <c r="C26" s="184" t="s">
        <v>54</v>
      </c>
      <c r="D26" s="185"/>
      <c r="E26" s="186"/>
      <c r="F26" s="187"/>
      <c r="G26" s="188" t="e">
        <f t="shared" si="0"/>
        <v>#DIV/0!</v>
      </c>
      <c r="H26" s="187"/>
      <c r="I26" s="188" t="e">
        <f t="shared" si="1"/>
        <v>#DIV/0!</v>
      </c>
      <c r="J26" s="190">
        <f t="shared" si="2"/>
        <v>0</v>
      </c>
      <c r="K26" s="191" t="str">
        <f t="shared" si="3"/>
        <v/>
      </c>
      <c r="L26" s="192"/>
      <c r="M26" s="193">
        <f t="shared" si="4"/>
        <v>21</v>
      </c>
      <c r="N26" s="194">
        <f t="shared" si="4"/>
        <v>193360</v>
      </c>
      <c r="O26" s="188">
        <f t="shared" si="5"/>
        <v>8370.5238095238092</v>
      </c>
      <c r="P26" s="194">
        <f t="shared" si="6"/>
        <v>22490</v>
      </c>
      <c r="Q26" s="209">
        <f t="shared" si="7"/>
        <v>973.57142857142856</v>
      </c>
      <c r="R26" s="195">
        <f t="shared" si="8"/>
        <v>215850</v>
      </c>
      <c r="S26" s="191">
        <f t="shared" si="9"/>
        <v>10278.571428571429</v>
      </c>
      <c r="T26" s="196">
        <f t="shared" si="10"/>
        <v>21</v>
      </c>
      <c r="U26" s="194">
        <f t="shared" si="10"/>
        <v>193360</v>
      </c>
      <c r="V26" s="194">
        <f t="shared" si="11"/>
        <v>22490</v>
      </c>
      <c r="W26" s="197">
        <f t="shared" si="12"/>
        <v>215850</v>
      </c>
      <c r="X26" s="231">
        <f t="shared" si="13"/>
        <v>10278.571428571429</v>
      </c>
      <c r="Y26" s="232"/>
      <c r="Z26" s="198">
        <v>22</v>
      </c>
      <c r="AA26" s="187">
        <v>10500</v>
      </c>
      <c r="AB26" s="188">
        <f t="shared" si="14"/>
        <v>477.27272727272725</v>
      </c>
      <c r="AC26" s="187">
        <v>9050</v>
      </c>
      <c r="AD26" s="189">
        <f t="shared" si="15"/>
        <v>411.36363636363637</v>
      </c>
      <c r="AE26" s="199">
        <f t="shared" si="16"/>
        <v>19550</v>
      </c>
      <c r="AF26" s="191">
        <f t="shared" si="17"/>
        <v>888.63636363636363</v>
      </c>
      <c r="AG26" s="205">
        <f t="shared" si="18"/>
        <v>21</v>
      </c>
      <c r="AH26" s="201">
        <f t="shared" si="19"/>
        <v>203860</v>
      </c>
      <c r="AI26" s="201">
        <f t="shared" si="20"/>
        <v>31540</v>
      </c>
      <c r="AJ26" s="200">
        <f t="shared" si="21"/>
        <v>235400</v>
      </c>
      <c r="AK26" s="231">
        <f t="shared" si="22"/>
        <v>7610</v>
      </c>
      <c r="AL26" s="238">
        <v>21</v>
      </c>
      <c r="AM26" s="201">
        <v>193360</v>
      </c>
      <c r="AN26" s="201">
        <v>22490</v>
      </c>
      <c r="AO26" s="202">
        <v>4400</v>
      </c>
      <c r="AP26" s="202">
        <v>3210</v>
      </c>
      <c r="AQ26" s="202">
        <v>0</v>
      </c>
      <c r="AR26" s="202">
        <v>0</v>
      </c>
      <c r="AS26" s="203">
        <f t="shared" ref="AS26:AS34" si="27">SUM(AM26:AQ26)</f>
        <v>223460</v>
      </c>
      <c r="AT26" s="139">
        <v>22</v>
      </c>
      <c r="AU26" s="140">
        <f t="shared" si="24"/>
        <v>223460</v>
      </c>
      <c r="AV26" s="237">
        <f t="shared" si="25"/>
        <v>243010</v>
      </c>
    </row>
    <row r="27" spans="1:50" ht="15.75" customHeight="1">
      <c r="A27" s="139"/>
      <c r="B27" s="206">
        <f t="shared" si="26"/>
        <v>45345</v>
      </c>
      <c r="C27" s="184" t="s">
        <v>54</v>
      </c>
      <c r="D27" s="185"/>
      <c r="E27" s="186">
        <v>22</v>
      </c>
      <c r="F27" s="187">
        <v>67980</v>
      </c>
      <c r="G27" s="188">
        <f t="shared" si="0"/>
        <v>2809.090909090909</v>
      </c>
      <c r="H27" s="187">
        <v>10100</v>
      </c>
      <c r="I27" s="188">
        <f t="shared" si="1"/>
        <v>417.31818181818181</v>
      </c>
      <c r="J27" s="190">
        <f t="shared" si="2"/>
        <v>78080</v>
      </c>
      <c r="K27" s="191">
        <f t="shared" si="3"/>
        <v>3549.090909090909</v>
      </c>
      <c r="L27" s="192"/>
      <c r="M27" s="193">
        <f t="shared" si="4"/>
        <v>36</v>
      </c>
      <c r="N27" s="194">
        <f t="shared" si="4"/>
        <v>363790</v>
      </c>
      <c r="O27" s="188">
        <f t="shared" si="5"/>
        <v>9186.6111111111113</v>
      </c>
      <c r="P27" s="194">
        <f t="shared" si="6"/>
        <v>65160</v>
      </c>
      <c r="Q27" s="189">
        <f t="shared" si="7"/>
        <v>1645.4444444444443</v>
      </c>
      <c r="R27" s="195">
        <f t="shared" si="8"/>
        <v>428950</v>
      </c>
      <c r="S27" s="191">
        <f t="shared" si="9"/>
        <v>11915.277777777777</v>
      </c>
      <c r="T27" s="196">
        <f t="shared" si="10"/>
        <v>58</v>
      </c>
      <c r="U27" s="194">
        <f t="shared" si="10"/>
        <v>431770</v>
      </c>
      <c r="V27" s="194">
        <f t="shared" si="11"/>
        <v>75260</v>
      </c>
      <c r="W27" s="197">
        <f t="shared" si="12"/>
        <v>507030</v>
      </c>
      <c r="X27" s="231">
        <f t="shared" si="13"/>
        <v>8741.8965517241377</v>
      </c>
      <c r="Y27" s="232"/>
      <c r="Z27" s="198">
        <v>58</v>
      </c>
      <c r="AA27" s="187">
        <v>32300</v>
      </c>
      <c r="AB27" s="188">
        <f t="shared" si="14"/>
        <v>556.89655172413791</v>
      </c>
      <c r="AC27" s="187">
        <v>11400</v>
      </c>
      <c r="AD27" s="189">
        <f t="shared" si="15"/>
        <v>196.55172413793105</v>
      </c>
      <c r="AE27" s="199">
        <f t="shared" si="16"/>
        <v>43700</v>
      </c>
      <c r="AF27" s="191">
        <f t="shared" si="17"/>
        <v>753.44827586206895</v>
      </c>
      <c r="AG27" s="205">
        <f t="shared" si="18"/>
        <v>58</v>
      </c>
      <c r="AH27" s="201">
        <f t="shared" si="19"/>
        <v>464070</v>
      </c>
      <c r="AI27" s="201">
        <f t="shared" si="20"/>
        <v>86660</v>
      </c>
      <c r="AJ27" s="200">
        <f t="shared" si="21"/>
        <v>550730</v>
      </c>
      <c r="AK27" s="231">
        <f t="shared" si="22"/>
        <v>29810</v>
      </c>
      <c r="AL27" s="238">
        <v>58</v>
      </c>
      <c r="AM27" s="201">
        <v>431770</v>
      </c>
      <c r="AN27" s="201">
        <v>75260</v>
      </c>
      <c r="AO27" s="202">
        <v>28600</v>
      </c>
      <c r="AP27" s="202">
        <v>1210</v>
      </c>
      <c r="AQ27" s="202">
        <v>0</v>
      </c>
      <c r="AR27" s="202">
        <v>0</v>
      </c>
      <c r="AS27" s="203">
        <f t="shared" si="27"/>
        <v>536840</v>
      </c>
      <c r="AT27" s="139">
        <v>23</v>
      </c>
      <c r="AU27" s="140">
        <f t="shared" si="24"/>
        <v>536840</v>
      </c>
      <c r="AV27" s="237">
        <f t="shared" si="25"/>
        <v>580540</v>
      </c>
    </row>
    <row r="28" spans="1:50" ht="15.75" customHeight="1">
      <c r="A28" s="139"/>
      <c r="B28" s="250">
        <f t="shared" si="26"/>
        <v>45346</v>
      </c>
      <c r="C28" s="184"/>
      <c r="D28" s="185"/>
      <c r="E28" s="186">
        <v>5</v>
      </c>
      <c r="F28" s="187">
        <v>9790</v>
      </c>
      <c r="G28" s="188">
        <f t="shared" si="0"/>
        <v>1780</v>
      </c>
      <c r="H28" s="187">
        <v>3300</v>
      </c>
      <c r="I28" s="188">
        <f t="shared" si="1"/>
        <v>600</v>
      </c>
      <c r="J28" s="190">
        <f t="shared" si="2"/>
        <v>13090</v>
      </c>
      <c r="K28" s="191">
        <f t="shared" si="3"/>
        <v>2618</v>
      </c>
      <c r="L28" s="192"/>
      <c r="M28" s="193">
        <f t="shared" si="4"/>
        <v>35</v>
      </c>
      <c r="N28" s="194">
        <f t="shared" si="4"/>
        <v>355430</v>
      </c>
      <c r="O28" s="188">
        <f t="shared" si="5"/>
        <v>9231.942857142858</v>
      </c>
      <c r="P28" s="194">
        <f t="shared" si="6"/>
        <v>56560</v>
      </c>
      <c r="Q28" s="189">
        <f t="shared" si="7"/>
        <v>1469.0857142857142</v>
      </c>
      <c r="R28" s="195">
        <f t="shared" si="8"/>
        <v>411990</v>
      </c>
      <c r="S28" s="191">
        <f t="shared" si="9"/>
        <v>11771.142857142857</v>
      </c>
      <c r="T28" s="196">
        <f t="shared" si="10"/>
        <v>40</v>
      </c>
      <c r="U28" s="194">
        <f t="shared" si="10"/>
        <v>365220</v>
      </c>
      <c r="V28" s="194">
        <f t="shared" si="11"/>
        <v>59860</v>
      </c>
      <c r="W28" s="197">
        <f t="shared" si="12"/>
        <v>425080</v>
      </c>
      <c r="X28" s="231">
        <f t="shared" si="13"/>
        <v>10627</v>
      </c>
      <c r="Y28" s="232"/>
      <c r="Z28" s="198">
        <v>65</v>
      </c>
      <c r="AA28" s="187">
        <v>41350</v>
      </c>
      <c r="AB28" s="188">
        <f t="shared" si="14"/>
        <v>636.15384615384619</v>
      </c>
      <c r="AC28" s="187">
        <v>21750</v>
      </c>
      <c r="AD28" s="189">
        <f t="shared" si="15"/>
        <v>334.61538461538464</v>
      </c>
      <c r="AE28" s="199">
        <f t="shared" si="16"/>
        <v>63100</v>
      </c>
      <c r="AF28" s="191">
        <f t="shared" si="17"/>
        <v>970.76923076923072</v>
      </c>
      <c r="AG28" s="205">
        <f t="shared" si="18"/>
        <v>40</v>
      </c>
      <c r="AH28" s="201">
        <f t="shared" si="19"/>
        <v>406570</v>
      </c>
      <c r="AI28" s="201">
        <f t="shared" si="20"/>
        <v>81610</v>
      </c>
      <c r="AJ28" s="200">
        <f t="shared" si="21"/>
        <v>488180</v>
      </c>
      <c r="AK28" s="231">
        <f t="shared" si="22"/>
        <v>21580</v>
      </c>
      <c r="AL28" s="238">
        <v>40</v>
      </c>
      <c r="AM28" s="201">
        <v>365220</v>
      </c>
      <c r="AN28" s="201">
        <v>59860</v>
      </c>
      <c r="AO28" s="202">
        <v>17600</v>
      </c>
      <c r="AP28" s="202">
        <v>3980</v>
      </c>
      <c r="AQ28" s="202">
        <v>0</v>
      </c>
      <c r="AR28" s="202">
        <v>0</v>
      </c>
      <c r="AS28" s="203">
        <f t="shared" si="27"/>
        <v>446660</v>
      </c>
      <c r="AT28" s="139">
        <v>24</v>
      </c>
      <c r="AU28" s="140">
        <f t="shared" si="24"/>
        <v>446660</v>
      </c>
      <c r="AV28" s="237">
        <f t="shared" si="25"/>
        <v>509760</v>
      </c>
      <c r="AW28" s="4" t="s">
        <v>72</v>
      </c>
      <c r="AX28" s="251" t="s">
        <v>73</v>
      </c>
    </row>
    <row r="29" spans="1:50" ht="15.75" customHeight="1">
      <c r="A29" s="139"/>
      <c r="B29" s="206">
        <f t="shared" si="26"/>
        <v>45347</v>
      </c>
      <c r="C29" s="184"/>
      <c r="D29" s="185"/>
      <c r="E29" s="186">
        <v>16</v>
      </c>
      <c r="F29" s="187">
        <v>46530</v>
      </c>
      <c r="G29" s="188">
        <f t="shared" si="0"/>
        <v>2643.75</v>
      </c>
      <c r="H29" s="187">
        <v>5040</v>
      </c>
      <c r="I29" s="188">
        <f t="shared" si="1"/>
        <v>286.3125</v>
      </c>
      <c r="J29" s="190">
        <f t="shared" si="2"/>
        <v>51570</v>
      </c>
      <c r="K29" s="191">
        <f t="shared" si="3"/>
        <v>3223.125</v>
      </c>
      <c r="L29" s="192"/>
      <c r="M29" s="193">
        <f t="shared" si="4"/>
        <v>19</v>
      </c>
      <c r="N29" s="194">
        <f t="shared" si="4"/>
        <v>180160</v>
      </c>
      <c r="O29" s="188">
        <f t="shared" si="5"/>
        <v>8620.0526315789466</v>
      </c>
      <c r="P29" s="194">
        <f t="shared" si="6"/>
        <v>32980</v>
      </c>
      <c r="Q29" s="189">
        <f t="shared" si="7"/>
        <v>1577.9473684210527</v>
      </c>
      <c r="R29" s="195">
        <f t="shared" si="8"/>
        <v>213140</v>
      </c>
      <c r="S29" s="191">
        <f t="shared" si="9"/>
        <v>11217.894736842105</v>
      </c>
      <c r="T29" s="196">
        <f t="shared" si="10"/>
        <v>35</v>
      </c>
      <c r="U29" s="194">
        <f t="shared" si="10"/>
        <v>226690</v>
      </c>
      <c r="V29" s="194">
        <f t="shared" si="11"/>
        <v>38020</v>
      </c>
      <c r="W29" s="197">
        <f t="shared" si="12"/>
        <v>264710</v>
      </c>
      <c r="X29" s="231">
        <f t="shared" si="13"/>
        <v>7563.1428571428569</v>
      </c>
      <c r="Y29" s="232"/>
      <c r="Z29" s="198">
        <v>82</v>
      </c>
      <c r="AA29" s="187">
        <v>41000</v>
      </c>
      <c r="AB29" s="188">
        <f t="shared" si="14"/>
        <v>500</v>
      </c>
      <c r="AC29" s="187">
        <v>24150</v>
      </c>
      <c r="AD29" s="189">
        <f t="shared" si="15"/>
        <v>294.51219512195121</v>
      </c>
      <c r="AE29" s="199">
        <f t="shared" si="16"/>
        <v>65150</v>
      </c>
      <c r="AF29" s="191">
        <f t="shared" si="17"/>
        <v>794.51219512195121</v>
      </c>
      <c r="AG29" s="205">
        <f t="shared" si="18"/>
        <v>35</v>
      </c>
      <c r="AH29" s="201">
        <f t="shared" si="19"/>
        <v>267690</v>
      </c>
      <c r="AI29" s="201">
        <f t="shared" si="20"/>
        <v>62170</v>
      </c>
      <c r="AJ29" s="200">
        <f t="shared" si="21"/>
        <v>329860</v>
      </c>
      <c r="AK29" s="231">
        <f t="shared" si="22"/>
        <v>17970</v>
      </c>
      <c r="AL29" s="238">
        <v>35</v>
      </c>
      <c r="AM29" s="201">
        <v>226690</v>
      </c>
      <c r="AN29" s="201">
        <v>38020</v>
      </c>
      <c r="AO29" s="202">
        <v>14850</v>
      </c>
      <c r="AP29" s="202">
        <v>3120</v>
      </c>
      <c r="AQ29" s="202">
        <v>0</v>
      </c>
      <c r="AR29" s="202">
        <v>0</v>
      </c>
      <c r="AS29" s="203">
        <f t="shared" si="27"/>
        <v>282680</v>
      </c>
      <c r="AT29" s="139">
        <v>25</v>
      </c>
      <c r="AU29" s="140">
        <f t="shared" si="24"/>
        <v>282680</v>
      </c>
      <c r="AV29" s="237">
        <f t="shared" si="25"/>
        <v>347830</v>
      </c>
    </row>
    <row r="30" spans="1:50" ht="15.75" customHeight="1">
      <c r="A30" s="139"/>
      <c r="B30" s="207">
        <f t="shared" si="26"/>
        <v>45348</v>
      </c>
      <c r="C30" s="184" t="s">
        <v>54</v>
      </c>
      <c r="D30" s="185"/>
      <c r="E30" s="186"/>
      <c r="F30" s="187"/>
      <c r="G30" s="188" t="e">
        <f t="shared" si="0"/>
        <v>#DIV/0!</v>
      </c>
      <c r="H30" s="187"/>
      <c r="I30" s="188" t="e">
        <f t="shared" si="1"/>
        <v>#DIV/0!</v>
      </c>
      <c r="J30" s="190">
        <f t="shared" si="2"/>
        <v>0</v>
      </c>
      <c r="K30" s="191" t="str">
        <f t="shared" si="3"/>
        <v/>
      </c>
      <c r="L30" s="192"/>
      <c r="M30" s="193">
        <f t="shared" si="4"/>
        <v>25</v>
      </c>
      <c r="N30" s="194">
        <f t="shared" si="4"/>
        <v>221210</v>
      </c>
      <c r="O30" s="188">
        <f t="shared" si="5"/>
        <v>8044</v>
      </c>
      <c r="P30" s="194">
        <f t="shared" si="6"/>
        <v>26100</v>
      </c>
      <c r="Q30" s="188">
        <f t="shared" si="7"/>
        <v>949.08</v>
      </c>
      <c r="R30" s="195">
        <f t="shared" si="8"/>
        <v>247310</v>
      </c>
      <c r="S30" s="191">
        <f t="shared" si="9"/>
        <v>9892.4</v>
      </c>
      <c r="T30" s="196">
        <f t="shared" si="10"/>
        <v>25</v>
      </c>
      <c r="U30" s="194">
        <f t="shared" si="10"/>
        <v>221210</v>
      </c>
      <c r="V30" s="194">
        <f t="shared" si="11"/>
        <v>26100</v>
      </c>
      <c r="W30" s="197">
        <f t="shared" si="12"/>
        <v>247310</v>
      </c>
      <c r="X30" s="231">
        <f t="shared" si="13"/>
        <v>9892.4</v>
      </c>
      <c r="Y30" s="232"/>
      <c r="Z30" s="198">
        <v>27</v>
      </c>
      <c r="AA30" s="187">
        <v>16350</v>
      </c>
      <c r="AB30" s="188">
        <f t="shared" si="14"/>
        <v>605.55555555555554</v>
      </c>
      <c r="AC30" s="187">
        <v>5500</v>
      </c>
      <c r="AD30" s="189">
        <f t="shared" si="15"/>
        <v>203.7037037037037</v>
      </c>
      <c r="AE30" s="199">
        <f t="shared" si="16"/>
        <v>21850</v>
      </c>
      <c r="AF30" s="191">
        <f t="shared" si="17"/>
        <v>809.25925925925924</v>
      </c>
      <c r="AG30" s="205">
        <f t="shared" si="18"/>
        <v>25</v>
      </c>
      <c r="AH30" s="201">
        <f t="shared" si="19"/>
        <v>237560</v>
      </c>
      <c r="AI30" s="201">
        <f t="shared" si="20"/>
        <v>31600</v>
      </c>
      <c r="AJ30" s="200">
        <f t="shared" si="21"/>
        <v>269160</v>
      </c>
      <c r="AK30" s="231">
        <f t="shared" si="22"/>
        <v>42500</v>
      </c>
      <c r="AL30" s="238">
        <v>25</v>
      </c>
      <c r="AM30" s="201">
        <v>221210</v>
      </c>
      <c r="AN30" s="201">
        <v>26100</v>
      </c>
      <c r="AO30" s="202">
        <v>5500</v>
      </c>
      <c r="AP30" s="202">
        <v>37000</v>
      </c>
      <c r="AQ30" s="202">
        <v>0</v>
      </c>
      <c r="AR30" s="202">
        <v>0</v>
      </c>
      <c r="AS30" s="203">
        <f t="shared" si="27"/>
        <v>289810</v>
      </c>
      <c r="AT30" s="139">
        <v>26</v>
      </c>
      <c r="AU30" s="140">
        <f t="shared" si="24"/>
        <v>289810</v>
      </c>
      <c r="AV30" s="237">
        <f t="shared" si="25"/>
        <v>311660</v>
      </c>
    </row>
    <row r="31" spans="1:50" ht="15.75" customHeight="1">
      <c r="A31" s="139"/>
      <c r="B31" s="207">
        <f t="shared" si="26"/>
        <v>45349</v>
      </c>
      <c r="C31" s="184" t="s">
        <v>54</v>
      </c>
      <c r="D31" s="185"/>
      <c r="E31" s="186"/>
      <c r="F31" s="187"/>
      <c r="G31" s="188" t="e">
        <f t="shared" si="0"/>
        <v>#DIV/0!</v>
      </c>
      <c r="H31" s="187"/>
      <c r="I31" s="188" t="e">
        <f t="shared" si="1"/>
        <v>#DIV/0!</v>
      </c>
      <c r="J31" s="190">
        <f t="shared" si="2"/>
        <v>0</v>
      </c>
      <c r="K31" s="191" t="str">
        <f t="shared" si="3"/>
        <v/>
      </c>
      <c r="L31" s="192"/>
      <c r="M31" s="193">
        <f t="shared" si="4"/>
        <v>13</v>
      </c>
      <c r="N31" s="194">
        <f t="shared" si="4"/>
        <v>120010</v>
      </c>
      <c r="O31" s="188">
        <f t="shared" si="5"/>
        <v>8392.3076923076915</v>
      </c>
      <c r="P31" s="194">
        <f t="shared" si="6"/>
        <v>14120</v>
      </c>
      <c r="Q31" s="188">
        <f t="shared" si="7"/>
        <v>987.38461538461536</v>
      </c>
      <c r="R31" s="195">
        <f t="shared" si="8"/>
        <v>134130</v>
      </c>
      <c r="S31" s="191">
        <f t="shared" si="9"/>
        <v>10317.692307692309</v>
      </c>
      <c r="T31" s="196">
        <f t="shared" si="10"/>
        <v>13</v>
      </c>
      <c r="U31" s="194">
        <f t="shared" si="10"/>
        <v>120010</v>
      </c>
      <c r="V31" s="194">
        <f t="shared" si="11"/>
        <v>14120</v>
      </c>
      <c r="W31" s="197">
        <f t="shared" si="12"/>
        <v>134130</v>
      </c>
      <c r="X31" s="231">
        <f t="shared" si="13"/>
        <v>10317.692307692309</v>
      </c>
      <c r="Y31" s="232"/>
      <c r="Z31" s="198">
        <v>67</v>
      </c>
      <c r="AA31" s="187">
        <v>42450</v>
      </c>
      <c r="AB31" s="188">
        <f t="shared" si="14"/>
        <v>633.58208955223881</v>
      </c>
      <c r="AC31" s="187">
        <v>23450</v>
      </c>
      <c r="AD31" s="189">
        <f t="shared" si="15"/>
        <v>350</v>
      </c>
      <c r="AE31" s="199">
        <f t="shared" si="16"/>
        <v>65900</v>
      </c>
      <c r="AF31" s="191">
        <f t="shared" si="17"/>
        <v>983.58208955223881</v>
      </c>
      <c r="AG31" s="205">
        <f t="shared" si="18"/>
        <v>13</v>
      </c>
      <c r="AH31" s="201">
        <f t="shared" si="19"/>
        <v>162460</v>
      </c>
      <c r="AI31" s="201">
        <f t="shared" si="20"/>
        <v>37570</v>
      </c>
      <c r="AJ31" s="200">
        <f t="shared" si="21"/>
        <v>200030</v>
      </c>
      <c r="AK31" s="231">
        <f t="shared" si="22"/>
        <v>12100</v>
      </c>
      <c r="AL31" s="238">
        <v>13</v>
      </c>
      <c r="AM31" s="201">
        <v>120010</v>
      </c>
      <c r="AN31" s="201">
        <v>14120</v>
      </c>
      <c r="AO31" s="202">
        <v>12100</v>
      </c>
      <c r="AP31" s="202">
        <v>0</v>
      </c>
      <c r="AQ31" s="202">
        <v>0</v>
      </c>
      <c r="AR31" s="202">
        <v>6600</v>
      </c>
      <c r="AS31" s="203">
        <f t="shared" si="27"/>
        <v>146230</v>
      </c>
      <c r="AT31" s="139">
        <v>27</v>
      </c>
      <c r="AU31" s="140">
        <f t="shared" si="24"/>
        <v>152830</v>
      </c>
      <c r="AV31" s="237">
        <f t="shared" si="25"/>
        <v>218730</v>
      </c>
    </row>
    <row r="32" spans="1:50" ht="15.75" customHeight="1">
      <c r="A32" s="139"/>
      <c r="B32" s="207">
        <f t="shared" si="26"/>
        <v>45350</v>
      </c>
      <c r="C32" s="184" t="s">
        <v>68</v>
      </c>
      <c r="D32" s="185"/>
      <c r="E32" s="186"/>
      <c r="F32" s="187"/>
      <c r="G32" s="188" t="e">
        <f t="shared" si="0"/>
        <v>#DIV/0!</v>
      </c>
      <c r="H32" s="187"/>
      <c r="I32" s="188" t="e">
        <f t="shared" si="1"/>
        <v>#DIV/0!</v>
      </c>
      <c r="J32" s="190">
        <f t="shared" si="2"/>
        <v>0</v>
      </c>
      <c r="K32" s="191" t="str">
        <f t="shared" si="3"/>
        <v/>
      </c>
      <c r="L32" s="192"/>
      <c r="M32" s="193">
        <f t="shared" si="4"/>
        <v>0</v>
      </c>
      <c r="N32" s="194">
        <f t="shared" si="4"/>
        <v>0</v>
      </c>
      <c r="O32" s="188" t="e">
        <f t="shared" si="5"/>
        <v>#DIV/0!</v>
      </c>
      <c r="P32" s="194">
        <f t="shared" si="6"/>
        <v>0</v>
      </c>
      <c r="Q32" s="188" t="e">
        <f t="shared" si="7"/>
        <v>#DIV/0!</v>
      </c>
      <c r="R32" s="195">
        <f t="shared" si="8"/>
        <v>0</v>
      </c>
      <c r="S32" s="191" t="e">
        <f t="shared" si="9"/>
        <v>#DIV/0!</v>
      </c>
      <c r="T32" s="196">
        <f t="shared" si="10"/>
        <v>0</v>
      </c>
      <c r="U32" s="194">
        <f t="shared" si="10"/>
        <v>0</v>
      </c>
      <c r="V32" s="194">
        <f t="shared" si="11"/>
        <v>0</v>
      </c>
      <c r="W32" s="197">
        <f t="shared" si="12"/>
        <v>0</v>
      </c>
      <c r="X32" s="231" t="e">
        <f t="shared" si="13"/>
        <v>#DIV/0!</v>
      </c>
      <c r="Y32" s="232"/>
      <c r="Z32" s="198"/>
      <c r="AA32" s="187"/>
      <c r="AB32" s="188" t="e">
        <f t="shared" si="14"/>
        <v>#DIV/0!</v>
      </c>
      <c r="AC32" s="187"/>
      <c r="AD32" s="189" t="e">
        <f t="shared" si="15"/>
        <v>#DIV/0!</v>
      </c>
      <c r="AE32" s="199">
        <f t="shared" si="16"/>
        <v>0</v>
      </c>
      <c r="AF32" s="191" t="str">
        <f t="shared" si="17"/>
        <v/>
      </c>
      <c r="AG32" s="205">
        <f t="shared" si="18"/>
        <v>0</v>
      </c>
      <c r="AH32" s="201">
        <f t="shared" si="19"/>
        <v>0</v>
      </c>
      <c r="AI32" s="201">
        <f t="shared" si="20"/>
        <v>0</v>
      </c>
      <c r="AJ32" s="200">
        <f t="shared" si="21"/>
        <v>0</v>
      </c>
      <c r="AK32" s="231">
        <f t="shared" si="22"/>
        <v>0</v>
      </c>
      <c r="AL32" s="238"/>
      <c r="AM32" s="201"/>
      <c r="AN32" s="201"/>
      <c r="AO32" s="202"/>
      <c r="AP32" s="202"/>
      <c r="AQ32" s="202">
        <v>0</v>
      </c>
      <c r="AR32" s="202">
        <v>0</v>
      </c>
      <c r="AS32" s="203">
        <f t="shared" si="27"/>
        <v>0</v>
      </c>
      <c r="AT32" s="139">
        <v>28</v>
      </c>
      <c r="AU32" s="140">
        <f t="shared" si="24"/>
        <v>0</v>
      </c>
      <c r="AV32" s="237">
        <f t="shared" si="25"/>
        <v>0</v>
      </c>
    </row>
    <row r="33" spans="1:48" ht="15.75" customHeight="1">
      <c r="A33" s="139"/>
      <c r="B33" s="207">
        <f t="shared" si="26"/>
        <v>45351</v>
      </c>
      <c r="C33" s="184" t="s">
        <v>54</v>
      </c>
      <c r="D33" s="185"/>
      <c r="E33" s="186"/>
      <c r="F33" s="187"/>
      <c r="G33" s="188" t="e">
        <f t="shared" si="0"/>
        <v>#DIV/0!</v>
      </c>
      <c r="H33" s="187"/>
      <c r="I33" s="188" t="e">
        <f t="shared" si="1"/>
        <v>#DIV/0!</v>
      </c>
      <c r="J33" s="190">
        <f t="shared" si="2"/>
        <v>0</v>
      </c>
      <c r="K33" s="191" t="str">
        <f t="shared" si="3"/>
        <v/>
      </c>
      <c r="L33" s="192"/>
      <c r="M33" s="193">
        <f t="shared" si="4"/>
        <v>23</v>
      </c>
      <c r="N33" s="194">
        <f t="shared" si="4"/>
        <v>239690</v>
      </c>
      <c r="O33" s="188">
        <f t="shared" si="5"/>
        <v>9473.9130434782601</v>
      </c>
      <c r="P33" s="194">
        <f t="shared" si="6"/>
        <v>34970</v>
      </c>
      <c r="Q33" s="188">
        <f t="shared" si="7"/>
        <v>1382.1739130434783</v>
      </c>
      <c r="R33" s="195">
        <f t="shared" si="8"/>
        <v>274660</v>
      </c>
      <c r="S33" s="191">
        <f t="shared" si="9"/>
        <v>11941.739130434782</v>
      </c>
      <c r="T33" s="196">
        <f t="shared" si="10"/>
        <v>23</v>
      </c>
      <c r="U33" s="194">
        <f t="shared" si="10"/>
        <v>239690</v>
      </c>
      <c r="V33" s="194">
        <f t="shared" si="11"/>
        <v>34970</v>
      </c>
      <c r="W33" s="197">
        <f t="shared" si="12"/>
        <v>274660</v>
      </c>
      <c r="X33" s="231">
        <f t="shared" si="13"/>
        <v>11941.739130434782</v>
      </c>
      <c r="Y33" s="232"/>
      <c r="Z33" s="198">
        <v>72</v>
      </c>
      <c r="AA33" s="187">
        <v>58550</v>
      </c>
      <c r="AB33" s="188">
        <f t="shared" si="14"/>
        <v>813.19444444444446</v>
      </c>
      <c r="AC33" s="187">
        <v>16300</v>
      </c>
      <c r="AD33" s="189">
        <f t="shared" si="15"/>
        <v>226.38888888888889</v>
      </c>
      <c r="AE33" s="199">
        <f t="shared" si="16"/>
        <v>74850</v>
      </c>
      <c r="AF33" s="191">
        <f t="shared" si="17"/>
        <v>1039.5833333333333</v>
      </c>
      <c r="AG33" s="205">
        <f t="shared" si="18"/>
        <v>23</v>
      </c>
      <c r="AH33" s="201">
        <f t="shared" si="19"/>
        <v>298240</v>
      </c>
      <c r="AI33" s="201">
        <f t="shared" si="20"/>
        <v>51270</v>
      </c>
      <c r="AJ33" s="200">
        <f t="shared" si="21"/>
        <v>349510</v>
      </c>
      <c r="AK33" s="231">
        <f t="shared" si="22"/>
        <v>17600</v>
      </c>
      <c r="AL33" s="238">
        <v>23</v>
      </c>
      <c r="AM33" s="201">
        <v>239690</v>
      </c>
      <c r="AN33" s="201">
        <v>34970</v>
      </c>
      <c r="AO33" s="202">
        <v>17600</v>
      </c>
      <c r="AP33" s="202">
        <v>0</v>
      </c>
      <c r="AQ33" s="202">
        <v>0</v>
      </c>
      <c r="AR33" s="202">
        <v>0</v>
      </c>
      <c r="AS33" s="203">
        <f t="shared" si="27"/>
        <v>292260</v>
      </c>
      <c r="AT33" s="139">
        <v>29</v>
      </c>
      <c r="AU33" s="140">
        <f t="shared" si="24"/>
        <v>292260</v>
      </c>
      <c r="AV33" s="237">
        <f t="shared" si="25"/>
        <v>367110</v>
      </c>
    </row>
    <row r="34" spans="1:48" ht="15.75" customHeight="1">
      <c r="A34" s="139"/>
      <c r="B34" s="207"/>
      <c r="C34" s="184"/>
      <c r="D34" s="185"/>
      <c r="E34" s="186"/>
      <c r="F34" s="187"/>
      <c r="G34" s="188" t="e">
        <f t="shared" si="0"/>
        <v>#DIV/0!</v>
      </c>
      <c r="H34" s="187"/>
      <c r="I34" s="188" t="e">
        <f t="shared" si="1"/>
        <v>#DIV/0!</v>
      </c>
      <c r="J34" s="190">
        <f t="shared" si="2"/>
        <v>0</v>
      </c>
      <c r="K34" s="191" t="str">
        <f t="shared" si="3"/>
        <v/>
      </c>
      <c r="L34" s="192"/>
      <c r="M34" s="193">
        <f t="shared" si="4"/>
        <v>0</v>
      </c>
      <c r="N34" s="194">
        <f t="shared" si="4"/>
        <v>0</v>
      </c>
      <c r="O34" s="188" t="e">
        <f t="shared" si="5"/>
        <v>#DIV/0!</v>
      </c>
      <c r="P34" s="194">
        <f t="shared" si="6"/>
        <v>0</v>
      </c>
      <c r="Q34" s="188" t="e">
        <f t="shared" si="7"/>
        <v>#DIV/0!</v>
      </c>
      <c r="R34" s="195">
        <f t="shared" si="8"/>
        <v>0</v>
      </c>
      <c r="S34" s="191" t="e">
        <f t="shared" si="9"/>
        <v>#DIV/0!</v>
      </c>
      <c r="T34" s="196">
        <f t="shared" si="10"/>
        <v>0</v>
      </c>
      <c r="U34" s="194">
        <f t="shared" si="10"/>
        <v>0</v>
      </c>
      <c r="V34" s="194">
        <f t="shared" si="11"/>
        <v>0</v>
      </c>
      <c r="W34" s="197">
        <f t="shared" si="12"/>
        <v>0</v>
      </c>
      <c r="X34" s="231" t="e">
        <f t="shared" si="13"/>
        <v>#DIV/0!</v>
      </c>
      <c r="Y34" s="239"/>
      <c r="Z34" s="210"/>
      <c r="AA34" s="211"/>
      <c r="AB34" s="188" t="e">
        <f t="shared" si="14"/>
        <v>#DIV/0!</v>
      </c>
      <c r="AC34" s="211"/>
      <c r="AD34" s="189" t="e">
        <f t="shared" si="15"/>
        <v>#DIV/0!</v>
      </c>
      <c r="AE34" s="199">
        <f t="shared" si="16"/>
        <v>0</v>
      </c>
      <c r="AF34" s="191" t="str">
        <f t="shared" si="17"/>
        <v/>
      </c>
      <c r="AG34" s="205">
        <f t="shared" si="18"/>
        <v>0</v>
      </c>
      <c r="AH34" s="201">
        <f t="shared" si="19"/>
        <v>0</v>
      </c>
      <c r="AI34" s="201">
        <f t="shared" si="20"/>
        <v>0</v>
      </c>
      <c r="AJ34" s="200">
        <f t="shared" si="21"/>
        <v>0</v>
      </c>
      <c r="AK34" s="231">
        <f t="shared" si="22"/>
        <v>0</v>
      </c>
      <c r="AL34" s="238"/>
      <c r="AM34" s="201"/>
      <c r="AN34" s="201"/>
      <c r="AO34" s="202"/>
      <c r="AP34" s="202"/>
      <c r="AQ34" s="202">
        <v>0</v>
      </c>
      <c r="AR34" s="202">
        <v>0</v>
      </c>
      <c r="AS34" s="203">
        <f t="shared" si="27"/>
        <v>0</v>
      </c>
      <c r="AT34" s="139">
        <v>30</v>
      </c>
      <c r="AU34" s="140">
        <f t="shared" si="24"/>
        <v>0</v>
      </c>
      <c r="AV34" s="237">
        <f t="shared" si="25"/>
        <v>0</v>
      </c>
    </row>
    <row r="35" spans="1:48" ht="15.75" customHeight="1" thickBot="1">
      <c r="A35" s="139"/>
      <c r="B35" s="207"/>
      <c r="C35" s="184"/>
      <c r="D35" s="185"/>
      <c r="E35" s="186"/>
      <c r="F35" s="187"/>
      <c r="G35" s="188" t="e">
        <f t="shared" si="0"/>
        <v>#DIV/0!</v>
      </c>
      <c r="H35" s="187"/>
      <c r="I35" s="188" t="e">
        <f t="shared" si="1"/>
        <v>#DIV/0!</v>
      </c>
      <c r="J35" s="190">
        <f t="shared" si="2"/>
        <v>0</v>
      </c>
      <c r="K35" s="191" t="str">
        <f t="shared" si="3"/>
        <v/>
      </c>
      <c r="L35" s="192"/>
      <c r="M35" s="212">
        <f t="shared" si="4"/>
        <v>0</v>
      </c>
      <c r="N35" s="194">
        <f t="shared" si="4"/>
        <v>0</v>
      </c>
      <c r="O35" s="188" t="e">
        <f t="shared" si="5"/>
        <v>#DIV/0!</v>
      </c>
      <c r="P35" s="194">
        <f t="shared" si="6"/>
        <v>0</v>
      </c>
      <c r="Q35" s="188" t="e">
        <f t="shared" si="7"/>
        <v>#DIV/0!</v>
      </c>
      <c r="R35" s="195">
        <f t="shared" si="8"/>
        <v>0</v>
      </c>
      <c r="S35" s="191" t="e">
        <f t="shared" si="9"/>
        <v>#DIV/0!</v>
      </c>
      <c r="T35" s="240">
        <f t="shared" si="10"/>
        <v>0</v>
      </c>
      <c r="U35" s="241">
        <f t="shared" si="10"/>
        <v>0</v>
      </c>
      <c r="V35" s="241">
        <f t="shared" si="11"/>
        <v>0</v>
      </c>
      <c r="W35" s="242">
        <f t="shared" si="12"/>
        <v>0</v>
      </c>
      <c r="X35" s="243"/>
      <c r="Y35" s="244"/>
      <c r="Z35" s="213"/>
      <c r="AA35" s="214"/>
      <c r="AB35" s="215" t="e">
        <f t="shared" si="14"/>
        <v>#DIV/0!</v>
      </c>
      <c r="AC35" s="214"/>
      <c r="AD35" s="216" t="e">
        <f t="shared" si="15"/>
        <v>#DIV/0!</v>
      </c>
      <c r="AE35" s="217">
        <f t="shared" si="16"/>
        <v>0</v>
      </c>
      <c r="AF35" s="191" t="str">
        <f t="shared" si="17"/>
        <v/>
      </c>
      <c r="AG35" s="245">
        <f t="shared" si="18"/>
        <v>0</v>
      </c>
      <c r="AH35" s="241">
        <f t="shared" si="19"/>
        <v>0</v>
      </c>
      <c r="AI35" s="241">
        <f t="shared" si="20"/>
        <v>0</v>
      </c>
      <c r="AJ35" s="246">
        <f t="shared" si="21"/>
        <v>0</v>
      </c>
      <c r="AK35" s="247">
        <f t="shared" si="22"/>
        <v>0</v>
      </c>
      <c r="AL35" s="238"/>
      <c r="AM35" s="201"/>
      <c r="AN35" s="201"/>
      <c r="AO35" s="202"/>
      <c r="AP35" s="202"/>
      <c r="AQ35" s="202">
        <v>0</v>
      </c>
      <c r="AR35" s="202">
        <v>0</v>
      </c>
      <c r="AS35" s="203">
        <f>SUM(AM35:AR35)</f>
        <v>0</v>
      </c>
      <c r="AT35" s="139">
        <v>31</v>
      </c>
      <c r="AU35" s="140">
        <f t="shared" si="24"/>
        <v>0</v>
      </c>
      <c r="AV35" s="237">
        <f t="shared" si="25"/>
        <v>0</v>
      </c>
    </row>
    <row r="36" spans="1:48" ht="15.75" customHeight="1" thickTop="1" thickBot="1">
      <c r="A36" s="68"/>
      <c r="B36" s="176" t="s">
        <v>26</v>
      </c>
      <c r="C36" s="70">
        <f>SUM(C5:C35)</f>
        <v>0</v>
      </c>
      <c r="D36" s="71">
        <f>SUM(D5:D35)</f>
        <v>0</v>
      </c>
      <c r="E36" s="72">
        <f>SUM(E5:E35)</f>
        <v>251</v>
      </c>
      <c r="F36" s="73">
        <f>SUM(F5:F35)</f>
        <v>809886</v>
      </c>
      <c r="G36" s="74">
        <f>F36/E36</f>
        <v>3226.6374501992032</v>
      </c>
      <c r="H36" s="70">
        <f>SUM(H5:H35)</f>
        <v>194900</v>
      </c>
      <c r="I36" s="75">
        <f>H36/E36</f>
        <v>776.49402390438252</v>
      </c>
      <c r="J36" s="76">
        <f>SUM(J5:J35)</f>
        <v>1004786</v>
      </c>
      <c r="K36" s="77">
        <f>J36/E36</f>
        <v>4003.1314741035858</v>
      </c>
      <c r="L36" s="78">
        <f>SUM(L5:L35)</f>
        <v>0</v>
      </c>
      <c r="M36" s="72">
        <f>SUM(M5:M35)</f>
        <v>787</v>
      </c>
      <c r="N36" s="221">
        <f>SUM(N5:N35)</f>
        <v>7228590</v>
      </c>
      <c r="O36" s="74">
        <f>N36/M36</f>
        <v>9184.9936467598473</v>
      </c>
      <c r="P36" s="79">
        <f>SUM(P5:P35)</f>
        <v>1191080</v>
      </c>
      <c r="Q36" s="75">
        <f>P36/M36</f>
        <v>1513.4434561626429</v>
      </c>
      <c r="R36" s="80">
        <f>SUM(R5:R35)</f>
        <v>8419670</v>
      </c>
      <c r="S36" s="81">
        <f>R36/M36</f>
        <v>10698.437102922491</v>
      </c>
      <c r="T36" s="72">
        <f>SUM(T5:T35)</f>
        <v>1038</v>
      </c>
      <c r="U36" s="142">
        <f>SUM(U5:U35)</f>
        <v>8038476</v>
      </c>
      <c r="V36" s="79">
        <f>SUM(V5:V35)</f>
        <v>1385980</v>
      </c>
      <c r="W36" s="143">
        <f>SUM(W5:W35)</f>
        <v>9424456</v>
      </c>
      <c r="X36" s="149">
        <f>W36/T36</f>
        <v>9079.4373795761076</v>
      </c>
      <c r="Y36" s="71">
        <f>SUM(Y5:Y35)</f>
        <v>0</v>
      </c>
      <c r="Z36" s="72">
        <f>SUM(Z5:Z35)</f>
        <v>2755</v>
      </c>
      <c r="AA36" s="169">
        <f>SUM(AA5:AA35)</f>
        <v>1798800</v>
      </c>
      <c r="AB36" s="74"/>
      <c r="AC36" s="70">
        <f>SUM(AC5:AC35)</f>
        <v>772850</v>
      </c>
      <c r="AD36" s="75"/>
      <c r="AE36" s="170">
        <f>SUM(AE5:AE35)</f>
        <v>2571650</v>
      </c>
      <c r="AF36" s="177">
        <f>AE36/Z36</f>
        <v>933.44827586206895</v>
      </c>
      <c r="AG36" s="72">
        <f t="shared" ref="AG36:AS36" si="28">SUM(AG5:AG35)</f>
        <v>1038</v>
      </c>
      <c r="AH36" s="142">
        <f t="shared" si="28"/>
        <v>9837276</v>
      </c>
      <c r="AI36" s="79">
        <f t="shared" si="28"/>
        <v>2158830</v>
      </c>
      <c r="AJ36" s="80">
        <f t="shared" si="28"/>
        <v>11996106</v>
      </c>
      <c r="AK36" s="70">
        <f t="shared" si="28"/>
        <v>866680</v>
      </c>
      <c r="AL36" s="83">
        <f t="shared" si="28"/>
        <v>1038</v>
      </c>
      <c r="AM36" s="83">
        <f t="shared" si="28"/>
        <v>8038476</v>
      </c>
      <c r="AN36" s="83">
        <f t="shared" si="28"/>
        <v>1385980</v>
      </c>
      <c r="AO36" s="83">
        <f t="shared" si="28"/>
        <v>530200</v>
      </c>
      <c r="AP36" s="83">
        <f t="shared" si="28"/>
        <v>333180</v>
      </c>
      <c r="AQ36" s="83">
        <f t="shared" si="28"/>
        <v>3300</v>
      </c>
      <c r="AR36" s="83">
        <f t="shared" si="28"/>
        <v>53240</v>
      </c>
      <c r="AS36" s="83">
        <f t="shared" si="28"/>
        <v>10291136</v>
      </c>
      <c r="AT36" s="68"/>
      <c r="AU36" s="84">
        <f>SUM(AU5:AU35)</f>
        <v>10344376</v>
      </c>
      <c r="AV36" s="84">
        <f>SUM(AV5:AV35)</f>
        <v>12916026</v>
      </c>
    </row>
    <row r="37" spans="1:48" ht="15.75" customHeight="1" thickTop="1">
      <c r="A37" s="68"/>
      <c r="B37" s="178"/>
      <c r="C37" s="68"/>
      <c r="D37" s="68"/>
      <c r="E37" s="85" t="s">
        <v>36</v>
      </c>
      <c r="F37" s="86">
        <f>F36/1.1</f>
        <v>736259.99999999988</v>
      </c>
      <c r="G37" s="87">
        <f>F37/E36</f>
        <v>2933.3067729083659</v>
      </c>
      <c r="H37" s="45">
        <f>H36/1.1</f>
        <v>177181.81818181818</v>
      </c>
      <c r="I37" s="87">
        <f>H37/E36</f>
        <v>705.9036580948931</v>
      </c>
      <c r="J37" s="83">
        <f>J36/1.1</f>
        <v>913441.81818181812</v>
      </c>
      <c r="K37" s="88">
        <f>G37+I37</f>
        <v>3639.2104310032591</v>
      </c>
      <c r="L37" s="89"/>
      <c r="M37" s="85" t="s">
        <v>36</v>
      </c>
      <c r="N37" s="86">
        <f>N36/1.1</f>
        <v>6571445.4545454541</v>
      </c>
      <c r="O37" s="87">
        <f>N37/M36</f>
        <v>8349.9942243271344</v>
      </c>
      <c r="P37" s="86">
        <f>P36/1.1</f>
        <v>1082800</v>
      </c>
      <c r="Q37" s="87">
        <f>P37/M36</f>
        <v>1375.8576874205844</v>
      </c>
      <c r="R37" s="87">
        <f>R36/1.1</f>
        <v>7654245.4545454541</v>
      </c>
      <c r="S37" s="144">
        <f>R37/M36</f>
        <v>9725.8519117477172</v>
      </c>
      <c r="T37" s="85" t="s">
        <v>36</v>
      </c>
      <c r="U37" s="222">
        <f>U36/1.1</f>
        <v>7307705.4545454541</v>
      </c>
      <c r="V37" s="86">
        <f>V36/1.1</f>
        <v>1259981.8181818181</v>
      </c>
      <c r="W37" s="145">
        <f>W36/1.1</f>
        <v>8567687.2727272715</v>
      </c>
      <c r="X37" s="149">
        <f>W37/T36</f>
        <v>8254.0339814328236</v>
      </c>
      <c r="Y37" s="89"/>
      <c r="Z37" s="85" t="s">
        <v>36</v>
      </c>
      <c r="AA37" s="86">
        <f>AA36/1.1</f>
        <v>1635272.7272727271</v>
      </c>
      <c r="AB37" s="45">
        <f>AA37/Z36</f>
        <v>593.5654182478138</v>
      </c>
      <c r="AC37" s="45">
        <f>AC36/1.1</f>
        <v>702590.90909090906</v>
      </c>
      <c r="AD37" s="45">
        <f>AC37/Z36</f>
        <v>255.02392344497608</v>
      </c>
      <c r="AE37" s="252">
        <f>AE36/1.1</f>
        <v>2337863.6363636362</v>
      </c>
      <c r="AF37" s="92">
        <f>AE37/Z36</f>
        <v>848.58934169278996</v>
      </c>
      <c r="AG37" s="85" t="s">
        <v>36</v>
      </c>
      <c r="AH37" s="146">
        <f>AH36/1.1</f>
        <v>8942978.1818181816</v>
      </c>
      <c r="AI37" s="86">
        <f>AI36/1.1</f>
        <v>1962572.7272727271</v>
      </c>
      <c r="AJ37" s="87">
        <f>AJ36/1.1</f>
        <v>10905550.909090908</v>
      </c>
      <c r="AK37" s="93">
        <f>AK36/1.1</f>
        <v>787890.90909090906</v>
      </c>
      <c r="AL37" s="68"/>
      <c r="AM37" s="68"/>
      <c r="AN37" s="68"/>
      <c r="AO37" s="68"/>
      <c r="AP37" s="94"/>
      <c r="AQ37" s="68"/>
      <c r="AR37" s="68"/>
      <c r="AS37" s="94"/>
      <c r="AT37" s="68"/>
      <c r="AU37" s="94"/>
    </row>
    <row r="38" spans="1:48" ht="15.75" customHeight="1">
      <c r="A38" s="26"/>
      <c r="B38" s="179"/>
      <c r="C38" s="26"/>
      <c r="D38" s="26"/>
      <c r="E38" s="95" t="s">
        <v>37</v>
      </c>
      <c r="F38" s="96">
        <f>E36/G38</f>
        <v>25.1</v>
      </c>
      <c r="G38" s="97">
        <v>10</v>
      </c>
      <c r="H38" s="98" t="s">
        <v>38</v>
      </c>
      <c r="I38" s="96"/>
      <c r="J38" s="99" t="s">
        <v>39</v>
      </c>
      <c r="K38" s="171">
        <f>J37/G38</f>
        <v>91344.181818181809</v>
      </c>
      <c r="L38" s="26"/>
      <c r="M38" s="95" t="s">
        <v>37</v>
      </c>
      <c r="N38" s="96">
        <f>M36/O38</f>
        <v>31.48</v>
      </c>
      <c r="O38" s="97">
        <v>25</v>
      </c>
      <c r="P38" s="98" t="s">
        <v>38</v>
      </c>
      <c r="Q38" s="96"/>
      <c r="R38" s="99" t="s">
        <v>39</v>
      </c>
      <c r="S38" s="172">
        <f>R37/O38</f>
        <v>306169.81818181818</v>
      </c>
      <c r="T38" s="26"/>
      <c r="U38" s="26"/>
      <c r="V38" s="26"/>
      <c r="W38" s="47"/>
      <c r="X38" s="47"/>
      <c r="Y38" s="26"/>
      <c r="Z38" s="26"/>
      <c r="AA38" s="102">
        <v>25</v>
      </c>
      <c r="AB38" s="98" t="s">
        <v>38</v>
      </c>
      <c r="AC38" s="96"/>
      <c r="AD38" s="96"/>
      <c r="AE38" s="99" t="s">
        <v>39</v>
      </c>
      <c r="AF38" s="100">
        <f>AE37/AA38</f>
        <v>93514.545454545456</v>
      </c>
      <c r="AG38" s="26"/>
      <c r="AH38" s="26"/>
      <c r="AI38" s="26" t="s">
        <v>55</v>
      </c>
      <c r="AJ38" s="47"/>
      <c r="AK38" s="47">
        <f>AJ37/AL38</f>
        <v>2875.1781990748505</v>
      </c>
      <c r="AL38" s="150">
        <f>AG36+Z36</f>
        <v>3793</v>
      </c>
      <c r="AM38" s="26" t="s">
        <v>56</v>
      </c>
      <c r="AN38" s="26"/>
      <c r="AO38" s="26"/>
      <c r="AP38" s="47"/>
      <c r="AQ38" s="26"/>
      <c r="AR38" s="26"/>
      <c r="AS38" s="47"/>
      <c r="AT38" s="26"/>
      <c r="AU38" s="47"/>
    </row>
    <row r="39" spans="1:48" ht="15.75" customHeight="1">
      <c r="A39" s="26"/>
      <c r="B39" s="179"/>
      <c r="C39" s="26"/>
      <c r="D39" s="104" t="s">
        <v>40</v>
      </c>
      <c r="E39" s="105"/>
      <c r="F39" s="96"/>
      <c r="G39" s="106" t="s">
        <v>74</v>
      </c>
      <c r="H39" s="96"/>
      <c r="I39" s="96"/>
      <c r="J39" s="99"/>
      <c r="K39" s="100"/>
      <c r="L39" s="107" t="s">
        <v>41</v>
      </c>
      <c r="M39" s="95"/>
      <c r="N39" s="96"/>
      <c r="O39" s="96"/>
      <c r="P39" s="96"/>
      <c r="Q39" s="96"/>
      <c r="R39" s="99"/>
      <c r="S39" s="100"/>
      <c r="T39" s="26"/>
      <c r="U39" s="26"/>
      <c r="V39" s="26"/>
      <c r="W39" s="47"/>
      <c r="X39" s="47"/>
      <c r="Y39" s="107" t="s">
        <v>42</v>
      </c>
      <c r="Z39" s="26"/>
      <c r="AA39" s="96"/>
      <c r="AB39" s="96"/>
      <c r="AC39" s="96"/>
      <c r="AD39" s="96"/>
      <c r="AE39" s="96"/>
      <c r="AF39" s="100"/>
      <c r="AG39" s="26"/>
      <c r="AH39" s="26"/>
      <c r="AI39" s="26" t="s">
        <v>57</v>
      </c>
      <c r="AK39" s="108">
        <f>AJ37/AA38</f>
        <v>436222.03636363632</v>
      </c>
      <c r="AL39" s="26" t="s">
        <v>58</v>
      </c>
      <c r="AM39" s="26"/>
      <c r="AN39" s="26"/>
      <c r="AO39" s="26"/>
      <c r="AP39" s="47"/>
      <c r="AQ39" s="26"/>
      <c r="AR39" s="26"/>
      <c r="AS39" s="47"/>
      <c r="AT39" s="26"/>
      <c r="AU39" s="47"/>
    </row>
    <row r="40" spans="1:48" ht="21" customHeight="1">
      <c r="A40" s="26"/>
      <c r="B40" s="179"/>
      <c r="C40" s="107"/>
      <c r="D40" s="253" t="s">
        <v>75</v>
      </c>
      <c r="E40" s="155"/>
      <c r="F40" s="155"/>
      <c r="G40" s="155"/>
      <c r="H40" s="155"/>
      <c r="I40" s="155"/>
      <c r="J40" s="155"/>
      <c r="K40" s="156"/>
      <c r="L40" s="253" t="s">
        <v>76</v>
      </c>
      <c r="M40" s="155"/>
      <c r="N40" s="155"/>
      <c r="O40" s="155"/>
      <c r="P40" s="155"/>
      <c r="Q40" s="155"/>
      <c r="R40" s="155"/>
      <c r="S40" s="156"/>
      <c r="T40" s="26"/>
      <c r="U40" s="26"/>
      <c r="V40" s="26"/>
      <c r="W40" s="47"/>
      <c r="X40" s="26"/>
      <c r="Y40" s="154" t="s">
        <v>77</v>
      </c>
      <c r="Z40" s="155"/>
      <c r="AA40" s="155"/>
      <c r="AB40" s="155"/>
      <c r="AC40" s="155"/>
      <c r="AD40" s="155"/>
      <c r="AE40" s="155"/>
      <c r="AF40" s="156"/>
      <c r="AG40" s="26"/>
      <c r="AH40" s="26"/>
      <c r="AI40" s="26" t="s">
        <v>59</v>
      </c>
      <c r="AJ40" s="47">
        <f>AJ36+AK36</f>
        <v>12862786</v>
      </c>
      <c r="AK40" s="108">
        <f>AJ40/AA38</f>
        <v>514511.44</v>
      </c>
      <c r="AL40" s="26" t="s">
        <v>43</v>
      </c>
      <c r="AM40" s="26"/>
      <c r="AN40" s="26"/>
      <c r="AO40" s="26"/>
      <c r="AP40" s="26"/>
      <c r="AQ40" s="26"/>
      <c r="AR40" s="26"/>
      <c r="AS40" s="47"/>
      <c r="AT40" s="26"/>
      <c r="AU40" s="47"/>
    </row>
    <row r="41" spans="1:48" ht="21" customHeight="1">
      <c r="A41" s="26"/>
      <c r="B41" s="179"/>
      <c r="C41" s="107"/>
      <c r="D41" s="157"/>
      <c r="E41" s="254"/>
      <c r="F41" s="254"/>
      <c r="G41" s="254"/>
      <c r="H41" s="254"/>
      <c r="I41" s="254"/>
      <c r="J41" s="254"/>
      <c r="K41" s="159"/>
      <c r="L41" s="157"/>
      <c r="M41" s="254"/>
      <c r="N41" s="254"/>
      <c r="O41" s="254"/>
      <c r="P41" s="254"/>
      <c r="Q41" s="254"/>
      <c r="R41" s="254"/>
      <c r="S41" s="159"/>
      <c r="T41" s="26"/>
      <c r="U41" s="26"/>
      <c r="V41" s="26"/>
      <c r="W41" s="47"/>
      <c r="X41" s="26"/>
      <c r="Y41" s="157"/>
      <c r="Z41" s="158"/>
      <c r="AA41" s="158"/>
      <c r="AB41" s="158"/>
      <c r="AC41" s="158"/>
      <c r="AD41" s="158"/>
      <c r="AE41" s="158"/>
      <c r="AF41" s="159"/>
      <c r="AG41" s="26"/>
      <c r="AH41" s="26"/>
      <c r="AI41" s="26" t="s">
        <v>60</v>
      </c>
      <c r="AJ41" s="113">
        <f>AJ37+AK37</f>
        <v>11693441.818181816</v>
      </c>
      <c r="AK41" s="108">
        <f>AJ41/AA38</f>
        <v>467737.67272727267</v>
      </c>
      <c r="AL41" s="26" t="s">
        <v>58</v>
      </c>
      <c r="AM41" s="26"/>
      <c r="AN41" s="26"/>
      <c r="AO41" s="26"/>
      <c r="AP41" s="26"/>
      <c r="AQ41" s="26"/>
      <c r="AR41" s="26"/>
      <c r="AS41" s="47"/>
      <c r="AT41" s="26"/>
      <c r="AU41" s="47"/>
    </row>
    <row r="42" spans="1:48" ht="21" customHeight="1">
      <c r="A42" s="26"/>
      <c r="B42" s="179"/>
      <c r="C42" s="107"/>
      <c r="D42" s="157"/>
      <c r="E42" s="254"/>
      <c r="F42" s="254"/>
      <c r="G42" s="254"/>
      <c r="H42" s="254"/>
      <c r="I42" s="254"/>
      <c r="J42" s="254"/>
      <c r="K42" s="159"/>
      <c r="L42" s="157"/>
      <c r="M42" s="254"/>
      <c r="N42" s="254"/>
      <c r="O42" s="254"/>
      <c r="P42" s="254"/>
      <c r="Q42" s="254"/>
      <c r="R42" s="254"/>
      <c r="S42" s="159"/>
      <c r="T42" s="26"/>
      <c r="U42" s="26"/>
      <c r="V42" s="26"/>
      <c r="W42" s="47"/>
      <c r="X42" s="26"/>
      <c r="Y42" s="157"/>
      <c r="Z42" s="158"/>
      <c r="AA42" s="158"/>
      <c r="AB42" s="158"/>
      <c r="AC42" s="158"/>
      <c r="AD42" s="158"/>
      <c r="AE42" s="158"/>
      <c r="AF42" s="159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7"/>
      <c r="AT42" s="26"/>
      <c r="AU42" s="47"/>
    </row>
    <row r="43" spans="1:48" ht="21" customHeight="1">
      <c r="A43" s="26"/>
      <c r="B43" s="179"/>
      <c r="C43" s="107"/>
      <c r="D43" s="157"/>
      <c r="E43" s="254"/>
      <c r="F43" s="254"/>
      <c r="G43" s="254"/>
      <c r="H43" s="254"/>
      <c r="I43" s="254"/>
      <c r="J43" s="254"/>
      <c r="K43" s="159"/>
      <c r="L43" s="157"/>
      <c r="M43" s="254"/>
      <c r="N43" s="254"/>
      <c r="O43" s="254"/>
      <c r="P43" s="254"/>
      <c r="Q43" s="254"/>
      <c r="R43" s="254"/>
      <c r="S43" s="159"/>
      <c r="T43" s="26"/>
      <c r="U43" s="26"/>
      <c r="V43" s="26"/>
      <c r="W43" s="26"/>
      <c r="X43" s="26"/>
      <c r="Y43" s="157"/>
      <c r="Z43" s="158"/>
      <c r="AA43" s="158"/>
      <c r="AB43" s="158"/>
      <c r="AC43" s="158"/>
      <c r="AD43" s="158"/>
      <c r="AE43" s="158"/>
      <c r="AF43" s="159"/>
      <c r="AG43" s="26"/>
      <c r="AH43" s="26"/>
      <c r="AI43" s="26"/>
      <c r="AJ43" s="47">
        <f>AJ37+AK37</f>
        <v>11693441.818181816</v>
      </c>
      <c r="AK43" s="110" t="s">
        <v>46</v>
      </c>
      <c r="AL43" s="26"/>
      <c r="AM43" s="26"/>
      <c r="AN43" s="26"/>
      <c r="AO43" s="26"/>
      <c r="AP43" s="26"/>
      <c r="AQ43" s="26"/>
      <c r="AR43" s="26"/>
      <c r="AS43" s="47"/>
      <c r="AT43" s="26"/>
      <c r="AU43" s="47"/>
    </row>
    <row r="44" spans="1:48" ht="21" customHeight="1">
      <c r="A44" s="26"/>
      <c r="B44" s="179"/>
      <c r="C44" s="107"/>
      <c r="D44" s="160"/>
      <c r="E44" s="161"/>
      <c r="F44" s="161"/>
      <c r="G44" s="161"/>
      <c r="H44" s="161"/>
      <c r="I44" s="161"/>
      <c r="J44" s="161"/>
      <c r="K44" s="162"/>
      <c r="L44" s="160"/>
      <c r="M44" s="161"/>
      <c r="N44" s="161"/>
      <c r="O44" s="161"/>
      <c r="P44" s="161"/>
      <c r="Q44" s="161"/>
      <c r="R44" s="161"/>
      <c r="S44" s="162"/>
      <c r="T44" s="26"/>
      <c r="U44" s="26"/>
      <c r="V44" s="26"/>
      <c r="W44" s="26"/>
      <c r="X44" s="26"/>
      <c r="Y44" s="160"/>
      <c r="Z44" s="161"/>
      <c r="AA44" s="161"/>
      <c r="AB44" s="161"/>
      <c r="AC44" s="161"/>
      <c r="AD44" s="161"/>
      <c r="AE44" s="161"/>
      <c r="AF44" s="162"/>
      <c r="AG44" s="26"/>
      <c r="AH44" s="111"/>
      <c r="AI44" s="248" t="s">
        <v>47</v>
      </c>
      <c r="AJ44" s="249">
        <f>J45+R45+AE45+AK44</f>
        <v>9131500</v>
      </c>
      <c r="AK44" s="218">
        <v>472500</v>
      </c>
      <c r="AL44" s="111"/>
      <c r="AM44" s="26"/>
      <c r="AN44" s="26"/>
      <c r="AO44" s="26"/>
      <c r="AP44" s="26"/>
      <c r="AQ44" s="26"/>
      <c r="AR44" s="26"/>
      <c r="AS44" s="47"/>
      <c r="AT44" s="26"/>
      <c r="AU44" s="47"/>
    </row>
    <row r="45" spans="1:48" ht="21" customHeight="1">
      <c r="A45" s="26"/>
      <c r="B45" s="179"/>
      <c r="C45" s="26"/>
      <c r="D45" s="26"/>
      <c r="E45" s="26"/>
      <c r="F45" s="26"/>
      <c r="G45" s="26"/>
      <c r="H45" s="115"/>
      <c r="I45" s="116" t="s">
        <v>48</v>
      </c>
      <c r="J45" s="219">
        <v>544000</v>
      </c>
      <c r="K45" s="117" t="s">
        <v>49</v>
      </c>
      <c r="L45" s="111"/>
      <c r="M45" s="111"/>
      <c r="N45" s="111"/>
      <c r="O45" s="111"/>
      <c r="P45" s="111"/>
      <c r="Q45" s="116" t="s">
        <v>50</v>
      </c>
      <c r="R45" s="219">
        <v>6615000</v>
      </c>
      <c r="S45" s="117" t="s">
        <v>49</v>
      </c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5" t="s">
        <v>51</v>
      </c>
      <c r="AE45" s="219">
        <v>1500000</v>
      </c>
      <c r="AF45" s="117" t="s">
        <v>49</v>
      </c>
      <c r="AG45" s="111"/>
      <c r="AH45" s="111"/>
      <c r="AI45" s="112" t="s">
        <v>52</v>
      </c>
      <c r="AJ45" s="113">
        <f>AJ44-AJ37-AK37</f>
        <v>-2561941.8181818174</v>
      </c>
      <c r="AK45" s="113">
        <f>AK44-AK37</f>
        <v>-315390.90909090906</v>
      </c>
      <c r="AL45" s="118">
        <f>AK37/AK44</f>
        <v>1.6674939874939874</v>
      </c>
      <c r="AM45" s="26"/>
      <c r="AN45" s="26"/>
      <c r="AO45" s="26"/>
      <c r="AP45" s="26"/>
      <c r="AQ45" s="47"/>
      <c r="AR45" s="26"/>
      <c r="AS45" s="47"/>
      <c r="AT45" s="26"/>
      <c r="AU45" s="26"/>
    </row>
    <row r="46" spans="1:48" ht="21" customHeight="1">
      <c r="A46" s="26"/>
      <c r="B46" s="179"/>
      <c r="C46" s="26"/>
      <c r="D46" s="26"/>
      <c r="E46" s="26"/>
      <c r="F46" s="26"/>
      <c r="G46" s="26"/>
      <c r="H46" s="115"/>
      <c r="I46" s="115" t="s">
        <v>52</v>
      </c>
      <c r="J46" s="113">
        <f>J45-J37</f>
        <v>-369441.81818181812</v>
      </c>
      <c r="K46" s="119">
        <v>0</v>
      </c>
      <c r="L46" s="111"/>
      <c r="M46" s="111"/>
      <c r="N46" s="111"/>
      <c r="O46" s="111"/>
      <c r="P46" s="111"/>
      <c r="Q46" s="115" t="s">
        <v>52</v>
      </c>
      <c r="R46" s="113">
        <f>R45-R37</f>
        <v>-1039245.4545454541</v>
      </c>
      <c r="S46" s="111">
        <f>K46</f>
        <v>0</v>
      </c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5" t="s">
        <v>52</v>
      </c>
      <c r="AE46" s="113">
        <f>AE45-AE37</f>
        <v>-837863.63636363624</v>
      </c>
      <c r="AF46" s="111">
        <f>K46</f>
        <v>0</v>
      </c>
      <c r="AG46" s="111"/>
      <c r="AH46" s="120"/>
      <c r="AI46" s="121" t="s">
        <v>53</v>
      </c>
      <c r="AJ46" s="122" t="e">
        <f>AJ45/K46</f>
        <v>#DIV/0!</v>
      </c>
      <c r="AK46" s="123">
        <f>(AJ37+AK37)/AJ44</f>
        <v>1.2805608956011407</v>
      </c>
      <c r="AL46" s="120"/>
      <c r="AM46" s="124"/>
      <c r="AN46" s="26"/>
      <c r="AO46" s="26"/>
      <c r="AP46" s="26"/>
      <c r="AQ46" s="47"/>
      <c r="AR46" s="26"/>
      <c r="AS46" s="47"/>
      <c r="AT46" s="26"/>
      <c r="AU46" s="26"/>
    </row>
    <row r="47" spans="1:48" ht="25.5" customHeight="1">
      <c r="A47" s="124"/>
      <c r="B47" s="180"/>
      <c r="C47" s="124"/>
      <c r="D47" s="124"/>
      <c r="E47" s="124"/>
      <c r="F47" s="124"/>
      <c r="G47" s="124"/>
      <c r="H47" s="125"/>
      <c r="I47" s="121" t="s">
        <v>53</v>
      </c>
      <c r="J47" s="126" t="e">
        <f>J46/K46</f>
        <v>#DIV/0!</v>
      </c>
      <c r="K47" s="127">
        <f>J37/J45</f>
        <v>1.6791209893048127</v>
      </c>
      <c r="L47" s="120"/>
      <c r="M47" s="120"/>
      <c r="N47" s="120"/>
      <c r="O47" s="120"/>
      <c r="P47" s="120"/>
      <c r="Q47" s="121" t="s">
        <v>53</v>
      </c>
      <c r="R47" s="122" t="e">
        <f>R46/S46</f>
        <v>#DIV/0!</v>
      </c>
      <c r="S47" s="127">
        <f>R37/R45</f>
        <v>1.157104377104377</v>
      </c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1" t="s">
        <v>53</v>
      </c>
      <c r="AE47" s="126" t="e">
        <f>AE46/AF46</f>
        <v>#DIV/0!</v>
      </c>
      <c r="AF47" s="127">
        <f>AE37/AE45</f>
        <v>1.5585757575757575</v>
      </c>
      <c r="AG47" s="120"/>
      <c r="AH47" s="26"/>
      <c r="AI47" s="26"/>
      <c r="AJ47" s="223" t="s">
        <v>61</v>
      </c>
      <c r="AK47" s="26"/>
      <c r="AL47" s="26"/>
      <c r="AM47" s="26"/>
      <c r="AN47" s="124"/>
      <c r="AO47" s="124"/>
      <c r="AP47" s="124"/>
      <c r="AQ47" s="128"/>
      <c r="AR47" s="124"/>
      <c r="AS47" s="128"/>
      <c r="AT47" s="124"/>
      <c r="AU47" s="124"/>
    </row>
    <row r="48" spans="1:48" ht="15.75" customHeight="1">
      <c r="A48" s="26"/>
      <c r="B48" s="179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29"/>
      <c r="AI48" s="129"/>
      <c r="AJ48" s="129"/>
      <c r="AK48" s="129"/>
      <c r="AL48" s="129"/>
      <c r="AM48" s="129"/>
      <c r="AN48" s="26"/>
      <c r="AO48" s="26"/>
      <c r="AP48" s="26"/>
      <c r="AQ48" s="47"/>
      <c r="AR48" s="26"/>
      <c r="AS48" s="47"/>
      <c r="AT48" s="26"/>
      <c r="AU48" s="26"/>
    </row>
    <row r="49" spans="1:47" ht="36" customHeight="1">
      <c r="A49" s="129"/>
      <c r="B49" s="181"/>
      <c r="C49" s="129"/>
      <c r="D49" s="129"/>
      <c r="E49" s="129"/>
      <c r="F49" s="129"/>
      <c r="G49" s="129"/>
      <c r="H49" s="129"/>
      <c r="I49" s="129"/>
      <c r="J49" s="129"/>
      <c r="K49" s="129"/>
      <c r="L49" s="130"/>
      <c r="M49" s="26"/>
      <c r="N49" s="26"/>
      <c r="O49" s="26"/>
      <c r="P49" s="26"/>
      <c r="Q49" s="26"/>
      <c r="R49" s="130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"/>
      <c r="AI49" s="1"/>
      <c r="AJ49" s="1"/>
      <c r="AK49" s="1"/>
      <c r="AL49" s="1"/>
      <c r="AM49" s="1"/>
      <c r="AN49" s="129"/>
      <c r="AO49" s="129"/>
      <c r="AP49" s="129"/>
      <c r="AQ49" s="131"/>
      <c r="AR49" s="129"/>
      <c r="AS49" s="131"/>
      <c r="AT49" s="129"/>
      <c r="AU49" s="129"/>
    </row>
    <row r="50" spans="1:47" ht="36" customHeight="1">
      <c r="A50" s="1"/>
      <c r="B50" s="182"/>
      <c r="C50" s="1"/>
      <c r="D50" s="1"/>
      <c r="E50" s="1"/>
      <c r="F50" s="1"/>
      <c r="G50" s="1"/>
      <c r="H50" s="1"/>
      <c r="I50" s="1"/>
      <c r="J50" s="1"/>
      <c r="K50" s="1"/>
      <c r="L50" s="132"/>
      <c r="M50" s="26"/>
      <c r="N50" s="26"/>
      <c r="O50" s="26"/>
      <c r="P50" s="26"/>
      <c r="Q50" s="26"/>
      <c r="R50" s="132"/>
      <c r="S50" s="132"/>
      <c r="T50" s="1"/>
      <c r="U50" s="1"/>
      <c r="V50" s="1"/>
      <c r="W50" s="1"/>
      <c r="X50" s="1"/>
      <c r="Y50" s="1"/>
      <c r="Z50" s="133"/>
      <c r="AA50" s="1"/>
      <c r="AB50" s="1"/>
      <c r="AC50" s="1"/>
      <c r="AD50" s="1"/>
      <c r="AE50" s="1"/>
      <c r="AF50" s="1"/>
      <c r="AG50" s="1"/>
      <c r="AH50" s="129"/>
      <c r="AI50" s="129"/>
      <c r="AJ50" s="129"/>
      <c r="AK50" s="129"/>
      <c r="AL50" s="129"/>
      <c r="AM50" s="129"/>
      <c r="AN50" s="1"/>
      <c r="AO50" s="1"/>
      <c r="AP50" s="1"/>
      <c r="AQ50" s="134"/>
      <c r="AR50" s="1"/>
      <c r="AS50" s="134"/>
      <c r="AT50" s="1"/>
      <c r="AU50" s="1"/>
    </row>
    <row r="51" spans="1:47" ht="36" customHeight="1">
      <c r="A51" s="129"/>
      <c r="B51" s="181"/>
      <c r="C51" s="129"/>
      <c r="D51" s="129"/>
      <c r="E51" s="129"/>
      <c r="F51" s="129"/>
      <c r="G51" s="129"/>
      <c r="H51" s="129"/>
      <c r="I51" s="129"/>
      <c r="J51" s="129"/>
      <c r="K51" s="1"/>
      <c r="L51" s="132"/>
      <c r="M51" s="26"/>
      <c r="N51" s="26"/>
      <c r="O51" s="26"/>
      <c r="P51" s="26"/>
      <c r="Q51" s="26"/>
      <c r="R51" s="135"/>
      <c r="S51" s="136"/>
      <c r="T51" s="136"/>
      <c r="U51" s="136"/>
      <c r="V51" s="136"/>
      <c r="W51" s="137"/>
      <c r="X51" s="138"/>
      <c r="Y51" s="139"/>
      <c r="Z51" s="140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31"/>
      <c r="AR51" s="129"/>
      <c r="AS51" s="131"/>
      <c r="AT51" s="129"/>
      <c r="AU51" s="129"/>
    </row>
    <row r="52" spans="1:47" ht="36" customHeight="1">
      <c r="A52" s="129"/>
      <c r="B52" s="181"/>
      <c r="C52" s="129"/>
      <c r="D52" s="129"/>
      <c r="E52" s="129"/>
      <c r="F52" s="129"/>
      <c r="G52" s="129"/>
      <c r="H52" s="129"/>
      <c r="I52" s="129"/>
      <c r="J52" s="129"/>
      <c r="K52" s="1"/>
      <c r="L52" s="132"/>
      <c r="M52" s="26"/>
      <c r="N52" s="26"/>
      <c r="O52" s="26"/>
      <c r="P52" s="26"/>
      <c r="Q52" s="26"/>
      <c r="R52" s="137"/>
      <c r="S52" s="136"/>
      <c r="T52" s="136"/>
      <c r="U52" s="136"/>
      <c r="V52" s="136"/>
      <c r="W52" s="137"/>
      <c r="X52" s="138"/>
      <c r="Y52" s="139"/>
      <c r="Z52" s="140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31"/>
      <c r="AR52" s="129"/>
      <c r="AS52" s="131"/>
      <c r="AT52" s="129"/>
      <c r="AU52" s="129"/>
    </row>
    <row r="53" spans="1:47" ht="36" customHeight="1">
      <c r="A53" s="129"/>
      <c r="B53" s="181"/>
      <c r="C53" s="129"/>
      <c r="D53" s="129"/>
      <c r="E53" s="129"/>
      <c r="F53" s="129"/>
      <c r="G53" s="129"/>
      <c r="H53" s="129"/>
      <c r="I53" s="129"/>
      <c r="J53" s="129"/>
      <c r="K53" s="1"/>
      <c r="L53" s="132"/>
      <c r="M53" s="26"/>
      <c r="N53" s="26"/>
      <c r="O53" s="26"/>
      <c r="P53" s="26"/>
      <c r="Q53" s="26"/>
      <c r="R53" s="137"/>
      <c r="S53" s="136"/>
      <c r="T53" s="136"/>
      <c r="U53" s="136"/>
      <c r="V53" s="136"/>
      <c r="W53" s="137"/>
      <c r="X53" s="138"/>
      <c r="Y53" s="139"/>
      <c r="Z53" s="140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31"/>
      <c r="AR53" s="129"/>
      <c r="AS53" s="131"/>
      <c r="AT53" s="129"/>
      <c r="AU53" s="129"/>
    </row>
    <row r="54" spans="1:47" ht="36" customHeight="1">
      <c r="A54" s="129"/>
      <c r="B54" s="181"/>
      <c r="C54" s="129"/>
      <c r="D54" s="129"/>
      <c r="E54" s="129"/>
      <c r="F54" s="129"/>
      <c r="G54" s="129"/>
      <c r="H54" s="129"/>
      <c r="I54" s="129"/>
      <c r="J54" s="129"/>
      <c r="K54" s="1"/>
      <c r="L54" s="132"/>
      <c r="M54" s="26"/>
      <c r="N54" s="26"/>
      <c r="O54" s="26"/>
      <c r="P54" s="26"/>
      <c r="Q54" s="26"/>
      <c r="R54" s="137"/>
      <c r="S54" s="136"/>
      <c r="T54" s="136"/>
      <c r="U54" s="136"/>
      <c r="V54" s="136"/>
      <c r="W54" s="137"/>
      <c r="X54" s="138"/>
      <c r="Y54" s="139"/>
      <c r="Z54" s="140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31"/>
      <c r="AR54" s="129"/>
      <c r="AS54" s="131"/>
      <c r="AT54" s="129"/>
      <c r="AU54" s="129"/>
    </row>
    <row r="55" spans="1:47" ht="36" customHeight="1">
      <c r="A55" s="129"/>
      <c r="B55" s="181"/>
      <c r="C55" s="129"/>
      <c r="D55" s="129"/>
      <c r="E55" s="129"/>
      <c r="F55" s="129"/>
      <c r="G55" s="129"/>
      <c r="H55" s="129"/>
      <c r="I55" s="129"/>
      <c r="J55" s="129"/>
      <c r="K55" s="129"/>
      <c r="L55" s="130"/>
      <c r="M55" s="26"/>
      <c r="N55" s="26"/>
      <c r="O55" s="26"/>
      <c r="P55" s="26"/>
      <c r="Q55" s="26"/>
      <c r="R55" s="137"/>
      <c r="S55" s="136"/>
      <c r="T55" s="136"/>
      <c r="U55" s="136"/>
      <c r="V55" s="136"/>
      <c r="W55" s="138"/>
      <c r="X55" s="138"/>
      <c r="Y55" s="139"/>
      <c r="Z55" s="140"/>
      <c r="AA55" s="129"/>
      <c r="AB55" s="129"/>
      <c r="AC55" s="129"/>
      <c r="AD55" s="129"/>
      <c r="AE55" s="129"/>
      <c r="AF55" s="129"/>
      <c r="AG55" s="129"/>
      <c r="AH55" s="26"/>
      <c r="AI55" s="26"/>
      <c r="AJ55" s="26"/>
      <c r="AK55" s="26"/>
      <c r="AL55" s="26"/>
      <c r="AM55" s="26"/>
      <c r="AN55" s="129"/>
      <c r="AO55" s="129"/>
      <c r="AP55" s="129"/>
      <c r="AQ55" s="131"/>
      <c r="AR55" s="129"/>
      <c r="AS55" s="131"/>
      <c r="AT55" s="129"/>
      <c r="AU55" s="129"/>
    </row>
    <row r="56" spans="1:47" ht="15.75" customHeight="1">
      <c r="A56" s="26"/>
      <c r="B56" s="179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39"/>
      <c r="Z56" s="139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7"/>
      <c r="AT56" s="26"/>
      <c r="AU56" s="47"/>
    </row>
    <row r="57" spans="1:47" ht="15.75" customHeight="1">
      <c r="A57" s="26"/>
      <c r="B57" s="179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29"/>
      <c r="Z57" s="129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7"/>
      <c r="AT57" s="26"/>
      <c r="AU57" s="47"/>
    </row>
    <row r="58" spans="1:47" ht="15.75" customHeight="1">
      <c r="A58" s="26"/>
      <c r="B58" s="179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7"/>
      <c r="AT58" s="26"/>
      <c r="AU58" s="47"/>
    </row>
    <row r="59" spans="1:47" ht="15.75" customHeight="1">
      <c r="A59" s="26"/>
      <c r="B59" s="179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7"/>
      <c r="AT59" s="26"/>
      <c r="AU59" s="47"/>
    </row>
    <row r="60" spans="1:47" ht="15.75" customHeight="1">
      <c r="A60" s="26"/>
      <c r="B60" s="179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7"/>
      <c r="AT60" s="26"/>
      <c r="AU60" s="47"/>
    </row>
    <row r="61" spans="1:47" ht="15.75" customHeight="1">
      <c r="A61" s="26"/>
      <c r="B61" s="179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7"/>
      <c r="AT61" s="26"/>
      <c r="AU61" s="47"/>
    </row>
    <row r="62" spans="1:47" ht="15.75" customHeight="1">
      <c r="A62" s="26"/>
      <c r="B62" s="179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7"/>
      <c r="AT62" s="26"/>
      <c r="AU62" s="47"/>
    </row>
    <row r="63" spans="1:47" ht="15.75" customHeight="1">
      <c r="A63" s="26"/>
      <c r="B63" s="179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7"/>
      <c r="AT63" s="26"/>
      <c r="AU63" s="47"/>
    </row>
    <row r="64" spans="1:47" ht="15.75" customHeight="1">
      <c r="A64" s="26"/>
      <c r="B64" s="179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7"/>
      <c r="AT64" s="26"/>
      <c r="AU64" s="47"/>
    </row>
    <row r="65" spans="1:47" ht="15.75" customHeight="1">
      <c r="A65" s="26"/>
      <c r="B65" s="179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7"/>
      <c r="AT65" s="26"/>
      <c r="AU65" s="47"/>
    </row>
    <row r="66" spans="1:47" ht="15.75" customHeight="1">
      <c r="A66" s="26"/>
      <c r="B66" s="179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7"/>
      <c r="AT66" s="26"/>
      <c r="AU66" s="47"/>
    </row>
    <row r="67" spans="1:47" ht="15.75" customHeight="1">
      <c r="A67" s="26"/>
      <c r="B67" s="179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7"/>
      <c r="AT67" s="26"/>
      <c r="AU67" s="47"/>
    </row>
    <row r="68" spans="1:47" ht="15.75" customHeight="1">
      <c r="A68" s="26"/>
      <c r="B68" s="179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7"/>
      <c r="AT68" s="26"/>
      <c r="AU68" s="47"/>
    </row>
    <row r="69" spans="1:47" ht="15.75" customHeight="1">
      <c r="A69" s="26"/>
      <c r="B69" s="179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7"/>
      <c r="AT69" s="26"/>
      <c r="AU69" s="47"/>
    </row>
    <row r="70" spans="1:47" ht="15.75" customHeight="1">
      <c r="A70" s="26"/>
      <c r="B70" s="179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7"/>
      <c r="AT70" s="26"/>
      <c r="AU70" s="47"/>
    </row>
    <row r="71" spans="1:47" ht="15.75" customHeight="1">
      <c r="A71" s="26"/>
      <c r="B71" s="179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7"/>
      <c r="AT71" s="26"/>
      <c r="AU71" s="47"/>
    </row>
    <row r="72" spans="1:47" ht="15.75" customHeight="1">
      <c r="A72" s="26"/>
      <c r="B72" s="179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7"/>
      <c r="AT72" s="26"/>
      <c r="AU72" s="47"/>
    </row>
    <row r="73" spans="1:47" ht="15.75" customHeight="1">
      <c r="A73" s="26"/>
      <c r="B73" s="179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7"/>
      <c r="AT73" s="26"/>
      <c r="AU73" s="47"/>
    </row>
    <row r="74" spans="1:47" ht="15.75" customHeight="1">
      <c r="A74" s="26"/>
      <c r="B74" s="179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7"/>
      <c r="AT74" s="26"/>
      <c r="AU74" s="47"/>
    </row>
    <row r="75" spans="1:47" ht="15.75" customHeight="1">
      <c r="A75" s="26"/>
      <c r="B75" s="179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7"/>
      <c r="AT75" s="26"/>
      <c r="AU75" s="47"/>
    </row>
    <row r="76" spans="1:47" ht="15.75" customHeight="1">
      <c r="A76" s="26"/>
      <c r="B76" s="179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7"/>
      <c r="AT76" s="26"/>
      <c r="AU76" s="47"/>
    </row>
    <row r="77" spans="1:47" ht="15.75" customHeight="1">
      <c r="A77" s="26"/>
      <c r="B77" s="179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7"/>
      <c r="AT77" s="26"/>
      <c r="AU77" s="47"/>
    </row>
    <row r="78" spans="1:47" ht="15.75" customHeight="1">
      <c r="A78" s="26"/>
      <c r="B78" s="179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7"/>
      <c r="AT78" s="26"/>
      <c r="AU78" s="47"/>
    </row>
    <row r="79" spans="1:47" ht="15.75" customHeight="1">
      <c r="A79" s="26"/>
      <c r="B79" s="179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7"/>
      <c r="AT79" s="26"/>
      <c r="AU79" s="47"/>
    </row>
    <row r="80" spans="1:47" ht="15.75" customHeight="1">
      <c r="A80" s="26"/>
      <c r="B80" s="179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7"/>
      <c r="AT80" s="26"/>
      <c r="AU80" s="47"/>
    </row>
    <row r="81" spans="1:47" ht="15.75" customHeight="1">
      <c r="A81" s="26"/>
      <c r="B81" s="179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7"/>
      <c r="AT81" s="26"/>
      <c r="AU81" s="47"/>
    </row>
    <row r="82" spans="1:47" ht="15.75" customHeight="1">
      <c r="A82" s="26"/>
      <c r="B82" s="179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7"/>
      <c r="AT82" s="26"/>
      <c r="AU82" s="47"/>
    </row>
    <row r="83" spans="1:47" ht="15.75" customHeight="1">
      <c r="A83" s="26"/>
      <c r="B83" s="179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7"/>
      <c r="AT83" s="26"/>
      <c r="AU83" s="47"/>
    </row>
    <row r="84" spans="1:47" ht="15.75" customHeight="1">
      <c r="A84" s="26"/>
      <c r="B84" s="179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7"/>
      <c r="AT84" s="26"/>
      <c r="AU84" s="47"/>
    </row>
    <row r="85" spans="1:47" ht="15.75" customHeight="1">
      <c r="A85" s="26"/>
      <c r="B85" s="179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7"/>
      <c r="AT85" s="26"/>
      <c r="AU85" s="47"/>
    </row>
    <row r="86" spans="1:47" ht="15.75" customHeight="1">
      <c r="A86" s="26"/>
      <c r="B86" s="179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7"/>
      <c r="AT86" s="26"/>
      <c r="AU86" s="47"/>
    </row>
    <row r="87" spans="1:47" ht="15.75" customHeight="1">
      <c r="A87" s="26"/>
      <c r="B87" s="179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7"/>
      <c r="AT87" s="26"/>
      <c r="AU87" s="47"/>
    </row>
    <row r="88" spans="1:47" ht="15.75" customHeight="1">
      <c r="A88" s="26"/>
      <c r="B88" s="179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7"/>
      <c r="AT88" s="26"/>
      <c r="AU88" s="47"/>
    </row>
    <row r="89" spans="1:47" ht="15.75" customHeight="1">
      <c r="A89" s="26"/>
      <c r="B89" s="179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7"/>
      <c r="AT89" s="26"/>
      <c r="AU89" s="47"/>
    </row>
    <row r="90" spans="1:47" ht="15.75" customHeight="1">
      <c r="A90" s="26"/>
      <c r="B90" s="179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7"/>
      <c r="AT90" s="26"/>
      <c r="AU90" s="47"/>
    </row>
    <row r="91" spans="1:47" ht="15.75" customHeight="1">
      <c r="A91" s="26"/>
      <c r="B91" s="179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7"/>
      <c r="AT91" s="26"/>
      <c r="AU91" s="47"/>
    </row>
    <row r="92" spans="1:47" ht="15.75" customHeight="1">
      <c r="A92" s="26"/>
      <c r="B92" s="179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7"/>
      <c r="AT92" s="26"/>
      <c r="AU92" s="47"/>
    </row>
    <row r="93" spans="1:47" ht="15.75" customHeight="1">
      <c r="A93" s="26"/>
      <c r="B93" s="179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7"/>
      <c r="AT93" s="26"/>
      <c r="AU93" s="47"/>
    </row>
    <row r="94" spans="1:47" ht="15.75" customHeight="1">
      <c r="A94" s="26"/>
      <c r="B94" s="179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7"/>
      <c r="AT94" s="26"/>
      <c r="AU94" s="47"/>
    </row>
    <row r="95" spans="1:47" ht="15.75" customHeight="1">
      <c r="A95" s="26"/>
      <c r="B95" s="179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7"/>
      <c r="AT95" s="26"/>
      <c r="AU95" s="47"/>
    </row>
    <row r="96" spans="1:47" ht="15.75" customHeight="1">
      <c r="A96" s="26"/>
      <c r="B96" s="179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7"/>
      <c r="AT96" s="26"/>
      <c r="AU96" s="47"/>
    </row>
    <row r="97" spans="1:47" ht="15.75" customHeight="1">
      <c r="A97" s="26"/>
      <c r="B97" s="179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7"/>
      <c r="AT97" s="26"/>
      <c r="AU97" s="47"/>
    </row>
    <row r="98" spans="1:47" ht="15.75" customHeight="1">
      <c r="A98" s="26"/>
      <c r="B98" s="179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7"/>
      <c r="AT98" s="26"/>
      <c r="AU98" s="47"/>
    </row>
    <row r="99" spans="1:47" ht="15.75" customHeight="1">
      <c r="A99" s="26"/>
      <c r="B99" s="179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7"/>
      <c r="AT99" s="26"/>
      <c r="AU99" s="47"/>
    </row>
    <row r="100" spans="1:47" ht="15.75" customHeight="1">
      <c r="A100" s="26"/>
      <c r="B100" s="179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7"/>
      <c r="AT100" s="26"/>
      <c r="AU100" s="47"/>
    </row>
    <row r="101" spans="1:47" ht="15.75" customHeight="1">
      <c r="A101" s="26"/>
      <c r="B101" s="179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7"/>
      <c r="AT101" s="26"/>
      <c r="AU101" s="47"/>
    </row>
    <row r="102" spans="1:47" ht="15.75" customHeight="1">
      <c r="A102" s="26"/>
      <c r="B102" s="179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7"/>
      <c r="AT102" s="26"/>
      <c r="AU102" s="47"/>
    </row>
    <row r="103" spans="1:47" ht="15.75" customHeight="1">
      <c r="A103" s="26"/>
      <c r="B103" s="179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7"/>
      <c r="AT103" s="26"/>
      <c r="AU103" s="47"/>
    </row>
    <row r="104" spans="1:47" ht="15.75" customHeight="1">
      <c r="A104" s="26"/>
      <c r="B104" s="179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7"/>
      <c r="AT104" s="26"/>
      <c r="AU104" s="47"/>
    </row>
    <row r="105" spans="1:47" ht="15.75" customHeight="1">
      <c r="A105" s="26"/>
      <c r="B105" s="179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7"/>
      <c r="AT105" s="26"/>
      <c r="AU105" s="47"/>
    </row>
    <row r="106" spans="1:47" ht="15.75" customHeight="1">
      <c r="A106" s="26"/>
      <c r="B106" s="179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7"/>
      <c r="AT106" s="26"/>
      <c r="AU106" s="47"/>
    </row>
    <row r="107" spans="1:47" ht="15.75" customHeight="1">
      <c r="A107" s="26"/>
      <c r="B107" s="179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7"/>
      <c r="AT107" s="26"/>
      <c r="AU107" s="47"/>
    </row>
    <row r="108" spans="1:47" ht="15.75" customHeight="1">
      <c r="A108" s="26"/>
      <c r="B108" s="179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7"/>
      <c r="AT108" s="26"/>
      <c r="AU108" s="47"/>
    </row>
    <row r="109" spans="1:47" ht="15.75" customHeight="1">
      <c r="A109" s="26"/>
      <c r="B109" s="179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7"/>
      <c r="AT109" s="26"/>
      <c r="AU109" s="47"/>
    </row>
    <row r="110" spans="1:47" ht="15.75" customHeight="1">
      <c r="A110" s="26"/>
      <c r="B110" s="179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7"/>
      <c r="AT110" s="26"/>
      <c r="AU110" s="47"/>
    </row>
    <row r="111" spans="1:47" ht="15.75" customHeight="1">
      <c r="A111" s="26"/>
      <c r="B111" s="179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7"/>
      <c r="AT111" s="26"/>
      <c r="AU111" s="47"/>
    </row>
    <row r="112" spans="1:47" ht="15.75" customHeight="1">
      <c r="A112" s="26"/>
      <c r="B112" s="179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7"/>
      <c r="AT112" s="26"/>
      <c r="AU112" s="47"/>
    </row>
    <row r="113" spans="1:47" ht="15.75" customHeight="1">
      <c r="A113" s="26"/>
      <c r="B113" s="179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7"/>
      <c r="AT113" s="26"/>
      <c r="AU113" s="47"/>
    </row>
    <row r="114" spans="1:47" ht="15.75" customHeight="1">
      <c r="A114" s="26"/>
      <c r="B114" s="179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7"/>
      <c r="AT114" s="26"/>
      <c r="AU114" s="47"/>
    </row>
    <row r="115" spans="1:47" ht="15.75" customHeight="1">
      <c r="A115" s="26"/>
      <c r="B115" s="179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7"/>
      <c r="AT115" s="26"/>
      <c r="AU115" s="47"/>
    </row>
    <row r="116" spans="1:47" ht="15.75" customHeight="1">
      <c r="A116" s="26"/>
      <c r="B116" s="179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7"/>
      <c r="AT116" s="26"/>
      <c r="AU116" s="47"/>
    </row>
    <row r="117" spans="1:47" ht="15.75" customHeight="1">
      <c r="A117" s="26"/>
      <c r="B117" s="179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7"/>
      <c r="AT117" s="26"/>
      <c r="AU117" s="47"/>
    </row>
    <row r="118" spans="1:47" ht="15.75" customHeight="1">
      <c r="A118" s="26"/>
      <c r="B118" s="179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7"/>
      <c r="AT118" s="26"/>
      <c r="AU118" s="47"/>
    </row>
    <row r="119" spans="1:47" ht="15.75" customHeight="1">
      <c r="A119" s="26"/>
      <c r="B119" s="179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7"/>
      <c r="AT119" s="26"/>
      <c r="AU119" s="47"/>
    </row>
    <row r="120" spans="1:47" ht="15.75" customHeight="1">
      <c r="A120" s="26"/>
      <c r="B120" s="179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7"/>
      <c r="AT120" s="26"/>
      <c r="AU120" s="47"/>
    </row>
    <row r="121" spans="1:47" ht="15.75" customHeight="1">
      <c r="A121" s="26"/>
      <c r="B121" s="179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7"/>
      <c r="AT121" s="26"/>
      <c r="AU121" s="47"/>
    </row>
    <row r="122" spans="1:47" ht="15.75" customHeight="1">
      <c r="A122" s="26"/>
      <c r="B122" s="179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7"/>
      <c r="AT122" s="26"/>
      <c r="AU122" s="47"/>
    </row>
    <row r="123" spans="1:47" ht="15.75" customHeight="1">
      <c r="A123" s="26"/>
      <c r="B123" s="179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7"/>
      <c r="AT123" s="26"/>
      <c r="AU123" s="47"/>
    </row>
    <row r="124" spans="1:47" ht="15.75" customHeight="1">
      <c r="A124" s="26"/>
      <c r="B124" s="179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7"/>
      <c r="AT124" s="26"/>
      <c r="AU124" s="47"/>
    </row>
    <row r="125" spans="1:47" ht="15.75" customHeight="1">
      <c r="A125" s="26"/>
      <c r="B125" s="179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7"/>
      <c r="AT125" s="26"/>
      <c r="AU125" s="47"/>
    </row>
    <row r="126" spans="1:47" ht="15.75" customHeight="1">
      <c r="A126" s="26"/>
      <c r="B126" s="179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7"/>
      <c r="AT126" s="26"/>
      <c r="AU126" s="47"/>
    </row>
    <row r="127" spans="1:47" ht="15.75" customHeight="1">
      <c r="A127" s="26"/>
      <c r="B127" s="179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7"/>
      <c r="AT127" s="26"/>
      <c r="AU127" s="47"/>
    </row>
    <row r="128" spans="1:47" ht="15.75" customHeight="1">
      <c r="A128" s="26"/>
      <c r="B128" s="179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7"/>
      <c r="AT128" s="26"/>
      <c r="AU128" s="47"/>
    </row>
    <row r="129" spans="1:47" ht="15.75" customHeight="1">
      <c r="A129" s="26"/>
      <c r="B129" s="179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7"/>
      <c r="AT129" s="26"/>
      <c r="AU129" s="47"/>
    </row>
    <row r="130" spans="1:47" ht="15.75" customHeight="1">
      <c r="A130" s="26"/>
      <c r="B130" s="179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7"/>
      <c r="AT130" s="26"/>
      <c r="AU130" s="47"/>
    </row>
    <row r="131" spans="1:47" ht="15.75" customHeight="1">
      <c r="A131" s="26"/>
      <c r="B131" s="179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7"/>
      <c r="AT131" s="26"/>
      <c r="AU131" s="47"/>
    </row>
    <row r="132" spans="1:47" ht="15.75" customHeight="1">
      <c r="A132" s="26"/>
      <c r="B132" s="179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7"/>
      <c r="AT132" s="26"/>
      <c r="AU132" s="47"/>
    </row>
    <row r="133" spans="1:47" ht="15.75" customHeight="1">
      <c r="A133" s="26"/>
      <c r="B133" s="179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7"/>
      <c r="AT133" s="26"/>
      <c r="AU133" s="47"/>
    </row>
    <row r="134" spans="1:47" ht="15.75" customHeight="1">
      <c r="A134" s="26"/>
      <c r="B134" s="179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7"/>
      <c r="AT134" s="26"/>
      <c r="AU134" s="47"/>
    </row>
    <row r="135" spans="1:47" ht="15.75" customHeight="1">
      <c r="A135" s="26"/>
      <c r="B135" s="179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7"/>
      <c r="AT135" s="26"/>
      <c r="AU135" s="47"/>
    </row>
    <row r="136" spans="1:47" ht="15.75" customHeight="1">
      <c r="A136" s="26"/>
      <c r="B136" s="179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7"/>
      <c r="AT136" s="26"/>
      <c r="AU136" s="47"/>
    </row>
    <row r="137" spans="1:47" ht="15.75" customHeight="1">
      <c r="A137" s="26"/>
      <c r="B137" s="179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7"/>
      <c r="AT137" s="26"/>
      <c r="AU137" s="47"/>
    </row>
    <row r="138" spans="1:47" ht="15.75" customHeight="1">
      <c r="A138" s="26"/>
      <c r="B138" s="179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7"/>
      <c r="AT138" s="26"/>
      <c r="AU138" s="47"/>
    </row>
    <row r="139" spans="1:47" ht="15.75" customHeight="1">
      <c r="A139" s="26"/>
      <c r="B139" s="179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7"/>
      <c r="AT139" s="26"/>
      <c r="AU139" s="47"/>
    </row>
    <row r="140" spans="1:47" ht="15.75" customHeight="1">
      <c r="A140" s="26"/>
      <c r="B140" s="179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7"/>
      <c r="AT140" s="26"/>
      <c r="AU140" s="47"/>
    </row>
    <row r="141" spans="1:47" ht="15.75" customHeight="1">
      <c r="A141" s="26"/>
      <c r="B141" s="179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7"/>
      <c r="AT141" s="26"/>
      <c r="AU141" s="47"/>
    </row>
    <row r="142" spans="1:47" ht="15.75" customHeight="1">
      <c r="A142" s="26"/>
      <c r="B142" s="179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7"/>
      <c r="AT142" s="26"/>
      <c r="AU142" s="47"/>
    </row>
    <row r="143" spans="1:47" ht="15.75" customHeight="1">
      <c r="A143" s="26"/>
      <c r="B143" s="179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7"/>
      <c r="AT143" s="26"/>
      <c r="AU143" s="47"/>
    </row>
    <row r="144" spans="1:47" ht="15.75" customHeight="1">
      <c r="A144" s="26"/>
      <c r="B144" s="179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7"/>
      <c r="AT144" s="26"/>
      <c r="AU144" s="47"/>
    </row>
    <row r="145" spans="1:47" ht="15.75" customHeight="1">
      <c r="A145" s="26"/>
      <c r="B145" s="179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7"/>
      <c r="AT145" s="26"/>
      <c r="AU145" s="47"/>
    </row>
    <row r="146" spans="1:47" ht="15.75" customHeight="1">
      <c r="A146" s="26"/>
      <c r="B146" s="179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7"/>
      <c r="AT146" s="26"/>
      <c r="AU146" s="47"/>
    </row>
    <row r="147" spans="1:47" ht="15.75" customHeight="1">
      <c r="A147" s="26"/>
      <c r="B147" s="179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7"/>
      <c r="AT147" s="26"/>
      <c r="AU147" s="47"/>
    </row>
    <row r="148" spans="1:47" ht="15.75" customHeight="1">
      <c r="A148" s="26"/>
      <c r="B148" s="179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7"/>
      <c r="AT148" s="26"/>
      <c r="AU148" s="47"/>
    </row>
    <row r="149" spans="1:47" ht="15.75" customHeight="1">
      <c r="A149" s="26"/>
      <c r="B149" s="179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7"/>
      <c r="AT149" s="26"/>
      <c r="AU149" s="47"/>
    </row>
    <row r="150" spans="1:47" ht="15.75" customHeight="1">
      <c r="A150" s="26"/>
      <c r="B150" s="179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7"/>
      <c r="AT150" s="26"/>
      <c r="AU150" s="47"/>
    </row>
    <row r="151" spans="1:47" ht="15.75" customHeight="1">
      <c r="A151" s="26"/>
      <c r="B151" s="179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7"/>
      <c r="AT151" s="26"/>
      <c r="AU151" s="47"/>
    </row>
    <row r="152" spans="1:47" ht="15.75" customHeight="1">
      <c r="A152" s="26"/>
      <c r="B152" s="179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7"/>
      <c r="AT152" s="26"/>
      <c r="AU152" s="47"/>
    </row>
    <row r="153" spans="1:47" ht="15.75" customHeight="1">
      <c r="A153" s="26"/>
      <c r="B153" s="179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7"/>
      <c r="AT153" s="26"/>
      <c r="AU153" s="47"/>
    </row>
    <row r="154" spans="1:47" ht="15.75" customHeight="1">
      <c r="A154" s="26"/>
      <c r="B154" s="179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7"/>
      <c r="AT154" s="26"/>
      <c r="AU154" s="47"/>
    </row>
    <row r="155" spans="1:47" ht="15.75" customHeight="1">
      <c r="A155" s="26"/>
      <c r="B155" s="17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7"/>
      <c r="AT155" s="26"/>
      <c r="AU155" s="47"/>
    </row>
    <row r="156" spans="1:47" ht="15.75" customHeight="1">
      <c r="A156" s="26"/>
      <c r="B156" s="179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7"/>
      <c r="AT156" s="26"/>
      <c r="AU156" s="47"/>
    </row>
    <row r="157" spans="1:47" ht="15.75" customHeight="1">
      <c r="A157" s="26"/>
      <c r="B157" s="179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7"/>
      <c r="AT157" s="26"/>
      <c r="AU157" s="47"/>
    </row>
    <row r="158" spans="1:47" ht="15.75" customHeight="1">
      <c r="A158" s="26"/>
      <c r="B158" s="179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7"/>
      <c r="AT158" s="26"/>
      <c r="AU158" s="47"/>
    </row>
    <row r="159" spans="1:47" ht="15.75" customHeight="1">
      <c r="A159" s="26"/>
      <c r="B159" s="179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7"/>
      <c r="AT159" s="26"/>
      <c r="AU159" s="47"/>
    </row>
    <row r="160" spans="1:47" ht="15.75" customHeight="1">
      <c r="A160" s="26"/>
      <c r="B160" s="179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7"/>
      <c r="AT160" s="26"/>
      <c r="AU160" s="47"/>
    </row>
    <row r="161" spans="1:47" ht="15.75" customHeight="1">
      <c r="A161" s="26"/>
      <c r="B161" s="179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7"/>
      <c r="AT161" s="26"/>
      <c r="AU161" s="47"/>
    </row>
    <row r="162" spans="1:47" ht="15.75" customHeight="1">
      <c r="A162" s="26"/>
      <c r="B162" s="179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7"/>
      <c r="AT162" s="26"/>
      <c r="AU162" s="47"/>
    </row>
    <row r="163" spans="1:47" ht="15.75" customHeight="1">
      <c r="A163" s="26"/>
      <c r="B163" s="179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7"/>
      <c r="AT163" s="26"/>
      <c r="AU163" s="47"/>
    </row>
    <row r="164" spans="1:47" ht="15.75" customHeight="1">
      <c r="A164" s="26"/>
      <c r="B164" s="179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7"/>
      <c r="AT164" s="26"/>
      <c r="AU164" s="47"/>
    </row>
    <row r="165" spans="1:47" ht="15.75" customHeight="1">
      <c r="A165" s="26"/>
      <c r="B165" s="179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7"/>
      <c r="AT165" s="26"/>
      <c r="AU165" s="47"/>
    </row>
    <row r="166" spans="1:47" ht="15.75" customHeight="1">
      <c r="A166" s="26"/>
      <c r="B166" s="179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7"/>
      <c r="AT166" s="26"/>
      <c r="AU166" s="47"/>
    </row>
    <row r="167" spans="1:47" ht="15.75" customHeight="1">
      <c r="A167" s="26"/>
      <c r="B167" s="179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7"/>
      <c r="AT167" s="26"/>
      <c r="AU167" s="47"/>
    </row>
    <row r="168" spans="1:47" ht="15.75" customHeight="1">
      <c r="A168" s="26"/>
      <c r="B168" s="179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7"/>
      <c r="AT168" s="26"/>
      <c r="AU168" s="47"/>
    </row>
    <row r="169" spans="1:47" ht="15.75" customHeight="1">
      <c r="A169" s="26"/>
      <c r="B169" s="179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7"/>
      <c r="AT169" s="26"/>
      <c r="AU169" s="47"/>
    </row>
    <row r="170" spans="1:47" ht="15.75" customHeight="1">
      <c r="A170" s="26"/>
      <c r="B170" s="179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7"/>
      <c r="AT170" s="26"/>
      <c r="AU170" s="47"/>
    </row>
    <row r="171" spans="1:47" ht="15.75" customHeight="1">
      <c r="A171" s="26"/>
      <c r="B171" s="179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7"/>
      <c r="AT171" s="26"/>
      <c r="AU171" s="47"/>
    </row>
    <row r="172" spans="1:47" ht="15.75" customHeight="1">
      <c r="A172" s="26"/>
      <c r="B172" s="179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7"/>
      <c r="AT172" s="26"/>
      <c r="AU172" s="47"/>
    </row>
    <row r="173" spans="1:47" ht="15.75" customHeight="1">
      <c r="A173" s="26"/>
      <c r="B173" s="179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7"/>
      <c r="AT173" s="26"/>
      <c r="AU173" s="47"/>
    </row>
    <row r="174" spans="1:47" ht="15.75" customHeight="1">
      <c r="A174" s="26"/>
      <c r="B174" s="179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7"/>
      <c r="AT174" s="26"/>
      <c r="AU174" s="47"/>
    </row>
    <row r="175" spans="1:47" ht="15.75" customHeight="1">
      <c r="A175" s="26"/>
      <c r="B175" s="179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7"/>
      <c r="AT175" s="26"/>
      <c r="AU175" s="47"/>
    </row>
    <row r="176" spans="1:47" ht="15.75" customHeight="1">
      <c r="A176" s="26"/>
      <c r="B176" s="179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7"/>
      <c r="AT176" s="26"/>
      <c r="AU176" s="47"/>
    </row>
    <row r="177" spans="1:47" ht="15.75" customHeight="1">
      <c r="A177" s="26"/>
      <c r="B177" s="179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7"/>
      <c r="AT177" s="26"/>
      <c r="AU177" s="47"/>
    </row>
    <row r="178" spans="1:47" ht="15.75" customHeight="1">
      <c r="A178" s="26"/>
      <c r="B178" s="179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7"/>
      <c r="AT178" s="26"/>
      <c r="AU178" s="47"/>
    </row>
    <row r="179" spans="1:47" ht="15.75" customHeight="1">
      <c r="A179" s="26"/>
      <c r="B179" s="179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7"/>
      <c r="AT179" s="26"/>
      <c r="AU179" s="47"/>
    </row>
    <row r="180" spans="1:47" ht="15.75" customHeight="1">
      <c r="A180" s="26"/>
      <c r="B180" s="179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7"/>
      <c r="AT180" s="26"/>
      <c r="AU180" s="47"/>
    </row>
    <row r="181" spans="1:47" ht="15.75" customHeight="1">
      <c r="A181" s="26"/>
      <c r="B181" s="179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7"/>
      <c r="AT181" s="26"/>
      <c r="AU181" s="47"/>
    </row>
    <row r="182" spans="1:47" ht="15.75" customHeight="1">
      <c r="A182" s="26"/>
      <c r="B182" s="179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7"/>
      <c r="AT182" s="26"/>
      <c r="AU182" s="47"/>
    </row>
    <row r="183" spans="1:47" ht="15.75" customHeight="1">
      <c r="A183" s="26"/>
      <c r="B183" s="179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7"/>
      <c r="AT183" s="26"/>
      <c r="AU183" s="47"/>
    </row>
    <row r="184" spans="1:47" ht="15.75" customHeight="1">
      <c r="A184" s="26"/>
      <c r="B184" s="179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7"/>
      <c r="AT184" s="26"/>
      <c r="AU184" s="47"/>
    </row>
    <row r="185" spans="1:47" ht="15.75" customHeight="1">
      <c r="A185" s="26"/>
      <c r="B185" s="179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7"/>
      <c r="AT185" s="26"/>
      <c r="AU185" s="47"/>
    </row>
    <row r="186" spans="1:47" ht="15.75" customHeight="1">
      <c r="A186" s="26"/>
      <c r="B186" s="179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7"/>
      <c r="AT186" s="26"/>
      <c r="AU186" s="47"/>
    </row>
    <row r="187" spans="1:47" ht="15.75" customHeight="1">
      <c r="A187" s="26"/>
      <c r="B187" s="179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7"/>
      <c r="AT187" s="26"/>
      <c r="AU187" s="47"/>
    </row>
    <row r="188" spans="1:47" ht="15.75" customHeight="1">
      <c r="A188" s="26"/>
      <c r="B188" s="179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7"/>
      <c r="AT188" s="26"/>
      <c r="AU188" s="47"/>
    </row>
    <row r="189" spans="1:47" ht="15.75" customHeight="1">
      <c r="A189" s="26"/>
      <c r="B189" s="179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7"/>
      <c r="AT189" s="26"/>
      <c r="AU189" s="47"/>
    </row>
    <row r="190" spans="1:47" ht="15.75" customHeight="1">
      <c r="A190" s="26"/>
      <c r="B190" s="179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7"/>
      <c r="AT190" s="26"/>
      <c r="AU190" s="47"/>
    </row>
    <row r="191" spans="1:47" ht="15.75" customHeight="1">
      <c r="A191" s="26"/>
      <c r="B191" s="179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7"/>
      <c r="AT191" s="26"/>
      <c r="AU191" s="47"/>
    </row>
    <row r="192" spans="1:47" ht="15.75" customHeight="1">
      <c r="A192" s="26"/>
      <c r="B192" s="179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7"/>
      <c r="AT192" s="26"/>
      <c r="AU192" s="47"/>
    </row>
    <row r="193" spans="1:47" ht="15.75" customHeight="1">
      <c r="A193" s="26"/>
      <c r="B193" s="179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7"/>
      <c r="AT193" s="26"/>
      <c r="AU193" s="47"/>
    </row>
    <row r="194" spans="1:47" ht="15.75" customHeight="1">
      <c r="A194" s="26"/>
      <c r="B194" s="179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7"/>
      <c r="AT194" s="26"/>
      <c r="AU194" s="47"/>
    </row>
    <row r="195" spans="1:47" ht="15.75" customHeight="1">
      <c r="A195" s="26"/>
      <c r="B195" s="179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7"/>
      <c r="AT195" s="26"/>
      <c r="AU195" s="47"/>
    </row>
    <row r="196" spans="1:47" ht="15.75" customHeight="1">
      <c r="A196" s="26"/>
      <c r="B196" s="179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7"/>
      <c r="AT196" s="26"/>
      <c r="AU196" s="47"/>
    </row>
    <row r="197" spans="1:47" ht="15.75" customHeight="1">
      <c r="A197" s="26"/>
      <c r="B197" s="179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7"/>
      <c r="AT197" s="26"/>
      <c r="AU197" s="47"/>
    </row>
    <row r="198" spans="1:47" ht="15.75" customHeight="1">
      <c r="A198" s="26"/>
      <c r="B198" s="179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7"/>
      <c r="AT198" s="26"/>
      <c r="AU198" s="47"/>
    </row>
    <row r="199" spans="1:47" ht="15.75" customHeight="1">
      <c r="A199" s="26"/>
      <c r="B199" s="179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7"/>
      <c r="AT199" s="26"/>
      <c r="AU199" s="47"/>
    </row>
    <row r="200" spans="1:47" ht="15.75" customHeight="1">
      <c r="A200" s="26"/>
      <c r="B200" s="179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7"/>
      <c r="AT200" s="26"/>
      <c r="AU200" s="47"/>
    </row>
    <row r="201" spans="1:47" ht="15.75" customHeight="1">
      <c r="A201" s="26"/>
      <c r="B201" s="179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7"/>
      <c r="AT201" s="26"/>
      <c r="AU201" s="47"/>
    </row>
    <row r="202" spans="1:47" ht="15.75" customHeight="1">
      <c r="A202" s="26"/>
      <c r="B202" s="179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7"/>
      <c r="AT202" s="26"/>
      <c r="AU202" s="47"/>
    </row>
    <row r="203" spans="1:47" ht="15.75" customHeight="1">
      <c r="A203" s="26"/>
      <c r="B203" s="179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7"/>
      <c r="AT203" s="26"/>
      <c r="AU203" s="47"/>
    </row>
    <row r="204" spans="1:47" ht="15.75" customHeight="1">
      <c r="A204" s="26"/>
      <c r="B204" s="179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7"/>
      <c r="AT204" s="26"/>
      <c r="AU204" s="47"/>
    </row>
    <row r="205" spans="1:47" ht="15.75" customHeight="1">
      <c r="A205" s="26"/>
      <c r="B205" s="179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7"/>
      <c r="AT205" s="26"/>
      <c r="AU205" s="47"/>
    </row>
    <row r="206" spans="1:47" ht="15.75" customHeight="1">
      <c r="A206" s="26"/>
      <c r="B206" s="179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7"/>
      <c r="AT206" s="26"/>
      <c r="AU206" s="47"/>
    </row>
    <row r="207" spans="1:47" ht="15.75" customHeight="1">
      <c r="A207" s="26"/>
      <c r="B207" s="179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7"/>
      <c r="AT207" s="26"/>
      <c r="AU207" s="47"/>
    </row>
    <row r="208" spans="1:47" ht="15.75" customHeight="1">
      <c r="A208" s="26"/>
      <c r="B208" s="179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7"/>
      <c r="AT208" s="26"/>
      <c r="AU208" s="47"/>
    </row>
    <row r="209" spans="1:47" ht="15.75" customHeight="1">
      <c r="A209" s="26"/>
      <c r="B209" s="179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7"/>
      <c r="AT209" s="26"/>
      <c r="AU209" s="47"/>
    </row>
    <row r="210" spans="1:47" ht="15.75" customHeight="1">
      <c r="A210" s="26"/>
      <c r="B210" s="179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7"/>
      <c r="AT210" s="26"/>
      <c r="AU210" s="47"/>
    </row>
    <row r="211" spans="1:47" ht="15.75" customHeight="1">
      <c r="A211" s="26"/>
      <c r="B211" s="179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7"/>
      <c r="AT211" s="26"/>
      <c r="AU211" s="47"/>
    </row>
    <row r="212" spans="1:47" ht="15.75" customHeight="1">
      <c r="A212" s="26"/>
      <c r="B212" s="179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7"/>
      <c r="AT212" s="26"/>
      <c r="AU212" s="47"/>
    </row>
    <row r="213" spans="1:47" ht="15.75" customHeight="1">
      <c r="A213" s="26"/>
      <c r="B213" s="179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7"/>
      <c r="AT213" s="26"/>
      <c r="AU213" s="47"/>
    </row>
    <row r="214" spans="1:47" ht="15.75" customHeight="1">
      <c r="A214" s="26"/>
      <c r="B214" s="179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7"/>
      <c r="AT214" s="26"/>
      <c r="AU214" s="47"/>
    </row>
    <row r="215" spans="1:47" ht="15.75" customHeight="1">
      <c r="A215" s="26"/>
      <c r="B215" s="179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7"/>
      <c r="AT215" s="26"/>
      <c r="AU215" s="47"/>
    </row>
    <row r="216" spans="1:47" ht="15.75" customHeight="1">
      <c r="A216" s="26"/>
      <c r="B216" s="179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7"/>
      <c r="AT216" s="26"/>
      <c r="AU216" s="47"/>
    </row>
    <row r="217" spans="1:47" ht="15.75" customHeight="1">
      <c r="A217" s="26"/>
      <c r="B217" s="179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7"/>
      <c r="AT217" s="26"/>
      <c r="AU217" s="47"/>
    </row>
    <row r="218" spans="1:47" ht="15.75" customHeight="1">
      <c r="A218" s="26"/>
      <c r="B218" s="179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7"/>
      <c r="AT218" s="26"/>
      <c r="AU218" s="47"/>
    </row>
    <row r="219" spans="1:47" ht="15.75" customHeight="1">
      <c r="A219" s="26"/>
      <c r="B219" s="179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7"/>
      <c r="AT219" s="26"/>
      <c r="AU219" s="47"/>
    </row>
    <row r="220" spans="1:47" ht="15.75" customHeight="1">
      <c r="A220" s="26"/>
      <c r="B220" s="179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7"/>
      <c r="AT220" s="26"/>
      <c r="AU220" s="47"/>
    </row>
    <row r="221" spans="1:47" ht="15.75" customHeight="1">
      <c r="A221" s="26"/>
      <c r="B221" s="179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7"/>
      <c r="AT221" s="26"/>
      <c r="AU221" s="47"/>
    </row>
    <row r="222" spans="1:47" ht="15.75" customHeight="1">
      <c r="A222" s="26"/>
      <c r="B222" s="179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7"/>
      <c r="AT222" s="26"/>
      <c r="AU222" s="47"/>
    </row>
    <row r="223" spans="1:47" ht="15.75" customHeight="1">
      <c r="A223" s="26"/>
      <c r="B223" s="179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7"/>
      <c r="AT223" s="26"/>
      <c r="AU223" s="47"/>
    </row>
    <row r="224" spans="1:47" ht="15.75" customHeight="1">
      <c r="A224" s="26"/>
      <c r="B224" s="179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7"/>
      <c r="AT224" s="26"/>
      <c r="AU224" s="47"/>
    </row>
    <row r="225" spans="1:47" ht="15.75" customHeight="1">
      <c r="A225" s="26"/>
      <c r="B225" s="179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7"/>
      <c r="AT225" s="26"/>
      <c r="AU225" s="47"/>
    </row>
    <row r="226" spans="1:47" ht="15.75" customHeight="1">
      <c r="A226" s="26"/>
      <c r="B226" s="179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7"/>
      <c r="AT226" s="26"/>
      <c r="AU226" s="47"/>
    </row>
    <row r="227" spans="1:47" ht="15.75" customHeight="1">
      <c r="A227" s="26"/>
      <c r="B227" s="179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7"/>
      <c r="AT227" s="26"/>
      <c r="AU227" s="47"/>
    </row>
    <row r="228" spans="1:47" ht="15.75" customHeight="1">
      <c r="A228" s="26"/>
      <c r="B228" s="179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7"/>
      <c r="AT228" s="26"/>
      <c r="AU228" s="47"/>
    </row>
    <row r="229" spans="1:47" ht="15.75" customHeight="1">
      <c r="A229" s="26"/>
      <c r="B229" s="179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7"/>
      <c r="AT229" s="26"/>
      <c r="AU229" s="47"/>
    </row>
    <row r="230" spans="1:47" ht="15.75" customHeight="1">
      <c r="A230" s="26"/>
      <c r="B230" s="179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7"/>
      <c r="AT230" s="26"/>
      <c r="AU230" s="47"/>
    </row>
    <row r="231" spans="1:47" ht="15.75" customHeight="1">
      <c r="A231" s="26"/>
      <c r="B231" s="179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7"/>
      <c r="AT231" s="26"/>
      <c r="AU231" s="47"/>
    </row>
    <row r="232" spans="1:47" ht="15.75" customHeight="1">
      <c r="A232" s="26"/>
      <c r="B232" s="179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7"/>
      <c r="AT232" s="26"/>
      <c r="AU232" s="47"/>
    </row>
    <row r="233" spans="1:47" ht="15.75" customHeight="1">
      <c r="A233" s="26"/>
      <c r="B233" s="179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7"/>
      <c r="AT233" s="26"/>
      <c r="AU233" s="47"/>
    </row>
    <row r="234" spans="1:47" ht="15.75" customHeight="1">
      <c r="A234" s="26"/>
      <c r="B234" s="179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7"/>
      <c r="AT234" s="26"/>
      <c r="AU234" s="47"/>
    </row>
    <row r="235" spans="1:47" ht="15.75" customHeight="1">
      <c r="A235" s="26"/>
      <c r="B235" s="179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7"/>
      <c r="AT235" s="26"/>
      <c r="AU235" s="47"/>
    </row>
    <row r="236" spans="1:47" ht="15.75" customHeight="1">
      <c r="A236" s="26"/>
      <c r="B236" s="179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7"/>
      <c r="AT236" s="26"/>
      <c r="AU236" s="47"/>
    </row>
    <row r="237" spans="1:47" ht="15.75" customHeight="1">
      <c r="A237" s="26"/>
      <c r="B237" s="179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7"/>
      <c r="AT237" s="26"/>
      <c r="AU237" s="47"/>
    </row>
    <row r="238" spans="1:47" ht="15.75" customHeight="1">
      <c r="A238" s="26"/>
      <c r="B238" s="179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7"/>
      <c r="AT238" s="26"/>
      <c r="AU238" s="47"/>
    </row>
    <row r="239" spans="1:47" ht="15.75" customHeight="1">
      <c r="A239" s="26"/>
      <c r="B239" s="179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7"/>
      <c r="AT239" s="26"/>
      <c r="AU239" s="47"/>
    </row>
    <row r="240" spans="1:47" ht="15.75" customHeight="1">
      <c r="A240" s="26"/>
      <c r="B240" s="179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7"/>
      <c r="AT240" s="26"/>
      <c r="AU240" s="47"/>
    </row>
    <row r="241" spans="1:47" ht="15.75" customHeight="1">
      <c r="A241" s="26"/>
      <c r="B241" s="179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7"/>
      <c r="AT241" s="26"/>
      <c r="AU241" s="47"/>
    </row>
    <row r="242" spans="1:47" ht="15.75" customHeight="1">
      <c r="A242" s="26"/>
      <c r="B242" s="179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7"/>
      <c r="AT242" s="26"/>
      <c r="AU242" s="47"/>
    </row>
    <row r="243" spans="1:47" ht="15.75" customHeight="1">
      <c r="A243" s="26"/>
      <c r="B243" s="179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7"/>
      <c r="AT243" s="26"/>
      <c r="AU243" s="47"/>
    </row>
    <row r="244" spans="1:47" ht="15.75" customHeight="1">
      <c r="A244" s="26"/>
      <c r="B244" s="179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7"/>
      <c r="AT244" s="26"/>
      <c r="AU244" s="47"/>
    </row>
    <row r="245" spans="1:47" ht="15.75" customHeight="1">
      <c r="A245" s="26"/>
      <c r="B245" s="179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7"/>
      <c r="AT245" s="26"/>
      <c r="AU245" s="47"/>
    </row>
    <row r="246" spans="1:47" ht="15.75" customHeight="1">
      <c r="A246" s="26"/>
      <c r="B246" s="179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7"/>
      <c r="AT246" s="26"/>
      <c r="AU246" s="47"/>
    </row>
    <row r="247" spans="1:47" ht="15.75" customHeight="1">
      <c r="A247" s="26"/>
      <c r="B247" s="179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7"/>
      <c r="AT247" s="26"/>
      <c r="AU247" s="47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V1000"/>
  <sheetViews>
    <sheetView workbookViewId="0">
      <selection sqref="A1:XFD1048576"/>
    </sheetView>
  </sheetViews>
  <sheetFormatPr baseColWidth="10" defaultColWidth="10.28515625" defaultRowHeight="15" customHeight="1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6.8554687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8" width="9.28515625" style="4" customWidth="1"/>
    <col min="49" max="16384" width="10.28515625" style="4"/>
  </cols>
  <sheetData>
    <row r="1" spans="1:48" ht="20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8" ht="34">
      <c r="A2" s="5">
        <v>2024</v>
      </c>
      <c r="B2" s="6">
        <v>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8" ht="33" customHeight="1">
      <c r="A3" s="9"/>
      <c r="B3" s="163" t="s">
        <v>2</v>
      </c>
      <c r="C3" s="10"/>
      <c r="D3" s="165" t="s">
        <v>3</v>
      </c>
      <c r="E3" s="155"/>
      <c r="F3" s="155"/>
      <c r="G3" s="155"/>
      <c r="H3" s="155"/>
      <c r="I3" s="155"/>
      <c r="J3" s="155"/>
      <c r="K3" s="155"/>
      <c r="L3" s="166" t="s">
        <v>4</v>
      </c>
      <c r="M3" s="155"/>
      <c r="N3" s="155"/>
      <c r="O3" s="155"/>
      <c r="P3" s="155"/>
      <c r="Q3" s="155"/>
      <c r="R3" s="155"/>
      <c r="S3" s="155"/>
      <c r="T3" s="167" t="s">
        <v>5</v>
      </c>
      <c r="U3" s="152"/>
      <c r="V3" s="152"/>
      <c r="W3" s="152"/>
      <c r="X3" s="153"/>
      <c r="Y3" s="168" t="s">
        <v>6</v>
      </c>
      <c r="Z3" s="155"/>
      <c r="AA3" s="155"/>
      <c r="AB3" s="155"/>
      <c r="AC3" s="155"/>
      <c r="AD3" s="155"/>
      <c r="AE3" s="155"/>
      <c r="AF3" s="155"/>
      <c r="AG3" s="167" t="s">
        <v>7</v>
      </c>
      <c r="AH3" s="152"/>
      <c r="AI3" s="152"/>
      <c r="AJ3" s="152"/>
      <c r="AK3" s="153"/>
      <c r="AL3" s="151" t="s">
        <v>8</v>
      </c>
      <c r="AM3" s="152"/>
      <c r="AN3" s="152"/>
      <c r="AO3" s="152"/>
      <c r="AP3" s="152"/>
      <c r="AQ3" s="152"/>
      <c r="AR3" s="152"/>
      <c r="AS3" s="153"/>
      <c r="AT3" s="2"/>
      <c r="AU3" s="3"/>
      <c r="AV3" s="2"/>
    </row>
    <row r="4" spans="1:48" ht="53.25" customHeight="1" thickBot="1">
      <c r="A4" s="9"/>
      <c r="B4" s="164"/>
      <c r="C4" s="11" t="s">
        <v>9</v>
      </c>
      <c r="D4" s="12" t="s">
        <v>10</v>
      </c>
      <c r="E4" s="13" t="s">
        <v>11</v>
      </c>
      <c r="F4" s="12" t="s">
        <v>12</v>
      </c>
      <c r="G4" s="14" t="s">
        <v>13</v>
      </c>
      <c r="H4" s="12" t="s">
        <v>14</v>
      </c>
      <c r="I4" s="15" t="s">
        <v>15</v>
      </c>
      <c r="J4" s="13" t="s">
        <v>16</v>
      </c>
      <c r="K4" s="12" t="s">
        <v>17</v>
      </c>
      <c r="L4" s="12" t="s">
        <v>18</v>
      </c>
      <c r="M4" s="16" t="s">
        <v>11</v>
      </c>
      <c r="N4" s="12" t="s">
        <v>12</v>
      </c>
      <c r="O4" s="14" t="s">
        <v>13</v>
      </c>
      <c r="P4" s="12" t="s">
        <v>14</v>
      </c>
      <c r="Q4" s="15" t="s">
        <v>15</v>
      </c>
      <c r="R4" s="13" t="s">
        <v>16</v>
      </c>
      <c r="S4" s="17" t="s">
        <v>17</v>
      </c>
      <c r="T4" s="18" t="s">
        <v>19</v>
      </c>
      <c r="U4" s="19" t="s">
        <v>20</v>
      </c>
      <c r="V4" s="19" t="s">
        <v>21</v>
      </c>
      <c r="W4" s="20" t="s">
        <v>22</v>
      </c>
      <c r="X4" s="19"/>
      <c r="Y4" s="21" t="s">
        <v>23</v>
      </c>
      <c r="Z4" s="22" t="s">
        <v>11</v>
      </c>
      <c r="AA4" s="12" t="s">
        <v>20</v>
      </c>
      <c r="AB4" s="14" t="s">
        <v>24</v>
      </c>
      <c r="AC4" s="12" t="s">
        <v>21</v>
      </c>
      <c r="AD4" s="15" t="s">
        <v>25</v>
      </c>
      <c r="AE4" s="16" t="s">
        <v>26</v>
      </c>
      <c r="AF4" s="23" t="s">
        <v>17</v>
      </c>
      <c r="AG4" s="18" t="s">
        <v>19</v>
      </c>
      <c r="AH4" s="19" t="s">
        <v>20</v>
      </c>
      <c r="AI4" s="19" t="s">
        <v>21</v>
      </c>
      <c r="AJ4" s="20" t="s">
        <v>22</v>
      </c>
      <c r="AK4" s="19" t="s">
        <v>27</v>
      </c>
      <c r="AL4" s="24" t="s">
        <v>28</v>
      </c>
      <c r="AM4" s="24" t="s">
        <v>29</v>
      </c>
      <c r="AN4" s="24" t="s">
        <v>30</v>
      </c>
      <c r="AO4" s="24" t="s">
        <v>31</v>
      </c>
      <c r="AP4" s="24" t="s">
        <v>32</v>
      </c>
      <c r="AQ4" s="24" t="s">
        <v>33</v>
      </c>
      <c r="AR4" s="24" t="s">
        <v>34</v>
      </c>
      <c r="AS4" s="25" t="s">
        <v>35</v>
      </c>
      <c r="AT4" s="2"/>
      <c r="AU4" s="3"/>
      <c r="AV4" s="2"/>
    </row>
    <row r="5" spans="1:48" ht="22" thickTop="1">
      <c r="A5" s="26"/>
      <c r="B5" s="147">
        <f>DATE($A$2,$B$2,1)</f>
        <v>45352</v>
      </c>
      <c r="C5" s="255" t="s">
        <v>79</v>
      </c>
      <c r="D5" s="27"/>
      <c r="E5" s="28"/>
      <c r="F5" s="29"/>
      <c r="G5" s="30" t="e">
        <f t="shared" ref="G5:G35" si="0">ROUNDDOWN(F5/1.1,0)/E5</f>
        <v>#DIV/0!</v>
      </c>
      <c r="H5" s="29"/>
      <c r="I5" s="31" t="e">
        <f t="shared" ref="I5:I35" si="1">ROUNDDOWN(H5/1.1,0)/E5</f>
        <v>#DIV/0!</v>
      </c>
      <c r="J5" s="32">
        <f t="shared" ref="J5:J35" si="2">F5+H5</f>
        <v>0</v>
      </c>
      <c r="K5" s="33" t="str">
        <f t="shared" ref="K5:K35" si="3">IF(E5="","",J5/E5)</f>
        <v/>
      </c>
      <c r="L5" s="34"/>
      <c r="M5" s="35">
        <f t="shared" ref="M5:N20" si="4">AL5-E5</f>
        <v>0</v>
      </c>
      <c r="N5" s="36">
        <f t="shared" si="4"/>
        <v>0</v>
      </c>
      <c r="O5" s="30" t="e">
        <f t="shared" ref="O5:O35" si="5">ROUNDDOWN(N5/1.1,0)/M5</f>
        <v>#DIV/0!</v>
      </c>
      <c r="P5" s="36">
        <f t="shared" ref="P5:P35" si="6">AN5-H5</f>
        <v>0</v>
      </c>
      <c r="Q5" s="31" t="e">
        <f t="shared" ref="Q5:Q35" si="7">ROUNDDOWN(P5/1.1,0)/M5</f>
        <v>#DIV/0!</v>
      </c>
      <c r="R5" s="37">
        <f t="shared" ref="R5:R35" si="8">N5+P5</f>
        <v>0</v>
      </c>
      <c r="S5" s="33" t="e">
        <f t="shared" ref="S5:S35" si="9">IF(M5="","",R5/M5)</f>
        <v>#DIV/0!</v>
      </c>
      <c r="T5" s="38">
        <f t="shared" ref="T5:U20" si="10">E5+M5</f>
        <v>0</v>
      </c>
      <c r="U5" s="36">
        <f t="shared" si="10"/>
        <v>0</v>
      </c>
      <c r="V5" s="36">
        <f t="shared" ref="V5:V35" si="11">H5+P5</f>
        <v>0</v>
      </c>
      <c r="W5" s="39">
        <f t="shared" ref="W5:W35" si="12">J5+R5</f>
        <v>0</v>
      </c>
      <c r="X5" s="36"/>
      <c r="Y5" s="40"/>
      <c r="Z5" s="41"/>
      <c r="AA5" s="29"/>
      <c r="AB5" s="30" t="e">
        <f t="shared" ref="AB5:AB35" si="13">AA5/Z5</f>
        <v>#DIV/0!</v>
      </c>
      <c r="AC5" s="29"/>
      <c r="AD5" s="31" t="e">
        <f t="shared" ref="AD5:AD35" si="14">AC5/Z5</f>
        <v>#DIV/0!</v>
      </c>
      <c r="AE5" s="42">
        <f t="shared" ref="AE5:AE35" si="15">AA5+AC5</f>
        <v>0</v>
      </c>
      <c r="AF5" s="33" t="str">
        <f t="shared" ref="AF5:AF35" si="16">IF(Z5="","",AE5/Z5)</f>
        <v/>
      </c>
      <c r="AG5" s="38">
        <f t="shared" ref="AG5:AG35" si="17">SUM(E5,M5)</f>
        <v>0</v>
      </c>
      <c r="AH5" s="36">
        <f t="shared" ref="AH5:AH35" si="18">U5+AA5</f>
        <v>0</v>
      </c>
      <c r="AI5" s="36">
        <f t="shared" ref="AI5:AI35" si="19">V5+AC5</f>
        <v>0</v>
      </c>
      <c r="AJ5" s="43">
        <f t="shared" ref="AJ5:AJ35" si="20">W5+AE5</f>
        <v>0</v>
      </c>
      <c r="AK5" s="36">
        <f t="shared" ref="AK5:AK35" si="21">AO5+AP5+AQ5</f>
        <v>0</v>
      </c>
      <c r="AL5" s="44"/>
      <c r="AM5" s="44"/>
      <c r="AN5" s="44"/>
      <c r="AO5" s="45"/>
      <c r="AP5" s="45"/>
      <c r="AQ5" s="45"/>
      <c r="AR5" s="45"/>
      <c r="AS5" s="46">
        <f t="shared" ref="AS5:AS35" si="22">SUM(AM5:AQ5)</f>
        <v>0</v>
      </c>
      <c r="AT5" s="26">
        <v>1</v>
      </c>
      <c r="AU5" s="47">
        <f t="shared" ref="AU5:AU35" si="23">AR5+AS5</f>
        <v>0</v>
      </c>
      <c r="AV5" s="26"/>
    </row>
    <row r="6" spans="1:48" ht="21">
      <c r="A6" s="26"/>
      <c r="B6" s="148">
        <f t="shared" ref="B6:B35" si="24">B5+1</f>
        <v>45353</v>
      </c>
      <c r="C6" s="255" t="s">
        <v>79</v>
      </c>
      <c r="D6" s="27"/>
      <c r="E6" s="28"/>
      <c r="F6" s="29"/>
      <c r="G6" s="30" t="e">
        <f t="shared" si="0"/>
        <v>#DIV/0!</v>
      </c>
      <c r="H6" s="29"/>
      <c r="I6" s="31" t="e">
        <f t="shared" si="1"/>
        <v>#DIV/0!</v>
      </c>
      <c r="J6" s="32">
        <f t="shared" si="2"/>
        <v>0</v>
      </c>
      <c r="K6" s="33" t="str">
        <f t="shared" si="3"/>
        <v/>
      </c>
      <c r="L6" s="34"/>
      <c r="M6" s="35">
        <f>AL6-E6</f>
        <v>0</v>
      </c>
      <c r="N6" s="36">
        <f>AM6-F6</f>
        <v>0</v>
      </c>
      <c r="O6" s="30" t="e">
        <f t="shared" si="5"/>
        <v>#DIV/0!</v>
      </c>
      <c r="P6" s="36">
        <f>AN6-H6</f>
        <v>0</v>
      </c>
      <c r="Q6" s="31" t="e">
        <f t="shared" si="7"/>
        <v>#DIV/0!</v>
      </c>
      <c r="R6" s="37">
        <f t="shared" si="8"/>
        <v>0</v>
      </c>
      <c r="S6" s="33" t="e">
        <f t="shared" si="9"/>
        <v>#DIV/0!</v>
      </c>
      <c r="T6" s="49">
        <f t="shared" si="10"/>
        <v>0</v>
      </c>
      <c r="U6" s="36">
        <f t="shared" si="10"/>
        <v>0</v>
      </c>
      <c r="V6" s="36">
        <f t="shared" si="11"/>
        <v>0</v>
      </c>
      <c r="W6" s="39">
        <f t="shared" si="12"/>
        <v>0</v>
      </c>
      <c r="X6" s="44"/>
      <c r="Y6" s="40"/>
      <c r="Z6" s="41"/>
      <c r="AA6" s="29"/>
      <c r="AB6" s="30" t="e">
        <f t="shared" si="13"/>
        <v>#DIV/0!</v>
      </c>
      <c r="AC6" s="29"/>
      <c r="AD6" s="31" t="e">
        <f t="shared" si="14"/>
        <v>#DIV/0!</v>
      </c>
      <c r="AE6" s="42">
        <f t="shared" si="15"/>
        <v>0</v>
      </c>
      <c r="AF6" s="33" t="str">
        <f t="shared" si="16"/>
        <v/>
      </c>
      <c r="AG6" s="49">
        <f t="shared" si="17"/>
        <v>0</v>
      </c>
      <c r="AH6" s="36">
        <f t="shared" si="18"/>
        <v>0</v>
      </c>
      <c r="AI6" s="36">
        <f t="shared" si="19"/>
        <v>0</v>
      </c>
      <c r="AJ6" s="43">
        <f t="shared" si="20"/>
        <v>0</v>
      </c>
      <c r="AK6" s="36">
        <f>AO6+AP6+AQ6</f>
        <v>0</v>
      </c>
      <c r="AL6" s="44"/>
      <c r="AM6" s="44"/>
      <c r="AN6" s="44"/>
      <c r="AO6" s="45"/>
      <c r="AP6" s="45"/>
      <c r="AQ6" s="45"/>
      <c r="AR6" s="45"/>
      <c r="AS6" s="46">
        <f t="shared" si="22"/>
        <v>0</v>
      </c>
      <c r="AT6" s="26">
        <v>2</v>
      </c>
      <c r="AU6" s="47">
        <f t="shared" si="23"/>
        <v>0</v>
      </c>
      <c r="AV6" s="26"/>
    </row>
    <row r="7" spans="1:48" ht="21">
      <c r="A7" s="26"/>
      <c r="B7" s="51">
        <f t="shared" si="24"/>
        <v>45354</v>
      </c>
      <c r="C7" s="48"/>
      <c r="D7" s="27"/>
      <c r="E7" s="28">
        <v>17</v>
      </c>
      <c r="F7" s="29">
        <v>48994</v>
      </c>
      <c r="G7" s="30">
        <f t="shared" si="0"/>
        <v>2620</v>
      </c>
      <c r="H7" s="29">
        <v>9410</v>
      </c>
      <c r="I7" s="31">
        <f t="shared" si="1"/>
        <v>503.1764705882353</v>
      </c>
      <c r="J7" s="32">
        <f t="shared" si="2"/>
        <v>58404</v>
      </c>
      <c r="K7" s="33">
        <f t="shared" si="3"/>
        <v>3435.5294117647059</v>
      </c>
      <c r="L7" s="34"/>
      <c r="M7" s="35">
        <f>AL7-E7</f>
        <v>24</v>
      </c>
      <c r="N7" s="36">
        <f>AM7-F7</f>
        <v>230670</v>
      </c>
      <c r="O7" s="30">
        <f t="shared" si="5"/>
        <v>8737.5</v>
      </c>
      <c r="P7" s="36">
        <f>AN7-H7</f>
        <v>30910</v>
      </c>
      <c r="Q7" s="31">
        <f t="shared" si="7"/>
        <v>1170.8333333333333</v>
      </c>
      <c r="R7" s="37">
        <f t="shared" si="8"/>
        <v>261580</v>
      </c>
      <c r="S7" s="33">
        <f t="shared" si="9"/>
        <v>10899.166666666666</v>
      </c>
      <c r="T7" s="49">
        <f t="shared" si="10"/>
        <v>41</v>
      </c>
      <c r="U7" s="36">
        <f t="shared" si="10"/>
        <v>279664</v>
      </c>
      <c r="V7" s="36">
        <f t="shared" si="11"/>
        <v>40320</v>
      </c>
      <c r="W7" s="39">
        <f t="shared" si="12"/>
        <v>319984</v>
      </c>
      <c r="X7" s="44"/>
      <c r="Y7" s="40"/>
      <c r="Z7" s="41">
        <v>81</v>
      </c>
      <c r="AA7" s="29">
        <v>25000</v>
      </c>
      <c r="AB7" s="30">
        <f t="shared" si="13"/>
        <v>308.64197530864197</v>
      </c>
      <c r="AC7" s="29">
        <v>15500</v>
      </c>
      <c r="AD7" s="31">
        <f t="shared" si="14"/>
        <v>191.35802469135803</v>
      </c>
      <c r="AE7" s="42">
        <f t="shared" si="15"/>
        <v>40500</v>
      </c>
      <c r="AF7" s="33">
        <f t="shared" si="16"/>
        <v>500</v>
      </c>
      <c r="AG7" s="49">
        <f t="shared" si="17"/>
        <v>41</v>
      </c>
      <c r="AH7" s="36">
        <f t="shared" si="18"/>
        <v>304664</v>
      </c>
      <c r="AI7" s="36">
        <f t="shared" si="19"/>
        <v>55820</v>
      </c>
      <c r="AJ7" s="43">
        <f t="shared" si="20"/>
        <v>360484</v>
      </c>
      <c r="AK7" s="36">
        <f>AO7+AP7+AQ7</f>
        <v>19710</v>
      </c>
      <c r="AL7" s="44">
        <v>41</v>
      </c>
      <c r="AM7" s="44">
        <v>279664</v>
      </c>
      <c r="AN7" s="44">
        <v>40320</v>
      </c>
      <c r="AO7" s="45">
        <v>18150</v>
      </c>
      <c r="AP7" s="45">
        <v>1560</v>
      </c>
      <c r="AQ7" s="45"/>
      <c r="AR7" s="45"/>
      <c r="AS7" s="46">
        <f>SUM(AM7:AQ7)</f>
        <v>339694</v>
      </c>
      <c r="AT7" s="26">
        <v>3</v>
      </c>
      <c r="AU7" s="47">
        <f t="shared" si="23"/>
        <v>339694</v>
      </c>
      <c r="AV7" s="26"/>
    </row>
    <row r="8" spans="1:48" ht="21">
      <c r="A8" s="26"/>
      <c r="B8" s="141">
        <f t="shared" si="24"/>
        <v>45355</v>
      </c>
      <c r="C8" s="48"/>
      <c r="D8" s="27"/>
      <c r="E8" s="28"/>
      <c r="F8" s="29"/>
      <c r="G8" s="30" t="e">
        <f t="shared" si="0"/>
        <v>#DIV/0!</v>
      </c>
      <c r="H8" s="29"/>
      <c r="I8" s="31" t="e">
        <f t="shared" si="1"/>
        <v>#DIV/0!</v>
      </c>
      <c r="J8" s="32">
        <f t="shared" si="2"/>
        <v>0</v>
      </c>
      <c r="K8" s="33" t="str">
        <f t="shared" si="3"/>
        <v/>
      </c>
      <c r="L8" s="34"/>
      <c r="M8" s="35">
        <f>AL8-E8</f>
        <v>28</v>
      </c>
      <c r="N8" s="36">
        <f t="shared" si="4"/>
        <v>219560</v>
      </c>
      <c r="O8" s="30">
        <f t="shared" si="5"/>
        <v>7128.5714285714284</v>
      </c>
      <c r="P8" s="36">
        <f t="shared" si="6"/>
        <v>31000</v>
      </c>
      <c r="Q8" s="31">
        <f t="shared" si="7"/>
        <v>1006.4642857142857</v>
      </c>
      <c r="R8" s="37">
        <f t="shared" si="8"/>
        <v>250560</v>
      </c>
      <c r="S8" s="33">
        <f t="shared" si="9"/>
        <v>8948.5714285714294</v>
      </c>
      <c r="T8" s="49">
        <f t="shared" si="10"/>
        <v>28</v>
      </c>
      <c r="U8" s="36">
        <f t="shared" si="10"/>
        <v>219560</v>
      </c>
      <c r="V8" s="36">
        <f t="shared" si="11"/>
        <v>31000</v>
      </c>
      <c r="W8" s="39">
        <f t="shared" si="12"/>
        <v>250560</v>
      </c>
      <c r="X8" s="44"/>
      <c r="Y8" s="40"/>
      <c r="Z8" s="41">
        <v>65</v>
      </c>
      <c r="AA8" s="29">
        <v>39500</v>
      </c>
      <c r="AB8" s="30">
        <f t="shared" si="13"/>
        <v>607.69230769230774</v>
      </c>
      <c r="AC8" s="29">
        <v>14650</v>
      </c>
      <c r="AD8" s="31">
        <f t="shared" si="14"/>
        <v>225.38461538461539</v>
      </c>
      <c r="AE8" s="42">
        <f t="shared" si="15"/>
        <v>54150</v>
      </c>
      <c r="AF8" s="33">
        <f t="shared" si="16"/>
        <v>833.07692307692309</v>
      </c>
      <c r="AG8" s="49">
        <f t="shared" si="17"/>
        <v>28</v>
      </c>
      <c r="AH8" s="36">
        <f t="shared" si="18"/>
        <v>259060</v>
      </c>
      <c r="AI8" s="36">
        <f t="shared" si="19"/>
        <v>45650</v>
      </c>
      <c r="AJ8" s="50">
        <f t="shared" si="20"/>
        <v>304710</v>
      </c>
      <c r="AK8" s="36">
        <f t="shared" si="21"/>
        <v>19160</v>
      </c>
      <c r="AL8" s="4">
        <v>28</v>
      </c>
      <c r="AM8" s="44">
        <v>219560</v>
      </c>
      <c r="AN8" s="44">
        <v>31000</v>
      </c>
      <c r="AO8" s="45">
        <v>17600</v>
      </c>
      <c r="AP8" s="45">
        <v>1560</v>
      </c>
      <c r="AQ8" s="45"/>
      <c r="AR8" s="45"/>
      <c r="AS8" s="46">
        <f t="shared" si="22"/>
        <v>269720</v>
      </c>
      <c r="AT8" s="26">
        <v>4</v>
      </c>
      <c r="AU8" s="47">
        <f t="shared" si="23"/>
        <v>269720</v>
      </c>
      <c r="AV8" s="26"/>
    </row>
    <row r="9" spans="1:48" ht="21">
      <c r="A9" s="26"/>
      <c r="B9" s="141">
        <f t="shared" si="24"/>
        <v>45356</v>
      </c>
      <c r="C9" s="48"/>
      <c r="D9" s="27"/>
      <c r="E9" s="28"/>
      <c r="F9" s="29"/>
      <c r="G9" s="30" t="e">
        <f t="shared" si="0"/>
        <v>#DIV/0!</v>
      </c>
      <c r="H9" s="29"/>
      <c r="I9" s="31" t="e">
        <f t="shared" si="1"/>
        <v>#DIV/0!</v>
      </c>
      <c r="J9" s="32">
        <f t="shared" si="2"/>
        <v>0</v>
      </c>
      <c r="K9" s="33" t="str">
        <f t="shared" si="3"/>
        <v/>
      </c>
      <c r="L9" s="34"/>
      <c r="M9" s="35">
        <f t="shared" ref="M9:M14" si="25">AL9-E9</f>
        <v>18</v>
      </c>
      <c r="N9" s="36">
        <f t="shared" si="4"/>
        <v>161810</v>
      </c>
      <c r="O9" s="30">
        <f t="shared" si="5"/>
        <v>8172.2222222222226</v>
      </c>
      <c r="P9" s="36">
        <f t="shared" si="6"/>
        <v>25210</v>
      </c>
      <c r="Q9" s="31">
        <f t="shared" si="7"/>
        <v>1273.2222222222222</v>
      </c>
      <c r="R9" s="37">
        <f t="shared" si="8"/>
        <v>187020</v>
      </c>
      <c r="S9" s="33">
        <f t="shared" si="9"/>
        <v>10390</v>
      </c>
      <c r="T9" s="49">
        <f t="shared" si="10"/>
        <v>18</v>
      </c>
      <c r="U9" s="36">
        <f t="shared" si="10"/>
        <v>161810</v>
      </c>
      <c r="V9" s="36">
        <f t="shared" si="11"/>
        <v>25210</v>
      </c>
      <c r="W9" s="39">
        <f t="shared" si="12"/>
        <v>187020</v>
      </c>
      <c r="X9" s="44"/>
      <c r="Y9" s="40"/>
      <c r="Z9" s="41">
        <v>72</v>
      </c>
      <c r="AA9" s="29">
        <v>44950</v>
      </c>
      <c r="AB9" s="30">
        <f t="shared" si="13"/>
        <v>624.30555555555554</v>
      </c>
      <c r="AC9" s="29">
        <v>22000</v>
      </c>
      <c r="AD9" s="31">
        <f t="shared" si="14"/>
        <v>305.55555555555554</v>
      </c>
      <c r="AE9" s="42">
        <f t="shared" si="15"/>
        <v>66950</v>
      </c>
      <c r="AF9" s="33">
        <f t="shared" si="16"/>
        <v>929.86111111111109</v>
      </c>
      <c r="AG9" s="49">
        <f t="shared" si="17"/>
        <v>18</v>
      </c>
      <c r="AH9" s="36">
        <f t="shared" si="18"/>
        <v>206760</v>
      </c>
      <c r="AI9" s="36">
        <f t="shared" si="19"/>
        <v>47210</v>
      </c>
      <c r="AJ9" s="43">
        <f t="shared" si="20"/>
        <v>253970</v>
      </c>
      <c r="AK9" s="36">
        <f t="shared" si="21"/>
        <v>14300</v>
      </c>
      <c r="AL9" s="44">
        <v>18</v>
      </c>
      <c r="AM9" s="44">
        <v>161810</v>
      </c>
      <c r="AN9" s="44">
        <v>25210</v>
      </c>
      <c r="AO9" s="45">
        <v>14300</v>
      </c>
      <c r="AP9" s="45"/>
      <c r="AQ9" s="45"/>
      <c r="AR9" s="45"/>
      <c r="AS9" s="46">
        <f t="shared" si="22"/>
        <v>201320</v>
      </c>
      <c r="AT9" s="26">
        <v>5</v>
      </c>
      <c r="AU9" s="47">
        <f t="shared" si="23"/>
        <v>201320</v>
      </c>
      <c r="AV9" s="26"/>
    </row>
    <row r="10" spans="1:48" ht="21">
      <c r="A10" s="26"/>
      <c r="B10" s="141">
        <f t="shared" si="24"/>
        <v>45357</v>
      </c>
      <c r="C10" s="48"/>
      <c r="D10" s="27"/>
      <c r="E10" s="28"/>
      <c r="F10" s="29"/>
      <c r="G10" s="30" t="e">
        <f t="shared" si="0"/>
        <v>#DIV/0!</v>
      </c>
      <c r="H10" s="29"/>
      <c r="I10" s="31" t="e">
        <f t="shared" si="1"/>
        <v>#DIV/0!</v>
      </c>
      <c r="J10" s="32">
        <f t="shared" si="2"/>
        <v>0</v>
      </c>
      <c r="K10" s="33" t="str">
        <f t="shared" si="3"/>
        <v/>
      </c>
      <c r="L10" s="34"/>
      <c r="M10" s="35">
        <f t="shared" si="25"/>
        <v>16</v>
      </c>
      <c r="N10" s="36">
        <f t="shared" si="4"/>
        <v>151250</v>
      </c>
      <c r="O10" s="30">
        <f t="shared" si="5"/>
        <v>8593.75</v>
      </c>
      <c r="P10" s="36">
        <f t="shared" si="6"/>
        <v>24420</v>
      </c>
      <c r="Q10" s="31">
        <f t="shared" si="7"/>
        <v>1387.5</v>
      </c>
      <c r="R10" s="37">
        <f t="shared" si="8"/>
        <v>175670</v>
      </c>
      <c r="S10" s="33">
        <f t="shared" si="9"/>
        <v>10979.375</v>
      </c>
      <c r="T10" s="49">
        <f t="shared" si="10"/>
        <v>16</v>
      </c>
      <c r="U10" s="36">
        <f t="shared" si="10"/>
        <v>151250</v>
      </c>
      <c r="V10" s="36">
        <f t="shared" si="11"/>
        <v>24420</v>
      </c>
      <c r="W10" s="39">
        <f t="shared" si="12"/>
        <v>175670</v>
      </c>
      <c r="X10" s="44"/>
      <c r="Y10" s="40"/>
      <c r="Z10" s="41">
        <v>44</v>
      </c>
      <c r="AA10" s="29">
        <v>19400</v>
      </c>
      <c r="AB10" s="30">
        <f t="shared" si="13"/>
        <v>440.90909090909093</v>
      </c>
      <c r="AC10" s="29">
        <v>14550</v>
      </c>
      <c r="AD10" s="31">
        <f t="shared" si="14"/>
        <v>330.68181818181819</v>
      </c>
      <c r="AE10" s="42">
        <f t="shared" si="15"/>
        <v>33950</v>
      </c>
      <c r="AF10" s="33">
        <f t="shared" si="16"/>
        <v>771.59090909090912</v>
      </c>
      <c r="AG10" s="49">
        <f t="shared" si="17"/>
        <v>16</v>
      </c>
      <c r="AH10" s="36">
        <f t="shared" si="18"/>
        <v>170650</v>
      </c>
      <c r="AI10" s="36">
        <f t="shared" si="19"/>
        <v>38970</v>
      </c>
      <c r="AJ10" s="43">
        <f t="shared" si="20"/>
        <v>209620</v>
      </c>
      <c r="AK10" s="36">
        <f t="shared" si="21"/>
        <v>16500</v>
      </c>
      <c r="AL10" s="44">
        <v>16</v>
      </c>
      <c r="AM10" s="44">
        <v>151250</v>
      </c>
      <c r="AN10" s="44">
        <v>24420</v>
      </c>
      <c r="AO10" s="45">
        <v>16500</v>
      </c>
      <c r="AP10" s="45"/>
      <c r="AQ10" s="45"/>
      <c r="AR10" s="45">
        <v>11000</v>
      </c>
      <c r="AS10" s="46">
        <f t="shared" si="22"/>
        <v>192170</v>
      </c>
      <c r="AT10" s="26">
        <v>6</v>
      </c>
      <c r="AU10" s="47">
        <f t="shared" si="23"/>
        <v>203170</v>
      </c>
      <c r="AV10" s="26"/>
    </row>
    <row r="11" spans="1:48" ht="21">
      <c r="A11" s="26"/>
      <c r="B11" s="141">
        <f t="shared" si="24"/>
        <v>45358</v>
      </c>
      <c r="C11" s="48"/>
      <c r="D11" s="27"/>
      <c r="E11" s="28"/>
      <c r="F11" s="29"/>
      <c r="G11" s="30" t="e">
        <f t="shared" si="0"/>
        <v>#DIV/0!</v>
      </c>
      <c r="H11" s="29"/>
      <c r="I11" s="31" t="e">
        <f t="shared" si="1"/>
        <v>#DIV/0!</v>
      </c>
      <c r="J11" s="32">
        <f t="shared" si="2"/>
        <v>0</v>
      </c>
      <c r="K11" s="33" t="str">
        <f t="shared" si="3"/>
        <v/>
      </c>
      <c r="L11" s="34"/>
      <c r="M11" s="35">
        <f t="shared" si="25"/>
        <v>31</v>
      </c>
      <c r="N11" s="36">
        <f t="shared" si="4"/>
        <v>239580</v>
      </c>
      <c r="O11" s="30">
        <f t="shared" si="5"/>
        <v>7025.8064516129034</v>
      </c>
      <c r="P11" s="36">
        <f t="shared" si="6"/>
        <v>33240</v>
      </c>
      <c r="Q11" s="31">
        <f t="shared" si="7"/>
        <v>974.77419354838707</v>
      </c>
      <c r="R11" s="37">
        <f t="shared" si="8"/>
        <v>272820</v>
      </c>
      <c r="S11" s="33">
        <f t="shared" si="9"/>
        <v>8800.645161290322</v>
      </c>
      <c r="T11" s="49">
        <f t="shared" si="10"/>
        <v>31</v>
      </c>
      <c r="U11" s="36">
        <f t="shared" si="10"/>
        <v>239580</v>
      </c>
      <c r="V11" s="36">
        <f t="shared" si="11"/>
        <v>33240</v>
      </c>
      <c r="W11" s="39">
        <f t="shared" si="12"/>
        <v>272820</v>
      </c>
      <c r="X11" s="44"/>
      <c r="Y11" s="40"/>
      <c r="Z11" s="41">
        <v>28</v>
      </c>
      <c r="AA11" s="29">
        <v>16900</v>
      </c>
      <c r="AB11" s="30">
        <f>AA11/Z11</f>
        <v>603.57142857142856</v>
      </c>
      <c r="AC11" s="29">
        <v>8800</v>
      </c>
      <c r="AD11" s="31">
        <f t="shared" si="14"/>
        <v>314.28571428571428</v>
      </c>
      <c r="AE11" s="42">
        <f>AA11+AC11</f>
        <v>25700</v>
      </c>
      <c r="AF11" s="33">
        <f t="shared" si="16"/>
        <v>917.85714285714289</v>
      </c>
      <c r="AG11" s="49">
        <f t="shared" si="17"/>
        <v>31</v>
      </c>
      <c r="AH11" s="36">
        <f t="shared" si="18"/>
        <v>256480</v>
      </c>
      <c r="AI11" s="36">
        <f t="shared" si="19"/>
        <v>42040</v>
      </c>
      <c r="AJ11" s="43">
        <f>W11+AE11</f>
        <v>298520</v>
      </c>
      <c r="AK11" s="36">
        <f>AO11+AP11+AQ11</f>
        <v>12100</v>
      </c>
      <c r="AL11" s="44">
        <v>31</v>
      </c>
      <c r="AM11" s="44">
        <v>239580</v>
      </c>
      <c r="AN11" s="44">
        <v>33240</v>
      </c>
      <c r="AO11" s="45">
        <v>12100</v>
      </c>
      <c r="AP11" s="45"/>
      <c r="AQ11" s="45"/>
      <c r="AR11" s="45"/>
      <c r="AS11" s="46">
        <f>SUM(AM11:AQ11)</f>
        <v>284920</v>
      </c>
      <c r="AT11" s="26">
        <v>7</v>
      </c>
      <c r="AU11" s="47">
        <f t="shared" si="23"/>
        <v>284920</v>
      </c>
      <c r="AV11" s="26"/>
    </row>
    <row r="12" spans="1:48" ht="21">
      <c r="A12" s="26"/>
      <c r="B12" s="141">
        <f t="shared" si="24"/>
        <v>45359</v>
      </c>
      <c r="C12" s="52"/>
      <c r="D12" s="27"/>
      <c r="E12" s="28"/>
      <c r="F12" s="29"/>
      <c r="G12" s="30" t="e">
        <f t="shared" si="0"/>
        <v>#DIV/0!</v>
      </c>
      <c r="H12" s="29"/>
      <c r="I12" s="31" t="e">
        <f t="shared" si="1"/>
        <v>#DIV/0!</v>
      </c>
      <c r="J12" s="32">
        <f t="shared" si="2"/>
        <v>0</v>
      </c>
      <c r="K12" s="33" t="str">
        <f t="shared" si="3"/>
        <v/>
      </c>
      <c r="L12" s="34"/>
      <c r="M12" s="35">
        <f t="shared" si="25"/>
        <v>40</v>
      </c>
      <c r="N12" s="36">
        <f t="shared" si="4"/>
        <v>376750</v>
      </c>
      <c r="O12" s="30">
        <f t="shared" si="5"/>
        <v>8562.5</v>
      </c>
      <c r="P12" s="36">
        <f t="shared" si="6"/>
        <v>65000</v>
      </c>
      <c r="Q12" s="53">
        <f t="shared" si="7"/>
        <v>1477.25</v>
      </c>
      <c r="R12" s="37">
        <f t="shared" si="8"/>
        <v>441750</v>
      </c>
      <c r="S12" s="33">
        <f t="shared" si="9"/>
        <v>11043.75</v>
      </c>
      <c r="T12" s="49">
        <f t="shared" si="10"/>
        <v>40</v>
      </c>
      <c r="U12" s="36">
        <f t="shared" si="10"/>
        <v>376750</v>
      </c>
      <c r="V12" s="36">
        <f t="shared" si="11"/>
        <v>65000</v>
      </c>
      <c r="W12" s="39">
        <f t="shared" si="12"/>
        <v>441750</v>
      </c>
      <c r="X12" s="44"/>
      <c r="Y12" s="40"/>
      <c r="Z12" s="41">
        <v>55</v>
      </c>
      <c r="AA12" s="29">
        <v>30300</v>
      </c>
      <c r="AB12" s="30">
        <f t="shared" si="13"/>
        <v>550.90909090909088</v>
      </c>
      <c r="AC12" s="29">
        <v>13500</v>
      </c>
      <c r="AD12" s="31">
        <f t="shared" si="14"/>
        <v>245.45454545454547</v>
      </c>
      <c r="AE12" s="42">
        <f t="shared" si="15"/>
        <v>43800</v>
      </c>
      <c r="AF12" s="33">
        <f t="shared" si="16"/>
        <v>796.36363636363637</v>
      </c>
      <c r="AG12" s="49">
        <f t="shared" si="17"/>
        <v>40</v>
      </c>
      <c r="AH12" s="36">
        <f t="shared" si="18"/>
        <v>407050</v>
      </c>
      <c r="AI12" s="36">
        <f t="shared" si="19"/>
        <v>78500</v>
      </c>
      <c r="AJ12" s="43">
        <f>W12+AE12</f>
        <v>485550</v>
      </c>
      <c r="AK12" s="36">
        <f>AO12+AP12+AQ12</f>
        <v>26400</v>
      </c>
      <c r="AL12" s="44">
        <v>40</v>
      </c>
      <c r="AM12" s="44">
        <v>376750</v>
      </c>
      <c r="AN12" s="44">
        <v>65000</v>
      </c>
      <c r="AO12" s="45">
        <v>23100</v>
      </c>
      <c r="AP12" s="45">
        <v>3300</v>
      </c>
      <c r="AQ12" s="45"/>
      <c r="AR12" s="45">
        <v>3300</v>
      </c>
      <c r="AS12" s="46">
        <f>SUM(AM12:AQ12)</f>
        <v>468150</v>
      </c>
      <c r="AT12" s="26">
        <v>8</v>
      </c>
      <c r="AU12" s="47">
        <f>AR12+AS12</f>
        <v>471450</v>
      </c>
      <c r="AV12" s="26"/>
    </row>
    <row r="13" spans="1:48" ht="21">
      <c r="A13" s="26"/>
      <c r="B13" s="148">
        <f t="shared" si="24"/>
        <v>45360</v>
      </c>
      <c r="C13" s="48"/>
      <c r="D13" s="27"/>
      <c r="E13" s="28">
        <v>18</v>
      </c>
      <c r="F13" s="29">
        <v>67650</v>
      </c>
      <c r="G13" s="30">
        <f t="shared" si="0"/>
        <v>3416.6666666666665</v>
      </c>
      <c r="H13" s="29">
        <v>8190</v>
      </c>
      <c r="I13" s="31">
        <f t="shared" si="1"/>
        <v>413.61111111111109</v>
      </c>
      <c r="J13" s="32">
        <f t="shared" si="2"/>
        <v>75840</v>
      </c>
      <c r="K13" s="33">
        <f t="shared" si="3"/>
        <v>4213.333333333333</v>
      </c>
      <c r="L13" s="34"/>
      <c r="M13" s="35">
        <f t="shared" si="25"/>
        <v>37</v>
      </c>
      <c r="N13" s="36">
        <f t="shared" si="4"/>
        <v>356290</v>
      </c>
      <c r="O13" s="30">
        <f t="shared" si="5"/>
        <v>8754.0540540540533</v>
      </c>
      <c r="P13" s="36">
        <f t="shared" si="6"/>
        <v>69230</v>
      </c>
      <c r="Q13" s="31">
        <f t="shared" si="7"/>
        <v>1700.9729729729729</v>
      </c>
      <c r="R13" s="37">
        <f t="shared" si="8"/>
        <v>425520</v>
      </c>
      <c r="S13" s="33">
        <f t="shared" si="9"/>
        <v>11500.54054054054</v>
      </c>
      <c r="T13" s="49">
        <f t="shared" si="10"/>
        <v>55</v>
      </c>
      <c r="U13" s="36">
        <f t="shared" si="10"/>
        <v>423940</v>
      </c>
      <c r="V13" s="36">
        <f t="shared" si="11"/>
        <v>77420</v>
      </c>
      <c r="W13" s="39">
        <f t="shared" si="12"/>
        <v>501360</v>
      </c>
      <c r="X13" s="44"/>
      <c r="Y13" s="40"/>
      <c r="Z13" s="41">
        <v>63</v>
      </c>
      <c r="AA13" s="29">
        <v>29800</v>
      </c>
      <c r="AB13" s="30">
        <f t="shared" si="13"/>
        <v>473.01587301587301</v>
      </c>
      <c r="AC13" s="29">
        <v>77420</v>
      </c>
      <c r="AD13" s="31">
        <f t="shared" si="14"/>
        <v>1228.8888888888889</v>
      </c>
      <c r="AE13" s="42">
        <f t="shared" si="15"/>
        <v>107220</v>
      </c>
      <c r="AF13" s="33">
        <f t="shared" si="16"/>
        <v>1701.9047619047619</v>
      </c>
      <c r="AG13" s="49">
        <f t="shared" si="17"/>
        <v>55</v>
      </c>
      <c r="AH13" s="36">
        <f t="shared" si="18"/>
        <v>453740</v>
      </c>
      <c r="AI13" s="36">
        <f t="shared" si="19"/>
        <v>154840</v>
      </c>
      <c r="AJ13" s="43">
        <f t="shared" si="20"/>
        <v>608580</v>
      </c>
      <c r="AK13" s="36">
        <f t="shared" si="21"/>
        <v>24200</v>
      </c>
      <c r="AL13" s="44">
        <v>55</v>
      </c>
      <c r="AM13" s="44">
        <v>423940</v>
      </c>
      <c r="AN13" s="44">
        <v>77420</v>
      </c>
      <c r="AO13" s="45">
        <v>24200</v>
      </c>
      <c r="AP13" s="45"/>
      <c r="AQ13" s="45"/>
      <c r="AR13" s="45">
        <v>6600</v>
      </c>
      <c r="AS13" s="46">
        <f t="shared" si="22"/>
        <v>525560</v>
      </c>
      <c r="AT13" s="26">
        <v>9</v>
      </c>
      <c r="AU13" s="47">
        <f t="shared" si="23"/>
        <v>532160</v>
      </c>
      <c r="AV13" s="26"/>
    </row>
    <row r="14" spans="1:48" ht="21">
      <c r="A14" s="26"/>
      <c r="B14" s="51">
        <f t="shared" si="24"/>
        <v>45361</v>
      </c>
      <c r="C14" s="48"/>
      <c r="D14" s="27"/>
      <c r="E14" s="28">
        <v>4</v>
      </c>
      <c r="F14" s="29">
        <v>10050</v>
      </c>
      <c r="G14" s="30">
        <f t="shared" si="0"/>
        <v>2284</v>
      </c>
      <c r="H14" s="29">
        <v>5690</v>
      </c>
      <c r="I14" s="31">
        <f t="shared" si="1"/>
        <v>1293</v>
      </c>
      <c r="J14" s="32">
        <f t="shared" si="2"/>
        <v>15740</v>
      </c>
      <c r="K14" s="33">
        <f t="shared" si="3"/>
        <v>3935</v>
      </c>
      <c r="L14" s="34"/>
      <c r="M14" s="35">
        <f t="shared" si="25"/>
        <v>40</v>
      </c>
      <c r="N14" s="36">
        <f t="shared" si="4"/>
        <v>350970</v>
      </c>
      <c r="O14" s="30">
        <f t="shared" si="5"/>
        <v>7976.5749999999998</v>
      </c>
      <c r="P14" s="36">
        <f t="shared" si="6"/>
        <v>51740</v>
      </c>
      <c r="Q14" s="31">
        <f t="shared" si="7"/>
        <v>1175.9000000000001</v>
      </c>
      <c r="R14" s="37">
        <f t="shared" si="8"/>
        <v>402710</v>
      </c>
      <c r="S14" s="33">
        <f t="shared" si="9"/>
        <v>10067.75</v>
      </c>
      <c r="T14" s="49">
        <f>E14+M14</f>
        <v>44</v>
      </c>
      <c r="U14" s="36">
        <f t="shared" si="10"/>
        <v>361020</v>
      </c>
      <c r="V14" s="36">
        <f t="shared" si="11"/>
        <v>57430</v>
      </c>
      <c r="W14" s="39">
        <f t="shared" si="12"/>
        <v>418450</v>
      </c>
      <c r="X14" s="44"/>
      <c r="Y14" s="40"/>
      <c r="Z14" s="41">
        <v>79</v>
      </c>
      <c r="AA14" s="29">
        <v>50950</v>
      </c>
      <c r="AB14" s="30">
        <f t="shared" si="13"/>
        <v>644.9367088607595</v>
      </c>
      <c r="AC14" s="29">
        <v>19600</v>
      </c>
      <c r="AD14" s="31">
        <f t="shared" si="14"/>
        <v>248.1012658227848</v>
      </c>
      <c r="AE14" s="42">
        <f t="shared" si="15"/>
        <v>70550</v>
      </c>
      <c r="AF14" s="33">
        <f t="shared" si="16"/>
        <v>893.03797468354435</v>
      </c>
      <c r="AG14" s="49">
        <f t="shared" si="17"/>
        <v>44</v>
      </c>
      <c r="AH14" s="36">
        <f t="shared" si="18"/>
        <v>411970</v>
      </c>
      <c r="AI14" s="36">
        <f t="shared" si="19"/>
        <v>77030</v>
      </c>
      <c r="AJ14" s="50">
        <f t="shared" si="20"/>
        <v>489000</v>
      </c>
      <c r="AK14" s="36">
        <f t="shared" si="21"/>
        <v>22110</v>
      </c>
      <c r="AL14" s="44">
        <v>44</v>
      </c>
      <c r="AM14" s="44">
        <v>361020</v>
      </c>
      <c r="AN14" s="44">
        <v>57430</v>
      </c>
      <c r="AO14" s="45">
        <v>20900</v>
      </c>
      <c r="AP14" s="45">
        <v>1210</v>
      </c>
      <c r="AQ14" s="45"/>
      <c r="AR14" s="45"/>
      <c r="AS14" s="46">
        <f t="shared" si="22"/>
        <v>440560</v>
      </c>
      <c r="AT14" s="26">
        <v>10</v>
      </c>
      <c r="AU14" s="47">
        <f t="shared" si="23"/>
        <v>440560</v>
      </c>
      <c r="AV14" s="26"/>
    </row>
    <row r="15" spans="1:48" ht="21">
      <c r="A15" s="26"/>
      <c r="B15" s="141">
        <f t="shared" si="24"/>
        <v>45362</v>
      </c>
      <c r="C15" s="52"/>
      <c r="D15" s="27"/>
      <c r="E15" s="28"/>
      <c r="F15" s="29"/>
      <c r="G15" s="30" t="e">
        <f t="shared" si="0"/>
        <v>#DIV/0!</v>
      </c>
      <c r="H15" s="29"/>
      <c r="I15" s="31" t="e">
        <f t="shared" si="1"/>
        <v>#DIV/0!</v>
      </c>
      <c r="J15" s="32">
        <f t="shared" si="2"/>
        <v>0</v>
      </c>
      <c r="K15" s="33" t="str">
        <f t="shared" si="3"/>
        <v/>
      </c>
      <c r="L15" s="34"/>
      <c r="M15" s="35">
        <f t="shared" si="4"/>
        <v>21</v>
      </c>
      <c r="N15" s="36">
        <f t="shared" si="4"/>
        <v>196900</v>
      </c>
      <c r="O15" s="30">
        <f t="shared" si="5"/>
        <v>8523.8095238095229</v>
      </c>
      <c r="P15" s="36">
        <f t="shared" si="6"/>
        <v>25120</v>
      </c>
      <c r="Q15" s="31">
        <f t="shared" si="7"/>
        <v>1087.4285714285713</v>
      </c>
      <c r="R15" s="37">
        <f t="shared" si="8"/>
        <v>222020</v>
      </c>
      <c r="S15" s="33">
        <f t="shared" si="9"/>
        <v>10572.380952380952</v>
      </c>
      <c r="T15" s="49">
        <f t="shared" si="10"/>
        <v>21</v>
      </c>
      <c r="U15" s="36">
        <f t="shared" si="10"/>
        <v>196900</v>
      </c>
      <c r="V15" s="36">
        <f t="shared" si="11"/>
        <v>25120</v>
      </c>
      <c r="W15" s="39">
        <f t="shared" si="12"/>
        <v>222020</v>
      </c>
      <c r="X15" s="44"/>
      <c r="Y15" s="40"/>
      <c r="Z15" s="41">
        <v>72</v>
      </c>
      <c r="AA15" s="29">
        <v>42450</v>
      </c>
      <c r="AB15" s="30">
        <f t="shared" si="13"/>
        <v>589.58333333333337</v>
      </c>
      <c r="AC15" s="29">
        <v>17450</v>
      </c>
      <c r="AD15" s="31">
        <f t="shared" si="14"/>
        <v>242.36111111111111</v>
      </c>
      <c r="AE15" s="42">
        <f t="shared" si="15"/>
        <v>59900</v>
      </c>
      <c r="AF15" s="33">
        <f t="shared" si="16"/>
        <v>831.94444444444446</v>
      </c>
      <c r="AG15" s="49">
        <f t="shared" si="17"/>
        <v>21</v>
      </c>
      <c r="AH15" s="36">
        <f t="shared" si="18"/>
        <v>239350</v>
      </c>
      <c r="AI15" s="36">
        <f t="shared" si="19"/>
        <v>42570</v>
      </c>
      <c r="AJ15" s="43">
        <f t="shared" si="20"/>
        <v>281920</v>
      </c>
      <c r="AK15" s="36">
        <f t="shared" si="21"/>
        <v>23030</v>
      </c>
      <c r="AL15" s="44">
        <v>21</v>
      </c>
      <c r="AM15" s="44">
        <v>196900</v>
      </c>
      <c r="AN15" s="44">
        <v>25120</v>
      </c>
      <c r="AO15" s="45">
        <v>18700</v>
      </c>
      <c r="AP15" s="45">
        <v>4330</v>
      </c>
      <c r="AQ15" s="45"/>
      <c r="AR15" s="45">
        <v>12100</v>
      </c>
      <c r="AS15" s="46">
        <f t="shared" si="22"/>
        <v>245050</v>
      </c>
      <c r="AT15" s="26">
        <v>11</v>
      </c>
      <c r="AU15" s="47">
        <f t="shared" si="23"/>
        <v>257150</v>
      </c>
      <c r="AV15" s="26"/>
    </row>
    <row r="16" spans="1:48" ht="21">
      <c r="A16" s="26"/>
      <c r="B16" s="141">
        <f t="shared" si="24"/>
        <v>45363</v>
      </c>
      <c r="C16" s="48"/>
      <c r="D16" s="27"/>
      <c r="E16" s="28"/>
      <c r="F16" s="29"/>
      <c r="G16" s="30" t="e">
        <f t="shared" si="0"/>
        <v>#DIV/0!</v>
      </c>
      <c r="H16" s="29"/>
      <c r="I16" s="31" t="e">
        <f t="shared" si="1"/>
        <v>#DIV/0!</v>
      </c>
      <c r="J16" s="32">
        <f t="shared" si="2"/>
        <v>0</v>
      </c>
      <c r="K16" s="33" t="str">
        <f t="shared" si="3"/>
        <v/>
      </c>
      <c r="L16" s="34"/>
      <c r="M16" s="35">
        <f t="shared" si="4"/>
        <v>31</v>
      </c>
      <c r="N16" s="36">
        <f t="shared" si="4"/>
        <v>285120</v>
      </c>
      <c r="O16" s="30">
        <f t="shared" si="5"/>
        <v>8361.2903225806458</v>
      </c>
      <c r="P16" s="36">
        <f t="shared" si="6"/>
        <v>40620</v>
      </c>
      <c r="Q16" s="31">
        <f t="shared" si="7"/>
        <v>1191.1935483870968</v>
      </c>
      <c r="R16" s="37">
        <f t="shared" si="8"/>
        <v>325740</v>
      </c>
      <c r="S16" s="33">
        <f t="shared" si="9"/>
        <v>10507.741935483871</v>
      </c>
      <c r="T16" s="49">
        <f t="shared" si="10"/>
        <v>31</v>
      </c>
      <c r="U16" s="36">
        <f t="shared" si="10"/>
        <v>285120</v>
      </c>
      <c r="V16" s="36">
        <f t="shared" si="11"/>
        <v>40620</v>
      </c>
      <c r="W16" s="39">
        <f t="shared" si="12"/>
        <v>325740</v>
      </c>
      <c r="X16" s="44"/>
      <c r="Y16" s="40"/>
      <c r="Z16" s="41">
        <v>65</v>
      </c>
      <c r="AA16" s="29">
        <v>25600</v>
      </c>
      <c r="AB16" s="30">
        <f t="shared" si="13"/>
        <v>393.84615384615387</v>
      </c>
      <c r="AC16" s="29">
        <v>19600</v>
      </c>
      <c r="AD16" s="31">
        <f t="shared" si="14"/>
        <v>301.53846153846155</v>
      </c>
      <c r="AE16" s="42">
        <f t="shared" si="15"/>
        <v>45200</v>
      </c>
      <c r="AF16" s="33">
        <f t="shared" si="16"/>
        <v>695.38461538461536</v>
      </c>
      <c r="AG16" s="49">
        <f t="shared" si="17"/>
        <v>31</v>
      </c>
      <c r="AH16" s="36">
        <f t="shared" si="18"/>
        <v>310720</v>
      </c>
      <c r="AI16" s="36">
        <f t="shared" si="19"/>
        <v>60220</v>
      </c>
      <c r="AJ16" s="43">
        <f t="shared" si="20"/>
        <v>370940</v>
      </c>
      <c r="AK16" s="36">
        <f t="shared" si="21"/>
        <v>74460</v>
      </c>
      <c r="AL16" s="44">
        <v>31</v>
      </c>
      <c r="AM16" s="44">
        <v>285120</v>
      </c>
      <c r="AN16" s="44">
        <v>40620</v>
      </c>
      <c r="AO16" s="45">
        <v>17600</v>
      </c>
      <c r="AP16" s="45">
        <v>56860</v>
      </c>
      <c r="AQ16" s="45"/>
      <c r="AR16" s="45"/>
      <c r="AS16" s="46">
        <f t="shared" si="22"/>
        <v>400200</v>
      </c>
      <c r="AT16" s="26">
        <v>12</v>
      </c>
      <c r="AU16" s="47">
        <f t="shared" si="23"/>
        <v>400200</v>
      </c>
      <c r="AV16" s="26"/>
    </row>
    <row r="17" spans="1:48" ht="21">
      <c r="A17" s="26"/>
      <c r="B17" s="141">
        <f t="shared" si="24"/>
        <v>45364</v>
      </c>
      <c r="C17" s="52" t="s">
        <v>79</v>
      </c>
      <c r="D17" s="27"/>
      <c r="E17" s="28"/>
      <c r="F17" s="29"/>
      <c r="G17" s="30" t="e">
        <f t="shared" si="0"/>
        <v>#DIV/0!</v>
      </c>
      <c r="H17" s="29"/>
      <c r="I17" s="31" t="e">
        <f t="shared" si="1"/>
        <v>#DIV/0!</v>
      </c>
      <c r="J17" s="32">
        <f t="shared" si="2"/>
        <v>0</v>
      </c>
      <c r="K17" s="33" t="str">
        <f t="shared" si="3"/>
        <v/>
      </c>
      <c r="L17" s="34"/>
      <c r="M17" s="35">
        <f t="shared" si="4"/>
        <v>0</v>
      </c>
      <c r="N17" s="36">
        <f t="shared" si="4"/>
        <v>0</v>
      </c>
      <c r="O17" s="30" t="e">
        <f t="shared" si="5"/>
        <v>#DIV/0!</v>
      </c>
      <c r="P17" s="36">
        <f t="shared" si="6"/>
        <v>0</v>
      </c>
      <c r="Q17" s="31" t="e">
        <f t="shared" si="7"/>
        <v>#DIV/0!</v>
      </c>
      <c r="R17" s="37">
        <f t="shared" si="8"/>
        <v>0</v>
      </c>
      <c r="S17" s="33" t="e">
        <f t="shared" si="9"/>
        <v>#DIV/0!</v>
      </c>
      <c r="T17" s="49">
        <f t="shared" si="10"/>
        <v>0</v>
      </c>
      <c r="U17" s="36">
        <f t="shared" si="10"/>
        <v>0</v>
      </c>
      <c r="V17" s="36">
        <f t="shared" si="11"/>
        <v>0</v>
      </c>
      <c r="W17" s="39">
        <f t="shared" si="12"/>
        <v>0</v>
      </c>
      <c r="X17" s="44"/>
      <c r="Y17" s="40"/>
      <c r="Z17" s="41"/>
      <c r="AA17" s="29"/>
      <c r="AB17" s="30" t="e">
        <f t="shared" si="13"/>
        <v>#DIV/0!</v>
      </c>
      <c r="AC17" s="29"/>
      <c r="AD17" s="31" t="e">
        <f t="shared" si="14"/>
        <v>#DIV/0!</v>
      </c>
      <c r="AE17" s="42">
        <f t="shared" si="15"/>
        <v>0</v>
      </c>
      <c r="AF17" s="33" t="str">
        <f t="shared" si="16"/>
        <v/>
      </c>
      <c r="AG17" s="49">
        <f t="shared" si="17"/>
        <v>0</v>
      </c>
      <c r="AH17" s="36">
        <f t="shared" si="18"/>
        <v>0</v>
      </c>
      <c r="AI17" s="36">
        <f t="shared" si="19"/>
        <v>0</v>
      </c>
      <c r="AJ17" s="43">
        <f t="shared" si="20"/>
        <v>0</v>
      </c>
      <c r="AK17" s="36">
        <f t="shared" si="21"/>
        <v>0</v>
      </c>
      <c r="AL17" s="44"/>
      <c r="AM17" s="44"/>
      <c r="AN17" s="44"/>
      <c r="AO17" s="45"/>
      <c r="AP17" s="45"/>
      <c r="AQ17" s="45"/>
      <c r="AR17" s="45"/>
      <c r="AS17" s="46">
        <f t="shared" si="22"/>
        <v>0</v>
      </c>
      <c r="AT17" s="26">
        <v>13</v>
      </c>
      <c r="AU17" s="47">
        <f t="shared" si="23"/>
        <v>0</v>
      </c>
      <c r="AV17" s="26"/>
    </row>
    <row r="18" spans="1:48" ht="21">
      <c r="A18" s="26"/>
      <c r="B18" s="141">
        <f t="shared" si="24"/>
        <v>45365</v>
      </c>
      <c r="C18" s="48"/>
      <c r="D18" s="27"/>
      <c r="E18" s="28"/>
      <c r="F18" s="29"/>
      <c r="G18" s="30" t="e">
        <f t="shared" si="0"/>
        <v>#DIV/0!</v>
      </c>
      <c r="H18" s="29"/>
      <c r="I18" s="31" t="e">
        <f t="shared" si="1"/>
        <v>#DIV/0!</v>
      </c>
      <c r="J18" s="32">
        <f t="shared" si="2"/>
        <v>0</v>
      </c>
      <c r="K18" s="33" t="str">
        <f t="shared" si="3"/>
        <v/>
      </c>
      <c r="L18" s="34"/>
      <c r="M18" s="35">
        <f t="shared" si="4"/>
        <v>36</v>
      </c>
      <c r="N18" s="36">
        <f t="shared" si="4"/>
        <v>303930</v>
      </c>
      <c r="O18" s="30">
        <f t="shared" si="5"/>
        <v>7675</v>
      </c>
      <c r="P18" s="36">
        <f t="shared" si="6"/>
        <v>67050</v>
      </c>
      <c r="Q18" s="31">
        <f t="shared" si="7"/>
        <v>1693.1666666666667</v>
      </c>
      <c r="R18" s="37">
        <f t="shared" si="8"/>
        <v>370980</v>
      </c>
      <c r="S18" s="33">
        <f t="shared" si="9"/>
        <v>10305</v>
      </c>
      <c r="T18" s="49">
        <f t="shared" si="10"/>
        <v>36</v>
      </c>
      <c r="U18" s="36">
        <f t="shared" si="10"/>
        <v>303930</v>
      </c>
      <c r="V18" s="36">
        <f t="shared" si="11"/>
        <v>67050</v>
      </c>
      <c r="W18" s="39">
        <f t="shared" si="12"/>
        <v>370980</v>
      </c>
      <c r="X18" s="44"/>
      <c r="Y18" s="40"/>
      <c r="Z18" s="41">
        <v>40</v>
      </c>
      <c r="AA18" s="29">
        <v>28750</v>
      </c>
      <c r="AB18" s="30">
        <f t="shared" si="13"/>
        <v>718.75</v>
      </c>
      <c r="AC18" s="29">
        <v>8950</v>
      </c>
      <c r="AD18" s="31">
        <f t="shared" si="14"/>
        <v>223.75</v>
      </c>
      <c r="AE18" s="42">
        <f t="shared" si="15"/>
        <v>37700</v>
      </c>
      <c r="AF18" s="33">
        <f t="shared" si="16"/>
        <v>942.5</v>
      </c>
      <c r="AG18" s="49">
        <f t="shared" si="17"/>
        <v>36</v>
      </c>
      <c r="AH18" s="36">
        <f t="shared" si="18"/>
        <v>332680</v>
      </c>
      <c r="AI18" s="36">
        <f t="shared" si="19"/>
        <v>76000</v>
      </c>
      <c r="AJ18" s="43">
        <f t="shared" si="20"/>
        <v>408680</v>
      </c>
      <c r="AK18" s="36">
        <f t="shared" si="21"/>
        <v>27500</v>
      </c>
      <c r="AL18" s="44">
        <v>36</v>
      </c>
      <c r="AM18" s="44">
        <v>303930</v>
      </c>
      <c r="AN18" s="44">
        <v>67050</v>
      </c>
      <c r="AO18" s="45">
        <v>22550</v>
      </c>
      <c r="AP18" s="45">
        <v>1650</v>
      </c>
      <c r="AQ18" s="45">
        <v>3300</v>
      </c>
      <c r="AR18" s="45">
        <v>11700</v>
      </c>
      <c r="AS18" s="46">
        <f t="shared" si="22"/>
        <v>398480</v>
      </c>
      <c r="AT18" s="26">
        <v>14</v>
      </c>
      <c r="AU18" s="47">
        <f t="shared" si="23"/>
        <v>410180</v>
      </c>
      <c r="AV18" s="26"/>
    </row>
    <row r="19" spans="1:48" ht="21">
      <c r="A19" s="26"/>
      <c r="B19" s="141">
        <f t="shared" si="24"/>
        <v>45366</v>
      </c>
      <c r="C19" s="48"/>
      <c r="D19" s="27"/>
      <c r="E19" s="28"/>
      <c r="F19" s="29"/>
      <c r="G19" s="30" t="e">
        <f t="shared" si="0"/>
        <v>#DIV/0!</v>
      </c>
      <c r="H19" s="29"/>
      <c r="I19" s="31" t="e">
        <f t="shared" si="1"/>
        <v>#DIV/0!</v>
      </c>
      <c r="J19" s="32">
        <f t="shared" si="2"/>
        <v>0</v>
      </c>
      <c r="K19" s="33" t="str">
        <f t="shared" si="3"/>
        <v/>
      </c>
      <c r="L19" s="34"/>
      <c r="M19" s="35">
        <f t="shared" si="4"/>
        <v>37</v>
      </c>
      <c r="N19" s="36">
        <f t="shared" si="4"/>
        <v>355740</v>
      </c>
      <c r="O19" s="30">
        <f t="shared" si="5"/>
        <v>8740.54054054054</v>
      </c>
      <c r="P19" s="36">
        <f t="shared" si="6"/>
        <v>53200</v>
      </c>
      <c r="Q19" s="53">
        <f t="shared" si="7"/>
        <v>1307.1081081081081</v>
      </c>
      <c r="R19" s="37">
        <f t="shared" si="8"/>
        <v>408940</v>
      </c>
      <c r="S19" s="33">
        <f t="shared" si="9"/>
        <v>11052.432432432432</v>
      </c>
      <c r="T19" s="49">
        <f t="shared" si="10"/>
        <v>37</v>
      </c>
      <c r="U19" s="36">
        <f t="shared" si="10"/>
        <v>355740</v>
      </c>
      <c r="V19" s="36">
        <f t="shared" si="11"/>
        <v>53200</v>
      </c>
      <c r="W19" s="39">
        <f t="shared" si="12"/>
        <v>408940</v>
      </c>
      <c r="X19" s="44"/>
      <c r="Y19" s="40"/>
      <c r="Z19" s="41">
        <v>32</v>
      </c>
      <c r="AA19" s="29">
        <v>17800</v>
      </c>
      <c r="AB19" s="30">
        <f t="shared" si="13"/>
        <v>556.25</v>
      </c>
      <c r="AC19" s="29">
        <v>7100</v>
      </c>
      <c r="AD19" s="31">
        <f t="shared" si="14"/>
        <v>221.875</v>
      </c>
      <c r="AE19" s="42">
        <f t="shared" si="15"/>
        <v>24900</v>
      </c>
      <c r="AF19" s="33">
        <f t="shared" si="16"/>
        <v>778.125</v>
      </c>
      <c r="AG19" s="49">
        <f t="shared" si="17"/>
        <v>37</v>
      </c>
      <c r="AH19" s="36">
        <f t="shared" si="18"/>
        <v>373540</v>
      </c>
      <c r="AI19" s="36">
        <f t="shared" si="19"/>
        <v>60300</v>
      </c>
      <c r="AJ19" s="43">
        <f t="shared" si="20"/>
        <v>433840</v>
      </c>
      <c r="AK19" s="36">
        <f t="shared" si="21"/>
        <v>26310</v>
      </c>
      <c r="AL19" s="44">
        <v>37</v>
      </c>
      <c r="AM19" s="44">
        <v>355740</v>
      </c>
      <c r="AN19" s="44">
        <v>53200</v>
      </c>
      <c r="AO19" s="45">
        <v>24750</v>
      </c>
      <c r="AP19" s="45">
        <v>1560</v>
      </c>
      <c r="AQ19" s="45"/>
      <c r="AR19" s="45"/>
      <c r="AS19" s="46">
        <f t="shared" si="22"/>
        <v>435250</v>
      </c>
      <c r="AT19" s="26">
        <v>15</v>
      </c>
      <c r="AU19" s="47">
        <f t="shared" si="23"/>
        <v>435250</v>
      </c>
      <c r="AV19" s="26"/>
    </row>
    <row r="20" spans="1:48" ht="21">
      <c r="A20" s="26"/>
      <c r="B20" s="148">
        <f t="shared" si="24"/>
        <v>45367</v>
      </c>
      <c r="C20" s="256" t="s">
        <v>80</v>
      </c>
      <c r="D20" s="27"/>
      <c r="E20" s="28"/>
      <c r="F20" s="29"/>
      <c r="G20" s="30" t="e">
        <f t="shared" si="0"/>
        <v>#DIV/0!</v>
      </c>
      <c r="H20" s="29"/>
      <c r="I20" s="30" t="e">
        <f t="shared" si="1"/>
        <v>#DIV/0!</v>
      </c>
      <c r="J20" s="32">
        <f t="shared" si="2"/>
        <v>0</v>
      </c>
      <c r="K20" s="33" t="str">
        <f t="shared" si="3"/>
        <v/>
      </c>
      <c r="L20" s="34"/>
      <c r="M20" s="35">
        <f t="shared" si="4"/>
        <v>39</v>
      </c>
      <c r="N20" s="36">
        <f t="shared" si="4"/>
        <v>292600</v>
      </c>
      <c r="O20" s="30">
        <f t="shared" si="5"/>
        <v>6820.5128205128203</v>
      </c>
      <c r="P20" s="36">
        <f t="shared" si="6"/>
        <v>51540</v>
      </c>
      <c r="Q20" s="53">
        <f t="shared" si="7"/>
        <v>1201.3846153846155</v>
      </c>
      <c r="R20" s="37">
        <f t="shared" si="8"/>
        <v>344140</v>
      </c>
      <c r="S20" s="33">
        <f t="shared" si="9"/>
        <v>8824.1025641025644</v>
      </c>
      <c r="T20" s="49">
        <f t="shared" si="10"/>
        <v>39</v>
      </c>
      <c r="U20" s="36">
        <f t="shared" si="10"/>
        <v>292600</v>
      </c>
      <c r="V20" s="36">
        <f t="shared" si="11"/>
        <v>51540</v>
      </c>
      <c r="W20" s="39">
        <f t="shared" si="12"/>
        <v>344140</v>
      </c>
      <c r="X20" s="44"/>
      <c r="Y20" s="40"/>
      <c r="Z20" s="41">
        <v>47</v>
      </c>
      <c r="AA20" s="29">
        <v>27800</v>
      </c>
      <c r="AB20" s="30">
        <f t="shared" si="13"/>
        <v>591.48936170212767</v>
      </c>
      <c r="AC20" s="29">
        <v>12900</v>
      </c>
      <c r="AD20" s="31">
        <f t="shared" si="14"/>
        <v>274.468085106383</v>
      </c>
      <c r="AE20" s="42">
        <f t="shared" si="15"/>
        <v>40700</v>
      </c>
      <c r="AF20" s="33">
        <f t="shared" si="16"/>
        <v>865.95744680851067</v>
      </c>
      <c r="AG20" s="49">
        <v>39</v>
      </c>
      <c r="AH20" s="44">
        <f t="shared" si="18"/>
        <v>320400</v>
      </c>
      <c r="AI20" s="44">
        <f t="shared" si="19"/>
        <v>64440</v>
      </c>
      <c r="AJ20" s="43">
        <f t="shared" si="20"/>
        <v>384840</v>
      </c>
      <c r="AK20" s="36">
        <f t="shared" si="21"/>
        <v>20900</v>
      </c>
      <c r="AL20" s="44">
        <v>39</v>
      </c>
      <c r="AM20" s="44">
        <v>292600</v>
      </c>
      <c r="AN20" s="44">
        <v>51540</v>
      </c>
      <c r="AO20" s="45">
        <v>20900</v>
      </c>
      <c r="AP20" s="45"/>
      <c r="AQ20" s="45"/>
      <c r="AR20" s="45"/>
      <c r="AS20" s="46">
        <f t="shared" si="22"/>
        <v>365040</v>
      </c>
      <c r="AT20" s="26">
        <v>16</v>
      </c>
      <c r="AU20" s="47">
        <f t="shared" si="23"/>
        <v>365040</v>
      </c>
      <c r="AV20" s="26"/>
    </row>
    <row r="21" spans="1:48" ht="15.75" customHeight="1">
      <c r="A21" s="26"/>
      <c r="B21" s="51">
        <f t="shared" si="24"/>
        <v>45368</v>
      </c>
      <c r="C21" s="48"/>
      <c r="D21" s="27"/>
      <c r="E21" s="28">
        <v>20</v>
      </c>
      <c r="F21" s="29">
        <v>103730</v>
      </c>
      <c r="G21" s="30">
        <f t="shared" si="0"/>
        <v>4715</v>
      </c>
      <c r="H21" s="29">
        <v>14210</v>
      </c>
      <c r="I21" s="30">
        <f t="shared" si="1"/>
        <v>645.9</v>
      </c>
      <c r="J21" s="32">
        <f t="shared" si="2"/>
        <v>117940</v>
      </c>
      <c r="K21" s="33">
        <f t="shared" si="3"/>
        <v>5897</v>
      </c>
      <c r="L21" s="34"/>
      <c r="M21" s="35">
        <f t="shared" ref="M21:N35" si="26">AL21-E21</f>
        <v>39</v>
      </c>
      <c r="N21" s="36">
        <f t="shared" si="26"/>
        <v>307120</v>
      </c>
      <c r="O21" s="30">
        <f t="shared" si="5"/>
        <v>7158.9743589743593</v>
      </c>
      <c r="P21" s="36">
        <f t="shared" si="6"/>
        <v>46800</v>
      </c>
      <c r="Q21" s="53">
        <f t="shared" si="7"/>
        <v>1090.8974358974358</v>
      </c>
      <c r="R21" s="37">
        <f t="shared" si="8"/>
        <v>353920</v>
      </c>
      <c r="S21" s="33">
        <f t="shared" si="9"/>
        <v>9074.8717948717949</v>
      </c>
      <c r="T21" s="49">
        <f t="shared" ref="T21:U35" si="27">E21+M21</f>
        <v>59</v>
      </c>
      <c r="U21" s="36">
        <f t="shared" si="27"/>
        <v>410850</v>
      </c>
      <c r="V21" s="36">
        <f t="shared" si="11"/>
        <v>61010</v>
      </c>
      <c r="W21" s="39">
        <f t="shared" si="12"/>
        <v>471860</v>
      </c>
      <c r="X21" s="44"/>
      <c r="Y21" s="40"/>
      <c r="Z21" s="41">
        <v>22</v>
      </c>
      <c r="AA21" s="29">
        <v>9950</v>
      </c>
      <c r="AB21" s="30">
        <f t="shared" si="13"/>
        <v>452.27272727272725</v>
      </c>
      <c r="AC21" s="29">
        <v>7600</v>
      </c>
      <c r="AD21" s="31">
        <f t="shared" si="14"/>
        <v>345.45454545454544</v>
      </c>
      <c r="AE21" s="42">
        <f t="shared" si="15"/>
        <v>17550</v>
      </c>
      <c r="AF21" s="33">
        <f t="shared" si="16"/>
        <v>797.72727272727275</v>
      </c>
      <c r="AG21" s="49">
        <v>59</v>
      </c>
      <c r="AH21" s="44">
        <f t="shared" si="18"/>
        <v>420800</v>
      </c>
      <c r="AI21" s="44">
        <f t="shared" si="19"/>
        <v>68610</v>
      </c>
      <c r="AJ21" s="43">
        <f t="shared" si="20"/>
        <v>489410</v>
      </c>
      <c r="AK21" s="36">
        <f t="shared" si="21"/>
        <v>12100</v>
      </c>
      <c r="AL21" s="44">
        <v>59</v>
      </c>
      <c r="AM21" s="44">
        <v>410850</v>
      </c>
      <c r="AN21" s="44">
        <v>61010</v>
      </c>
      <c r="AO21" s="45">
        <v>7150</v>
      </c>
      <c r="AP21" s="45">
        <v>1650</v>
      </c>
      <c r="AQ21" s="45">
        <v>3300</v>
      </c>
      <c r="AR21" s="45"/>
      <c r="AS21" s="46">
        <f t="shared" si="22"/>
        <v>483960</v>
      </c>
      <c r="AT21" s="26">
        <v>17</v>
      </c>
      <c r="AU21" s="47">
        <f t="shared" si="23"/>
        <v>483960</v>
      </c>
      <c r="AV21" s="26"/>
    </row>
    <row r="22" spans="1:48" ht="15.75" customHeight="1">
      <c r="A22" s="26"/>
      <c r="B22" s="141">
        <f t="shared" si="24"/>
        <v>45369</v>
      </c>
      <c r="C22" s="52" t="s">
        <v>79</v>
      </c>
      <c r="D22" s="27"/>
      <c r="E22" s="28"/>
      <c r="F22" s="29"/>
      <c r="G22" s="30" t="e">
        <f t="shared" si="0"/>
        <v>#DIV/0!</v>
      </c>
      <c r="H22" s="29"/>
      <c r="I22" s="30" t="e">
        <f t="shared" si="1"/>
        <v>#DIV/0!</v>
      </c>
      <c r="J22" s="32">
        <f t="shared" si="2"/>
        <v>0</v>
      </c>
      <c r="K22" s="33" t="str">
        <f t="shared" si="3"/>
        <v/>
      </c>
      <c r="L22" s="34"/>
      <c r="M22" s="35">
        <f t="shared" si="26"/>
        <v>0</v>
      </c>
      <c r="N22" s="36">
        <f t="shared" si="26"/>
        <v>0</v>
      </c>
      <c r="O22" s="30" t="e">
        <f t="shared" si="5"/>
        <v>#DIV/0!</v>
      </c>
      <c r="P22" s="36">
        <f t="shared" si="6"/>
        <v>0</v>
      </c>
      <c r="Q22" s="53" t="e">
        <f t="shared" si="7"/>
        <v>#DIV/0!</v>
      </c>
      <c r="R22" s="37">
        <f t="shared" si="8"/>
        <v>0</v>
      </c>
      <c r="S22" s="33" t="e">
        <f t="shared" si="9"/>
        <v>#DIV/0!</v>
      </c>
      <c r="T22" s="49">
        <f t="shared" si="27"/>
        <v>0</v>
      </c>
      <c r="U22" s="36">
        <f t="shared" si="27"/>
        <v>0</v>
      </c>
      <c r="V22" s="36">
        <f t="shared" si="11"/>
        <v>0</v>
      </c>
      <c r="W22" s="39">
        <f t="shared" si="12"/>
        <v>0</v>
      </c>
      <c r="X22" s="44"/>
      <c r="Y22" s="40"/>
      <c r="Z22" s="41"/>
      <c r="AA22" s="29"/>
      <c r="AB22" s="30" t="e">
        <f t="shared" si="13"/>
        <v>#DIV/0!</v>
      </c>
      <c r="AC22" s="29"/>
      <c r="AD22" s="31" t="e">
        <f t="shared" si="14"/>
        <v>#DIV/0!</v>
      </c>
      <c r="AE22" s="42">
        <f t="shared" si="15"/>
        <v>0</v>
      </c>
      <c r="AF22" s="33" t="str">
        <f t="shared" si="16"/>
        <v/>
      </c>
      <c r="AG22" s="49">
        <f t="shared" si="17"/>
        <v>0</v>
      </c>
      <c r="AH22" s="44">
        <f t="shared" si="18"/>
        <v>0</v>
      </c>
      <c r="AI22" s="44">
        <f t="shared" si="19"/>
        <v>0</v>
      </c>
      <c r="AJ22" s="43">
        <f t="shared" si="20"/>
        <v>0</v>
      </c>
      <c r="AK22" s="36">
        <f t="shared" si="21"/>
        <v>0</v>
      </c>
      <c r="AL22" s="44"/>
      <c r="AM22" s="44"/>
      <c r="AN22" s="44"/>
      <c r="AO22" s="45"/>
      <c r="AP22" s="45"/>
      <c r="AQ22" s="45"/>
      <c r="AR22" s="45"/>
      <c r="AS22" s="46">
        <f t="shared" si="22"/>
        <v>0</v>
      </c>
      <c r="AT22" s="26">
        <v>18</v>
      </c>
      <c r="AU22" s="47">
        <f t="shared" si="23"/>
        <v>0</v>
      </c>
      <c r="AV22" s="26"/>
    </row>
    <row r="23" spans="1:48" ht="15.75" customHeight="1">
      <c r="A23" s="26"/>
      <c r="B23" s="141">
        <f t="shared" si="24"/>
        <v>45370</v>
      </c>
      <c r="C23" s="52" t="s">
        <v>79</v>
      </c>
      <c r="D23" s="27"/>
      <c r="E23" s="28"/>
      <c r="F23" s="29"/>
      <c r="G23" s="30" t="e">
        <f t="shared" si="0"/>
        <v>#DIV/0!</v>
      </c>
      <c r="H23" s="29"/>
      <c r="I23" s="30" t="e">
        <f t="shared" si="1"/>
        <v>#DIV/0!</v>
      </c>
      <c r="J23" s="32">
        <f t="shared" si="2"/>
        <v>0</v>
      </c>
      <c r="K23" s="33" t="str">
        <f t="shared" si="3"/>
        <v/>
      </c>
      <c r="L23" s="34"/>
      <c r="M23" s="35">
        <f t="shared" si="26"/>
        <v>0</v>
      </c>
      <c r="N23" s="36">
        <f t="shared" si="26"/>
        <v>0</v>
      </c>
      <c r="O23" s="30" t="e">
        <f t="shared" si="5"/>
        <v>#DIV/0!</v>
      </c>
      <c r="P23" s="36">
        <f t="shared" si="6"/>
        <v>0</v>
      </c>
      <c r="Q23" s="53" t="e">
        <f t="shared" si="7"/>
        <v>#DIV/0!</v>
      </c>
      <c r="R23" s="37">
        <f t="shared" si="8"/>
        <v>0</v>
      </c>
      <c r="S23" s="33" t="e">
        <f t="shared" si="9"/>
        <v>#DIV/0!</v>
      </c>
      <c r="T23" s="49">
        <f t="shared" si="27"/>
        <v>0</v>
      </c>
      <c r="U23" s="36">
        <f t="shared" si="27"/>
        <v>0</v>
      </c>
      <c r="V23" s="36">
        <f t="shared" si="11"/>
        <v>0</v>
      </c>
      <c r="W23" s="39">
        <f t="shared" si="12"/>
        <v>0</v>
      </c>
      <c r="X23" s="44"/>
      <c r="Y23" s="40"/>
      <c r="Z23" s="41"/>
      <c r="AA23" s="29"/>
      <c r="AB23" s="30" t="e">
        <f t="shared" si="13"/>
        <v>#DIV/0!</v>
      </c>
      <c r="AC23" s="29"/>
      <c r="AD23" s="31" t="e">
        <f t="shared" si="14"/>
        <v>#DIV/0!</v>
      </c>
      <c r="AE23" s="42">
        <f t="shared" si="15"/>
        <v>0</v>
      </c>
      <c r="AF23" s="33" t="str">
        <f t="shared" si="16"/>
        <v/>
      </c>
      <c r="AG23" s="49">
        <f t="shared" si="17"/>
        <v>0</v>
      </c>
      <c r="AH23" s="44">
        <f t="shared" si="18"/>
        <v>0</v>
      </c>
      <c r="AI23" s="44">
        <f t="shared" si="19"/>
        <v>0</v>
      </c>
      <c r="AJ23" s="43">
        <f t="shared" si="20"/>
        <v>0</v>
      </c>
      <c r="AK23" s="36">
        <f t="shared" si="21"/>
        <v>0</v>
      </c>
      <c r="AL23" s="44"/>
      <c r="AM23" s="44"/>
      <c r="AN23" s="44"/>
      <c r="AO23" s="45"/>
      <c r="AP23" s="45"/>
      <c r="AQ23" s="45"/>
      <c r="AR23" s="45"/>
      <c r="AS23" s="46">
        <f t="shared" si="22"/>
        <v>0</v>
      </c>
      <c r="AT23" s="26">
        <v>19</v>
      </c>
      <c r="AU23" s="47">
        <f t="shared" si="23"/>
        <v>0</v>
      </c>
      <c r="AV23" s="26"/>
    </row>
    <row r="24" spans="1:48" ht="15.75" customHeight="1">
      <c r="A24" s="26"/>
      <c r="B24" s="51">
        <f t="shared" si="24"/>
        <v>45371</v>
      </c>
      <c r="C24" s="52" t="s">
        <v>81</v>
      </c>
      <c r="D24" s="27"/>
      <c r="E24" s="28">
        <v>17</v>
      </c>
      <c r="F24" s="29">
        <v>69850</v>
      </c>
      <c r="G24" s="30">
        <f t="shared" si="0"/>
        <v>3735.294117647059</v>
      </c>
      <c r="H24" s="29">
        <v>11170</v>
      </c>
      <c r="I24" s="30">
        <f t="shared" si="1"/>
        <v>597.29411764705878</v>
      </c>
      <c r="J24" s="32">
        <f t="shared" si="2"/>
        <v>81020</v>
      </c>
      <c r="K24" s="33">
        <f t="shared" si="3"/>
        <v>4765.8823529411766</v>
      </c>
      <c r="L24" s="34"/>
      <c r="M24" s="35">
        <f t="shared" si="26"/>
        <v>0</v>
      </c>
      <c r="N24" s="36">
        <f t="shared" si="26"/>
        <v>0</v>
      </c>
      <c r="O24" s="30" t="e">
        <f t="shared" si="5"/>
        <v>#DIV/0!</v>
      </c>
      <c r="P24" s="36">
        <f t="shared" si="6"/>
        <v>0</v>
      </c>
      <c r="Q24" s="53" t="e">
        <f t="shared" si="7"/>
        <v>#DIV/0!</v>
      </c>
      <c r="R24" s="37">
        <f t="shared" si="8"/>
        <v>0</v>
      </c>
      <c r="S24" s="33" t="e">
        <f t="shared" si="9"/>
        <v>#DIV/0!</v>
      </c>
      <c r="T24" s="49">
        <f t="shared" si="27"/>
        <v>17</v>
      </c>
      <c r="U24" s="36">
        <f t="shared" si="27"/>
        <v>69850</v>
      </c>
      <c r="V24" s="36">
        <f t="shared" si="11"/>
        <v>11170</v>
      </c>
      <c r="W24" s="39">
        <f t="shared" si="12"/>
        <v>81020</v>
      </c>
      <c r="X24" s="44"/>
      <c r="Y24" s="40"/>
      <c r="Z24" s="41">
        <v>17</v>
      </c>
      <c r="AA24" s="29">
        <v>8950</v>
      </c>
      <c r="AB24" s="30">
        <f t="shared" si="13"/>
        <v>526.47058823529414</v>
      </c>
      <c r="AC24" s="29">
        <v>1400</v>
      </c>
      <c r="AD24" s="31">
        <f t="shared" si="14"/>
        <v>82.352941176470594</v>
      </c>
      <c r="AE24" s="42">
        <f t="shared" si="15"/>
        <v>10350</v>
      </c>
      <c r="AF24" s="33">
        <f t="shared" si="16"/>
        <v>608.82352941176475</v>
      </c>
      <c r="AG24" s="49">
        <f t="shared" si="17"/>
        <v>17</v>
      </c>
      <c r="AH24" s="44">
        <f t="shared" si="18"/>
        <v>78800</v>
      </c>
      <c r="AI24" s="44">
        <f t="shared" si="19"/>
        <v>12570</v>
      </c>
      <c r="AJ24" s="43">
        <f t="shared" si="20"/>
        <v>91370</v>
      </c>
      <c r="AK24" s="36">
        <f t="shared" si="21"/>
        <v>0</v>
      </c>
      <c r="AL24" s="44">
        <v>17</v>
      </c>
      <c r="AM24" s="44">
        <v>69850</v>
      </c>
      <c r="AN24" s="44">
        <v>11170</v>
      </c>
      <c r="AO24" s="45"/>
      <c r="AP24" s="45"/>
      <c r="AQ24" s="45"/>
      <c r="AR24" s="45"/>
      <c r="AS24" s="46">
        <f t="shared" si="22"/>
        <v>81020</v>
      </c>
      <c r="AT24" s="26">
        <v>20</v>
      </c>
      <c r="AU24" s="47">
        <f t="shared" si="23"/>
        <v>81020</v>
      </c>
      <c r="AV24" s="26"/>
    </row>
    <row r="25" spans="1:48" ht="15.75" customHeight="1">
      <c r="A25" s="26"/>
      <c r="B25" s="141">
        <f t="shared" si="24"/>
        <v>45372</v>
      </c>
      <c r="C25" s="48"/>
      <c r="D25" s="27"/>
      <c r="E25" s="28"/>
      <c r="F25" s="29"/>
      <c r="G25" s="30" t="e">
        <f t="shared" si="0"/>
        <v>#DIV/0!</v>
      </c>
      <c r="H25" s="29"/>
      <c r="I25" s="30" t="e">
        <f t="shared" si="1"/>
        <v>#DIV/0!</v>
      </c>
      <c r="J25" s="32">
        <f t="shared" si="2"/>
        <v>0</v>
      </c>
      <c r="K25" s="33" t="str">
        <f t="shared" si="3"/>
        <v/>
      </c>
      <c r="L25" s="34"/>
      <c r="M25" s="35">
        <f t="shared" si="26"/>
        <v>34</v>
      </c>
      <c r="N25" s="36">
        <f t="shared" si="26"/>
        <v>247500</v>
      </c>
      <c r="O25" s="30">
        <f t="shared" si="5"/>
        <v>6617.6470588235297</v>
      </c>
      <c r="P25" s="36">
        <f t="shared" si="6"/>
        <v>56870</v>
      </c>
      <c r="Q25" s="53">
        <f t="shared" si="7"/>
        <v>1520.5882352941176</v>
      </c>
      <c r="R25" s="37">
        <f t="shared" si="8"/>
        <v>304370</v>
      </c>
      <c r="S25" s="33">
        <f t="shared" si="9"/>
        <v>8952.0588235294126</v>
      </c>
      <c r="T25" s="49">
        <f t="shared" si="27"/>
        <v>34</v>
      </c>
      <c r="U25" s="36">
        <f t="shared" si="27"/>
        <v>247500</v>
      </c>
      <c r="V25" s="36">
        <f t="shared" si="11"/>
        <v>56870</v>
      </c>
      <c r="W25" s="39">
        <f t="shared" si="12"/>
        <v>304370</v>
      </c>
      <c r="X25" s="44"/>
      <c r="Y25" s="40"/>
      <c r="Z25" s="41">
        <v>79</v>
      </c>
      <c r="AA25" s="29">
        <v>52600</v>
      </c>
      <c r="AB25" s="30">
        <f t="shared" si="13"/>
        <v>665.82278481012656</v>
      </c>
      <c r="AC25" s="29">
        <v>28400</v>
      </c>
      <c r="AD25" s="31">
        <f t="shared" si="14"/>
        <v>359.49367088607596</v>
      </c>
      <c r="AE25" s="42">
        <f t="shared" si="15"/>
        <v>81000</v>
      </c>
      <c r="AF25" s="33">
        <f t="shared" si="16"/>
        <v>1025.3164556962026</v>
      </c>
      <c r="AG25" s="49">
        <f t="shared" si="17"/>
        <v>34</v>
      </c>
      <c r="AH25" s="44">
        <f t="shared" si="18"/>
        <v>300100</v>
      </c>
      <c r="AI25" s="44">
        <f t="shared" si="19"/>
        <v>85270</v>
      </c>
      <c r="AJ25" s="43">
        <f t="shared" si="20"/>
        <v>385370</v>
      </c>
      <c r="AK25" s="36">
        <f t="shared" si="21"/>
        <v>22000</v>
      </c>
      <c r="AL25" s="44">
        <v>34</v>
      </c>
      <c r="AM25" s="44">
        <v>247500</v>
      </c>
      <c r="AN25" s="44">
        <v>56870</v>
      </c>
      <c r="AO25" s="45">
        <v>22000</v>
      </c>
      <c r="AP25" s="45"/>
      <c r="AQ25" s="45"/>
      <c r="AR25" s="45"/>
      <c r="AS25" s="46">
        <f t="shared" si="22"/>
        <v>326370</v>
      </c>
      <c r="AT25" s="26">
        <v>21</v>
      </c>
      <c r="AU25" s="47">
        <f t="shared" si="23"/>
        <v>326370</v>
      </c>
      <c r="AV25" s="26"/>
    </row>
    <row r="26" spans="1:48" ht="15.75" customHeight="1">
      <c r="A26" s="26"/>
      <c r="B26" s="141">
        <f t="shared" si="24"/>
        <v>45373</v>
      </c>
      <c r="C26" s="48"/>
      <c r="D26" s="27"/>
      <c r="E26" s="28"/>
      <c r="F26" s="29"/>
      <c r="G26" s="30" t="e">
        <f t="shared" si="0"/>
        <v>#DIV/0!</v>
      </c>
      <c r="H26" s="29"/>
      <c r="I26" s="30" t="e">
        <f t="shared" si="1"/>
        <v>#DIV/0!</v>
      </c>
      <c r="J26" s="32">
        <f t="shared" si="2"/>
        <v>0</v>
      </c>
      <c r="K26" s="33" t="str">
        <f t="shared" si="3"/>
        <v/>
      </c>
      <c r="L26" s="34"/>
      <c r="M26" s="35">
        <f t="shared" si="26"/>
        <v>38</v>
      </c>
      <c r="N26" s="36">
        <f t="shared" si="26"/>
        <v>321970</v>
      </c>
      <c r="O26" s="30">
        <f t="shared" si="5"/>
        <v>7702.6315789473683</v>
      </c>
      <c r="P26" s="36">
        <f t="shared" si="6"/>
        <v>46330</v>
      </c>
      <c r="Q26" s="53">
        <f t="shared" si="7"/>
        <v>1108.3684210526317</v>
      </c>
      <c r="R26" s="37">
        <f t="shared" si="8"/>
        <v>368300</v>
      </c>
      <c r="S26" s="33">
        <f t="shared" si="9"/>
        <v>9692.105263157895</v>
      </c>
      <c r="T26" s="49">
        <f t="shared" si="27"/>
        <v>38</v>
      </c>
      <c r="U26" s="36">
        <f t="shared" si="27"/>
        <v>321970</v>
      </c>
      <c r="V26" s="36">
        <f t="shared" si="11"/>
        <v>46330</v>
      </c>
      <c r="W26" s="39">
        <f t="shared" si="12"/>
        <v>368300</v>
      </c>
      <c r="X26" s="44"/>
      <c r="Y26" s="40"/>
      <c r="Z26" s="41">
        <v>100</v>
      </c>
      <c r="AA26" s="29">
        <v>48500</v>
      </c>
      <c r="AB26" s="30">
        <f t="shared" si="13"/>
        <v>485</v>
      </c>
      <c r="AC26" s="29">
        <v>23050</v>
      </c>
      <c r="AD26" s="31">
        <f t="shared" si="14"/>
        <v>230.5</v>
      </c>
      <c r="AE26" s="42">
        <f t="shared" si="15"/>
        <v>71550</v>
      </c>
      <c r="AF26" s="33">
        <f t="shared" si="16"/>
        <v>715.5</v>
      </c>
      <c r="AG26" s="49">
        <f t="shared" si="17"/>
        <v>38</v>
      </c>
      <c r="AH26" s="44">
        <f t="shared" si="18"/>
        <v>370470</v>
      </c>
      <c r="AI26" s="44">
        <f t="shared" si="19"/>
        <v>69380</v>
      </c>
      <c r="AJ26" s="43">
        <f t="shared" si="20"/>
        <v>439850</v>
      </c>
      <c r="AK26" s="36">
        <f t="shared" si="21"/>
        <v>20900</v>
      </c>
      <c r="AL26" s="44">
        <v>38</v>
      </c>
      <c r="AM26" s="44">
        <v>321970</v>
      </c>
      <c r="AN26" s="44">
        <v>46330</v>
      </c>
      <c r="AO26" s="45">
        <v>20900</v>
      </c>
      <c r="AP26" s="45"/>
      <c r="AQ26" s="45"/>
      <c r="AR26" s="45"/>
      <c r="AS26" s="46">
        <f t="shared" si="22"/>
        <v>389200</v>
      </c>
      <c r="AT26" s="26">
        <v>22</v>
      </c>
      <c r="AU26" s="47">
        <f t="shared" si="23"/>
        <v>389200</v>
      </c>
      <c r="AV26" s="26"/>
    </row>
    <row r="27" spans="1:48" ht="15.75" customHeight="1">
      <c r="A27" s="26"/>
      <c r="B27" s="148">
        <f t="shared" si="24"/>
        <v>45374</v>
      </c>
      <c r="C27" s="48"/>
      <c r="D27" s="27"/>
      <c r="E27" s="28">
        <v>19</v>
      </c>
      <c r="F27" s="29">
        <v>59180</v>
      </c>
      <c r="G27" s="30">
        <f t="shared" si="0"/>
        <v>2831.5789473684213</v>
      </c>
      <c r="H27" s="29">
        <v>3710</v>
      </c>
      <c r="I27" s="30">
        <f t="shared" si="1"/>
        <v>177.47368421052633</v>
      </c>
      <c r="J27" s="32">
        <f t="shared" si="2"/>
        <v>62890</v>
      </c>
      <c r="K27" s="33">
        <f t="shared" si="3"/>
        <v>3310</v>
      </c>
      <c r="L27" s="34"/>
      <c r="M27" s="35">
        <f t="shared" si="26"/>
        <v>34</v>
      </c>
      <c r="N27" s="36">
        <f t="shared" si="26"/>
        <v>351240</v>
      </c>
      <c r="O27" s="30">
        <f t="shared" si="5"/>
        <v>9391.4411764705874</v>
      </c>
      <c r="P27" s="36">
        <f t="shared" si="6"/>
        <v>48970</v>
      </c>
      <c r="Q27" s="31">
        <f t="shared" si="7"/>
        <v>1309.3529411764705</v>
      </c>
      <c r="R27" s="37">
        <f t="shared" si="8"/>
        <v>400210</v>
      </c>
      <c r="S27" s="33">
        <f t="shared" si="9"/>
        <v>11770.882352941177</v>
      </c>
      <c r="T27" s="49">
        <f t="shared" si="27"/>
        <v>53</v>
      </c>
      <c r="U27" s="36">
        <f t="shared" si="27"/>
        <v>410420</v>
      </c>
      <c r="V27" s="36">
        <f t="shared" si="11"/>
        <v>52680</v>
      </c>
      <c r="W27" s="39">
        <f t="shared" si="12"/>
        <v>463100</v>
      </c>
      <c r="X27" s="44"/>
      <c r="Y27" s="40"/>
      <c r="Z27" s="41">
        <v>102</v>
      </c>
      <c r="AA27" s="29">
        <v>63950</v>
      </c>
      <c r="AB27" s="30">
        <f t="shared" si="13"/>
        <v>626.96078431372553</v>
      </c>
      <c r="AC27" s="29">
        <v>27050</v>
      </c>
      <c r="AD27" s="31">
        <f t="shared" si="14"/>
        <v>265.19607843137254</v>
      </c>
      <c r="AE27" s="42">
        <f t="shared" si="15"/>
        <v>91000</v>
      </c>
      <c r="AF27" s="33">
        <f t="shared" si="16"/>
        <v>892.15686274509801</v>
      </c>
      <c r="AG27" s="49">
        <f t="shared" si="17"/>
        <v>53</v>
      </c>
      <c r="AH27" s="44">
        <f t="shared" si="18"/>
        <v>474370</v>
      </c>
      <c r="AI27" s="44">
        <f t="shared" si="19"/>
        <v>79730</v>
      </c>
      <c r="AJ27" s="43">
        <f t="shared" si="20"/>
        <v>554100</v>
      </c>
      <c r="AK27" s="36">
        <f t="shared" si="21"/>
        <v>22000</v>
      </c>
      <c r="AL27" s="44">
        <v>53</v>
      </c>
      <c r="AM27" s="44">
        <v>410420</v>
      </c>
      <c r="AN27" s="44">
        <v>52680</v>
      </c>
      <c r="AO27" s="45">
        <v>22000</v>
      </c>
      <c r="AP27" s="45"/>
      <c r="AQ27" s="45"/>
      <c r="AR27" s="45">
        <v>4400</v>
      </c>
      <c r="AS27" s="46">
        <f t="shared" si="22"/>
        <v>485100</v>
      </c>
      <c r="AT27" s="26">
        <v>23</v>
      </c>
      <c r="AU27" s="47">
        <f t="shared" si="23"/>
        <v>489500</v>
      </c>
      <c r="AV27" s="26"/>
    </row>
    <row r="28" spans="1:48" ht="15.75" customHeight="1">
      <c r="A28" s="26"/>
      <c r="B28" s="51">
        <f t="shared" si="24"/>
        <v>45375</v>
      </c>
      <c r="C28" s="48"/>
      <c r="D28" s="27"/>
      <c r="E28" s="28">
        <v>21</v>
      </c>
      <c r="F28" s="29">
        <v>57420</v>
      </c>
      <c r="G28" s="30">
        <f t="shared" si="0"/>
        <v>2485.7142857142858</v>
      </c>
      <c r="H28" s="29">
        <v>18930</v>
      </c>
      <c r="I28" s="30">
        <f t="shared" si="1"/>
        <v>819.47619047619048</v>
      </c>
      <c r="J28" s="32">
        <f t="shared" si="2"/>
        <v>76350</v>
      </c>
      <c r="K28" s="33">
        <f t="shared" si="3"/>
        <v>3635.7142857142858</v>
      </c>
      <c r="L28" s="34"/>
      <c r="M28" s="35">
        <f t="shared" si="26"/>
        <v>39</v>
      </c>
      <c r="N28" s="36">
        <f t="shared" si="26"/>
        <v>415140</v>
      </c>
      <c r="O28" s="30">
        <f t="shared" si="5"/>
        <v>9676.9230769230762</v>
      </c>
      <c r="P28" s="36">
        <f t="shared" si="6"/>
        <v>49470</v>
      </c>
      <c r="Q28" s="31">
        <f t="shared" si="7"/>
        <v>1153.1282051282051</v>
      </c>
      <c r="R28" s="37">
        <f t="shared" si="8"/>
        <v>464610</v>
      </c>
      <c r="S28" s="33">
        <f t="shared" si="9"/>
        <v>11913.076923076924</v>
      </c>
      <c r="T28" s="49">
        <f t="shared" si="27"/>
        <v>60</v>
      </c>
      <c r="U28" s="36">
        <f t="shared" si="27"/>
        <v>472560</v>
      </c>
      <c r="V28" s="36">
        <f t="shared" si="11"/>
        <v>68400</v>
      </c>
      <c r="W28" s="39">
        <f>J28+R28</f>
        <v>540960</v>
      </c>
      <c r="X28" s="44"/>
      <c r="Y28" s="40"/>
      <c r="Z28" s="41">
        <v>150</v>
      </c>
      <c r="AA28" s="29">
        <v>109750</v>
      </c>
      <c r="AB28" s="30">
        <f t="shared" si="13"/>
        <v>731.66666666666663</v>
      </c>
      <c r="AC28" s="29">
        <v>33950</v>
      </c>
      <c r="AD28" s="31">
        <f t="shared" si="14"/>
        <v>226.33333333333334</v>
      </c>
      <c r="AE28" s="42">
        <f t="shared" si="15"/>
        <v>143700</v>
      </c>
      <c r="AF28" s="33">
        <f t="shared" si="16"/>
        <v>958</v>
      </c>
      <c r="AG28" s="49">
        <f t="shared" si="17"/>
        <v>60</v>
      </c>
      <c r="AH28" s="44">
        <f t="shared" si="18"/>
        <v>582310</v>
      </c>
      <c r="AI28" s="44">
        <f t="shared" si="19"/>
        <v>102350</v>
      </c>
      <c r="AJ28" s="43">
        <f t="shared" si="20"/>
        <v>684660</v>
      </c>
      <c r="AK28" s="36">
        <f t="shared" si="21"/>
        <v>26400</v>
      </c>
      <c r="AL28" s="44">
        <v>60</v>
      </c>
      <c r="AM28" s="44">
        <v>472560</v>
      </c>
      <c r="AN28" s="44">
        <v>68400</v>
      </c>
      <c r="AO28" s="45">
        <v>26400</v>
      </c>
      <c r="AP28" s="45"/>
      <c r="AQ28" s="45"/>
      <c r="AR28" s="45"/>
      <c r="AS28" s="46">
        <f t="shared" si="22"/>
        <v>567360</v>
      </c>
      <c r="AT28" s="26">
        <v>24</v>
      </c>
      <c r="AU28" s="47">
        <f t="shared" si="23"/>
        <v>567360</v>
      </c>
      <c r="AV28" s="26"/>
    </row>
    <row r="29" spans="1:48" ht="15.75" customHeight="1">
      <c r="A29" s="26"/>
      <c r="B29" s="141">
        <f t="shared" si="24"/>
        <v>45376</v>
      </c>
      <c r="C29" s="48" t="s">
        <v>82</v>
      </c>
      <c r="D29" s="27"/>
      <c r="E29" s="28"/>
      <c r="F29" s="29"/>
      <c r="G29" s="30" t="e">
        <f t="shared" si="0"/>
        <v>#DIV/0!</v>
      </c>
      <c r="H29" s="29"/>
      <c r="I29" s="30" t="e">
        <f t="shared" si="1"/>
        <v>#DIV/0!</v>
      </c>
      <c r="J29" s="32">
        <f t="shared" si="2"/>
        <v>0</v>
      </c>
      <c r="K29" s="33" t="str">
        <f t="shared" si="3"/>
        <v/>
      </c>
      <c r="L29" s="34"/>
      <c r="M29" s="35">
        <f t="shared" si="26"/>
        <v>2</v>
      </c>
      <c r="N29" s="36">
        <f t="shared" si="26"/>
        <v>50000</v>
      </c>
      <c r="O29" s="30">
        <f t="shared" si="5"/>
        <v>22727</v>
      </c>
      <c r="P29" s="36">
        <f t="shared" si="6"/>
        <v>0</v>
      </c>
      <c r="Q29" s="31">
        <f t="shared" si="7"/>
        <v>0</v>
      </c>
      <c r="R29" s="37">
        <f t="shared" si="8"/>
        <v>50000</v>
      </c>
      <c r="S29" s="33">
        <f t="shared" si="9"/>
        <v>25000</v>
      </c>
      <c r="T29" s="49">
        <f t="shared" si="27"/>
        <v>2</v>
      </c>
      <c r="U29" s="36">
        <f t="shared" si="27"/>
        <v>50000</v>
      </c>
      <c r="V29" s="36">
        <f t="shared" si="11"/>
        <v>0</v>
      </c>
      <c r="W29" s="39">
        <f t="shared" si="12"/>
        <v>50000</v>
      </c>
      <c r="X29" s="44"/>
      <c r="Y29" s="40"/>
      <c r="Z29" s="41"/>
      <c r="AA29" s="29"/>
      <c r="AB29" s="30" t="e">
        <f t="shared" si="13"/>
        <v>#DIV/0!</v>
      </c>
      <c r="AC29" s="29"/>
      <c r="AD29" s="31" t="e">
        <f t="shared" si="14"/>
        <v>#DIV/0!</v>
      </c>
      <c r="AE29" s="42">
        <f t="shared" si="15"/>
        <v>0</v>
      </c>
      <c r="AF29" s="33" t="str">
        <f t="shared" si="16"/>
        <v/>
      </c>
      <c r="AG29" s="49">
        <f t="shared" si="17"/>
        <v>2</v>
      </c>
      <c r="AH29" s="44">
        <f t="shared" si="18"/>
        <v>50000</v>
      </c>
      <c r="AI29" s="44">
        <f t="shared" si="19"/>
        <v>0</v>
      </c>
      <c r="AJ29" s="43">
        <f t="shared" si="20"/>
        <v>50000</v>
      </c>
      <c r="AK29" s="36">
        <f t="shared" si="21"/>
        <v>54000</v>
      </c>
      <c r="AL29" s="44">
        <v>2</v>
      </c>
      <c r="AM29" s="44">
        <v>50000</v>
      </c>
      <c r="AN29" s="44"/>
      <c r="AO29" s="45"/>
      <c r="AP29" s="45">
        <v>54000</v>
      </c>
      <c r="AQ29" s="45"/>
      <c r="AR29" s="45"/>
      <c r="AS29" s="46">
        <f t="shared" si="22"/>
        <v>104000</v>
      </c>
      <c r="AT29" s="26">
        <v>25</v>
      </c>
      <c r="AU29" s="47">
        <f t="shared" si="23"/>
        <v>104000</v>
      </c>
      <c r="AV29" s="26"/>
    </row>
    <row r="30" spans="1:48" ht="15.75" customHeight="1">
      <c r="A30" s="26"/>
      <c r="B30" s="141">
        <f t="shared" si="24"/>
        <v>45377</v>
      </c>
      <c r="C30" s="48" t="s">
        <v>82</v>
      </c>
      <c r="D30" s="27"/>
      <c r="E30" s="28"/>
      <c r="F30" s="29"/>
      <c r="G30" s="30" t="e">
        <f t="shared" si="0"/>
        <v>#DIV/0!</v>
      </c>
      <c r="H30" s="29"/>
      <c r="I30" s="30" t="e">
        <f t="shared" si="1"/>
        <v>#DIV/0!</v>
      </c>
      <c r="J30" s="32">
        <f t="shared" si="2"/>
        <v>0</v>
      </c>
      <c r="K30" s="33" t="str">
        <f t="shared" si="3"/>
        <v/>
      </c>
      <c r="L30" s="34"/>
      <c r="M30" s="35">
        <f t="shared" si="26"/>
        <v>0</v>
      </c>
      <c r="N30" s="36">
        <f t="shared" si="26"/>
        <v>0</v>
      </c>
      <c r="O30" s="30" t="e">
        <f t="shared" si="5"/>
        <v>#DIV/0!</v>
      </c>
      <c r="P30" s="36">
        <f t="shared" si="6"/>
        <v>0</v>
      </c>
      <c r="Q30" s="30" t="e">
        <f t="shared" si="7"/>
        <v>#DIV/0!</v>
      </c>
      <c r="R30" s="37">
        <f t="shared" si="8"/>
        <v>0</v>
      </c>
      <c r="S30" s="33" t="e">
        <f t="shared" si="9"/>
        <v>#DIV/0!</v>
      </c>
      <c r="T30" s="49">
        <f t="shared" si="27"/>
        <v>0</v>
      </c>
      <c r="U30" s="36">
        <f t="shared" si="27"/>
        <v>0</v>
      </c>
      <c r="V30" s="36">
        <f t="shared" si="11"/>
        <v>0</v>
      </c>
      <c r="W30" s="39">
        <f t="shared" si="12"/>
        <v>0</v>
      </c>
      <c r="X30" s="44"/>
      <c r="Y30" s="40"/>
      <c r="Z30" s="41"/>
      <c r="AA30" s="29"/>
      <c r="AB30" s="30" t="e">
        <f t="shared" si="13"/>
        <v>#DIV/0!</v>
      </c>
      <c r="AC30" s="29"/>
      <c r="AD30" s="31" t="e">
        <f t="shared" si="14"/>
        <v>#DIV/0!</v>
      </c>
      <c r="AE30" s="42">
        <f t="shared" si="15"/>
        <v>0</v>
      </c>
      <c r="AF30" s="33" t="str">
        <f t="shared" si="16"/>
        <v/>
      </c>
      <c r="AG30" s="49">
        <f t="shared" si="17"/>
        <v>0</v>
      </c>
      <c r="AH30" s="44">
        <f t="shared" si="18"/>
        <v>0</v>
      </c>
      <c r="AI30" s="44">
        <f t="shared" si="19"/>
        <v>0</v>
      </c>
      <c r="AJ30" s="43">
        <f t="shared" si="20"/>
        <v>0</v>
      </c>
      <c r="AK30" s="36">
        <f t="shared" si="21"/>
        <v>0</v>
      </c>
      <c r="AL30" s="44"/>
      <c r="AM30" s="44"/>
      <c r="AN30" s="44"/>
      <c r="AO30" s="45"/>
      <c r="AP30" s="45"/>
      <c r="AQ30" s="45"/>
      <c r="AR30" s="45"/>
      <c r="AS30" s="46">
        <f t="shared" si="22"/>
        <v>0</v>
      </c>
      <c r="AT30" s="26">
        <v>26</v>
      </c>
      <c r="AU30" s="47">
        <f t="shared" si="23"/>
        <v>0</v>
      </c>
      <c r="AV30" s="26"/>
    </row>
    <row r="31" spans="1:48" ht="15.75" customHeight="1">
      <c r="A31" s="26"/>
      <c r="B31" s="141">
        <f t="shared" si="24"/>
        <v>45378</v>
      </c>
      <c r="C31" s="48" t="s">
        <v>82</v>
      </c>
      <c r="D31" s="27"/>
      <c r="E31" s="28"/>
      <c r="F31" s="29"/>
      <c r="G31" s="30" t="e">
        <f t="shared" si="0"/>
        <v>#DIV/0!</v>
      </c>
      <c r="H31" s="29"/>
      <c r="I31" s="30" t="e">
        <f t="shared" si="1"/>
        <v>#DIV/0!</v>
      </c>
      <c r="J31" s="32">
        <f t="shared" si="2"/>
        <v>0</v>
      </c>
      <c r="K31" s="33" t="str">
        <f t="shared" si="3"/>
        <v/>
      </c>
      <c r="L31" s="34"/>
      <c r="M31" s="35">
        <f t="shared" si="26"/>
        <v>0</v>
      </c>
      <c r="N31" s="36">
        <f t="shared" si="26"/>
        <v>0</v>
      </c>
      <c r="O31" s="30" t="e">
        <f t="shared" si="5"/>
        <v>#DIV/0!</v>
      </c>
      <c r="P31" s="36">
        <f t="shared" si="6"/>
        <v>0</v>
      </c>
      <c r="Q31" s="30" t="e">
        <f t="shared" si="7"/>
        <v>#DIV/0!</v>
      </c>
      <c r="R31" s="37">
        <f t="shared" si="8"/>
        <v>0</v>
      </c>
      <c r="S31" s="33" t="e">
        <f t="shared" si="9"/>
        <v>#DIV/0!</v>
      </c>
      <c r="T31" s="49">
        <f t="shared" si="27"/>
        <v>0</v>
      </c>
      <c r="U31" s="36">
        <f t="shared" si="27"/>
        <v>0</v>
      </c>
      <c r="V31" s="36">
        <f t="shared" si="11"/>
        <v>0</v>
      </c>
      <c r="W31" s="39">
        <f t="shared" si="12"/>
        <v>0</v>
      </c>
      <c r="X31" s="44"/>
      <c r="Y31" s="40"/>
      <c r="Z31" s="41"/>
      <c r="AA31" s="29"/>
      <c r="AB31" s="30" t="e">
        <f t="shared" si="13"/>
        <v>#DIV/0!</v>
      </c>
      <c r="AC31" s="29"/>
      <c r="AD31" s="31" t="e">
        <f t="shared" si="14"/>
        <v>#DIV/0!</v>
      </c>
      <c r="AE31" s="42">
        <f t="shared" si="15"/>
        <v>0</v>
      </c>
      <c r="AF31" s="33" t="str">
        <f t="shared" si="16"/>
        <v/>
      </c>
      <c r="AG31" s="49">
        <f t="shared" si="17"/>
        <v>0</v>
      </c>
      <c r="AH31" s="44">
        <f t="shared" si="18"/>
        <v>0</v>
      </c>
      <c r="AI31" s="44">
        <f t="shared" si="19"/>
        <v>0</v>
      </c>
      <c r="AJ31" s="43">
        <f t="shared" si="20"/>
        <v>0</v>
      </c>
      <c r="AK31" s="36">
        <f t="shared" si="21"/>
        <v>0</v>
      </c>
      <c r="AL31" s="44"/>
      <c r="AM31" s="44"/>
      <c r="AN31" s="44"/>
      <c r="AO31" s="45"/>
      <c r="AP31" s="45"/>
      <c r="AQ31" s="45"/>
      <c r="AR31" s="45"/>
      <c r="AS31" s="46">
        <f t="shared" si="22"/>
        <v>0</v>
      </c>
      <c r="AT31" s="26">
        <v>27</v>
      </c>
      <c r="AU31" s="47">
        <f t="shared" si="23"/>
        <v>0</v>
      </c>
      <c r="AV31" s="26"/>
    </row>
    <row r="32" spans="1:48" ht="15.75" customHeight="1">
      <c r="A32" s="26"/>
      <c r="B32" s="141">
        <f t="shared" si="24"/>
        <v>45379</v>
      </c>
      <c r="C32" s="48" t="s">
        <v>82</v>
      </c>
      <c r="D32" s="27"/>
      <c r="E32" s="28"/>
      <c r="F32" s="29"/>
      <c r="G32" s="30" t="e">
        <f t="shared" si="0"/>
        <v>#DIV/0!</v>
      </c>
      <c r="H32" s="29"/>
      <c r="I32" s="30" t="e">
        <f t="shared" si="1"/>
        <v>#DIV/0!</v>
      </c>
      <c r="J32" s="32">
        <f t="shared" si="2"/>
        <v>0</v>
      </c>
      <c r="K32" s="33" t="str">
        <f t="shared" si="3"/>
        <v/>
      </c>
      <c r="L32" s="34"/>
      <c r="M32" s="35">
        <f t="shared" si="26"/>
        <v>0</v>
      </c>
      <c r="N32" s="36">
        <f t="shared" si="26"/>
        <v>0</v>
      </c>
      <c r="O32" s="30" t="e">
        <f t="shared" si="5"/>
        <v>#DIV/0!</v>
      </c>
      <c r="P32" s="36">
        <f t="shared" si="6"/>
        <v>0</v>
      </c>
      <c r="Q32" s="30" t="e">
        <f t="shared" si="7"/>
        <v>#DIV/0!</v>
      </c>
      <c r="R32" s="37">
        <f t="shared" si="8"/>
        <v>0</v>
      </c>
      <c r="S32" s="33" t="e">
        <f t="shared" si="9"/>
        <v>#DIV/0!</v>
      </c>
      <c r="T32" s="49">
        <f t="shared" si="27"/>
        <v>0</v>
      </c>
      <c r="U32" s="36">
        <f t="shared" si="27"/>
        <v>0</v>
      </c>
      <c r="V32" s="36">
        <f t="shared" si="11"/>
        <v>0</v>
      </c>
      <c r="W32" s="39">
        <f t="shared" si="12"/>
        <v>0</v>
      </c>
      <c r="X32" s="44"/>
      <c r="Y32" s="40"/>
      <c r="Z32" s="41"/>
      <c r="AA32" s="29"/>
      <c r="AB32" s="30" t="e">
        <f t="shared" si="13"/>
        <v>#DIV/0!</v>
      </c>
      <c r="AC32" s="29"/>
      <c r="AD32" s="31" t="e">
        <f t="shared" si="14"/>
        <v>#DIV/0!</v>
      </c>
      <c r="AE32" s="42">
        <f t="shared" si="15"/>
        <v>0</v>
      </c>
      <c r="AF32" s="33" t="str">
        <f t="shared" si="16"/>
        <v/>
      </c>
      <c r="AG32" s="49">
        <f t="shared" si="17"/>
        <v>0</v>
      </c>
      <c r="AH32" s="44">
        <f t="shared" si="18"/>
        <v>0</v>
      </c>
      <c r="AI32" s="44">
        <f t="shared" si="19"/>
        <v>0</v>
      </c>
      <c r="AJ32" s="43">
        <f t="shared" si="20"/>
        <v>0</v>
      </c>
      <c r="AK32" s="36">
        <f t="shared" si="21"/>
        <v>0</v>
      </c>
      <c r="AL32" s="44"/>
      <c r="AM32" s="44"/>
      <c r="AN32" s="44"/>
      <c r="AO32" s="45"/>
      <c r="AP32" s="45"/>
      <c r="AQ32" s="45"/>
      <c r="AR32" s="45"/>
      <c r="AS32" s="46">
        <f t="shared" si="22"/>
        <v>0</v>
      </c>
      <c r="AT32" s="26">
        <v>28</v>
      </c>
      <c r="AU32" s="47">
        <f t="shared" si="23"/>
        <v>0</v>
      </c>
      <c r="AV32" s="26"/>
    </row>
    <row r="33" spans="1:48" ht="15.75" customHeight="1">
      <c r="A33" s="26"/>
      <c r="B33" s="141">
        <f t="shared" si="24"/>
        <v>45380</v>
      </c>
      <c r="C33" s="48" t="s">
        <v>82</v>
      </c>
      <c r="D33" s="27"/>
      <c r="E33" s="28"/>
      <c r="F33" s="29"/>
      <c r="G33" s="30" t="e">
        <f t="shared" si="0"/>
        <v>#DIV/0!</v>
      </c>
      <c r="H33" s="29"/>
      <c r="I33" s="30" t="e">
        <f t="shared" si="1"/>
        <v>#DIV/0!</v>
      </c>
      <c r="J33" s="32">
        <f t="shared" si="2"/>
        <v>0</v>
      </c>
      <c r="K33" s="33" t="str">
        <f t="shared" si="3"/>
        <v/>
      </c>
      <c r="L33" s="34"/>
      <c r="M33" s="35">
        <f t="shared" si="26"/>
        <v>0</v>
      </c>
      <c r="N33" s="36">
        <f t="shared" si="26"/>
        <v>0</v>
      </c>
      <c r="O33" s="30" t="e">
        <f t="shared" si="5"/>
        <v>#DIV/0!</v>
      </c>
      <c r="P33" s="36">
        <f t="shared" si="6"/>
        <v>0</v>
      </c>
      <c r="Q33" s="30" t="e">
        <f t="shared" si="7"/>
        <v>#DIV/0!</v>
      </c>
      <c r="R33" s="37">
        <f t="shared" si="8"/>
        <v>0</v>
      </c>
      <c r="S33" s="33" t="e">
        <f t="shared" si="9"/>
        <v>#DIV/0!</v>
      </c>
      <c r="T33" s="49">
        <f t="shared" si="27"/>
        <v>0</v>
      </c>
      <c r="U33" s="36">
        <f t="shared" si="27"/>
        <v>0</v>
      </c>
      <c r="V33" s="36">
        <f t="shared" si="11"/>
        <v>0</v>
      </c>
      <c r="W33" s="39">
        <f t="shared" si="12"/>
        <v>0</v>
      </c>
      <c r="X33" s="44"/>
      <c r="Y33" s="40"/>
      <c r="Z33" s="41"/>
      <c r="AA33" s="29"/>
      <c r="AB33" s="30" t="e">
        <f t="shared" si="13"/>
        <v>#DIV/0!</v>
      </c>
      <c r="AC33" s="29"/>
      <c r="AD33" s="31" t="e">
        <f t="shared" si="14"/>
        <v>#DIV/0!</v>
      </c>
      <c r="AE33" s="42">
        <f t="shared" si="15"/>
        <v>0</v>
      </c>
      <c r="AF33" s="33" t="str">
        <f t="shared" si="16"/>
        <v/>
      </c>
      <c r="AG33" s="49">
        <f t="shared" si="17"/>
        <v>0</v>
      </c>
      <c r="AH33" s="44">
        <f t="shared" si="18"/>
        <v>0</v>
      </c>
      <c r="AI33" s="44">
        <f t="shared" si="19"/>
        <v>0</v>
      </c>
      <c r="AJ33" s="43">
        <f t="shared" si="20"/>
        <v>0</v>
      </c>
      <c r="AK33" s="36">
        <f t="shared" si="21"/>
        <v>0</v>
      </c>
      <c r="AL33" s="44"/>
      <c r="AM33" s="44"/>
      <c r="AN33" s="44"/>
      <c r="AO33" s="45"/>
      <c r="AP33" s="45"/>
      <c r="AQ33" s="45"/>
      <c r="AR33" s="45"/>
      <c r="AS33" s="46">
        <f t="shared" si="22"/>
        <v>0</v>
      </c>
      <c r="AT33" s="26">
        <v>29</v>
      </c>
      <c r="AU33" s="47">
        <f t="shared" si="23"/>
        <v>0</v>
      </c>
      <c r="AV33" s="26"/>
    </row>
    <row r="34" spans="1:48" ht="15.75" customHeight="1">
      <c r="A34" s="26"/>
      <c r="B34" s="148">
        <f t="shared" si="24"/>
        <v>45381</v>
      </c>
      <c r="C34" s="48" t="s">
        <v>82</v>
      </c>
      <c r="D34" s="27"/>
      <c r="E34" s="28"/>
      <c r="F34" s="29"/>
      <c r="G34" s="30" t="e">
        <f t="shared" si="0"/>
        <v>#DIV/0!</v>
      </c>
      <c r="H34" s="29"/>
      <c r="I34" s="30" t="e">
        <f t="shared" si="1"/>
        <v>#DIV/0!</v>
      </c>
      <c r="J34" s="32">
        <f t="shared" si="2"/>
        <v>0</v>
      </c>
      <c r="K34" s="33" t="str">
        <f t="shared" si="3"/>
        <v/>
      </c>
      <c r="L34" s="34"/>
      <c r="M34" s="35">
        <f t="shared" si="26"/>
        <v>0</v>
      </c>
      <c r="N34" s="36">
        <f t="shared" si="26"/>
        <v>0</v>
      </c>
      <c r="O34" s="30" t="e">
        <f t="shared" si="5"/>
        <v>#DIV/0!</v>
      </c>
      <c r="P34" s="36">
        <f t="shared" si="6"/>
        <v>0</v>
      </c>
      <c r="Q34" s="30" t="e">
        <f t="shared" si="7"/>
        <v>#DIV/0!</v>
      </c>
      <c r="R34" s="37">
        <f t="shared" si="8"/>
        <v>0</v>
      </c>
      <c r="S34" s="33" t="e">
        <f t="shared" si="9"/>
        <v>#DIV/0!</v>
      </c>
      <c r="T34" s="49">
        <f t="shared" si="27"/>
        <v>0</v>
      </c>
      <c r="U34" s="36">
        <f t="shared" si="27"/>
        <v>0</v>
      </c>
      <c r="V34" s="36">
        <f t="shared" si="11"/>
        <v>0</v>
      </c>
      <c r="W34" s="39">
        <f t="shared" si="12"/>
        <v>0</v>
      </c>
      <c r="X34" s="44"/>
      <c r="Y34" s="54"/>
      <c r="Z34" s="55"/>
      <c r="AA34" s="56"/>
      <c r="AB34" s="30" t="e">
        <f t="shared" si="13"/>
        <v>#DIV/0!</v>
      </c>
      <c r="AC34" s="56"/>
      <c r="AD34" s="31" t="e">
        <f t="shared" si="14"/>
        <v>#DIV/0!</v>
      </c>
      <c r="AE34" s="42">
        <f t="shared" si="15"/>
        <v>0</v>
      </c>
      <c r="AF34" s="33" t="str">
        <f t="shared" si="16"/>
        <v/>
      </c>
      <c r="AG34" s="49">
        <f t="shared" si="17"/>
        <v>0</v>
      </c>
      <c r="AH34" s="44">
        <f t="shared" si="18"/>
        <v>0</v>
      </c>
      <c r="AI34" s="44">
        <f t="shared" si="19"/>
        <v>0</v>
      </c>
      <c r="AJ34" s="43">
        <f t="shared" si="20"/>
        <v>0</v>
      </c>
      <c r="AK34" s="36">
        <f t="shared" si="21"/>
        <v>0</v>
      </c>
      <c r="AL34" s="44"/>
      <c r="AM34" s="44"/>
      <c r="AN34" s="44"/>
      <c r="AO34" s="45"/>
      <c r="AP34" s="45"/>
      <c r="AQ34" s="45"/>
      <c r="AR34" s="45"/>
      <c r="AS34" s="46">
        <f t="shared" si="22"/>
        <v>0</v>
      </c>
      <c r="AT34" s="26">
        <v>30</v>
      </c>
      <c r="AU34" s="47">
        <f t="shared" si="23"/>
        <v>0</v>
      </c>
      <c r="AV34" s="26"/>
    </row>
    <row r="35" spans="1:48" ht="15.75" customHeight="1" thickBot="1">
      <c r="A35" s="26"/>
      <c r="B35" s="51">
        <f t="shared" si="24"/>
        <v>45382</v>
      </c>
      <c r="C35" s="57" t="s">
        <v>82</v>
      </c>
      <c r="D35" s="27"/>
      <c r="E35" s="28"/>
      <c r="F35" s="29"/>
      <c r="G35" s="30" t="e">
        <f t="shared" si="0"/>
        <v>#DIV/0!</v>
      </c>
      <c r="H35" s="29"/>
      <c r="I35" s="30" t="e">
        <f t="shared" si="1"/>
        <v>#DIV/0!</v>
      </c>
      <c r="J35" s="32">
        <f t="shared" si="2"/>
        <v>0</v>
      </c>
      <c r="K35" s="33" t="str">
        <f t="shared" si="3"/>
        <v/>
      </c>
      <c r="L35" s="34"/>
      <c r="M35" s="58">
        <f t="shared" si="26"/>
        <v>0</v>
      </c>
      <c r="N35" s="36">
        <f t="shared" si="26"/>
        <v>0</v>
      </c>
      <c r="O35" s="30" t="e">
        <f t="shared" si="5"/>
        <v>#DIV/0!</v>
      </c>
      <c r="P35" s="36">
        <f t="shared" si="6"/>
        <v>0</v>
      </c>
      <c r="Q35" s="30" t="e">
        <f t="shared" si="7"/>
        <v>#DIV/0!</v>
      </c>
      <c r="R35" s="37">
        <f t="shared" si="8"/>
        <v>0</v>
      </c>
      <c r="S35" s="33" t="e">
        <f t="shared" si="9"/>
        <v>#DIV/0!</v>
      </c>
      <c r="T35" s="59">
        <f t="shared" si="27"/>
        <v>0</v>
      </c>
      <c r="U35" s="60">
        <f t="shared" si="27"/>
        <v>0</v>
      </c>
      <c r="V35" s="60">
        <f t="shared" si="11"/>
        <v>0</v>
      </c>
      <c r="W35" s="61">
        <f t="shared" si="12"/>
        <v>0</v>
      </c>
      <c r="X35" s="60"/>
      <c r="Y35" s="62"/>
      <c r="Z35" s="63"/>
      <c r="AA35" s="64"/>
      <c r="AB35" s="65" t="e">
        <f t="shared" si="13"/>
        <v>#DIV/0!</v>
      </c>
      <c r="AC35" s="64"/>
      <c r="AD35" s="66" t="e">
        <f t="shared" si="14"/>
        <v>#DIV/0!</v>
      </c>
      <c r="AE35" s="67">
        <f t="shared" si="15"/>
        <v>0</v>
      </c>
      <c r="AF35" s="33" t="str">
        <f t="shared" si="16"/>
        <v/>
      </c>
      <c r="AG35" s="59">
        <f t="shared" si="17"/>
        <v>0</v>
      </c>
      <c r="AH35" s="60">
        <f t="shared" si="18"/>
        <v>0</v>
      </c>
      <c r="AI35" s="60">
        <f t="shared" si="19"/>
        <v>0</v>
      </c>
      <c r="AJ35" s="43">
        <f t="shared" si="20"/>
        <v>0</v>
      </c>
      <c r="AK35" s="36">
        <f t="shared" si="21"/>
        <v>0</v>
      </c>
      <c r="AL35" s="44"/>
      <c r="AM35" s="44"/>
      <c r="AN35" s="44"/>
      <c r="AO35" s="45"/>
      <c r="AP35" s="45"/>
      <c r="AQ35" s="45"/>
      <c r="AR35" s="45"/>
      <c r="AS35" s="46">
        <f t="shared" si="22"/>
        <v>0</v>
      </c>
      <c r="AT35" s="26">
        <v>31</v>
      </c>
      <c r="AU35" s="47">
        <f t="shared" si="23"/>
        <v>0</v>
      </c>
      <c r="AV35" s="26"/>
    </row>
    <row r="36" spans="1:48" ht="15.75" customHeight="1" thickTop="1">
      <c r="A36" s="68"/>
      <c r="B36" s="69" t="s">
        <v>26</v>
      </c>
      <c r="C36" s="70">
        <f>SUM(C5:C35)</f>
        <v>0</v>
      </c>
      <c r="D36" s="71">
        <f>SUM(D5:D35)</f>
        <v>0</v>
      </c>
      <c r="E36" s="72">
        <f>SUM(E5:E35)</f>
        <v>116</v>
      </c>
      <c r="F36" s="73">
        <f>SUM(F5:F35)</f>
        <v>416874</v>
      </c>
      <c r="G36" s="74">
        <f>F36/E36</f>
        <v>3593.7413793103447</v>
      </c>
      <c r="H36" s="70">
        <f>SUM(H5:H35)</f>
        <v>71310</v>
      </c>
      <c r="I36" s="75">
        <f>H36/E36</f>
        <v>614.74137931034488</v>
      </c>
      <c r="J36" s="76">
        <f>SUM(J5:J35)</f>
        <v>488184</v>
      </c>
      <c r="K36" s="77">
        <f>J36/E36</f>
        <v>4208.4827586206893</v>
      </c>
      <c r="L36" s="78">
        <f>SUM(L5:L35)</f>
        <v>0</v>
      </c>
      <c r="M36" s="72">
        <f>SUM(M5:M35)</f>
        <v>584</v>
      </c>
      <c r="N36" s="73">
        <f>SUM(N5:N35)</f>
        <v>5214140</v>
      </c>
      <c r="O36" s="74">
        <f>N36/M36</f>
        <v>8928.32191780822</v>
      </c>
      <c r="P36" s="79">
        <f>SUM(P5:P35)</f>
        <v>816720</v>
      </c>
      <c r="Q36" s="75">
        <f>P36/M36</f>
        <v>1398.4931506849316</v>
      </c>
      <c r="R36" s="80">
        <f>SUM(R5:R35)</f>
        <v>6030860</v>
      </c>
      <c r="S36" s="81">
        <f>R36/M36</f>
        <v>10326.815068493152</v>
      </c>
      <c r="T36" s="72">
        <f t="shared" ref="T36:AA36" si="28">SUM(T5:T35)</f>
        <v>700</v>
      </c>
      <c r="U36" s="79">
        <f t="shared" si="28"/>
        <v>5631014</v>
      </c>
      <c r="V36" s="79">
        <f t="shared" si="28"/>
        <v>888030</v>
      </c>
      <c r="W36" s="76">
        <f t="shared" si="28"/>
        <v>6519044</v>
      </c>
      <c r="X36" s="70">
        <f t="shared" si="28"/>
        <v>0</v>
      </c>
      <c r="Y36" s="71">
        <f t="shared" si="28"/>
        <v>0</v>
      </c>
      <c r="Z36" s="72">
        <f t="shared" si="28"/>
        <v>1213</v>
      </c>
      <c r="AA36" s="74">
        <f t="shared" si="28"/>
        <v>692900</v>
      </c>
      <c r="AB36" s="74"/>
      <c r="AC36" s="70">
        <f>SUM(AC5:AC35)</f>
        <v>373470</v>
      </c>
      <c r="AD36" s="75"/>
      <c r="AE36" s="80">
        <f>SUM(AE5:AE35)</f>
        <v>1066370</v>
      </c>
      <c r="AF36" s="82">
        <f>AE36/Z36</f>
        <v>879.11788953009068</v>
      </c>
      <c r="AG36" s="72">
        <f t="shared" ref="AG36:AS36" si="29">SUM(AG5:AG35)</f>
        <v>700</v>
      </c>
      <c r="AH36" s="79">
        <f t="shared" si="29"/>
        <v>6323914</v>
      </c>
      <c r="AI36" s="79">
        <f t="shared" si="29"/>
        <v>1261500</v>
      </c>
      <c r="AJ36" s="80">
        <f t="shared" si="29"/>
        <v>7585414</v>
      </c>
      <c r="AK36" s="70">
        <f t="shared" si="29"/>
        <v>484080</v>
      </c>
      <c r="AL36" s="83">
        <f t="shared" si="29"/>
        <v>700</v>
      </c>
      <c r="AM36" s="83">
        <f t="shared" si="29"/>
        <v>5631014</v>
      </c>
      <c r="AN36" s="83">
        <f t="shared" si="29"/>
        <v>888030</v>
      </c>
      <c r="AO36" s="83">
        <f t="shared" si="29"/>
        <v>349800</v>
      </c>
      <c r="AP36" s="83">
        <f t="shared" si="29"/>
        <v>127680</v>
      </c>
      <c r="AQ36" s="83">
        <f t="shared" si="29"/>
        <v>6600</v>
      </c>
      <c r="AR36" s="83">
        <f t="shared" si="29"/>
        <v>49100</v>
      </c>
      <c r="AS36" s="83">
        <f t="shared" si="29"/>
        <v>7003124</v>
      </c>
      <c r="AT36" s="68"/>
      <c r="AU36" s="84">
        <f>SUM(AU5:AU35)</f>
        <v>7052224</v>
      </c>
      <c r="AV36" s="68"/>
    </row>
    <row r="37" spans="1:48" ht="15.75" customHeight="1">
      <c r="A37" s="68"/>
      <c r="B37" s="68"/>
      <c r="C37" s="68"/>
      <c r="D37" s="68"/>
      <c r="E37" s="85" t="s">
        <v>36</v>
      </c>
      <c r="F37" s="86">
        <f>F36/1.1</f>
        <v>378976.36363636359</v>
      </c>
      <c r="G37" s="87">
        <f>F37/E36</f>
        <v>3267.0376175548586</v>
      </c>
      <c r="H37" s="45">
        <f>H36/1.1</f>
        <v>64827.272727272721</v>
      </c>
      <c r="I37" s="87">
        <f>H37/E36</f>
        <v>558.85579937304067</v>
      </c>
      <c r="J37" s="83">
        <f>J36/1.1</f>
        <v>443803.63636363635</v>
      </c>
      <c r="K37" s="88">
        <f>G37+I37</f>
        <v>3825.8934169278991</v>
      </c>
      <c r="L37" s="89"/>
      <c r="M37" s="85" t="s">
        <v>36</v>
      </c>
      <c r="N37" s="86">
        <f>N36/1.1</f>
        <v>4740127.2727272725</v>
      </c>
      <c r="O37" s="87">
        <f>N37/M36</f>
        <v>8116.6562889165625</v>
      </c>
      <c r="P37" s="45">
        <f>P36/1.1</f>
        <v>742472.72727272718</v>
      </c>
      <c r="Q37" s="87">
        <f>P37/M36</f>
        <v>1271.357409713574</v>
      </c>
      <c r="R37" s="87">
        <f>R36/1.1</f>
        <v>5482600</v>
      </c>
      <c r="S37" s="90">
        <f>R37/M36</f>
        <v>9388.0136986301368</v>
      </c>
      <c r="T37" s="85" t="s">
        <v>36</v>
      </c>
      <c r="U37" s="86">
        <f>U36/1.1</f>
        <v>5119103.6363636358</v>
      </c>
      <c r="V37" s="86">
        <f>V36/1.1</f>
        <v>807299.99999999988</v>
      </c>
      <c r="W37" s="83">
        <f>W36/1.1</f>
        <v>5926403.6363636358</v>
      </c>
      <c r="X37" s="91"/>
      <c r="Y37" s="89"/>
      <c r="Z37" s="85" t="s">
        <v>36</v>
      </c>
      <c r="AA37" s="86">
        <f>AA36/1.1</f>
        <v>629909.09090909082</v>
      </c>
      <c r="AB37" s="45">
        <f>AA37/Z36</f>
        <v>519.2985085812785</v>
      </c>
      <c r="AC37" s="45">
        <f>AC36/1.1</f>
        <v>339518.18181818177</v>
      </c>
      <c r="AD37" s="45">
        <f>AC37/Z36</f>
        <v>279.89957280971294</v>
      </c>
      <c r="AE37" s="87">
        <f>AE36/1.1</f>
        <v>969427.27272727271</v>
      </c>
      <c r="AF37" s="92" t="e">
        <f>AE37/Y36</f>
        <v>#DIV/0!</v>
      </c>
      <c r="AG37" s="85" t="s">
        <v>36</v>
      </c>
      <c r="AH37" s="86">
        <f>AH36/1.1</f>
        <v>5749012.7272727266</v>
      </c>
      <c r="AI37" s="86">
        <f>AI36/1.1</f>
        <v>1146818.1818181816</v>
      </c>
      <c r="AJ37" s="87">
        <f>AJ36/1.1</f>
        <v>6895830.9090909082</v>
      </c>
      <c r="AK37" s="93">
        <f>AK36/1.1</f>
        <v>440072.72727272724</v>
      </c>
      <c r="AL37" s="68"/>
      <c r="AM37" s="68"/>
      <c r="AN37" s="68"/>
      <c r="AO37" s="68"/>
      <c r="AP37" s="94"/>
      <c r="AQ37" s="68"/>
      <c r="AR37" s="68"/>
      <c r="AS37" s="94"/>
      <c r="AT37" s="68"/>
      <c r="AU37" s="94"/>
      <c r="AV37" s="68"/>
    </row>
    <row r="38" spans="1:48" ht="15.75" customHeight="1">
      <c r="A38" s="26"/>
      <c r="B38" s="26"/>
      <c r="C38" s="26"/>
      <c r="D38" s="26"/>
      <c r="E38" s="95" t="s">
        <v>37</v>
      </c>
      <c r="F38" s="96">
        <f>E36/G38</f>
        <v>5.5238095238095237</v>
      </c>
      <c r="G38" s="97">
        <v>21</v>
      </c>
      <c r="H38" s="96"/>
      <c r="I38" s="96"/>
      <c r="J38" s="99" t="s">
        <v>39</v>
      </c>
      <c r="K38" s="100">
        <f>J37/G38</f>
        <v>21133.506493506495</v>
      </c>
      <c r="L38" s="26"/>
      <c r="M38" s="95" t="s">
        <v>37</v>
      </c>
      <c r="N38" s="96">
        <f>M36/O38</f>
        <v>25.391304347826086</v>
      </c>
      <c r="O38" s="97">
        <v>23</v>
      </c>
      <c r="P38" s="96"/>
      <c r="Q38" s="96"/>
      <c r="R38" s="99" t="s">
        <v>39</v>
      </c>
      <c r="S38" s="101">
        <f>R37/O38</f>
        <v>238373.91304347827</v>
      </c>
      <c r="T38" s="26"/>
      <c r="U38" s="26"/>
      <c r="V38" s="26"/>
      <c r="W38" s="47"/>
      <c r="X38" s="47"/>
      <c r="Y38" s="26"/>
      <c r="Z38" s="26"/>
      <c r="AA38" s="102">
        <v>25</v>
      </c>
      <c r="AB38" s="96"/>
      <c r="AC38" s="96"/>
      <c r="AD38" s="96"/>
      <c r="AE38" s="96"/>
      <c r="AF38" s="100">
        <f>AE37/AA38</f>
        <v>38777.090909090912</v>
      </c>
      <c r="AG38" s="26"/>
      <c r="AH38" s="26"/>
      <c r="AI38" s="26"/>
      <c r="AJ38" s="47"/>
      <c r="AK38" s="47" t="e">
        <f>AJ37/AL37</f>
        <v>#DIV/0!</v>
      </c>
      <c r="AL38" s="103">
        <f>AG36+T36</f>
        <v>1400</v>
      </c>
      <c r="AM38" s="26"/>
      <c r="AN38" s="26"/>
      <c r="AO38" s="26"/>
      <c r="AP38" s="47"/>
      <c r="AQ38" s="26"/>
      <c r="AR38" s="26"/>
      <c r="AS38" s="47"/>
      <c r="AT38" s="26"/>
      <c r="AU38" s="47"/>
      <c r="AV38" s="26"/>
    </row>
    <row r="39" spans="1:48" ht="15.75" customHeight="1">
      <c r="A39" s="26"/>
      <c r="B39" s="26"/>
      <c r="C39" s="26"/>
      <c r="D39" s="104" t="s">
        <v>40</v>
      </c>
      <c r="E39" s="105"/>
      <c r="F39" s="96"/>
      <c r="G39" s="106"/>
      <c r="H39" s="96"/>
      <c r="I39" s="96"/>
      <c r="J39" s="99"/>
      <c r="K39" s="100"/>
      <c r="L39" s="107" t="s">
        <v>41</v>
      </c>
      <c r="M39" s="95"/>
      <c r="N39" s="96"/>
      <c r="O39" s="96"/>
      <c r="P39" s="96"/>
      <c r="Q39" s="96"/>
      <c r="R39" s="99"/>
      <c r="S39" s="100"/>
      <c r="T39" s="26"/>
      <c r="U39" s="26"/>
      <c r="V39" s="26"/>
      <c r="W39" s="47"/>
      <c r="X39" s="47"/>
      <c r="Y39" s="107" t="s">
        <v>42</v>
      </c>
      <c r="Z39" s="26"/>
      <c r="AA39" s="96"/>
      <c r="AB39" s="96"/>
      <c r="AC39" s="96"/>
      <c r="AD39" s="96"/>
      <c r="AE39" s="96"/>
      <c r="AF39" s="100"/>
      <c r="AG39" s="26"/>
      <c r="AH39" s="26"/>
      <c r="AI39" s="26"/>
      <c r="AJ39" s="47">
        <f>AJ36+AK36</f>
        <v>8069494</v>
      </c>
      <c r="AK39" s="108">
        <f>AJ39/G38</f>
        <v>384261.61904761905</v>
      </c>
      <c r="AL39" s="26" t="s">
        <v>43</v>
      </c>
      <c r="AM39" s="26"/>
      <c r="AN39" s="26"/>
      <c r="AO39" s="26"/>
      <c r="AP39" s="47"/>
      <c r="AQ39" s="26"/>
      <c r="AR39" s="26"/>
      <c r="AS39" s="47"/>
      <c r="AT39" s="26"/>
      <c r="AU39" s="47"/>
      <c r="AV39" s="26"/>
    </row>
    <row r="40" spans="1:48" ht="21" customHeight="1">
      <c r="A40" s="26"/>
      <c r="B40" s="26"/>
      <c r="C40" s="107"/>
      <c r="D40" s="154" t="s">
        <v>83</v>
      </c>
      <c r="E40" s="155"/>
      <c r="F40" s="155"/>
      <c r="G40" s="155"/>
      <c r="H40" s="155"/>
      <c r="I40" s="155"/>
      <c r="J40" s="155"/>
      <c r="K40" s="156"/>
      <c r="L40" s="154" t="s">
        <v>84</v>
      </c>
      <c r="M40" s="155"/>
      <c r="N40" s="155"/>
      <c r="O40" s="155"/>
      <c r="P40" s="155"/>
      <c r="Q40" s="155"/>
      <c r="R40" s="155"/>
      <c r="S40" s="156"/>
      <c r="T40" s="26"/>
      <c r="U40" s="26"/>
      <c r="V40" s="26"/>
      <c r="W40" s="47"/>
      <c r="X40" s="26"/>
      <c r="Y40" s="154" t="s">
        <v>44</v>
      </c>
      <c r="Z40" s="155"/>
      <c r="AA40" s="155"/>
      <c r="AB40" s="155"/>
      <c r="AC40" s="155"/>
      <c r="AD40" s="155"/>
      <c r="AE40" s="155"/>
      <c r="AF40" s="156"/>
      <c r="AG40" s="26"/>
      <c r="AH40" s="26"/>
      <c r="AI40" s="26"/>
      <c r="AJ40" s="109">
        <f>AJ37+AK37</f>
        <v>7335903.6363636358</v>
      </c>
      <c r="AK40" s="26"/>
      <c r="AL40" s="26"/>
      <c r="AM40" s="26"/>
      <c r="AN40" s="26"/>
      <c r="AO40" s="26"/>
      <c r="AP40" s="26"/>
      <c r="AQ40" s="26"/>
      <c r="AR40" s="26"/>
      <c r="AS40" s="47"/>
      <c r="AT40" s="26"/>
      <c r="AU40" s="47"/>
      <c r="AV40" s="26"/>
    </row>
    <row r="41" spans="1:48" ht="21" customHeight="1">
      <c r="A41" s="26"/>
      <c r="B41" s="26"/>
      <c r="C41" s="107"/>
      <c r="D41" s="157"/>
      <c r="E41" s="158"/>
      <c r="F41" s="158"/>
      <c r="G41" s="158"/>
      <c r="H41" s="158"/>
      <c r="I41" s="158"/>
      <c r="J41" s="158"/>
      <c r="K41" s="159"/>
      <c r="L41" s="157"/>
      <c r="M41" s="158"/>
      <c r="N41" s="158"/>
      <c r="O41" s="158"/>
      <c r="P41" s="158"/>
      <c r="Q41" s="158"/>
      <c r="R41" s="158"/>
      <c r="S41" s="159"/>
      <c r="T41" s="26"/>
      <c r="U41" s="26"/>
      <c r="V41" s="26"/>
      <c r="W41" s="47"/>
      <c r="X41" s="26"/>
      <c r="Y41" s="157"/>
      <c r="Z41" s="158"/>
      <c r="AA41" s="158"/>
      <c r="AB41" s="158"/>
      <c r="AC41" s="158"/>
      <c r="AD41" s="158"/>
      <c r="AE41" s="158"/>
      <c r="AF41" s="159"/>
      <c r="AG41" s="26"/>
      <c r="AH41" s="26"/>
      <c r="AI41" s="26"/>
      <c r="AJ41" s="47"/>
      <c r="AK41" s="108">
        <f>AJ40/G38</f>
        <v>349328.74458874454</v>
      </c>
      <c r="AL41" s="26" t="s">
        <v>45</v>
      </c>
      <c r="AM41" s="26"/>
      <c r="AN41" s="26"/>
      <c r="AO41" s="26"/>
      <c r="AP41" s="26"/>
      <c r="AQ41" s="26"/>
      <c r="AR41" s="26"/>
      <c r="AS41" s="47"/>
      <c r="AT41" s="26"/>
      <c r="AU41" s="47"/>
      <c r="AV41" s="26"/>
    </row>
    <row r="42" spans="1:48" ht="21" customHeight="1">
      <c r="A42" s="26"/>
      <c r="B42" s="26"/>
      <c r="C42" s="107"/>
      <c r="D42" s="157"/>
      <c r="E42" s="158"/>
      <c r="F42" s="158"/>
      <c r="G42" s="158"/>
      <c r="H42" s="158"/>
      <c r="I42" s="158"/>
      <c r="J42" s="158"/>
      <c r="K42" s="159"/>
      <c r="L42" s="157"/>
      <c r="M42" s="158"/>
      <c r="N42" s="158"/>
      <c r="O42" s="158"/>
      <c r="P42" s="158"/>
      <c r="Q42" s="158"/>
      <c r="R42" s="158"/>
      <c r="S42" s="159"/>
      <c r="T42" s="26"/>
      <c r="U42" s="26"/>
      <c r="V42" s="26"/>
      <c r="W42" s="47"/>
      <c r="X42" s="26"/>
      <c r="Y42" s="157"/>
      <c r="Z42" s="158"/>
      <c r="AA42" s="158"/>
      <c r="AB42" s="158"/>
      <c r="AC42" s="158"/>
      <c r="AD42" s="158"/>
      <c r="AE42" s="158"/>
      <c r="AF42" s="159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47"/>
      <c r="AT42" s="26"/>
      <c r="AU42" s="47"/>
      <c r="AV42" s="26"/>
    </row>
    <row r="43" spans="1:48" ht="21" customHeight="1">
      <c r="A43" s="26"/>
      <c r="B43" s="26"/>
      <c r="C43" s="107"/>
      <c r="D43" s="157"/>
      <c r="E43" s="158"/>
      <c r="F43" s="158"/>
      <c r="G43" s="158"/>
      <c r="H43" s="158"/>
      <c r="I43" s="158"/>
      <c r="J43" s="158"/>
      <c r="K43" s="159"/>
      <c r="L43" s="157"/>
      <c r="M43" s="158"/>
      <c r="N43" s="158"/>
      <c r="O43" s="158"/>
      <c r="P43" s="158"/>
      <c r="Q43" s="158"/>
      <c r="R43" s="158"/>
      <c r="S43" s="159"/>
      <c r="T43" s="26"/>
      <c r="U43" s="26"/>
      <c r="V43" s="26"/>
      <c r="W43" s="26"/>
      <c r="X43" s="26"/>
      <c r="Y43" s="157"/>
      <c r="Z43" s="158"/>
      <c r="AA43" s="158"/>
      <c r="AB43" s="158"/>
      <c r="AC43" s="158"/>
      <c r="AD43" s="158"/>
      <c r="AE43" s="158"/>
      <c r="AF43" s="159"/>
      <c r="AG43" s="26"/>
      <c r="AH43" s="26"/>
      <c r="AI43" s="26"/>
      <c r="AJ43" s="47">
        <f>AJ37+AK37</f>
        <v>7335903.6363636358</v>
      </c>
      <c r="AK43" s="110" t="s">
        <v>46</v>
      </c>
      <c r="AL43" s="26"/>
      <c r="AM43" s="26"/>
      <c r="AN43" s="26"/>
      <c r="AO43" s="26"/>
      <c r="AP43" s="26"/>
      <c r="AQ43" s="26"/>
      <c r="AR43" s="26"/>
      <c r="AS43" s="47"/>
      <c r="AT43" s="26"/>
      <c r="AU43" s="47"/>
      <c r="AV43" s="26"/>
    </row>
    <row r="44" spans="1:48" ht="21" customHeight="1">
      <c r="A44" s="26"/>
      <c r="B44" s="26"/>
      <c r="C44" s="107"/>
      <c r="D44" s="160"/>
      <c r="E44" s="161"/>
      <c r="F44" s="161"/>
      <c r="G44" s="161"/>
      <c r="H44" s="161"/>
      <c r="I44" s="161"/>
      <c r="J44" s="161"/>
      <c r="K44" s="162"/>
      <c r="L44" s="160"/>
      <c r="M44" s="161"/>
      <c r="N44" s="161"/>
      <c r="O44" s="161"/>
      <c r="P44" s="161"/>
      <c r="Q44" s="161"/>
      <c r="R44" s="161"/>
      <c r="S44" s="162"/>
      <c r="T44" s="26"/>
      <c r="U44" s="26"/>
      <c r="V44" s="26"/>
      <c r="W44" s="26"/>
      <c r="X44" s="26"/>
      <c r="Y44" s="160"/>
      <c r="Z44" s="161"/>
      <c r="AA44" s="161"/>
      <c r="AB44" s="161"/>
      <c r="AC44" s="161"/>
      <c r="AD44" s="161"/>
      <c r="AE44" s="161"/>
      <c r="AF44" s="162"/>
      <c r="AG44" s="26"/>
      <c r="AH44" s="111"/>
      <c r="AI44" s="112" t="s">
        <v>47</v>
      </c>
      <c r="AJ44" s="113">
        <f>J45+R45+AE45+AK44</f>
        <v>4256350</v>
      </c>
      <c r="AK44" s="114">
        <v>310000</v>
      </c>
      <c r="AL44" s="111"/>
      <c r="AM44" s="26"/>
      <c r="AN44" s="26"/>
      <c r="AO44" s="26"/>
      <c r="AP44" s="26"/>
      <c r="AQ44" s="26"/>
      <c r="AR44" s="26"/>
      <c r="AS44" s="47"/>
      <c r="AT44" s="26"/>
      <c r="AU44" s="47"/>
      <c r="AV44" s="26"/>
    </row>
    <row r="45" spans="1:48" ht="21" customHeight="1">
      <c r="A45" s="26"/>
      <c r="B45" s="26"/>
      <c r="C45" s="26"/>
      <c r="D45" s="26"/>
      <c r="E45" s="26"/>
      <c r="F45" s="26"/>
      <c r="G45" s="26"/>
      <c r="H45" s="115"/>
      <c r="I45" s="116" t="s">
        <v>48</v>
      </c>
      <c r="J45" s="113">
        <v>708000</v>
      </c>
      <c r="K45" s="117" t="s">
        <v>49</v>
      </c>
      <c r="L45" s="111"/>
      <c r="M45" s="111"/>
      <c r="N45" s="111"/>
      <c r="O45" s="111"/>
      <c r="P45" s="111"/>
      <c r="Q45" s="116" t="s">
        <v>50</v>
      </c>
      <c r="R45" s="113">
        <v>2641950</v>
      </c>
      <c r="S45" s="117" t="s">
        <v>49</v>
      </c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5" t="s">
        <v>51</v>
      </c>
      <c r="AE45" s="113">
        <v>596400</v>
      </c>
      <c r="AF45" s="117" t="s">
        <v>49</v>
      </c>
      <c r="AG45" s="111"/>
      <c r="AH45" s="111"/>
      <c r="AI45" s="112" t="s">
        <v>52</v>
      </c>
      <c r="AJ45" s="113">
        <f>AJ44-AJ37-AK37</f>
        <v>-3079553.6363636353</v>
      </c>
      <c r="AK45" s="113">
        <f>AK44-AK37</f>
        <v>-130072.72727272724</v>
      </c>
      <c r="AL45" s="118">
        <f>AK37/AK44</f>
        <v>1.4195894428152491</v>
      </c>
      <c r="AM45" s="26"/>
      <c r="AN45" s="26"/>
      <c r="AO45" s="26"/>
      <c r="AP45" s="26"/>
      <c r="AQ45" s="47"/>
      <c r="AR45" s="26"/>
      <c r="AS45" s="47"/>
      <c r="AT45" s="26"/>
      <c r="AU45" s="26"/>
      <c r="AV45" s="26"/>
    </row>
    <row r="46" spans="1:48" ht="21" customHeight="1">
      <c r="A46" s="26"/>
      <c r="B46" s="26"/>
      <c r="C46" s="26"/>
      <c r="D46" s="26"/>
      <c r="E46" s="26"/>
      <c r="F46" s="26"/>
      <c r="G46" s="26"/>
      <c r="H46" s="115"/>
      <c r="I46" s="115" t="s">
        <v>52</v>
      </c>
      <c r="J46" s="113">
        <f>J45-J37</f>
        <v>264196.36363636365</v>
      </c>
      <c r="K46" s="119">
        <v>0</v>
      </c>
      <c r="L46" s="111"/>
      <c r="M46" s="111"/>
      <c r="N46" s="111"/>
      <c r="O46" s="111"/>
      <c r="P46" s="111"/>
      <c r="Q46" s="115" t="s">
        <v>52</v>
      </c>
      <c r="R46" s="113">
        <f>R45-R37</f>
        <v>-2840650</v>
      </c>
      <c r="S46" s="111">
        <f>K46</f>
        <v>0</v>
      </c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5" t="s">
        <v>52</v>
      </c>
      <c r="AE46" s="113">
        <f>AE45-AE37</f>
        <v>-373027.27272727271</v>
      </c>
      <c r="AF46" s="111">
        <f>K46</f>
        <v>0</v>
      </c>
      <c r="AG46" s="111"/>
      <c r="AH46" s="120"/>
      <c r="AI46" s="121" t="s">
        <v>53</v>
      </c>
      <c r="AJ46" s="122" t="e">
        <f>AJ45/K46</f>
        <v>#DIV/0!</v>
      </c>
      <c r="AK46" s="123">
        <f>(AJ37+AK37)/AJ44</f>
        <v>1.7235198318661848</v>
      </c>
      <c r="AL46" s="120"/>
      <c r="AM46" s="124"/>
      <c r="AN46" s="26"/>
      <c r="AO46" s="26"/>
      <c r="AP46" s="26"/>
      <c r="AQ46" s="47"/>
      <c r="AR46" s="26"/>
      <c r="AS46" s="47"/>
      <c r="AT46" s="26"/>
      <c r="AU46" s="26"/>
      <c r="AV46" s="26"/>
    </row>
    <row r="47" spans="1:48" ht="25.5" customHeight="1">
      <c r="A47" s="124"/>
      <c r="B47" s="124"/>
      <c r="C47" s="124"/>
      <c r="D47" s="124"/>
      <c r="E47" s="124"/>
      <c r="F47" s="124"/>
      <c r="G47" s="124"/>
      <c r="H47" s="125"/>
      <c r="I47" s="121" t="s">
        <v>53</v>
      </c>
      <c r="J47" s="126" t="e">
        <f>J46/K46</f>
        <v>#DIV/0!</v>
      </c>
      <c r="K47" s="127">
        <f>J37/J45</f>
        <v>0.62684129429892144</v>
      </c>
      <c r="L47" s="120"/>
      <c r="M47" s="120"/>
      <c r="N47" s="120"/>
      <c r="O47" s="120"/>
      <c r="P47" s="120"/>
      <c r="Q47" s="121" t="s">
        <v>53</v>
      </c>
      <c r="R47" s="122" t="e">
        <f>R46/S46</f>
        <v>#DIV/0!</v>
      </c>
      <c r="S47" s="127">
        <f>R37/R45</f>
        <v>2.0752095989704573</v>
      </c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1" t="s">
        <v>53</v>
      </c>
      <c r="AE47" s="126" t="e">
        <f>AE46/AF46</f>
        <v>#DIV/0!</v>
      </c>
      <c r="AF47" s="127">
        <f>AE37/AE45</f>
        <v>1.6254649106761783</v>
      </c>
      <c r="AG47" s="120"/>
      <c r="AH47" s="26"/>
      <c r="AI47" s="26"/>
      <c r="AJ47" s="47"/>
      <c r="AK47" s="26"/>
      <c r="AL47" s="26"/>
      <c r="AM47" s="26"/>
      <c r="AN47" s="124"/>
      <c r="AO47" s="124"/>
      <c r="AP47" s="124"/>
      <c r="AQ47" s="128"/>
      <c r="AR47" s="124"/>
      <c r="AS47" s="128"/>
      <c r="AT47" s="124"/>
      <c r="AU47" s="124"/>
      <c r="AV47" s="124"/>
    </row>
    <row r="48" spans="1: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129"/>
      <c r="AI48" s="129"/>
      <c r="AJ48" s="129"/>
      <c r="AK48" s="129"/>
      <c r="AL48" s="129"/>
      <c r="AM48" s="129"/>
      <c r="AN48" s="26"/>
      <c r="AO48" s="26"/>
      <c r="AP48" s="26"/>
      <c r="AQ48" s="47"/>
      <c r="AR48" s="26"/>
      <c r="AS48" s="47"/>
      <c r="AT48" s="26"/>
      <c r="AU48" s="26"/>
      <c r="AV48" s="26"/>
    </row>
    <row r="49" spans="1:48" ht="36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30"/>
      <c r="M49" s="26"/>
      <c r="N49" s="26"/>
      <c r="O49" s="26"/>
      <c r="P49" s="26"/>
      <c r="Q49" s="26"/>
      <c r="R49" s="130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"/>
      <c r="AI49" s="1"/>
      <c r="AJ49" s="1"/>
      <c r="AK49" s="1"/>
      <c r="AL49" s="1"/>
      <c r="AM49" s="1"/>
      <c r="AN49" s="129"/>
      <c r="AO49" s="129"/>
      <c r="AP49" s="129"/>
      <c r="AQ49" s="131"/>
      <c r="AR49" s="129"/>
      <c r="AS49" s="131"/>
      <c r="AT49" s="129"/>
      <c r="AU49" s="129"/>
      <c r="AV49" s="129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32"/>
      <c r="M50" s="26"/>
      <c r="N50" s="26"/>
      <c r="O50" s="26"/>
      <c r="P50" s="26"/>
      <c r="Q50" s="26"/>
      <c r="R50" s="132"/>
      <c r="S50" s="132"/>
      <c r="T50" s="1"/>
      <c r="U50" s="1"/>
      <c r="V50" s="1"/>
      <c r="W50" s="1"/>
      <c r="X50" s="1"/>
      <c r="Y50" s="1"/>
      <c r="Z50" s="133"/>
      <c r="AA50" s="1"/>
      <c r="AB50" s="1"/>
      <c r="AC50" s="1"/>
      <c r="AD50" s="1"/>
      <c r="AE50" s="1"/>
      <c r="AF50" s="1"/>
      <c r="AG50" s="1"/>
      <c r="AH50" s="129"/>
      <c r="AI50" s="129"/>
      <c r="AJ50" s="129"/>
      <c r="AK50" s="129"/>
      <c r="AL50" s="129"/>
      <c r="AM50" s="129"/>
      <c r="AN50" s="1"/>
      <c r="AO50" s="1"/>
      <c r="AP50" s="1"/>
      <c r="AQ50" s="134"/>
      <c r="AR50" s="1"/>
      <c r="AS50" s="134"/>
      <c r="AT50" s="1"/>
      <c r="AU50" s="1"/>
      <c r="AV50" s="1"/>
    </row>
    <row r="51" spans="1:48" ht="36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"/>
      <c r="L51" s="132"/>
      <c r="M51" s="26"/>
      <c r="N51" s="26"/>
      <c r="O51" s="26"/>
      <c r="P51" s="26"/>
      <c r="Q51" s="26"/>
      <c r="R51" s="135"/>
      <c r="S51" s="136"/>
      <c r="T51" s="136"/>
      <c r="U51" s="136"/>
      <c r="V51" s="136"/>
      <c r="W51" s="137"/>
      <c r="X51" s="138"/>
      <c r="Y51" s="139"/>
      <c r="Z51" s="140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31"/>
      <c r="AR51" s="129"/>
      <c r="AS51" s="131"/>
      <c r="AT51" s="129"/>
      <c r="AU51" s="129"/>
      <c r="AV51" s="129"/>
    </row>
    <row r="52" spans="1:48" ht="36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"/>
      <c r="L52" s="132"/>
      <c r="M52" s="26"/>
      <c r="N52" s="26"/>
      <c r="O52" s="26"/>
      <c r="P52" s="26"/>
      <c r="Q52" s="26"/>
      <c r="R52" s="137"/>
      <c r="S52" s="136"/>
      <c r="T52" s="136"/>
      <c r="U52" s="136"/>
      <c r="V52" s="136"/>
      <c r="W52" s="137"/>
      <c r="X52" s="138"/>
      <c r="Y52" s="139"/>
      <c r="Z52" s="140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31"/>
      <c r="AR52" s="129"/>
      <c r="AS52" s="131"/>
      <c r="AT52" s="129"/>
      <c r="AU52" s="129"/>
      <c r="AV52" s="129"/>
    </row>
    <row r="53" spans="1:48" ht="36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"/>
      <c r="L53" s="132"/>
      <c r="M53" s="26"/>
      <c r="N53" s="26"/>
      <c r="O53" s="26"/>
      <c r="P53" s="26"/>
      <c r="Q53" s="26"/>
      <c r="R53" s="137"/>
      <c r="S53" s="136"/>
      <c r="T53" s="136"/>
      <c r="U53" s="136"/>
      <c r="V53" s="136"/>
      <c r="W53" s="137"/>
      <c r="X53" s="138"/>
      <c r="Y53" s="139"/>
      <c r="Z53" s="140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31"/>
      <c r="AR53" s="129"/>
      <c r="AS53" s="131"/>
      <c r="AT53" s="129"/>
      <c r="AU53" s="129"/>
      <c r="AV53" s="129"/>
    </row>
    <row r="54" spans="1:48" ht="36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"/>
      <c r="L54" s="132"/>
      <c r="M54" s="26"/>
      <c r="N54" s="26"/>
      <c r="O54" s="26"/>
      <c r="P54" s="26"/>
      <c r="Q54" s="26"/>
      <c r="R54" s="137"/>
      <c r="S54" s="136"/>
      <c r="T54" s="136"/>
      <c r="U54" s="136"/>
      <c r="V54" s="136"/>
      <c r="W54" s="137"/>
      <c r="X54" s="138"/>
      <c r="Y54" s="139"/>
      <c r="Z54" s="140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31"/>
      <c r="AR54" s="129"/>
      <c r="AS54" s="131"/>
      <c r="AT54" s="129"/>
      <c r="AU54" s="129"/>
      <c r="AV54" s="129"/>
    </row>
    <row r="55" spans="1:48" ht="36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30"/>
      <c r="M55" s="26"/>
      <c r="N55" s="26"/>
      <c r="O55" s="26"/>
      <c r="P55" s="26"/>
      <c r="Q55" s="26"/>
      <c r="R55" s="137"/>
      <c r="S55" s="136"/>
      <c r="T55" s="136"/>
      <c r="U55" s="136"/>
      <c r="V55" s="136"/>
      <c r="W55" s="138"/>
      <c r="X55" s="138"/>
      <c r="Y55" s="139"/>
      <c r="Z55" s="140"/>
      <c r="AA55" s="129"/>
      <c r="AB55" s="129"/>
      <c r="AC55" s="129"/>
      <c r="AD55" s="129"/>
      <c r="AE55" s="129"/>
      <c r="AF55" s="129"/>
      <c r="AG55" s="129"/>
      <c r="AH55" s="26"/>
      <c r="AI55" s="26"/>
      <c r="AJ55" s="26"/>
      <c r="AK55" s="26"/>
      <c r="AL55" s="26"/>
      <c r="AM55" s="26"/>
      <c r="AN55" s="129"/>
      <c r="AO55" s="129"/>
      <c r="AP55" s="129"/>
      <c r="AQ55" s="131"/>
      <c r="AR55" s="129"/>
      <c r="AS55" s="131"/>
      <c r="AT55" s="129"/>
      <c r="AU55" s="129"/>
      <c r="AV55" s="129"/>
    </row>
    <row r="56" spans="1:48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39"/>
      <c r="Z56" s="139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47"/>
      <c r="AT56" s="26"/>
      <c r="AU56" s="47"/>
      <c r="AV56" s="26"/>
    </row>
    <row r="57" spans="1:48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29"/>
      <c r="Z57" s="129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47"/>
      <c r="AT57" s="26"/>
      <c r="AU57" s="47"/>
      <c r="AV57" s="26"/>
    </row>
    <row r="58" spans="1:4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47"/>
      <c r="AT58" s="26"/>
      <c r="AU58" s="47"/>
      <c r="AV58" s="26"/>
    </row>
    <row r="59" spans="1:48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7"/>
      <c r="AT59" s="26"/>
      <c r="AU59" s="47"/>
      <c r="AV59" s="26"/>
    </row>
    <row r="60" spans="1:48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47"/>
      <c r="AT60" s="26"/>
      <c r="AU60" s="47"/>
      <c r="AV60" s="26"/>
    </row>
    <row r="61" spans="1:48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47"/>
      <c r="AT61" s="26"/>
      <c r="AU61" s="47"/>
      <c r="AV61" s="26"/>
    </row>
    <row r="62" spans="1:48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47"/>
      <c r="AT62" s="26"/>
      <c r="AU62" s="47"/>
      <c r="AV62" s="26"/>
    </row>
    <row r="63" spans="1:48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47"/>
      <c r="AT63" s="26"/>
      <c r="AU63" s="47"/>
      <c r="AV63" s="26"/>
    </row>
    <row r="64" spans="1:48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47"/>
      <c r="AT64" s="26"/>
      <c r="AU64" s="47"/>
      <c r="AV64" s="26"/>
    </row>
    <row r="65" spans="1:48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47"/>
      <c r="AT65" s="26"/>
      <c r="AU65" s="47"/>
      <c r="AV65" s="26"/>
    </row>
    <row r="66" spans="1:48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47"/>
      <c r="AT66" s="26"/>
      <c r="AU66" s="47"/>
      <c r="AV66" s="26"/>
    </row>
    <row r="67" spans="1:48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47"/>
      <c r="AT67" s="26"/>
      <c r="AU67" s="47"/>
      <c r="AV67" s="26"/>
    </row>
    <row r="68" spans="1:4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47"/>
      <c r="AT68" s="26"/>
      <c r="AU68" s="47"/>
      <c r="AV68" s="26"/>
    </row>
    <row r="69" spans="1:48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47"/>
      <c r="AT69" s="26"/>
      <c r="AU69" s="47"/>
      <c r="AV69" s="26"/>
    </row>
    <row r="70" spans="1:48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47"/>
      <c r="AT70" s="26"/>
      <c r="AU70" s="47"/>
      <c r="AV70" s="26"/>
    </row>
    <row r="71" spans="1:48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47"/>
      <c r="AT71" s="26"/>
      <c r="AU71" s="47"/>
      <c r="AV71" s="26"/>
    </row>
    <row r="72" spans="1:48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47"/>
      <c r="AT72" s="26"/>
      <c r="AU72" s="47"/>
      <c r="AV72" s="26"/>
    </row>
    <row r="73" spans="1:48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47"/>
      <c r="AT73" s="26"/>
      <c r="AU73" s="47"/>
      <c r="AV73" s="26"/>
    </row>
    <row r="74" spans="1:48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47"/>
      <c r="AT74" s="26"/>
      <c r="AU74" s="47"/>
      <c r="AV74" s="26"/>
    </row>
    <row r="75" spans="1:48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47"/>
      <c r="AT75" s="26"/>
      <c r="AU75" s="47"/>
      <c r="AV75" s="26"/>
    </row>
    <row r="76" spans="1:48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47"/>
      <c r="AT76" s="26"/>
      <c r="AU76" s="47"/>
      <c r="AV76" s="26"/>
    </row>
    <row r="77" spans="1:48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47"/>
      <c r="AT77" s="26"/>
      <c r="AU77" s="47"/>
      <c r="AV77" s="26"/>
    </row>
    <row r="78" spans="1:4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47"/>
      <c r="AT78" s="26"/>
      <c r="AU78" s="47"/>
      <c r="AV78" s="26"/>
    </row>
    <row r="79" spans="1:48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47"/>
      <c r="AT79" s="26"/>
      <c r="AU79" s="47"/>
      <c r="AV79" s="26"/>
    </row>
    <row r="80" spans="1:48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47"/>
      <c r="AT80" s="26"/>
      <c r="AU80" s="47"/>
      <c r="AV80" s="26"/>
    </row>
    <row r="81" spans="1:48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47"/>
      <c r="AT81" s="26"/>
      <c r="AU81" s="47"/>
      <c r="AV81" s="26"/>
    </row>
    <row r="82" spans="1:48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47"/>
      <c r="AT82" s="26"/>
      <c r="AU82" s="47"/>
      <c r="AV82" s="26"/>
    </row>
    <row r="83" spans="1:48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47"/>
      <c r="AT83" s="26"/>
      <c r="AU83" s="47"/>
      <c r="AV83" s="26"/>
    </row>
    <row r="84" spans="1:48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47"/>
      <c r="AT84" s="26"/>
      <c r="AU84" s="47"/>
      <c r="AV84" s="26"/>
    </row>
    <row r="85" spans="1:48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47"/>
      <c r="AT85" s="26"/>
      <c r="AU85" s="47"/>
      <c r="AV85" s="26"/>
    </row>
    <row r="86" spans="1:48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47"/>
      <c r="AT86" s="26"/>
      <c r="AU86" s="47"/>
      <c r="AV86" s="26"/>
    </row>
    <row r="87" spans="1:48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47"/>
      <c r="AT87" s="26"/>
      <c r="AU87" s="47"/>
      <c r="AV87" s="26"/>
    </row>
    <row r="88" spans="1:4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47"/>
      <c r="AT88" s="26"/>
      <c r="AU88" s="47"/>
      <c r="AV88" s="26"/>
    </row>
    <row r="89" spans="1:48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47"/>
      <c r="AT89" s="26"/>
      <c r="AU89" s="47"/>
      <c r="AV89" s="26"/>
    </row>
    <row r="90" spans="1:48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47"/>
      <c r="AT90" s="26"/>
      <c r="AU90" s="47"/>
      <c r="AV90" s="26"/>
    </row>
    <row r="91" spans="1:48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47"/>
      <c r="AT91" s="26"/>
      <c r="AU91" s="47"/>
      <c r="AV91" s="26"/>
    </row>
    <row r="92" spans="1:48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47"/>
      <c r="AT92" s="26"/>
      <c r="AU92" s="47"/>
      <c r="AV92" s="26"/>
    </row>
    <row r="93" spans="1:48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47"/>
      <c r="AT93" s="26"/>
      <c r="AU93" s="47"/>
      <c r="AV93" s="26"/>
    </row>
    <row r="94" spans="1:48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47"/>
      <c r="AT94" s="26"/>
      <c r="AU94" s="47"/>
      <c r="AV94" s="26"/>
    </row>
    <row r="95" spans="1:48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47"/>
      <c r="AT95" s="26"/>
      <c r="AU95" s="47"/>
      <c r="AV95" s="26"/>
    </row>
    <row r="96" spans="1:48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47"/>
      <c r="AT96" s="26"/>
      <c r="AU96" s="47"/>
      <c r="AV96" s="26"/>
    </row>
    <row r="97" spans="1:48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47"/>
      <c r="AT97" s="26"/>
      <c r="AU97" s="47"/>
      <c r="AV97" s="26"/>
    </row>
    <row r="98" spans="1:4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47"/>
      <c r="AT98" s="26"/>
      <c r="AU98" s="47"/>
      <c r="AV98" s="26"/>
    </row>
    <row r="99" spans="1:48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47"/>
      <c r="AT99" s="26"/>
      <c r="AU99" s="47"/>
      <c r="AV99" s="26"/>
    </row>
    <row r="100" spans="1:48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47"/>
      <c r="AT100" s="26"/>
      <c r="AU100" s="47"/>
      <c r="AV100" s="26"/>
    </row>
    <row r="101" spans="1:48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47"/>
      <c r="AT101" s="26"/>
      <c r="AU101" s="47"/>
      <c r="AV101" s="26"/>
    </row>
    <row r="102" spans="1:48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47"/>
      <c r="AT102" s="26"/>
      <c r="AU102" s="47"/>
      <c r="AV102" s="26"/>
    </row>
    <row r="103" spans="1:48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47"/>
      <c r="AT103" s="26"/>
      <c r="AU103" s="47"/>
      <c r="AV103" s="26"/>
    </row>
    <row r="104" spans="1:48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47"/>
      <c r="AT104" s="26"/>
      <c r="AU104" s="47"/>
      <c r="AV104" s="26"/>
    </row>
    <row r="105" spans="1:48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47"/>
      <c r="AT105" s="26"/>
      <c r="AU105" s="47"/>
      <c r="AV105" s="26"/>
    </row>
    <row r="106" spans="1:48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47"/>
      <c r="AT106" s="26"/>
      <c r="AU106" s="47"/>
      <c r="AV106" s="26"/>
    </row>
    <row r="107" spans="1:48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47"/>
      <c r="AT107" s="26"/>
      <c r="AU107" s="47"/>
      <c r="AV107" s="26"/>
    </row>
    <row r="108" spans="1:4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47"/>
      <c r="AT108" s="26"/>
      <c r="AU108" s="47"/>
      <c r="AV108" s="26"/>
    </row>
    <row r="109" spans="1:48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47"/>
      <c r="AT109" s="26"/>
      <c r="AU109" s="47"/>
      <c r="AV109" s="26"/>
    </row>
    <row r="110" spans="1:48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47"/>
      <c r="AT110" s="26"/>
      <c r="AU110" s="47"/>
      <c r="AV110" s="26"/>
    </row>
    <row r="111" spans="1:48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47"/>
      <c r="AT111" s="26"/>
      <c r="AU111" s="47"/>
      <c r="AV111" s="26"/>
    </row>
    <row r="112" spans="1:48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47"/>
      <c r="AT112" s="26"/>
      <c r="AU112" s="47"/>
      <c r="AV112" s="26"/>
    </row>
    <row r="113" spans="1:48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47"/>
      <c r="AT113" s="26"/>
      <c r="AU113" s="47"/>
      <c r="AV113" s="26"/>
    </row>
    <row r="114" spans="1:48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47"/>
      <c r="AT114" s="26"/>
      <c r="AU114" s="47"/>
      <c r="AV114" s="26"/>
    </row>
    <row r="115" spans="1:48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47"/>
      <c r="AT115" s="26"/>
      <c r="AU115" s="47"/>
      <c r="AV115" s="26"/>
    </row>
    <row r="116" spans="1:48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47"/>
      <c r="AT116" s="26"/>
      <c r="AU116" s="47"/>
      <c r="AV116" s="26"/>
    </row>
    <row r="117" spans="1:48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47"/>
      <c r="AT117" s="26"/>
      <c r="AU117" s="47"/>
      <c r="AV117" s="26"/>
    </row>
    <row r="118" spans="1:4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47"/>
      <c r="AT118" s="26"/>
      <c r="AU118" s="47"/>
      <c r="AV118" s="26"/>
    </row>
    <row r="119" spans="1:48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47"/>
      <c r="AT119" s="26"/>
      <c r="AU119" s="47"/>
      <c r="AV119" s="26"/>
    </row>
    <row r="120" spans="1:48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47"/>
      <c r="AT120" s="26"/>
      <c r="AU120" s="47"/>
      <c r="AV120" s="26"/>
    </row>
    <row r="121" spans="1:48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47"/>
      <c r="AT121" s="26"/>
      <c r="AU121" s="47"/>
      <c r="AV121" s="26"/>
    </row>
    <row r="122" spans="1:48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47"/>
      <c r="AT122" s="26"/>
      <c r="AU122" s="47"/>
      <c r="AV122" s="26"/>
    </row>
    <row r="123" spans="1:48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47"/>
      <c r="AT123" s="26"/>
      <c r="AU123" s="47"/>
      <c r="AV123" s="26"/>
    </row>
    <row r="124" spans="1:48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47"/>
      <c r="AT124" s="26"/>
      <c r="AU124" s="47"/>
      <c r="AV124" s="26"/>
    </row>
    <row r="125" spans="1:48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47"/>
      <c r="AT125" s="26"/>
      <c r="AU125" s="47"/>
      <c r="AV125" s="26"/>
    </row>
    <row r="126" spans="1:48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47"/>
      <c r="AT126" s="26"/>
      <c r="AU126" s="47"/>
      <c r="AV126" s="26"/>
    </row>
    <row r="127" spans="1:48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47"/>
      <c r="AT127" s="26"/>
      <c r="AU127" s="47"/>
      <c r="AV127" s="26"/>
    </row>
    <row r="128" spans="1:4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47"/>
      <c r="AT128" s="26"/>
      <c r="AU128" s="47"/>
      <c r="AV128" s="26"/>
    </row>
    <row r="129" spans="1:48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47"/>
      <c r="AT129" s="26"/>
      <c r="AU129" s="47"/>
      <c r="AV129" s="26"/>
    </row>
    <row r="130" spans="1:48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47"/>
      <c r="AT130" s="26"/>
      <c r="AU130" s="47"/>
      <c r="AV130" s="26"/>
    </row>
    <row r="131" spans="1:48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47"/>
      <c r="AT131" s="26"/>
      <c r="AU131" s="47"/>
      <c r="AV131" s="26"/>
    </row>
    <row r="132" spans="1:48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47"/>
      <c r="AT132" s="26"/>
      <c r="AU132" s="47"/>
      <c r="AV132" s="26"/>
    </row>
    <row r="133" spans="1:48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47"/>
      <c r="AT133" s="26"/>
      <c r="AU133" s="47"/>
      <c r="AV133" s="26"/>
    </row>
    <row r="134" spans="1:48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47"/>
      <c r="AT134" s="26"/>
      <c r="AU134" s="47"/>
      <c r="AV134" s="26"/>
    </row>
    <row r="135" spans="1:48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47"/>
      <c r="AT135" s="26"/>
      <c r="AU135" s="47"/>
      <c r="AV135" s="26"/>
    </row>
    <row r="136" spans="1:48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47"/>
      <c r="AT136" s="26"/>
      <c r="AU136" s="47"/>
      <c r="AV136" s="26"/>
    </row>
    <row r="137" spans="1:48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47"/>
      <c r="AT137" s="26"/>
      <c r="AU137" s="47"/>
      <c r="AV137" s="26"/>
    </row>
    <row r="138" spans="1:4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47"/>
      <c r="AT138" s="26"/>
      <c r="AU138" s="47"/>
      <c r="AV138" s="26"/>
    </row>
    <row r="139" spans="1:48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47"/>
      <c r="AT139" s="26"/>
      <c r="AU139" s="47"/>
      <c r="AV139" s="26"/>
    </row>
    <row r="140" spans="1:48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47"/>
      <c r="AT140" s="26"/>
      <c r="AU140" s="47"/>
      <c r="AV140" s="26"/>
    </row>
    <row r="141" spans="1:48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47"/>
      <c r="AT141" s="26"/>
      <c r="AU141" s="47"/>
      <c r="AV141" s="26"/>
    </row>
    <row r="142" spans="1:48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47"/>
      <c r="AT142" s="26"/>
      <c r="AU142" s="47"/>
      <c r="AV142" s="26"/>
    </row>
    <row r="143" spans="1:48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47"/>
      <c r="AT143" s="26"/>
      <c r="AU143" s="47"/>
      <c r="AV143" s="26"/>
    </row>
    <row r="144" spans="1:48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47"/>
      <c r="AT144" s="26"/>
      <c r="AU144" s="47"/>
      <c r="AV144" s="26"/>
    </row>
    <row r="145" spans="1:48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47"/>
      <c r="AT145" s="26"/>
      <c r="AU145" s="47"/>
      <c r="AV145" s="26"/>
    </row>
    <row r="146" spans="1:48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47"/>
      <c r="AT146" s="26"/>
      <c r="AU146" s="47"/>
      <c r="AV146" s="26"/>
    </row>
    <row r="147" spans="1:48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47"/>
      <c r="AT147" s="26"/>
      <c r="AU147" s="47"/>
      <c r="AV147" s="26"/>
    </row>
    <row r="148" spans="1: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47"/>
      <c r="AT148" s="26"/>
      <c r="AU148" s="47"/>
      <c r="AV148" s="26"/>
    </row>
    <row r="149" spans="1:48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47"/>
      <c r="AT149" s="26"/>
      <c r="AU149" s="47"/>
      <c r="AV149" s="26"/>
    </row>
    <row r="150" spans="1:48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47"/>
      <c r="AT150" s="26"/>
      <c r="AU150" s="47"/>
      <c r="AV150" s="26"/>
    </row>
    <row r="151" spans="1:48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47"/>
      <c r="AT151" s="26"/>
      <c r="AU151" s="47"/>
      <c r="AV151" s="26"/>
    </row>
    <row r="152" spans="1:48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47"/>
      <c r="AT152" s="26"/>
      <c r="AU152" s="47"/>
      <c r="AV152" s="26"/>
    </row>
    <row r="153" spans="1:48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47"/>
      <c r="AT153" s="26"/>
      <c r="AU153" s="47"/>
      <c r="AV153" s="26"/>
    </row>
    <row r="154" spans="1:48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47"/>
      <c r="AT154" s="26"/>
      <c r="AU154" s="47"/>
      <c r="AV154" s="26"/>
    </row>
    <row r="155" spans="1:48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47"/>
      <c r="AT155" s="26"/>
      <c r="AU155" s="47"/>
      <c r="AV155" s="26"/>
    </row>
    <row r="156" spans="1:48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47"/>
      <c r="AT156" s="26"/>
      <c r="AU156" s="47"/>
      <c r="AV156" s="26"/>
    </row>
    <row r="157" spans="1:48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47"/>
      <c r="AT157" s="26"/>
      <c r="AU157" s="47"/>
      <c r="AV157" s="26"/>
    </row>
    <row r="158" spans="1:4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47"/>
      <c r="AT158" s="26"/>
      <c r="AU158" s="47"/>
      <c r="AV158" s="26"/>
    </row>
    <row r="159" spans="1:48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47"/>
      <c r="AT159" s="26"/>
      <c r="AU159" s="47"/>
      <c r="AV159" s="26"/>
    </row>
    <row r="160" spans="1:48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47"/>
      <c r="AT160" s="26"/>
      <c r="AU160" s="47"/>
      <c r="AV160" s="26"/>
    </row>
    <row r="161" spans="1:48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47"/>
      <c r="AT161" s="26"/>
      <c r="AU161" s="47"/>
      <c r="AV161" s="26"/>
    </row>
    <row r="162" spans="1:48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47"/>
      <c r="AT162" s="26"/>
      <c r="AU162" s="47"/>
      <c r="AV162" s="26"/>
    </row>
    <row r="163" spans="1:48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47"/>
      <c r="AT163" s="26"/>
      <c r="AU163" s="47"/>
      <c r="AV163" s="26"/>
    </row>
    <row r="164" spans="1:48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47"/>
      <c r="AT164" s="26"/>
      <c r="AU164" s="47"/>
      <c r="AV164" s="26"/>
    </row>
    <row r="165" spans="1:48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47"/>
      <c r="AT165" s="26"/>
      <c r="AU165" s="47"/>
      <c r="AV165" s="26"/>
    </row>
    <row r="166" spans="1:48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47"/>
      <c r="AT166" s="26"/>
      <c r="AU166" s="47"/>
      <c r="AV166" s="26"/>
    </row>
    <row r="167" spans="1:48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47"/>
      <c r="AT167" s="26"/>
      <c r="AU167" s="47"/>
      <c r="AV167" s="26"/>
    </row>
    <row r="168" spans="1:4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47"/>
      <c r="AT168" s="26"/>
      <c r="AU168" s="47"/>
      <c r="AV168" s="26"/>
    </row>
    <row r="169" spans="1:48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47"/>
      <c r="AT169" s="26"/>
      <c r="AU169" s="47"/>
      <c r="AV169" s="26"/>
    </row>
    <row r="170" spans="1:48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47"/>
      <c r="AT170" s="26"/>
      <c r="AU170" s="47"/>
      <c r="AV170" s="26"/>
    </row>
    <row r="171" spans="1:48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47"/>
      <c r="AT171" s="26"/>
      <c r="AU171" s="47"/>
      <c r="AV171" s="26"/>
    </row>
    <row r="172" spans="1:48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47"/>
      <c r="AT172" s="26"/>
      <c r="AU172" s="47"/>
      <c r="AV172" s="26"/>
    </row>
    <row r="173" spans="1:48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47"/>
      <c r="AT173" s="26"/>
      <c r="AU173" s="47"/>
      <c r="AV173" s="26"/>
    </row>
    <row r="174" spans="1:48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47"/>
      <c r="AT174" s="26"/>
      <c r="AU174" s="47"/>
      <c r="AV174" s="26"/>
    </row>
    <row r="175" spans="1:48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47"/>
      <c r="AT175" s="26"/>
      <c r="AU175" s="47"/>
      <c r="AV175" s="26"/>
    </row>
    <row r="176" spans="1:48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47"/>
      <c r="AT176" s="26"/>
      <c r="AU176" s="47"/>
      <c r="AV176" s="26"/>
    </row>
    <row r="177" spans="1:48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47"/>
      <c r="AT177" s="26"/>
      <c r="AU177" s="47"/>
      <c r="AV177" s="26"/>
    </row>
    <row r="178" spans="1:4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47"/>
      <c r="AT178" s="26"/>
      <c r="AU178" s="47"/>
      <c r="AV178" s="26"/>
    </row>
    <row r="179" spans="1:48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47"/>
      <c r="AT179" s="26"/>
      <c r="AU179" s="47"/>
      <c r="AV179" s="26"/>
    </row>
    <row r="180" spans="1:48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47"/>
      <c r="AT180" s="26"/>
      <c r="AU180" s="47"/>
      <c r="AV180" s="26"/>
    </row>
    <row r="181" spans="1:48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47"/>
      <c r="AT181" s="26"/>
      <c r="AU181" s="47"/>
      <c r="AV181" s="26"/>
    </row>
    <row r="182" spans="1:48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47"/>
      <c r="AT182" s="26"/>
      <c r="AU182" s="47"/>
      <c r="AV182" s="26"/>
    </row>
    <row r="183" spans="1:48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47"/>
      <c r="AT183" s="26"/>
      <c r="AU183" s="47"/>
      <c r="AV183" s="26"/>
    </row>
    <row r="184" spans="1:48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47"/>
      <c r="AT184" s="26"/>
      <c r="AU184" s="47"/>
      <c r="AV184" s="26"/>
    </row>
    <row r="185" spans="1:48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47"/>
      <c r="AT185" s="26"/>
      <c r="AU185" s="47"/>
      <c r="AV185" s="26"/>
    </row>
    <row r="186" spans="1:48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47"/>
      <c r="AT186" s="26"/>
      <c r="AU186" s="47"/>
      <c r="AV186" s="26"/>
    </row>
    <row r="187" spans="1:48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47"/>
      <c r="AT187" s="26"/>
      <c r="AU187" s="47"/>
      <c r="AV187" s="26"/>
    </row>
    <row r="188" spans="1:4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47"/>
      <c r="AT188" s="26"/>
      <c r="AU188" s="47"/>
      <c r="AV188" s="26"/>
    </row>
    <row r="189" spans="1:48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47"/>
      <c r="AT189" s="26"/>
      <c r="AU189" s="47"/>
      <c r="AV189" s="26"/>
    </row>
    <row r="190" spans="1:48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47"/>
      <c r="AT190" s="26"/>
      <c r="AU190" s="47"/>
      <c r="AV190" s="26"/>
    </row>
    <row r="191" spans="1:48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47"/>
      <c r="AT191" s="26"/>
      <c r="AU191" s="47"/>
      <c r="AV191" s="26"/>
    </row>
    <row r="192" spans="1:48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47"/>
      <c r="AT192" s="26"/>
      <c r="AU192" s="47"/>
      <c r="AV192" s="26"/>
    </row>
    <row r="193" spans="1:48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47"/>
      <c r="AT193" s="26"/>
      <c r="AU193" s="47"/>
      <c r="AV193" s="26"/>
    </row>
    <row r="194" spans="1:48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47"/>
      <c r="AT194" s="26"/>
      <c r="AU194" s="47"/>
      <c r="AV194" s="26"/>
    </row>
    <row r="195" spans="1:48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47"/>
      <c r="AT195" s="26"/>
      <c r="AU195" s="47"/>
      <c r="AV195" s="26"/>
    </row>
    <row r="196" spans="1:48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47"/>
      <c r="AT196" s="26"/>
      <c r="AU196" s="47"/>
      <c r="AV196" s="26"/>
    </row>
    <row r="197" spans="1:48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47"/>
      <c r="AT197" s="26"/>
      <c r="AU197" s="47"/>
      <c r="AV197" s="26"/>
    </row>
    <row r="198" spans="1:4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47"/>
      <c r="AT198" s="26"/>
      <c r="AU198" s="47"/>
      <c r="AV198" s="26"/>
    </row>
    <row r="199" spans="1:48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47"/>
      <c r="AT199" s="26"/>
      <c r="AU199" s="47"/>
      <c r="AV199" s="26"/>
    </row>
    <row r="200" spans="1:48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47"/>
      <c r="AT200" s="26"/>
      <c r="AU200" s="47"/>
      <c r="AV200" s="26"/>
    </row>
    <row r="201" spans="1:48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47"/>
      <c r="AT201" s="26"/>
      <c r="AU201" s="47"/>
      <c r="AV201" s="26"/>
    </row>
    <row r="202" spans="1:48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47"/>
      <c r="AT202" s="26"/>
      <c r="AU202" s="47"/>
      <c r="AV202" s="26"/>
    </row>
    <row r="203" spans="1:48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47"/>
      <c r="AT203" s="26"/>
      <c r="AU203" s="47"/>
      <c r="AV203" s="26"/>
    </row>
    <row r="204" spans="1:48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47"/>
      <c r="AT204" s="26"/>
      <c r="AU204" s="47"/>
      <c r="AV204" s="26"/>
    </row>
    <row r="205" spans="1:48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47"/>
      <c r="AT205" s="26"/>
      <c r="AU205" s="47"/>
      <c r="AV205" s="26"/>
    </row>
    <row r="206" spans="1:48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47"/>
      <c r="AT206" s="26"/>
      <c r="AU206" s="47"/>
      <c r="AV206" s="26"/>
    </row>
    <row r="207" spans="1:48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47"/>
      <c r="AT207" s="26"/>
      <c r="AU207" s="47"/>
      <c r="AV207" s="26"/>
    </row>
    <row r="208" spans="1:4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47"/>
      <c r="AT208" s="26"/>
      <c r="AU208" s="47"/>
      <c r="AV208" s="26"/>
    </row>
    <row r="209" spans="1:48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47"/>
      <c r="AT209" s="26"/>
      <c r="AU209" s="47"/>
      <c r="AV209" s="26"/>
    </row>
    <row r="210" spans="1:48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47"/>
      <c r="AT210" s="26"/>
      <c r="AU210" s="47"/>
      <c r="AV210" s="26"/>
    </row>
    <row r="211" spans="1:48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47"/>
      <c r="AT211" s="26"/>
      <c r="AU211" s="47"/>
      <c r="AV211" s="26"/>
    </row>
    <row r="212" spans="1:48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47"/>
      <c r="AT212" s="26"/>
      <c r="AU212" s="47"/>
      <c r="AV212" s="26"/>
    </row>
    <row r="213" spans="1:48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47"/>
      <c r="AT213" s="26"/>
      <c r="AU213" s="47"/>
      <c r="AV213" s="26"/>
    </row>
    <row r="214" spans="1:48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47"/>
      <c r="AT214" s="26"/>
      <c r="AU214" s="47"/>
      <c r="AV214" s="26"/>
    </row>
    <row r="215" spans="1:48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47"/>
      <c r="AT215" s="26"/>
      <c r="AU215" s="47"/>
      <c r="AV215" s="26"/>
    </row>
    <row r="216" spans="1:48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47"/>
      <c r="AT216" s="26"/>
      <c r="AU216" s="47"/>
      <c r="AV216" s="26"/>
    </row>
    <row r="217" spans="1:48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47"/>
      <c r="AT217" s="26"/>
      <c r="AU217" s="47"/>
      <c r="AV217" s="26"/>
    </row>
    <row r="218" spans="1:4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47"/>
      <c r="AT218" s="26"/>
      <c r="AU218" s="47"/>
      <c r="AV218" s="26"/>
    </row>
    <row r="219" spans="1:48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47"/>
      <c r="AT219" s="26"/>
      <c r="AU219" s="47"/>
      <c r="AV219" s="26"/>
    </row>
    <row r="220" spans="1:48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47"/>
      <c r="AT220" s="26"/>
      <c r="AU220" s="47"/>
      <c r="AV220" s="26"/>
    </row>
    <row r="221" spans="1:48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47"/>
      <c r="AT221" s="26"/>
      <c r="AU221" s="47"/>
      <c r="AV221" s="26"/>
    </row>
    <row r="222" spans="1:48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47"/>
      <c r="AT222" s="26"/>
      <c r="AU222" s="47"/>
      <c r="AV222" s="26"/>
    </row>
    <row r="223" spans="1:48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47"/>
      <c r="AT223" s="26"/>
      <c r="AU223" s="47"/>
      <c r="AV223" s="26"/>
    </row>
    <row r="224" spans="1:48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47"/>
      <c r="AT224" s="26"/>
      <c r="AU224" s="47"/>
      <c r="AV224" s="26"/>
    </row>
    <row r="225" spans="1:48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47"/>
      <c r="AT225" s="26"/>
      <c r="AU225" s="47"/>
      <c r="AV225" s="26"/>
    </row>
    <row r="226" spans="1:48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47"/>
      <c r="AT226" s="26"/>
      <c r="AU226" s="47"/>
      <c r="AV226" s="26"/>
    </row>
    <row r="227" spans="1:48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47"/>
      <c r="AT227" s="26"/>
      <c r="AU227" s="47"/>
      <c r="AV227" s="26"/>
    </row>
    <row r="228" spans="1:4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47"/>
      <c r="AT228" s="26"/>
      <c r="AU228" s="47"/>
      <c r="AV228" s="26"/>
    </row>
    <row r="229" spans="1:48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47"/>
      <c r="AT229" s="26"/>
      <c r="AU229" s="47"/>
      <c r="AV229" s="26"/>
    </row>
    <row r="230" spans="1:48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47"/>
      <c r="AT230" s="26"/>
      <c r="AU230" s="47"/>
      <c r="AV230" s="26"/>
    </row>
    <row r="231" spans="1:48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47"/>
      <c r="AT231" s="26"/>
      <c r="AU231" s="47"/>
      <c r="AV231" s="26"/>
    </row>
    <row r="232" spans="1:48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47"/>
      <c r="AT232" s="26"/>
      <c r="AU232" s="47"/>
      <c r="AV232" s="26"/>
    </row>
    <row r="233" spans="1:48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47"/>
      <c r="AT233" s="26"/>
      <c r="AU233" s="47"/>
      <c r="AV233" s="26"/>
    </row>
    <row r="234" spans="1:48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47"/>
      <c r="AT234" s="26"/>
      <c r="AU234" s="47"/>
      <c r="AV234" s="26"/>
    </row>
    <row r="235" spans="1:48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47"/>
      <c r="AT235" s="26"/>
      <c r="AU235" s="47"/>
      <c r="AV235" s="26"/>
    </row>
    <row r="236" spans="1:48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47"/>
      <c r="AT236" s="26"/>
      <c r="AU236" s="47"/>
      <c r="AV236" s="26"/>
    </row>
    <row r="237" spans="1:48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47"/>
      <c r="AT237" s="26"/>
      <c r="AU237" s="47"/>
      <c r="AV237" s="26"/>
    </row>
    <row r="238" spans="1:4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47"/>
      <c r="AT238" s="26"/>
      <c r="AU238" s="47"/>
      <c r="AV238" s="26"/>
    </row>
    <row r="239" spans="1:48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47"/>
      <c r="AT239" s="26"/>
      <c r="AU239" s="47"/>
      <c r="AV239" s="26"/>
    </row>
    <row r="240" spans="1:48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47"/>
      <c r="AT240" s="26"/>
      <c r="AU240" s="47"/>
      <c r="AV240" s="26"/>
    </row>
    <row r="241" spans="1:48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47"/>
      <c r="AT241" s="26"/>
      <c r="AU241" s="47"/>
      <c r="AV241" s="26"/>
    </row>
    <row r="242" spans="1:48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47"/>
      <c r="AT242" s="26"/>
      <c r="AU242" s="47"/>
      <c r="AV242" s="26"/>
    </row>
    <row r="243" spans="1:48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47"/>
      <c r="AT243" s="26"/>
      <c r="AU243" s="47"/>
      <c r="AV243" s="26"/>
    </row>
    <row r="244" spans="1:48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47"/>
      <c r="AT244" s="26"/>
      <c r="AU244" s="47"/>
      <c r="AV244" s="26"/>
    </row>
    <row r="245" spans="1:48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47"/>
      <c r="AT245" s="26"/>
      <c r="AU245" s="47"/>
      <c r="AV245" s="26"/>
    </row>
    <row r="246" spans="1:48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47"/>
      <c r="AT246" s="26"/>
      <c r="AU246" s="47"/>
      <c r="AV246" s="26"/>
    </row>
    <row r="247" spans="1:48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47"/>
      <c r="AT247" s="26"/>
      <c r="AU247" s="47"/>
      <c r="AV247" s="2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２０２4.01</vt:lpstr>
      <vt:lpstr>2024.02</vt:lpstr>
      <vt:lpstr>2024.03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2026-02-11T10:36:13Z</dcterms:modified>
</cp:coreProperties>
</file>