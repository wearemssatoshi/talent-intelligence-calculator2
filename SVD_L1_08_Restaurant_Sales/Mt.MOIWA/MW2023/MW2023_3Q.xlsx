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pporoshinkoukousha77/Desktop/"/>
    </mc:Choice>
  </mc:AlternateContent>
  <xr:revisionPtr revIDLastSave="0" documentId="8_{BD073BD7-5730-7146-88C2-DFF937879309}" xr6:coauthVersionLast="47" xr6:coauthVersionMax="47" xr10:uidLastSave="{00000000-0000-0000-0000-000000000000}"/>
  <bookViews>
    <workbookView xWindow="0" yWindow="660" windowWidth="30240" windowHeight="18980" activeTab="2" xr2:uid="{7F9D5D59-A1FC-3B48-93F3-6D616DF54B86}"/>
  </bookViews>
  <sheets>
    <sheet name="２０２３.10" sheetId="1" r:id="rId1"/>
    <sheet name="2023.11" sheetId="2" r:id="rId2"/>
    <sheet name="2023.1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46" i="3" l="1"/>
  <c r="S46" i="3"/>
  <c r="AJ44" i="3"/>
  <c r="F38" i="3"/>
  <c r="AC37" i="3"/>
  <c r="AD37" i="3" s="1"/>
  <c r="AQ36" i="3"/>
  <c r="AP36" i="3"/>
  <c r="AO36" i="3"/>
  <c r="AN36" i="3"/>
  <c r="AM36" i="3"/>
  <c r="AL36" i="3"/>
  <c r="AC36" i="3"/>
  <c r="AD36" i="3" s="1"/>
  <c r="AA36" i="3"/>
  <c r="AA37" i="3" s="1"/>
  <c r="AB37" i="3" s="1"/>
  <c r="Z36" i="3"/>
  <c r="Y36" i="3"/>
  <c r="L36" i="3"/>
  <c r="H36" i="3"/>
  <c r="F36" i="3"/>
  <c r="F37" i="3" s="1"/>
  <c r="G37" i="3" s="1"/>
  <c r="E36" i="3"/>
  <c r="D36" i="3"/>
  <c r="C36" i="3"/>
  <c r="AS35" i="3"/>
  <c r="AU35" i="3" s="1"/>
  <c r="AK35" i="3"/>
  <c r="AI35" i="3"/>
  <c r="AH35" i="3"/>
  <c r="AG35" i="3"/>
  <c r="AF35" i="3"/>
  <c r="AE35" i="3"/>
  <c r="AD35" i="3"/>
  <c r="AB35" i="3"/>
  <c r="U35" i="3"/>
  <c r="T35" i="3"/>
  <c r="R35" i="3"/>
  <c r="S35" i="3" s="1"/>
  <c r="P35" i="3"/>
  <c r="V35" i="3" s="1"/>
  <c r="O35" i="3"/>
  <c r="N35" i="3"/>
  <c r="M35" i="3"/>
  <c r="J35" i="3"/>
  <c r="I35" i="3"/>
  <c r="G35" i="3"/>
  <c r="AU34" i="3"/>
  <c r="AS34" i="3"/>
  <c r="AK34" i="3"/>
  <c r="AF34" i="3"/>
  <c r="AE34" i="3"/>
  <c r="AD34" i="3"/>
  <c r="AB34" i="3"/>
  <c r="R34" i="3"/>
  <c r="W34" i="3" s="1"/>
  <c r="AJ34" i="3" s="1"/>
  <c r="Q34" i="3"/>
  <c r="P34" i="3"/>
  <c r="V34" i="3" s="1"/>
  <c r="AI34" i="3" s="1"/>
  <c r="N34" i="3"/>
  <c r="U34" i="3" s="1"/>
  <c r="AH34" i="3" s="1"/>
  <c r="M34" i="3"/>
  <c r="K34" i="3"/>
  <c r="J34" i="3"/>
  <c r="I34" i="3"/>
  <c r="G34" i="3"/>
  <c r="AU33" i="3"/>
  <c r="AS33" i="3"/>
  <c r="AK33" i="3"/>
  <c r="AE33" i="3"/>
  <c r="AF33" i="3" s="1"/>
  <c r="AD33" i="3"/>
  <c r="AB33" i="3"/>
  <c r="W33" i="3"/>
  <c r="AJ33" i="3" s="1"/>
  <c r="V33" i="3"/>
  <c r="AI33" i="3" s="1"/>
  <c r="P33" i="3"/>
  <c r="N33" i="3"/>
  <c r="R33" i="3" s="1"/>
  <c r="M33" i="3"/>
  <c r="K33" i="3"/>
  <c r="J33" i="3"/>
  <c r="I33" i="3"/>
  <c r="G33" i="3"/>
  <c r="AS32" i="3"/>
  <c r="AU32" i="3" s="1"/>
  <c r="AK32" i="3"/>
  <c r="AI32" i="3"/>
  <c r="AG32" i="3"/>
  <c r="AE32" i="3"/>
  <c r="AF32" i="3" s="1"/>
  <c r="AD32" i="3"/>
  <c r="AB32" i="3"/>
  <c r="V32" i="3"/>
  <c r="T32" i="3"/>
  <c r="P32" i="3"/>
  <c r="Q32" i="3" s="1"/>
  <c r="N32" i="3"/>
  <c r="M32" i="3"/>
  <c r="K32" i="3"/>
  <c r="J32" i="3"/>
  <c r="I32" i="3"/>
  <c r="G32" i="3"/>
  <c r="AS31" i="3"/>
  <c r="AU31" i="3" s="1"/>
  <c r="AK31" i="3"/>
  <c r="AI31" i="3"/>
  <c r="AH31" i="3"/>
  <c r="AG31" i="3"/>
  <c r="AE31" i="3"/>
  <c r="AF31" i="3" s="1"/>
  <c r="AD31" i="3"/>
  <c r="AB31" i="3"/>
  <c r="V31" i="3"/>
  <c r="U31" i="3"/>
  <c r="T31" i="3"/>
  <c r="S31" i="3"/>
  <c r="R31" i="3"/>
  <c r="Q31" i="3"/>
  <c r="P31" i="3"/>
  <c r="N31" i="3"/>
  <c r="O31" i="3" s="1"/>
  <c r="M31" i="3"/>
  <c r="K31" i="3"/>
  <c r="J31" i="3"/>
  <c r="I31" i="3"/>
  <c r="G31" i="3"/>
  <c r="AU30" i="3"/>
  <c r="AS30" i="3"/>
  <c r="AK30" i="3"/>
  <c r="AH30" i="3"/>
  <c r="AG30" i="3"/>
  <c r="AE30" i="3"/>
  <c r="AF30" i="3" s="1"/>
  <c r="AD30" i="3"/>
  <c r="AB30" i="3"/>
  <c r="U30" i="3"/>
  <c r="T30" i="3"/>
  <c r="P30" i="3"/>
  <c r="V30" i="3" s="1"/>
  <c r="AI30" i="3" s="1"/>
  <c r="O30" i="3"/>
  <c r="N30" i="3"/>
  <c r="M30" i="3"/>
  <c r="K30" i="3"/>
  <c r="J30" i="3"/>
  <c r="I30" i="3"/>
  <c r="G30" i="3"/>
  <c r="AS29" i="3"/>
  <c r="AU29" i="3" s="1"/>
  <c r="AK29" i="3"/>
  <c r="AE29" i="3"/>
  <c r="AF29" i="3" s="1"/>
  <c r="AD29" i="3"/>
  <c r="AB29" i="3"/>
  <c r="P29" i="3"/>
  <c r="V29" i="3" s="1"/>
  <c r="AI29" i="3" s="1"/>
  <c r="N29" i="3"/>
  <c r="U29" i="3" s="1"/>
  <c r="AH29" i="3" s="1"/>
  <c r="M29" i="3"/>
  <c r="K29" i="3"/>
  <c r="J29" i="3"/>
  <c r="I29" i="3"/>
  <c r="G29" i="3"/>
  <c r="AS28" i="3"/>
  <c r="AU28" i="3" s="1"/>
  <c r="AK28" i="3"/>
  <c r="AE28" i="3"/>
  <c r="AF28" i="3" s="1"/>
  <c r="AD28" i="3"/>
  <c r="AB28" i="3"/>
  <c r="V28" i="3"/>
  <c r="AI28" i="3" s="1"/>
  <c r="U28" i="3"/>
  <c r="AH28" i="3" s="1"/>
  <c r="P28" i="3"/>
  <c r="N28" i="3"/>
  <c r="R28" i="3" s="1"/>
  <c r="M28" i="3"/>
  <c r="J28" i="3"/>
  <c r="K28" i="3" s="1"/>
  <c r="I28" i="3"/>
  <c r="G28" i="3"/>
  <c r="AS27" i="3"/>
  <c r="AU27" i="3" s="1"/>
  <c r="AK27" i="3"/>
  <c r="AI27" i="3"/>
  <c r="AG27" i="3"/>
  <c r="AF27" i="3"/>
  <c r="AE27" i="3"/>
  <c r="AD27" i="3"/>
  <c r="AB27" i="3"/>
  <c r="V27" i="3"/>
  <c r="T27" i="3"/>
  <c r="P27" i="3"/>
  <c r="Q27" i="3" s="1"/>
  <c r="N27" i="3"/>
  <c r="M27" i="3"/>
  <c r="J27" i="3"/>
  <c r="K27" i="3" s="1"/>
  <c r="I27" i="3"/>
  <c r="G27" i="3"/>
  <c r="AS26" i="3"/>
  <c r="AU26" i="3" s="1"/>
  <c r="AK26" i="3"/>
  <c r="AI26" i="3"/>
  <c r="AH26" i="3"/>
  <c r="AG26" i="3"/>
  <c r="AE26" i="3"/>
  <c r="AF26" i="3" s="1"/>
  <c r="AD26" i="3"/>
  <c r="AB26" i="3"/>
  <c r="V26" i="3"/>
  <c r="U26" i="3"/>
  <c r="T26" i="3"/>
  <c r="R26" i="3"/>
  <c r="S26" i="3" s="1"/>
  <c r="Q26" i="3"/>
  <c r="P26" i="3"/>
  <c r="N26" i="3"/>
  <c r="O26" i="3" s="1"/>
  <c r="M26" i="3"/>
  <c r="K26" i="3"/>
  <c r="J26" i="3"/>
  <c r="I26" i="3"/>
  <c r="G26" i="3"/>
  <c r="AU25" i="3"/>
  <c r="AS25" i="3"/>
  <c r="AK25" i="3"/>
  <c r="AH25" i="3"/>
  <c r="AG25" i="3"/>
  <c r="AE25" i="3"/>
  <c r="AF25" i="3" s="1"/>
  <c r="AD25" i="3"/>
  <c r="AB25" i="3"/>
  <c r="U25" i="3"/>
  <c r="T25" i="3"/>
  <c r="P25" i="3"/>
  <c r="V25" i="3" s="1"/>
  <c r="AI25" i="3" s="1"/>
  <c r="O25" i="3"/>
  <c r="N25" i="3"/>
  <c r="M25" i="3"/>
  <c r="K25" i="3"/>
  <c r="J25" i="3"/>
  <c r="I25" i="3"/>
  <c r="G25" i="3"/>
  <c r="AS24" i="3"/>
  <c r="AU24" i="3" s="1"/>
  <c r="AK24" i="3"/>
  <c r="AE24" i="3"/>
  <c r="AF24" i="3" s="1"/>
  <c r="AD24" i="3"/>
  <c r="AB24" i="3"/>
  <c r="R24" i="3"/>
  <c r="W24" i="3" s="1"/>
  <c r="AJ24" i="3" s="1"/>
  <c r="Q24" i="3"/>
  <c r="P24" i="3"/>
  <c r="V24" i="3" s="1"/>
  <c r="AI24" i="3" s="1"/>
  <c r="N24" i="3"/>
  <c r="U24" i="3" s="1"/>
  <c r="AH24" i="3" s="1"/>
  <c r="M24" i="3"/>
  <c r="S24" i="3" s="1"/>
  <c r="K24" i="3"/>
  <c r="J24" i="3"/>
  <c r="I24" i="3"/>
  <c r="G24" i="3"/>
  <c r="AU23" i="3"/>
  <c r="AS23" i="3"/>
  <c r="AK23" i="3"/>
  <c r="AE23" i="3"/>
  <c r="AF23" i="3" s="1"/>
  <c r="AD23" i="3"/>
  <c r="AB23" i="3"/>
  <c r="W23" i="3"/>
  <c r="AJ23" i="3" s="1"/>
  <c r="V23" i="3"/>
  <c r="AI23" i="3" s="1"/>
  <c r="P23" i="3"/>
  <c r="N23" i="3"/>
  <c r="R23" i="3" s="1"/>
  <c r="M23" i="3"/>
  <c r="K23" i="3"/>
  <c r="J23" i="3"/>
  <c r="I23" i="3"/>
  <c r="G23" i="3"/>
  <c r="AS22" i="3"/>
  <c r="AU22" i="3" s="1"/>
  <c r="AK22" i="3"/>
  <c r="AI22" i="3"/>
  <c r="AH22" i="3"/>
  <c r="AG22" i="3"/>
  <c r="AF22" i="3"/>
  <c r="AE22" i="3"/>
  <c r="AD22" i="3"/>
  <c r="AB22" i="3"/>
  <c r="V22" i="3"/>
  <c r="U22" i="3"/>
  <c r="T22" i="3"/>
  <c r="P22" i="3"/>
  <c r="Q22" i="3" s="1"/>
  <c r="N22" i="3"/>
  <c r="M22" i="3"/>
  <c r="K22" i="3"/>
  <c r="J22" i="3"/>
  <c r="I22" i="3"/>
  <c r="G22" i="3"/>
  <c r="AS21" i="3"/>
  <c r="AU21" i="3" s="1"/>
  <c r="AK21" i="3"/>
  <c r="AI21" i="3"/>
  <c r="AG21" i="3"/>
  <c r="AE21" i="3"/>
  <c r="AJ21" i="3" s="1"/>
  <c r="AD21" i="3"/>
  <c r="AB21" i="3"/>
  <c r="V21" i="3"/>
  <c r="U21" i="3"/>
  <c r="AH21" i="3" s="1"/>
  <c r="T21" i="3"/>
  <c r="X21" i="3" s="1"/>
  <c r="S21" i="3"/>
  <c r="R21" i="3"/>
  <c r="Q21" i="3"/>
  <c r="P21" i="3"/>
  <c r="N21" i="3"/>
  <c r="O21" i="3" s="1"/>
  <c r="M21" i="3"/>
  <c r="K21" i="3"/>
  <c r="J21" i="3"/>
  <c r="W21" i="3" s="1"/>
  <c r="I21" i="3"/>
  <c r="G21" i="3"/>
  <c r="AU20" i="3"/>
  <c r="AS20" i="3"/>
  <c r="AK20" i="3"/>
  <c r="AI20" i="3"/>
  <c r="AG20" i="3"/>
  <c r="AE20" i="3"/>
  <c r="AF20" i="3" s="1"/>
  <c r="AD20" i="3"/>
  <c r="AB20" i="3"/>
  <c r="U20" i="3"/>
  <c r="AH20" i="3" s="1"/>
  <c r="T20" i="3"/>
  <c r="R20" i="3"/>
  <c r="S20" i="3" s="1"/>
  <c r="P20" i="3"/>
  <c r="V20" i="3" s="1"/>
  <c r="O20" i="3"/>
  <c r="N20" i="3"/>
  <c r="M20" i="3"/>
  <c r="J20" i="3"/>
  <c r="I20" i="3"/>
  <c r="G20" i="3"/>
  <c r="AU19" i="3"/>
  <c r="AS19" i="3"/>
  <c r="AK19" i="3"/>
  <c r="AE19" i="3"/>
  <c r="AF19" i="3" s="1"/>
  <c r="AD19" i="3"/>
  <c r="AB19" i="3"/>
  <c r="P19" i="3"/>
  <c r="V19" i="3" s="1"/>
  <c r="AI19" i="3" s="1"/>
  <c r="N19" i="3"/>
  <c r="U19" i="3" s="1"/>
  <c r="AH19" i="3" s="1"/>
  <c r="M19" i="3"/>
  <c r="T19" i="3" s="1"/>
  <c r="K19" i="3"/>
  <c r="J19" i="3"/>
  <c r="I19" i="3"/>
  <c r="G19" i="3"/>
  <c r="AS18" i="3"/>
  <c r="AU18" i="3" s="1"/>
  <c r="AK18" i="3"/>
  <c r="AE18" i="3"/>
  <c r="AF18" i="3" s="1"/>
  <c r="AD18" i="3"/>
  <c r="AB18" i="3"/>
  <c r="U18" i="3"/>
  <c r="AH18" i="3" s="1"/>
  <c r="P18" i="3"/>
  <c r="V18" i="3" s="1"/>
  <c r="AI18" i="3" s="1"/>
  <c r="O18" i="3"/>
  <c r="N18" i="3"/>
  <c r="M18" i="3"/>
  <c r="K18" i="3"/>
  <c r="J18" i="3"/>
  <c r="I18" i="3"/>
  <c r="G18" i="3"/>
  <c r="AS17" i="3"/>
  <c r="AU17" i="3" s="1"/>
  <c r="AK17" i="3"/>
  <c r="AG17" i="3"/>
  <c r="AE17" i="3"/>
  <c r="AF17" i="3" s="1"/>
  <c r="AD17" i="3"/>
  <c r="AB17" i="3"/>
  <c r="V17" i="3"/>
  <c r="AI17" i="3" s="1"/>
  <c r="U17" i="3"/>
  <c r="AH17" i="3" s="1"/>
  <c r="T17" i="3"/>
  <c r="S17" i="3"/>
  <c r="P17" i="3"/>
  <c r="Q17" i="3" s="1"/>
  <c r="O17" i="3"/>
  <c r="N17" i="3"/>
  <c r="R17" i="3" s="1"/>
  <c r="M17" i="3"/>
  <c r="K17" i="3"/>
  <c r="J17" i="3"/>
  <c r="W17" i="3" s="1"/>
  <c r="I17" i="3"/>
  <c r="G17" i="3"/>
  <c r="AS16" i="3"/>
  <c r="AU16" i="3" s="1"/>
  <c r="AK16" i="3"/>
  <c r="AI16" i="3"/>
  <c r="AE16" i="3"/>
  <c r="AF16" i="3" s="1"/>
  <c r="AD16" i="3"/>
  <c r="AB16" i="3"/>
  <c r="V16" i="3"/>
  <c r="U16" i="3"/>
  <c r="AH16" i="3" s="1"/>
  <c r="T16" i="3"/>
  <c r="R16" i="3"/>
  <c r="P16" i="3"/>
  <c r="N16" i="3"/>
  <c r="M16" i="3"/>
  <c r="S16" i="3" s="1"/>
  <c r="K16" i="3"/>
  <c r="J16" i="3"/>
  <c r="W16" i="3" s="1"/>
  <c r="AJ16" i="3" s="1"/>
  <c r="I16" i="3"/>
  <c r="G16" i="3"/>
  <c r="AU15" i="3"/>
  <c r="AS15" i="3"/>
  <c r="AK15" i="3"/>
  <c r="AI15" i="3"/>
  <c r="AH15" i="3"/>
  <c r="AG15" i="3"/>
  <c r="AE15" i="3"/>
  <c r="AF15" i="3" s="1"/>
  <c r="AD15" i="3"/>
  <c r="AB15" i="3"/>
  <c r="U15" i="3"/>
  <c r="T15" i="3"/>
  <c r="R15" i="3"/>
  <c r="S15" i="3" s="1"/>
  <c r="Q15" i="3"/>
  <c r="P15" i="3"/>
  <c r="V15" i="3" s="1"/>
  <c r="O15" i="3"/>
  <c r="N15" i="3"/>
  <c r="M15" i="3"/>
  <c r="K15" i="3"/>
  <c r="J15" i="3"/>
  <c r="I15" i="3"/>
  <c r="G15" i="3"/>
  <c r="AU14" i="3"/>
  <c r="AS14" i="3"/>
  <c r="AK14" i="3"/>
  <c r="AG14" i="3"/>
  <c r="AF14" i="3"/>
  <c r="AE14" i="3"/>
  <c r="AD14" i="3"/>
  <c r="AB14" i="3"/>
  <c r="P14" i="3"/>
  <c r="V14" i="3" s="1"/>
  <c r="AI14" i="3" s="1"/>
  <c r="O14" i="3"/>
  <c r="N14" i="3"/>
  <c r="U14" i="3" s="1"/>
  <c r="AH14" i="3" s="1"/>
  <c r="M14" i="3"/>
  <c r="T14" i="3" s="1"/>
  <c r="J14" i="3"/>
  <c r="K14" i="3" s="1"/>
  <c r="I14" i="3"/>
  <c r="G14" i="3"/>
  <c r="AS13" i="3"/>
  <c r="AU13" i="3" s="1"/>
  <c r="AK13" i="3"/>
  <c r="AE13" i="3"/>
  <c r="AF13" i="3" s="1"/>
  <c r="AD13" i="3"/>
  <c r="AB13" i="3"/>
  <c r="U13" i="3"/>
  <c r="AH13" i="3" s="1"/>
  <c r="P13" i="3"/>
  <c r="V13" i="3" s="1"/>
  <c r="AI13" i="3" s="1"/>
  <c r="N13" i="3"/>
  <c r="M13" i="3"/>
  <c r="J13" i="3"/>
  <c r="K13" i="3" s="1"/>
  <c r="I13" i="3"/>
  <c r="G13" i="3"/>
  <c r="AS12" i="3"/>
  <c r="AR12" i="3"/>
  <c r="AR36" i="3" s="1"/>
  <c r="AK12" i="3"/>
  <c r="AE12" i="3"/>
  <c r="AF12" i="3" s="1"/>
  <c r="AD12" i="3"/>
  <c r="AB12" i="3"/>
  <c r="W12" i="3"/>
  <c r="AJ12" i="3" s="1"/>
  <c r="V12" i="3"/>
  <c r="AI12" i="3" s="1"/>
  <c r="P12" i="3"/>
  <c r="N12" i="3"/>
  <c r="R12" i="3" s="1"/>
  <c r="M12" i="3"/>
  <c r="K12" i="3"/>
  <c r="J12" i="3"/>
  <c r="I12" i="3"/>
  <c r="G12" i="3"/>
  <c r="AS11" i="3"/>
  <c r="AU11" i="3" s="1"/>
  <c r="AK11" i="3"/>
  <c r="AI11" i="3"/>
  <c r="AF11" i="3"/>
  <c r="AE11" i="3"/>
  <c r="AD11" i="3"/>
  <c r="AB11" i="3"/>
  <c r="V11" i="3"/>
  <c r="P11" i="3"/>
  <c r="N11" i="3"/>
  <c r="M11" i="3"/>
  <c r="Q11" i="3" s="1"/>
  <c r="K11" i="3"/>
  <c r="J11" i="3"/>
  <c r="I11" i="3"/>
  <c r="G11" i="3"/>
  <c r="AU10" i="3"/>
  <c r="AS10" i="3"/>
  <c r="AK10" i="3"/>
  <c r="AG10" i="3"/>
  <c r="AE10" i="3"/>
  <c r="AF10" i="3" s="1"/>
  <c r="AD10" i="3"/>
  <c r="AB10" i="3"/>
  <c r="U10" i="3"/>
  <c r="AH10" i="3" s="1"/>
  <c r="T10" i="3"/>
  <c r="P10" i="3"/>
  <c r="R10" i="3" s="1"/>
  <c r="S10" i="3" s="1"/>
  <c r="N10" i="3"/>
  <c r="M10" i="3"/>
  <c r="O10" i="3" s="1"/>
  <c r="K10" i="3"/>
  <c r="J10" i="3"/>
  <c r="I10" i="3"/>
  <c r="G10" i="3"/>
  <c r="AS9" i="3"/>
  <c r="AU9" i="3" s="1"/>
  <c r="AK9" i="3"/>
  <c r="AH9" i="3"/>
  <c r="AG9" i="3"/>
  <c r="AF9" i="3"/>
  <c r="AE9" i="3"/>
  <c r="AD9" i="3"/>
  <c r="AB9" i="3"/>
  <c r="T9" i="3"/>
  <c r="P9" i="3"/>
  <c r="V9" i="3" s="1"/>
  <c r="AI9" i="3" s="1"/>
  <c r="O9" i="3"/>
  <c r="N9" i="3"/>
  <c r="U9" i="3" s="1"/>
  <c r="M9" i="3"/>
  <c r="K9" i="3"/>
  <c r="J9" i="3"/>
  <c r="I9" i="3"/>
  <c r="G9" i="3"/>
  <c r="AS8" i="3"/>
  <c r="AU8" i="3" s="1"/>
  <c r="AK8" i="3"/>
  <c r="AE8" i="3"/>
  <c r="AF8" i="3" s="1"/>
  <c r="AD8" i="3"/>
  <c r="AB8" i="3"/>
  <c r="V8" i="3"/>
  <c r="AI8" i="3" s="1"/>
  <c r="P8" i="3"/>
  <c r="N8" i="3"/>
  <c r="U8" i="3" s="1"/>
  <c r="AH8" i="3" s="1"/>
  <c r="M8" i="3"/>
  <c r="Q8" i="3" s="1"/>
  <c r="K8" i="3"/>
  <c r="J8" i="3"/>
  <c r="I8" i="3"/>
  <c r="G8" i="3"/>
  <c r="AU7" i="3"/>
  <c r="AS7" i="3"/>
  <c r="AK7" i="3"/>
  <c r="AE7" i="3"/>
  <c r="AF7" i="3" s="1"/>
  <c r="AD7" i="3"/>
  <c r="AB7" i="3"/>
  <c r="U7" i="3"/>
  <c r="AH7" i="3" s="1"/>
  <c r="T7" i="3"/>
  <c r="P7" i="3"/>
  <c r="N7" i="3"/>
  <c r="M7" i="3"/>
  <c r="J7" i="3"/>
  <c r="K7" i="3" s="1"/>
  <c r="I7" i="3"/>
  <c r="G7" i="3"/>
  <c r="AS6" i="3"/>
  <c r="AU6" i="3" s="1"/>
  <c r="AK6" i="3"/>
  <c r="AK36" i="3" s="1"/>
  <c r="AK37" i="3" s="1"/>
  <c r="AG6" i="3"/>
  <c r="AF6" i="3"/>
  <c r="AE6" i="3"/>
  <c r="AD6" i="3"/>
  <c r="AB6" i="3"/>
  <c r="V6" i="3"/>
  <c r="AI6" i="3" s="1"/>
  <c r="P6" i="3"/>
  <c r="Q6" i="3" s="1"/>
  <c r="N6" i="3"/>
  <c r="O6" i="3" s="1"/>
  <c r="M6" i="3"/>
  <c r="T6" i="3" s="1"/>
  <c r="J6" i="3"/>
  <c r="K6" i="3" s="1"/>
  <c r="I6" i="3"/>
  <c r="G6" i="3"/>
  <c r="AS5" i="3"/>
  <c r="AU5" i="3" s="1"/>
  <c r="AK5" i="3"/>
  <c r="AG5" i="3"/>
  <c r="AE5" i="3"/>
  <c r="AE36" i="3" s="1"/>
  <c r="AF36" i="3" s="1"/>
  <c r="AD5" i="3"/>
  <c r="AB5" i="3"/>
  <c r="U5" i="3"/>
  <c r="AH5" i="3" s="1"/>
  <c r="T5" i="3"/>
  <c r="P5" i="3"/>
  <c r="V5" i="3" s="1"/>
  <c r="N5" i="3"/>
  <c r="O5" i="3" s="1"/>
  <c r="M5" i="3"/>
  <c r="K5" i="3"/>
  <c r="J5" i="3"/>
  <c r="I5" i="3"/>
  <c r="G5" i="3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AF46" i="2"/>
  <c r="S46" i="2"/>
  <c r="AJ44" i="2"/>
  <c r="AC37" i="2"/>
  <c r="AD37" i="2" s="1"/>
  <c r="AA37" i="2"/>
  <c r="AB37" i="2" s="1"/>
  <c r="H37" i="2"/>
  <c r="F37" i="2"/>
  <c r="AR36" i="2"/>
  <c r="AQ36" i="2"/>
  <c r="AP36" i="2"/>
  <c r="AO36" i="2"/>
  <c r="AN36" i="2"/>
  <c r="AM36" i="2"/>
  <c r="AL36" i="2"/>
  <c r="AC36" i="2"/>
  <c r="AA36" i="2"/>
  <c r="Z36" i="2"/>
  <c r="Y36" i="2"/>
  <c r="L36" i="2"/>
  <c r="H36" i="2"/>
  <c r="F36" i="2"/>
  <c r="E36" i="2"/>
  <c r="F38" i="2" s="1"/>
  <c r="D36" i="2"/>
  <c r="C36" i="2"/>
  <c r="AU35" i="2"/>
  <c r="AS35" i="2"/>
  <c r="AK35" i="2"/>
  <c r="AF35" i="2"/>
  <c r="AE35" i="2"/>
  <c r="AD35" i="2"/>
  <c r="AB35" i="2"/>
  <c r="P35" i="2"/>
  <c r="V35" i="2" s="1"/>
  <c r="AI35" i="2" s="1"/>
  <c r="O35" i="2"/>
  <c r="N35" i="2"/>
  <c r="M35" i="2"/>
  <c r="K35" i="2"/>
  <c r="J35" i="2"/>
  <c r="I35" i="2"/>
  <c r="G35" i="2"/>
  <c r="AS34" i="2"/>
  <c r="AU34" i="2" s="1"/>
  <c r="AK34" i="2"/>
  <c r="AI34" i="2"/>
  <c r="AE34" i="2"/>
  <c r="AF34" i="2" s="1"/>
  <c r="AD34" i="2"/>
  <c r="AB34" i="2"/>
  <c r="V34" i="2"/>
  <c r="U34" i="2"/>
  <c r="AH34" i="2" s="1"/>
  <c r="T34" i="2"/>
  <c r="P34" i="2"/>
  <c r="Q34" i="2" s="1"/>
  <c r="N34" i="2"/>
  <c r="M34" i="2"/>
  <c r="K34" i="2"/>
  <c r="J34" i="2"/>
  <c r="I34" i="2"/>
  <c r="G34" i="2"/>
  <c r="AS33" i="2"/>
  <c r="AU33" i="2" s="1"/>
  <c r="AK33" i="2"/>
  <c r="AJ33" i="2"/>
  <c r="AI33" i="2"/>
  <c r="AG33" i="2"/>
  <c r="AF33" i="2"/>
  <c r="AE33" i="2"/>
  <c r="AD33" i="2"/>
  <c r="AB33" i="2"/>
  <c r="V33" i="2"/>
  <c r="U33" i="2"/>
  <c r="AH33" i="2" s="1"/>
  <c r="T33" i="2"/>
  <c r="X33" i="2" s="1"/>
  <c r="S33" i="2"/>
  <c r="R33" i="2"/>
  <c r="P33" i="2"/>
  <c r="N33" i="2"/>
  <c r="O33" i="2" s="1"/>
  <c r="M33" i="2"/>
  <c r="Q33" i="2" s="1"/>
  <c r="K33" i="2"/>
  <c r="J33" i="2"/>
  <c r="W33" i="2" s="1"/>
  <c r="I33" i="2"/>
  <c r="G33" i="2"/>
  <c r="AU32" i="2"/>
  <c r="AS32" i="2"/>
  <c r="AK32" i="2"/>
  <c r="AH32" i="2"/>
  <c r="AG32" i="2"/>
  <c r="AF32" i="2"/>
  <c r="AE32" i="2"/>
  <c r="AD32" i="2"/>
  <c r="AB32" i="2"/>
  <c r="U32" i="2"/>
  <c r="T32" i="2"/>
  <c r="Q32" i="2"/>
  <c r="P32" i="2"/>
  <c r="V32" i="2" s="1"/>
  <c r="AI32" i="2" s="1"/>
  <c r="O32" i="2"/>
  <c r="N32" i="2"/>
  <c r="M32" i="2"/>
  <c r="K32" i="2"/>
  <c r="J32" i="2"/>
  <c r="I32" i="2"/>
  <c r="G32" i="2"/>
  <c r="AS31" i="2"/>
  <c r="AU31" i="2" s="1"/>
  <c r="AK31" i="2"/>
  <c r="AG31" i="2"/>
  <c r="AE31" i="2"/>
  <c r="AF31" i="2" s="1"/>
  <c r="AD31" i="2"/>
  <c r="AB31" i="2"/>
  <c r="T31" i="2"/>
  <c r="R31" i="2"/>
  <c r="Q31" i="2"/>
  <c r="P31" i="2"/>
  <c r="V31" i="2" s="1"/>
  <c r="AI31" i="2" s="1"/>
  <c r="N31" i="2"/>
  <c r="U31" i="2" s="1"/>
  <c r="AH31" i="2" s="1"/>
  <c r="M31" i="2"/>
  <c r="K31" i="2"/>
  <c r="J31" i="2"/>
  <c r="I31" i="2"/>
  <c r="G31" i="2"/>
  <c r="AU30" i="2"/>
  <c r="AS30" i="2"/>
  <c r="AK30" i="2"/>
  <c r="AE30" i="2"/>
  <c r="AF30" i="2" s="1"/>
  <c r="AD30" i="2"/>
  <c r="AB30" i="2"/>
  <c r="P30" i="2"/>
  <c r="Q30" i="2" s="1"/>
  <c r="O30" i="2"/>
  <c r="N30" i="2"/>
  <c r="M30" i="2"/>
  <c r="K30" i="2"/>
  <c r="J30" i="2"/>
  <c r="I30" i="2"/>
  <c r="G30" i="2"/>
  <c r="AS29" i="2"/>
  <c r="AU29" i="2" s="1"/>
  <c r="AK29" i="2"/>
  <c r="AF29" i="2"/>
  <c r="AE29" i="2"/>
  <c r="AD29" i="2"/>
  <c r="AB29" i="2"/>
  <c r="V29" i="2"/>
  <c r="AI29" i="2" s="1"/>
  <c r="U29" i="2"/>
  <c r="AH29" i="2" s="1"/>
  <c r="P29" i="2"/>
  <c r="N29" i="2"/>
  <c r="M29" i="2"/>
  <c r="K29" i="2"/>
  <c r="J29" i="2"/>
  <c r="I29" i="2"/>
  <c r="G29" i="2"/>
  <c r="AS28" i="2"/>
  <c r="AU28" i="2" s="1"/>
  <c r="AK28" i="2"/>
  <c r="AG28" i="2"/>
  <c r="AF28" i="2"/>
  <c r="AE28" i="2"/>
  <c r="AD28" i="2"/>
  <c r="AB28" i="2"/>
  <c r="V28" i="2"/>
  <c r="AI28" i="2" s="1"/>
  <c r="U28" i="2"/>
  <c r="AH28" i="2" s="1"/>
  <c r="T28" i="2"/>
  <c r="R28" i="2"/>
  <c r="S28" i="2" s="1"/>
  <c r="P28" i="2"/>
  <c r="N28" i="2"/>
  <c r="O28" i="2" s="1"/>
  <c r="M28" i="2"/>
  <c r="Q28" i="2" s="1"/>
  <c r="K28" i="2"/>
  <c r="J28" i="2"/>
  <c r="W28" i="2" s="1"/>
  <c r="AJ28" i="2" s="1"/>
  <c r="I28" i="2"/>
  <c r="G28" i="2"/>
  <c r="AU27" i="2"/>
  <c r="AS27" i="2"/>
  <c r="AK27" i="2"/>
  <c r="AI27" i="2"/>
  <c r="AG27" i="2"/>
  <c r="AE27" i="2"/>
  <c r="AF27" i="2" s="1"/>
  <c r="AD27" i="2"/>
  <c r="AB27" i="2"/>
  <c r="U27" i="2"/>
  <c r="AH27" i="2" s="1"/>
  <c r="T27" i="2"/>
  <c r="R27" i="2"/>
  <c r="S27" i="2" s="1"/>
  <c r="P27" i="2"/>
  <c r="V27" i="2" s="1"/>
  <c r="N27" i="2"/>
  <c r="M27" i="2"/>
  <c r="O27" i="2" s="1"/>
  <c r="J27" i="2"/>
  <c r="I27" i="2"/>
  <c r="G27" i="2"/>
  <c r="AS26" i="2"/>
  <c r="AU26" i="2" s="1"/>
  <c r="AK26" i="2"/>
  <c r="AG26" i="2"/>
  <c r="AE26" i="2"/>
  <c r="AF26" i="2" s="1"/>
  <c r="AD26" i="2"/>
  <c r="AB26" i="2"/>
  <c r="T26" i="2"/>
  <c r="R26" i="2"/>
  <c r="S26" i="2" s="1"/>
  <c r="P26" i="2"/>
  <c r="V26" i="2" s="1"/>
  <c r="AI26" i="2" s="1"/>
  <c r="N26" i="2"/>
  <c r="U26" i="2" s="1"/>
  <c r="AH26" i="2" s="1"/>
  <c r="M26" i="2"/>
  <c r="K26" i="2"/>
  <c r="J26" i="2"/>
  <c r="I26" i="2"/>
  <c r="G26" i="2"/>
  <c r="AS25" i="2"/>
  <c r="AU25" i="2" s="1"/>
  <c r="AK25" i="2"/>
  <c r="AE25" i="2"/>
  <c r="AF25" i="2" s="1"/>
  <c r="AD25" i="2"/>
  <c r="AB25" i="2"/>
  <c r="V25" i="2"/>
  <c r="AI25" i="2" s="1"/>
  <c r="P25" i="2"/>
  <c r="Q25" i="2" s="1"/>
  <c r="N25" i="2"/>
  <c r="M25" i="2"/>
  <c r="K25" i="2"/>
  <c r="J25" i="2"/>
  <c r="I25" i="2"/>
  <c r="G25" i="2"/>
  <c r="AU24" i="2"/>
  <c r="AS24" i="2"/>
  <c r="AK24" i="2"/>
  <c r="AI24" i="2"/>
  <c r="AE24" i="2"/>
  <c r="AF24" i="2" s="1"/>
  <c r="AD24" i="2"/>
  <c r="AB24" i="2"/>
  <c r="W24" i="2"/>
  <c r="X24" i="2" s="1"/>
  <c r="V24" i="2"/>
  <c r="T24" i="2"/>
  <c r="P24" i="2"/>
  <c r="Q24" i="2" s="1"/>
  <c r="O24" i="2"/>
  <c r="N24" i="2"/>
  <c r="R24" i="2" s="1"/>
  <c r="M24" i="2"/>
  <c r="K24" i="2"/>
  <c r="J24" i="2"/>
  <c r="I24" i="2"/>
  <c r="G24" i="2"/>
  <c r="AS23" i="2"/>
  <c r="AU23" i="2" s="1"/>
  <c r="AK23" i="2"/>
  <c r="AI23" i="2"/>
  <c r="AF23" i="2"/>
  <c r="AE23" i="2"/>
  <c r="AD23" i="2"/>
  <c r="AB23" i="2"/>
  <c r="V23" i="2"/>
  <c r="U23" i="2"/>
  <c r="AH23" i="2" s="1"/>
  <c r="R23" i="2"/>
  <c r="P23" i="2"/>
  <c r="N23" i="2"/>
  <c r="M23" i="2"/>
  <c r="Q23" i="2" s="1"/>
  <c r="J23" i="2"/>
  <c r="K23" i="2" s="1"/>
  <c r="I23" i="2"/>
  <c r="G23" i="2"/>
  <c r="AU22" i="2"/>
  <c r="AS22" i="2"/>
  <c r="AK22" i="2"/>
  <c r="AI22" i="2"/>
  <c r="AH22" i="2"/>
  <c r="AG22" i="2"/>
  <c r="AE22" i="2"/>
  <c r="AF22" i="2" s="1"/>
  <c r="AD22" i="2"/>
  <c r="AB22" i="2"/>
  <c r="U22" i="2"/>
  <c r="T22" i="2"/>
  <c r="R22" i="2"/>
  <c r="S22" i="2" s="1"/>
  <c r="Q22" i="2"/>
  <c r="P22" i="2"/>
  <c r="V22" i="2" s="1"/>
  <c r="O22" i="2"/>
  <c r="N22" i="2"/>
  <c r="M22" i="2"/>
  <c r="J22" i="2"/>
  <c r="I22" i="2"/>
  <c r="G22" i="2"/>
  <c r="AS21" i="2"/>
  <c r="AU21" i="2" s="1"/>
  <c r="AK21" i="2"/>
  <c r="AG21" i="2"/>
  <c r="AE21" i="2"/>
  <c r="AF21" i="2" s="1"/>
  <c r="AD21" i="2"/>
  <c r="AB21" i="2"/>
  <c r="T21" i="2"/>
  <c r="R21" i="2"/>
  <c r="W21" i="2" s="1"/>
  <c r="AJ21" i="2" s="1"/>
  <c r="P21" i="2"/>
  <c r="V21" i="2" s="1"/>
  <c r="AI21" i="2" s="1"/>
  <c r="N21" i="2"/>
  <c r="U21" i="2" s="1"/>
  <c r="AH21" i="2" s="1"/>
  <c r="M21" i="2"/>
  <c r="K21" i="2"/>
  <c r="J21" i="2"/>
  <c r="I21" i="2"/>
  <c r="G21" i="2"/>
  <c r="AS20" i="2"/>
  <c r="AU20" i="2" s="1"/>
  <c r="AK20" i="2"/>
  <c r="AE20" i="2"/>
  <c r="AF20" i="2" s="1"/>
  <c r="AD20" i="2"/>
  <c r="AB20" i="2"/>
  <c r="V20" i="2"/>
  <c r="AI20" i="2" s="1"/>
  <c r="P20" i="2"/>
  <c r="Q20" i="2" s="1"/>
  <c r="N20" i="2"/>
  <c r="M20" i="2"/>
  <c r="K20" i="2"/>
  <c r="J20" i="2"/>
  <c r="I20" i="2"/>
  <c r="G20" i="2"/>
  <c r="AU19" i="2"/>
  <c r="AS19" i="2"/>
  <c r="AK19" i="2"/>
  <c r="AI19" i="2"/>
  <c r="AE19" i="2"/>
  <c r="AF19" i="2" s="1"/>
  <c r="AD19" i="2"/>
  <c r="AB19" i="2"/>
  <c r="W19" i="2"/>
  <c r="AJ19" i="2" s="1"/>
  <c r="V19" i="2"/>
  <c r="P19" i="2"/>
  <c r="Q19" i="2" s="1"/>
  <c r="O19" i="2"/>
  <c r="N19" i="2"/>
  <c r="R19" i="2" s="1"/>
  <c r="M19" i="2"/>
  <c r="K19" i="2"/>
  <c r="J19" i="2"/>
  <c r="I19" i="2"/>
  <c r="G19" i="2"/>
  <c r="AS18" i="2"/>
  <c r="AU18" i="2" s="1"/>
  <c r="AK18" i="2"/>
  <c r="AI18" i="2"/>
  <c r="AF18" i="2"/>
  <c r="AE18" i="2"/>
  <c r="AD18" i="2"/>
  <c r="AB18" i="2"/>
  <c r="V18" i="2"/>
  <c r="U18" i="2"/>
  <c r="AH18" i="2" s="1"/>
  <c r="R18" i="2"/>
  <c r="P18" i="2"/>
  <c r="N18" i="2"/>
  <c r="M18" i="2"/>
  <c r="Q18" i="2" s="1"/>
  <c r="K18" i="2"/>
  <c r="J18" i="2"/>
  <c r="W18" i="2" s="1"/>
  <c r="AJ18" i="2" s="1"/>
  <c r="I18" i="2"/>
  <c r="G18" i="2"/>
  <c r="AU17" i="2"/>
  <c r="AS17" i="2"/>
  <c r="AK17" i="2"/>
  <c r="AI17" i="2"/>
  <c r="AH17" i="2"/>
  <c r="AG17" i="2"/>
  <c r="AE17" i="2"/>
  <c r="AF17" i="2" s="1"/>
  <c r="AD17" i="2"/>
  <c r="AB17" i="2"/>
  <c r="U17" i="2"/>
  <c r="T17" i="2"/>
  <c r="R17" i="2"/>
  <c r="S17" i="2" s="1"/>
  <c r="Q17" i="2"/>
  <c r="P17" i="2"/>
  <c r="V17" i="2" s="1"/>
  <c r="N17" i="2"/>
  <c r="M17" i="2"/>
  <c r="O17" i="2" s="1"/>
  <c r="K17" i="2"/>
  <c r="J17" i="2"/>
  <c r="I17" i="2"/>
  <c r="G17" i="2"/>
  <c r="AS16" i="2"/>
  <c r="AU16" i="2" s="1"/>
  <c r="AK16" i="2"/>
  <c r="AG16" i="2"/>
  <c r="AE16" i="2"/>
  <c r="AF16" i="2" s="1"/>
  <c r="AD16" i="2"/>
  <c r="AB16" i="2"/>
  <c r="T16" i="2"/>
  <c r="R16" i="2"/>
  <c r="S16" i="2" s="1"/>
  <c r="P16" i="2"/>
  <c r="V16" i="2" s="1"/>
  <c r="AI16" i="2" s="1"/>
  <c r="N16" i="2"/>
  <c r="U16" i="2" s="1"/>
  <c r="AH16" i="2" s="1"/>
  <c r="M16" i="2"/>
  <c r="J16" i="2"/>
  <c r="I16" i="2"/>
  <c r="G16" i="2"/>
  <c r="AU15" i="2"/>
  <c r="AS15" i="2"/>
  <c r="AK15" i="2"/>
  <c r="AE15" i="2"/>
  <c r="AF15" i="2" s="1"/>
  <c r="AD15" i="2"/>
  <c r="AB15" i="2"/>
  <c r="V15" i="2"/>
  <c r="AI15" i="2" s="1"/>
  <c r="Q15" i="2"/>
  <c r="P15" i="2"/>
  <c r="N15" i="2"/>
  <c r="M15" i="2"/>
  <c r="K15" i="2"/>
  <c r="J15" i="2"/>
  <c r="I15" i="2"/>
  <c r="G15" i="2"/>
  <c r="AS14" i="2"/>
  <c r="AU14" i="2" s="1"/>
  <c r="AK14" i="2"/>
  <c r="AE14" i="2"/>
  <c r="AF14" i="2" s="1"/>
  <c r="AD14" i="2"/>
  <c r="AB14" i="2"/>
  <c r="W14" i="2"/>
  <c r="AJ14" i="2" s="1"/>
  <c r="V14" i="2"/>
  <c r="AI14" i="2" s="1"/>
  <c r="P14" i="2"/>
  <c r="O14" i="2"/>
  <c r="N14" i="2"/>
  <c r="R14" i="2" s="1"/>
  <c r="M14" i="2"/>
  <c r="K14" i="2"/>
  <c r="J14" i="2"/>
  <c r="I14" i="2"/>
  <c r="G14" i="2"/>
  <c r="AS13" i="2"/>
  <c r="AU13" i="2" s="1"/>
  <c r="AK13" i="2"/>
  <c r="AI13" i="2"/>
  <c r="AH13" i="2"/>
  <c r="AF13" i="2"/>
  <c r="AE13" i="2"/>
  <c r="AD13" i="2"/>
  <c r="AB13" i="2"/>
  <c r="V13" i="2"/>
  <c r="U13" i="2"/>
  <c r="R13" i="2"/>
  <c r="P13" i="2"/>
  <c r="N13" i="2"/>
  <c r="M13" i="2"/>
  <c r="Q13" i="2" s="1"/>
  <c r="K13" i="2"/>
  <c r="J13" i="2"/>
  <c r="W13" i="2" s="1"/>
  <c r="AJ13" i="2" s="1"/>
  <c r="I13" i="2"/>
  <c r="G13" i="2"/>
  <c r="AU12" i="2"/>
  <c r="AS12" i="2"/>
  <c r="AK12" i="2"/>
  <c r="AH12" i="2"/>
  <c r="AG12" i="2"/>
  <c r="AE12" i="2"/>
  <c r="AF12" i="2" s="1"/>
  <c r="AD12" i="2"/>
  <c r="AB12" i="2"/>
  <c r="U12" i="2"/>
  <c r="T12" i="2"/>
  <c r="P12" i="2"/>
  <c r="V12" i="2" s="1"/>
  <c r="AI12" i="2" s="1"/>
  <c r="O12" i="2"/>
  <c r="N12" i="2"/>
  <c r="M12" i="2"/>
  <c r="K12" i="2"/>
  <c r="J12" i="2"/>
  <c r="I12" i="2"/>
  <c r="G12" i="2"/>
  <c r="AS11" i="2"/>
  <c r="AU11" i="2" s="1"/>
  <c r="AK11" i="2"/>
  <c r="AG11" i="2"/>
  <c r="AE11" i="2"/>
  <c r="AF11" i="2" s="1"/>
  <c r="AD11" i="2"/>
  <c r="AB11" i="2"/>
  <c r="T11" i="2"/>
  <c r="R11" i="2"/>
  <c r="S11" i="2" s="1"/>
  <c r="P11" i="2"/>
  <c r="V11" i="2" s="1"/>
  <c r="AI11" i="2" s="1"/>
  <c r="N11" i="2"/>
  <c r="U11" i="2" s="1"/>
  <c r="AH11" i="2" s="1"/>
  <c r="M11" i="2"/>
  <c r="K11" i="2"/>
  <c r="J11" i="2"/>
  <c r="I11" i="2"/>
  <c r="G11" i="2"/>
  <c r="AS10" i="2"/>
  <c r="AU10" i="2" s="1"/>
  <c r="AK10" i="2"/>
  <c r="AE10" i="2"/>
  <c r="AF10" i="2" s="1"/>
  <c r="AD10" i="2"/>
  <c r="AB10" i="2"/>
  <c r="V10" i="2"/>
  <c r="AI10" i="2" s="1"/>
  <c r="P10" i="2"/>
  <c r="Q10" i="2" s="1"/>
  <c r="N10" i="2"/>
  <c r="M10" i="2"/>
  <c r="K10" i="2"/>
  <c r="J10" i="2"/>
  <c r="I10" i="2"/>
  <c r="G10" i="2"/>
  <c r="AU9" i="2"/>
  <c r="AS9" i="2"/>
  <c r="AK9" i="2"/>
  <c r="AI9" i="2"/>
  <c r="AE9" i="2"/>
  <c r="AF9" i="2" s="1"/>
  <c r="AD9" i="2"/>
  <c r="AB9" i="2"/>
  <c r="W9" i="2"/>
  <c r="AJ9" i="2" s="1"/>
  <c r="V9" i="2"/>
  <c r="P9" i="2"/>
  <c r="Q9" i="2" s="1"/>
  <c r="O9" i="2"/>
  <c r="N9" i="2"/>
  <c r="R9" i="2" s="1"/>
  <c r="M9" i="2"/>
  <c r="J9" i="2"/>
  <c r="K9" i="2" s="1"/>
  <c r="I9" i="2"/>
  <c r="G9" i="2"/>
  <c r="AS8" i="2"/>
  <c r="AU8" i="2" s="1"/>
  <c r="AK8" i="2"/>
  <c r="AI8" i="2"/>
  <c r="AF8" i="2"/>
  <c r="AE8" i="2"/>
  <c r="AD8" i="2"/>
  <c r="AB8" i="2"/>
  <c r="V8" i="2"/>
  <c r="U8" i="2"/>
  <c r="AH8" i="2" s="1"/>
  <c r="R8" i="2"/>
  <c r="W8" i="2" s="1"/>
  <c r="AJ8" i="2" s="1"/>
  <c r="P8" i="2"/>
  <c r="N8" i="2"/>
  <c r="M8" i="2"/>
  <c r="Q8" i="2" s="1"/>
  <c r="J8" i="2"/>
  <c r="K8" i="2" s="1"/>
  <c r="I8" i="2"/>
  <c r="G8" i="2"/>
  <c r="AU7" i="2"/>
  <c r="AS7" i="2"/>
  <c r="AK7" i="2"/>
  <c r="AI7" i="2"/>
  <c r="AH7" i="2"/>
  <c r="AG7" i="2"/>
  <c r="AE7" i="2"/>
  <c r="AF7" i="2" s="1"/>
  <c r="AD7" i="2"/>
  <c r="AB7" i="2"/>
  <c r="U7" i="2"/>
  <c r="T7" i="2"/>
  <c r="R7" i="2"/>
  <c r="S7" i="2" s="1"/>
  <c r="Q7" i="2"/>
  <c r="P7" i="2"/>
  <c r="V7" i="2" s="1"/>
  <c r="O7" i="2"/>
  <c r="N7" i="2"/>
  <c r="M7" i="2"/>
  <c r="J7" i="2"/>
  <c r="I7" i="2"/>
  <c r="G7" i="2"/>
  <c r="AS6" i="2"/>
  <c r="AU6" i="2" s="1"/>
  <c r="AK6" i="2"/>
  <c r="AG6" i="2"/>
  <c r="AE6" i="2"/>
  <c r="AF6" i="2" s="1"/>
  <c r="AD6" i="2"/>
  <c r="AB6" i="2"/>
  <c r="T6" i="2"/>
  <c r="R6" i="2"/>
  <c r="S6" i="2" s="1"/>
  <c r="P6" i="2"/>
  <c r="V6" i="2" s="1"/>
  <c r="AI6" i="2" s="1"/>
  <c r="N6" i="2"/>
  <c r="U6" i="2" s="1"/>
  <c r="AH6" i="2" s="1"/>
  <c r="M6" i="2"/>
  <c r="K6" i="2"/>
  <c r="J6" i="2"/>
  <c r="I6" i="2"/>
  <c r="G6" i="2"/>
  <c r="B6" i="2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AS5" i="2"/>
  <c r="AU5" i="2" s="1"/>
  <c r="AK5" i="2"/>
  <c r="AK36" i="2" s="1"/>
  <c r="AK37" i="2" s="1"/>
  <c r="AE5" i="2"/>
  <c r="AD5" i="2"/>
  <c r="AB5" i="2"/>
  <c r="V5" i="2"/>
  <c r="AI5" i="2" s="1"/>
  <c r="P5" i="2"/>
  <c r="N5" i="2"/>
  <c r="M5" i="2"/>
  <c r="K5" i="2"/>
  <c r="J5" i="2"/>
  <c r="I5" i="2"/>
  <c r="G5" i="2"/>
  <c r="B5" i="2"/>
  <c r="AF46" i="1"/>
  <c r="S46" i="1"/>
  <c r="AJ44" i="1"/>
  <c r="F38" i="1"/>
  <c r="AC37" i="1"/>
  <c r="AD37" i="1" s="1"/>
  <c r="AB37" i="1"/>
  <c r="AA37" i="1"/>
  <c r="H37" i="1"/>
  <c r="I37" i="1" s="1"/>
  <c r="AR36" i="1"/>
  <c r="AQ36" i="1"/>
  <c r="AP36" i="1"/>
  <c r="AO36" i="1"/>
  <c r="AN36" i="1"/>
  <c r="AM36" i="1"/>
  <c r="AL36" i="1"/>
  <c r="AC36" i="1"/>
  <c r="AA36" i="1"/>
  <c r="Z36" i="1"/>
  <c r="Y36" i="1"/>
  <c r="L36" i="1"/>
  <c r="H36" i="1"/>
  <c r="I36" i="1" s="1"/>
  <c r="F36" i="1"/>
  <c r="G36" i="1" s="1"/>
  <c r="E36" i="1"/>
  <c r="D36" i="1"/>
  <c r="C36" i="1"/>
  <c r="AU35" i="1"/>
  <c r="AS35" i="1"/>
  <c r="AK35" i="1"/>
  <c r="AF35" i="1"/>
  <c r="AE35" i="1"/>
  <c r="AD35" i="1"/>
  <c r="AB35" i="1"/>
  <c r="P35" i="1"/>
  <c r="V35" i="1" s="1"/>
  <c r="AI35" i="1" s="1"/>
  <c r="N35" i="1"/>
  <c r="M35" i="1"/>
  <c r="K35" i="1"/>
  <c r="J35" i="1"/>
  <c r="I35" i="1"/>
  <c r="G35" i="1"/>
  <c r="AU34" i="1"/>
  <c r="AS34" i="1"/>
  <c r="AK34" i="1"/>
  <c r="AE34" i="1"/>
  <c r="AF34" i="1" s="1"/>
  <c r="AD34" i="1"/>
  <c r="AB34" i="1"/>
  <c r="W34" i="1"/>
  <c r="AJ34" i="1" s="1"/>
  <c r="V34" i="1"/>
  <c r="AI34" i="1" s="1"/>
  <c r="U34" i="1"/>
  <c r="AH34" i="1" s="1"/>
  <c r="P34" i="1"/>
  <c r="N34" i="1"/>
  <c r="R34" i="1" s="1"/>
  <c r="M34" i="1"/>
  <c r="K34" i="1"/>
  <c r="J34" i="1"/>
  <c r="I34" i="1"/>
  <c r="G34" i="1"/>
  <c r="AS33" i="1"/>
  <c r="AU33" i="1" s="1"/>
  <c r="AK33" i="1"/>
  <c r="AI33" i="1"/>
  <c r="AG33" i="1"/>
  <c r="AE33" i="1"/>
  <c r="AF33" i="1" s="1"/>
  <c r="AD33" i="1"/>
  <c r="AB33" i="1"/>
  <c r="V33" i="1"/>
  <c r="U33" i="1"/>
  <c r="AH33" i="1" s="1"/>
  <c r="T33" i="1"/>
  <c r="S33" i="1"/>
  <c r="P33" i="1"/>
  <c r="Q33" i="1" s="1"/>
  <c r="N33" i="1"/>
  <c r="R33" i="1" s="1"/>
  <c r="M33" i="1"/>
  <c r="J33" i="1"/>
  <c r="I33" i="1"/>
  <c r="G33" i="1"/>
  <c r="AS32" i="1"/>
  <c r="AU32" i="1" s="1"/>
  <c r="AK32" i="1"/>
  <c r="AH32" i="1"/>
  <c r="AG32" i="1"/>
  <c r="AE32" i="1"/>
  <c r="AF32" i="1" s="1"/>
  <c r="AD32" i="1"/>
  <c r="AB32" i="1"/>
  <c r="V32" i="1"/>
  <c r="AI32" i="1" s="1"/>
  <c r="U32" i="1"/>
  <c r="T32" i="1"/>
  <c r="R32" i="1"/>
  <c r="S32" i="1" s="1"/>
  <c r="Q32" i="1"/>
  <c r="P32" i="1"/>
  <c r="N32" i="1"/>
  <c r="O32" i="1" s="1"/>
  <c r="M32" i="1"/>
  <c r="K32" i="1"/>
  <c r="J32" i="1"/>
  <c r="I32" i="1"/>
  <c r="G32" i="1"/>
  <c r="AU31" i="1"/>
  <c r="AS31" i="1"/>
  <c r="AK31" i="1"/>
  <c r="AH31" i="1"/>
  <c r="AG31" i="1"/>
  <c r="AE31" i="1"/>
  <c r="AF31" i="1" s="1"/>
  <c r="AD31" i="1"/>
  <c r="AB31" i="1"/>
  <c r="U31" i="1"/>
  <c r="T31" i="1"/>
  <c r="P31" i="1"/>
  <c r="O31" i="1"/>
  <c r="N31" i="1"/>
  <c r="M31" i="1"/>
  <c r="K31" i="1"/>
  <c r="J31" i="1"/>
  <c r="I31" i="1"/>
  <c r="G31" i="1"/>
  <c r="AS30" i="1"/>
  <c r="AU30" i="1" s="1"/>
  <c r="AK30" i="1"/>
  <c r="AE30" i="1"/>
  <c r="AF30" i="1" s="1"/>
  <c r="AD30" i="1"/>
  <c r="AB30" i="1"/>
  <c r="P30" i="1"/>
  <c r="V30" i="1" s="1"/>
  <c r="AI30" i="1" s="1"/>
  <c r="N30" i="1"/>
  <c r="O30" i="1" s="1"/>
  <c r="M30" i="1"/>
  <c r="K30" i="1"/>
  <c r="J30" i="1"/>
  <c r="I30" i="1"/>
  <c r="G30" i="1"/>
  <c r="AS29" i="1"/>
  <c r="AU29" i="1" s="1"/>
  <c r="AK29" i="1"/>
  <c r="AI29" i="1"/>
  <c r="AE29" i="1"/>
  <c r="AF29" i="1" s="1"/>
  <c r="AD29" i="1"/>
  <c r="AB29" i="1"/>
  <c r="V29" i="1"/>
  <c r="U29" i="1"/>
  <c r="AH29" i="1" s="1"/>
  <c r="P29" i="1"/>
  <c r="N29" i="1"/>
  <c r="R29" i="1" s="1"/>
  <c r="M29" i="1"/>
  <c r="K29" i="1"/>
  <c r="J29" i="1"/>
  <c r="W29" i="1" s="1"/>
  <c r="AJ29" i="1" s="1"/>
  <c r="I29" i="1"/>
  <c r="G29" i="1"/>
  <c r="AS28" i="1"/>
  <c r="AU28" i="1" s="1"/>
  <c r="AK28" i="1"/>
  <c r="AI28" i="1"/>
  <c r="AH28" i="1"/>
  <c r="AG28" i="1"/>
  <c r="AF28" i="1"/>
  <c r="AE28" i="1"/>
  <c r="AD28" i="1"/>
  <c r="AB28" i="1"/>
  <c r="V28" i="1"/>
  <c r="U28" i="1"/>
  <c r="T28" i="1"/>
  <c r="P28" i="1"/>
  <c r="Q28" i="1" s="1"/>
  <c r="N28" i="1"/>
  <c r="R28" i="1" s="1"/>
  <c r="S28" i="1" s="1"/>
  <c r="M28" i="1"/>
  <c r="K28" i="1"/>
  <c r="J28" i="1"/>
  <c r="W28" i="1" s="1"/>
  <c r="AJ28" i="1" s="1"/>
  <c r="I28" i="1"/>
  <c r="G28" i="1"/>
  <c r="AS27" i="1"/>
  <c r="AU27" i="1" s="1"/>
  <c r="AK27" i="1"/>
  <c r="AI27" i="1"/>
  <c r="AH27" i="1"/>
  <c r="AG27" i="1"/>
  <c r="AE27" i="1"/>
  <c r="AF27" i="1" s="1"/>
  <c r="AD27" i="1"/>
  <c r="AB27" i="1"/>
  <c r="V27" i="1"/>
  <c r="U27" i="1"/>
  <c r="T27" i="1"/>
  <c r="R27" i="1"/>
  <c r="S27" i="1" s="1"/>
  <c r="Q27" i="1"/>
  <c r="P27" i="1"/>
  <c r="N27" i="1"/>
  <c r="O27" i="1" s="1"/>
  <c r="M27" i="1"/>
  <c r="K27" i="1"/>
  <c r="J27" i="1"/>
  <c r="W27" i="1" s="1"/>
  <c r="AJ27" i="1" s="1"/>
  <c r="I27" i="1"/>
  <c r="G27" i="1"/>
  <c r="AU26" i="1"/>
  <c r="AS26" i="1"/>
  <c r="AK26" i="1"/>
  <c r="AH26" i="1"/>
  <c r="AG26" i="1"/>
  <c r="AE26" i="1"/>
  <c r="AF26" i="1" s="1"/>
  <c r="AD26" i="1"/>
  <c r="AB26" i="1"/>
  <c r="U26" i="1"/>
  <c r="T26" i="1"/>
  <c r="P26" i="1"/>
  <c r="O26" i="1"/>
  <c r="N26" i="1"/>
  <c r="M26" i="1"/>
  <c r="J26" i="1"/>
  <c r="I26" i="1"/>
  <c r="G26" i="1"/>
  <c r="AS25" i="1"/>
  <c r="AU25" i="1" s="1"/>
  <c r="AK25" i="1"/>
  <c r="AE25" i="1"/>
  <c r="AF25" i="1" s="1"/>
  <c r="AD25" i="1"/>
  <c r="AB25" i="1"/>
  <c r="P25" i="1"/>
  <c r="V25" i="1" s="1"/>
  <c r="AI25" i="1" s="1"/>
  <c r="N25" i="1"/>
  <c r="M25" i="1"/>
  <c r="K25" i="1"/>
  <c r="J25" i="1"/>
  <c r="I25" i="1"/>
  <c r="G25" i="1"/>
  <c r="AS24" i="1"/>
  <c r="AU24" i="1" s="1"/>
  <c r="AK24" i="1"/>
  <c r="AE24" i="1"/>
  <c r="AF24" i="1" s="1"/>
  <c r="AD24" i="1"/>
  <c r="AB24" i="1"/>
  <c r="V24" i="1"/>
  <c r="AI24" i="1" s="1"/>
  <c r="U24" i="1"/>
  <c r="AH24" i="1" s="1"/>
  <c r="P24" i="1"/>
  <c r="N24" i="1"/>
  <c r="R24" i="1" s="1"/>
  <c r="W24" i="1" s="1"/>
  <c r="AJ24" i="1" s="1"/>
  <c r="M24" i="1"/>
  <c r="K24" i="1"/>
  <c r="J24" i="1"/>
  <c r="I24" i="1"/>
  <c r="G24" i="1"/>
  <c r="AS23" i="1"/>
  <c r="AU23" i="1" s="1"/>
  <c r="AK23" i="1"/>
  <c r="AI23" i="1"/>
  <c r="AH23" i="1"/>
  <c r="AG23" i="1"/>
  <c r="AF23" i="1"/>
  <c r="AE23" i="1"/>
  <c r="AD23" i="1"/>
  <c r="AB23" i="1"/>
  <c r="V23" i="1"/>
  <c r="U23" i="1"/>
  <c r="T23" i="1"/>
  <c r="P23" i="1"/>
  <c r="Q23" i="1" s="1"/>
  <c r="N23" i="1"/>
  <c r="R23" i="1" s="1"/>
  <c r="S23" i="1" s="1"/>
  <c r="M23" i="1"/>
  <c r="K23" i="1"/>
  <c r="J23" i="1"/>
  <c r="I23" i="1"/>
  <c r="G23" i="1"/>
  <c r="AS22" i="1"/>
  <c r="AU22" i="1" s="1"/>
  <c r="AK22" i="1"/>
  <c r="AI22" i="1"/>
  <c r="AH22" i="1"/>
  <c r="AG22" i="1"/>
  <c r="AF22" i="1"/>
  <c r="AE22" i="1"/>
  <c r="AD22" i="1"/>
  <c r="AB22" i="1"/>
  <c r="V22" i="1"/>
  <c r="U22" i="1"/>
  <c r="T22" i="1"/>
  <c r="R22" i="1"/>
  <c r="S22" i="1" s="1"/>
  <c r="Q22" i="1"/>
  <c r="P22" i="1"/>
  <c r="N22" i="1"/>
  <c r="O22" i="1" s="1"/>
  <c r="M22" i="1"/>
  <c r="K22" i="1"/>
  <c r="J22" i="1"/>
  <c r="I22" i="1"/>
  <c r="G22" i="1"/>
  <c r="AU21" i="1"/>
  <c r="AS21" i="1"/>
  <c r="AK21" i="1"/>
  <c r="AH21" i="1"/>
  <c r="AG21" i="1"/>
  <c r="AE21" i="1"/>
  <c r="AF21" i="1" s="1"/>
  <c r="AD21" i="1"/>
  <c r="AB21" i="1"/>
  <c r="U21" i="1"/>
  <c r="T21" i="1"/>
  <c r="P21" i="1"/>
  <c r="Q21" i="1" s="1"/>
  <c r="O21" i="1"/>
  <c r="N21" i="1"/>
  <c r="M21" i="1"/>
  <c r="K21" i="1"/>
  <c r="J21" i="1"/>
  <c r="I21" i="1"/>
  <c r="G21" i="1"/>
  <c r="AS20" i="1"/>
  <c r="AU20" i="1" s="1"/>
  <c r="AK20" i="1"/>
  <c r="AE20" i="1"/>
  <c r="AF20" i="1" s="1"/>
  <c r="AD20" i="1"/>
  <c r="AB20" i="1"/>
  <c r="P20" i="1"/>
  <c r="V20" i="1" s="1"/>
  <c r="AI20" i="1" s="1"/>
  <c r="N20" i="1"/>
  <c r="O20" i="1" s="1"/>
  <c r="M20" i="1"/>
  <c r="K20" i="1"/>
  <c r="J20" i="1"/>
  <c r="I20" i="1"/>
  <c r="G20" i="1"/>
  <c r="AS19" i="1"/>
  <c r="AU19" i="1" s="1"/>
  <c r="AK19" i="1"/>
  <c r="AI19" i="1"/>
  <c r="AE19" i="1"/>
  <c r="AF19" i="1" s="1"/>
  <c r="AD19" i="1"/>
  <c r="AB19" i="1"/>
  <c r="W19" i="1"/>
  <c r="AJ19" i="1" s="1"/>
  <c r="V19" i="1"/>
  <c r="U19" i="1"/>
  <c r="AH19" i="1" s="1"/>
  <c r="P19" i="1"/>
  <c r="N19" i="1"/>
  <c r="R19" i="1" s="1"/>
  <c r="M19" i="1"/>
  <c r="J19" i="1"/>
  <c r="K19" i="1" s="1"/>
  <c r="I19" i="1"/>
  <c r="G19" i="1"/>
  <c r="AS18" i="1"/>
  <c r="AU18" i="1" s="1"/>
  <c r="AK18" i="1"/>
  <c r="AI18" i="1"/>
  <c r="AG18" i="1"/>
  <c r="AE18" i="1"/>
  <c r="AF18" i="1" s="1"/>
  <c r="AD18" i="1"/>
  <c r="AB18" i="1"/>
  <c r="V18" i="1"/>
  <c r="U18" i="1"/>
  <c r="AH18" i="1" s="1"/>
  <c r="T18" i="1"/>
  <c r="P18" i="1"/>
  <c r="Q18" i="1" s="1"/>
  <c r="N18" i="1"/>
  <c r="R18" i="1" s="1"/>
  <c r="S18" i="1" s="1"/>
  <c r="M18" i="1"/>
  <c r="J18" i="1"/>
  <c r="I18" i="1"/>
  <c r="G18" i="1"/>
  <c r="AS17" i="1"/>
  <c r="AU17" i="1" s="1"/>
  <c r="AK17" i="1"/>
  <c r="AI17" i="1"/>
  <c r="AH17" i="1"/>
  <c r="AG17" i="1"/>
  <c r="AE17" i="1"/>
  <c r="AF17" i="1" s="1"/>
  <c r="AD17" i="1"/>
  <c r="AB17" i="1"/>
  <c r="V17" i="1"/>
  <c r="U17" i="1"/>
  <c r="T17" i="1"/>
  <c r="X17" i="1" s="1"/>
  <c r="S17" i="1"/>
  <c r="R17" i="1"/>
  <c r="Q17" i="1"/>
  <c r="P17" i="1"/>
  <c r="N17" i="1"/>
  <c r="O17" i="1" s="1"/>
  <c r="M17" i="1"/>
  <c r="K17" i="1"/>
  <c r="J17" i="1"/>
  <c r="W17" i="1" s="1"/>
  <c r="AJ17" i="1" s="1"/>
  <c r="I17" i="1"/>
  <c r="G17" i="1"/>
  <c r="AU16" i="1"/>
  <c r="AS16" i="1"/>
  <c r="AK16" i="1"/>
  <c r="AH16" i="1"/>
  <c r="AG16" i="1"/>
  <c r="AE16" i="1"/>
  <c r="AF16" i="1" s="1"/>
  <c r="AD16" i="1"/>
  <c r="AB16" i="1"/>
  <c r="U16" i="1"/>
  <c r="T16" i="1"/>
  <c r="P16" i="1"/>
  <c r="O16" i="1"/>
  <c r="N16" i="1"/>
  <c r="M16" i="1"/>
  <c r="J16" i="1"/>
  <c r="I16" i="1"/>
  <c r="G16" i="1"/>
  <c r="AS15" i="1"/>
  <c r="AS36" i="1" s="1"/>
  <c r="AK15" i="1"/>
  <c r="AE15" i="1"/>
  <c r="AF15" i="1" s="1"/>
  <c r="AD15" i="1"/>
  <c r="AB15" i="1"/>
  <c r="P15" i="1"/>
  <c r="V15" i="1" s="1"/>
  <c r="AI15" i="1" s="1"/>
  <c r="N15" i="1"/>
  <c r="O15" i="1" s="1"/>
  <c r="M15" i="1"/>
  <c r="K15" i="1"/>
  <c r="J15" i="1"/>
  <c r="I15" i="1"/>
  <c r="G15" i="1"/>
  <c r="AS14" i="1"/>
  <c r="AU14" i="1" s="1"/>
  <c r="AK14" i="1"/>
  <c r="AI14" i="1"/>
  <c r="AE14" i="1"/>
  <c r="AF14" i="1" s="1"/>
  <c r="AD14" i="1"/>
  <c r="AB14" i="1"/>
  <c r="V14" i="1"/>
  <c r="P14" i="1"/>
  <c r="N14" i="1"/>
  <c r="M14" i="1"/>
  <c r="K14" i="1"/>
  <c r="J14" i="1"/>
  <c r="I14" i="1"/>
  <c r="G14" i="1"/>
  <c r="AS13" i="1"/>
  <c r="AU13" i="1" s="1"/>
  <c r="AK13" i="1"/>
  <c r="AI13" i="1"/>
  <c r="AH13" i="1"/>
  <c r="AG13" i="1"/>
  <c r="AE13" i="1"/>
  <c r="AF13" i="1" s="1"/>
  <c r="AD13" i="1"/>
  <c r="AB13" i="1"/>
  <c r="V13" i="1"/>
  <c r="U13" i="1"/>
  <c r="T13" i="1"/>
  <c r="P13" i="1"/>
  <c r="Q13" i="1" s="1"/>
  <c r="N13" i="1"/>
  <c r="R13" i="1" s="1"/>
  <c r="S13" i="1" s="1"/>
  <c r="M13" i="1"/>
  <c r="J13" i="1"/>
  <c r="W13" i="1" s="1"/>
  <c r="AJ13" i="1" s="1"/>
  <c r="I13" i="1"/>
  <c r="G13" i="1"/>
  <c r="AS12" i="1"/>
  <c r="AU12" i="1" s="1"/>
  <c r="AK12" i="1"/>
  <c r="AI12" i="1"/>
  <c r="AH12" i="1"/>
  <c r="AG12" i="1"/>
  <c r="AE12" i="1"/>
  <c r="AF12" i="1" s="1"/>
  <c r="AD12" i="1"/>
  <c r="AB12" i="1"/>
  <c r="V12" i="1"/>
  <c r="U12" i="1"/>
  <c r="T12" i="1"/>
  <c r="R12" i="1"/>
  <c r="S12" i="1" s="1"/>
  <c r="Q12" i="1"/>
  <c r="P12" i="1"/>
  <c r="N12" i="1"/>
  <c r="O12" i="1" s="1"/>
  <c r="M12" i="1"/>
  <c r="J12" i="1"/>
  <c r="I12" i="1"/>
  <c r="G12" i="1"/>
  <c r="AU11" i="1"/>
  <c r="AS11" i="1"/>
  <c r="AK11" i="1"/>
  <c r="AH11" i="1"/>
  <c r="AG11" i="1"/>
  <c r="AE11" i="1"/>
  <c r="AF11" i="1" s="1"/>
  <c r="AD11" i="1"/>
  <c r="AB11" i="1"/>
  <c r="U11" i="1"/>
  <c r="T11" i="1"/>
  <c r="P11" i="1"/>
  <c r="V11" i="1" s="1"/>
  <c r="AI11" i="1" s="1"/>
  <c r="O11" i="1"/>
  <c r="N11" i="1"/>
  <c r="M11" i="1"/>
  <c r="J11" i="1"/>
  <c r="I11" i="1"/>
  <c r="G11" i="1"/>
  <c r="AS10" i="1"/>
  <c r="AU10" i="1" s="1"/>
  <c r="AK10" i="1"/>
  <c r="AE10" i="1"/>
  <c r="AF10" i="1" s="1"/>
  <c r="AD10" i="1"/>
  <c r="AB10" i="1"/>
  <c r="P10" i="1"/>
  <c r="V10" i="1" s="1"/>
  <c r="AI10" i="1" s="1"/>
  <c r="N10" i="1"/>
  <c r="O10" i="1" s="1"/>
  <c r="M10" i="1"/>
  <c r="K10" i="1"/>
  <c r="J10" i="1"/>
  <c r="I10" i="1"/>
  <c r="G10" i="1"/>
  <c r="AS9" i="1"/>
  <c r="AU9" i="1" s="1"/>
  <c r="AK9" i="1"/>
  <c r="AI9" i="1"/>
  <c r="AE9" i="1"/>
  <c r="AF9" i="1" s="1"/>
  <c r="AD9" i="1"/>
  <c r="AB9" i="1"/>
  <c r="V9" i="1"/>
  <c r="P9" i="1"/>
  <c r="N9" i="1"/>
  <c r="R9" i="1" s="1"/>
  <c r="M9" i="1"/>
  <c r="K9" i="1"/>
  <c r="J9" i="1"/>
  <c r="W9" i="1" s="1"/>
  <c r="AJ9" i="1" s="1"/>
  <c r="I9" i="1"/>
  <c r="G9" i="1"/>
  <c r="AS8" i="1"/>
  <c r="AU8" i="1" s="1"/>
  <c r="AK8" i="1"/>
  <c r="AI8" i="1"/>
  <c r="AH8" i="1"/>
  <c r="AF8" i="1"/>
  <c r="AE8" i="1"/>
  <c r="AD8" i="1"/>
  <c r="AB8" i="1"/>
  <c r="V8" i="1"/>
  <c r="U8" i="1"/>
  <c r="P8" i="1"/>
  <c r="N8" i="1"/>
  <c r="R8" i="1" s="1"/>
  <c r="W8" i="1" s="1"/>
  <c r="AJ8" i="1" s="1"/>
  <c r="M8" i="1"/>
  <c r="S8" i="1" s="1"/>
  <c r="K8" i="1"/>
  <c r="J8" i="1"/>
  <c r="I8" i="1"/>
  <c r="G8" i="1"/>
  <c r="AS7" i="1"/>
  <c r="AU7" i="1" s="1"/>
  <c r="AK7" i="1"/>
  <c r="AI7" i="1"/>
  <c r="AH7" i="1"/>
  <c r="AG7" i="1"/>
  <c r="AF7" i="1"/>
  <c r="AE7" i="1"/>
  <c r="AD7" i="1"/>
  <c r="AB7" i="1"/>
  <c r="V7" i="1"/>
  <c r="U7" i="1"/>
  <c r="T7" i="1"/>
  <c r="R7" i="1"/>
  <c r="S7" i="1" s="1"/>
  <c r="Q7" i="1"/>
  <c r="P7" i="1"/>
  <c r="N7" i="1"/>
  <c r="O7" i="1" s="1"/>
  <c r="M7" i="1"/>
  <c r="K7" i="1"/>
  <c r="J7" i="1"/>
  <c r="I7" i="1"/>
  <c r="G7" i="1"/>
  <c r="AU6" i="1"/>
  <c r="AS6" i="1"/>
  <c r="AK6" i="1"/>
  <c r="AH6" i="1"/>
  <c r="AG6" i="1"/>
  <c r="AE6" i="1"/>
  <c r="AF6" i="1" s="1"/>
  <c r="AD6" i="1"/>
  <c r="AB6" i="1"/>
  <c r="U6" i="1"/>
  <c r="T6" i="1"/>
  <c r="R6" i="1"/>
  <c r="S6" i="1" s="1"/>
  <c r="P6" i="1"/>
  <c r="V6" i="1" s="1"/>
  <c r="AI6" i="1" s="1"/>
  <c r="O6" i="1"/>
  <c r="N6" i="1"/>
  <c r="M6" i="1"/>
  <c r="K6" i="1"/>
  <c r="J6" i="1"/>
  <c r="I6" i="1"/>
  <c r="G6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AS5" i="1"/>
  <c r="AU5" i="1" s="1"/>
  <c r="AK5" i="1"/>
  <c r="AE5" i="1"/>
  <c r="AD5" i="1"/>
  <c r="AB5" i="1"/>
  <c r="P5" i="1"/>
  <c r="N5" i="1"/>
  <c r="M5" i="1"/>
  <c r="M36" i="1" s="1"/>
  <c r="N38" i="1" s="1"/>
  <c r="K5" i="1"/>
  <c r="J5" i="1"/>
  <c r="I5" i="1"/>
  <c r="G5" i="1"/>
  <c r="B5" i="1"/>
  <c r="K37" i="3" l="1"/>
  <c r="X7" i="3"/>
  <c r="X17" i="3"/>
  <c r="AJ17" i="3"/>
  <c r="AU36" i="3"/>
  <c r="AL45" i="3"/>
  <c r="AK45" i="3"/>
  <c r="Q7" i="3"/>
  <c r="V7" i="3"/>
  <c r="AI7" i="3" s="1"/>
  <c r="W18" i="3"/>
  <c r="AJ18" i="3" s="1"/>
  <c r="AI5" i="3"/>
  <c r="X16" i="3"/>
  <c r="AF5" i="3"/>
  <c r="O11" i="3"/>
  <c r="Q13" i="3"/>
  <c r="AF21" i="3"/>
  <c r="Q25" i="3"/>
  <c r="Q29" i="3"/>
  <c r="Q30" i="3"/>
  <c r="N36" i="3"/>
  <c r="AB36" i="3"/>
  <c r="Q5" i="3"/>
  <c r="O8" i="3"/>
  <c r="AU12" i="3"/>
  <c r="Q14" i="3"/>
  <c r="T18" i="3"/>
  <c r="AG18" i="3"/>
  <c r="R25" i="3"/>
  <c r="S25" i="3" s="1"/>
  <c r="W28" i="3"/>
  <c r="AJ28" i="3" s="1"/>
  <c r="R29" i="3"/>
  <c r="W29" i="3" s="1"/>
  <c r="AJ29" i="3" s="1"/>
  <c r="R30" i="3"/>
  <c r="S30" i="3" s="1"/>
  <c r="R5" i="3"/>
  <c r="W5" i="3" s="1"/>
  <c r="W10" i="3"/>
  <c r="AJ10" i="3" s="1"/>
  <c r="V10" i="3"/>
  <c r="AI10" i="3" s="1"/>
  <c r="R11" i="3"/>
  <c r="S11" i="3" s="1"/>
  <c r="R14" i="3"/>
  <c r="R18" i="3"/>
  <c r="S18" i="3" s="1"/>
  <c r="R22" i="3"/>
  <c r="S22" i="3" s="1"/>
  <c r="O22" i="3"/>
  <c r="P36" i="3"/>
  <c r="W7" i="3"/>
  <c r="AJ7" i="3" s="1"/>
  <c r="AG11" i="3"/>
  <c r="AG12" i="3"/>
  <c r="S12" i="3"/>
  <c r="W20" i="3"/>
  <c r="AJ20" i="3" s="1"/>
  <c r="K20" i="3"/>
  <c r="R27" i="3"/>
  <c r="O27" i="3"/>
  <c r="R32" i="3"/>
  <c r="O32" i="3"/>
  <c r="W35" i="3"/>
  <c r="AJ35" i="3" s="1"/>
  <c r="R8" i="3"/>
  <c r="W8" i="3" s="1"/>
  <c r="AJ8" i="3" s="1"/>
  <c r="T11" i="3"/>
  <c r="T36" i="3" s="1"/>
  <c r="O16" i="3"/>
  <c r="T23" i="3"/>
  <c r="X23" i="3" s="1"/>
  <c r="AG23" i="3"/>
  <c r="S23" i="3"/>
  <c r="W30" i="3"/>
  <c r="AJ30" i="3" s="1"/>
  <c r="T33" i="3"/>
  <c r="X33" i="3" s="1"/>
  <c r="AG33" i="3"/>
  <c r="S33" i="3"/>
  <c r="AS36" i="3"/>
  <c r="R6" i="3"/>
  <c r="Q9" i="3"/>
  <c r="U11" i="3"/>
  <c r="AH11" i="3" s="1"/>
  <c r="O12" i="3"/>
  <c r="Q18" i="3"/>
  <c r="O19" i="3"/>
  <c r="T24" i="3"/>
  <c r="X24" i="3" s="1"/>
  <c r="AG24" i="3"/>
  <c r="X26" i="3"/>
  <c r="T28" i="3"/>
  <c r="AG28" i="3"/>
  <c r="S28" i="3"/>
  <c r="T34" i="3"/>
  <c r="X34" i="3" s="1"/>
  <c r="AG34" i="3"/>
  <c r="S34" i="3"/>
  <c r="Q12" i="3"/>
  <c r="T29" i="3"/>
  <c r="X29" i="3" s="1"/>
  <c r="AG29" i="3"/>
  <c r="S29" i="3"/>
  <c r="G36" i="3"/>
  <c r="T8" i="3"/>
  <c r="AG8" i="3"/>
  <c r="O33" i="3"/>
  <c r="R7" i="3"/>
  <c r="Q10" i="3"/>
  <c r="T12" i="3"/>
  <c r="X12" i="3" s="1"/>
  <c r="R13" i="3"/>
  <c r="W13" i="3" s="1"/>
  <c r="AJ13" i="3" s="1"/>
  <c r="W15" i="3"/>
  <c r="AJ15" i="3" s="1"/>
  <c r="AG16" i="3"/>
  <c r="Q19" i="3"/>
  <c r="Q23" i="3"/>
  <c r="O24" i="3"/>
  <c r="W26" i="3"/>
  <c r="AJ26" i="3" s="1"/>
  <c r="U27" i="3"/>
  <c r="AH27" i="3" s="1"/>
  <c r="O28" i="3"/>
  <c r="W31" i="3"/>
  <c r="AJ31" i="3" s="1"/>
  <c r="U32" i="3"/>
  <c r="AH32" i="3" s="1"/>
  <c r="Q33" i="3"/>
  <c r="O34" i="3"/>
  <c r="H37" i="3"/>
  <c r="I37" i="3" s="1"/>
  <c r="I36" i="3"/>
  <c r="M36" i="3"/>
  <c r="N38" i="3" s="1"/>
  <c r="J36" i="3"/>
  <c r="AG7" i="3"/>
  <c r="AG36" i="3" s="1"/>
  <c r="AL38" i="3" s="1"/>
  <c r="S7" i="3"/>
  <c r="R9" i="3"/>
  <c r="S9" i="3" s="1"/>
  <c r="T13" i="3"/>
  <c r="AG13" i="3"/>
  <c r="X15" i="3"/>
  <c r="Q16" i="3"/>
  <c r="AG19" i="3"/>
  <c r="O23" i="3"/>
  <c r="U6" i="3"/>
  <c r="AH6" i="3" s="1"/>
  <c r="AH36" i="3" s="1"/>
  <c r="AH37" i="3" s="1"/>
  <c r="O7" i="3"/>
  <c r="U12" i="3"/>
  <c r="AH12" i="3" s="1"/>
  <c r="O13" i="3"/>
  <c r="R19" i="3"/>
  <c r="Q20" i="3"/>
  <c r="U23" i="3"/>
  <c r="AH23" i="3" s="1"/>
  <c r="Q28" i="3"/>
  <c r="O29" i="3"/>
  <c r="U33" i="3"/>
  <c r="AH33" i="3" s="1"/>
  <c r="Q35" i="3"/>
  <c r="AE37" i="3"/>
  <c r="K35" i="3"/>
  <c r="AU36" i="2"/>
  <c r="AK45" i="2"/>
  <c r="AL45" i="2"/>
  <c r="AI36" i="2"/>
  <c r="AI37" i="2" s="1"/>
  <c r="W29" i="2"/>
  <c r="AJ29" i="2" s="1"/>
  <c r="O18" i="2"/>
  <c r="S21" i="2"/>
  <c r="O23" i="2"/>
  <c r="AG29" i="2"/>
  <c r="Q35" i="2"/>
  <c r="J36" i="2"/>
  <c r="W6" i="2"/>
  <c r="X7" i="2"/>
  <c r="AG8" i="2"/>
  <c r="AG9" i="2"/>
  <c r="S9" i="2"/>
  <c r="W11" i="2"/>
  <c r="AG18" i="2"/>
  <c r="AG19" i="2"/>
  <c r="S19" i="2"/>
  <c r="X21" i="2"/>
  <c r="X22" i="2"/>
  <c r="AG23" i="2"/>
  <c r="AG24" i="2"/>
  <c r="S24" i="2"/>
  <c r="W26" i="2"/>
  <c r="R29" i="2"/>
  <c r="S29" i="2" s="1"/>
  <c r="O29" i="2"/>
  <c r="T30" i="2"/>
  <c r="X30" i="2" s="1"/>
  <c r="AG30" i="2"/>
  <c r="S30" i="2"/>
  <c r="G37" i="2"/>
  <c r="K37" i="2" s="1"/>
  <c r="Q12" i="2"/>
  <c r="AS36" i="2"/>
  <c r="S8" i="2"/>
  <c r="AG13" i="2"/>
  <c r="AG14" i="2"/>
  <c r="S14" i="2"/>
  <c r="W16" i="2"/>
  <c r="S18" i="2"/>
  <c r="S23" i="2"/>
  <c r="X28" i="2"/>
  <c r="Q29" i="2"/>
  <c r="U30" i="2"/>
  <c r="AH30" i="2" s="1"/>
  <c r="R30" i="2"/>
  <c r="W30" i="2" s="1"/>
  <c r="AJ30" i="2" s="1"/>
  <c r="O31" i="2"/>
  <c r="G36" i="2"/>
  <c r="I37" i="2"/>
  <c r="O8" i="2"/>
  <c r="T5" i="2"/>
  <c r="AG5" i="2"/>
  <c r="S5" i="2"/>
  <c r="AE36" i="2"/>
  <c r="AF5" i="2"/>
  <c r="K7" i="2"/>
  <c r="W7" i="2"/>
  <c r="AJ7" i="2" s="1"/>
  <c r="T8" i="2"/>
  <c r="X8" i="2" s="1"/>
  <c r="T10" i="2"/>
  <c r="AG10" i="2"/>
  <c r="W12" i="2"/>
  <c r="AJ12" i="2" s="1"/>
  <c r="S13" i="2"/>
  <c r="W17" i="2"/>
  <c r="AJ17" i="2" s="1"/>
  <c r="T18" i="2"/>
  <c r="X18" i="2" s="1"/>
  <c r="T20" i="2"/>
  <c r="AG20" i="2"/>
  <c r="W22" i="2"/>
  <c r="AJ22" i="2" s="1"/>
  <c r="K22" i="2"/>
  <c r="T23" i="2"/>
  <c r="X23" i="2" s="1"/>
  <c r="T25" i="2"/>
  <c r="X25" i="2" s="1"/>
  <c r="AG25" i="2"/>
  <c r="S25" i="2"/>
  <c r="K27" i="2"/>
  <c r="W27" i="2"/>
  <c r="AJ27" i="2" s="1"/>
  <c r="T29" i="2"/>
  <c r="I36" i="2"/>
  <c r="R12" i="2"/>
  <c r="S12" i="2" s="1"/>
  <c r="U5" i="2"/>
  <c r="R5" i="2"/>
  <c r="U10" i="2"/>
  <c r="AH10" i="2" s="1"/>
  <c r="R10" i="2"/>
  <c r="W10" i="2" s="1"/>
  <c r="AJ10" i="2" s="1"/>
  <c r="T13" i="2"/>
  <c r="X13" i="2" s="1"/>
  <c r="T15" i="2"/>
  <c r="AG15" i="2"/>
  <c r="U20" i="2"/>
  <c r="AH20" i="2" s="1"/>
  <c r="R20" i="2"/>
  <c r="W20" i="2" s="1"/>
  <c r="AJ20" i="2" s="1"/>
  <c r="U25" i="2"/>
  <c r="AH25" i="2" s="1"/>
  <c r="R25" i="2"/>
  <c r="W25" i="2" s="1"/>
  <c r="AJ25" i="2" s="1"/>
  <c r="O5" i="2"/>
  <c r="T9" i="2"/>
  <c r="X9" i="2" s="1"/>
  <c r="O10" i="2"/>
  <c r="O11" i="2"/>
  <c r="AJ24" i="2"/>
  <c r="V30" i="2"/>
  <c r="AI30" i="2" s="1"/>
  <c r="W31" i="2"/>
  <c r="S31" i="2"/>
  <c r="W32" i="2"/>
  <c r="AJ32" i="2" s="1"/>
  <c r="O6" i="2"/>
  <c r="Q14" i="2"/>
  <c r="U15" i="2"/>
  <c r="AH15" i="2" s="1"/>
  <c r="R15" i="2"/>
  <c r="W15" i="2" s="1"/>
  <c r="AJ15" i="2" s="1"/>
  <c r="T19" i="2"/>
  <c r="X19" i="2" s="1"/>
  <c r="O20" i="2"/>
  <c r="O21" i="2"/>
  <c r="O25" i="2"/>
  <c r="O26" i="2"/>
  <c r="P36" i="2"/>
  <c r="U9" i="2"/>
  <c r="AH9" i="2" s="1"/>
  <c r="T14" i="2"/>
  <c r="X14" i="2" s="1"/>
  <c r="O15" i="2"/>
  <c r="U19" i="2"/>
  <c r="AH19" i="2" s="1"/>
  <c r="W23" i="2"/>
  <c r="AJ23" i="2" s="1"/>
  <c r="U24" i="2"/>
  <c r="AH24" i="2" s="1"/>
  <c r="R32" i="2"/>
  <c r="S32" i="2" s="1"/>
  <c r="AG34" i="2"/>
  <c r="S34" i="2"/>
  <c r="T35" i="2"/>
  <c r="S35" i="2"/>
  <c r="AG35" i="2"/>
  <c r="M36" i="2"/>
  <c r="N38" i="2" s="1"/>
  <c r="X32" i="2"/>
  <c r="O13" i="2"/>
  <c r="O16" i="2"/>
  <c r="Q5" i="2"/>
  <c r="Q6" i="2"/>
  <c r="Q11" i="2"/>
  <c r="U14" i="2"/>
  <c r="AH14" i="2" s="1"/>
  <c r="Q16" i="2"/>
  <c r="Q21" i="2"/>
  <c r="Q26" i="2"/>
  <c r="Q27" i="2"/>
  <c r="R34" i="2"/>
  <c r="W34" i="2" s="1"/>
  <c r="O34" i="2"/>
  <c r="U35" i="2"/>
  <c r="AH35" i="2" s="1"/>
  <c r="R35" i="2"/>
  <c r="W35" i="2" s="1"/>
  <c r="AJ35" i="2" s="1"/>
  <c r="N36" i="2"/>
  <c r="K16" i="2"/>
  <c r="AU15" i="1"/>
  <c r="AU36" i="1" s="1"/>
  <c r="T14" i="1"/>
  <c r="AG14" i="1"/>
  <c r="S14" i="1"/>
  <c r="X32" i="1"/>
  <c r="X7" i="1"/>
  <c r="T8" i="1"/>
  <c r="X8" i="1" s="1"/>
  <c r="O9" i="1"/>
  <c r="R11" i="1"/>
  <c r="S11" i="1" s="1"/>
  <c r="R14" i="1"/>
  <c r="W14" i="1" s="1"/>
  <c r="AJ14" i="1" s="1"/>
  <c r="O14" i="1"/>
  <c r="W16" i="1"/>
  <c r="AJ16" i="1" s="1"/>
  <c r="X22" i="1"/>
  <c r="X23" i="1"/>
  <c r="T29" i="1"/>
  <c r="X29" i="1" s="1"/>
  <c r="AG29" i="1"/>
  <c r="S29" i="1"/>
  <c r="T35" i="1"/>
  <c r="AG35" i="1"/>
  <c r="Q35" i="1"/>
  <c r="W12" i="1"/>
  <c r="AJ12" i="1" s="1"/>
  <c r="K12" i="1"/>
  <c r="AG15" i="1"/>
  <c r="T15" i="1"/>
  <c r="X15" i="1" s="1"/>
  <c r="Q11" i="1"/>
  <c r="J36" i="1"/>
  <c r="Q9" i="1"/>
  <c r="Q14" i="1"/>
  <c r="W18" i="1"/>
  <c r="AJ18" i="1" s="1"/>
  <c r="K18" i="1"/>
  <c r="T19" i="1"/>
  <c r="X19" i="1" s="1"/>
  <c r="AG19" i="1"/>
  <c r="S19" i="1"/>
  <c r="V26" i="1"/>
  <c r="AI26" i="1" s="1"/>
  <c r="R26" i="1"/>
  <c r="S26" i="1" s="1"/>
  <c r="W32" i="1"/>
  <c r="AJ32" i="1" s="1"/>
  <c r="R35" i="1"/>
  <c r="W35" i="1" s="1"/>
  <c r="AJ35" i="1" s="1"/>
  <c r="U35" i="1"/>
  <c r="AH35" i="1" s="1"/>
  <c r="AE36" i="1"/>
  <c r="AF5" i="1"/>
  <c r="W7" i="1"/>
  <c r="AJ7" i="1" s="1"/>
  <c r="U9" i="1"/>
  <c r="AH9" i="1" s="1"/>
  <c r="Q10" i="1"/>
  <c r="U14" i="1"/>
  <c r="AH14" i="1" s="1"/>
  <c r="W22" i="1"/>
  <c r="AJ22" i="1" s="1"/>
  <c r="Q26" i="1"/>
  <c r="Q29" i="1"/>
  <c r="W33" i="1"/>
  <c r="AJ33" i="1" s="1"/>
  <c r="K33" i="1"/>
  <c r="T34" i="1"/>
  <c r="X34" i="1" s="1"/>
  <c r="AG34" i="1"/>
  <c r="S34" i="1"/>
  <c r="O34" i="1"/>
  <c r="O35" i="1"/>
  <c r="Q8" i="1"/>
  <c r="R20" i="1"/>
  <c r="W20" i="1" s="1"/>
  <c r="AJ20" i="1" s="1"/>
  <c r="U20" i="1"/>
  <c r="AH20" i="1" s="1"/>
  <c r="AG5" i="1"/>
  <c r="T5" i="1"/>
  <c r="S5" i="1"/>
  <c r="Q19" i="1"/>
  <c r="T25" i="1"/>
  <c r="AG25" i="1"/>
  <c r="X16" i="1"/>
  <c r="T24" i="1"/>
  <c r="X24" i="1" s="1"/>
  <c r="AG24" i="1"/>
  <c r="S24" i="1"/>
  <c r="T9" i="1"/>
  <c r="X9" i="1" s="1"/>
  <c r="AG9" i="1"/>
  <c r="S9" i="1"/>
  <c r="AG10" i="1"/>
  <c r="T10" i="1"/>
  <c r="AK36" i="1"/>
  <c r="AK37" i="1" s="1"/>
  <c r="X12" i="1"/>
  <c r="R5" i="1"/>
  <c r="U5" i="1"/>
  <c r="N36" i="1"/>
  <c r="V16" i="1"/>
  <c r="AI16" i="1" s="1"/>
  <c r="R16" i="1"/>
  <c r="S16" i="1" s="1"/>
  <c r="W23" i="1"/>
  <c r="AJ23" i="1" s="1"/>
  <c r="R25" i="1"/>
  <c r="W25" i="1" s="1"/>
  <c r="AJ25" i="1" s="1"/>
  <c r="U25" i="1"/>
  <c r="AH25" i="1" s="1"/>
  <c r="X27" i="1"/>
  <c r="X28" i="1"/>
  <c r="Q34" i="1"/>
  <c r="V5" i="1"/>
  <c r="P36" i="1"/>
  <c r="X18" i="1"/>
  <c r="V31" i="1"/>
  <c r="AI31" i="1" s="1"/>
  <c r="R31" i="1"/>
  <c r="S31" i="1" s="1"/>
  <c r="Q5" i="1"/>
  <c r="U15" i="1"/>
  <c r="AH15" i="1" s="1"/>
  <c r="R15" i="1"/>
  <c r="W15" i="1" s="1"/>
  <c r="AJ15" i="1" s="1"/>
  <c r="V21" i="1"/>
  <c r="AI21" i="1" s="1"/>
  <c r="R21" i="1"/>
  <c r="S21" i="1" s="1"/>
  <c r="S30" i="1"/>
  <c r="T30" i="1"/>
  <c r="X30" i="1" s="1"/>
  <c r="AG30" i="1"/>
  <c r="Q31" i="1"/>
  <c r="AG8" i="1"/>
  <c r="K13" i="1"/>
  <c r="S20" i="1"/>
  <c r="AG20" i="1"/>
  <c r="T20" i="1"/>
  <c r="X20" i="1" s="1"/>
  <c r="Q24" i="1"/>
  <c r="U30" i="1"/>
  <c r="AH30" i="1" s="1"/>
  <c r="R30" i="1"/>
  <c r="W30" i="1" s="1"/>
  <c r="AJ30" i="1" s="1"/>
  <c r="W6" i="1"/>
  <c r="AJ6" i="1" s="1"/>
  <c r="U10" i="1"/>
  <c r="AH10" i="1" s="1"/>
  <c r="R10" i="1"/>
  <c r="W10" i="1" s="1"/>
  <c r="AJ10" i="1" s="1"/>
  <c r="X13" i="1"/>
  <c r="W11" i="1"/>
  <c r="AJ11" i="1" s="1"/>
  <c r="O5" i="1"/>
  <c r="Q6" i="1"/>
  <c r="Q16" i="1"/>
  <c r="O25" i="1"/>
  <c r="Q15" i="1"/>
  <c r="O19" i="1"/>
  <c r="Q20" i="1"/>
  <c r="O24" i="1"/>
  <c r="Q25" i="1"/>
  <c r="O29" i="1"/>
  <c r="Q30" i="1"/>
  <c r="F37" i="1"/>
  <c r="G37" i="1" s="1"/>
  <c r="K37" i="1" s="1"/>
  <c r="O18" i="1"/>
  <c r="O28" i="1"/>
  <c r="K11" i="1"/>
  <c r="K16" i="1"/>
  <c r="K26" i="1"/>
  <c r="O8" i="1"/>
  <c r="O13" i="1"/>
  <c r="O23" i="1"/>
  <c r="O33" i="1"/>
  <c r="AJ5" i="3" l="1"/>
  <c r="X5" i="3"/>
  <c r="N37" i="3"/>
  <c r="O37" i="3" s="1"/>
  <c r="O36" i="3"/>
  <c r="W22" i="3"/>
  <c r="X20" i="3"/>
  <c r="AI36" i="3"/>
  <c r="AI37" i="3" s="1"/>
  <c r="U36" i="3"/>
  <c r="U37" i="3" s="1"/>
  <c r="W14" i="3"/>
  <c r="S14" i="3"/>
  <c r="V36" i="3"/>
  <c r="V37" i="3" s="1"/>
  <c r="X18" i="3"/>
  <c r="J37" i="3"/>
  <c r="K36" i="3"/>
  <c r="S8" i="3"/>
  <c r="W25" i="3"/>
  <c r="W32" i="3"/>
  <c r="S32" i="3"/>
  <c r="S13" i="3"/>
  <c r="X31" i="3"/>
  <c r="S19" i="3"/>
  <c r="W19" i="3"/>
  <c r="W9" i="3"/>
  <c r="X10" i="3"/>
  <c r="W11" i="3"/>
  <c r="AJ11" i="3" s="1"/>
  <c r="X28" i="3"/>
  <c r="AF47" i="3"/>
  <c r="AF37" i="3"/>
  <c r="AF38" i="3"/>
  <c r="AE46" i="3"/>
  <c r="AE47" i="3" s="1"/>
  <c r="X8" i="3"/>
  <c r="X30" i="3"/>
  <c r="R36" i="3"/>
  <c r="S5" i="3"/>
  <c r="X13" i="3"/>
  <c r="S6" i="3"/>
  <c r="W6" i="3"/>
  <c r="W27" i="3"/>
  <c r="S27" i="3"/>
  <c r="Q36" i="3"/>
  <c r="P37" i="3"/>
  <c r="Q37" i="3" s="1"/>
  <c r="AJ34" i="2"/>
  <c r="X34" i="2"/>
  <c r="R36" i="2"/>
  <c r="W5" i="2"/>
  <c r="S10" i="2"/>
  <c r="T36" i="2"/>
  <c r="X5" i="2"/>
  <c r="AJ6" i="2"/>
  <c r="X6" i="2"/>
  <c r="AJ16" i="2"/>
  <c r="X16" i="2"/>
  <c r="J37" i="2"/>
  <c r="K36" i="2"/>
  <c r="AG36" i="2"/>
  <c r="AL38" i="2" s="1"/>
  <c r="X10" i="2"/>
  <c r="Q36" i="2"/>
  <c r="P37" i="2"/>
  <c r="Q37" i="2" s="1"/>
  <c r="AJ31" i="2"/>
  <c r="X31" i="2"/>
  <c r="S20" i="2"/>
  <c r="AF36" i="2"/>
  <c r="AE37" i="2"/>
  <c r="X29" i="2"/>
  <c r="X17" i="2"/>
  <c r="AH5" i="2"/>
  <c r="AH36" i="2" s="1"/>
  <c r="AH37" i="2" s="1"/>
  <c r="U36" i="2"/>
  <c r="U37" i="2" s="1"/>
  <c r="X20" i="2"/>
  <c r="X12" i="2"/>
  <c r="AJ26" i="2"/>
  <c r="X26" i="2"/>
  <c r="AJ11" i="2"/>
  <c r="X11" i="2"/>
  <c r="X27" i="2"/>
  <c r="N37" i="2"/>
  <c r="O37" i="2" s="1"/>
  <c r="O36" i="2"/>
  <c r="S15" i="2"/>
  <c r="V36" i="2"/>
  <c r="V37" i="2" s="1"/>
  <c r="X15" i="2"/>
  <c r="AH5" i="1"/>
  <c r="AH36" i="1" s="1"/>
  <c r="AH37" i="1" s="1"/>
  <c r="U36" i="1"/>
  <c r="U37" i="1" s="1"/>
  <c r="R36" i="1"/>
  <c r="W5" i="1"/>
  <c r="AG36" i="1"/>
  <c r="AL38" i="1" s="1"/>
  <c r="S15" i="1"/>
  <c r="AF36" i="1"/>
  <c r="AE37" i="1"/>
  <c r="Q36" i="1"/>
  <c r="P37" i="1"/>
  <c r="Q37" i="1" s="1"/>
  <c r="AI5" i="1"/>
  <c r="AI36" i="1" s="1"/>
  <c r="AI37" i="1" s="1"/>
  <c r="V36" i="1"/>
  <c r="V37" i="1" s="1"/>
  <c r="X14" i="1"/>
  <c r="W26" i="1"/>
  <c r="T36" i="1"/>
  <c r="X5" i="1"/>
  <c r="X33" i="1"/>
  <c r="AL45" i="1"/>
  <c r="AK45" i="1"/>
  <c r="X6" i="1"/>
  <c r="S10" i="1"/>
  <c r="X25" i="1"/>
  <c r="S35" i="1"/>
  <c r="O36" i="1"/>
  <c r="N37" i="1"/>
  <c r="O37" i="1" s="1"/>
  <c r="X10" i="1"/>
  <c r="W21" i="1"/>
  <c r="S25" i="1"/>
  <c r="X11" i="1"/>
  <c r="W31" i="1"/>
  <c r="J37" i="1"/>
  <c r="K36" i="1"/>
  <c r="AJ14" i="3" l="1"/>
  <c r="X14" i="3"/>
  <c r="AJ6" i="3"/>
  <c r="AJ36" i="3" s="1"/>
  <c r="X6" i="3"/>
  <c r="AJ32" i="3"/>
  <c r="X32" i="3"/>
  <c r="AJ9" i="3"/>
  <c r="X9" i="3"/>
  <c r="AJ27" i="3"/>
  <c r="X27" i="3"/>
  <c r="AJ25" i="3"/>
  <c r="X25" i="3"/>
  <c r="X22" i="3"/>
  <c r="AJ22" i="3"/>
  <c r="S36" i="3"/>
  <c r="R37" i="3"/>
  <c r="J46" i="3"/>
  <c r="J47" i="3" s="1"/>
  <c r="K47" i="3"/>
  <c r="K38" i="3"/>
  <c r="AJ19" i="3"/>
  <c r="X19" i="3"/>
  <c r="X11" i="3"/>
  <c r="W36" i="3"/>
  <c r="AJ5" i="2"/>
  <c r="AJ36" i="2" s="1"/>
  <c r="W36" i="2"/>
  <c r="S36" i="2"/>
  <c r="R37" i="2"/>
  <c r="AF47" i="2"/>
  <c r="AF37" i="2"/>
  <c r="AF38" i="2"/>
  <c r="AE46" i="2"/>
  <c r="AE47" i="2" s="1"/>
  <c r="K47" i="2"/>
  <c r="J46" i="2"/>
  <c r="J47" i="2" s="1"/>
  <c r="K38" i="2"/>
  <c r="AJ31" i="1"/>
  <c r="X31" i="1"/>
  <c r="AF47" i="1"/>
  <c r="AF37" i="1"/>
  <c r="AF38" i="1"/>
  <c r="AE46" i="1"/>
  <c r="AE47" i="1" s="1"/>
  <c r="AJ21" i="1"/>
  <c r="X21" i="1"/>
  <c r="AJ26" i="1"/>
  <c r="X26" i="1"/>
  <c r="AJ5" i="1"/>
  <c r="W36" i="1"/>
  <c r="S36" i="1"/>
  <c r="R37" i="1"/>
  <c r="J46" i="1"/>
  <c r="J47" i="1" s="1"/>
  <c r="K47" i="1"/>
  <c r="K38" i="1"/>
  <c r="AJ40" i="3" l="1"/>
  <c r="AK40" i="3" s="1"/>
  <c r="AJ37" i="3"/>
  <c r="R46" i="3"/>
  <c r="R47" i="3" s="1"/>
  <c r="S47" i="3"/>
  <c r="S38" i="3"/>
  <c r="S37" i="3"/>
  <c r="W37" i="3"/>
  <c r="X37" i="3" s="1"/>
  <c r="X36" i="3"/>
  <c r="R46" i="2"/>
  <c r="R47" i="2" s="1"/>
  <c r="S47" i="2"/>
  <c r="S37" i="2"/>
  <c r="S38" i="2"/>
  <c r="W37" i="2"/>
  <c r="X37" i="2" s="1"/>
  <c r="X36" i="2"/>
  <c r="AJ40" i="2"/>
  <c r="AK40" i="2" s="1"/>
  <c r="AJ37" i="2"/>
  <c r="R46" i="1"/>
  <c r="R47" i="1" s="1"/>
  <c r="S47" i="1"/>
  <c r="S37" i="1"/>
  <c r="S38" i="1"/>
  <c r="W37" i="1"/>
  <c r="X37" i="1" s="1"/>
  <c r="X36" i="1"/>
  <c r="AJ36" i="1"/>
  <c r="AK39" i="3" l="1"/>
  <c r="AJ43" i="3"/>
  <c r="AK46" i="3"/>
  <c r="AJ41" i="3"/>
  <c r="AK41" i="3" s="1"/>
  <c r="AK38" i="3"/>
  <c r="AJ45" i="3"/>
  <c r="AJ46" i="3" s="1"/>
  <c r="AK39" i="2"/>
  <c r="AK38" i="2"/>
  <c r="AK46" i="2"/>
  <c r="AJ41" i="2"/>
  <c r="AK41" i="2" s="1"/>
  <c r="AJ43" i="2"/>
  <c r="AJ45" i="2"/>
  <c r="AJ46" i="2" s="1"/>
  <c r="AJ40" i="1"/>
  <c r="AK40" i="1" s="1"/>
  <c r="AJ37" i="1"/>
  <c r="AK39" i="1" l="1"/>
  <c r="AK38" i="1"/>
  <c r="AK46" i="1"/>
  <c r="AJ41" i="1"/>
  <c r="AK41" i="1" s="1"/>
  <c r="AJ43" i="1"/>
  <c r="AJ45" i="1"/>
  <c r="AJ46" i="1" s="1"/>
</calcChain>
</file>

<file path=xl/sharedStrings.xml><?xml version="1.0" encoding="utf-8"?>
<sst xmlns="http://schemas.openxmlformats.org/spreadsheetml/2006/main" count="358" uniqueCount="92">
  <si>
    <t>※割引反映前</t>
  </si>
  <si>
    <t>金額：(税込)</t>
  </si>
  <si>
    <t>JW</t>
  </si>
  <si>
    <t>LUNCH</t>
  </si>
  <si>
    <t>DINNER（計算式あり・入力不要）</t>
  </si>
  <si>
    <t>レストランTOTAL売上（税込）</t>
  </si>
  <si>
    <t>T.O（税込）</t>
  </si>
  <si>
    <t>レストラン＋T/O（人数は含まず）＋南京錠売上TOTAL</t>
  </si>
  <si>
    <t>レストラン営業終了後トータル売上（入力用税込）</t>
  </si>
  <si>
    <t>日割予算</t>
  </si>
  <si>
    <t>件数</t>
  </si>
  <si>
    <t>人数合計</t>
  </si>
  <si>
    <t>料理売上　　    （税込）</t>
  </si>
  <si>
    <t>料理単価　　           （税抜）</t>
  </si>
  <si>
    <t>飲料売上　　          （税込）</t>
  </si>
  <si>
    <t>飲料単価　　　　（税抜）</t>
  </si>
  <si>
    <t>合計（税込）</t>
  </si>
  <si>
    <t>客単価(Ave.)</t>
  </si>
  <si>
    <t>NVP</t>
  </si>
  <si>
    <t>人数</t>
  </si>
  <si>
    <t>料理売上</t>
  </si>
  <si>
    <t>飲料売上</t>
  </si>
  <si>
    <t>売上</t>
  </si>
  <si>
    <t>個数</t>
  </si>
  <si>
    <t>料理単価</t>
  </si>
  <si>
    <t>飲料単価</t>
  </si>
  <si>
    <t>合計</t>
  </si>
  <si>
    <t>席料+南京錠+花</t>
  </si>
  <si>
    <t>客数</t>
  </si>
  <si>
    <t>料理</t>
  </si>
  <si>
    <t>飲料</t>
  </si>
  <si>
    <t>席料</t>
  </si>
  <si>
    <t>南京錠　　　　　　　　（プラン＋自販）</t>
  </si>
  <si>
    <t>花束（プラン）</t>
  </si>
  <si>
    <t>招待券・花束             （預り金）</t>
  </si>
  <si>
    <t>売上合計　　　　　（花束預り金除く）</t>
  </si>
  <si>
    <t>税抜金額</t>
  </si>
  <si>
    <t>入客</t>
  </si>
  <si>
    <t>（営業日数）</t>
  </si>
  <si>
    <t>一日平均</t>
  </si>
  <si>
    <t>■ランチコメント</t>
  </si>
  <si>
    <t>■ディナーコメント</t>
  </si>
  <si>
    <t>■TOコメント</t>
  </si>
  <si>
    <t>　1日売上平均（税込）</t>
  </si>
  <si>
    <t>その他予算</t>
  </si>
  <si>
    <t>TOTAL予算</t>
  </si>
  <si>
    <t>ランチ予算</t>
  </si>
  <si>
    <t>当月残り日数</t>
  </si>
  <si>
    <t>ディナー予算</t>
  </si>
  <si>
    <t>テイク予算</t>
  </si>
  <si>
    <t>予算まで</t>
  </si>
  <si>
    <t>達成まで一日あたり</t>
  </si>
  <si>
    <t>ランチ休業</t>
  </si>
  <si>
    <t>税抜レストラン+T/O売上単価</t>
  </si>
  <si>
    <t>(T/O＋レストラン昼夜)</t>
  </si>
  <si>
    <t>税抜レストラン+T/O売上</t>
  </si>
  <si>
    <t>　1日売上平均（税抜）</t>
  </si>
  <si>
    <t>税込合計</t>
  </si>
  <si>
    <t>税抜合計</t>
  </si>
  <si>
    <t>ランチ休業、夜貸切</t>
  </si>
  <si>
    <t>昼貸切</t>
  </si>
  <si>
    <t>ランチ休業、夜貸切RW,MC,観道14時から運行</t>
  </si>
  <si>
    <t>ランチ休業、夜貸切、、18:25～MC,観道再開,雷</t>
  </si>
  <si>
    <t>ランチ休業、RW終日運休、強風</t>
  </si>
  <si>
    <t>RW終日運休、強風</t>
  </si>
  <si>
    <t>スポーツの日</t>
  </si>
  <si>
    <t>ランチ休業、ワイン会</t>
  </si>
  <si>
    <t>ランチ休業、RW始発から一時運休</t>
  </si>
  <si>
    <t>本年度より土日祝日のみ営業。（平日はテイクアウトのイートインスペースとして利用）
集客29.0名/日、売上107,500円/日(税別)(11日間営業)。
平日イレギュラー営業、営業案件、10/12 32名モンターニュ167,731円（税別）
前月、集客29.5名/日、売上91,464円/日(税別)(12日間営業)。</t>
  </si>
  <si>
    <t>集客33.2/日
売上316,249円(税別)/日
前月、売上310,535円(税別)/日
サービススタッフ5＋アルバイト1名体制。
オペレーションは4〜5名/日の体制。10/2 40名エクラ、10/5 34名エクラ、10/16 30名エクラ、10/25 54名エクラ</t>
  </si>
  <si>
    <t>76,191円/日、売上対比、F73:B27
前月、52,750円/日、売上対比、F77:B23</t>
  </si>
  <si>
    <t>ランチ休業、全て運休、雷</t>
  </si>
  <si>
    <t>RW14時から運行</t>
  </si>
  <si>
    <t>ランチ休業、RW運休、強風</t>
  </si>
  <si>
    <t>招待券販売27,170</t>
  </si>
  <si>
    <t>ランチ休業、RW12時半から運休、強風</t>
  </si>
  <si>
    <t>RW運休、強風</t>
  </si>
  <si>
    <t>ランチ休業、RW15:30から運行</t>
  </si>
  <si>
    <t>ランチ休業、全て運休</t>
  </si>
  <si>
    <t>ランチ休業、16時から全て運休</t>
  </si>
  <si>
    <t>全て運休</t>
  </si>
  <si>
    <t>本年度より土日祝日のみ営業。（平日はテイクアウトのイートインスペースとして利用）
集客24.6名/日、売上84,497円/日(税別)(9日間営業)。全館closeの為、1日間（25日）休業。
前月、集客29.0名/日、売上107,500円/日(税別)(11日間営業)。</t>
  </si>
  <si>
    <t>集客28.9/日
売上296,386円(税別)/日
前月、集客33.2/日、売上316,249円(税別)/日
今月からレセプションスタッフ1名入社。
24日（16組38名388,680円）、25日（17組46名371,650円）全館休業の為、close。</t>
  </si>
  <si>
    <t>45,064円/日、売上対比、F70:B30
前月、76,191円/日、売上対比、F73:B27</t>
  </si>
  <si>
    <t>招待券販売20,000</t>
  </si>
  <si>
    <t>ランチ休業、16:15～20分間隔運行</t>
  </si>
  <si>
    <t>ランチ休業,RW終日運休,強風</t>
  </si>
  <si>
    <t>RW終日運休</t>
  </si>
  <si>
    <t>本年度より土日祝日のみ営業。（平日はテイクアウトのイートインスペースとして利用）
集客28.4名/日、売上116,539円/日(税別)(9日間営業)。強風によるRW運休の為、2日間（9日7-19 83,820円、17日8-19 90,860円）休業。
前月、集客24.6名/日、売上84,497円/日(税別)(9日間営業)</t>
  </si>
  <si>
    <t>集客33.9/日
売上405,838円(税別)/日
前月、集客28.9/日、売上296,386円(税別)/日
強風によるRW運休の為、3日間（13日11-27 338,470円、14日8-18 261,910円、17日16-35 471,180円）休業。
31日はランチ営業のみ。</t>
  </si>
  <si>
    <t>78,071円/日、売上対比、F67.5:B32.5
前月、45,064円/日、売上対比、F70:B30</t>
  </si>
  <si>
    <t>(税抜)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</si>
</sst>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0&quot;年&quot;"/>
    <numFmt numFmtId="177" formatCode="0&quot;月&quot;"/>
    <numFmt numFmtId="178" formatCode="d&quot;日(&quot;ddd\)"/>
    <numFmt numFmtId="179" formatCode="0&quot;件&quot;"/>
    <numFmt numFmtId="180" formatCode="0&quot;名&quot;"/>
    <numFmt numFmtId="181" formatCode="0\ "/>
    <numFmt numFmtId="182" formatCode="#,##0.00\ "/>
    <numFmt numFmtId="183" formatCode="0.0"/>
    <numFmt numFmtId="184" formatCode="\¥#,##0;[Red]&quot;¥-&quot;#,##0"/>
    <numFmt numFmtId="185" formatCode="#,##0.0;[Red]\-#,##0.0"/>
    <numFmt numFmtId="186" formatCode="0.0%"/>
  </numFmts>
  <fonts count="28">
    <font>
      <sz val="12"/>
      <color theme="1"/>
      <name val="游ゴシック"/>
      <family val="2"/>
      <charset val="128"/>
      <scheme val="minor"/>
    </font>
    <font>
      <sz val="9"/>
      <color rgb="FF000000"/>
      <name val="Meiryo"/>
      <family val="3"/>
      <charset val="128"/>
    </font>
    <font>
      <sz val="6"/>
      <name val="游ゴシック"/>
      <family val="2"/>
      <charset val="128"/>
      <scheme val="minor"/>
    </font>
    <font>
      <sz val="8"/>
      <color rgb="FF000000"/>
      <name val="Meiryo"/>
      <family val="3"/>
      <charset val="128"/>
    </font>
    <font>
      <b/>
      <sz val="9"/>
      <color rgb="FF000000"/>
      <name val="Meiryo"/>
      <family val="3"/>
      <charset val="128"/>
    </font>
    <font>
      <b/>
      <sz val="12"/>
      <color rgb="FF000000"/>
      <name val="Meiryo"/>
      <family val="3"/>
      <charset val="128"/>
    </font>
    <font>
      <sz val="10"/>
      <name val="Calibri"/>
      <family val="2"/>
    </font>
    <font>
      <b/>
      <sz val="11"/>
      <color rgb="FF000000"/>
      <name val="Meiryo"/>
      <family val="3"/>
      <charset val="128"/>
    </font>
    <font>
      <b/>
      <sz val="11"/>
      <color rgb="FF000000"/>
      <name val="メイリオ1"/>
      <family val="3"/>
      <charset val="128"/>
    </font>
    <font>
      <sz val="9"/>
      <color rgb="FFFF0000"/>
      <name val="Meiryo"/>
      <family val="3"/>
      <charset val="128"/>
    </font>
    <font>
      <b/>
      <sz val="8"/>
      <color rgb="FF000000"/>
      <name val="Meiryo"/>
      <family val="3"/>
      <charset val="128"/>
    </font>
    <font>
      <b/>
      <sz val="7"/>
      <color rgb="FF000000"/>
      <name val="Meiryo"/>
      <family val="3"/>
      <charset val="128"/>
    </font>
    <font>
      <b/>
      <sz val="6"/>
      <color rgb="FF000000"/>
      <name val="Meiryo"/>
      <family val="3"/>
      <charset val="128"/>
    </font>
    <font>
      <sz val="9"/>
      <color theme="1"/>
      <name val="Meiryo"/>
      <family val="3"/>
      <charset val="128"/>
    </font>
    <font>
      <b/>
      <sz val="9"/>
      <color rgb="FF000000"/>
      <name val="メイリオ1"/>
      <family val="3"/>
      <charset val="128"/>
    </font>
    <font>
      <sz val="11"/>
      <color rgb="FF000000"/>
      <name val="メイリオ1"/>
      <family val="3"/>
      <charset val="128"/>
    </font>
    <font>
      <b/>
      <sz val="10"/>
      <color rgb="FF000000"/>
      <name val="メイリオ1"/>
      <family val="3"/>
      <charset val="128"/>
    </font>
    <font>
      <sz val="12"/>
      <color rgb="FF000000"/>
      <name val="Meiryo"/>
      <family val="3"/>
      <charset val="128"/>
    </font>
    <font>
      <sz val="11"/>
      <color rgb="FF000000"/>
      <name val="游ゴシック"/>
      <family val="3"/>
      <charset val="128"/>
    </font>
    <font>
      <sz val="9"/>
      <color rgb="FF00B0F0"/>
      <name val="Meiryo"/>
      <family val="3"/>
      <charset val="128"/>
    </font>
    <font>
      <b/>
      <sz val="10"/>
      <color rgb="FF000000"/>
      <name val="Meiryo"/>
      <family val="3"/>
      <charset val="128"/>
    </font>
    <font>
      <b/>
      <sz val="12"/>
      <color theme="1"/>
      <name val="メイリオ1"/>
      <family val="3"/>
      <charset val="128"/>
    </font>
    <font>
      <b/>
      <sz val="9"/>
      <color theme="1"/>
      <name val="Meiryo"/>
      <family val="3"/>
      <charset val="128"/>
    </font>
    <font>
      <sz val="11"/>
      <color theme="1"/>
      <name val="メイリオ1"/>
      <family val="3"/>
      <charset val="128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9"/>
      <color rgb="FF0000FF"/>
      <name val="Meiryo"/>
      <family val="3"/>
      <charset val="128"/>
    </font>
    <font>
      <sz val="10"/>
      <color rgb="FF000000"/>
      <name val="MS PGothic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CCECFF"/>
        <bgColor rgb="FFCCECFF"/>
      </patternFill>
    </fill>
    <fill>
      <patternFill patternType="solid">
        <fgColor rgb="FFFBE5D6"/>
        <bgColor rgb="FFFBE5D6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</fills>
  <borders count="3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18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38" fontId="1" fillId="0" borderId="0" xfId="0" applyNumberFormat="1" applyFont="1" applyAlignment="1">
      <alignment horizontal="center" vertical="center" wrapText="1"/>
    </xf>
    <xf numFmtId="0" fontId="0" fillId="0" borderId="0" xfId="0" applyAlignment="1"/>
    <xf numFmtId="176" fontId="3" fillId="0" borderId="0" xfId="0" applyNumberFormat="1" applyFont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7" fontId="1" fillId="0" borderId="9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38" fontId="1" fillId="0" borderId="16" xfId="0" applyNumberFormat="1" applyFont="1" applyBorder="1" applyAlignment="1">
      <alignment horizontal="center" vertical="center" wrapText="1"/>
    </xf>
    <xf numFmtId="0" fontId="1" fillId="0" borderId="0" xfId="0" applyFont="1" applyAlignment="1"/>
    <xf numFmtId="38" fontId="4" fillId="0" borderId="16" xfId="0" applyNumberFormat="1" applyFont="1" applyBorder="1" applyAlignment="1"/>
    <xf numFmtId="38" fontId="1" fillId="0" borderId="0" xfId="0" applyNumberFormat="1" applyFont="1" applyAlignment="1"/>
    <xf numFmtId="0" fontId="4" fillId="0" borderId="0" xfId="0" applyFont="1" applyAlignment="1"/>
    <xf numFmtId="38" fontId="4" fillId="0" borderId="27" xfId="0" applyNumberFormat="1" applyFont="1" applyBorder="1" applyAlignment="1"/>
    <xf numFmtId="179" fontId="4" fillId="0" borderId="28" xfId="0" applyNumberFormat="1" applyFont="1" applyBorder="1" applyAlignment="1"/>
    <xf numFmtId="180" fontId="4" fillId="0" borderId="27" xfId="0" applyNumberFormat="1" applyFont="1" applyBorder="1" applyAlignment="1"/>
    <xf numFmtId="38" fontId="10" fillId="0" borderId="28" xfId="0" applyNumberFormat="1" applyFont="1" applyBorder="1" applyAlignment="1"/>
    <xf numFmtId="38" fontId="4" fillId="0" borderId="28" xfId="0" applyNumberFormat="1" applyFont="1" applyBorder="1" applyAlignment="1"/>
    <xf numFmtId="38" fontId="4" fillId="0" borderId="26" xfId="0" applyNumberFormat="1" applyFont="1" applyBorder="1" applyAlignment="1"/>
    <xf numFmtId="38" fontId="4" fillId="5" borderId="27" xfId="0" applyNumberFormat="1" applyFont="1" applyFill="1" applyBorder="1" applyAlignment="1"/>
    <xf numFmtId="182" fontId="4" fillId="0" borderId="27" xfId="0" applyNumberFormat="1" applyFont="1" applyBorder="1" applyAlignment="1">
      <alignment shrinkToFit="1"/>
    </xf>
    <xf numFmtId="181" fontId="4" fillId="0" borderId="28" xfId="0" applyNumberFormat="1" applyFont="1" applyBorder="1" applyAlignment="1"/>
    <xf numFmtId="38" fontId="10" fillId="0" borderId="27" xfId="0" applyNumberFormat="1" applyFont="1" applyBorder="1" applyAlignment="1"/>
    <xf numFmtId="38" fontId="7" fillId="5" borderId="27" xfId="0" applyNumberFormat="1" applyFont="1" applyFill="1" applyBorder="1" applyAlignment="1"/>
    <xf numFmtId="182" fontId="11" fillId="0" borderId="28" xfId="0" applyNumberFormat="1" applyFont="1" applyBorder="1" applyAlignment="1">
      <alignment shrinkToFit="1"/>
    </xf>
    <xf numFmtId="38" fontId="4" fillId="5" borderId="16" xfId="0" applyNumberFormat="1" applyFont="1" applyFill="1" applyBorder="1" applyAlignment="1"/>
    <xf numFmtId="38" fontId="4" fillId="8" borderId="16" xfId="0" applyNumberFormat="1" applyFont="1" applyFill="1" applyBorder="1" applyAlignment="1"/>
    <xf numFmtId="0" fontId="4" fillId="0" borderId="7" xfId="0" applyFont="1" applyBorder="1" applyAlignment="1"/>
    <xf numFmtId="38" fontId="10" fillId="0" borderId="16" xfId="0" applyNumberFormat="1" applyFont="1" applyBorder="1" applyAlignment="1"/>
    <xf numFmtId="38" fontId="7" fillId="5" borderId="16" xfId="0" applyNumberFormat="1" applyFont="1" applyFill="1" applyBorder="1" applyAlignment="1"/>
    <xf numFmtId="182" fontId="4" fillId="0" borderId="0" xfId="0" applyNumberFormat="1" applyFont="1" applyAlignment="1">
      <alignment shrinkToFit="1"/>
    </xf>
    <xf numFmtId="179" fontId="4" fillId="0" borderId="0" xfId="0" applyNumberFormat="1" applyFont="1" applyAlignment="1"/>
    <xf numFmtId="182" fontId="4" fillId="0" borderId="0" xfId="0" applyNumberFormat="1" applyFont="1" applyAlignment="1"/>
    <xf numFmtId="38" fontId="4" fillId="0" borderId="6" xfId="0" applyNumberFormat="1" applyFont="1" applyBorder="1" applyAlignment="1"/>
    <xf numFmtId="38" fontId="4" fillId="0" borderId="0" xfId="0" applyNumberFormat="1" applyFont="1" applyAlignment="1"/>
    <xf numFmtId="0" fontId="1" fillId="0" borderId="0" xfId="0" applyFont="1" applyAlignment="1">
      <alignment horizontal="right"/>
    </xf>
    <xf numFmtId="183" fontId="4" fillId="0" borderId="0" xfId="0" applyNumberFormat="1" applyFont="1" applyAlignment="1"/>
    <xf numFmtId="183" fontId="4" fillId="6" borderId="0" xfId="0" applyNumberFormat="1" applyFont="1" applyFill="1" applyAlignment="1"/>
    <xf numFmtId="183" fontId="12" fillId="0" borderId="0" xfId="0" applyNumberFormat="1" applyFont="1" applyAlignment="1"/>
    <xf numFmtId="183" fontId="4" fillId="0" borderId="0" xfId="0" applyNumberFormat="1" applyFont="1" applyAlignment="1">
      <alignment horizontal="right"/>
    </xf>
    <xf numFmtId="184" fontId="4" fillId="0" borderId="0" xfId="0" applyNumberFormat="1" applyFont="1" applyAlignment="1"/>
    <xf numFmtId="183" fontId="4" fillId="4" borderId="0" xfId="0" applyNumberFormat="1" applyFont="1" applyFill="1" applyAlignment="1"/>
    <xf numFmtId="0" fontId="1" fillId="0" borderId="19" xfId="0" applyFont="1" applyBorder="1" applyAlignment="1"/>
    <xf numFmtId="0" fontId="1" fillId="0" borderId="25" xfId="0" applyFont="1" applyBorder="1" applyAlignment="1">
      <alignment horizontal="right"/>
    </xf>
    <xf numFmtId="183" fontId="4" fillId="8" borderId="0" xfId="0" applyNumberFormat="1" applyFont="1" applyFill="1" applyAlignment="1"/>
    <xf numFmtId="0" fontId="1" fillId="0" borderId="29" xfId="0" applyFont="1" applyBorder="1" applyAlignment="1"/>
    <xf numFmtId="185" fontId="1" fillId="0" borderId="0" xfId="0" applyNumberFormat="1" applyFont="1" applyAlignment="1"/>
    <xf numFmtId="0" fontId="1" fillId="0" borderId="0" xfId="0" applyFont="1" applyAlignment="1">
      <alignment horizontal="center"/>
    </xf>
    <xf numFmtId="0" fontId="14" fillId="0" borderId="0" xfId="0" applyFont="1" applyAlignment="1"/>
    <xf numFmtId="0" fontId="14" fillId="0" borderId="0" xfId="0" applyFont="1" applyAlignment="1">
      <alignment horizontal="center"/>
    </xf>
    <xf numFmtId="38" fontId="14" fillId="0" borderId="0" xfId="0" applyNumberFormat="1" applyFont="1" applyAlignment="1"/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 shrinkToFit="1"/>
    </xf>
    <xf numFmtId="186" fontId="14" fillId="0" borderId="0" xfId="0" applyNumberFormat="1" applyFont="1" applyAlignment="1"/>
    <xf numFmtId="0" fontId="14" fillId="5" borderId="0" xfId="0" applyFont="1" applyFill="1" applyAlignment="1"/>
    <xf numFmtId="0" fontId="8" fillId="0" borderId="0" xfId="0" applyFont="1">
      <alignment vertical="center"/>
    </xf>
    <xf numFmtId="0" fontId="8" fillId="0" borderId="0" xfId="0" applyFont="1" applyAlignment="1">
      <alignment horizontal="right" vertical="center"/>
    </xf>
    <xf numFmtId="184" fontId="8" fillId="0" borderId="0" xfId="0" applyNumberFormat="1" applyFont="1">
      <alignment vertical="center"/>
    </xf>
    <xf numFmtId="10" fontId="8" fillId="0" borderId="0" xfId="0" applyNumberFormat="1" applyFont="1">
      <alignment vertical="center"/>
    </xf>
    <xf numFmtId="0" fontId="15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184" fontId="16" fillId="0" borderId="0" xfId="0" applyNumberFormat="1" applyFont="1">
      <alignment vertical="center"/>
    </xf>
    <xf numFmtId="10" fontId="16" fillId="0" borderId="0" xfId="0" applyNumberFormat="1" applyFont="1">
      <alignment vertical="center"/>
    </xf>
    <xf numFmtId="38" fontId="15" fillId="0" borderId="0" xfId="0" applyNumberFormat="1" applyFont="1">
      <alignment vertical="center"/>
    </xf>
    <xf numFmtId="0" fontId="1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38" fontId="1" fillId="0" borderId="0" xfId="0" applyNumberFormat="1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38" fontId="1" fillId="0" borderId="0" xfId="0" applyNumberFormat="1" applyFont="1" applyAlignment="1">
      <alignment horizontal="center" vertical="center"/>
    </xf>
    <xf numFmtId="38" fontId="5" fillId="0" borderId="0" xfId="0" applyNumberFormat="1" applyFont="1">
      <alignment vertical="center"/>
    </xf>
    <xf numFmtId="38" fontId="4" fillId="0" borderId="0" xfId="0" applyNumberFormat="1" applyFont="1">
      <alignment vertical="center"/>
    </xf>
    <xf numFmtId="38" fontId="17" fillId="0" borderId="0" xfId="0" applyNumberFormat="1" applyFont="1">
      <alignment vertical="center"/>
    </xf>
    <xf numFmtId="0" fontId="17" fillId="0" borderId="0" xfId="0" applyFont="1">
      <alignment vertical="center"/>
    </xf>
    <xf numFmtId="0" fontId="1" fillId="0" borderId="0" xfId="0" applyFont="1">
      <alignment vertical="center"/>
    </xf>
    <xf numFmtId="38" fontId="1" fillId="0" borderId="0" xfId="0" applyNumberFormat="1" applyFont="1">
      <alignment vertical="center"/>
    </xf>
    <xf numFmtId="38" fontId="11" fillId="0" borderId="27" xfId="0" applyNumberFormat="1" applyFont="1" applyBorder="1" applyAlignment="1"/>
    <xf numFmtId="38" fontId="10" fillId="5" borderId="27" xfId="0" applyNumberFormat="1" applyFont="1" applyFill="1" applyBorder="1" applyAlignment="1"/>
    <xf numFmtId="182" fontId="11" fillId="0" borderId="0" xfId="0" applyNumberFormat="1" applyFont="1" applyAlignment="1"/>
    <xf numFmtId="38" fontId="10" fillId="5" borderId="16" xfId="0" applyNumberFormat="1" applyFont="1" applyFill="1" applyBorder="1" applyAlignment="1"/>
    <xf numFmtId="38" fontId="11" fillId="0" borderId="16" xfId="0" applyNumberFormat="1" applyFont="1" applyBorder="1" applyAlignment="1"/>
    <xf numFmtId="182" fontId="10" fillId="0" borderId="28" xfId="0" applyNumberFormat="1" applyFont="1" applyBorder="1" applyAlignment="1">
      <alignment shrinkToFit="1"/>
    </xf>
    <xf numFmtId="3" fontId="1" fillId="0" borderId="0" xfId="0" applyNumberFormat="1" applyFont="1" applyAlignment="1"/>
    <xf numFmtId="0" fontId="7" fillId="5" borderId="7" xfId="0" applyFont="1" applyFill="1" applyBorder="1" applyAlignment="1">
      <alignment horizontal="center" vertical="center" wrapText="1"/>
    </xf>
    <xf numFmtId="0" fontId="6" fillId="0" borderId="5" xfId="0" applyFont="1" applyBorder="1" applyAlignment="1"/>
    <xf numFmtId="0" fontId="6" fillId="0" borderId="6" xfId="0" applyFont="1" applyBorder="1" applyAlignment="1"/>
    <xf numFmtId="0" fontId="13" fillId="0" borderId="1" xfId="0" applyFont="1" applyBorder="1" applyAlignment="1">
      <alignment horizontal="left" vertical="top" wrapText="1"/>
    </xf>
    <xf numFmtId="0" fontId="6" fillId="0" borderId="3" xfId="0" applyFont="1" applyBorder="1" applyAlignment="1"/>
    <xf numFmtId="0" fontId="6" fillId="0" borderId="24" xfId="0" applyFont="1" applyBorder="1" applyAlignment="1"/>
    <xf numFmtId="0" fontId="6" fillId="0" borderId="25" xfId="0" applyFont="1" applyBorder="1" applyAlignment="1"/>
    <xf numFmtId="0" fontId="0" fillId="0" borderId="0" xfId="0" applyAlignment="1"/>
    <xf numFmtId="0" fontId="6" fillId="0" borderId="29" xfId="0" applyFont="1" applyBorder="1" applyAlignment="1"/>
    <xf numFmtId="0" fontId="6" fillId="0" borderId="17" xfId="0" applyFont="1" applyBorder="1" applyAlignment="1"/>
    <xf numFmtId="0" fontId="6" fillId="0" borderId="20" xfId="0" applyFont="1" applyBorder="1" applyAlignment="1"/>
    <xf numFmtId="0" fontId="6" fillId="0" borderId="19" xfId="0" applyFont="1" applyBorder="1" applyAlignment="1"/>
    <xf numFmtId="0" fontId="9" fillId="0" borderId="1" xfId="0" applyFont="1" applyBorder="1" applyAlignment="1">
      <alignment horizontal="left" vertical="top" wrapText="1"/>
    </xf>
    <xf numFmtId="0" fontId="6" fillId="0" borderId="8" xfId="0" applyFont="1" applyBorder="1" applyAlignment="1"/>
    <xf numFmtId="0" fontId="5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38" fontId="11" fillId="0" borderId="28" xfId="0" applyNumberFormat="1" applyFont="1" applyBorder="1" applyAlignment="1"/>
    <xf numFmtId="38" fontId="20" fillId="5" borderId="27" xfId="0" applyNumberFormat="1" applyFont="1" applyFill="1" applyBorder="1" applyAlignment="1"/>
    <xf numFmtId="184" fontId="10" fillId="0" borderId="0" xfId="0" applyNumberFormat="1" applyFont="1" applyAlignment="1"/>
    <xf numFmtId="184" fontId="10" fillId="0" borderId="0" xfId="0" applyNumberFormat="1" applyFont="1" applyAlignment="1">
      <alignment shrinkToFit="1"/>
    </xf>
    <xf numFmtId="0" fontId="13" fillId="0" borderId="0" xfId="0" applyFont="1" applyAlignment="1">
      <alignment horizontal="center" vertical="center" wrapText="1"/>
    </xf>
    <xf numFmtId="177" fontId="13" fillId="0" borderId="0" xfId="0" applyNumberFormat="1" applyFont="1" applyAlignment="1">
      <alignment horizontal="center" vertical="center" wrapText="1"/>
    </xf>
    <xf numFmtId="177" fontId="21" fillId="0" borderId="1" xfId="0" applyNumberFormat="1" applyFont="1" applyBorder="1" applyAlignment="1">
      <alignment horizontal="center" vertical="center" wrapText="1"/>
    </xf>
    <xf numFmtId="0" fontId="22" fillId="0" borderId="26" xfId="0" applyFont="1" applyBorder="1" applyAlignment="1"/>
    <xf numFmtId="182" fontId="10" fillId="0" borderId="28" xfId="0" applyNumberFormat="1" applyFont="1" applyBorder="1" applyAlignment="1"/>
    <xf numFmtId="0" fontId="22" fillId="0" borderId="0" xfId="0" applyFont="1" applyAlignment="1"/>
    <xf numFmtId="0" fontId="13" fillId="0" borderId="0" xfId="0" applyFont="1" applyAlignment="1"/>
    <xf numFmtId="0" fontId="23" fillId="0" borderId="0" xfId="0" applyFont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78" fontId="13" fillId="0" borderId="17" xfId="0" applyNumberFormat="1" applyFont="1" applyBorder="1">
      <alignment vertical="center"/>
    </xf>
    <xf numFmtId="38" fontId="1" fillId="0" borderId="7" xfId="0" applyNumberFormat="1" applyFont="1" applyBorder="1">
      <alignment vertical="center"/>
    </xf>
    <xf numFmtId="179" fontId="1" fillId="0" borderId="18" xfId="0" applyNumberFormat="1" applyFont="1" applyBorder="1">
      <alignment vertical="center"/>
    </xf>
    <xf numFmtId="180" fontId="1" fillId="2" borderId="18" xfId="0" applyNumberFormat="1" applyFont="1" applyFill="1" applyBorder="1">
      <alignment vertical="center"/>
    </xf>
    <xf numFmtId="38" fontId="1" fillId="6" borderId="18" xfId="0" applyNumberFormat="1" applyFont="1" applyFill="1" applyBorder="1">
      <alignment vertical="center"/>
    </xf>
    <xf numFmtId="38" fontId="4" fillId="0" borderId="19" xfId="0" applyNumberFormat="1" applyFont="1" applyBorder="1">
      <alignment vertical="center"/>
    </xf>
    <xf numFmtId="38" fontId="4" fillId="0" borderId="17" xfId="0" applyNumberFormat="1" applyFont="1" applyBorder="1">
      <alignment vertical="center"/>
    </xf>
    <xf numFmtId="38" fontId="7" fillId="2" borderId="18" xfId="0" applyNumberFormat="1" applyFont="1" applyFill="1" applyBorder="1">
      <alignment vertical="center"/>
    </xf>
    <xf numFmtId="40" fontId="1" fillId="0" borderId="20" xfId="0" applyNumberFormat="1" applyFont="1" applyBorder="1">
      <alignment vertical="center"/>
    </xf>
    <xf numFmtId="181" fontId="1" fillId="0" borderId="18" xfId="0" applyNumberFormat="1" applyFont="1" applyBorder="1">
      <alignment vertical="center"/>
    </xf>
    <xf numFmtId="180" fontId="1" fillId="3" borderId="18" xfId="0" applyNumberFormat="1" applyFont="1" applyFill="1" applyBorder="1">
      <alignment vertical="center"/>
    </xf>
    <xf numFmtId="38" fontId="1" fillId="0" borderId="18" xfId="0" applyNumberFormat="1" applyFont="1" applyBorder="1">
      <alignment vertical="center"/>
    </xf>
    <xf numFmtId="38" fontId="7" fillId="0" borderId="16" xfId="0" applyNumberFormat="1" applyFont="1" applyBorder="1">
      <alignment vertical="center"/>
    </xf>
    <xf numFmtId="180" fontId="1" fillId="0" borderId="21" xfId="0" applyNumberFormat="1" applyFont="1" applyBorder="1">
      <alignment vertical="center"/>
    </xf>
    <xf numFmtId="38" fontId="1" fillId="7" borderId="17" xfId="0" applyNumberFormat="1" applyFont="1" applyFill="1" applyBorder="1">
      <alignment vertical="center"/>
    </xf>
    <xf numFmtId="179" fontId="1" fillId="4" borderId="18" xfId="0" applyNumberFormat="1" applyFont="1" applyFill="1" applyBorder="1">
      <alignment vertical="center"/>
    </xf>
    <xf numFmtId="180" fontId="1" fillId="0" borderId="18" xfId="0" applyNumberFormat="1" applyFont="1" applyBorder="1">
      <alignment vertical="center"/>
    </xf>
    <xf numFmtId="38" fontId="1" fillId="3" borderId="16" xfId="0" applyNumberFormat="1" applyFont="1" applyFill="1" applyBorder="1">
      <alignment vertical="center"/>
    </xf>
    <xf numFmtId="38" fontId="8" fillId="0" borderId="17" xfId="0" applyNumberFormat="1" applyFont="1" applyBorder="1">
      <alignment vertical="center"/>
    </xf>
    <xf numFmtId="38" fontId="1" fillId="0" borderId="16" xfId="0" applyNumberFormat="1" applyFont="1" applyBorder="1">
      <alignment vertical="center"/>
    </xf>
    <xf numFmtId="38" fontId="4" fillId="0" borderId="16" xfId="0" applyNumberFormat="1" applyFont="1" applyBorder="1">
      <alignment vertical="center"/>
    </xf>
    <xf numFmtId="38" fontId="1" fillId="7" borderId="16" xfId="0" applyNumberFormat="1" applyFont="1" applyFill="1" applyBorder="1">
      <alignment vertical="center"/>
    </xf>
    <xf numFmtId="0" fontId="24" fillId="0" borderId="0" xfId="0" applyFont="1">
      <alignment vertical="center"/>
    </xf>
    <xf numFmtId="178" fontId="19" fillId="0" borderId="7" xfId="0" applyNumberFormat="1" applyFont="1" applyBorder="1">
      <alignment vertical="center"/>
    </xf>
    <xf numFmtId="180" fontId="1" fillId="0" borderId="22" xfId="0" applyNumberFormat="1" applyFont="1" applyBorder="1">
      <alignment vertical="center"/>
    </xf>
    <xf numFmtId="178" fontId="9" fillId="0" borderId="7" xfId="0" applyNumberFormat="1" applyFont="1" applyBorder="1">
      <alignment vertical="center"/>
    </xf>
    <xf numFmtId="178" fontId="13" fillId="0" borderId="7" xfId="0" applyNumberFormat="1" applyFont="1" applyBorder="1">
      <alignment vertical="center"/>
    </xf>
    <xf numFmtId="38" fontId="8" fillId="8" borderId="17" xfId="0" applyNumberFormat="1" applyFont="1" applyFill="1" applyBorder="1">
      <alignment vertical="center"/>
    </xf>
    <xf numFmtId="0" fontId="25" fillId="0" borderId="0" xfId="0" applyFont="1">
      <alignment vertical="center"/>
    </xf>
    <xf numFmtId="38" fontId="4" fillId="8" borderId="17" xfId="0" applyNumberFormat="1" applyFont="1" applyFill="1" applyBorder="1">
      <alignment vertical="center"/>
    </xf>
    <xf numFmtId="38" fontId="9" fillId="0" borderId="7" xfId="0" applyNumberFormat="1" applyFont="1" applyBorder="1">
      <alignment vertical="center"/>
    </xf>
    <xf numFmtId="179" fontId="1" fillId="4" borderId="16" xfId="0" applyNumberFormat="1" applyFont="1" applyFill="1" applyBorder="1">
      <alignment vertical="center"/>
    </xf>
    <xf numFmtId="180" fontId="1" fillId="0" borderId="16" xfId="0" applyNumberFormat="1" applyFont="1" applyBorder="1">
      <alignment vertical="center"/>
    </xf>
    <xf numFmtId="38" fontId="1" fillId="6" borderId="16" xfId="0" applyNumberFormat="1" applyFont="1" applyFill="1" applyBorder="1">
      <alignment vertical="center"/>
    </xf>
    <xf numFmtId="180" fontId="1" fillId="3" borderId="2" xfId="0" applyNumberFormat="1" applyFont="1" applyFill="1" applyBorder="1">
      <alignment vertical="center"/>
    </xf>
    <xf numFmtId="180" fontId="1" fillId="0" borderId="23" xfId="0" applyNumberFormat="1" applyFont="1" applyBorder="1">
      <alignment vertical="center"/>
    </xf>
    <xf numFmtId="38" fontId="1" fillId="0" borderId="2" xfId="0" applyNumberFormat="1" applyFont="1" applyBorder="1">
      <alignment vertical="center"/>
    </xf>
    <xf numFmtId="38" fontId="1" fillId="7" borderId="1" xfId="0" applyNumberFormat="1" applyFont="1" applyFill="1" applyBorder="1">
      <alignment vertical="center"/>
    </xf>
    <xf numFmtId="179" fontId="1" fillId="4" borderId="2" xfId="0" applyNumberFormat="1" applyFont="1" applyFill="1" applyBorder="1">
      <alignment vertical="center"/>
    </xf>
    <xf numFmtId="180" fontId="1" fillId="0" borderId="2" xfId="0" applyNumberFormat="1" applyFont="1" applyBorder="1">
      <alignment vertical="center"/>
    </xf>
    <xf numFmtId="38" fontId="1" fillId="6" borderId="2" xfId="0" applyNumberFormat="1" applyFont="1" applyFill="1" applyBorder="1">
      <alignment vertical="center"/>
    </xf>
    <xf numFmtId="38" fontId="4" fillId="0" borderId="24" xfId="0" applyNumberFormat="1" applyFont="1" applyBorder="1">
      <alignment vertical="center"/>
    </xf>
    <xf numFmtId="38" fontId="4" fillId="0" borderId="25" xfId="0" applyNumberFormat="1" applyFont="1" applyBorder="1">
      <alignment vertical="center"/>
    </xf>
    <xf numFmtId="38" fontId="1" fillId="3" borderId="2" xfId="0" applyNumberFormat="1" applyFont="1" applyFill="1" applyBorder="1">
      <alignment vertical="center"/>
    </xf>
    <xf numFmtId="38" fontId="14" fillId="9" borderId="0" xfId="0" applyNumberFormat="1" applyFont="1" applyFill="1" applyAlignment="1">
      <alignment horizontal="right"/>
    </xf>
    <xf numFmtId="38" fontId="14" fillId="9" borderId="0" xfId="0" applyNumberFormat="1" applyFont="1" applyFill="1" applyAlignment="1"/>
    <xf numFmtId="0" fontId="25" fillId="0" borderId="0" xfId="0" applyFont="1" applyAlignment="1"/>
    <xf numFmtId="178" fontId="9" fillId="0" borderId="17" xfId="0" applyNumberFormat="1" applyFont="1" applyBorder="1">
      <alignment vertical="center"/>
    </xf>
    <xf numFmtId="178" fontId="26" fillId="0" borderId="7" xfId="0" applyNumberFormat="1" applyFont="1" applyBorder="1">
      <alignment vertical="center"/>
    </xf>
    <xf numFmtId="38" fontId="4" fillId="10" borderId="16" xfId="0" applyNumberFormat="1" applyFont="1" applyFill="1" applyBorder="1">
      <alignment vertical="center"/>
    </xf>
    <xf numFmtId="0" fontId="27" fillId="0" borderId="0" xfId="0" applyFont="1">
      <alignment vertical="center"/>
    </xf>
    <xf numFmtId="38" fontId="4" fillId="0" borderId="10" xfId="0" applyNumberFormat="1" applyFont="1" applyBorder="1">
      <alignment vertical="center"/>
    </xf>
    <xf numFmtId="38" fontId="1" fillId="6" borderId="10" xfId="0" applyNumberFormat="1" applyFont="1" applyFill="1" applyBorder="1">
      <alignment vertical="center"/>
    </xf>
    <xf numFmtId="38" fontId="10" fillId="0" borderId="28" xfId="0" applyNumberFormat="1" applyFont="1" applyBorder="1" applyAlignment="1">
      <alignment shrinkToFit="1"/>
    </xf>
    <xf numFmtId="38" fontId="10" fillId="0" borderId="16" xfId="0" applyNumberFormat="1" applyFont="1" applyBorder="1" applyAlignment="1">
      <alignment shrinkToFit="1"/>
    </xf>
    <xf numFmtId="38" fontId="1" fillId="0" borderId="0" xfId="0" applyNumberFormat="1" applyFont="1" applyAlignment="1">
      <alignment horizontal="righ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A4F2B-43EB-4B47-A4A2-86B280E538A7}">
  <dimension ref="A1:AV1000"/>
  <sheetViews>
    <sheetView workbookViewId="0">
      <selection sqref="A1:XFD1048576"/>
    </sheetView>
  </sheetViews>
  <sheetFormatPr baseColWidth="10" defaultColWidth="10.28515625" defaultRowHeight="15" customHeight="1"/>
  <cols>
    <col min="1" max="2" width="9.28515625" style="4" customWidth="1"/>
    <col min="3" max="3" width="13.28515625" style="4" customWidth="1"/>
    <col min="4" max="4" width="3.42578125" style="4" customWidth="1"/>
    <col min="5" max="6" width="6.28515625" style="4" customWidth="1"/>
    <col min="7" max="7" width="9.7109375" style="4" customWidth="1"/>
    <col min="8" max="9" width="6.28515625" style="4" customWidth="1"/>
    <col min="10" max="10" width="8.28515625" style="4" customWidth="1"/>
    <col min="11" max="11" width="6.28515625" style="4" customWidth="1"/>
    <col min="12" max="12" width="3.28515625" style="4" customWidth="1"/>
    <col min="13" max="14" width="6.28515625" style="4" customWidth="1"/>
    <col min="15" max="15" width="9.7109375" style="4" customWidth="1"/>
    <col min="16" max="17" width="6.28515625" style="4" customWidth="1"/>
    <col min="18" max="18" width="10.28515625" style="4"/>
    <col min="19" max="22" width="6.28515625" style="4" customWidth="1"/>
    <col min="23" max="23" width="7" style="4" customWidth="1"/>
    <col min="24" max="24" width="6.28515625" style="4" customWidth="1"/>
    <col min="25" max="25" width="2.5703125" style="4" customWidth="1"/>
    <col min="26" max="30" width="6.28515625" style="4" customWidth="1"/>
    <col min="31" max="31" width="8.28515625" style="4" customWidth="1"/>
    <col min="32" max="35" width="6.28515625" style="4" customWidth="1"/>
    <col min="36" max="36" width="11.28515625" style="4" customWidth="1"/>
    <col min="37" max="47" width="9.28515625" style="4" customWidth="1"/>
    <col min="48" max="48" width="10.28515625" style="4" customWidth="1"/>
    <col min="49" max="16384" width="10.28515625" style="4"/>
  </cols>
  <sheetData>
    <row r="1" spans="1:48" ht="13.5" customHeight="1">
      <c r="A1" s="1" t="s">
        <v>0</v>
      </c>
      <c r="B1" s="12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3"/>
      <c r="AT1" s="2"/>
      <c r="AU1" s="3"/>
    </row>
    <row r="2" spans="1:48" ht="13.5" customHeight="1">
      <c r="A2" s="5">
        <v>2023</v>
      </c>
      <c r="B2" s="123">
        <v>10</v>
      </c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2"/>
      <c r="S2" s="2"/>
      <c r="T2" s="2"/>
      <c r="U2" s="2"/>
      <c r="V2" s="2"/>
      <c r="W2" s="2"/>
      <c r="X2" s="2" t="s">
        <v>1</v>
      </c>
      <c r="Y2" s="7"/>
      <c r="Z2" s="7"/>
      <c r="AA2" s="7"/>
      <c r="AB2" s="7"/>
      <c r="AC2" s="7"/>
      <c r="AD2" s="7"/>
      <c r="AE2" s="2"/>
      <c r="AF2" s="2"/>
      <c r="AG2" s="2"/>
      <c r="AH2" s="2"/>
      <c r="AI2" s="2"/>
      <c r="AJ2" s="2"/>
      <c r="AK2" s="2" t="s">
        <v>1</v>
      </c>
      <c r="AL2" s="2"/>
      <c r="AM2" s="2"/>
      <c r="AN2" s="2"/>
      <c r="AO2" s="2"/>
      <c r="AP2" s="2"/>
      <c r="AQ2" s="2"/>
      <c r="AR2" s="2"/>
      <c r="AS2" s="3"/>
      <c r="AT2" s="2"/>
      <c r="AU2" s="3"/>
    </row>
    <row r="3" spans="1:48" ht="33" customHeight="1">
      <c r="A3" s="8"/>
      <c r="B3" s="124" t="s">
        <v>2</v>
      </c>
      <c r="C3" s="9"/>
      <c r="D3" s="114" t="s">
        <v>3</v>
      </c>
      <c r="E3" s="104"/>
      <c r="F3" s="104"/>
      <c r="G3" s="104"/>
      <c r="H3" s="104"/>
      <c r="I3" s="104"/>
      <c r="J3" s="104"/>
      <c r="K3" s="104"/>
      <c r="L3" s="115" t="s">
        <v>4</v>
      </c>
      <c r="M3" s="104"/>
      <c r="N3" s="104"/>
      <c r="O3" s="104"/>
      <c r="P3" s="104"/>
      <c r="Q3" s="104"/>
      <c r="R3" s="104"/>
      <c r="S3" s="104"/>
      <c r="T3" s="116" t="s">
        <v>5</v>
      </c>
      <c r="U3" s="101"/>
      <c r="V3" s="101"/>
      <c r="W3" s="101"/>
      <c r="X3" s="102"/>
      <c r="Y3" s="117" t="s">
        <v>6</v>
      </c>
      <c r="Z3" s="104"/>
      <c r="AA3" s="104"/>
      <c r="AB3" s="104"/>
      <c r="AC3" s="104"/>
      <c r="AD3" s="104"/>
      <c r="AE3" s="104"/>
      <c r="AF3" s="104"/>
      <c r="AG3" s="116" t="s">
        <v>7</v>
      </c>
      <c r="AH3" s="101"/>
      <c r="AI3" s="101"/>
      <c r="AJ3" s="101"/>
      <c r="AK3" s="102"/>
      <c r="AL3" s="100" t="s">
        <v>8</v>
      </c>
      <c r="AM3" s="101"/>
      <c r="AN3" s="101"/>
      <c r="AO3" s="101"/>
      <c r="AP3" s="101"/>
      <c r="AQ3" s="101"/>
      <c r="AR3" s="101"/>
      <c r="AS3" s="102"/>
      <c r="AT3" s="2"/>
      <c r="AU3" s="3"/>
    </row>
    <row r="4" spans="1:48" ht="53.25" customHeight="1" thickBot="1">
      <c r="A4" s="8"/>
      <c r="B4" s="113"/>
      <c r="C4" s="10" t="s">
        <v>9</v>
      </c>
      <c r="D4" s="11" t="s">
        <v>10</v>
      </c>
      <c r="E4" s="12" t="s">
        <v>11</v>
      </c>
      <c r="F4" s="11" t="s">
        <v>12</v>
      </c>
      <c r="G4" s="13" t="s">
        <v>13</v>
      </c>
      <c r="H4" s="11" t="s">
        <v>14</v>
      </c>
      <c r="I4" s="14" t="s">
        <v>15</v>
      </c>
      <c r="J4" s="12" t="s">
        <v>16</v>
      </c>
      <c r="K4" s="11" t="s">
        <v>17</v>
      </c>
      <c r="L4" s="11" t="s">
        <v>18</v>
      </c>
      <c r="M4" s="15" t="s">
        <v>11</v>
      </c>
      <c r="N4" s="11" t="s">
        <v>12</v>
      </c>
      <c r="O4" s="13" t="s">
        <v>13</v>
      </c>
      <c r="P4" s="11" t="s">
        <v>14</v>
      </c>
      <c r="Q4" s="14" t="s">
        <v>15</v>
      </c>
      <c r="R4" s="12" t="s">
        <v>16</v>
      </c>
      <c r="S4" s="16" t="s">
        <v>17</v>
      </c>
      <c r="T4" s="17" t="s">
        <v>19</v>
      </c>
      <c r="U4" s="18" t="s">
        <v>20</v>
      </c>
      <c r="V4" s="18" t="s">
        <v>21</v>
      </c>
      <c r="W4" s="19" t="s">
        <v>22</v>
      </c>
      <c r="X4" s="18"/>
      <c r="Y4" s="20" t="s">
        <v>23</v>
      </c>
      <c r="Z4" s="21" t="s">
        <v>11</v>
      </c>
      <c r="AA4" s="11" t="s">
        <v>20</v>
      </c>
      <c r="AB4" s="13" t="s">
        <v>24</v>
      </c>
      <c r="AC4" s="11" t="s">
        <v>21</v>
      </c>
      <c r="AD4" s="14" t="s">
        <v>25</v>
      </c>
      <c r="AE4" s="15" t="s">
        <v>26</v>
      </c>
      <c r="AF4" s="22" t="s">
        <v>17</v>
      </c>
      <c r="AG4" s="17" t="s">
        <v>19</v>
      </c>
      <c r="AH4" s="18" t="s">
        <v>20</v>
      </c>
      <c r="AI4" s="18" t="s">
        <v>21</v>
      </c>
      <c r="AJ4" s="19" t="s">
        <v>22</v>
      </c>
      <c r="AK4" s="18" t="s">
        <v>27</v>
      </c>
      <c r="AL4" s="23" t="s">
        <v>28</v>
      </c>
      <c r="AM4" s="23" t="s">
        <v>29</v>
      </c>
      <c r="AN4" s="23" t="s">
        <v>30</v>
      </c>
      <c r="AO4" s="23" t="s">
        <v>31</v>
      </c>
      <c r="AP4" s="23" t="s">
        <v>32</v>
      </c>
      <c r="AQ4" s="23" t="s">
        <v>33</v>
      </c>
      <c r="AR4" s="23" t="s">
        <v>34</v>
      </c>
      <c r="AS4" s="24" t="s">
        <v>35</v>
      </c>
      <c r="AT4" s="2"/>
      <c r="AU4" s="3"/>
    </row>
    <row r="5" spans="1:48" ht="13.5" customHeight="1" thickTop="1">
      <c r="A5" s="91"/>
      <c r="B5" s="179">
        <f>DATE($A$2,$B$2,1)</f>
        <v>45200</v>
      </c>
      <c r="C5" s="133"/>
      <c r="D5" s="134"/>
      <c r="E5" s="135">
        <v>28</v>
      </c>
      <c r="F5" s="136">
        <v>106150</v>
      </c>
      <c r="G5" s="137">
        <f t="shared" ref="G5:G35" si="0">ROUNDDOWN(F5/1.1,0)/E5</f>
        <v>3446.4285714285716</v>
      </c>
      <c r="H5" s="136">
        <v>20940</v>
      </c>
      <c r="I5" s="138">
        <f t="shared" ref="I5:I35" si="1">ROUNDDOWN(H5/1.1,0)/E5</f>
        <v>679.85714285714289</v>
      </c>
      <c r="J5" s="139">
        <f t="shared" ref="J5:J35" si="2">F5+H5</f>
        <v>127090</v>
      </c>
      <c r="K5" s="140">
        <f t="shared" ref="K5:K35" si="3">IF(E5="","",J5/E5)</f>
        <v>4538.9285714285716</v>
      </c>
      <c r="L5" s="141"/>
      <c r="M5" s="142">
        <f t="shared" ref="M5:N35" si="4">AL5-E5</f>
        <v>38</v>
      </c>
      <c r="N5" s="143">
        <f t="shared" si="4"/>
        <v>423280</v>
      </c>
      <c r="O5" s="137">
        <f t="shared" ref="O5:O35" si="5">ROUNDDOWN(N5/1.1,0)/M5</f>
        <v>10126.315789473685</v>
      </c>
      <c r="P5" s="143">
        <f t="shared" ref="P5:P35" si="6">AN5-H5</f>
        <v>83030</v>
      </c>
      <c r="Q5" s="138">
        <f t="shared" ref="Q5:Q35" si="7">ROUNDDOWN(P5/1.1,0)/M5</f>
        <v>1986.3421052631579</v>
      </c>
      <c r="R5" s="144">
        <f t="shared" ref="R5:R35" si="8">N5+P5</f>
        <v>506310</v>
      </c>
      <c r="S5" s="140">
        <f t="shared" ref="S5:S35" si="9">IF(M5="","",R5/M5)</f>
        <v>13323.947368421053</v>
      </c>
      <c r="T5" s="145">
        <f t="shared" ref="T5:U35" si="10">E5+M5</f>
        <v>66</v>
      </c>
      <c r="U5" s="143">
        <f t="shared" si="10"/>
        <v>529430</v>
      </c>
      <c r="V5" s="143">
        <f t="shared" ref="V5:V35" si="11">H5+P5</f>
        <v>103970</v>
      </c>
      <c r="W5" s="146">
        <f t="shared" ref="W5:W35" si="12">J5+R5</f>
        <v>633400</v>
      </c>
      <c r="X5" s="143">
        <f t="shared" ref="X5:X34" si="13">IF(T5="","",W5/T5)</f>
        <v>9596.9696969696961</v>
      </c>
      <c r="Y5" s="147"/>
      <c r="Z5" s="148">
        <v>102</v>
      </c>
      <c r="AA5" s="136">
        <v>51350</v>
      </c>
      <c r="AB5" s="137">
        <f t="shared" ref="AB5:AB35" si="14">AA5/Z5</f>
        <v>503.43137254901961</v>
      </c>
      <c r="AC5" s="136">
        <v>19350</v>
      </c>
      <c r="AD5" s="138">
        <f t="shared" ref="AD5:AD35" si="15">AC5/Z5</f>
        <v>189.70588235294119</v>
      </c>
      <c r="AE5" s="149">
        <f t="shared" ref="AE5:AE35" si="16">AA5+AC5</f>
        <v>70700</v>
      </c>
      <c r="AF5" s="140">
        <f t="shared" ref="AF5:AF35" si="17">IF(Z5="","",AE5/Z5)</f>
        <v>693.13725490196077</v>
      </c>
      <c r="AG5" s="145">
        <f t="shared" ref="AG5:AG35" si="18">SUM(E5,M5)</f>
        <v>66</v>
      </c>
      <c r="AH5" s="143">
        <f t="shared" ref="AH5:AH35" si="19">U5+AA5</f>
        <v>580780</v>
      </c>
      <c r="AI5" s="143">
        <f t="shared" ref="AI5:AI35" si="20">V5+AC5</f>
        <v>123320</v>
      </c>
      <c r="AJ5" s="150">
        <f t="shared" ref="AJ5:AJ35" si="21">W5+AE5</f>
        <v>704100</v>
      </c>
      <c r="AK5" s="143">
        <f t="shared" ref="AK5:AK35" si="22">AO5+AP5+AQ5</f>
        <v>38830</v>
      </c>
      <c r="AL5" s="151">
        <v>66</v>
      </c>
      <c r="AM5" s="151">
        <v>529430</v>
      </c>
      <c r="AN5" s="151">
        <v>103970</v>
      </c>
      <c r="AO5" s="152">
        <v>26950</v>
      </c>
      <c r="AP5" s="152">
        <v>11880</v>
      </c>
      <c r="AQ5" s="152">
        <v>0</v>
      </c>
      <c r="AR5" s="152">
        <v>0</v>
      </c>
      <c r="AS5" s="153">
        <f t="shared" ref="AS5:AS34" si="23">SUM(AM5:AQ5)</f>
        <v>672230</v>
      </c>
      <c r="AT5" s="91">
        <v>1</v>
      </c>
      <c r="AU5" s="92">
        <f t="shared" ref="AU5:AU35" si="24">AR5+AS5</f>
        <v>672230</v>
      </c>
      <c r="AV5" s="154"/>
    </row>
    <row r="6" spans="1:48" ht="13.5" customHeight="1">
      <c r="A6" s="91"/>
      <c r="B6" s="158">
        <f t="shared" ref="B6:B35" si="25">B5+1</f>
        <v>45201</v>
      </c>
      <c r="C6" s="133" t="s">
        <v>61</v>
      </c>
      <c r="D6" s="134"/>
      <c r="E6" s="135"/>
      <c r="F6" s="136"/>
      <c r="G6" s="137" t="e">
        <f t="shared" si="0"/>
        <v>#DIV/0!</v>
      </c>
      <c r="H6" s="136"/>
      <c r="I6" s="138" t="e">
        <f t="shared" si="1"/>
        <v>#DIV/0!</v>
      </c>
      <c r="J6" s="139">
        <f t="shared" si="2"/>
        <v>0</v>
      </c>
      <c r="K6" s="140" t="str">
        <f t="shared" si="3"/>
        <v/>
      </c>
      <c r="L6" s="141"/>
      <c r="M6" s="142">
        <f t="shared" si="4"/>
        <v>42</v>
      </c>
      <c r="N6" s="143">
        <f t="shared" si="4"/>
        <v>258280</v>
      </c>
      <c r="O6" s="137">
        <f t="shared" si="5"/>
        <v>5590.4761904761908</v>
      </c>
      <c r="P6" s="143">
        <f t="shared" si="6"/>
        <v>12800</v>
      </c>
      <c r="Q6" s="138">
        <f t="shared" si="7"/>
        <v>277.04761904761904</v>
      </c>
      <c r="R6" s="144">
        <f t="shared" si="8"/>
        <v>271080</v>
      </c>
      <c r="S6" s="140">
        <f t="shared" si="9"/>
        <v>6454.2857142857147</v>
      </c>
      <c r="T6" s="145">
        <f t="shared" si="10"/>
        <v>42</v>
      </c>
      <c r="U6" s="143">
        <f t="shared" si="10"/>
        <v>258280</v>
      </c>
      <c r="V6" s="143">
        <f t="shared" si="11"/>
        <v>12800</v>
      </c>
      <c r="W6" s="146">
        <f t="shared" si="12"/>
        <v>271080</v>
      </c>
      <c r="X6" s="143">
        <f t="shared" si="13"/>
        <v>6454.2857142857147</v>
      </c>
      <c r="Y6" s="147"/>
      <c r="Z6" s="148">
        <v>60</v>
      </c>
      <c r="AA6" s="136">
        <v>27650</v>
      </c>
      <c r="AB6" s="137">
        <f t="shared" si="14"/>
        <v>460.83333333333331</v>
      </c>
      <c r="AC6" s="136">
        <v>12350</v>
      </c>
      <c r="AD6" s="138">
        <f t="shared" si="15"/>
        <v>205.83333333333334</v>
      </c>
      <c r="AE6" s="149">
        <f t="shared" si="16"/>
        <v>40000</v>
      </c>
      <c r="AF6" s="140">
        <f t="shared" si="17"/>
        <v>666.66666666666663</v>
      </c>
      <c r="AG6" s="156">
        <f t="shared" si="18"/>
        <v>42</v>
      </c>
      <c r="AH6" s="143">
        <f t="shared" si="19"/>
        <v>285930</v>
      </c>
      <c r="AI6" s="143">
        <f t="shared" si="20"/>
        <v>25150</v>
      </c>
      <c r="AJ6" s="150">
        <f t="shared" si="21"/>
        <v>311080</v>
      </c>
      <c r="AK6" s="143">
        <f t="shared" si="22"/>
        <v>3120</v>
      </c>
      <c r="AL6" s="151">
        <v>42</v>
      </c>
      <c r="AM6" s="151">
        <v>258280</v>
      </c>
      <c r="AN6" s="151">
        <v>12800</v>
      </c>
      <c r="AO6" s="152">
        <v>0</v>
      </c>
      <c r="AP6" s="152">
        <v>3120</v>
      </c>
      <c r="AQ6" s="152">
        <v>0</v>
      </c>
      <c r="AR6" s="152">
        <v>0</v>
      </c>
      <c r="AS6" s="153">
        <f t="shared" si="23"/>
        <v>274200</v>
      </c>
      <c r="AT6" s="91">
        <v>2</v>
      </c>
      <c r="AU6" s="92">
        <f t="shared" si="24"/>
        <v>274200</v>
      </c>
      <c r="AV6" s="154"/>
    </row>
    <row r="7" spans="1:48" ht="13.5" customHeight="1">
      <c r="A7" s="91"/>
      <c r="B7" s="158">
        <f t="shared" si="25"/>
        <v>45202</v>
      </c>
      <c r="C7" s="133" t="s">
        <v>52</v>
      </c>
      <c r="D7" s="134"/>
      <c r="E7" s="135"/>
      <c r="F7" s="136"/>
      <c r="G7" s="137" t="e">
        <f t="shared" si="0"/>
        <v>#DIV/0!</v>
      </c>
      <c r="H7" s="136"/>
      <c r="I7" s="138" t="e">
        <f t="shared" si="1"/>
        <v>#DIV/0!</v>
      </c>
      <c r="J7" s="139">
        <f t="shared" si="2"/>
        <v>0</v>
      </c>
      <c r="K7" s="140" t="str">
        <f t="shared" si="3"/>
        <v/>
      </c>
      <c r="L7" s="141"/>
      <c r="M7" s="142">
        <f t="shared" si="4"/>
        <v>36</v>
      </c>
      <c r="N7" s="143">
        <f t="shared" si="4"/>
        <v>350240</v>
      </c>
      <c r="O7" s="137">
        <f t="shared" si="5"/>
        <v>8844.4444444444453</v>
      </c>
      <c r="P7" s="143">
        <f t="shared" si="6"/>
        <v>52500</v>
      </c>
      <c r="Q7" s="138">
        <f t="shared" si="7"/>
        <v>1325.75</v>
      </c>
      <c r="R7" s="144">
        <f t="shared" si="8"/>
        <v>402740</v>
      </c>
      <c r="S7" s="140">
        <f t="shared" si="9"/>
        <v>11187.222222222223</v>
      </c>
      <c r="T7" s="145">
        <f t="shared" si="10"/>
        <v>36</v>
      </c>
      <c r="U7" s="143">
        <f t="shared" si="10"/>
        <v>350240</v>
      </c>
      <c r="V7" s="143">
        <f t="shared" si="11"/>
        <v>52500</v>
      </c>
      <c r="W7" s="146">
        <f t="shared" si="12"/>
        <v>402740</v>
      </c>
      <c r="X7" s="143">
        <f t="shared" si="13"/>
        <v>11187.222222222223</v>
      </c>
      <c r="Y7" s="147"/>
      <c r="Z7" s="148">
        <v>51</v>
      </c>
      <c r="AA7" s="136">
        <v>35850</v>
      </c>
      <c r="AB7" s="137">
        <f t="shared" si="14"/>
        <v>702.94117647058829</v>
      </c>
      <c r="AC7" s="136">
        <v>14350</v>
      </c>
      <c r="AD7" s="138">
        <f t="shared" si="15"/>
        <v>281.37254901960785</v>
      </c>
      <c r="AE7" s="149">
        <f t="shared" si="16"/>
        <v>50200</v>
      </c>
      <c r="AF7" s="140">
        <f t="shared" si="17"/>
        <v>984.31372549019613</v>
      </c>
      <c r="AG7" s="156">
        <f t="shared" si="18"/>
        <v>36</v>
      </c>
      <c r="AH7" s="143">
        <f t="shared" si="19"/>
        <v>386090</v>
      </c>
      <c r="AI7" s="143">
        <f t="shared" si="20"/>
        <v>66850</v>
      </c>
      <c r="AJ7" s="150">
        <f t="shared" si="21"/>
        <v>452940</v>
      </c>
      <c r="AK7" s="143">
        <f t="shared" si="22"/>
        <v>24660</v>
      </c>
      <c r="AL7" s="151">
        <v>36</v>
      </c>
      <c r="AM7" s="151">
        <v>350240</v>
      </c>
      <c r="AN7" s="151">
        <v>52500</v>
      </c>
      <c r="AO7" s="152">
        <v>23100</v>
      </c>
      <c r="AP7" s="152">
        <v>1560</v>
      </c>
      <c r="AQ7" s="152">
        <v>0</v>
      </c>
      <c r="AR7" s="152">
        <v>0</v>
      </c>
      <c r="AS7" s="153">
        <f t="shared" si="23"/>
        <v>427400</v>
      </c>
      <c r="AT7" s="91">
        <v>3</v>
      </c>
      <c r="AU7" s="92">
        <f t="shared" si="24"/>
        <v>427400</v>
      </c>
      <c r="AV7" s="154"/>
    </row>
    <row r="8" spans="1:48" ht="13.5" customHeight="1">
      <c r="A8" s="91"/>
      <c r="B8" s="158">
        <f t="shared" si="25"/>
        <v>45203</v>
      </c>
      <c r="C8" s="133" t="s">
        <v>52</v>
      </c>
      <c r="D8" s="134"/>
      <c r="E8" s="135"/>
      <c r="F8" s="136"/>
      <c r="G8" s="137" t="e">
        <f t="shared" si="0"/>
        <v>#DIV/0!</v>
      </c>
      <c r="H8" s="136"/>
      <c r="I8" s="138" t="e">
        <f t="shared" si="1"/>
        <v>#DIV/0!</v>
      </c>
      <c r="J8" s="139">
        <f t="shared" si="2"/>
        <v>0</v>
      </c>
      <c r="K8" s="140" t="str">
        <f t="shared" si="3"/>
        <v/>
      </c>
      <c r="L8" s="141"/>
      <c r="M8" s="142">
        <f t="shared" si="4"/>
        <v>26</v>
      </c>
      <c r="N8" s="143">
        <f t="shared" si="4"/>
        <v>219540</v>
      </c>
      <c r="O8" s="137">
        <f t="shared" si="5"/>
        <v>7676.1923076923076</v>
      </c>
      <c r="P8" s="143">
        <f t="shared" si="6"/>
        <v>46190</v>
      </c>
      <c r="Q8" s="138">
        <f t="shared" si="7"/>
        <v>1615</v>
      </c>
      <c r="R8" s="144">
        <f t="shared" si="8"/>
        <v>265730</v>
      </c>
      <c r="S8" s="140">
        <f t="shared" si="9"/>
        <v>10220.384615384615</v>
      </c>
      <c r="T8" s="145">
        <f t="shared" si="10"/>
        <v>26</v>
      </c>
      <c r="U8" s="143">
        <f t="shared" si="10"/>
        <v>219540</v>
      </c>
      <c r="V8" s="143">
        <f t="shared" si="11"/>
        <v>46190</v>
      </c>
      <c r="W8" s="146">
        <f t="shared" si="12"/>
        <v>265730</v>
      </c>
      <c r="X8" s="143">
        <f t="shared" si="13"/>
        <v>10220.384615384615</v>
      </c>
      <c r="Y8" s="147"/>
      <c r="Z8" s="148">
        <v>85</v>
      </c>
      <c r="AA8" s="136">
        <v>46750</v>
      </c>
      <c r="AB8" s="137">
        <f t="shared" si="14"/>
        <v>550</v>
      </c>
      <c r="AC8" s="136">
        <v>33550</v>
      </c>
      <c r="AD8" s="138">
        <f t="shared" si="15"/>
        <v>394.70588235294116</v>
      </c>
      <c r="AE8" s="149">
        <f t="shared" si="16"/>
        <v>80300</v>
      </c>
      <c r="AF8" s="140">
        <f t="shared" si="17"/>
        <v>944.70588235294122</v>
      </c>
      <c r="AG8" s="156">
        <f t="shared" si="18"/>
        <v>26</v>
      </c>
      <c r="AH8" s="143">
        <f t="shared" si="19"/>
        <v>266290</v>
      </c>
      <c r="AI8" s="143">
        <f t="shared" si="20"/>
        <v>79740</v>
      </c>
      <c r="AJ8" s="159">
        <f t="shared" si="21"/>
        <v>346030</v>
      </c>
      <c r="AK8" s="143">
        <f t="shared" si="22"/>
        <v>65160</v>
      </c>
      <c r="AL8" s="151">
        <v>26</v>
      </c>
      <c r="AM8" s="151">
        <v>219540</v>
      </c>
      <c r="AN8" s="151">
        <v>46190</v>
      </c>
      <c r="AO8" s="152">
        <v>15950</v>
      </c>
      <c r="AP8" s="152">
        <v>49210</v>
      </c>
      <c r="AQ8" s="152">
        <v>0</v>
      </c>
      <c r="AR8" s="152">
        <v>27500</v>
      </c>
      <c r="AS8" s="153">
        <f t="shared" si="23"/>
        <v>330890</v>
      </c>
      <c r="AT8" s="91">
        <v>4</v>
      </c>
      <c r="AU8" s="92">
        <f t="shared" si="24"/>
        <v>358390</v>
      </c>
      <c r="AV8" s="154"/>
    </row>
    <row r="9" spans="1:48" ht="13.5" customHeight="1">
      <c r="A9" s="91"/>
      <c r="B9" s="158">
        <f t="shared" si="25"/>
        <v>45204</v>
      </c>
      <c r="C9" s="133" t="s">
        <v>62</v>
      </c>
      <c r="D9" s="134"/>
      <c r="E9" s="135"/>
      <c r="F9" s="136"/>
      <c r="G9" s="137" t="e">
        <f t="shared" si="0"/>
        <v>#DIV/0!</v>
      </c>
      <c r="H9" s="136"/>
      <c r="I9" s="138" t="e">
        <f t="shared" si="1"/>
        <v>#DIV/0!</v>
      </c>
      <c r="J9" s="139">
        <f t="shared" si="2"/>
        <v>0</v>
      </c>
      <c r="K9" s="140" t="str">
        <f t="shared" si="3"/>
        <v/>
      </c>
      <c r="L9" s="141"/>
      <c r="M9" s="142">
        <f t="shared" si="4"/>
        <v>35</v>
      </c>
      <c r="N9" s="143">
        <f t="shared" si="4"/>
        <v>218460</v>
      </c>
      <c r="O9" s="137">
        <f t="shared" si="5"/>
        <v>5674.2857142857147</v>
      </c>
      <c r="P9" s="143">
        <f t="shared" si="6"/>
        <v>71890</v>
      </c>
      <c r="Q9" s="138">
        <f t="shared" si="7"/>
        <v>1867.2571428571428</v>
      </c>
      <c r="R9" s="144">
        <f t="shared" si="8"/>
        <v>290350</v>
      </c>
      <c r="S9" s="140">
        <f t="shared" si="9"/>
        <v>8295.7142857142862</v>
      </c>
      <c r="T9" s="145">
        <f t="shared" si="10"/>
        <v>35</v>
      </c>
      <c r="U9" s="143">
        <f t="shared" si="10"/>
        <v>218460</v>
      </c>
      <c r="V9" s="143">
        <f t="shared" si="11"/>
        <v>71890</v>
      </c>
      <c r="W9" s="146">
        <f t="shared" si="12"/>
        <v>290350</v>
      </c>
      <c r="X9" s="143">
        <f t="shared" si="13"/>
        <v>8295.7142857142862</v>
      </c>
      <c r="Y9" s="147"/>
      <c r="Z9" s="148">
        <v>1</v>
      </c>
      <c r="AA9" s="136">
        <v>500</v>
      </c>
      <c r="AB9" s="137">
        <f t="shared" si="14"/>
        <v>500</v>
      </c>
      <c r="AC9" s="136">
        <v>0</v>
      </c>
      <c r="AD9" s="138">
        <f t="shared" si="15"/>
        <v>0</v>
      </c>
      <c r="AE9" s="149">
        <f t="shared" si="16"/>
        <v>500</v>
      </c>
      <c r="AF9" s="140">
        <f t="shared" si="17"/>
        <v>500</v>
      </c>
      <c r="AG9" s="156">
        <f t="shared" si="18"/>
        <v>35</v>
      </c>
      <c r="AH9" s="143">
        <f t="shared" si="19"/>
        <v>218960</v>
      </c>
      <c r="AI9" s="143">
        <f t="shared" si="20"/>
        <v>71890</v>
      </c>
      <c r="AJ9" s="150">
        <f t="shared" si="21"/>
        <v>290850</v>
      </c>
      <c r="AK9" s="143">
        <f t="shared" si="22"/>
        <v>0</v>
      </c>
      <c r="AL9" s="151">
        <v>35</v>
      </c>
      <c r="AM9" s="151">
        <v>218460</v>
      </c>
      <c r="AN9" s="151">
        <v>71890</v>
      </c>
      <c r="AO9" s="152">
        <v>0</v>
      </c>
      <c r="AP9" s="152">
        <v>0</v>
      </c>
      <c r="AQ9" s="152">
        <v>0</v>
      </c>
      <c r="AR9" s="152">
        <v>0</v>
      </c>
      <c r="AS9" s="153">
        <f t="shared" si="23"/>
        <v>290350</v>
      </c>
      <c r="AT9" s="91">
        <v>5</v>
      </c>
      <c r="AU9" s="92">
        <f t="shared" si="24"/>
        <v>290350</v>
      </c>
      <c r="AV9" s="154"/>
    </row>
    <row r="10" spans="1:48" ht="13.5" customHeight="1">
      <c r="A10" s="91"/>
      <c r="B10" s="158">
        <f t="shared" si="25"/>
        <v>45205</v>
      </c>
      <c r="C10" s="133" t="s">
        <v>63</v>
      </c>
      <c r="D10" s="134"/>
      <c r="E10" s="135"/>
      <c r="F10" s="136"/>
      <c r="G10" s="137" t="e">
        <f t="shared" si="0"/>
        <v>#DIV/0!</v>
      </c>
      <c r="H10" s="136"/>
      <c r="I10" s="138" t="e">
        <f t="shared" si="1"/>
        <v>#DIV/0!</v>
      </c>
      <c r="J10" s="139">
        <f t="shared" si="2"/>
        <v>0</v>
      </c>
      <c r="K10" s="140" t="str">
        <f t="shared" si="3"/>
        <v/>
      </c>
      <c r="L10" s="141"/>
      <c r="M10" s="142">
        <f t="shared" si="4"/>
        <v>24</v>
      </c>
      <c r="N10" s="143">
        <f t="shared" si="4"/>
        <v>240900</v>
      </c>
      <c r="O10" s="137">
        <f t="shared" si="5"/>
        <v>9125</v>
      </c>
      <c r="P10" s="143">
        <f t="shared" si="6"/>
        <v>20710</v>
      </c>
      <c r="Q10" s="138">
        <f t="shared" si="7"/>
        <v>784.45833333333337</v>
      </c>
      <c r="R10" s="144">
        <f t="shared" si="8"/>
        <v>261610</v>
      </c>
      <c r="S10" s="140">
        <f t="shared" si="9"/>
        <v>10900.416666666666</v>
      </c>
      <c r="T10" s="145">
        <f t="shared" si="10"/>
        <v>24</v>
      </c>
      <c r="U10" s="143">
        <f t="shared" si="10"/>
        <v>240900</v>
      </c>
      <c r="V10" s="143">
        <f t="shared" si="11"/>
        <v>20710</v>
      </c>
      <c r="W10" s="146">
        <f t="shared" si="12"/>
        <v>261610</v>
      </c>
      <c r="X10" s="143">
        <f t="shared" si="13"/>
        <v>10900.416666666666</v>
      </c>
      <c r="Y10" s="147"/>
      <c r="Z10" s="148">
        <v>12</v>
      </c>
      <c r="AA10" s="136">
        <v>5600</v>
      </c>
      <c r="AB10" s="137">
        <f t="shared" si="14"/>
        <v>466.66666666666669</v>
      </c>
      <c r="AC10" s="136">
        <v>6400</v>
      </c>
      <c r="AD10" s="138">
        <f t="shared" si="15"/>
        <v>533.33333333333337</v>
      </c>
      <c r="AE10" s="149">
        <f t="shared" si="16"/>
        <v>12000</v>
      </c>
      <c r="AF10" s="140">
        <f t="shared" si="17"/>
        <v>1000</v>
      </c>
      <c r="AG10" s="156">
        <f t="shared" si="18"/>
        <v>24</v>
      </c>
      <c r="AH10" s="143">
        <f t="shared" si="19"/>
        <v>246500</v>
      </c>
      <c r="AI10" s="143">
        <f t="shared" si="20"/>
        <v>27110</v>
      </c>
      <c r="AJ10" s="150">
        <f t="shared" si="21"/>
        <v>273610</v>
      </c>
      <c r="AK10" s="143">
        <f t="shared" si="22"/>
        <v>16500</v>
      </c>
      <c r="AL10" s="151">
        <v>24</v>
      </c>
      <c r="AM10" s="151">
        <v>240900</v>
      </c>
      <c r="AN10" s="151">
        <v>20710</v>
      </c>
      <c r="AO10" s="152">
        <v>16500</v>
      </c>
      <c r="AP10" s="152">
        <v>0</v>
      </c>
      <c r="AQ10" s="152">
        <v>0</v>
      </c>
      <c r="AR10" s="152">
        <v>5500</v>
      </c>
      <c r="AS10" s="153">
        <f t="shared" si="23"/>
        <v>278110</v>
      </c>
      <c r="AT10" s="91">
        <v>6</v>
      </c>
      <c r="AU10" s="92">
        <f t="shared" si="24"/>
        <v>283610</v>
      </c>
      <c r="AV10" s="154"/>
    </row>
    <row r="11" spans="1:48" ht="13.5" customHeight="1">
      <c r="A11" s="91"/>
      <c r="B11" s="155">
        <f t="shared" si="25"/>
        <v>45206</v>
      </c>
      <c r="C11" s="133" t="s">
        <v>64</v>
      </c>
      <c r="D11" s="134"/>
      <c r="E11" s="135">
        <v>11</v>
      </c>
      <c r="F11" s="136">
        <v>38720</v>
      </c>
      <c r="G11" s="137">
        <f t="shared" si="0"/>
        <v>3200</v>
      </c>
      <c r="H11" s="136">
        <v>6060</v>
      </c>
      <c r="I11" s="138">
        <f t="shared" si="1"/>
        <v>500.81818181818181</v>
      </c>
      <c r="J11" s="139">
        <f t="shared" si="2"/>
        <v>44780</v>
      </c>
      <c r="K11" s="140">
        <f t="shared" si="3"/>
        <v>4070.909090909091</v>
      </c>
      <c r="L11" s="141"/>
      <c r="M11" s="142">
        <f t="shared" si="4"/>
        <v>44</v>
      </c>
      <c r="N11" s="143">
        <f t="shared" si="4"/>
        <v>445610</v>
      </c>
      <c r="O11" s="137">
        <f t="shared" si="5"/>
        <v>9206.818181818182</v>
      </c>
      <c r="P11" s="143">
        <f t="shared" si="6"/>
        <v>66130</v>
      </c>
      <c r="Q11" s="138">
        <f t="shared" si="7"/>
        <v>1366.3181818181818</v>
      </c>
      <c r="R11" s="144">
        <f t="shared" si="8"/>
        <v>511740</v>
      </c>
      <c r="S11" s="140">
        <f t="shared" si="9"/>
        <v>11630.454545454546</v>
      </c>
      <c r="T11" s="145">
        <f t="shared" si="10"/>
        <v>55</v>
      </c>
      <c r="U11" s="143">
        <f t="shared" si="10"/>
        <v>484330</v>
      </c>
      <c r="V11" s="143">
        <f t="shared" si="11"/>
        <v>72190</v>
      </c>
      <c r="W11" s="146">
        <f t="shared" si="12"/>
        <v>556520</v>
      </c>
      <c r="X11" s="143">
        <f t="shared" si="13"/>
        <v>10118.545454545454</v>
      </c>
      <c r="Y11" s="147"/>
      <c r="Z11" s="148">
        <v>25</v>
      </c>
      <c r="AA11" s="136">
        <v>13300</v>
      </c>
      <c r="AB11" s="137">
        <f t="shared" si="14"/>
        <v>532</v>
      </c>
      <c r="AC11" s="136">
        <v>5000</v>
      </c>
      <c r="AD11" s="138">
        <f t="shared" si="15"/>
        <v>200</v>
      </c>
      <c r="AE11" s="149">
        <f t="shared" si="16"/>
        <v>18300</v>
      </c>
      <c r="AF11" s="140">
        <f t="shared" si="17"/>
        <v>732</v>
      </c>
      <c r="AG11" s="156">
        <f t="shared" si="18"/>
        <v>55</v>
      </c>
      <c r="AH11" s="143">
        <f t="shared" si="19"/>
        <v>497630</v>
      </c>
      <c r="AI11" s="143">
        <f t="shared" si="20"/>
        <v>77190</v>
      </c>
      <c r="AJ11" s="150">
        <f t="shared" si="21"/>
        <v>574820</v>
      </c>
      <c r="AK11" s="143">
        <f t="shared" si="22"/>
        <v>24970</v>
      </c>
      <c r="AL11" s="151">
        <v>55</v>
      </c>
      <c r="AM11" s="151">
        <v>484330</v>
      </c>
      <c r="AN11" s="151">
        <v>72190</v>
      </c>
      <c r="AO11" s="152">
        <v>22550</v>
      </c>
      <c r="AP11" s="152">
        <v>2420</v>
      </c>
      <c r="AQ11" s="152">
        <v>0</v>
      </c>
      <c r="AR11" s="152">
        <v>0</v>
      </c>
      <c r="AS11" s="153">
        <f t="shared" si="23"/>
        <v>581490</v>
      </c>
      <c r="AT11" s="91">
        <v>7</v>
      </c>
      <c r="AU11" s="92">
        <f t="shared" si="24"/>
        <v>581490</v>
      </c>
      <c r="AV11" s="160"/>
    </row>
    <row r="12" spans="1:48" ht="13.5" customHeight="1">
      <c r="A12" s="91"/>
      <c r="B12" s="157">
        <f t="shared" si="25"/>
        <v>45207</v>
      </c>
      <c r="C12" s="133"/>
      <c r="D12" s="134"/>
      <c r="E12" s="135">
        <v>37</v>
      </c>
      <c r="F12" s="136">
        <v>100364</v>
      </c>
      <c r="G12" s="137">
        <f t="shared" si="0"/>
        <v>2465.9459459459458</v>
      </c>
      <c r="H12" s="136">
        <v>18390</v>
      </c>
      <c r="I12" s="138">
        <f t="shared" si="1"/>
        <v>451.83783783783781</v>
      </c>
      <c r="J12" s="139">
        <f t="shared" si="2"/>
        <v>118754</v>
      </c>
      <c r="K12" s="140">
        <f t="shared" si="3"/>
        <v>3209.5675675675675</v>
      </c>
      <c r="L12" s="141"/>
      <c r="M12" s="142">
        <f t="shared" si="4"/>
        <v>30</v>
      </c>
      <c r="N12" s="143">
        <f t="shared" si="4"/>
        <v>286000</v>
      </c>
      <c r="O12" s="137">
        <f t="shared" si="5"/>
        <v>8666.6666666666661</v>
      </c>
      <c r="P12" s="143">
        <f t="shared" si="6"/>
        <v>53390</v>
      </c>
      <c r="Q12" s="161">
        <f t="shared" si="7"/>
        <v>1617.8666666666666</v>
      </c>
      <c r="R12" s="144">
        <f t="shared" si="8"/>
        <v>339390</v>
      </c>
      <c r="S12" s="140">
        <f t="shared" si="9"/>
        <v>11313</v>
      </c>
      <c r="T12" s="145">
        <f t="shared" si="10"/>
        <v>67</v>
      </c>
      <c r="U12" s="143">
        <f t="shared" si="10"/>
        <v>386364</v>
      </c>
      <c r="V12" s="143">
        <f t="shared" si="11"/>
        <v>71780</v>
      </c>
      <c r="W12" s="146">
        <f t="shared" si="12"/>
        <v>458144</v>
      </c>
      <c r="X12" s="143">
        <f t="shared" si="13"/>
        <v>6837.9701492537315</v>
      </c>
      <c r="Y12" s="147"/>
      <c r="Z12" s="148">
        <v>225</v>
      </c>
      <c r="AA12" s="136">
        <v>168100</v>
      </c>
      <c r="AB12" s="137">
        <f t="shared" si="14"/>
        <v>747.11111111111109</v>
      </c>
      <c r="AC12" s="136">
        <v>50700</v>
      </c>
      <c r="AD12" s="138">
        <f t="shared" si="15"/>
        <v>225.33333333333334</v>
      </c>
      <c r="AE12" s="149">
        <f t="shared" si="16"/>
        <v>218800</v>
      </c>
      <c r="AF12" s="140">
        <f t="shared" si="17"/>
        <v>972.44444444444446</v>
      </c>
      <c r="AG12" s="156">
        <f t="shared" si="18"/>
        <v>67</v>
      </c>
      <c r="AH12" s="143">
        <f t="shared" si="19"/>
        <v>554464</v>
      </c>
      <c r="AI12" s="143">
        <f t="shared" si="20"/>
        <v>122480</v>
      </c>
      <c r="AJ12" s="150">
        <f t="shared" si="21"/>
        <v>676944</v>
      </c>
      <c r="AK12" s="143">
        <f t="shared" si="22"/>
        <v>33220</v>
      </c>
      <c r="AL12" s="151">
        <v>67</v>
      </c>
      <c r="AM12" s="151">
        <v>386364</v>
      </c>
      <c r="AN12" s="151">
        <v>71780</v>
      </c>
      <c r="AO12" s="152">
        <v>30800</v>
      </c>
      <c r="AP12" s="152">
        <v>2420</v>
      </c>
      <c r="AQ12" s="152">
        <v>0</v>
      </c>
      <c r="AR12" s="152">
        <v>0</v>
      </c>
      <c r="AS12" s="153">
        <f t="shared" si="23"/>
        <v>491364</v>
      </c>
      <c r="AT12" s="91">
        <v>8</v>
      </c>
      <c r="AU12" s="92">
        <f t="shared" si="24"/>
        <v>491364</v>
      </c>
      <c r="AV12" s="154"/>
    </row>
    <row r="13" spans="1:48" ht="13.5" customHeight="1">
      <c r="A13" s="91"/>
      <c r="B13" s="157">
        <f t="shared" si="25"/>
        <v>45208</v>
      </c>
      <c r="C13" s="162" t="s">
        <v>65</v>
      </c>
      <c r="D13" s="134"/>
      <c r="E13" s="135">
        <v>30</v>
      </c>
      <c r="F13" s="136">
        <v>99462</v>
      </c>
      <c r="G13" s="137">
        <f t="shared" si="0"/>
        <v>3014</v>
      </c>
      <c r="H13" s="136">
        <v>17280</v>
      </c>
      <c r="I13" s="138">
        <f t="shared" si="1"/>
        <v>523.63333333333333</v>
      </c>
      <c r="J13" s="139">
        <f t="shared" si="2"/>
        <v>116742</v>
      </c>
      <c r="K13" s="140">
        <f t="shared" si="3"/>
        <v>3891.4</v>
      </c>
      <c r="L13" s="141"/>
      <c r="M13" s="142">
        <f t="shared" si="4"/>
        <v>30</v>
      </c>
      <c r="N13" s="143">
        <f t="shared" si="4"/>
        <v>256170</v>
      </c>
      <c r="O13" s="137">
        <f t="shared" si="5"/>
        <v>7762.7</v>
      </c>
      <c r="P13" s="143">
        <f t="shared" si="6"/>
        <v>65490</v>
      </c>
      <c r="Q13" s="138">
        <f t="shared" si="7"/>
        <v>1984.5333333333333</v>
      </c>
      <c r="R13" s="144">
        <f t="shared" si="8"/>
        <v>321660</v>
      </c>
      <c r="S13" s="140">
        <f t="shared" si="9"/>
        <v>10722</v>
      </c>
      <c r="T13" s="145">
        <f t="shared" si="10"/>
        <v>60</v>
      </c>
      <c r="U13" s="143">
        <f t="shared" si="10"/>
        <v>355632</v>
      </c>
      <c r="V13" s="143">
        <f t="shared" si="11"/>
        <v>82770</v>
      </c>
      <c r="W13" s="146">
        <f t="shared" si="12"/>
        <v>438402</v>
      </c>
      <c r="X13" s="143">
        <f t="shared" si="13"/>
        <v>7306.7</v>
      </c>
      <c r="Y13" s="147"/>
      <c r="Z13" s="148">
        <v>148</v>
      </c>
      <c r="AA13" s="136">
        <v>102100</v>
      </c>
      <c r="AB13" s="137">
        <f t="shared" si="14"/>
        <v>689.8648648648649</v>
      </c>
      <c r="AC13" s="136">
        <v>26150</v>
      </c>
      <c r="AD13" s="138">
        <f t="shared" si="15"/>
        <v>176.68918918918919</v>
      </c>
      <c r="AE13" s="149">
        <f t="shared" si="16"/>
        <v>128250</v>
      </c>
      <c r="AF13" s="140">
        <f t="shared" si="17"/>
        <v>866.55405405405406</v>
      </c>
      <c r="AG13" s="156">
        <f t="shared" si="18"/>
        <v>60</v>
      </c>
      <c r="AH13" s="143">
        <f t="shared" si="19"/>
        <v>457732</v>
      </c>
      <c r="AI13" s="143">
        <f t="shared" si="20"/>
        <v>108920</v>
      </c>
      <c r="AJ13" s="150">
        <f t="shared" si="21"/>
        <v>566652</v>
      </c>
      <c r="AK13" s="143">
        <f t="shared" si="22"/>
        <v>33110</v>
      </c>
      <c r="AL13" s="151">
        <v>60</v>
      </c>
      <c r="AM13" s="151">
        <v>355632</v>
      </c>
      <c r="AN13" s="151">
        <v>82770</v>
      </c>
      <c r="AO13" s="152">
        <v>31900</v>
      </c>
      <c r="AP13" s="152">
        <v>1210</v>
      </c>
      <c r="AQ13" s="152">
        <v>0</v>
      </c>
      <c r="AR13" s="152">
        <v>0</v>
      </c>
      <c r="AS13" s="153">
        <f t="shared" si="23"/>
        <v>471512</v>
      </c>
      <c r="AT13" s="91">
        <v>9</v>
      </c>
      <c r="AU13" s="92">
        <f t="shared" si="24"/>
        <v>471512</v>
      </c>
      <c r="AV13" s="91"/>
    </row>
    <row r="14" spans="1:48" ht="13.5" customHeight="1">
      <c r="A14" s="91"/>
      <c r="B14" s="158">
        <f t="shared" si="25"/>
        <v>45209</v>
      </c>
      <c r="C14" s="133" t="s">
        <v>52</v>
      </c>
      <c r="D14" s="134"/>
      <c r="E14" s="135"/>
      <c r="F14" s="136"/>
      <c r="G14" s="137" t="e">
        <f t="shared" si="0"/>
        <v>#DIV/0!</v>
      </c>
      <c r="H14" s="136"/>
      <c r="I14" s="138" t="e">
        <f t="shared" si="1"/>
        <v>#DIV/0!</v>
      </c>
      <c r="J14" s="139">
        <f t="shared" si="2"/>
        <v>0</v>
      </c>
      <c r="K14" s="140" t="str">
        <f t="shared" si="3"/>
        <v/>
      </c>
      <c r="L14" s="141"/>
      <c r="M14" s="142">
        <f t="shared" si="4"/>
        <v>22</v>
      </c>
      <c r="N14" s="143">
        <f t="shared" si="4"/>
        <v>185240</v>
      </c>
      <c r="O14" s="137">
        <f t="shared" si="5"/>
        <v>7654.545454545455</v>
      </c>
      <c r="P14" s="143">
        <f t="shared" si="6"/>
        <v>36700</v>
      </c>
      <c r="Q14" s="138">
        <f t="shared" si="7"/>
        <v>1516.5</v>
      </c>
      <c r="R14" s="144">
        <f t="shared" si="8"/>
        <v>221940</v>
      </c>
      <c r="S14" s="140">
        <f t="shared" si="9"/>
        <v>10088.181818181818</v>
      </c>
      <c r="T14" s="145">
        <f t="shared" si="10"/>
        <v>22</v>
      </c>
      <c r="U14" s="143">
        <f t="shared" si="10"/>
        <v>185240</v>
      </c>
      <c r="V14" s="143">
        <f t="shared" si="11"/>
        <v>36700</v>
      </c>
      <c r="W14" s="146">
        <f t="shared" si="12"/>
        <v>221940</v>
      </c>
      <c r="X14" s="143">
        <f t="shared" si="13"/>
        <v>10088.181818181818</v>
      </c>
      <c r="Y14" s="147"/>
      <c r="Z14" s="148">
        <v>74</v>
      </c>
      <c r="AA14" s="136">
        <v>56750</v>
      </c>
      <c r="AB14" s="137">
        <f t="shared" si="14"/>
        <v>766.89189189189187</v>
      </c>
      <c r="AC14" s="136">
        <v>22350</v>
      </c>
      <c r="AD14" s="138">
        <f t="shared" si="15"/>
        <v>302.02702702702703</v>
      </c>
      <c r="AE14" s="149">
        <f t="shared" si="16"/>
        <v>79100</v>
      </c>
      <c r="AF14" s="140">
        <f t="shared" si="17"/>
        <v>1068.918918918919</v>
      </c>
      <c r="AG14" s="156">
        <f t="shared" si="18"/>
        <v>22</v>
      </c>
      <c r="AH14" s="143">
        <f t="shared" si="19"/>
        <v>241990</v>
      </c>
      <c r="AI14" s="143">
        <f t="shared" si="20"/>
        <v>59050</v>
      </c>
      <c r="AJ14" s="159">
        <f t="shared" si="21"/>
        <v>301040</v>
      </c>
      <c r="AK14" s="143">
        <f t="shared" si="22"/>
        <v>76370</v>
      </c>
      <c r="AL14" s="151">
        <v>22</v>
      </c>
      <c r="AM14" s="151">
        <v>185240</v>
      </c>
      <c r="AN14" s="151">
        <v>36700</v>
      </c>
      <c r="AO14" s="152">
        <v>17600</v>
      </c>
      <c r="AP14" s="152">
        <v>58770</v>
      </c>
      <c r="AQ14" s="152">
        <v>0</v>
      </c>
      <c r="AR14" s="152">
        <v>0</v>
      </c>
      <c r="AS14" s="153">
        <f t="shared" si="23"/>
        <v>298310</v>
      </c>
      <c r="AT14" s="91">
        <v>10</v>
      </c>
      <c r="AU14" s="92">
        <f t="shared" si="24"/>
        <v>298310</v>
      </c>
      <c r="AV14" s="154"/>
    </row>
    <row r="15" spans="1:48" ht="13.5" customHeight="1">
      <c r="A15" s="91"/>
      <c r="B15" s="158">
        <f t="shared" si="25"/>
        <v>45210</v>
      </c>
      <c r="C15" s="133" t="s">
        <v>52</v>
      </c>
      <c r="D15" s="134"/>
      <c r="E15" s="135"/>
      <c r="F15" s="136"/>
      <c r="G15" s="137" t="e">
        <f t="shared" si="0"/>
        <v>#DIV/0!</v>
      </c>
      <c r="H15" s="136"/>
      <c r="I15" s="138" t="e">
        <f t="shared" si="1"/>
        <v>#DIV/0!</v>
      </c>
      <c r="J15" s="139">
        <f t="shared" si="2"/>
        <v>0</v>
      </c>
      <c r="K15" s="140" t="str">
        <f t="shared" si="3"/>
        <v/>
      </c>
      <c r="L15" s="141"/>
      <c r="M15" s="142">
        <f t="shared" si="4"/>
        <v>29</v>
      </c>
      <c r="N15" s="143">
        <f t="shared" si="4"/>
        <v>210210</v>
      </c>
      <c r="O15" s="137">
        <f t="shared" si="5"/>
        <v>6589.6551724137935</v>
      </c>
      <c r="P15" s="143">
        <f t="shared" si="6"/>
        <v>28130</v>
      </c>
      <c r="Q15" s="138">
        <f t="shared" si="7"/>
        <v>881.79310344827582</v>
      </c>
      <c r="R15" s="144">
        <f t="shared" si="8"/>
        <v>238340</v>
      </c>
      <c r="S15" s="140">
        <f t="shared" si="9"/>
        <v>8218.6206896551721</v>
      </c>
      <c r="T15" s="145">
        <f t="shared" si="10"/>
        <v>29</v>
      </c>
      <c r="U15" s="143">
        <f t="shared" si="10"/>
        <v>210210</v>
      </c>
      <c r="V15" s="143">
        <f t="shared" si="11"/>
        <v>28130</v>
      </c>
      <c r="W15" s="146">
        <f t="shared" si="12"/>
        <v>238340</v>
      </c>
      <c r="X15" s="143">
        <f t="shared" si="13"/>
        <v>8218.6206896551721</v>
      </c>
      <c r="Y15" s="147"/>
      <c r="Z15" s="148">
        <v>85</v>
      </c>
      <c r="AA15" s="136">
        <v>70550</v>
      </c>
      <c r="AB15" s="137">
        <f t="shared" si="14"/>
        <v>830</v>
      </c>
      <c r="AC15" s="136">
        <v>21900</v>
      </c>
      <c r="AD15" s="138">
        <f t="shared" si="15"/>
        <v>257.64705882352939</v>
      </c>
      <c r="AE15" s="149">
        <f t="shared" si="16"/>
        <v>92450</v>
      </c>
      <c r="AF15" s="140">
        <f t="shared" si="17"/>
        <v>1087.6470588235295</v>
      </c>
      <c r="AG15" s="156">
        <f t="shared" si="18"/>
        <v>29</v>
      </c>
      <c r="AH15" s="143">
        <f t="shared" si="19"/>
        <v>280760</v>
      </c>
      <c r="AI15" s="143">
        <f t="shared" si="20"/>
        <v>50030</v>
      </c>
      <c r="AJ15" s="150">
        <f t="shared" si="21"/>
        <v>330790</v>
      </c>
      <c r="AK15" s="143">
        <f t="shared" si="22"/>
        <v>22920</v>
      </c>
      <c r="AL15" s="151">
        <v>29</v>
      </c>
      <c r="AM15" s="151">
        <v>210210</v>
      </c>
      <c r="AN15" s="151">
        <v>28130</v>
      </c>
      <c r="AO15" s="152">
        <v>19800</v>
      </c>
      <c r="AP15" s="152">
        <v>3120</v>
      </c>
      <c r="AQ15" s="152">
        <v>0</v>
      </c>
      <c r="AR15" s="152">
        <v>0</v>
      </c>
      <c r="AS15" s="153">
        <f t="shared" si="23"/>
        <v>261260</v>
      </c>
      <c r="AT15" s="91">
        <v>11</v>
      </c>
      <c r="AU15" s="92">
        <f t="shared" si="24"/>
        <v>261260</v>
      </c>
      <c r="AV15" s="154"/>
    </row>
    <row r="16" spans="1:48" ht="13.5" customHeight="1">
      <c r="A16" s="91"/>
      <c r="B16" s="158">
        <f t="shared" si="25"/>
        <v>45211</v>
      </c>
      <c r="C16" s="133" t="s">
        <v>60</v>
      </c>
      <c r="D16" s="134"/>
      <c r="E16" s="135">
        <v>36</v>
      </c>
      <c r="F16" s="136">
        <v>118745</v>
      </c>
      <c r="G16" s="137">
        <f t="shared" si="0"/>
        <v>2998.6111111111113</v>
      </c>
      <c r="H16" s="136">
        <v>65760</v>
      </c>
      <c r="I16" s="138">
        <f t="shared" si="1"/>
        <v>1660.5833333333333</v>
      </c>
      <c r="J16" s="139">
        <f t="shared" si="2"/>
        <v>184505</v>
      </c>
      <c r="K16" s="140">
        <f t="shared" si="3"/>
        <v>5125.1388888888887</v>
      </c>
      <c r="L16" s="141"/>
      <c r="M16" s="142">
        <f t="shared" si="4"/>
        <v>31</v>
      </c>
      <c r="N16" s="143">
        <f t="shared" si="4"/>
        <v>296890</v>
      </c>
      <c r="O16" s="137">
        <f t="shared" si="5"/>
        <v>8706.4516129032254</v>
      </c>
      <c r="P16" s="143">
        <f t="shared" si="6"/>
        <v>34740</v>
      </c>
      <c r="Q16" s="138">
        <f t="shared" si="7"/>
        <v>1018.741935483871</v>
      </c>
      <c r="R16" s="144">
        <f t="shared" si="8"/>
        <v>331630</v>
      </c>
      <c r="S16" s="140">
        <f t="shared" si="9"/>
        <v>10697.741935483871</v>
      </c>
      <c r="T16" s="145">
        <f t="shared" si="10"/>
        <v>67</v>
      </c>
      <c r="U16" s="143">
        <f t="shared" si="10"/>
        <v>415635</v>
      </c>
      <c r="V16" s="143">
        <f t="shared" si="11"/>
        <v>100500</v>
      </c>
      <c r="W16" s="146">
        <f t="shared" si="12"/>
        <v>516135</v>
      </c>
      <c r="X16" s="143">
        <f t="shared" si="13"/>
        <v>7703.5074626865671</v>
      </c>
      <c r="Y16" s="147"/>
      <c r="Z16" s="148">
        <v>66</v>
      </c>
      <c r="AA16" s="136">
        <v>38150</v>
      </c>
      <c r="AB16" s="137">
        <f t="shared" si="14"/>
        <v>578.030303030303</v>
      </c>
      <c r="AC16" s="136">
        <v>11250</v>
      </c>
      <c r="AD16" s="138">
        <f t="shared" si="15"/>
        <v>170.45454545454547</v>
      </c>
      <c r="AE16" s="149">
        <f t="shared" si="16"/>
        <v>49400</v>
      </c>
      <c r="AF16" s="140">
        <f t="shared" si="17"/>
        <v>748.4848484848485</v>
      </c>
      <c r="AG16" s="156">
        <f t="shared" si="18"/>
        <v>67</v>
      </c>
      <c r="AH16" s="143">
        <f t="shared" si="19"/>
        <v>453785</v>
      </c>
      <c r="AI16" s="143">
        <f t="shared" si="20"/>
        <v>111750</v>
      </c>
      <c r="AJ16" s="150">
        <f t="shared" si="21"/>
        <v>565535</v>
      </c>
      <c r="AK16" s="143">
        <f t="shared" si="22"/>
        <v>27500</v>
      </c>
      <c r="AL16" s="151">
        <v>67</v>
      </c>
      <c r="AM16" s="151">
        <v>415635</v>
      </c>
      <c r="AN16" s="151">
        <v>100500</v>
      </c>
      <c r="AO16" s="152">
        <v>27500</v>
      </c>
      <c r="AP16" s="152">
        <v>0</v>
      </c>
      <c r="AQ16" s="152">
        <v>0</v>
      </c>
      <c r="AR16" s="152">
        <v>0</v>
      </c>
      <c r="AS16" s="153">
        <f t="shared" si="23"/>
        <v>543635</v>
      </c>
      <c r="AT16" s="91">
        <v>12</v>
      </c>
      <c r="AU16" s="92">
        <f t="shared" si="24"/>
        <v>543635</v>
      </c>
      <c r="AV16" s="154"/>
    </row>
    <row r="17" spans="1:48" ht="13.5" customHeight="1">
      <c r="A17" s="91"/>
      <c r="B17" s="158">
        <f t="shared" si="25"/>
        <v>45212</v>
      </c>
      <c r="C17" s="133" t="s">
        <v>66</v>
      </c>
      <c r="D17" s="134"/>
      <c r="E17" s="135"/>
      <c r="F17" s="136"/>
      <c r="G17" s="137" t="e">
        <f t="shared" si="0"/>
        <v>#DIV/0!</v>
      </c>
      <c r="H17" s="136"/>
      <c r="I17" s="138" t="e">
        <f t="shared" si="1"/>
        <v>#DIV/0!</v>
      </c>
      <c r="J17" s="139">
        <f t="shared" si="2"/>
        <v>0</v>
      </c>
      <c r="K17" s="140" t="str">
        <f t="shared" si="3"/>
        <v/>
      </c>
      <c r="L17" s="141"/>
      <c r="M17" s="142">
        <f t="shared" si="4"/>
        <v>15</v>
      </c>
      <c r="N17" s="143">
        <f t="shared" si="4"/>
        <v>180000</v>
      </c>
      <c r="O17" s="137">
        <f t="shared" si="5"/>
        <v>10909.066666666668</v>
      </c>
      <c r="P17" s="143">
        <f t="shared" si="6"/>
        <v>80140</v>
      </c>
      <c r="Q17" s="138">
        <f t="shared" si="7"/>
        <v>4856.9333333333334</v>
      </c>
      <c r="R17" s="144">
        <f t="shared" si="8"/>
        <v>260140</v>
      </c>
      <c r="S17" s="140">
        <f t="shared" si="9"/>
        <v>17342.666666666668</v>
      </c>
      <c r="T17" s="145">
        <f t="shared" si="10"/>
        <v>15</v>
      </c>
      <c r="U17" s="143">
        <f t="shared" si="10"/>
        <v>180000</v>
      </c>
      <c r="V17" s="143">
        <f t="shared" si="11"/>
        <v>80140</v>
      </c>
      <c r="W17" s="146">
        <f t="shared" si="12"/>
        <v>260140</v>
      </c>
      <c r="X17" s="143">
        <f t="shared" si="13"/>
        <v>17342.666666666668</v>
      </c>
      <c r="Y17" s="147"/>
      <c r="Z17" s="148">
        <v>94</v>
      </c>
      <c r="AA17" s="136">
        <v>58800</v>
      </c>
      <c r="AB17" s="137">
        <f t="shared" si="14"/>
        <v>625.531914893617</v>
      </c>
      <c r="AC17" s="136">
        <v>31950</v>
      </c>
      <c r="AD17" s="138">
        <f t="shared" si="15"/>
        <v>339.89361702127661</v>
      </c>
      <c r="AE17" s="149">
        <f t="shared" si="16"/>
        <v>90750</v>
      </c>
      <c r="AF17" s="140">
        <f t="shared" si="17"/>
        <v>965.42553191489367</v>
      </c>
      <c r="AG17" s="156">
        <f t="shared" si="18"/>
        <v>15</v>
      </c>
      <c r="AH17" s="143">
        <f t="shared" si="19"/>
        <v>238800</v>
      </c>
      <c r="AI17" s="143">
        <f t="shared" si="20"/>
        <v>112090</v>
      </c>
      <c r="AJ17" s="150">
        <f t="shared" si="21"/>
        <v>350890</v>
      </c>
      <c r="AK17" s="143">
        <f t="shared" si="22"/>
        <v>4680</v>
      </c>
      <c r="AL17" s="151">
        <v>15</v>
      </c>
      <c r="AM17" s="151">
        <v>180000</v>
      </c>
      <c r="AN17" s="151">
        <v>80140</v>
      </c>
      <c r="AO17" s="152">
        <v>0</v>
      </c>
      <c r="AP17" s="152">
        <v>4680</v>
      </c>
      <c r="AQ17" s="152">
        <v>0</v>
      </c>
      <c r="AR17" s="152">
        <v>0</v>
      </c>
      <c r="AS17" s="153">
        <f t="shared" si="23"/>
        <v>264820</v>
      </c>
      <c r="AT17" s="91">
        <v>13</v>
      </c>
      <c r="AU17" s="92">
        <f t="shared" si="24"/>
        <v>264820</v>
      </c>
      <c r="AV17" s="154"/>
    </row>
    <row r="18" spans="1:48" ht="13.5" customHeight="1">
      <c r="A18" s="91"/>
      <c r="B18" s="155">
        <f t="shared" si="25"/>
        <v>45213</v>
      </c>
      <c r="C18" s="133"/>
      <c r="D18" s="134"/>
      <c r="E18" s="135">
        <v>25</v>
      </c>
      <c r="F18" s="136">
        <v>93720</v>
      </c>
      <c r="G18" s="137">
        <f t="shared" si="0"/>
        <v>3408</v>
      </c>
      <c r="H18" s="136">
        <v>16560</v>
      </c>
      <c r="I18" s="138">
        <f t="shared" si="1"/>
        <v>602.16</v>
      </c>
      <c r="J18" s="139">
        <f t="shared" si="2"/>
        <v>110280</v>
      </c>
      <c r="K18" s="140">
        <f t="shared" si="3"/>
        <v>4411.2</v>
      </c>
      <c r="L18" s="141"/>
      <c r="M18" s="142">
        <f t="shared" si="4"/>
        <v>33</v>
      </c>
      <c r="N18" s="143">
        <f t="shared" si="4"/>
        <v>335280</v>
      </c>
      <c r="O18" s="137">
        <f t="shared" si="5"/>
        <v>9236.363636363636</v>
      </c>
      <c r="P18" s="143">
        <f t="shared" si="6"/>
        <v>45650</v>
      </c>
      <c r="Q18" s="138">
        <f t="shared" si="7"/>
        <v>1257.5757575757575</v>
      </c>
      <c r="R18" s="144">
        <f t="shared" si="8"/>
        <v>380930</v>
      </c>
      <c r="S18" s="140">
        <f t="shared" si="9"/>
        <v>11543.333333333334</v>
      </c>
      <c r="T18" s="145">
        <f t="shared" si="10"/>
        <v>58</v>
      </c>
      <c r="U18" s="143">
        <f t="shared" si="10"/>
        <v>429000</v>
      </c>
      <c r="V18" s="143">
        <f t="shared" si="11"/>
        <v>62210</v>
      </c>
      <c r="W18" s="146">
        <f t="shared" si="12"/>
        <v>491210</v>
      </c>
      <c r="X18" s="143">
        <f t="shared" si="13"/>
        <v>8469.1379310344819</v>
      </c>
      <c r="Y18" s="147"/>
      <c r="Z18" s="148">
        <v>133</v>
      </c>
      <c r="AA18" s="136">
        <v>101850</v>
      </c>
      <c r="AB18" s="137">
        <f t="shared" si="14"/>
        <v>765.78947368421052</v>
      </c>
      <c r="AC18" s="136">
        <v>14150</v>
      </c>
      <c r="AD18" s="138">
        <f t="shared" si="15"/>
        <v>106.39097744360902</v>
      </c>
      <c r="AE18" s="149">
        <f t="shared" si="16"/>
        <v>116000</v>
      </c>
      <c r="AF18" s="140">
        <f t="shared" si="17"/>
        <v>872.18045112781954</v>
      </c>
      <c r="AG18" s="156">
        <f t="shared" si="18"/>
        <v>58</v>
      </c>
      <c r="AH18" s="143">
        <f t="shared" si="19"/>
        <v>530850</v>
      </c>
      <c r="AI18" s="143">
        <f t="shared" si="20"/>
        <v>76360</v>
      </c>
      <c r="AJ18" s="150">
        <f t="shared" si="21"/>
        <v>607210</v>
      </c>
      <c r="AK18" s="143">
        <f t="shared" si="22"/>
        <v>24200</v>
      </c>
      <c r="AL18" s="151">
        <v>58</v>
      </c>
      <c r="AM18" s="151">
        <v>429000</v>
      </c>
      <c r="AN18" s="151">
        <v>62210</v>
      </c>
      <c r="AO18" s="152">
        <v>24200</v>
      </c>
      <c r="AP18" s="152">
        <v>0</v>
      </c>
      <c r="AQ18" s="152">
        <v>0</v>
      </c>
      <c r="AR18" s="152">
        <v>0</v>
      </c>
      <c r="AS18" s="153">
        <f t="shared" si="23"/>
        <v>515410</v>
      </c>
      <c r="AT18" s="91">
        <v>14</v>
      </c>
      <c r="AU18" s="92">
        <f t="shared" si="24"/>
        <v>515410</v>
      </c>
      <c r="AV18" s="154"/>
    </row>
    <row r="19" spans="1:48" ht="13.5" customHeight="1">
      <c r="A19" s="91"/>
      <c r="B19" s="157">
        <f t="shared" si="25"/>
        <v>45214</v>
      </c>
      <c r="C19" s="133"/>
      <c r="D19" s="134"/>
      <c r="E19" s="135">
        <v>34</v>
      </c>
      <c r="F19" s="136">
        <v>105886</v>
      </c>
      <c r="G19" s="137">
        <f t="shared" si="0"/>
        <v>2831.1764705882351</v>
      </c>
      <c r="H19" s="136">
        <v>38320</v>
      </c>
      <c r="I19" s="138">
        <f t="shared" si="1"/>
        <v>1024.5882352941176</v>
      </c>
      <c r="J19" s="139">
        <f t="shared" si="2"/>
        <v>144206</v>
      </c>
      <c r="K19" s="140">
        <f t="shared" si="3"/>
        <v>4241.3529411764703</v>
      </c>
      <c r="L19" s="141"/>
      <c r="M19" s="142">
        <f t="shared" si="4"/>
        <v>31</v>
      </c>
      <c r="N19" s="143">
        <f t="shared" si="4"/>
        <v>296890</v>
      </c>
      <c r="O19" s="137">
        <f t="shared" si="5"/>
        <v>8706.4516129032254</v>
      </c>
      <c r="P19" s="143">
        <f t="shared" si="6"/>
        <v>38560</v>
      </c>
      <c r="Q19" s="161">
        <f t="shared" si="7"/>
        <v>1130.7741935483871</v>
      </c>
      <c r="R19" s="144">
        <f t="shared" si="8"/>
        <v>335450</v>
      </c>
      <c r="S19" s="140">
        <f t="shared" si="9"/>
        <v>10820.967741935483</v>
      </c>
      <c r="T19" s="145">
        <f t="shared" si="10"/>
        <v>65</v>
      </c>
      <c r="U19" s="143">
        <f t="shared" si="10"/>
        <v>402776</v>
      </c>
      <c r="V19" s="143">
        <f t="shared" si="11"/>
        <v>76880</v>
      </c>
      <c r="W19" s="146">
        <f t="shared" si="12"/>
        <v>479656</v>
      </c>
      <c r="X19" s="143">
        <f t="shared" si="13"/>
        <v>7379.3230769230768</v>
      </c>
      <c r="Y19" s="147"/>
      <c r="Z19" s="148">
        <v>187</v>
      </c>
      <c r="AA19" s="136">
        <v>128050</v>
      </c>
      <c r="AB19" s="137">
        <f t="shared" si="14"/>
        <v>684.75935828877004</v>
      </c>
      <c r="AC19" s="136">
        <v>32500</v>
      </c>
      <c r="AD19" s="138">
        <f t="shared" si="15"/>
        <v>173.79679144385025</v>
      </c>
      <c r="AE19" s="149">
        <f t="shared" si="16"/>
        <v>160550</v>
      </c>
      <c r="AF19" s="140">
        <f t="shared" si="17"/>
        <v>858.55614973262027</v>
      </c>
      <c r="AG19" s="156">
        <f t="shared" si="18"/>
        <v>65</v>
      </c>
      <c r="AH19" s="143">
        <f t="shared" si="19"/>
        <v>530826</v>
      </c>
      <c r="AI19" s="143">
        <f t="shared" si="20"/>
        <v>109380</v>
      </c>
      <c r="AJ19" s="150">
        <f t="shared" si="21"/>
        <v>640206</v>
      </c>
      <c r="AK19" s="143">
        <f t="shared" si="22"/>
        <v>28050</v>
      </c>
      <c r="AL19" s="151">
        <v>65</v>
      </c>
      <c r="AM19" s="151">
        <v>402776</v>
      </c>
      <c r="AN19" s="151">
        <v>76880</v>
      </c>
      <c r="AO19" s="152">
        <v>28050</v>
      </c>
      <c r="AP19" s="152">
        <v>0</v>
      </c>
      <c r="AQ19" s="152">
        <v>0</v>
      </c>
      <c r="AR19" s="152">
        <v>0</v>
      </c>
      <c r="AS19" s="153">
        <f t="shared" si="23"/>
        <v>507706</v>
      </c>
      <c r="AT19" s="91">
        <v>15</v>
      </c>
      <c r="AU19" s="92">
        <f t="shared" si="24"/>
        <v>507706</v>
      </c>
      <c r="AV19" s="91"/>
    </row>
    <row r="20" spans="1:48" ht="13.5" customHeight="1">
      <c r="A20" s="91"/>
      <c r="B20" s="158">
        <f t="shared" si="25"/>
        <v>45215</v>
      </c>
      <c r="C20" s="133" t="s">
        <v>59</v>
      </c>
      <c r="D20" s="134"/>
      <c r="E20" s="135"/>
      <c r="F20" s="136"/>
      <c r="G20" s="137" t="e">
        <f t="shared" si="0"/>
        <v>#DIV/0!</v>
      </c>
      <c r="H20" s="136"/>
      <c r="I20" s="137" t="e">
        <f t="shared" si="1"/>
        <v>#DIV/0!</v>
      </c>
      <c r="J20" s="139">
        <f t="shared" si="2"/>
        <v>0</v>
      </c>
      <c r="K20" s="140" t="str">
        <f t="shared" si="3"/>
        <v/>
      </c>
      <c r="L20" s="141"/>
      <c r="M20" s="142">
        <f t="shared" si="4"/>
        <v>39</v>
      </c>
      <c r="N20" s="143">
        <f t="shared" si="4"/>
        <v>247280</v>
      </c>
      <c r="O20" s="137">
        <f t="shared" si="5"/>
        <v>5764.1025641025644</v>
      </c>
      <c r="P20" s="143">
        <f t="shared" si="6"/>
        <v>10920</v>
      </c>
      <c r="Q20" s="161">
        <f t="shared" si="7"/>
        <v>254.53846153846155</v>
      </c>
      <c r="R20" s="144">
        <f t="shared" si="8"/>
        <v>258200</v>
      </c>
      <c r="S20" s="140">
        <f t="shared" si="9"/>
        <v>6620.5128205128203</v>
      </c>
      <c r="T20" s="145">
        <f t="shared" si="10"/>
        <v>39</v>
      </c>
      <c r="U20" s="143">
        <f t="shared" si="10"/>
        <v>247280</v>
      </c>
      <c r="V20" s="143">
        <f t="shared" si="11"/>
        <v>10920</v>
      </c>
      <c r="W20" s="146">
        <f t="shared" si="12"/>
        <v>258200</v>
      </c>
      <c r="X20" s="143">
        <f t="shared" si="13"/>
        <v>6620.5128205128203</v>
      </c>
      <c r="Y20" s="147"/>
      <c r="Z20" s="148">
        <v>79</v>
      </c>
      <c r="AA20" s="136">
        <v>58300</v>
      </c>
      <c r="AB20" s="137">
        <f t="shared" si="14"/>
        <v>737.97468354430384</v>
      </c>
      <c r="AC20" s="136">
        <v>24150</v>
      </c>
      <c r="AD20" s="138">
        <f t="shared" si="15"/>
        <v>305.69620253164555</v>
      </c>
      <c r="AE20" s="149">
        <f t="shared" si="16"/>
        <v>82450</v>
      </c>
      <c r="AF20" s="140">
        <f t="shared" si="17"/>
        <v>1043.6708860759493</v>
      </c>
      <c r="AG20" s="156">
        <f t="shared" si="18"/>
        <v>39</v>
      </c>
      <c r="AH20" s="151">
        <f t="shared" si="19"/>
        <v>305580</v>
      </c>
      <c r="AI20" s="151">
        <f t="shared" si="20"/>
        <v>35070</v>
      </c>
      <c r="AJ20" s="150">
        <f t="shared" si="21"/>
        <v>340650</v>
      </c>
      <c r="AK20" s="143">
        <f t="shared" si="22"/>
        <v>56300</v>
      </c>
      <c r="AL20" s="151">
        <v>39</v>
      </c>
      <c r="AM20" s="151">
        <v>247280</v>
      </c>
      <c r="AN20" s="151">
        <v>10920</v>
      </c>
      <c r="AO20" s="152">
        <v>3300</v>
      </c>
      <c r="AP20" s="152">
        <v>53000</v>
      </c>
      <c r="AQ20" s="152">
        <v>0</v>
      </c>
      <c r="AR20" s="152">
        <v>0</v>
      </c>
      <c r="AS20" s="153">
        <f t="shared" si="23"/>
        <v>314500</v>
      </c>
      <c r="AT20" s="91">
        <v>16</v>
      </c>
      <c r="AU20" s="92">
        <f t="shared" si="24"/>
        <v>314500</v>
      </c>
      <c r="AV20" s="154"/>
    </row>
    <row r="21" spans="1:48" ht="15.75" customHeight="1">
      <c r="A21" s="91"/>
      <c r="B21" s="158">
        <f t="shared" si="25"/>
        <v>45216</v>
      </c>
      <c r="C21" s="133" t="s">
        <v>67</v>
      </c>
      <c r="D21" s="134"/>
      <c r="E21" s="135"/>
      <c r="F21" s="136"/>
      <c r="G21" s="137" t="e">
        <f t="shared" si="0"/>
        <v>#DIV/0!</v>
      </c>
      <c r="H21" s="136"/>
      <c r="I21" s="137" t="e">
        <f t="shared" si="1"/>
        <v>#DIV/0!</v>
      </c>
      <c r="J21" s="139">
        <f t="shared" si="2"/>
        <v>0</v>
      </c>
      <c r="K21" s="140" t="str">
        <f t="shared" si="3"/>
        <v/>
      </c>
      <c r="L21" s="141"/>
      <c r="M21" s="142">
        <f t="shared" si="4"/>
        <v>37</v>
      </c>
      <c r="N21" s="143">
        <f t="shared" si="4"/>
        <v>360140</v>
      </c>
      <c r="O21" s="137">
        <f t="shared" si="5"/>
        <v>8848.6486486486483</v>
      </c>
      <c r="P21" s="143">
        <f t="shared" si="6"/>
        <v>51900</v>
      </c>
      <c r="Q21" s="161">
        <f t="shared" si="7"/>
        <v>1275.1621621621621</v>
      </c>
      <c r="R21" s="144">
        <f t="shared" si="8"/>
        <v>412040</v>
      </c>
      <c r="S21" s="140">
        <f t="shared" si="9"/>
        <v>11136.216216216217</v>
      </c>
      <c r="T21" s="145">
        <f t="shared" si="10"/>
        <v>37</v>
      </c>
      <c r="U21" s="143">
        <f t="shared" si="10"/>
        <v>360140</v>
      </c>
      <c r="V21" s="143">
        <f t="shared" si="11"/>
        <v>51900</v>
      </c>
      <c r="W21" s="146">
        <f t="shared" si="12"/>
        <v>412040</v>
      </c>
      <c r="X21" s="143">
        <f t="shared" si="13"/>
        <v>11136.216216216217</v>
      </c>
      <c r="Y21" s="147"/>
      <c r="Z21" s="148">
        <v>16</v>
      </c>
      <c r="AA21" s="136">
        <v>11350</v>
      </c>
      <c r="AB21" s="137">
        <f t="shared" si="14"/>
        <v>709.375</v>
      </c>
      <c r="AC21" s="136">
        <v>3850</v>
      </c>
      <c r="AD21" s="138">
        <f t="shared" si="15"/>
        <v>240.625</v>
      </c>
      <c r="AE21" s="149">
        <f t="shared" si="16"/>
        <v>15200</v>
      </c>
      <c r="AF21" s="140">
        <f t="shared" si="17"/>
        <v>950</v>
      </c>
      <c r="AG21" s="156">
        <f t="shared" si="18"/>
        <v>37</v>
      </c>
      <c r="AH21" s="151">
        <f t="shared" si="19"/>
        <v>371490</v>
      </c>
      <c r="AI21" s="151">
        <f t="shared" si="20"/>
        <v>55750</v>
      </c>
      <c r="AJ21" s="150">
        <f t="shared" si="21"/>
        <v>427240</v>
      </c>
      <c r="AK21" s="143">
        <f t="shared" si="22"/>
        <v>23100</v>
      </c>
      <c r="AL21" s="151">
        <v>37</v>
      </c>
      <c r="AM21" s="151">
        <v>360140</v>
      </c>
      <c r="AN21" s="151">
        <v>51900</v>
      </c>
      <c r="AO21" s="152">
        <v>23100</v>
      </c>
      <c r="AP21" s="152">
        <v>0</v>
      </c>
      <c r="AQ21" s="152">
        <v>0</v>
      </c>
      <c r="AR21" s="152">
        <v>0</v>
      </c>
      <c r="AS21" s="153">
        <f t="shared" si="23"/>
        <v>435140</v>
      </c>
      <c r="AT21" s="91">
        <v>17</v>
      </c>
      <c r="AU21" s="92">
        <f t="shared" si="24"/>
        <v>435140</v>
      </c>
      <c r="AV21" s="154"/>
    </row>
    <row r="22" spans="1:48" ht="15.75" customHeight="1">
      <c r="A22" s="91"/>
      <c r="B22" s="158">
        <f t="shared" si="25"/>
        <v>45217</v>
      </c>
      <c r="C22" s="133" t="s">
        <v>52</v>
      </c>
      <c r="D22" s="134"/>
      <c r="E22" s="135"/>
      <c r="F22" s="136"/>
      <c r="G22" s="137" t="e">
        <f t="shared" si="0"/>
        <v>#DIV/0!</v>
      </c>
      <c r="H22" s="136"/>
      <c r="I22" s="137" t="e">
        <f t="shared" si="1"/>
        <v>#DIV/0!</v>
      </c>
      <c r="J22" s="139">
        <f t="shared" si="2"/>
        <v>0</v>
      </c>
      <c r="K22" s="140" t="str">
        <f t="shared" si="3"/>
        <v/>
      </c>
      <c r="L22" s="141"/>
      <c r="M22" s="142">
        <f t="shared" si="4"/>
        <v>33</v>
      </c>
      <c r="N22" s="143">
        <f t="shared" si="4"/>
        <v>319220</v>
      </c>
      <c r="O22" s="137">
        <f t="shared" si="5"/>
        <v>8793.939393939394</v>
      </c>
      <c r="P22" s="143">
        <f t="shared" si="6"/>
        <v>52460</v>
      </c>
      <c r="Q22" s="161">
        <f t="shared" si="7"/>
        <v>1445.1515151515152</v>
      </c>
      <c r="R22" s="144">
        <f t="shared" si="8"/>
        <v>371680</v>
      </c>
      <c r="S22" s="140">
        <f t="shared" si="9"/>
        <v>11263.030303030304</v>
      </c>
      <c r="T22" s="145">
        <f t="shared" si="10"/>
        <v>33</v>
      </c>
      <c r="U22" s="143">
        <f t="shared" si="10"/>
        <v>319220</v>
      </c>
      <c r="V22" s="143">
        <f t="shared" si="11"/>
        <v>52460</v>
      </c>
      <c r="W22" s="146">
        <f t="shared" si="12"/>
        <v>371680</v>
      </c>
      <c r="X22" s="143">
        <f t="shared" si="13"/>
        <v>11263.030303030304</v>
      </c>
      <c r="Y22" s="147"/>
      <c r="Z22" s="148">
        <v>114</v>
      </c>
      <c r="AA22" s="136">
        <v>71250</v>
      </c>
      <c r="AB22" s="137">
        <f t="shared" si="14"/>
        <v>625</v>
      </c>
      <c r="AC22" s="136">
        <v>33950</v>
      </c>
      <c r="AD22" s="138">
        <f t="shared" si="15"/>
        <v>297.80701754385967</v>
      </c>
      <c r="AE22" s="149">
        <f t="shared" si="16"/>
        <v>105200</v>
      </c>
      <c r="AF22" s="140">
        <f t="shared" si="17"/>
        <v>922.80701754385962</v>
      </c>
      <c r="AG22" s="156">
        <f t="shared" si="18"/>
        <v>33</v>
      </c>
      <c r="AH22" s="151">
        <f t="shared" si="19"/>
        <v>390470</v>
      </c>
      <c r="AI22" s="151">
        <f t="shared" si="20"/>
        <v>86410</v>
      </c>
      <c r="AJ22" s="150">
        <f t="shared" si="21"/>
        <v>476880</v>
      </c>
      <c r="AK22" s="143">
        <f t="shared" si="22"/>
        <v>23100</v>
      </c>
      <c r="AL22" s="151">
        <v>33</v>
      </c>
      <c r="AM22" s="151">
        <v>319220</v>
      </c>
      <c r="AN22" s="151">
        <v>52460</v>
      </c>
      <c r="AO22" s="152">
        <v>23100</v>
      </c>
      <c r="AP22" s="152">
        <v>0</v>
      </c>
      <c r="AQ22" s="152">
        <v>0</v>
      </c>
      <c r="AR22" s="152">
        <v>0</v>
      </c>
      <c r="AS22" s="153">
        <f t="shared" si="23"/>
        <v>394780</v>
      </c>
      <c r="AT22" s="91">
        <v>18</v>
      </c>
      <c r="AU22" s="92">
        <f t="shared" si="24"/>
        <v>394780</v>
      </c>
      <c r="AV22" s="154"/>
    </row>
    <row r="23" spans="1:48" ht="15.75" customHeight="1">
      <c r="A23" s="91"/>
      <c r="B23" s="158">
        <f t="shared" si="25"/>
        <v>45218</v>
      </c>
      <c r="C23" s="133" t="s">
        <v>52</v>
      </c>
      <c r="D23" s="134"/>
      <c r="E23" s="135"/>
      <c r="F23" s="136"/>
      <c r="G23" s="137" t="e">
        <f t="shared" si="0"/>
        <v>#DIV/0!</v>
      </c>
      <c r="H23" s="136"/>
      <c r="I23" s="137" t="e">
        <f t="shared" si="1"/>
        <v>#DIV/0!</v>
      </c>
      <c r="J23" s="139">
        <f t="shared" si="2"/>
        <v>0</v>
      </c>
      <c r="K23" s="140" t="str">
        <f t="shared" si="3"/>
        <v/>
      </c>
      <c r="L23" s="141"/>
      <c r="M23" s="142">
        <f t="shared" si="4"/>
        <v>30</v>
      </c>
      <c r="N23" s="143">
        <f t="shared" si="4"/>
        <v>287210</v>
      </c>
      <c r="O23" s="137">
        <f t="shared" si="5"/>
        <v>8703.3333333333339</v>
      </c>
      <c r="P23" s="143">
        <f t="shared" si="6"/>
        <v>55620</v>
      </c>
      <c r="Q23" s="161">
        <f t="shared" si="7"/>
        <v>1685.4333333333334</v>
      </c>
      <c r="R23" s="144">
        <f t="shared" si="8"/>
        <v>342830</v>
      </c>
      <c r="S23" s="140">
        <f t="shared" si="9"/>
        <v>11427.666666666666</v>
      </c>
      <c r="T23" s="145">
        <f t="shared" si="10"/>
        <v>30</v>
      </c>
      <c r="U23" s="143">
        <f t="shared" si="10"/>
        <v>287210</v>
      </c>
      <c r="V23" s="143">
        <f t="shared" si="11"/>
        <v>55620</v>
      </c>
      <c r="W23" s="146">
        <f t="shared" si="12"/>
        <v>342830</v>
      </c>
      <c r="X23" s="143">
        <f t="shared" si="13"/>
        <v>11427.666666666666</v>
      </c>
      <c r="Y23" s="147"/>
      <c r="Z23" s="148">
        <v>39</v>
      </c>
      <c r="AA23" s="136">
        <v>20100</v>
      </c>
      <c r="AB23" s="137">
        <f t="shared" si="14"/>
        <v>515.38461538461536</v>
      </c>
      <c r="AC23" s="136">
        <v>10650</v>
      </c>
      <c r="AD23" s="138">
        <f t="shared" si="15"/>
        <v>273.07692307692309</v>
      </c>
      <c r="AE23" s="149">
        <f t="shared" si="16"/>
        <v>30750</v>
      </c>
      <c r="AF23" s="140">
        <f t="shared" si="17"/>
        <v>788.46153846153845</v>
      </c>
      <c r="AG23" s="156">
        <f t="shared" si="18"/>
        <v>30</v>
      </c>
      <c r="AH23" s="151">
        <f t="shared" si="19"/>
        <v>307310</v>
      </c>
      <c r="AI23" s="151">
        <f t="shared" si="20"/>
        <v>66270</v>
      </c>
      <c r="AJ23" s="150">
        <f t="shared" si="21"/>
        <v>373580</v>
      </c>
      <c r="AK23" s="143">
        <f t="shared" si="22"/>
        <v>21910</v>
      </c>
      <c r="AL23" s="151">
        <v>30</v>
      </c>
      <c r="AM23" s="151">
        <v>287210</v>
      </c>
      <c r="AN23" s="151">
        <v>55620</v>
      </c>
      <c r="AO23" s="152">
        <v>20350</v>
      </c>
      <c r="AP23" s="152">
        <v>1560</v>
      </c>
      <c r="AQ23" s="152">
        <v>0</v>
      </c>
      <c r="AR23" s="152">
        <v>0</v>
      </c>
      <c r="AS23" s="153">
        <f t="shared" si="23"/>
        <v>364740</v>
      </c>
      <c r="AT23" s="91">
        <v>19</v>
      </c>
      <c r="AU23" s="92">
        <f t="shared" si="24"/>
        <v>364740</v>
      </c>
      <c r="AV23" s="154"/>
    </row>
    <row r="24" spans="1:48" ht="15.75" customHeight="1">
      <c r="A24" s="91"/>
      <c r="B24" s="158">
        <f t="shared" si="25"/>
        <v>45219</v>
      </c>
      <c r="C24" s="133" t="s">
        <v>52</v>
      </c>
      <c r="D24" s="134"/>
      <c r="E24" s="135"/>
      <c r="F24" s="136"/>
      <c r="G24" s="137" t="e">
        <f t="shared" si="0"/>
        <v>#DIV/0!</v>
      </c>
      <c r="H24" s="136"/>
      <c r="I24" s="137" t="e">
        <f t="shared" si="1"/>
        <v>#DIV/0!</v>
      </c>
      <c r="J24" s="139">
        <f t="shared" si="2"/>
        <v>0</v>
      </c>
      <c r="K24" s="140" t="str">
        <f t="shared" si="3"/>
        <v/>
      </c>
      <c r="L24" s="141"/>
      <c r="M24" s="142">
        <f t="shared" si="4"/>
        <v>32</v>
      </c>
      <c r="N24" s="143">
        <f t="shared" si="4"/>
        <v>263890</v>
      </c>
      <c r="O24" s="137">
        <f t="shared" si="5"/>
        <v>7496.875</v>
      </c>
      <c r="P24" s="143">
        <f t="shared" si="6"/>
        <v>39340</v>
      </c>
      <c r="Q24" s="161">
        <f t="shared" si="7"/>
        <v>1117.59375</v>
      </c>
      <c r="R24" s="144">
        <f t="shared" si="8"/>
        <v>303230</v>
      </c>
      <c r="S24" s="140">
        <f t="shared" si="9"/>
        <v>9475.9375</v>
      </c>
      <c r="T24" s="145">
        <f t="shared" si="10"/>
        <v>32</v>
      </c>
      <c r="U24" s="143">
        <f t="shared" si="10"/>
        <v>263890</v>
      </c>
      <c r="V24" s="143">
        <f t="shared" si="11"/>
        <v>39340</v>
      </c>
      <c r="W24" s="146">
        <f t="shared" si="12"/>
        <v>303230</v>
      </c>
      <c r="X24" s="143">
        <f t="shared" si="13"/>
        <v>9475.9375</v>
      </c>
      <c r="Y24" s="147"/>
      <c r="Z24" s="148">
        <v>9</v>
      </c>
      <c r="AA24" s="136">
        <v>6600</v>
      </c>
      <c r="AB24" s="137">
        <f t="shared" si="14"/>
        <v>733.33333333333337</v>
      </c>
      <c r="AC24" s="136">
        <v>3200</v>
      </c>
      <c r="AD24" s="138">
        <f t="shared" si="15"/>
        <v>355.55555555555554</v>
      </c>
      <c r="AE24" s="149">
        <f t="shared" si="16"/>
        <v>9800</v>
      </c>
      <c r="AF24" s="140">
        <f t="shared" si="17"/>
        <v>1088.8888888888889</v>
      </c>
      <c r="AG24" s="156">
        <f t="shared" si="18"/>
        <v>32</v>
      </c>
      <c r="AH24" s="151">
        <f t="shared" si="19"/>
        <v>270490</v>
      </c>
      <c r="AI24" s="151">
        <f t="shared" si="20"/>
        <v>42540</v>
      </c>
      <c r="AJ24" s="150">
        <f t="shared" si="21"/>
        <v>313030</v>
      </c>
      <c r="AK24" s="143">
        <f t="shared" si="22"/>
        <v>19910</v>
      </c>
      <c r="AL24" s="151">
        <v>32</v>
      </c>
      <c r="AM24" s="151">
        <v>263890</v>
      </c>
      <c r="AN24" s="151">
        <v>39340</v>
      </c>
      <c r="AO24" s="152">
        <v>18700</v>
      </c>
      <c r="AP24" s="152">
        <v>1210</v>
      </c>
      <c r="AQ24" s="152">
        <v>0</v>
      </c>
      <c r="AR24" s="152">
        <v>3300</v>
      </c>
      <c r="AS24" s="153">
        <f t="shared" si="23"/>
        <v>323140</v>
      </c>
      <c r="AT24" s="91">
        <v>20</v>
      </c>
      <c r="AU24" s="92">
        <f t="shared" si="24"/>
        <v>326440</v>
      </c>
      <c r="AV24" s="154"/>
    </row>
    <row r="25" spans="1:48" ht="15.75" customHeight="1">
      <c r="A25" s="91"/>
      <c r="B25" s="155">
        <f t="shared" si="25"/>
        <v>45220</v>
      </c>
      <c r="C25" s="133"/>
      <c r="D25" s="134"/>
      <c r="E25" s="135">
        <v>27</v>
      </c>
      <c r="F25" s="136">
        <v>98890</v>
      </c>
      <c r="G25" s="137">
        <f t="shared" si="0"/>
        <v>3329.6296296296296</v>
      </c>
      <c r="H25" s="136">
        <v>11660</v>
      </c>
      <c r="I25" s="137">
        <f t="shared" si="1"/>
        <v>392.59259259259261</v>
      </c>
      <c r="J25" s="139">
        <f t="shared" si="2"/>
        <v>110550</v>
      </c>
      <c r="K25" s="140">
        <f t="shared" si="3"/>
        <v>4094.4444444444443</v>
      </c>
      <c r="L25" s="141"/>
      <c r="M25" s="142">
        <f t="shared" si="4"/>
        <v>30</v>
      </c>
      <c r="N25" s="143">
        <f t="shared" si="4"/>
        <v>249810</v>
      </c>
      <c r="O25" s="137">
        <f t="shared" si="5"/>
        <v>7570</v>
      </c>
      <c r="P25" s="143">
        <f t="shared" si="6"/>
        <v>38630</v>
      </c>
      <c r="Q25" s="161">
        <f t="shared" si="7"/>
        <v>1170.5999999999999</v>
      </c>
      <c r="R25" s="144">
        <f t="shared" si="8"/>
        <v>288440</v>
      </c>
      <c r="S25" s="140">
        <f t="shared" si="9"/>
        <v>9614.6666666666661</v>
      </c>
      <c r="T25" s="145">
        <f t="shared" si="10"/>
        <v>57</v>
      </c>
      <c r="U25" s="143">
        <f t="shared" si="10"/>
        <v>348700</v>
      </c>
      <c r="V25" s="143">
        <f t="shared" si="11"/>
        <v>50290</v>
      </c>
      <c r="W25" s="146">
        <f t="shared" si="12"/>
        <v>398990</v>
      </c>
      <c r="X25" s="143">
        <f t="shared" si="13"/>
        <v>6999.8245614035086</v>
      </c>
      <c r="Y25" s="147"/>
      <c r="Z25" s="148">
        <v>86</v>
      </c>
      <c r="AA25" s="136">
        <v>48550</v>
      </c>
      <c r="AB25" s="137">
        <f t="shared" si="14"/>
        <v>564.53488372093022</v>
      </c>
      <c r="AC25" s="136">
        <v>25950</v>
      </c>
      <c r="AD25" s="138">
        <f t="shared" si="15"/>
        <v>301.74418604651163</v>
      </c>
      <c r="AE25" s="149">
        <f t="shared" si="16"/>
        <v>74500</v>
      </c>
      <c r="AF25" s="140">
        <f t="shared" si="17"/>
        <v>866.27906976744191</v>
      </c>
      <c r="AG25" s="156">
        <f t="shared" si="18"/>
        <v>57</v>
      </c>
      <c r="AH25" s="151">
        <f t="shared" si="19"/>
        <v>397250</v>
      </c>
      <c r="AI25" s="151">
        <f t="shared" si="20"/>
        <v>76240</v>
      </c>
      <c r="AJ25" s="150">
        <f t="shared" si="21"/>
        <v>473490</v>
      </c>
      <c r="AK25" s="143">
        <f t="shared" si="22"/>
        <v>31350</v>
      </c>
      <c r="AL25" s="151">
        <v>57</v>
      </c>
      <c r="AM25" s="151">
        <v>348700</v>
      </c>
      <c r="AN25" s="151">
        <v>50290</v>
      </c>
      <c r="AO25" s="152">
        <v>31350</v>
      </c>
      <c r="AP25" s="152">
        <v>0</v>
      </c>
      <c r="AQ25" s="152">
        <v>0</v>
      </c>
      <c r="AR25" s="152">
        <v>0</v>
      </c>
      <c r="AS25" s="153">
        <f t="shared" si="23"/>
        <v>430340</v>
      </c>
      <c r="AT25" s="91">
        <v>21</v>
      </c>
      <c r="AU25" s="92">
        <f t="shared" si="24"/>
        <v>430340</v>
      </c>
      <c r="AV25" s="154"/>
    </row>
    <row r="26" spans="1:48" ht="15.75" customHeight="1">
      <c r="A26" s="91"/>
      <c r="B26" s="157">
        <f t="shared" si="25"/>
        <v>45221</v>
      </c>
      <c r="C26" s="133"/>
      <c r="D26" s="134"/>
      <c r="E26" s="135">
        <v>38</v>
      </c>
      <c r="F26" s="136">
        <v>117804</v>
      </c>
      <c r="G26" s="137">
        <f t="shared" si="0"/>
        <v>2818.2631578947367</v>
      </c>
      <c r="H26" s="136">
        <v>21220</v>
      </c>
      <c r="I26" s="137">
        <f t="shared" si="1"/>
        <v>507.63157894736844</v>
      </c>
      <c r="J26" s="139">
        <f t="shared" si="2"/>
        <v>139024</v>
      </c>
      <c r="K26" s="140">
        <f t="shared" si="3"/>
        <v>3658.5263157894738</v>
      </c>
      <c r="L26" s="141"/>
      <c r="M26" s="142">
        <f t="shared" si="4"/>
        <v>31</v>
      </c>
      <c r="N26" s="143">
        <f t="shared" si="4"/>
        <v>304460</v>
      </c>
      <c r="O26" s="137">
        <f t="shared" si="5"/>
        <v>8928.4193548387102</v>
      </c>
      <c r="P26" s="143">
        <f t="shared" si="6"/>
        <v>63660</v>
      </c>
      <c r="Q26" s="161">
        <f t="shared" si="7"/>
        <v>1866.8387096774193</v>
      </c>
      <c r="R26" s="144">
        <f t="shared" si="8"/>
        <v>368120</v>
      </c>
      <c r="S26" s="140">
        <f t="shared" si="9"/>
        <v>11874.838709677419</v>
      </c>
      <c r="T26" s="145">
        <f t="shared" si="10"/>
        <v>69</v>
      </c>
      <c r="U26" s="143">
        <f t="shared" si="10"/>
        <v>422264</v>
      </c>
      <c r="V26" s="143">
        <f t="shared" si="11"/>
        <v>84880</v>
      </c>
      <c r="W26" s="146">
        <f t="shared" si="12"/>
        <v>507144</v>
      </c>
      <c r="X26" s="143">
        <f t="shared" si="13"/>
        <v>7349.913043478261</v>
      </c>
      <c r="Y26" s="147"/>
      <c r="Z26" s="148">
        <v>98</v>
      </c>
      <c r="AA26" s="136">
        <v>52700</v>
      </c>
      <c r="AB26" s="137">
        <f t="shared" si="14"/>
        <v>537.75510204081638</v>
      </c>
      <c r="AC26" s="136">
        <v>36450</v>
      </c>
      <c r="AD26" s="138">
        <f t="shared" si="15"/>
        <v>371.9387755102041</v>
      </c>
      <c r="AE26" s="149">
        <f t="shared" si="16"/>
        <v>89150</v>
      </c>
      <c r="AF26" s="140">
        <f t="shared" si="17"/>
        <v>909.69387755102036</v>
      </c>
      <c r="AG26" s="156">
        <f t="shared" si="18"/>
        <v>69</v>
      </c>
      <c r="AH26" s="151">
        <f t="shared" si="19"/>
        <v>474964</v>
      </c>
      <c r="AI26" s="151">
        <f t="shared" si="20"/>
        <v>121330</v>
      </c>
      <c r="AJ26" s="150">
        <f t="shared" si="21"/>
        <v>596294</v>
      </c>
      <c r="AK26" s="143">
        <f t="shared" si="22"/>
        <v>26400</v>
      </c>
      <c r="AL26" s="151">
        <v>69</v>
      </c>
      <c r="AM26" s="151">
        <v>422264</v>
      </c>
      <c r="AN26" s="151">
        <v>84880</v>
      </c>
      <c r="AO26" s="152">
        <v>23100</v>
      </c>
      <c r="AP26" s="152">
        <v>3300</v>
      </c>
      <c r="AQ26" s="152">
        <v>0</v>
      </c>
      <c r="AR26" s="152">
        <v>0</v>
      </c>
      <c r="AS26" s="153">
        <f t="shared" si="23"/>
        <v>533544</v>
      </c>
      <c r="AT26" s="91">
        <v>22</v>
      </c>
      <c r="AU26" s="92">
        <f t="shared" si="24"/>
        <v>533544</v>
      </c>
      <c r="AV26" s="154"/>
    </row>
    <row r="27" spans="1:48" ht="15.75" customHeight="1">
      <c r="A27" s="91"/>
      <c r="B27" s="158">
        <f t="shared" si="25"/>
        <v>45222</v>
      </c>
      <c r="C27" s="133" t="s">
        <v>52</v>
      </c>
      <c r="D27" s="134"/>
      <c r="E27" s="135"/>
      <c r="F27" s="136"/>
      <c r="G27" s="137" t="e">
        <f t="shared" si="0"/>
        <v>#DIV/0!</v>
      </c>
      <c r="H27" s="136"/>
      <c r="I27" s="137" t="e">
        <f t="shared" si="1"/>
        <v>#DIV/0!</v>
      </c>
      <c r="J27" s="139">
        <f t="shared" si="2"/>
        <v>0</v>
      </c>
      <c r="K27" s="140" t="str">
        <f t="shared" si="3"/>
        <v/>
      </c>
      <c r="L27" s="141"/>
      <c r="M27" s="142">
        <f t="shared" si="4"/>
        <v>33</v>
      </c>
      <c r="N27" s="143">
        <f t="shared" si="4"/>
        <v>300190</v>
      </c>
      <c r="O27" s="137">
        <f t="shared" si="5"/>
        <v>8269.69696969697</v>
      </c>
      <c r="P27" s="143">
        <f t="shared" si="6"/>
        <v>61180</v>
      </c>
      <c r="Q27" s="138">
        <f t="shared" si="7"/>
        <v>1685.3939393939395</v>
      </c>
      <c r="R27" s="144">
        <f t="shared" si="8"/>
        <v>361370</v>
      </c>
      <c r="S27" s="140">
        <f t="shared" si="9"/>
        <v>10950.60606060606</v>
      </c>
      <c r="T27" s="145">
        <f t="shared" si="10"/>
        <v>33</v>
      </c>
      <c r="U27" s="143">
        <f t="shared" si="10"/>
        <v>300190</v>
      </c>
      <c r="V27" s="143">
        <f t="shared" si="11"/>
        <v>61180</v>
      </c>
      <c r="W27" s="146">
        <f t="shared" si="12"/>
        <v>361370</v>
      </c>
      <c r="X27" s="143">
        <f t="shared" si="13"/>
        <v>10950.60606060606</v>
      </c>
      <c r="Y27" s="147"/>
      <c r="Z27" s="148">
        <v>125</v>
      </c>
      <c r="AA27" s="136">
        <v>74600</v>
      </c>
      <c r="AB27" s="137">
        <f t="shared" si="14"/>
        <v>596.79999999999995</v>
      </c>
      <c r="AC27" s="136">
        <v>37650</v>
      </c>
      <c r="AD27" s="138">
        <f t="shared" si="15"/>
        <v>301.2</v>
      </c>
      <c r="AE27" s="149">
        <f t="shared" si="16"/>
        <v>112250</v>
      </c>
      <c r="AF27" s="140">
        <f t="shared" si="17"/>
        <v>898</v>
      </c>
      <c r="AG27" s="156">
        <f t="shared" si="18"/>
        <v>33</v>
      </c>
      <c r="AH27" s="151">
        <f t="shared" si="19"/>
        <v>374790</v>
      </c>
      <c r="AI27" s="151">
        <f t="shared" si="20"/>
        <v>98830</v>
      </c>
      <c r="AJ27" s="150">
        <f t="shared" si="21"/>
        <v>473620</v>
      </c>
      <c r="AK27" s="143">
        <f t="shared" si="22"/>
        <v>28050</v>
      </c>
      <c r="AL27" s="151">
        <v>33</v>
      </c>
      <c r="AM27" s="151">
        <v>300190</v>
      </c>
      <c r="AN27" s="151">
        <v>61180</v>
      </c>
      <c r="AO27" s="152">
        <v>28050</v>
      </c>
      <c r="AP27" s="152">
        <v>0</v>
      </c>
      <c r="AQ27" s="152">
        <v>0</v>
      </c>
      <c r="AR27" s="152">
        <v>0</v>
      </c>
      <c r="AS27" s="153">
        <f t="shared" si="23"/>
        <v>389420</v>
      </c>
      <c r="AT27" s="91">
        <v>23</v>
      </c>
      <c r="AU27" s="92">
        <f t="shared" si="24"/>
        <v>389420</v>
      </c>
      <c r="AV27" s="154"/>
    </row>
    <row r="28" spans="1:48" ht="15.75" customHeight="1">
      <c r="A28" s="91"/>
      <c r="B28" s="158">
        <f t="shared" si="25"/>
        <v>45223</v>
      </c>
      <c r="C28" s="133" t="s">
        <v>52</v>
      </c>
      <c r="D28" s="134"/>
      <c r="E28" s="135"/>
      <c r="F28" s="136"/>
      <c r="G28" s="137" t="e">
        <f t="shared" si="0"/>
        <v>#DIV/0!</v>
      </c>
      <c r="H28" s="136"/>
      <c r="I28" s="137" t="e">
        <f t="shared" si="1"/>
        <v>#DIV/0!</v>
      </c>
      <c r="J28" s="139">
        <f t="shared" si="2"/>
        <v>0</v>
      </c>
      <c r="K28" s="140" t="str">
        <f t="shared" si="3"/>
        <v/>
      </c>
      <c r="L28" s="141"/>
      <c r="M28" s="142">
        <f t="shared" si="4"/>
        <v>31</v>
      </c>
      <c r="N28" s="143">
        <f t="shared" si="4"/>
        <v>281320</v>
      </c>
      <c r="O28" s="137">
        <f t="shared" si="5"/>
        <v>8249.8387096774186</v>
      </c>
      <c r="P28" s="143">
        <f t="shared" si="6"/>
        <v>49220</v>
      </c>
      <c r="Q28" s="138">
        <f t="shared" si="7"/>
        <v>1443.3870967741937</v>
      </c>
      <c r="R28" s="144">
        <f t="shared" si="8"/>
        <v>330540</v>
      </c>
      <c r="S28" s="140">
        <f t="shared" si="9"/>
        <v>10662.58064516129</v>
      </c>
      <c r="T28" s="145">
        <f t="shared" si="10"/>
        <v>31</v>
      </c>
      <c r="U28" s="143">
        <f t="shared" si="10"/>
        <v>281320</v>
      </c>
      <c r="V28" s="143">
        <f t="shared" si="11"/>
        <v>49220</v>
      </c>
      <c r="W28" s="146">
        <f t="shared" si="12"/>
        <v>330540</v>
      </c>
      <c r="X28" s="143">
        <f t="shared" si="13"/>
        <v>10662.58064516129</v>
      </c>
      <c r="Y28" s="147"/>
      <c r="Z28" s="148">
        <v>91</v>
      </c>
      <c r="AA28" s="136">
        <v>61700</v>
      </c>
      <c r="AB28" s="137">
        <f t="shared" si="14"/>
        <v>678.02197802197804</v>
      </c>
      <c r="AC28" s="136">
        <v>22850</v>
      </c>
      <c r="AD28" s="138">
        <f t="shared" si="15"/>
        <v>251.09890109890111</v>
      </c>
      <c r="AE28" s="149">
        <f t="shared" si="16"/>
        <v>84550</v>
      </c>
      <c r="AF28" s="140">
        <f t="shared" si="17"/>
        <v>929.12087912087907</v>
      </c>
      <c r="AG28" s="156">
        <f t="shared" si="18"/>
        <v>31</v>
      </c>
      <c r="AH28" s="151">
        <f t="shared" si="19"/>
        <v>343020</v>
      </c>
      <c r="AI28" s="151">
        <f t="shared" si="20"/>
        <v>72070</v>
      </c>
      <c r="AJ28" s="150">
        <f t="shared" si="21"/>
        <v>415090</v>
      </c>
      <c r="AK28" s="143">
        <f t="shared" si="22"/>
        <v>115550</v>
      </c>
      <c r="AL28" s="151">
        <v>31</v>
      </c>
      <c r="AM28" s="151">
        <v>281320</v>
      </c>
      <c r="AN28" s="151">
        <v>49220</v>
      </c>
      <c r="AO28" s="152">
        <v>22550</v>
      </c>
      <c r="AP28" s="152">
        <v>93000</v>
      </c>
      <c r="AQ28" s="152">
        <v>0</v>
      </c>
      <c r="AR28" s="152">
        <v>0</v>
      </c>
      <c r="AS28" s="153">
        <f t="shared" si="23"/>
        <v>446090</v>
      </c>
      <c r="AT28" s="91">
        <v>24</v>
      </c>
      <c r="AU28" s="92">
        <f t="shared" si="24"/>
        <v>446090</v>
      </c>
      <c r="AV28" s="154"/>
    </row>
    <row r="29" spans="1:48" ht="15.75" customHeight="1">
      <c r="A29" s="91"/>
      <c r="B29" s="158">
        <f t="shared" si="25"/>
        <v>45224</v>
      </c>
      <c r="C29" s="133" t="s">
        <v>59</v>
      </c>
      <c r="D29" s="134"/>
      <c r="E29" s="135"/>
      <c r="F29" s="136"/>
      <c r="G29" s="137" t="e">
        <f t="shared" si="0"/>
        <v>#DIV/0!</v>
      </c>
      <c r="H29" s="136"/>
      <c r="I29" s="137" t="e">
        <f t="shared" si="1"/>
        <v>#DIV/0!</v>
      </c>
      <c r="J29" s="139">
        <f t="shared" si="2"/>
        <v>0</v>
      </c>
      <c r="K29" s="140" t="str">
        <f t="shared" si="3"/>
        <v/>
      </c>
      <c r="L29" s="141"/>
      <c r="M29" s="142">
        <f t="shared" si="4"/>
        <v>54</v>
      </c>
      <c r="N29" s="143">
        <f t="shared" si="4"/>
        <v>475200</v>
      </c>
      <c r="O29" s="137">
        <f t="shared" si="5"/>
        <v>8000</v>
      </c>
      <c r="P29" s="143">
        <f t="shared" si="6"/>
        <v>37800</v>
      </c>
      <c r="Q29" s="138">
        <f t="shared" si="7"/>
        <v>636.35185185185185</v>
      </c>
      <c r="R29" s="144">
        <f t="shared" si="8"/>
        <v>513000</v>
      </c>
      <c r="S29" s="140">
        <f t="shared" si="9"/>
        <v>9500</v>
      </c>
      <c r="T29" s="145">
        <f t="shared" si="10"/>
        <v>54</v>
      </c>
      <c r="U29" s="143">
        <f t="shared" si="10"/>
        <v>475200</v>
      </c>
      <c r="V29" s="143">
        <f t="shared" si="11"/>
        <v>37800</v>
      </c>
      <c r="W29" s="146">
        <f t="shared" si="12"/>
        <v>513000</v>
      </c>
      <c r="X29" s="143">
        <f t="shared" si="13"/>
        <v>9500</v>
      </c>
      <c r="Y29" s="147"/>
      <c r="Z29" s="148">
        <v>117</v>
      </c>
      <c r="AA29" s="136">
        <v>78300</v>
      </c>
      <c r="AB29" s="137">
        <f t="shared" si="14"/>
        <v>669.23076923076928</v>
      </c>
      <c r="AC29" s="136">
        <v>32700</v>
      </c>
      <c r="AD29" s="138">
        <f t="shared" si="15"/>
        <v>279.4871794871795</v>
      </c>
      <c r="AE29" s="149">
        <f t="shared" si="16"/>
        <v>111000</v>
      </c>
      <c r="AF29" s="140">
        <f t="shared" si="17"/>
        <v>948.71794871794873</v>
      </c>
      <c r="AG29" s="156">
        <f t="shared" si="18"/>
        <v>54</v>
      </c>
      <c r="AH29" s="151">
        <f t="shared" si="19"/>
        <v>553500</v>
      </c>
      <c r="AI29" s="151">
        <f t="shared" si="20"/>
        <v>70500</v>
      </c>
      <c r="AJ29" s="150">
        <f t="shared" si="21"/>
        <v>624000</v>
      </c>
      <c r="AK29" s="143">
        <f t="shared" si="22"/>
        <v>0</v>
      </c>
      <c r="AL29" s="151">
        <v>54</v>
      </c>
      <c r="AM29" s="151">
        <v>475200</v>
      </c>
      <c r="AN29" s="151">
        <v>37800</v>
      </c>
      <c r="AO29" s="152">
        <v>0</v>
      </c>
      <c r="AP29" s="152">
        <v>0</v>
      </c>
      <c r="AQ29" s="152">
        <v>0</v>
      </c>
      <c r="AR29" s="152">
        <v>0</v>
      </c>
      <c r="AS29" s="153">
        <f t="shared" si="23"/>
        <v>513000</v>
      </c>
      <c r="AT29" s="91">
        <v>25</v>
      </c>
      <c r="AU29" s="92">
        <f t="shared" si="24"/>
        <v>513000</v>
      </c>
      <c r="AV29" s="91"/>
    </row>
    <row r="30" spans="1:48" ht="15.75" customHeight="1">
      <c r="A30" s="91"/>
      <c r="B30" s="158">
        <f t="shared" si="25"/>
        <v>45225</v>
      </c>
      <c r="C30" s="133" t="s">
        <v>52</v>
      </c>
      <c r="D30" s="134"/>
      <c r="E30" s="135"/>
      <c r="F30" s="136"/>
      <c r="G30" s="137" t="e">
        <f t="shared" si="0"/>
        <v>#DIV/0!</v>
      </c>
      <c r="H30" s="136"/>
      <c r="I30" s="137" t="e">
        <f t="shared" si="1"/>
        <v>#DIV/0!</v>
      </c>
      <c r="J30" s="139">
        <f t="shared" si="2"/>
        <v>0</v>
      </c>
      <c r="K30" s="140" t="str">
        <f t="shared" si="3"/>
        <v/>
      </c>
      <c r="L30" s="141"/>
      <c r="M30" s="142">
        <f t="shared" si="4"/>
        <v>29</v>
      </c>
      <c r="N30" s="143">
        <f t="shared" si="4"/>
        <v>280700</v>
      </c>
      <c r="O30" s="137">
        <f t="shared" si="5"/>
        <v>8799.3448275862065</v>
      </c>
      <c r="P30" s="143">
        <f t="shared" si="6"/>
        <v>47330</v>
      </c>
      <c r="Q30" s="137">
        <f t="shared" si="7"/>
        <v>1483.6896551724137</v>
      </c>
      <c r="R30" s="144">
        <f t="shared" si="8"/>
        <v>328030</v>
      </c>
      <c r="S30" s="140">
        <f t="shared" si="9"/>
        <v>11311.379310344828</v>
      </c>
      <c r="T30" s="145">
        <f t="shared" si="10"/>
        <v>29</v>
      </c>
      <c r="U30" s="143">
        <f t="shared" si="10"/>
        <v>280700</v>
      </c>
      <c r="V30" s="143">
        <f t="shared" si="11"/>
        <v>47330</v>
      </c>
      <c r="W30" s="146">
        <f t="shared" si="12"/>
        <v>328030</v>
      </c>
      <c r="X30" s="143">
        <f t="shared" si="13"/>
        <v>11311.379310344828</v>
      </c>
      <c r="Y30" s="147"/>
      <c r="Z30" s="148">
        <v>118</v>
      </c>
      <c r="AA30" s="136">
        <v>60750</v>
      </c>
      <c r="AB30" s="137">
        <f t="shared" si="14"/>
        <v>514.83050847457628</v>
      </c>
      <c r="AC30" s="136">
        <v>23100</v>
      </c>
      <c r="AD30" s="138">
        <f t="shared" si="15"/>
        <v>195.76271186440678</v>
      </c>
      <c r="AE30" s="149">
        <f t="shared" si="16"/>
        <v>83850</v>
      </c>
      <c r="AF30" s="140">
        <f t="shared" si="17"/>
        <v>710.59322033898309</v>
      </c>
      <c r="AG30" s="156">
        <f t="shared" si="18"/>
        <v>29</v>
      </c>
      <c r="AH30" s="151">
        <f t="shared" si="19"/>
        <v>341450</v>
      </c>
      <c r="AI30" s="151">
        <f t="shared" si="20"/>
        <v>70430</v>
      </c>
      <c r="AJ30" s="150">
        <f t="shared" si="21"/>
        <v>411880</v>
      </c>
      <c r="AK30" s="143">
        <f t="shared" si="22"/>
        <v>20900</v>
      </c>
      <c r="AL30" s="151">
        <v>29</v>
      </c>
      <c r="AM30" s="151">
        <v>280700</v>
      </c>
      <c r="AN30" s="151">
        <v>47330</v>
      </c>
      <c r="AO30" s="152">
        <v>20900</v>
      </c>
      <c r="AP30" s="152">
        <v>0</v>
      </c>
      <c r="AQ30" s="152">
        <v>0</v>
      </c>
      <c r="AR30" s="152">
        <v>0</v>
      </c>
      <c r="AS30" s="153">
        <f t="shared" si="23"/>
        <v>348930</v>
      </c>
      <c r="AT30" s="91">
        <v>26</v>
      </c>
      <c r="AU30" s="92">
        <f t="shared" si="24"/>
        <v>348930</v>
      </c>
      <c r="AV30" s="154"/>
    </row>
    <row r="31" spans="1:48" ht="15.75" customHeight="1">
      <c r="A31" s="91"/>
      <c r="B31" s="158">
        <f t="shared" si="25"/>
        <v>45226</v>
      </c>
      <c r="C31" s="133" t="s">
        <v>52</v>
      </c>
      <c r="D31" s="134"/>
      <c r="E31" s="135"/>
      <c r="F31" s="136"/>
      <c r="G31" s="137" t="e">
        <f t="shared" si="0"/>
        <v>#DIV/0!</v>
      </c>
      <c r="H31" s="136"/>
      <c r="I31" s="137" t="e">
        <f t="shared" si="1"/>
        <v>#DIV/0!</v>
      </c>
      <c r="J31" s="139">
        <f t="shared" si="2"/>
        <v>0</v>
      </c>
      <c r="K31" s="140" t="str">
        <f t="shared" si="3"/>
        <v/>
      </c>
      <c r="L31" s="141"/>
      <c r="M31" s="142">
        <f t="shared" si="4"/>
        <v>29</v>
      </c>
      <c r="N31" s="143">
        <f t="shared" si="4"/>
        <v>264880</v>
      </c>
      <c r="O31" s="137">
        <f t="shared" si="5"/>
        <v>8303.4482758620688</v>
      </c>
      <c r="P31" s="143">
        <f t="shared" si="6"/>
        <v>34680</v>
      </c>
      <c r="Q31" s="137">
        <f t="shared" si="7"/>
        <v>1087.1379310344828</v>
      </c>
      <c r="R31" s="144">
        <f t="shared" si="8"/>
        <v>299560</v>
      </c>
      <c r="S31" s="140">
        <f t="shared" si="9"/>
        <v>10329.655172413793</v>
      </c>
      <c r="T31" s="145">
        <f t="shared" si="10"/>
        <v>29</v>
      </c>
      <c r="U31" s="143">
        <f t="shared" si="10"/>
        <v>264880</v>
      </c>
      <c r="V31" s="143">
        <f t="shared" si="11"/>
        <v>34680</v>
      </c>
      <c r="W31" s="146">
        <f t="shared" si="12"/>
        <v>299560</v>
      </c>
      <c r="X31" s="143">
        <f t="shared" si="13"/>
        <v>10329.655172413793</v>
      </c>
      <c r="Y31" s="147"/>
      <c r="Z31" s="148">
        <v>40</v>
      </c>
      <c r="AA31" s="136">
        <v>38650</v>
      </c>
      <c r="AB31" s="137">
        <f t="shared" si="14"/>
        <v>966.25</v>
      </c>
      <c r="AC31" s="136">
        <v>12150</v>
      </c>
      <c r="AD31" s="138">
        <f t="shared" si="15"/>
        <v>303.75</v>
      </c>
      <c r="AE31" s="149">
        <f t="shared" si="16"/>
        <v>50800</v>
      </c>
      <c r="AF31" s="140">
        <f t="shared" si="17"/>
        <v>1270</v>
      </c>
      <c r="AG31" s="156">
        <f t="shared" si="18"/>
        <v>29</v>
      </c>
      <c r="AH31" s="151">
        <f t="shared" si="19"/>
        <v>303530</v>
      </c>
      <c r="AI31" s="151">
        <f t="shared" si="20"/>
        <v>46830</v>
      </c>
      <c r="AJ31" s="150">
        <f t="shared" si="21"/>
        <v>350360</v>
      </c>
      <c r="AK31" s="143">
        <f t="shared" si="22"/>
        <v>19800</v>
      </c>
      <c r="AL31" s="151">
        <v>29</v>
      </c>
      <c r="AM31" s="151">
        <v>264880</v>
      </c>
      <c r="AN31" s="151">
        <v>34680</v>
      </c>
      <c r="AO31" s="152">
        <v>19800</v>
      </c>
      <c r="AP31" s="152">
        <v>0</v>
      </c>
      <c r="AQ31" s="152">
        <v>0</v>
      </c>
      <c r="AR31" s="152">
        <v>0</v>
      </c>
      <c r="AS31" s="153">
        <f t="shared" si="23"/>
        <v>319360</v>
      </c>
      <c r="AT31" s="91">
        <v>27</v>
      </c>
      <c r="AU31" s="92">
        <f t="shared" si="24"/>
        <v>319360</v>
      </c>
      <c r="AV31" s="154"/>
    </row>
    <row r="32" spans="1:48" ht="15.75" customHeight="1">
      <c r="A32" s="91"/>
      <c r="B32" s="155">
        <f t="shared" si="25"/>
        <v>45227</v>
      </c>
      <c r="C32" s="133"/>
      <c r="D32" s="134"/>
      <c r="E32" s="135">
        <v>28</v>
      </c>
      <c r="F32" s="136">
        <v>84524</v>
      </c>
      <c r="G32" s="137">
        <f t="shared" si="0"/>
        <v>2744.2857142857142</v>
      </c>
      <c r="H32" s="136">
        <v>9160</v>
      </c>
      <c r="I32" s="137">
        <f t="shared" si="1"/>
        <v>297.39285714285717</v>
      </c>
      <c r="J32" s="139">
        <f t="shared" si="2"/>
        <v>93684</v>
      </c>
      <c r="K32" s="140">
        <f t="shared" si="3"/>
        <v>3345.8571428571427</v>
      </c>
      <c r="L32" s="141"/>
      <c r="M32" s="142">
        <f t="shared" si="4"/>
        <v>31</v>
      </c>
      <c r="N32" s="143">
        <f t="shared" si="4"/>
        <v>309200</v>
      </c>
      <c r="O32" s="137">
        <f t="shared" si="5"/>
        <v>9067.4193548387102</v>
      </c>
      <c r="P32" s="143">
        <f t="shared" si="6"/>
        <v>47500</v>
      </c>
      <c r="Q32" s="137">
        <f t="shared" si="7"/>
        <v>1392.9354838709678</v>
      </c>
      <c r="R32" s="144">
        <f t="shared" si="8"/>
        <v>356700</v>
      </c>
      <c r="S32" s="140">
        <f t="shared" si="9"/>
        <v>11506.451612903225</v>
      </c>
      <c r="T32" s="145">
        <f t="shared" si="10"/>
        <v>59</v>
      </c>
      <c r="U32" s="143">
        <f t="shared" si="10"/>
        <v>393724</v>
      </c>
      <c r="V32" s="143">
        <f t="shared" si="11"/>
        <v>56660</v>
      </c>
      <c r="W32" s="146">
        <f t="shared" si="12"/>
        <v>450384</v>
      </c>
      <c r="X32" s="143">
        <f t="shared" si="13"/>
        <v>7633.6271186440681</v>
      </c>
      <c r="Y32" s="147"/>
      <c r="Z32" s="148">
        <v>114</v>
      </c>
      <c r="AA32" s="136">
        <v>76850</v>
      </c>
      <c r="AB32" s="137">
        <f t="shared" si="14"/>
        <v>674.12280701754389</v>
      </c>
      <c r="AC32" s="136">
        <v>22300</v>
      </c>
      <c r="AD32" s="138">
        <f t="shared" si="15"/>
        <v>195.61403508771929</v>
      </c>
      <c r="AE32" s="149">
        <f t="shared" si="16"/>
        <v>99150</v>
      </c>
      <c r="AF32" s="140">
        <f t="shared" si="17"/>
        <v>869.73684210526312</v>
      </c>
      <c r="AG32" s="156">
        <f t="shared" si="18"/>
        <v>59</v>
      </c>
      <c r="AH32" s="151">
        <f t="shared" si="19"/>
        <v>470574</v>
      </c>
      <c r="AI32" s="151">
        <f t="shared" si="20"/>
        <v>78960</v>
      </c>
      <c r="AJ32" s="150">
        <f t="shared" si="21"/>
        <v>549534</v>
      </c>
      <c r="AK32" s="143">
        <f t="shared" si="22"/>
        <v>32450</v>
      </c>
      <c r="AL32" s="151">
        <v>59</v>
      </c>
      <c r="AM32" s="151">
        <v>393724</v>
      </c>
      <c r="AN32" s="151">
        <v>56660</v>
      </c>
      <c r="AO32" s="152">
        <v>32450</v>
      </c>
      <c r="AP32" s="152">
        <v>0</v>
      </c>
      <c r="AQ32" s="152">
        <v>0</v>
      </c>
      <c r="AR32" s="152">
        <v>0</v>
      </c>
      <c r="AS32" s="153">
        <f t="shared" si="23"/>
        <v>482834</v>
      </c>
      <c r="AT32" s="91">
        <v>28</v>
      </c>
      <c r="AU32" s="92">
        <f t="shared" si="24"/>
        <v>482834</v>
      </c>
      <c r="AV32" s="154"/>
    </row>
    <row r="33" spans="1:48" ht="15.75" customHeight="1">
      <c r="A33" s="91"/>
      <c r="B33" s="157">
        <f t="shared" si="25"/>
        <v>45228</v>
      </c>
      <c r="C33" s="133"/>
      <c r="D33" s="134"/>
      <c r="E33" s="135">
        <v>25</v>
      </c>
      <c r="F33" s="136">
        <v>100100</v>
      </c>
      <c r="G33" s="137">
        <f t="shared" si="0"/>
        <v>3640</v>
      </c>
      <c r="H33" s="136">
        <v>11030</v>
      </c>
      <c r="I33" s="137">
        <f t="shared" si="1"/>
        <v>401.08</v>
      </c>
      <c r="J33" s="139">
        <f t="shared" si="2"/>
        <v>111130</v>
      </c>
      <c r="K33" s="140">
        <f t="shared" si="3"/>
        <v>4445.2</v>
      </c>
      <c r="L33" s="141"/>
      <c r="M33" s="142">
        <f t="shared" si="4"/>
        <v>31</v>
      </c>
      <c r="N33" s="143">
        <f t="shared" si="4"/>
        <v>288970</v>
      </c>
      <c r="O33" s="137">
        <f t="shared" si="5"/>
        <v>8474.1935483870966</v>
      </c>
      <c r="P33" s="143">
        <f t="shared" si="6"/>
        <v>37000</v>
      </c>
      <c r="Q33" s="137">
        <f t="shared" si="7"/>
        <v>1085.0322580645161</v>
      </c>
      <c r="R33" s="144">
        <f t="shared" si="8"/>
        <v>325970</v>
      </c>
      <c r="S33" s="140">
        <f t="shared" si="9"/>
        <v>10515.161290322581</v>
      </c>
      <c r="T33" s="145">
        <f t="shared" si="10"/>
        <v>56</v>
      </c>
      <c r="U33" s="143">
        <f t="shared" si="10"/>
        <v>389070</v>
      </c>
      <c r="V33" s="143">
        <f t="shared" si="11"/>
        <v>48030</v>
      </c>
      <c r="W33" s="146">
        <f t="shared" si="12"/>
        <v>437100</v>
      </c>
      <c r="X33" s="143">
        <f t="shared" si="13"/>
        <v>7805.3571428571431</v>
      </c>
      <c r="Y33" s="147"/>
      <c r="Z33" s="148">
        <v>157</v>
      </c>
      <c r="AA33" s="136">
        <v>118550</v>
      </c>
      <c r="AB33" s="137">
        <f t="shared" si="14"/>
        <v>755.09554140127386</v>
      </c>
      <c r="AC33" s="136">
        <v>36000</v>
      </c>
      <c r="AD33" s="138">
        <f t="shared" si="15"/>
        <v>229.29936305732485</v>
      </c>
      <c r="AE33" s="149">
        <f t="shared" si="16"/>
        <v>154550</v>
      </c>
      <c r="AF33" s="140">
        <f t="shared" si="17"/>
        <v>984.39490445859872</v>
      </c>
      <c r="AG33" s="156">
        <f t="shared" si="18"/>
        <v>56</v>
      </c>
      <c r="AH33" s="151">
        <f t="shared" si="19"/>
        <v>507620</v>
      </c>
      <c r="AI33" s="151">
        <f t="shared" si="20"/>
        <v>84030</v>
      </c>
      <c r="AJ33" s="150">
        <f t="shared" si="21"/>
        <v>591650</v>
      </c>
      <c r="AK33" s="143">
        <f t="shared" si="22"/>
        <v>32450</v>
      </c>
      <c r="AL33" s="151">
        <v>56</v>
      </c>
      <c r="AM33" s="151">
        <v>389070</v>
      </c>
      <c r="AN33" s="151">
        <v>48030</v>
      </c>
      <c r="AO33" s="152">
        <v>30800</v>
      </c>
      <c r="AP33" s="152">
        <v>1650</v>
      </c>
      <c r="AQ33" s="152">
        <v>0</v>
      </c>
      <c r="AR33" s="152">
        <v>0</v>
      </c>
      <c r="AS33" s="153">
        <f t="shared" si="23"/>
        <v>469550</v>
      </c>
      <c r="AT33" s="91">
        <v>29</v>
      </c>
      <c r="AU33" s="92">
        <f t="shared" si="24"/>
        <v>469550</v>
      </c>
      <c r="AV33" s="154"/>
    </row>
    <row r="34" spans="1:48" ht="15.75" customHeight="1">
      <c r="A34" s="91"/>
      <c r="B34" s="158">
        <f t="shared" si="25"/>
        <v>45229</v>
      </c>
      <c r="C34" s="133" t="s">
        <v>52</v>
      </c>
      <c r="D34" s="134"/>
      <c r="E34" s="135"/>
      <c r="F34" s="136"/>
      <c r="G34" s="137" t="e">
        <f t="shared" si="0"/>
        <v>#DIV/0!</v>
      </c>
      <c r="H34" s="136"/>
      <c r="I34" s="137" t="e">
        <f t="shared" si="1"/>
        <v>#DIV/0!</v>
      </c>
      <c r="J34" s="139">
        <f t="shared" si="2"/>
        <v>0</v>
      </c>
      <c r="K34" s="140" t="str">
        <f t="shared" si="3"/>
        <v/>
      </c>
      <c r="L34" s="141"/>
      <c r="M34" s="142">
        <f t="shared" si="4"/>
        <v>29</v>
      </c>
      <c r="N34" s="143">
        <f t="shared" si="4"/>
        <v>268950</v>
      </c>
      <c r="O34" s="137">
        <f t="shared" si="5"/>
        <v>8431.0344827586214</v>
      </c>
      <c r="P34" s="143">
        <f t="shared" si="6"/>
        <v>42770</v>
      </c>
      <c r="Q34" s="137">
        <f t="shared" si="7"/>
        <v>1340.7241379310344</v>
      </c>
      <c r="R34" s="144">
        <f t="shared" si="8"/>
        <v>311720</v>
      </c>
      <c r="S34" s="140">
        <f t="shared" si="9"/>
        <v>10748.965517241379</v>
      </c>
      <c r="T34" s="145">
        <f t="shared" si="10"/>
        <v>29</v>
      </c>
      <c r="U34" s="143">
        <f t="shared" si="10"/>
        <v>268950</v>
      </c>
      <c r="V34" s="143">
        <f t="shared" si="11"/>
        <v>42770</v>
      </c>
      <c r="W34" s="146">
        <f t="shared" si="12"/>
        <v>311720</v>
      </c>
      <c r="X34" s="143">
        <f t="shared" si="13"/>
        <v>10748.965517241379</v>
      </c>
      <c r="Y34" s="163"/>
      <c r="Z34" s="164">
        <v>144</v>
      </c>
      <c r="AA34" s="165">
        <v>107100</v>
      </c>
      <c r="AB34" s="137">
        <f t="shared" si="14"/>
        <v>743.75</v>
      </c>
      <c r="AC34" s="165">
        <v>29600</v>
      </c>
      <c r="AD34" s="138">
        <f t="shared" si="15"/>
        <v>205.55555555555554</v>
      </c>
      <c r="AE34" s="149">
        <f t="shared" si="16"/>
        <v>136700</v>
      </c>
      <c r="AF34" s="140">
        <f t="shared" si="17"/>
        <v>949.30555555555554</v>
      </c>
      <c r="AG34" s="156">
        <f t="shared" si="18"/>
        <v>29</v>
      </c>
      <c r="AH34" s="151">
        <f t="shared" si="19"/>
        <v>376050</v>
      </c>
      <c r="AI34" s="151">
        <f t="shared" si="20"/>
        <v>72370</v>
      </c>
      <c r="AJ34" s="150">
        <f t="shared" si="21"/>
        <v>448420</v>
      </c>
      <c r="AK34" s="143">
        <f t="shared" si="22"/>
        <v>70460</v>
      </c>
      <c r="AL34" s="151">
        <v>29</v>
      </c>
      <c r="AM34" s="151">
        <v>268950</v>
      </c>
      <c r="AN34" s="151">
        <v>42770</v>
      </c>
      <c r="AO34" s="152">
        <v>17600</v>
      </c>
      <c r="AP34" s="152">
        <v>52860</v>
      </c>
      <c r="AQ34" s="152">
        <v>0</v>
      </c>
      <c r="AR34" s="152">
        <v>0</v>
      </c>
      <c r="AS34" s="153">
        <f t="shared" si="23"/>
        <v>382180</v>
      </c>
      <c r="AT34" s="91">
        <v>30</v>
      </c>
      <c r="AU34" s="92">
        <f t="shared" si="24"/>
        <v>382180</v>
      </c>
      <c r="AV34" s="154"/>
    </row>
    <row r="35" spans="1:48" ht="15.75" customHeight="1" thickBot="1">
      <c r="A35" s="91"/>
      <c r="B35" s="158">
        <f t="shared" si="25"/>
        <v>45230</v>
      </c>
      <c r="C35" s="133" t="s">
        <v>52</v>
      </c>
      <c r="D35" s="134"/>
      <c r="E35" s="135"/>
      <c r="F35" s="136"/>
      <c r="G35" s="137" t="e">
        <f t="shared" si="0"/>
        <v>#DIV/0!</v>
      </c>
      <c r="H35" s="136"/>
      <c r="I35" s="137" t="e">
        <f t="shared" si="1"/>
        <v>#DIV/0!</v>
      </c>
      <c r="J35" s="139">
        <f t="shared" si="2"/>
        <v>0</v>
      </c>
      <c r="K35" s="140" t="str">
        <f t="shared" si="3"/>
        <v/>
      </c>
      <c r="L35" s="141"/>
      <c r="M35" s="166">
        <f t="shared" si="4"/>
        <v>31</v>
      </c>
      <c r="N35" s="143">
        <f t="shared" si="4"/>
        <v>296230</v>
      </c>
      <c r="O35" s="137">
        <f t="shared" si="5"/>
        <v>8687.0967741935492</v>
      </c>
      <c r="P35" s="143">
        <f t="shared" si="6"/>
        <v>29520</v>
      </c>
      <c r="Q35" s="137">
        <f t="shared" si="7"/>
        <v>865.67741935483866</v>
      </c>
      <c r="R35" s="144">
        <f t="shared" si="8"/>
        <v>325750</v>
      </c>
      <c r="S35" s="140">
        <f t="shared" si="9"/>
        <v>10508.064516129032</v>
      </c>
      <c r="T35" s="145">
        <f t="shared" si="10"/>
        <v>31</v>
      </c>
      <c r="U35" s="168">
        <f t="shared" si="10"/>
        <v>296230</v>
      </c>
      <c r="V35" s="168">
        <f t="shared" si="11"/>
        <v>29520</v>
      </c>
      <c r="W35" s="169">
        <f t="shared" si="12"/>
        <v>325750</v>
      </c>
      <c r="X35" s="168"/>
      <c r="Y35" s="170"/>
      <c r="Z35" s="171">
        <v>73</v>
      </c>
      <c r="AA35" s="172">
        <v>51650</v>
      </c>
      <c r="AB35" s="173">
        <f t="shared" si="14"/>
        <v>707.53424657534242</v>
      </c>
      <c r="AC35" s="172">
        <v>15450</v>
      </c>
      <c r="AD35" s="174">
        <f t="shared" si="15"/>
        <v>211.64383561643837</v>
      </c>
      <c r="AE35" s="175">
        <f t="shared" si="16"/>
        <v>67100</v>
      </c>
      <c r="AF35" s="140">
        <f t="shared" si="17"/>
        <v>919.17808219178085</v>
      </c>
      <c r="AG35" s="167">
        <f t="shared" si="18"/>
        <v>31</v>
      </c>
      <c r="AH35" s="168">
        <f t="shared" si="19"/>
        <v>347880</v>
      </c>
      <c r="AI35" s="168">
        <f t="shared" si="20"/>
        <v>44970</v>
      </c>
      <c r="AJ35" s="150">
        <f t="shared" si="21"/>
        <v>392850</v>
      </c>
      <c r="AK35" s="143">
        <f t="shared" si="22"/>
        <v>23650</v>
      </c>
      <c r="AL35" s="151">
        <v>31</v>
      </c>
      <c r="AM35" s="151">
        <v>296230</v>
      </c>
      <c r="AN35" s="151">
        <v>29520</v>
      </c>
      <c r="AO35" s="152">
        <v>23650</v>
      </c>
      <c r="AP35" s="152">
        <v>0</v>
      </c>
      <c r="AQ35" s="152">
        <v>0</v>
      </c>
      <c r="AR35" s="152">
        <v>0</v>
      </c>
      <c r="AS35" s="153">
        <f>SUM(AM35:AR35)</f>
        <v>349400</v>
      </c>
      <c r="AT35" s="91">
        <v>31</v>
      </c>
      <c r="AU35" s="92">
        <f t="shared" si="24"/>
        <v>349400</v>
      </c>
      <c r="AV35" s="154"/>
    </row>
    <row r="36" spans="1:48" ht="15.75" customHeight="1" thickTop="1" thickBot="1">
      <c r="A36" s="28"/>
      <c r="B36" s="125" t="s">
        <v>26</v>
      </c>
      <c r="C36" s="29">
        <f>SUM(C5:C35)</f>
        <v>0</v>
      </c>
      <c r="D36" s="30">
        <f>SUM(D5:D35)</f>
        <v>0</v>
      </c>
      <c r="E36" s="31">
        <f>SUM(E5:E35)</f>
        <v>319</v>
      </c>
      <c r="F36" s="32">
        <f>SUM(F5:F35)</f>
        <v>1064365</v>
      </c>
      <c r="G36" s="33">
        <f>F36/E36</f>
        <v>3336.5673981191221</v>
      </c>
      <c r="H36" s="29">
        <f>SUM(H5:H35)</f>
        <v>236380</v>
      </c>
      <c r="I36" s="34">
        <f>H36/E36</f>
        <v>741.00313479623821</v>
      </c>
      <c r="J36" s="35">
        <f>SUM(J5:J35)</f>
        <v>1300745</v>
      </c>
      <c r="K36" s="36">
        <f>J36/E36</f>
        <v>4077.5705329153607</v>
      </c>
      <c r="L36" s="37">
        <f>SUM(L5:L35)</f>
        <v>0</v>
      </c>
      <c r="M36" s="31">
        <f>SUM(M5:M35)</f>
        <v>996</v>
      </c>
      <c r="N36" s="32">
        <f>SUM(N5:N35)</f>
        <v>9000640</v>
      </c>
      <c r="O36" s="33">
        <f>N36/M36</f>
        <v>9036.7871485943779</v>
      </c>
      <c r="P36" s="38">
        <f>SUM(P5:P35)</f>
        <v>1435580</v>
      </c>
      <c r="Q36" s="34">
        <f>P36/M36</f>
        <v>1441.3453815261043</v>
      </c>
      <c r="R36" s="39">
        <f>SUM(R5:R35)</f>
        <v>10436220</v>
      </c>
      <c r="S36" s="40">
        <f>R36/M36</f>
        <v>10478.132530120482</v>
      </c>
      <c r="T36" s="31">
        <f>SUM(T5:T35)</f>
        <v>1315</v>
      </c>
      <c r="U36" s="93">
        <f>SUM(U5:U35)</f>
        <v>10065005</v>
      </c>
      <c r="V36" s="38">
        <f>SUM(V5:V35)</f>
        <v>1671960</v>
      </c>
      <c r="W36" s="94">
        <f>SUM(W5:W35)</f>
        <v>11736965</v>
      </c>
      <c r="X36" s="98">
        <f>W36/T36</f>
        <v>8925.4486692015216</v>
      </c>
      <c r="Y36" s="30">
        <f>SUM(Y5:Y35)</f>
        <v>0</v>
      </c>
      <c r="Z36" s="31">
        <f>SUM(Z5:Z35)</f>
        <v>2768</v>
      </c>
      <c r="AA36" s="118">
        <f>SUM(AA5:AA35)</f>
        <v>1842350</v>
      </c>
      <c r="AB36" s="33"/>
      <c r="AC36" s="29">
        <f>SUM(AC5:AC35)</f>
        <v>671950</v>
      </c>
      <c r="AD36" s="34"/>
      <c r="AE36" s="119">
        <f>SUM(AE5:AE35)</f>
        <v>2514300</v>
      </c>
      <c r="AF36" s="126">
        <f>AE36/Z36</f>
        <v>908.34537572254339</v>
      </c>
      <c r="AG36" s="31">
        <f t="shared" ref="AG36:AS36" si="26">SUM(AG5:AG35)</f>
        <v>1315</v>
      </c>
      <c r="AH36" s="93">
        <f t="shared" si="26"/>
        <v>11907355</v>
      </c>
      <c r="AI36" s="38">
        <f t="shared" si="26"/>
        <v>2343910</v>
      </c>
      <c r="AJ36" s="39">
        <f t="shared" si="26"/>
        <v>14251265</v>
      </c>
      <c r="AK36" s="29">
        <f t="shared" si="26"/>
        <v>968670</v>
      </c>
      <c r="AL36" s="41">
        <f t="shared" si="26"/>
        <v>1315</v>
      </c>
      <c r="AM36" s="41">
        <f t="shared" si="26"/>
        <v>10065005</v>
      </c>
      <c r="AN36" s="41">
        <f t="shared" si="26"/>
        <v>1671960</v>
      </c>
      <c r="AO36" s="41">
        <f t="shared" si="26"/>
        <v>623700</v>
      </c>
      <c r="AP36" s="41">
        <f t="shared" si="26"/>
        <v>344970</v>
      </c>
      <c r="AQ36" s="41">
        <f t="shared" si="26"/>
        <v>0</v>
      </c>
      <c r="AR36" s="41">
        <f t="shared" si="26"/>
        <v>36300</v>
      </c>
      <c r="AS36" s="41">
        <f t="shared" si="26"/>
        <v>12705635</v>
      </c>
      <c r="AT36" s="28"/>
      <c r="AU36" s="42">
        <f>SUM(AU5:AU35)</f>
        <v>12741935</v>
      </c>
    </row>
    <row r="37" spans="1:48" ht="15.75" customHeight="1" thickTop="1">
      <c r="A37" s="28"/>
      <c r="B37" s="127"/>
      <c r="C37" s="28"/>
      <c r="D37" s="28"/>
      <c r="E37" s="43" t="s">
        <v>36</v>
      </c>
      <c r="F37" s="44">
        <f>F36/1.1</f>
        <v>967604.54545454541</v>
      </c>
      <c r="G37" s="45">
        <f>F37/E36</f>
        <v>3033.2430891992021</v>
      </c>
      <c r="H37" s="26">
        <f>H36/1.1</f>
        <v>214890.90909090906</v>
      </c>
      <c r="I37" s="45">
        <f>H37/E36</f>
        <v>673.63921345112556</v>
      </c>
      <c r="J37" s="41">
        <f>J36/1.1</f>
        <v>1182495.4545454544</v>
      </c>
      <c r="K37" s="46">
        <f>G37+I37</f>
        <v>3706.8823026503278</v>
      </c>
      <c r="L37" s="47"/>
      <c r="M37" s="43" t="s">
        <v>36</v>
      </c>
      <c r="N37" s="44">
        <f>N36/1.1</f>
        <v>8182399.9999999991</v>
      </c>
      <c r="O37" s="45">
        <f>N37/M36</f>
        <v>8215.2610441767065</v>
      </c>
      <c r="P37" s="44">
        <f>P36/1.1</f>
        <v>1305072.7272727271</v>
      </c>
      <c r="Q37" s="45">
        <f>P37/M36</f>
        <v>1310.3139832055492</v>
      </c>
      <c r="R37" s="45">
        <f>R36/1.1</f>
        <v>9487472.7272727266</v>
      </c>
      <c r="S37" s="95">
        <f>R37/M36</f>
        <v>9525.5750273822559</v>
      </c>
      <c r="T37" s="43" t="s">
        <v>36</v>
      </c>
      <c r="U37" s="44">
        <f>U36/1.1</f>
        <v>9150004.5454545449</v>
      </c>
      <c r="V37" s="44">
        <f>V36/1.1</f>
        <v>1519963.6363636362</v>
      </c>
      <c r="W37" s="96">
        <f>W36/1.1</f>
        <v>10669968.181818182</v>
      </c>
      <c r="X37" s="98">
        <f>W37/T36</f>
        <v>8114.044244728655</v>
      </c>
      <c r="Y37" s="47"/>
      <c r="Z37" s="43" t="s">
        <v>36</v>
      </c>
      <c r="AA37" s="44">
        <f>AA36/1.1</f>
        <v>1674863.6363636362</v>
      </c>
      <c r="AB37" s="26">
        <f>AA37/Z36</f>
        <v>605.08079348397268</v>
      </c>
      <c r="AC37" s="26">
        <f>AC36/1.1</f>
        <v>610863.63636363635</v>
      </c>
      <c r="AD37" s="26">
        <f>AC37/Z36</f>
        <v>220.68772990015765</v>
      </c>
      <c r="AE37" s="45">
        <f>AE36/1.1</f>
        <v>2285727.2727272725</v>
      </c>
      <c r="AF37" s="48">
        <f>AE37/Z36</f>
        <v>825.76852338413028</v>
      </c>
      <c r="AG37" s="43" t="s">
        <v>36</v>
      </c>
      <c r="AH37" s="97">
        <f>AH36/1.1</f>
        <v>10824868.181818182</v>
      </c>
      <c r="AI37" s="44">
        <f>AI36/1.1</f>
        <v>2130827.2727272725</v>
      </c>
      <c r="AJ37" s="45">
        <f>AJ36/1.1</f>
        <v>12955695.454545453</v>
      </c>
      <c r="AK37" s="49">
        <f>AK36/1.1</f>
        <v>880609.09090909082</v>
      </c>
      <c r="AL37" s="28"/>
      <c r="AM37" s="28"/>
      <c r="AN37" s="28"/>
      <c r="AO37" s="28"/>
      <c r="AP37" s="50"/>
      <c r="AQ37" s="28"/>
      <c r="AR37" s="28"/>
      <c r="AS37" s="50"/>
      <c r="AT37" s="28"/>
      <c r="AU37" s="50"/>
    </row>
    <row r="38" spans="1:48" ht="15.75" customHeight="1">
      <c r="A38" s="25"/>
      <c r="B38" s="128"/>
      <c r="C38" s="25"/>
      <c r="D38" s="25"/>
      <c r="E38" s="51" t="s">
        <v>37</v>
      </c>
      <c r="F38" s="52">
        <f>E36/G38</f>
        <v>29</v>
      </c>
      <c r="G38" s="53">
        <v>11</v>
      </c>
      <c r="H38" s="54" t="s">
        <v>38</v>
      </c>
      <c r="I38" s="52"/>
      <c r="J38" s="55" t="s">
        <v>39</v>
      </c>
      <c r="K38" s="120">
        <f>J37/G38</f>
        <v>107499.58677685949</v>
      </c>
      <c r="L38" s="25"/>
      <c r="M38" s="51" t="s">
        <v>37</v>
      </c>
      <c r="N38" s="52">
        <f>M36/O38</f>
        <v>33.200000000000003</v>
      </c>
      <c r="O38" s="53">
        <v>30</v>
      </c>
      <c r="P38" s="54" t="s">
        <v>38</v>
      </c>
      <c r="Q38" s="52"/>
      <c r="R38" s="55" t="s">
        <v>39</v>
      </c>
      <c r="S38" s="121">
        <f>R37/O38</f>
        <v>316249.09090909088</v>
      </c>
      <c r="T38" s="25"/>
      <c r="U38" s="25"/>
      <c r="V38" s="25"/>
      <c r="W38" s="27"/>
      <c r="X38" s="27"/>
      <c r="Y38" s="25"/>
      <c r="Z38" s="25"/>
      <c r="AA38" s="57">
        <v>30</v>
      </c>
      <c r="AB38" s="54" t="s">
        <v>38</v>
      </c>
      <c r="AC38" s="52"/>
      <c r="AD38" s="52"/>
      <c r="AE38" s="55" t="s">
        <v>39</v>
      </c>
      <c r="AF38" s="56">
        <f>AE37/AA38</f>
        <v>76190.909090909088</v>
      </c>
      <c r="AG38" s="25"/>
      <c r="AH38" s="25"/>
      <c r="AI38" s="25" t="s">
        <v>53</v>
      </c>
      <c r="AJ38" s="27"/>
      <c r="AK38" s="27">
        <f>AJ37/AL38</f>
        <v>3173.082403758377</v>
      </c>
      <c r="AL38" s="99">
        <f>AG36+Z36</f>
        <v>4083</v>
      </c>
      <c r="AM38" s="25" t="s">
        <v>54</v>
      </c>
      <c r="AN38" s="25"/>
      <c r="AO38" s="25"/>
      <c r="AP38" s="27"/>
      <c r="AQ38" s="25"/>
      <c r="AR38" s="25"/>
      <c r="AS38" s="27"/>
      <c r="AT38" s="25"/>
      <c r="AU38" s="27"/>
    </row>
    <row r="39" spans="1:48" ht="15.75" customHeight="1">
      <c r="A39" s="25"/>
      <c r="B39" s="128"/>
      <c r="C39" s="25"/>
      <c r="D39" s="58" t="s">
        <v>40</v>
      </c>
      <c r="E39" s="59"/>
      <c r="F39" s="52"/>
      <c r="G39" s="60"/>
      <c r="H39" s="52"/>
      <c r="I39" s="52"/>
      <c r="J39" s="55"/>
      <c r="K39" s="56"/>
      <c r="L39" s="61" t="s">
        <v>41</v>
      </c>
      <c r="M39" s="51"/>
      <c r="N39" s="52"/>
      <c r="O39" s="52"/>
      <c r="P39" s="52"/>
      <c r="Q39" s="52"/>
      <c r="R39" s="55"/>
      <c r="S39" s="56"/>
      <c r="T39" s="25"/>
      <c r="U39" s="25"/>
      <c r="V39" s="25"/>
      <c r="W39" s="27"/>
      <c r="X39" s="27"/>
      <c r="Y39" s="61" t="s">
        <v>42</v>
      </c>
      <c r="Z39" s="25"/>
      <c r="AA39" s="52"/>
      <c r="AB39" s="52"/>
      <c r="AC39" s="52"/>
      <c r="AD39" s="52"/>
      <c r="AE39" s="52"/>
      <c r="AF39" s="56"/>
      <c r="AG39" s="25"/>
      <c r="AH39" s="25"/>
      <c r="AI39" s="25" t="s">
        <v>55</v>
      </c>
      <c r="AK39" s="62">
        <f>AJ37/AA38</f>
        <v>431856.51515151508</v>
      </c>
      <c r="AL39" s="25" t="s">
        <v>56</v>
      </c>
      <c r="AM39" s="25"/>
      <c r="AN39" s="25"/>
      <c r="AO39" s="25"/>
      <c r="AP39" s="27"/>
      <c r="AQ39" s="25"/>
      <c r="AR39" s="25"/>
      <c r="AS39" s="27"/>
      <c r="AT39" s="25"/>
      <c r="AU39" s="27"/>
    </row>
    <row r="40" spans="1:48" ht="21" customHeight="1">
      <c r="A40" s="25"/>
      <c r="B40" s="128"/>
      <c r="C40" s="61"/>
      <c r="D40" s="103" t="s">
        <v>68</v>
      </c>
      <c r="E40" s="104"/>
      <c r="F40" s="104"/>
      <c r="G40" s="104"/>
      <c r="H40" s="104"/>
      <c r="I40" s="104"/>
      <c r="J40" s="104"/>
      <c r="K40" s="105"/>
      <c r="L40" s="103" t="s">
        <v>69</v>
      </c>
      <c r="M40" s="104"/>
      <c r="N40" s="104"/>
      <c r="O40" s="104"/>
      <c r="P40" s="104"/>
      <c r="Q40" s="104"/>
      <c r="R40" s="104"/>
      <c r="S40" s="105"/>
      <c r="T40" s="25"/>
      <c r="U40" s="25"/>
      <c r="V40" s="25"/>
      <c r="W40" s="27"/>
      <c r="X40" s="25"/>
      <c r="Y40" s="103" t="s">
        <v>70</v>
      </c>
      <c r="Z40" s="104"/>
      <c r="AA40" s="104"/>
      <c r="AB40" s="104"/>
      <c r="AC40" s="104"/>
      <c r="AD40" s="104"/>
      <c r="AE40" s="104"/>
      <c r="AF40" s="105"/>
      <c r="AG40" s="25"/>
      <c r="AH40" s="25"/>
      <c r="AI40" s="25" t="s">
        <v>57</v>
      </c>
      <c r="AJ40" s="27">
        <f>AJ36+AK36</f>
        <v>15219935</v>
      </c>
      <c r="AK40" s="62">
        <f>AJ40/AA38</f>
        <v>507331.16666666669</v>
      </c>
      <c r="AL40" s="25" t="s">
        <v>43</v>
      </c>
      <c r="AM40" s="25"/>
      <c r="AN40" s="25"/>
      <c r="AO40" s="25"/>
      <c r="AP40" s="25"/>
      <c r="AQ40" s="25"/>
      <c r="AR40" s="25"/>
      <c r="AS40" s="27"/>
      <c r="AT40" s="25"/>
      <c r="AU40" s="27"/>
    </row>
    <row r="41" spans="1:48" ht="21" customHeight="1">
      <c r="A41" s="25"/>
      <c r="B41" s="128"/>
      <c r="C41" s="61"/>
      <c r="D41" s="106"/>
      <c r="E41" s="107"/>
      <c r="F41" s="107"/>
      <c r="G41" s="107"/>
      <c r="H41" s="107"/>
      <c r="I41" s="107"/>
      <c r="J41" s="107"/>
      <c r="K41" s="108"/>
      <c r="L41" s="106"/>
      <c r="M41" s="107"/>
      <c r="N41" s="107"/>
      <c r="O41" s="107"/>
      <c r="P41" s="107"/>
      <c r="Q41" s="107"/>
      <c r="R41" s="107"/>
      <c r="S41" s="108"/>
      <c r="T41" s="25"/>
      <c r="U41" s="25"/>
      <c r="V41" s="25"/>
      <c r="W41" s="27"/>
      <c r="X41" s="25"/>
      <c r="Y41" s="106"/>
      <c r="Z41" s="107"/>
      <c r="AA41" s="107"/>
      <c r="AB41" s="107"/>
      <c r="AC41" s="107"/>
      <c r="AD41" s="107"/>
      <c r="AE41" s="107"/>
      <c r="AF41" s="108"/>
      <c r="AG41" s="25"/>
      <c r="AH41" s="25"/>
      <c r="AI41" s="25" t="s">
        <v>58</v>
      </c>
      <c r="AJ41" s="66">
        <f>AJ37+AK37</f>
        <v>13836304.545454543</v>
      </c>
      <c r="AK41" s="62">
        <f>AJ41/AA38</f>
        <v>461210.15151515143</v>
      </c>
      <c r="AL41" s="25" t="s">
        <v>56</v>
      </c>
      <c r="AM41" s="25"/>
      <c r="AN41" s="25"/>
      <c r="AO41" s="25"/>
      <c r="AP41" s="25"/>
      <c r="AQ41" s="25"/>
      <c r="AR41" s="25"/>
      <c r="AS41" s="27"/>
      <c r="AT41" s="25"/>
      <c r="AU41" s="27"/>
    </row>
    <row r="42" spans="1:48" ht="21" customHeight="1">
      <c r="A42" s="25"/>
      <c r="B42" s="128"/>
      <c r="C42" s="61"/>
      <c r="D42" s="106"/>
      <c r="E42" s="107"/>
      <c r="F42" s="107"/>
      <c r="G42" s="107"/>
      <c r="H42" s="107"/>
      <c r="I42" s="107"/>
      <c r="J42" s="107"/>
      <c r="K42" s="108"/>
      <c r="L42" s="106"/>
      <c r="M42" s="107"/>
      <c r="N42" s="107"/>
      <c r="O42" s="107"/>
      <c r="P42" s="107"/>
      <c r="Q42" s="107"/>
      <c r="R42" s="107"/>
      <c r="S42" s="108"/>
      <c r="T42" s="25"/>
      <c r="U42" s="25"/>
      <c r="V42" s="25"/>
      <c r="W42" s="27"/>
      <c r="X42" s="25"/>
      <c r="Y42" s="106"/>
      <c r="Z42" s="107"/>
      <c r="AA42" s="107"/>
      <c r="AB42" s="107"/>
      <c r="AC42" s="107"/>
      <c r="AD42" s="107"/>
      <c r="AE42" s="107"/>
      <c r="AF42" s="108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7"/>
      <c r="AT42" s="25"/>
      <c r="AU42" s="27"/>
    </row>
    <row r="43" spans="1:48" ht="21" customHeight="1">
      <c r="A43" s="25"/>
      <c r="B43" s="128"/>
      <c r="C43" s="61"/>
      <c r="D43" s="106"/>
      <c r="E43" s="107"/>
      <c r="F43" s="107"/>
      <c r="G43" s="107"/>
      <c r="H43" s="107"/>
      <c r="I43" s="107"/>
      <c r="J43" s="107"/>
      <c r="K43" s="108"/>
      <c r="L43" s="106"/>
      <c r="M43" s="107"/>
      <c r="N43" s="107"/>
      <c r="O43" s="107"/>
      <c r="P43" s="107"/>
      <c r="Q43" s="107"/>
      <c r="R43" s="107"/>
      <c r="S43" s="108"/>
      <c r="T43" s="25"/>
      <c r="U43" s="25"/>
      <c r="V43" s="25"/>
      <c r="W43" s="25"/>
      <c r="X43" s="25"/>
      <c r="Y43" s="106"/>
      <c r="Z43" s="107"/>
      <c r="AA43" s="107"/>
      <c r="AB43" s="107"/>
      <c r="AC43" s="107"/>
      <c r="AD43" s="107"/>
      <c r="AE43" s="107"/>
      <c r="AF43" s="108"/>
      <c r="AG43" s="25"/>
      <c r="AH43" s="25"/>
      <c r="AI43" s="25"/>
      <c r="AJ43" s="27">
        <f>AJ37+AK37</f>
        <v>13836304.545454543</v>
      </c>
      <c r="AK43" s="63" t="s">
        <v>44</v>
      </c>
      <c r="AL43" s="25"/>
      <c r="AM43" s="25"/>
      <c r="AN43" s="25"/>
      <c r="AO43" s="25"/>
      <c r="AP43" s="25"/>
      <c r="AQ43" s="25"/>
      <c r="AR43" s="25"/>
      <c r="AS43" s="27"/>
      <c r="AT43" s="25"/>
      <c r="AU43" s="27"/>
    </row>
    <row r="44" spans="1:48" ht="21" customHeight="1">
      <c r="A44" s="25"/>
      <c r="B44" s="128"/>
      <c r="C44" s="61"/>
      <c r="D44" s="109"/>
      <c r="E44" s="110"/>
      <c r="F44" s="110"/>
      <c r="G44" s="110"/>
      <c r="H44" s="110"/>
      <c r="I44" s="110"/>
      <c r="J44" s="110"/>
      <c r="K44" s="111"/>
      <c r="L44" s="109"/>
      <c r="M44" s="110"/>
      <c r="N44" s="110"/>
      <c r="O44" s="110"/>
      <c r="P44" s="110"/>
      <c r="Q44" s="110"/>
      <c r="R44" s="110"/>
      <c r="S44" s="111"/>
      <c r="T44" s="25"/>
      <c r="U44" s="25"/>
      <c r="V44" s="25"/>
      <c r="W44" s="25"/>
      <c r="X44" s="25"/>
      <c r="Y44" s="109"/>
      <c r="Z44" s="110"/>
      <c r="AA44" s="110"/>
      <c r="AB44" s="110"/>
      <c r="AC44" s="110"/>
      <c r="AD44" s="110"/>
      <c r="AE44" s="110"/>
      <c r="AF44" s="111"/>
      <c r="AG44" s="25"/>
      <c r="AH44" s="64"/>
      <c r="AI44" s="65" t="s">
        <v>45</v>
      </c>
      <c r="AJ44" s="66">
        <f>J45+R45+AE45+AK44</f>
        <v>14944380</v>
      </c>
      <c r="AK44" s="176">
        <v>976900</v>
      </c>
      <c r="AL44" s="64"/>
      <c r="AM44" s="25"/>
      <c r="AN44" s="25"/>
      <c r="AO44" s="25"/>
      <c r="AP44" s="25"/>
      <c r="AQ44" s="25"/>
      <c r="AR44" s="25"/>
      <c r="AS44" s="27"/>
      <c r="AT44" s="25"/>
      <c r="AU44" s="27"/>
    </row>
    <row r="45" spans="1:48" ht="21" customHeight="1">
      <c r="A45" s="25"/>
      <c r="B45" s="128"/>
      <c r="C45" s="25"/>
      <c r="D45" s="25"/>
      <c r="E45" s="25"/>
      <c r="F45" s="25"/>
      <c r="G45" s="25"/>
      <c r="H45" s="67"/>
      <c r="I45" s="68" t="s">
        <v>46</v>
      </c>
      <c r="J45" s="177">
        <v>952000</v>
      </c>
      <c r="K45" s="69" t="s">
        <v>47</v>
      </c>
      <c r="L45" s="64"/>
      <c r="M45" s="64"/>
      <c r="N45" s="64"/>
      <c r="O45" s="64"/>
      <c r="P45" s="64"/>
      <c r="Q45" s="68" t="s">
        <v>48</v>
      </c>
      <c r="R45" s="177">
        <v>10015480</v>
      </c>
      <c r="S45" s="69" t="s">
        <v>47</v>
      </c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7" t="s">
        <v>49</v>
      </c>
      <c r="AE45" s="177">
        <v>3000000</v>
      </c>
      <c r="AF45" s="69" t="s">
        <v>47</v>
      </c>
      <c r="AG45" s="64"/>
      <c r="AH45" s="64"/>
      <c r="AI45" s="65" t="s">
        <v>50</v>
      </c>
      <c r="AJ45" s="66">
        <f>AJ44-AJ37-AK37</f>
        <v>1108075.454545456</v>
      </c>
      <c r="AK45" s="66">
        <f>AK44-AK37</f>
        <v>96290.909090909176</v>
      </c>
      <c r="AL45" s="70">
        <f>AK37/AK44</f>
        <v>0.9014321741315291</v>
      </c>
      <c r="AM45" s="25"/>
      <c r="AN45" s="25"/>
      <c r="AO45" s="25"/>
      <c r="AP45" s="25"/>
      <c r="AQ45" s="27"/>
      <c r="AR45" s="25"/>
      <c r="AS45" s="27"/>
      <c r="AT45" s="25"/>
      <c r="AU45" s="25"/>
    </row>
    <row r="46" spans="1:48" ht="21" customHeight="1">
      <c r="A46" s="25"/>
      <c r="B46" s="128"/>
      <c r="C46" s="25"/>
      <c r="D46" s="25"/>
      <c r="E46" s="25"/>
      <c r="F46" s="25"/>
      <c r="G46" s="25"/>
      <c r="H46" s="67"/>
      <c r="I46" s="67" t="s">
        <v>50</v>
      </c>
      <c r="J46" s="66">
        <f>J45-J37</f>
        <v>-230495.45454545435</v>
      </c>
      <c r="K46" s="71">
        <v>0</v>
      </c>
      <c r="L46" s="64"/>
      <c r="M46" s="64"/>
      <c r="N46" s="64"/>
      <c r="O46" s="64"/>
      <c r="P46" s="64"/>
      <c r="Q46" s="67" t="s">
        <v>50</v>
      </c>
      <c r="R46" s="66">
        <f>R45-R37</f>
        <v>528007.2727272734</v>
      </c>
      <c r="S46" s="64">
        <f>K46</f>
        <v>0</v>
      </c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7" t="s">
        <v>50</v>
      </c>
      <c r="AE46" s="66">
        <f>AE45-AE37</f>
        <v>714272.72727272753</v>
      </c>
      <c r="AF46" s="64">
        <f>K46</f>
        <v>0</v>
      </c>
      <c r="AG46" s="64"/>
      <c r="AH46" s="72"/>
      <c r="AI46" s="73" t="s">
        <v>51</v>
      </c>
      <c r="AJ46" s="74" t="e">
        <f>AJ45/K46</f>
        <v>#DIV/0!</v>
      </c>
      <c r="AK46" s="75">
        <f>(AJ37+AK37)/AJ44</f>
        <v>0.92585336731631174</v>
      </c>
      <c r="AL46" s="72"/>
      <c r="AM46" s="76"/>
      <c r="AN46" s="25"/>
      <c r="AO46" s="25"/>
      <c r="AP46" s="25"/>
      <c r="AQ46" s="27"/>
      <c r="AR46" s="25"/>
      <c r="AS46" s="27"/>
      <c r="AT46" s="25"/>
      <c r="AU46" s="25"/>
    </row>
    <row r="47" spans="1:48" ht="25.5" customHeight="1">
      <c r="A47" s="76"/>
      <c r="B47" s="129"/>
      <c r="C47" s="76"/>
      <c r="D47" s="76"/>
      <c r="E47" s="76"/>
      <c r="F47" s="76"/>
      <c r="G47" s="76"/>
      <c r="H47" s="77"/>
      <c r="I47" s="73" t="s">
        <v>51</v>
      </c>
      <c r="J47" s="78" t="e">
        <f>J46/K46</f>
        <v>#DIV/0!</v>
      </c>
      <c r="K47" s="79">
        <f>J37/J45</f>
        <v>1.2421170741023679</v>
      </c>
      <c r="L47" s="72"/>
      <c r="M47" s="72"/>
      <c r="N47" s="72"/>
      <c r="O47" s="72"/>
      <c r="P47" s="72"/>
      <c r="Q47" s="73" t="s">
        <v>51</v>
      </c>
      <c r="R47" s="74" t="e">
        <f>R46/S46</f>
        <v>#DIV/0!</v>
      </c>
      <c r="S47" s="79">
        <f>R37/R45</f>
        <v>0.94728088192205728</v>
      </c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3" t="s">
        <v>51</v>
      </c>
      <c r="AE47" s="78" t="e">
        <f>AE46/AF46</f>
        <v>#DIV/0!</v>
      </c>
      <c r="AF47" s="79">
        <f>AE37/AE45</f>
        <v>0.76190909090909087</v>
      </c>
      <c r="AG47" s="72"/>
      <c r="AH47" s="25"/>
      <c r="AI47" s="25"/>
      <c r="AJ47" s="27"/>
      <c r="AK47" s="25"/>
      <c r="AL47" s="25"/>
      <c r="AM47" s="25"/>
      <c r="AN47" s="76"/>
      <c r="AO47" s="76"/>
      <c r="AP47" s="76"/>
      <c r="AQ47" s="80"/>
      <c r="AR47" s="76"/>
      <c r="AS47" s="80"/>
      <c r="AT47" s="76"/>
      <c r="AU47" s="76"/>
    </row>
    <row r="48" spans="1:48" ht="15.75" customHeight="1">
      <c r="A48" s="25"/>
      <c r="B48" s="128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81"/>
      <c r="AI48" s="81"/>
      <c r="AJ48" s="81"/>
      <c r="AK48" s="81"/>
      <c r="AL48" s="81"/>
      <c r="AM48" s="81"/>
      <c r="AN48" s="25"/>
      <c r="AO48" s="25"/>
      <c r="AP48" s="25"/>
      <c r="AQ48" s="27"/>
      <c r="AR48" s="25"/>
      <c r="AS48" s="27"/>
      <c r="AT48" s="25"/>
      <c r="AU48" s="25"/>
    </row>
    <row r="49" spans="1:47" ht="36" customHeight="1">
      <c r="A49" s="81"/>
      <c r="B49" s="130"/>
      <c r="C49" s="81"/>
      <c r="D49" s="81"/>
      <c r="E49" s="81"/>
      <c r="F49" s="81"/>
      <c r="G49" s="81"/>
      <c r="H49" s="81"/>
      <c r="I49" s="81"/>
      <c r="J49" s="81"/>
      <c r="K49" s="81"/>
      <c r="L49" s="82"/>
      <c r="M49" s="25"/>
      <c r="N49" s="25"/>
      <c r="O49" s="25"/>
      <c r="P49" s="25"/>
      <c r="Q49" s="25"/>
      <c r="R49" s="82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  <c r="AE49" s="81"/>
      <c r="AF49" s="81"/>
      <c r="AG49" s="81"/>
      <c r="AH49" s="1"/>
      <c r="AI49" s="1"/>
      <c r="AJ49" s="1"/>
      <c r="AK49" s="1"/>
      <c r="AL49" s="1"/>
      <c r="AM49" s="1"/>
      <c r="AN49" s="81"/>
      <c r="AO49" s="81"/>
      <c r="AP49" s="81"/>
      <c r="AQ49" s="83"/>
      <c r="AR49" s="81"/>
      <c r="AS49" s="83"/>
      <c r="AT49" s="81"/>
      <c r="AU49" s="81"/>
    </row>
    <row r="50" spans="1:47" ht="36" customHeight="1">
      <c r="A50" s="1"/>
      <c r="B50" s="131"/>
      <c r="C50" s="1"/>
      <c r="D50" s="1"/>
      <c r="E50" s="1"/>
      <c r="F50" s="1"/>
      <c r="G50" s="1"/>
      <c r="H50" s="1"/>
      <c r="I50" s="1"/>
      <c r="J50" s="1"/>
      <c r="K50" s="1"/>
      <c r="L50" s="84"/>
      <c r="M50" s="25"/>
      <c r="N50" s="25"/>
      <c r="O50" s="25"/>
      <c r="P50" s="25"/>
      <c r="Q50" s="25"/>
      <c r="R50" s="84"/>
      <c r="S50" s="84"/>
      <c r="T50" s="1"/>
      <c r="U50" s="1"/>
      <c r="V50" s="1"/>
      <c r="W50" s="1"/>
      <c r="X50" s="1"/>
      <c r="Y50" s="1"/>
      <c r="Z50" s="85"/>
      <c r="AA50" s="1"/>
      <c r="AB50" s="1"/>
      <c r="AC50" s="1"/>
      <c r="AD50" s="1"/>
      <c r="AE50" s="1"/>
      <c r="AF50" s="1"/>
      <c r="AG50" s="1"/>
      <c r="AH50" s="81"/>
      <c r="AI50" s="81"/>
      <c r="AJ50" s="81"/>
      <c r="AK50" s="81"/>
      <c r="AL50" s="81"/>
      <c r="AM50" s="81"/>
      <c r="AN50" s="1"/>
      <c r="AO50" s="1"/>
      <c r="AP50" s="1"/>
      <c r="AQ50" s="86"/>
      <c r="AR50" s="1"/>
      <c r="AS50" s="86"/>
      <c r="AT50" s="1"/>
      <c r="AU50" s="1"/>
    </row>
    <row r="51" spans="1:47" ht="36" customHeight="1">
      <c r="A51" s="81"/>
      <c r="B51" s="130"/>
      <c r="C51" s="81"/>
      <c r="D51" s="81"/>
      <c r="E51" s="81"/>
      <c r="F51" s="81"/>
      <c r="G51" s="81"/>
      <c r="H51" s="81"/>
      <c r="I51" s="81"/>
      <c r="J51" s="81"/>
      <c r="K51" s="1"/>
      <c r="L51" s="84"/>
      <c r="M51" s="25"/>
      <c r="N51" s="25"/>
      <c r="O51" s="25"/>
      <c r="P51" s="25"/>
      <c r="Q51" s="25"/>
      <c r="R51" s="87"/>
      <c r="S51" s="88"/>
      <c r="T51" s="88"/>
      <c r="U51" s="88"/>
      <c r="V51" s="88"/>
      <c r="W51" s="89"/>
      <c r="X51" s="90"/>
      <c r="Y51" s="91"/>
      <c r="Z51" s="92"/>
      <c r="AA51" s="81"/>
      <c r="AB51" s="81"/>
      <c r="AC51" s="81"/>
      <c r="AD51" s="81"/>
      <c r="AE51" s="81"/>
      <c r="AF51" s="81"/>
      <c r="AG51" s="81"/>
      <c r="AH51" s="81"/>
      <c r="AI51" s="81"/>
      <c r="AJ51" s="81"/>
      <c r="AK51" s="81"/>
      <c r="AL51" s="81"/>
      <c r="AM51" s="81"/>
      <c r="AN51" s="81"/>
      <c r="AO51" s="81"/>
      <c r="AP51" s="81"/>
      <c r="AQ51" s="83"/>
      <c r="AR51" s="81"/>
      <c r="AS51" s="83"/>
      <c r="AT51" s="81"/>
      <c r="AU51" s="81"/>
    </row>
    <row r="52" spans="1:47" ht="36" customHeight="1">
      <c r="A52" s="81"/>
      <c r="B52" s="130"/>
      <c r="C52" s="81"/>
      <c r="D52" s="81"/>
      <c r="E52" s="81"/>
      <c r="F52" s="81"/>
      <c r="G52" s="81"/>
      <c r="H52" s="81"/>
      <c r="I52" s="81"/>
      <c r="J52" s="81"/>
      <c r="K52" s="1"/>
      <c r="L52" s="84"/>
      <c r="M52" s="25"/>
      <c r="N52" s="25"/>
      <c r="O52" s="25"/>
      <c r="P52" s="25"/>
      <c r="Q52" s="25"/>
      <c r="R52" s="89"/>
      <c r="S52" s="88"/>
      <c r="T52" s="88"/>
      <c r="U52" s="88"/>
      <c r="V52" s="88"/>
      <c r="W52" s="89"/>
      <c r="X52" s="90"/>
      <c r="Y52" s="91"/>
      <c r="Z52" s="92"/>
      <c r="AA52" s="81"/>
      <c r="AB52" s="81"/>
      <c r="AC52" s="81"/>
      <c r="AD52" s="81"/>
      <c r="AE52" s="81"/>
      <c r="AF52" s="81"/>
      <c r="AG52" s="81"/>
      <c r="AH52" s="81"/>
      <c r="AI52" s="81"/>
      <c r="AJ52" s="81"/>
      <c r="AK52" s="81"/>
      <c r="AL52" s="81"/>
      <c r="AM52" s="81"/>
      <c r="AN52" s="81"/>
      <c r="AO52" s="81"/>
      <c r="AP52" s="81"/>
      <c r="AQ52" s="83"/>
      <c r="AR52" s="81"/>
      <c r="AS52" s="83"/>
      <c r="AT52" s="81"/>
      <c r="AU52" s="81"/>
    </row>
    <row r="53" spans="1:47" ht="36" customHeight="1">
      <c r="A53" s="81"/>
      <c r="B53" s="130"/>
      <c r="C53" s="81"/>
      <c r="D53" s="81"/>
      <c r="E53" s="81"/>
      <c r="F53" s="81"/>
      <c r="G53" s="81"/>
      <c r="H53" s="81"/>
      <c r="I53" s="81"/>
      <c r="J53" s="81"/>
      <c r="K53" s="1"/>
      <c r="L53" s="84"/>
      <c r="M53" s="25"/>
      <c r="N53" s="25"/>
      <c r="O53" s="25"/>
      <c r="P53" s="25"/>
      <c r="Q53" s="25"/>
      <c r="R53" s="89"/>
      <c r="S53" s="88"/>
      <c r="T53" s="88"/>
      <c r="U53" s="88"/>
      <c r="V53" s="88"/>
      <c r="W53" s="89"/>
      <c r="X53" s="90"/>
      <c r="Y53" s="91"/>
      <c r="Z53" s="92"/>
      <c r="AA53" s="81"/>
      <c r="AB53" s="81"/>
      <c r="AC53" s="81"/>
      <c r="AD53" s="81"/>
      <c r="AE53" s="81"/>
      <c r="AF53" s="81"/>
      <c r="AG53" s="81"/>
      <c r="AH53" s="81"/>
      <c r="AI53" s="81"/>
      <c r="AJ53" s="81"/>
      <c r="AK53" s="81"/>
      <c r="AL53" s="81"/>
      <c r="AM53" s="81"/>
      <c r="AN53" s="81"/>
      <c r="AO53" s="81"/>
      <c r="AP53" s="81"/>
      <c r="AQ53" s="83"/>
      <c r="AR53" s="81"/>
      <c r="AS53" s="83"/>
      <c r="AT53" s="81"/>
      <c r="AU53" s="81"/>
    </row>
    <row r="54" spans="1:47" ht="36" customHeight="1">
      <c r="A54" s="81"/>
      <c r="B54" s="130"/>
      <c r="C54" s="81"/>
      <c r="D54" s="81"/>
      <c r="E54" s="81"/>
      <c r="F54" s="81"/>
      <c r="G54" s="81"/>
      <c r="H54" s="81"/>
      <c r="I54" s="81"/>
      <c r="J54" s="81"/>
      <c r="K54" s="1"/>
      <c r="L54" s="84"/>
      <c r="M54" s="25"/>
      <c r="N54" s="25"/>
      <c r="O54" s="25"/>
      <c r="P54" s="25"/>
      <c r="Q54" s="25"/>
      <c r="R54" s="89"/>
      <c r="S54" s="88"/>
      <c r="T54" s="88"/>
      <c r="U54" s="88"/>
      <c r="V54" s="88"/>
      <c r="W54" s="89"/>
      <c r="X54" s="90"/>
      <c r="Y54" s="91"/>
      <c r="Z54" s="92"/>
      <c r="AA54" s="81"/>
      <c r="AB54" s="81"/>
      <c r="AC54" s="81"/>
      <c r="AD54" s="81"/>
      <c r="AE54" s="81"/>
      <c r="AF54" s="81"/>
      <c r="AG54" s="81"/>
      <c r="AH54" s="81"/>
      <c r="AI54" s="81"/>
      <c r="AJ54" s="81"/>
      <c r="AK54" s="81"/>
      <c r="AL54" s="81"/>
      <c r="AM54" s="81"/>
      <c r="AN54" s="81"/>
      <c r="AO54" s="81"/>
      <c r="AP54" s="81"/>
      <c r="AQ54" s="83"/>
      <c r="AR54" s="81"/>
      <c r="AS54" s="83"/>
      <c r="AT54" s="81"/>
      <c r="AU54" s="81"/>
    </row>
    <row r="55" spans="1:47" ht="36" customHeight="1">
      <c r="A55" s="81"/>
      <c r="B55" s="130"/>
      <c r="C55" s="81"/>
      <c r="D55" s="81"/>
      <c r="E55" s="81"/>
      <c r="F55" s="81"/>
      <c r="G55" s="81"/>
      <c r="H55" s="81"/>
      <c r="I55" s="81"/>
      <c r="J55" s="81"/>
      <c r="K55" s="81"/>
      <c r="L55" s="82"/>
      <c r="M55" s="25"/>
      <c r="N55" s="25"/>
      <c r="O55" s="25"/>
      <c r="P55" s="25"/>
      <c r="Q55" s="25"/>
      <c r="R55" s="89"/>
      <c r="S55" s="88"/>
      <c r="T55" s="88"/>
      <c r="U55" s="88"/>
      <c r="V55" s="88"/>
      <c r="W55" s="90"/>
      <c r="X55" s="90"/>
      <c r="Y55" s="91"/>
      <c r="Z55" s="92"/>
      <c r="AA55" s="81"/>
      <c r="AB55" s="81"/>
      <c r="AC55" s="81"/>
      <c r="AD55" s="81"/>
      <c r="AE55" s="81"/>
      <c r="AF55" s="81"/>
      <c r="AG55" s="81"/>
      <c r="AH55" s="25"/>
      <c r="AI55" s="25"/>
      <c r="AJ55" s="25"/>
      <c r="AK55" s="25"/>
      <c r="AL55" s="25"/>
      <c r="AM55" s="25"/>
      <c r="AN55" s="81"/>
      <c r="AO55" s="81"/>
      <c r="AP55" s="81"/>
      <c r="AQ55" s="83"/>
      <c r="AR55" s="81"/>
      <c r="AS55" s="83"/>
      <c r="AT55" s="81"/>
      <c r="AU55" s="81"/>
    </row>
    <row r="56" spans="1:47" ht="15.75" customHeight="1">
      <c r="A56" s="25"/>
      <c r="B56" s="128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91"/>
      <c r="Z56" s="91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7"/>
      <c r="AT56" s="25"/>
      <c r="AU56" s="27"/>
    </row>
    <row r="57" spans="1:47" ht="15.75" customHeight="1">
      <c r="A57" s="25"/>
      <c r="B57" s="128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81"/>
      <c r="Z57" s="81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7"/>
      <c r="AT57" s="25"/>
      <c r="AU57" s="27"/>
    </row>
    <row r="58" spans="1:47" ht="15.75" customHeight="1">
      <c r="A58" s="25"/>
      <c r="B58" s="128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7"/>
      <c r="AT58" s="25"/>
      <c r="AU58" s="27"/>
    </row>
    <row r="59" spans="1:47" ht="15.75" customHeight="1">
      <c r="A59" s="25"/>
      <c r="B59" s="128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7"/>
      <c r="AT59" s="25"/>
      <c r="AU59" s="27"/>
    </row>
    <row r="60" spans="1:47" ht="15.75" customHeight="1">
      <c r="A60" s="25"/>
      <c r="B60" s="128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7"/>
      <c r="AT60" s="25"/>
      <c r="AU60" s="27"/>
    </row>
    <row r="61" spans="1:47" ht="15.75" customHeight="1">
      <c r="A61" s="25"/>
      <c r="B61" s="128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7"/>
      <c r="AT61" s="25"/>
      <c r="AU61" s="27"/>
    </row>
    <row r="62" spans="1:47" ht="15.75" customHeight="1">
      <c r="A62" s="25"/>
      <c r="B62" s="128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7"/>
      <c r="AT62" s="25"/>
      <c r="AU62" s="27"/>
    </row>
    <row r="63" spans="1:47" ht="15.75" customHeight="1">
      <c r="A63" s="25"/>
      <c r="B63" s="128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7"/>
      <c r="AT63" s="25"/>
      <c r="AU63" s="27"/>
    </row>
    <row r="64" spans="1:47" ht="15.75" customHeight="1">
      <c r="A64" s="25"/>
      <c r="B64" s="128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7"/>
      <c r="AT64" s="25"/>
      <c r="AU64" s="27"/>
    </row>
    <row r="65" spans="1:47" ht="15.75" customHeight="1">
      <c r="A65" s="25"/>
      <c r="B65" s="128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7"/>
      <c r="AT65" s="25"/>
      <c r="AU65" s="27"/>
    </row>
    <row r="66" spans="1:47" ht="15.75" customHeight="1">
      <c r="A66" s="25"/>
      <c r="B66" s="128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7"/>
      <c r="AT66" s="25"/>
      <c r="AU66" s="27"/>
    </row>
    <row r="67" spans="1:47" ht="15.75" customHeight="1">
      <c r="A67" s="25"/>
      <c r="B67" s="128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7"/>
      <c r="AT67" s="25"/>
      <c r="AU67" s="27"/>
    </row>
    <row r="68" spans="1:47" ht="15.75" customHeight="1">
      <c r="A68" s="25"/>
      <c r="B68" s="128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7"/>
      <c r="AT68" s="25"/>
      <c r="AU68" s="27"/>
    </row>
    <row r="69" spans="1:47" ht="15.75" customHeight="1">
      <c r="A69" s="25"/>
      <c r="B69" s="128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7"/>
      <c r="AT69" s="25"/>
      <c r="AU69" s="27"/>
    </row>
    <row r="70" spans="1:47" ht="15.75" customHeight="1">
      <c r="A70" s="25"/>
      <c r="B70" s="128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7"/>
      <c r="AT70" s="25"/>
      <c r="AU70" s="27"/>
    </row>
    <row r="71" spans="1:47" ht="15.75" customHeight="1">
      <c r="A71" s="25"/>
      <c r="B71" s="128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7"/>
      <c r="AT71" s="25"/>
      <c r="AU71" s="27"/>
    </row>
    <row r="72" spans="1:47" ht="15.75" customHeight="1">
      <c r="A72" s="25"/>
      <c r="B72" s="128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7"/>
      <c r="AT72" s="25"/>
      <c r="AU72" s="27"/>
    </row>
    <row r="73" spans="1:47" ht="15.75" customHeight="1">
      <c r="A73" s="25"/>
      <c r="B73" s="128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7"/>
      <c r="AT73" s="25"/>
      <c r="AU73" s="27"/>
    </row>
    <row r="74" spans="1:47" ht="15.75" customHeight="1">
      <c r="A74" s="25"/>
      <c r="B74" s="128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7"/>
      <c r="AT74" s="25"/>
      <c r="AU74" s="27"/>
    </row>
    <row r="75" spans="1:47" ht="15.75" customHeight="1">
      <c r="A75" s="25"/>
      <c r="B75" s="128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7"/>
      <c r="AT75" s="25"/>
      <c r="AU75" s="27"/>
    </row>
    <row r="76" spans="1:47" ht="15.75" customHeight="1">
      <c r="A76" s="25"/>
      <c r="B76" s="128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7"/>
      <c r="AT76" s="25"/>
      <c r="AU76" s="27"/>
    </row>
    <row r="77" spans="1:47" ht="15.75" customHeight="1">
      <c r="A77" s="25"/>
      <c r="B77" s="128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7"/>
      <c r="AT77" s="25"/>
      <c r="AU77" s="27"/>
    </row>
    <row r="78" spans="1:47" ht="15.75" customHeight="1">
      <c r="A78" s="25"/>
      <c r="B78" s="128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7"/>
      <c r="AT78" s="25"/>
      <c r="AU78" s="27"/>
    </row>
    <row r="79" spans="1:47" ht="15.75" customHeight="1">
      <c r="A79" s="25"/>
      <c r="B79" s="128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7"/>
      <c r="AT79" s="25"/>
      <c r="AU79" s="27"/>
    </row>
    <row r="80" spans="1:47" ht="15.75" customHeight="1">
      <c r="A80" s="25"/>
      <c r="B80" s="128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7"/>
      <c r="AT80" s="25"/>
      <c r="AU80" s="27"/>
    </row>
    <row r="81" spans="1:47" ht="15.75" customHeight="1">
      <c r="A81" s="25"/>
      <c r="B81" s="128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7"/>
      <c r="AT81" s="25"/>
      <c r="AU81" s="27"/>
    </row>
    <row r="82" spans="1:47" ht="15.75" customHeight="1">
      <c r="A82" s="25"/>
      <c r="B82" s="128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7"/>
      <c r="AT82" s="25"/>
      <c r="AU82" s="27"/>
    </row>
    <row r="83" spans="1:47" ht="15.75" customHeight="1">
      <c r="A83" s="25"/>
      <c r="B83" s="128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7"/>
      <c r="AT83" s="25"/>
      <c r="AU83" s="27"/>
    </row>
    <row r="84" spans="1:47" ht="15.75" customHeight="1">
      <c r="A84" s="25"/>
      <c r="B84" s="128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7"/>
      <c r="AT84" s="25"/>
      <c r="AU84" s="27"/>
    </row>
    <row r="85" spans="1:47" ht="15.75" customHeight="1">
      <c r="A85" s="25"/>
      <c r="B85" s="128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7"/>
      <c r="AT85" s="25"/>
      <c r="AU85" s="27"/>
    </row>
    <row r="86" spans="1:47" ht="15.75" customHeight="1">
      <c r="A86" s="25"/>
      <c r="B86" s="128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7"/>
      <c r="AT86" s="25"/>
      <c r="AU86" s="27"/>
    </row>
    <row r="87" spans="1:47" ht="15.75" customHeight="1">
      <c r="A87" s="25"/>
      <c r="B87" s="128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7"/>
      <c r="AT87" s="25"/>
      <c r="AU87" s="27"/>
    </row>
    <row r="88" spans="1:47" ht="15.75" customHeight="1">
      <c r="A88" s="25"/>
      <c r="B88" s="128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7"/>
      <c r="AT88" s="25"/>
      <c r="AU88" s="27"/>
    </row>
    <row r="89" spans="1:47" ht="15.75" customHeight="1">
      <c r="A89" s="25"/>
      <c r="B89" s="128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7"/>
      <c r="AT89" s="25"/>
      <c r="AU89" s="27"/>
    </row>
    <row r="90" spans="1:47" ht="15.75" customHeight="1">
      <c r="A90" s="25"/>
      <c r="B90" s="128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7"/>
      <c r="AT90" s="25"/>
      <c r="AU90" s="27"/>
    </row>
    <row r="91" spans="1:47" ht="15.75" customHeight="1">
      <c r="A91" s="25"/>
      <c r="B91" s="128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7"/>
      <c r="AT91" s="25"/>
      <c r="AU91" s="27"/>
    </row>
    <row r="92" spans="1:47" ht="15.75" customHeight="1">
      <c r="A92" s="25"/>
      <c r="B92" s="128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7"/>
      <c r="AT92" s="25"/>
      <c r="AU92" s="27"/>
    </row>
    <row r="93" spans="1:47" ht="15.75" customHeight="1">
      <c r="A93" s="25"/>
      <c r="B93" s="128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7"/>
      <c r="AT93" s="25"/>
      <c r="AU93" s="27"/>
    </row>
    <row r="94" spans="1:47" ht="15.75" customHeight="1">
      <c r="A94" s="25"/>
      <c r="B94" s="128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7"/>
      <c r="AT94" s="25"/>
      <c r="AU94" s="27"/>
    </row>
    <row r="95" spans="1:47" ht="15.75" customHeight="1">
      <c r="A95" s="25"/>
      <c r="B95" s="128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7"/>
      <c r="AT95" s="25"/>
      <c r="AU95" s="27"/>
    </row>
    <row r="96" spans="1:47" ht="15.75" customHeight="1">
      <c r="A96" s="25"/>
      <c r="B96" s="128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7"/>
      <c r="AT96" s="25"/>
      <c r="AU96" s="27"/>
    </row>
    <row r="97" spans="1:47" ht="15.75" customHeight="1">
      <c r="A97" s="25"/>
      <c r="B97" s="128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7"/>
      <c r="AT97" s="25"/>
      <c r="AU97" s="27"/>
    </row>
    <row r="98" spans="1:47" ht="15.75" customHeight="1">
      <c r="A98" s="25"/>
      <c r="B98" s="128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7"/>
      <c r="AT98" s="25"/>
      <c r="AU98" s="27"/>
    </row>
    <row r="99" spans="1:47" ht="15.75" customHeight="1">
      <c r="A99" s="25"/>
      <c r="B99" s="128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7"/>
      <c r="AT99" s="25"/>
      <c r="AU99" s="27"/>
    </row>
    <row r="100" spans="1:47" ht="15.75" customHeight="1">
      <c r="A100" s="25"/>
      <c r="B100" s="128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7"/>
      <c r="AT100" s="25"/>
      <c r="AU100" s="27"/>
    </row>
    <row r="101" spans="1:47" ht="15.75" customHeight="1">
      <c r="A101" s="25"/>
      <c r="B101" s="128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7"/>
      <c r="AT101" s="25"/>
      <c r="AU101" s="27"/>
    </row>
    <row r="102" spans="1:47" ht="15.75" customHeight="1">
      <c r="A102" s="25"/>
      <c r="B102" s="128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7"/>
      <c r="AT102" s="25"/>
      <c r="AU102" s="27"/>
    </row>
    <row r="103" spans="1:47" ht="15.75" customHeight="1">
      <c r="A103" s="25"/>
      <c r="B103" s="128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7"/>
      <c r="AT103" s="25"/>
      <c r="AU103" s="27"/>
    </row>
    <row r="104" spans="1:47" ht="15.75" customHeight="1">
      <c r="A104" s="25"/>
      <c r="B104" s="128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7"/>
      <c r="AT104" s="25"/>
      <c r="AU104" s="27"/>
    </row>
    <row r="105" spans="1:47" ht="15.75" customHeight="1">
      <c r="A105" s="25"/>
      <c r="B105" s="128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7"/>
      <c r="AT105" s="25"/>
      <c r="AU105" s="27"/>
    </row>
    <row r="106" spans="1:47" ht="15.75" customHeight="1">
      <c r="A106" s="25"/>
      <c r="B106" s="128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7"/>
      <c r="AT106" s="25"/>
      <c r="AU106" s="27"/>
    </row>
    <row r="107" spans="1:47" ht="15.75" customHeight="1">
      <c r="A107" s="25"/>
      <c r="B107" s="128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7"/>
      <c r="AT107" s="25"/>
      <c r="AU107" s="27"/>
    </row>
    <row r="108" spans="1:47" ht="15.75" customHeight="1">
      <c r="A108" s="25"/>
      <c r="B108" s="128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7"/>
      <c r="AT108" s="25"/>
      <c r="AU108" s="27"/>
    </row>
    <row r="109" spans="1:47" ht="15.75" customHeight="1">
      <c r="A109" s="25"/>
      <c r="B109" s="128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7"/>
      <c r="AT109" s="25"/>
      <c r="AU109" s="27"/>
    </row>
    <row r="110" spans="1:47" ht="15.75" customHeight="1">
      <c r="A110" s="25"/>
      <c r="B110" s="128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7"/>
      <c r="AT110" s="25"/>
      <c r="AU110" s="27"/>
    </row>
    <row r="111" spans="1:47" ht="15.75" customHeight="1">
      <c r="A111" s="25"/>
      <c r="B111" s="128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7"/>
      <c r="AT111" s="25"/>
      <c r="AU111" s="27"/>
    </row>
    <row r="112" spans="1:47" ht="15.75" customHeight="1">
      <c r="A112" s="25"/>
      <c r="B112" s="128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7"/>
      <c r="AT112" s="25"/>
      <c r="AU112" s="27"/>
    </row>
    <row r="113" spans="1:47" ht="15.75" customHeight="1">
      <c r="A113" s="25"/>
      <c r="B113" s="128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7"/>
      <c r="AT113" s="25"/>
      <c r="AU113" s="27"/>
    </row>
    <row r="114" spans="1:47" ht="15.75" customHeight="1">
      <c r="A114" s="25"/>
      <c r="B114" s="128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7"/>
      <c r="AT114" s="25"/>
      <c r="AU114" s="27"/>
    </row>
    <row r="115" spans="1:47" ht="15.75" customHeight="1">
      <c r="A115" s="25"/>
      <c r="B115" s="128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7"/>
      <c r="AT115" s="25"/>
      <c r="AU115" s="27"/>
    </row>
    <row r="116" spans="1:47" ht="15.75" customHeight="1">
      <c r="A116" s="25"/>
      <c r="B116" s="128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7"/>
      <c r="AT116" s="25"/>
      <c r="AU116" s="27"/>
    </row>
    <row r="117" spans="1:47" ht="15.75" customHeight="1">
      <c r="A117" s="25"/>
      <c r="B117" s="128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7"/>
      <c r="AT117" s="25"/>
      <c r="AU117" s="27"/>
    </row>
    <row r="118" spans="1:47" ht="15.75" customHeight="1">
      <c r="A118" s="25"/>
      <c r="B118" s="128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7"/>
      <c r="AT118" s="25"/>
      <c r="AU118" s="27"/>
    </row>
    <row r="119" spans="1:47" ht="15.75" customHeight="1">
      <c r="A119" s="25"/>
      <c r="B119" s="128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7"/>
      <c r="AT119" s="25"/>
      <c r="AU119" s="27"/>
    </row>
    <row r="120" spans="1:47" ht="15.75" customHeight="1">
      <c r="A120" s="25"/>
      <c r="B120" s="128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7"/>
      <c r="AT120" s="25"/>
      <c r="AU120" s="27"/>
    </row>
    <row r="121" spans="1:47" ht="15.75" customHeight="1">
      <c r="A121" s="25"/>
      <c r="B121" s="128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7"/>
      <c r="AT121" s="25"/>
      <c r="AU121" s="27"/>
    </row>
    <row r="122" spans="1:47" ht="15.75" customHeight="1">
      <c r="A122" s="25"/>
      <c r="B122" s="128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7"/>
      <c r="AT122" s="25"/>
      <c r="AU122" s="27"/>
    </row>
    <row r="123" spans="1:47" ht="15.75" customHeight="1">
      <c r="A123" s="25"/>
      <c r="B123" s="128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7"/>
      <c r="AT123" s="25"/>
      <c r="AU123" s="27"/>
    </row>
    <row r="124" spans="1:47" ht="15.75" customHeight="1">
      <c r="A124" s="25"/>
      <c r="B124" s="128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7"/>
      <c r="AT124" s="25"/>
      <c r="AU124" s="27"/>
    </row>
    <row r="125" spans="1:47" ht="15.75" customHeight="1">
      <c r="A125" s="25"/>
      <c r="B125" s="128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7"/>
      <c r="AT125" s="25"/>
      <c r="AU125" s="27"/>
    </row>
    <row r="126" spans="1:47" ht="15.75" customHeight="1">
      <c r="A126" s="25"/>
      <c r="B126" s="128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7"/>
      <c r="AT126" s="25"/>
      <c r="AU126" s="27"/>
    </row>
    <row r="127" spans="1:47" ht="15.75" customHeight="1">
      <c r="A127" s="25"/>
      <c r="B127" s="128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7"/>
      <c r="AT127" s="25"/>
      <c r="AU127" s="27"/>
    </row>
    <row r="128" spans="1:47" ht="15.75" customHeight="1">
      <c r="A128" s="25"/>
      <c r="B128" s="128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7"/>
      <c r="AT128" s="25"/>
      <c r="AU128" s="27"/>
    </row>
    <row r="129" spans="1:47" ht="15.75" customHeight="1">
      <c r="A129" s="25"/>
      <c r="B129" s="128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7"/>
      <c r="AT129" s="25"/>
      <c r="AU129" s="27"/>
    </row>
    <row r="130" spans="1:47" ht="15.75" customHeight="1">
      <c r="A130" s="25"/>
      <c r="B130" s="128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7"/>
      <c r="AT130" s="25"/>
      <c r="AU130" s="27"/>
    </row>
    <row r="131" spans="1:47" ht="15.75" customHeight="1">
      <c r="A131" s="25"/>
      <c r="B131" s="128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7"/>
      <c r="AT131" s="25"/>
      <c r="AU131" s="27"/>
    </row>
    <row r="132" spans="1:47" ht="15.75" customHeight="1">
      <c r="A132" s="25"/>
      <c r="B132" s="128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7"/>
      <c r="AT132" s="25"/>
      <c r="AU132" s="27"/>
    </row>
    <row r="133" spans="1:47" ht="15.75" customHeight="1">
      <c r="A133" s="25"/>
      <c r="B133" s="128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7"/>
      <c r="AT133" s="25"/>
      <c r="AU133" s="27"/>
    </row>
    <row r="134" spans="1:47" ht="15.75" customHeight="1">
      <c r="A134" s="25"/>
      <c r="B134" s="128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7"/>
      <c r="AT134" s="25"/>
      <c r="AU134" s="27"/>
    </row>
    <row r="135" spans="1:47" ht="15.75" customHeight="1">
      <c r="A135" s="25"/>
      <c r="B135" s="128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7"/>
      <c r="AT135" s="25"/>
      <c r="AU135" s="27"/>
    </row>
    <row r="136" spans="1:47" ht="15.75" customHeight="1">
      <c r="A136" s="25"/>
      <c r="B136" s="128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7"/>
      <c r="AT136" s="25"/>
      <c r="AU136" s="27"/>
    </row>
    <row r="137" spans="1:47" ht="15.75" customHeight="1">
      <c r="A137" s="25"/>
      <c r="B137" s="128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7"/>
      <c r="AT137" s="25"/>
      <c r="AU137" s="27"/>
    </row>
    <row r="138" spans="1:47" ht="15.75" customHeight="1">
      <c r="A138" s="25"/>
      <c r="B138" s="128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7"/>
      <c r="AT138" s="25"/>
      <c r="AU138" s="27"/>
    </row>
    <row r="139" spans="1:47" ht="15.75" customHeight="1">
      <c r="A139" s="25"/>
      <c r="B139" s="128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7"/>
      <c r="AT139" s="25"/>
      <c r="AU139" s="27"/>
    </row>
    <row r="140" spans="1:47" ht="15.75" customHeight="1">
      <c r="A140" s="25"/>
      <c r="B140" s="128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7"/>
      <c r="AT140" s="25"/>
      <c r="AU140" s="27"/>
    </row>
    <row r="141" spans="1:47" ht="15.75" customHeight="1">
      <c r="A141" s="25"/>
      <c r="B141" s="128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7"/>
      <c r="AT141" s="25"/>
      <c r="AU141" s="27"/>
    </row>
    <row r="142" spans="1:47" ht="15.75" customHeight="1">
      <c r="A142" s="25"/>
      <c r="B142" s="128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7"/>
      <c r="AT142" s="25"/>
      <c r="AU142" s="27"/>
    </row>
    <row r="143" spans="1:47" ht="15.75" customHeight="1">
      <c r="A143" s="25"/>
      <c r="B143" s="128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7"/>
      <c r="AT143" s="25"/>
      <c r="AU143" s="27"/>
    </row>
    <row r="144" spans="1:47" ht="15.75" customHeight="1">
      <c r="A144" s="25"/>
      <c r="B144" s="128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7"/>
      <c r="AT144" s="25"/>
      <c r="AU144" s="27"/>
    </row>
    <row r="145" spans="1:47" ht="15.75" customHeight="1">
      <c r="A145" s="25"/>
      <c r="B145" s="128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7"/>
      <c r="AT145" s="25"/>
      <c r="AU145" s="27"/>
    </row>
    <row r="146" spans="1:47" ht="15.75" customHeight="1">
      <c r="A146" s="25"/>
      <c r="B146" s="128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7"/>
      <c r="AT146" s="25"/>
      <c r="AU146" s="27"/>
    </row>
    <row r="147" spans="1:47" ht="15.75" customHeight="1">
      <c r="A147" s="25"/>
      <c r="B147" s="128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7"/>
      <c r="AT147" s="25"/>
      <c r="AU147" s="27"/>
    </row>
    <row r="148" spans="1:47" ht="15.75" customHeight="1">
      <c r="A148" s="25"/>
      <c r="B148" s="128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7"/>
      <c r="AT148" s="25"/>
      <c r="AU148" s="27"/>
    </row>
    <row r="149" spans="1:47" ht="15.75" customHeight="1">
      <c r="A149" s="25"/>
      <c r="B149" s="128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7"/>
      <c r="AT149" s="25"/>
      <c r="AU149" s="27"/>
    </row>
    <row r="150" spans="1:47" ht="15.75" customHeight="1">
      <c r="A150" s="25"/>
      <c r="B150" s="128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7"/>
      <c r="AT150" s="25"/>
      <c r="AU150" s="27"/>
    </row>
    <row r="151" spans="1:47" ht="15.75" customHeight="1">
      <c r="A151" s="25"/>
      <c r="B151" s="128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7"/>
      <c r="AT151" s="25"/>
      <c r="AU151" s="27"/>
    </row>
    <row r="152" spans="1:47" ht="15.75" customHeight="1">
      <c r="A152" s="25"/>
      <c r="B152" s="128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7"/>
      <c r="AT152" s="25"/>
      <c r="AU152" s="27"/>
    </row>
    <row r="153" spans="1:47" ht="15.75" customHeight="1">
      <c r="A153" s="25"/>
      <c r="B153" s="128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7"/>
      <c r="AT153" s="25"/>
      <c r="AU153" s="27"/>
    </row>
    <row r="154" spans="1:47" ht="15.75" customHeight="1">
      <c r="A154" s="25"/>
      <c r="B154" s="128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7"/>
      <c r="AT154" s="25"/>
      <c r="AU154" s="27"/>
    </row>
    <row r="155" spans="1:47" ht="15.75" customHeight="1">
      <c r="A155" s="25"/>
      <c r="B155" s="128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7"/>
      <c r="AT155" s="25"/>
      <c r="AU155" s="27"/>
    </row>
    <row r="156" spans="1:47" ht="15.75" customHeight="1">
      <c r="A156" s="25"/>
      <c r="B156" s="128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7"/>
      <c r="AT156" s="25"/>
      <c r="AU156" s="27"/>
    </row>
    <row r="157" spans="1:47" ht="15.75" customHeight="1">
      <c r="A157" s="25"/>
      <c r="B157" s="128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7"/>
      <c r="AT157" s="25"/>
      <c r="AU157" s="27"/>
    </row>
    <row r="158" spans="1:47" ht="15.75" customHeight="1">
      <c r="A158" s="25"/>
      <c r="B158" s="128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7"/>
      <c r="AT158" s="25"/>
      <c r="AU158" s="27"/>
    </row>
    <row r="159" spans="1:47" ht="15.75" customHeight="1">
      <c r="A159" s="25"/>
      <c r="B159" s="128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7"/>
      <c r="AT159" s="25"/>
      <c r="AU159" s="27"/>
    </row>
    <row r="160" spans="1:47" ht="15.75" customHeight="1">
      <c r="A160" s="25"/>
      <c r="B160" s="128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7"/>
      <c r="AT160" s="25"/>
      <c r="AU160" s="27"/>
    </row>
    <row r="161" spans="1:47" ht="15.75" customHeight="1">
      <c r="A161" s="25"/>
      <c r="B161" s="128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7"/>
      <c r="AT161" s="25"/>
      <c r="AU161" s="27"/>
    </row>
    <row r="162" spans="1:47" ht="15.75" customHeight="1">
      <c r="A162" s="25"/>
      <c r="B162" s="128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7"/>
      <c r="AT162" s="25"/>
      <c r="AU162" s="27"/>
    </row>
    <row r="163" spans="1:47" ht="15.75" customHeight="1">
      <c r="A163" s="25"/>
      <c r="B163" s="128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7"/>
      <c r="AT163" s="25"/>
      <c r="AU163" s="27"/>
    </row>
    <row r="164" spans="1:47" ht="15.75" customHeight="1">
      <c r="A164" s="25"/>
      <c r="B164" s="128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7"/>
      <c r="AT164" s="25"/>
      <c r="AU164" s="27"/>
    </row>
    <row r="165" spans="1:47" ht="15.75" customHeight="1">
      <c r="A165" s="25"/>
      <c r="B165" s="128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7"/>
      <c r="AT165" s="25"/>
      <c r="AU165" s="27"/>
    </row>
    <row r="166" spans="1:47" ht="15.75" customHeight="1">
      <c r="A166" s="25"/>
      <c r="B166" s="128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7"/>
      <c r="AT166" s="25"/>
      <c r="AU166" s="27"/>
    </row>
    <row r="167" spans="1:47" ht="15.75" customHeight="1">
      <c r="A167" s="25"/>
      <c r="B167" s="128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7"/>
      <c r="AT167" s="25"/>
      <c r="AU167" s="27"/>
    </row>
    <row r="168" spans="1:47" ht="15.75" customHeight="1">
      <c r="A168" s="25"/>
      <c r="B168" s="128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7"/>
      <c r="AT168" s="25"/>
      <c r="AU168" s="27"/>
    </row>
    <row r="169" spans="1:47" ht="15.75" customHeight="1">
      <c r="A169" s="25"/>
      <c r="B169" s="128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7"/>
      <c r="AT169" s="25"/>
      <c r="AU169" s="27"/>
    </row>
    <row r="170" spans="1:47" ht="15.75" customHeight="1">
      <c r="A170" s="25"/>
      <c r="B170" s="128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7"/>
      <c r="AT170" s="25"/>
      <c r="AU170" s="27"/>
    </row>
    <row r="171" spans="1:47" ht="15.75" customHeight="1">
      <c r="A171" s="25"/>
      <c r="B171" s="128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7"/>
      <c r="AT171" s="25"/>
      <c r="AU171" s="27"/>
    </row>
    <row r="172" spans="1:47" ht="15.75" customHeight="1">
      <c r="A172" s="25"/>
      <c r="B172" s="128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7"/>
      <c r="AT172" s="25"/>
      <c r="AU172" s="27"/>
    </row>
    <row r="173" spans="1:47" ht="15.75" customHeight="1">
      <c r="A173" s="25"/>
      <c r="B173" s="128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7"/>
      <c r="AT173" s="25"/>
      <c r="AU173" s="27"/>
    </row>
    <row r="174" spans="1:47" ht="15.75" customHeight="1">
      <c r="A174" s="25"/>
      <c r="B174" s="128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7"/>
      <c r="AT174" s="25"/>
      <c r="AU174" s="27"/>
    </row>
    <row r="175" spans="1:47" ht="15.75" customHeight="1">
      <c r="A175" s="25"/>
      <c r="B175" s="128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7"/>
      <c r="AT175" s="25"/>
      <c r="AU175" s="27"/>
    </row>
    <row r="176" spans="1:47" ht="15.75" customHeight="1">
      <c r="A176" s="25"/>
      <c r="B176" s="128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7"/>
      <c r="AT176" s="25"/>
      <c r="AU176" s="27"/>
    </row>
    <row r="177" spans="1:47" ht="15.75" customHeight="1">
      <c r="A177" s="25"/>
      <c r="B177" s="128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7"/>
      <c r="AT177" s="25"/>
      <c r="AU177" s="27"/>
    </row>
    <row r="178" spans="1:47" ht="15.75" customHeight="1">
      <c r="A178" s="25"/>
      <c r="B178" s="128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7"/>
      <c r="AT178" s="25"/>
      <c r="AU178" s="27"/>
    </row>
    <row r="179" spans="1:47" ht="15.75" customHeight="1">
      <c r="A179" s="25"/>
      <c r="B179" s="128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7"/>
      <c r="AT179" s="25"/>
      <c r="AU179" s="27"/>
    </row>
    <row r="180" spans="1:47" ht="15.75" customHeight="1">
      <c r="A180" s="25"/>
      <c r="B180" s="128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7"/>
      <c r="AT180" s="25"/>
      <c r="AU180" s="27"/>
    </row>
    <row r="181" spans="1:47" ht="15.75" customHeight="1">
      <c r="A181" s="25"/>
      <c r="B181" s="128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7"/>
      <c r="AT181" s="25"/>
      <c r="AU181" s="27"/>
    </row>
    <row r="182" spans="1:47" ht="15.75" customHeight="1">
      <c r="A182" s="25"/>
      <c r="B182" s="128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7"/>
      <c r="AT182" s="25"/>
      <c r="AU182" s="27"/>
    </row>
    <row r="183" spans="1:47" ht="15.75" customHeight="1">
      <c r="A183" s="25"/>
      <c r="B183" s="128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7"/>
      <c r="AT183" s="25"/>
      <c r="AU183" s="27"/>
    </row>
    <row r="184" spans="1:47" ht="15.75" customHeight="1">
      <c r="A184" s="25"/>
      <c r="B184" s="128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7"/>
      <c r="AT184" s="25"/>
      <c r="AU184" s="27"/>
    </row>
    <row r="185" spans="1:47" ht="15.75" customHeight="1">
      <c r="A185" s="25"/>
      <c r="B185" s="128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7"/>
      <c r="AT185" s="25"/>
      <c r="AU185" s="27"/>
    </row>
    <row r="186" spans="1:47" ht="15.75" customHeight="1">
      <c r="A186" s="25"/>
      <c r="B186" s="128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7"/>
      <c r="AT186" s="25"/>
      <c r="AU186" s="27"/>
    </row>
    <row r="187" spans="1:47" ht="15.75" customHeight="1">
      <c r="A187" s="25"/>
      <c r="B187" s="128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7"/>
      <c r="AT187" s="25"/>
      <c r="AU187" s="27"/>
    </row>
    <row r="188" spans="1:47" ht="15.75" customHeight="1">
      <c r="A188" s="25"/>
      <c r="B188" s="128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7"/>
      <c r="AT188" s="25"/>
      <c r="AU188" s="27"/>
    </row>
    <row r="189" spans="1:47" ht="15.75" customHeight="1">
      <c r="A189" s="25"/>
      <c r="B189" s="128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7"/>
      <c r="AT189" s="25"/>
      <c r="AU189" s="27"/>
    </row>
    <row r="190" spans="1:47" ht="15.75" customHeight="1">
      <c r="A190" s="25"/>
      <c r="B190" s="128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7"/>
      <c r="AT190" s="25"/>
      <c r="AU190" s="27"/>
    </row>
    <row r="191" spans="1:47" ht="15.75" customHeight="1">
      <c r="A191" s="25"/>
      <c r="B191" s="128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7"/>
      <c r="AT191" s="25"/>
      <c r="AU191" s="27"/>
    </row>
    <row r="192" spans="1:47" ht="15.75" customHeight="1">
      <c r="A192" s="25"/>
      <c r="B192" s="128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7"/>
      <c r="AT192" s="25"/>
      <c r="AU192" s="27"/>
    </row>
    <row r="193" spans="1:47" ht="15.75" customHeight="1">
      <c r="A193" s="25"/>
      <c r="B193" s="128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7"/>
      <c r="AT193" s="25"/>
      <c r="AU193" s="27"/>
    </row>
    <row r="194" spans="1:47" ht="15.75" customHeight="1">
      <c r="A194" s="25"/>
      <c r="B194" s="128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7"/>
      <c r="AT194" s="25"/>
      <c r="AU194" s="27"/>
    </row>
    <row r="195" spans="1:47" ht="15.75" customHeight="1">
      <c r="A195" s="25"/>
      <c r="B195" s="128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7"/>
      <c r="AT195" s="25"/>
      <c r="AU195" s="27"/>
    </row>
    <row r="196" spans="1:47" ht="15.75" customHeight="1">
      <c r="A196" s="25"/>
      <c r="B196" s="128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7"/>
      <c r="AT196" s="25"/>
      <c r="AU196" s="27"/>
    </row>
    <row r="197" spans="1:47" ht="15.75" customHeight="1">
      <c r="A197" s="25"/>
      <c r="B197" s="128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7"/>
      <c r="AT197" s="25"/>
      <c r="AU197" s="27"/>
    </row>
    <row r="198" spans="1:47" ht="15.75" customHeight="1">
      <c r="A198" s="25"/>
      <c r="B198" s="128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7"/>
      <c r="AT198" s="25"/>
      <c r="AU198" s="27"/>
    </row>
    <row r="199" spans="1:47" ht="15.75" customHeight="1">
      <c r="A199" s="25"/>
      <c r="B199" s="128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7"/>
      <c r="AT199" s="25"/>
      <c r="AU199" s="27"/>
    </row>
    <row r="200" spans="1:47" ht="15.75" customHeight="1">
      <c r="A200" s="25"/>
      <c r="B200" s="128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7"/>
      <c r="AT200" s="25"/>
      <c r="AU200" s="27"/>
    </row>
    <row r="201" spans="1:47" ht="15.75" customHeight="1">
      <c r="A201" s="25"/>
      <c r="B201" s="128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7"/>
      <c r="AT201" s="25"/>
      <c r="AU201" s="27"/>
    </row>
    <row r="202" spans="1:47" ht="15.75" customHeight="1">
      <c r="A202" s="25"/>
      <c r="B202" s="128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7"/>
      <c r="AT202" s="25"/>
      <c r="AU202" s="27"/>
    </row>
    <row r="203" spans="1:47" ht="15.75" customHeight="1">
      <c r="A203" s="25"/>
      <c r="B203" s="128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7"/>
      <c r="AT203" s="25"/>
      <c r="AU203" s="27"/>
    </row>
    <row r="204" spans="1:47" ht="15.75" customHeight="1">
      <c r="A204" s="25"/>
      <c r="B204" s="128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7"/>
      <c r="AT204" s="25"/>
      <c r="AU204" s="27"/>
    </row>
    <row r="205" spans="1:47" ht="15.75" customHeight="1">
      <c r="A205" s="25"/>
      <c r="B205" s="128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7"/>
      <c r="AT205" s="25"/>
      <c r="AU205" s="27"/>
    </row>
    <row r="206" spans="1:47" ht="15.75" customHeight="1">
      <c r="A206" s="25"/>
      <c r="B206" s="128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7"/>
      <c r="AT206" s="25"/>
      <c r="AU206" s="27"/>
    </row>
    <row r="207" spans="1:47" ht="15.75" customHeight="1">
      <c r="A207" s="25"/>
      <c r="B207" s="128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7"/>
      <c r="AT207" s="25"/>
      <c r="AU207" s="27"/>
    </row>
    <row r="208" spans="1:47" ht="15.75" customHeight="1">
      <c r="A208" s="25"/>
      <c r="B208" s="128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7"/>
      <c r="AT208" s="25"/>
      <c r="AU208" s="27"/>
    </row>
    <row r="209" spans="1:47" ht="15.75" customHeight="1">
      <c r="A209" s="25"/>
      <c r="B209" s="128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7"/>
      <c r="AT209" s="25"/>
      <c r="AU209" s="27"/>
    </row>
    <row r="210" spans="1:47" ht="15.75" customHeight="1">
      <c r="A210" s="25"/>
      <c r="B210" s="128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7"/>
      <c r="AT210" s="25"/>
      <c r="AU210" s="27"/>
    </row>
    <row r="211" spans="1:47" ht="15.75" customHeight="1">
      <c r="A211" s="25"/>
      <c r="B211" s="128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7"/>
      <c r="AT211" s="25"/>
      <c r="AU211" s="27"/>
    </row>
    <row r="212" spans="1:47" ht="15.75" customHeight="1">
      <c r="A212" s="25"/>
      <c r="B212" s="128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7"/>
      <c r="AT212" s="25"/>
      <c r="AU212" s="27"/>
    </row>
    <row r="213" spans="1:47" ht="15.75" customHeight="1">
      <c r="A213" s="25"/>
      <c r="B213" s="128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7"/>
      <c r="AT213" s="25"/>
      <c r="AU213" s="27"/>
    </row>
    <row r="214" spans="1:47" ht="15.75" customHeight="1">
      <c r="A214" s="25"/>
      <c r="B214" s="128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7"/>
      <c r="AT214" s="25"/>
      <c r="AU214" s="27"/>
    </row>
    <row r="215" spans="1:47" ht="15.75" customHeight="1">
      <c r="A215" s="25"/>
      <c r="B215" s="128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7"/>
      <c r="AT215" s="25"/>
      <c r="AU215" s="27"/>
    </row>
    <row r="216" spans="1:47" ht="15.75" customHeight="1">
      <c r="A216" s="25"/>
      <c r="B216" s="128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7"/>
      <c r="AT216" s="25"/>
      <c r="AU216" s="27"/>
    </row>
    <row r="217" spans="1:47" ht="15.75" customHeight="1">
      <c r="A217" s="25"/>
      <c r="B217" s="128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7"/>
      <c r="AT217" s="25"/>
      <c r="AU217" s="27"/>
    </row>
    <row r="218" spans="1:47" ht="15.75" customHeight="1">
      <c r="A218" s="25"/>
      <c r="B218" s="128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7"/>
      <c r="AT218" s="25"/>
      <c r="AU218" s="27"/>
    </row>
    <row r="219" spans="1:47" ht="15.75" customHeight="1">
      <c r="A219" s="25"/>
      <c r="B219" s="128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7"/>
      <c r="AT219" s="25"/>
      <c r="AU219" s="27"/>
    </row>
    <row r="220" spans="1:47" ht="15.75" customHeight="1">
      <c r="A220" s="25"/>
      <c r="B220" s="128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7"/>
      <c r="AT220" s="25"/>
      <c r="AU220" s="27"/>
    </row>
    <row r="221" spans="1:47" ht="15.75" customHeight="1">
      <c r="A221" s="25"/>
      <c r="B221" s="128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7"/>
      <c r="AT221" s="25"/>
      <c r="AU221" s="27"/>
    </row>
    <row r="222" spans="1:47" ht="15.75" customHeight="1">
      <c r="A222" s="25"/>
      <c r="B222" s="128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7"/>
      <c r="AT222" s="25"/>
      <c r="AU222" s="27"/>
    </row>
    <row r="223" spans="1:47" ht="15.75" customHeight="1">
      <c r="A223" s="25"/>
      <c r="B223" s="128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7"/>
      <c r="AT223" s="25"/>
      <c r="AU223" s="27"/>
    </row>
    <row r="224" spans="1:47" ht="15.75" customHeight="1">
      <c r="A224" s="25"/>
      <c r="B224" s="128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7"/>
      <c r="AT224" s="25"/>
      <c r="AU224" s="27"/>
    </row>
    <row r="225" spans="1:47" ht="15.75" customHeight="1">
      <c r="A225" s="25"/>
      <c r="B225" s="128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7"/>
      <c r="AT225" s="25"/>
      <c r="AU225" s="27"/>
    </row>
    <row r="226" spans="1:47" ht="15.75" customHeight="1">
      <c r="A226" s="25"/>
      <c r="B226" s="128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7"/>
      <c r="AT226" s="25"/>
      <c r="AU226" s="27"/>
    </row>
    <row r="227" spans="1:47" ht="15.75" customHeight="1">
      <c r="A227" s="25"/>
      <c r="B227" s="128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7"/>
      <c r="AT227" s="25"/>
      <c r="AU227" s="27"/>
    </row>
    <row r="228" spans="1:47" ht="15.75" customHeight="1">
      <c r="A228" s="25"/>
      <c r="B228" s="128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7"/>
      <c r="AT228" s="25"/>
      <c r="AU228" s="27"/>
    </row>
    <row r="229" spans="1:47" ht="15.75" customHeight="1">
      <c r="A229" s="25"/>
      <c r="B229" s="128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7"/>
      <c r="AT229" s="25"/>
      <c r="AU229" s="27"/>
    </row>
    <row r="230" spans="1:47" ht="15.75" customHeight="1">
      <c r="A230" s="25"/>
      <c r="B230" s="128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7"/>
      <c r="AT230" s="25"/>
      <c r="AU230" s="27"/>
    </row>
    <row r="231" spans="1:47" ht="15.75" customHeight="1">
      <c r="A231" s="25"/>
      <c r="B231" s="128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7"/>
      <c r="AT231" s="25"/>
      <c r="AU231" s="27"/>
    </row>
    <row r="232" spans="1:47" ht="15.75" customHeight="1">
      <c r="A232" s="25"/>
      <c r="B232" s="128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7"/>
      <c r="AT232" s="25"/>
      <c r="AU232" s="27"/>
    </row>
    <row r="233" spans="1:47" ht="15.75" customHeight="1">
      <c r="A233" s="25"/>
      <c r="B233" s="128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7"/>
      <c r="AT233" s="25"/>
      <c r="AU233" s="27"/>
    </row>
    <row r="234" spans="1:47" ht="15.75" customHeight="1">
      <c r="A234" s="25"/>
      <c r="B234" s="128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7"/>
      <c r="AT234" s="25"/>
      <c r="AU234" s="27"/>
    </row>
    <row r="235" spans="1:47" ht="15.75" customHeight="1">
      <c r="A235" s="25"/>
      <c r="B235" s="128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7"/>
      <c r="AT235" s="25"/>
      <c r="AU235" s="27"/>
    </row>
    <row r="236" spans="1:47" ht="15.75" customHeight="1">
      <c r="A236" s="25"/>
      <c r="B236" s="128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7"/>
      <c r="AT236" s="25"/>
      <c r="AU236" s="27"/>
    </row>
    <row r="237" spans="1:47" ht="15.75" customHeight="1">
      <c r="A237" s="25"/>
      <c r="B237" s="128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7"/>
      <c r="AT237" s="25"/>
      <c r="AU237" s="27"/>
    </row>
    <row r="238" spans="1:47" ht="15.75" customHeight="1">
      <c r="A238" s="25"/>
      <c r="B238" s="128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7"/>
      <c r="AT238" s="25"/>
      <c r="AU238" s="27"/>
    </row>
    <row r="239" spans="1:47" ht="15.75" customHeight="1">
      <c r="A239" s="25"/>
      <c r="B239" s="128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7"/>
      <c r="AT239" s="25"/>
      <c r="AU239" s="27"/>
    </row>
    <row r="240" spans="1:47" ht="15.75" customHeight="1">
      <c r="A240" s="25"/>
      <c r="B240" s="128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7"/>
      <c r="AT240" s="25"/>
      <c r="AU240" s="27"/>
    </row>
    <row r="241" spans="1:47" ht="15.75" customHeight="1">
      <c r="A241" s="25"/>
      <c r="B241" s="128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7"/>
      <c r="AT241" s="25"/>
      <c r="AU241" s="27"/>
    </row>
    <row r="242" spans="1:47" ht="15.75" customHeight="1">
      <c r="A242" s="25"/>
      <c r="B242" s="128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7"/>
      <c r="AT242" s="25"/>
      <c r="AU242" s="27"/>
    </row>
    <row r="243" spans="1:47" ht="15.75" customHeight="1">
      <c r="A243" s="25"/>
      <c r="B243" s="128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7"/>
      <c r="AT243" s="25"/>
      <c r="AU243" s="27"/>
    </row>
    <row r="244" spans="1:47" ht="15.75" customHeight="1">
      <c r="A244" s="25"/>
      <c r="B244" s="128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7"/>
      <c r="AT244" s="25"/>
      <c r="AU244" s="27"/>
    </row>
    <row r="245" spans="1:47" ht="15.75" customHeight="1">
      <c r="A245" s="25"/>
      <c r="B245" s="128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7"/>
      <c r="AT245" s="25"/>
      <c r="AU245" s="27"/>
    </row>
    <row r="246" spans="1:47" ht="15.75" customHeight="1">
      <c r="A246" s="25"/>
      <c r="B246" s="128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7"/>
      <c r="AT246" s="25"/>
      <c r="AU246" s="27"/>
    </row>
    <row r="247" spans="1:47" ht="15.75" customHeight="1">
      <c r="A247" s="25"/>
      <c r="B247" s="128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7"/>
      <c r="AT247" s="25"/>
      <c r="AU247" s="27"/>
    </row>
    <row r="248" spans="1:47" ht="15.75" customHeight="1"/>
    <row r="249" spans="1:47" ht="15.75" customHeight="1"/>
    <row r="250" spans="1:47" ht="15.75" customHeight="1"/>
    <row r="251" spans="1:47" ht="15.75" customHeight="1"/>
    <row r="252" spans="1:47" ht="15.75" customHeight="1"/>
    <row r="253" spans="1:47" ht="15.75" customHeight="1"/>
    <row r="254" spans="1:47" ht="15.75" customHeight="1"/>
    <row r="255" spans="1:47" ht="15.75" customHeight="1"/>
    <row r="256" spans="1:47" ht="15.75" customHeight="1"/>
    <row r="257" s="4" customFormat="1" ht="15.75" customHeight="1"/>
    <row r="258" s="4" customFormat="1" ht="15.75" customHeight="1"/>
    <row r="259" s="4" customFormat="1" ht="15.75" customHeight="1"/>
    <row r="260" s="4" customFormat="1" ht="15.75" customHeight="1"/>
    <row r="261" s="4" customFormat="1" ht="15.75" customHeight="1"/>
    <row r="262" s="4" customFormat="1" ht="15.75" customHeight="1"/>
    <row r="263" s="4" customFormat="1" ht="15.75" customHeight="1"/>
    <row r="264" s="4" customFormat="1" ht="15.75" customHeight="1"/>
    <row r="265" s="4" customFormat="1" ht="15.75" customHeight="1"/>
    <row r="266" s="4" customFormat="1" ht="15.75" customHeight="1"/>
    <row r="267" s="4" customFormat="1" ht="15.75" customHeight="1"/>
    <row r="268" s="4" customFormat="1" ht="15.75" customHeight="1"/>
    <row r="269" s="4" customFormat="1" ht="15.75" customHeight="1"/>
    <row r="270" s="4" customFormat="1" ht="15.75" customHeight="1"/>
    <row r="271" s="4" customFormat="1" ht="15.75" customHeight="1"/>
    <row r="272" s="4" customFormat="1" ht="15.75" customHeight="1"/>
    <row r="273" s="4" customFormat="1" ht="15.75" customHeight="1"/>
    <row r="274" s="4" customFormat="1" ht="15.75" customHeight="1"/>
    <row r="275" s="4" customFormat="1" ht="15.75" customHeight="1"/>
    <row r="276" s="4" customFormat="1" ht="15.75" customHeight="1"/>
    <row r="277" s="4" customFormat="1" ht="15.75" customHeight="1"/>
    <row r="278" s="4" customFormat="1" ht="15.75" customHeight="1"/>
    <row r="279" s="4" customFormat="1" ht="15.75" customHeight="1"/>
    <row r="280" s="4" customFormat="1" ht="15.75" customHeight="1"/>
    <row r="281" s="4" customFormat="1" ht="15.75" customHeight="1"/>
    <row r="282" s="4" customFormat="1" ht="15.75" customHeight="1"/>
    <row r="283" s="4" customFormat="1" ht="15.75" customHeight="1"/>
    <row r="284" s="4" customFormat="1" ht="15.75" customHeight="1"/>
    <row r="285" s="4" customFormat="1" ht="15.75" customHeight="1"/>
    <row r="286" s="4" customFormat="1" ht="15.75" customHeight="1"/>
    <row r="287" s="4" customFormat="1" ht="15.75" customHeight="1"/>
    <row r="288" s="4" customFormat="1" ht="15.75" customHeight="1"/>
    <row r="289" s="4" customFormat="1" ht="15.75" customHeight="1"/>
    <row r="290" s="4" customFormat="1" ht="15.75" customHeight="1"/>
    <row r="291" s="4" customFormat="1" ht="15.75" customHeight="1"/>
    <row r="292" s="4" customFormat="1" ht="15.75" customHeight="1"/>
    <row r="293" s="4" customFormat="1" ht="15.75" customHeight="1"/>
    <row r="294" s="4" customFormat="1" ht="15.75" customHeight="1"/>
    <row r="295" s="4" customFormat="1" ht="15.75" customHeight="1"/>
    <row r="296" s="4" customFormat="1" ht="15.75" customHeight="1"/>
    <row r="297" s="4" customFormat="1" ht="15.75" customHeight="1"/>
    <row r="298" s="4" customFormat="1" ht="15.75" customHeight="1"/>
    <row r="299" s="4" customFormat="1" ht="15.75" customHeight="1"/>
    <row r="300" s="4" customFormat="1" ht="15.75" customHeight="1"/>
    <row r="301" s="4" customFormat="1" ht="15.75" customHeight="1"/>
    <row r="302" s="4" customFormat="1" ht="15.75" customHeight="1"/>
    <row r="303" s="4" customFormat="1" ht="15.75" customHeight="1"/>
    <row r="304" s="4" customFormat="1" ht="15.75" customHeight="1"/>
    <row r="305" s="4" customFormat="1" ht="15.75" customHeight="1"/>
    <row r="306" s="4" customFormat="1" ht="15.75" customHeight="1"/>
    <row r="307" s="4" customFormat="1" ht="15.75" customHeight="1"/>
    <row r="308" s="4" customFormat="1" ht="15.75" customHeight="1"/>
    <row r="309" s="4" customFormat="1" ht="15.75" customHeight="1"/>
    <row r="310" s="4" customFormat="1" ht="15.75" customHeight="1"/>
    <row r="311" s="4" customFormat="1" ht="15.75" customHeight="1"/>
    <row r="312" s="4" customFormat="1" ht="15.75" customHeight="1"/>
    <row r="313" s="4" customFormat="1" ht="15.75" customHeight="1"/>
    <row r="314" s="4" customFormat="1" ht="15.75" customHeight="1"/>
    <row r="315" s="4" customFormat="1" ht="15.75" customHeight="1"/>
    <row r="316" s="4" customFormat="1" ht="15.75" customHeight="1"/>
    <row r="317" s="4" customFormat="1" ht="15.75" customHeight="1"/>
    <row r="318" s="4" customFormat="1" ht="15.75" customHeight="1"/>
    <row r="319" s="4" customFormat="1" ht="15.75" customHeight="1"/>
    <row r="320" s="4" customFormat="1" ht="15.75" customHeight="1"/>
    <row r="321" s="4" customFormat="1" ht="15.75" customHeight="1"/>
    <row r="322" s="4" customFormat="1" ht="15.75" customHeight="1"/>
    <row r="323" s="4" customFormat="1" ht="15.75" customHeight="1"/>
    <row r="324" s="4" customFormat="1" ht="15.75" customHeight="1"/>
    <row r="325" s="4" customFormat="1" ht="15.75" customHeight="1"/>
    <row r="326" s="4" customFormat="1" ht="15.75" customHeight="1"/>
    <row r="327" s="4" customFormat="1" ht="15.75" customHeight="1"/>
    <row r="328" s="4" customFormat="1" ht="15.75" customHeight="1"/>
    <row r="329" s="4" customFormat="1" ht="15.75" customHeight="1"/>
    <row r="330" s="4" customFormat="1" ht="15.75" customHeight="1"/>
    <row r="331" s="4" customFormat="1" ht="15.75" customHeight="1"/>
    <row r="332" s="4" customFormat="1" ht="15.75" customHeight="1"/>
    <row r="333" s="4" customFormat="1" ht="15.75" customHeight="1"/>
    <row r="334" s="4" customFormat="1" ht="15.75" customHeight="1"/>
    <row r="335" s="4" customFormat="1" ht="15.75" customHeight="1"/>
    <row r="336" s="4" customFormat="1" ht="15.75" customHeight="1"/>
    <row r="337" s="4" customFormat="1" ht="15.75" customHeight="1"/>
    <row r="338" s="4" customFormat="1" ht="15.75" customHeight="1"/>
    <row r="339" s="4" customFormat="1" ht="15.75" customHeight="1"/>
    <row r="340" s="4" customFormat="1" ht="15.75" customHeight="1"/>
    <row r="341" s="4" customFormat="1" ht="15.75" customHeight="1"/>
    <row r="342" s="4" customFormat="1" ht="15.75" customHeight="1"/>
    <row r="343" s="4" customFormat="1" ht="15.75" customHeight="1"/>
    <row r="344" s="4" customFormat="1" ht="15.75" customHeight="1"/>
    <row r="345" s="4" customFormat="1" ht="15.75" customHeight="1"/>
    <row r="346" s="4" customFormat="1" ht="15.75" customHeight="1"/>
    <row r="347" s="4" customFormat="1" ht="15.75" customHeight="1"/>
    <row r="348" s="4" customFormat="1" ht="15.75" customHeight="1"/>
    <row r="349" s="4" customFormat="1" ht="15.75" customHeight="1"/>
    <row r="350" s="4" customFormat="1" ht="15.75" customHeight="1"/>
    <row r="351" s="4" customFormat="1" ht="15.75" customHeight="1"/>
    <row r="352" s="4" customFormat="1" ht="15.75" customHeight="1"/>
    <row r="353" s="4" customFormat="1" ht="15.75" customHeight="1"/>
    <row r="354" s="4" customFormat="1" ht="15.75" customHeight="1"/>
    <row r="355" s="4" customFormat="1" ht="15.75" customHeight="1"/>
    <row r="356" s="4" customFormat="1" ht="15.75" customHeight="1"/>
    <row r="357" s="4" customFormat="1" ht="15.75" customHeight="1"/>
    <row r="358" s="4" customFormat="1" ht="15.75" customHeight="1"/>
    <row r="359" s="4" customFormat="1" ht="15.75" customHeight="1"/>
    <row r="360" s="4" customFormat="1" ht="15.75" customHeight="1"/>
    <row r="361" s="4" customFormat="1" ht="15.75" customHeight="1"/>
    <row r="362" s="4" customFormat="1" ht="15.75" customHeight="1"/>
    <row r="363" s="4" customFormat="1" ht="15.75" customHeight="1"/>
    <row r="364" s="4" customFormat="1" ht="15.75" customHeight="1"/>
    <row r="365" s="4" customFormat="1" ht="15.75" customHeight="1"/>
    <row r="366" s="4" customFormat="1" ht="15.75" customHeight="1"/>
    <row r="367" s="4" customFormat="1" ht="15.75" customHeight="1"/>
    <row r="368" s="4" customFormat="1" ht="15.75" customHeight="1"/>
    <row r="369" s="4" customFormat="1" ht="15.75" customHeight="1"/>
    <row r="370" s="4" customFormat="1" ht="15.75" customHeight="1"/>
    <row r="371" s="4" customFormat="1" ht="15.75" customHeight="1"/>
    <row r="372" s="4" customFormat="1" ht="15.75" customHeight="1"/>
    <row r="373" s="4" customFormat="1" ht="15.75" customHeight="1"/>
    <row r="374" s="4" customFormat="1" ht="15.75" customHeight="1"/>
    <row r="375" s="4" customFormat="1" ht="15.75" customHeight="1"/>
    <row r="376" s="4" customFormat="1" ht="15.75" customHeight="1"/>
    <row r="377" s="4" customFormat="1" ht="15.75" customHeight="1"/>
    <row r="378" s="4" customFormat="1" ht="15.75" customHeight="1"/>
    <row r="379" s="4" customFormat="1" ht="15.75" customHeight="1"/>
    <row r="380" s="4" customFormat="1" ht="15.75" customHeight="1"/>
    <row r="381" s="4" customFormat="1" ht="15.75" customHeight="1"/>
    <row r="382" s="4" customFormat="1" ht="15.75" customHeight="1"/>
    <row r="383" s="4" customFormat="1" ht="15.75" customHeight="1"/>
    <row r="384" s="4" customFormat="1" ht="15.75" customHeight="1"/>
    <row r="385" s="4" customFormat="1" ht="15.75" customHeight="1"/>
    <row r="386" s="4" customFormat="1" ht="15.75" customHeight="1"/>
    <row r="387" s="4" customFormat="1" ht="15.75" customHeight="1"/>
    <row r="388" s="4" customFormat="1" ht="15.75" customHeight="1"/>
    <row r="389" s="4" customFormat="1" ht="15.75" customHeight="1"/>
    <row r="390" s="4" customFormat="1" ht="15.75" customHeight="1"/>
    <row r="391" s="4" customFormat="1" ht="15.75" customHeight="1"/>
    <row r="392" s="4" customFormat="1" ht="15.75" customHeight="1"/>
    <row r="393" s="4" customFormat="1" ht="15.75" customHeight="1"/>
    <row r="394" s="4" customFormat="1" ht="15.75" customHeight="1"/>
    <row r="395" s="4" customFormat="1" ht="15.75" customHeight="1"/>
    <row r="396" s="4" customFormat="1" ht="15.75" customHeight="1"/>
    <row r="397" s="4" customFormat="1" ht="15.75" customHeight="1"/>
    <row r="398" s="4" customFormat="1" ht="15.75" customHeight="1"/>
    <row r="399" s="4" customFormat="1" ht="15.75" customHeight="1"/>
    <row r="400" s="4" customFormat="1" ht="15.75" customHeight="1"/>
    <row r="401" s="4" customFormat="1" ht="15.75" customHeight="1"/>
    <row r="402" s="4" customFormat="1" ht="15.75" customHeight="1"/>
    <row r="403" s="4" customFormat="1" ht="15.75" customHeight="1"/>
    <row r="404" s="4" customFormat="1" ht="15.75" customHeight="1"/>
    <row r="405" s="4" customFormat="1" ht="15.75" customHeight="1"/>
    <row r="406" s="4" customFormat="1" ht="15.75" customHeight="1"/>
    <row r="407" s="4" customFormat="1" ht="15.75" customHeight="1"/>
    <row r="408" s="4" customFormat="1" ht="15.75" customHeight="1"/>
    <row r="409" s="4" customFormat="1" ht="15.75" customHeight="1"/>
    <row r="410" s="4" customFormat="1" ht="15.75" customHeight="1"/>
    <row r="411" s="4" customFormat="1" ht="15.75" customHeight="1"/>
    <row r="412" s="4" customFormat="1" ht="15.75" customHeight="1"/>
    <row r="413" s="4" customFormat="1" ht="15.75" customHeight="1"/>
    <row r="414" s="4" customFormat="1" ht="15.75" customHeight="1"/>
    <row r="415" s="4" customFormat="1" ht="15.75" customHeight="1"/>
    <row r="416" s="4" customFormat="1" ht="15.75" customHeight="1"/>
    <row r="417" s="4" customFormat="1" ht="15.75" customHeight="1"/>
    <row r="418" s="4" customFormat="1" ht="15.75" customHeight="1"/>
    <row r="419" s="4" customFormat="1" ht="15.75" customHeight="1"/>
    <row r="420" s="4" customFormat="1" ht="15.75" customHeight="1"/>
    <row r="421" s="4" customFormat="1" ht="15.75" customHeight="1"/>
    <row r="422" s="4" customFormat="1" ht="15.75" customHeight="1"/>
    <row r="423" s="4" customFormat="1" ht="15.75" customHeight="1"/>
    <row r="424" s="4" customFormat="1" ht="15.75" customHeight="1"/>
    <row r="425" s="4" customFormat="1" ht="15.75" customHeight="1"/>
    <row r="426" s="4" customFormat="1" ht="15.75" customHeight="1"/>
    <row r="427" s="4" customFormat="1" ht="15.75" customHeight="1"/>
    <row r="428" s="4" customFormat="1" ht="15.75" customHeight="1"/>
    <row r="429" s="4" customFormat="1" ht="15.75" customHeight="1"/>
    <row r="430" s="4" customFormat="1" ht="15.75" customHeight="1"/>
    <row r="431" s="4" customFormat="1" ht="15.75" customHeight="1"/>
    <row r="432" s="4" customFormat="1" ht="15.75" customHeight="1"/>
    <row r="433" s="4" customFormat="1" ht="15.75" customHeight="1"/>
    <row r="434" s="4" customFormat="1" ht="15.75" customHeight="1"/>
    <row r="435" s="4" customFormat="1" ht="15.75" customHeight="1"/>
    <row r="436" s="4" customFormat="1" ht="15.75" customHeight="1"/>
    <row r="437" s="4" customFormat="1" ht="15.75" customHeight="1"/>
    <row r="438" s="4" customFormat="1" ht="15.75" customHeight="1"/>
    <row r="439" s="4" customFormat="1" ht="15.75" customHeight="1"/>
    <row r="440" s="4" customFormat="1" ht="15.75" customHeight="1"/>
    <row r="441" s="4" customFormat="1" ht="15.75" customHeight="1"/>
    <row r="442" s="4" customFormat="1" ht="15.75" customHeight="1"/>
    <row r="443" s="4" customFormat="1" ht="15.75" customHeight="1"/>
    <row r="444" s="4" customFormat="1" ht="15.75" customHeight="1"/>
    <row r="445" s="4" customFormat="1" ht="15.75" customHeight="1"/>
    <row r="446" s="4" customFormat="1" ht="15.75" customHeight="1"/>
    <row r="447" s="4" customFormat="1" ht="15.75" customHeight="1"/>
    <row r="448" s="4" customFormat="1" ht="15.75" customHeight="1"/>
    <row r="449" s="4" customFormat="1" ht="15.75" customHeight="1"/>
    <row r="450" s="4" customFormat="1" ht="15.75" customHeight="1"/>
    <row r="451" s="4" customFormat="1" ht="15.75" customHeight="1"/>
    <row r="452" s="4" customFormat="1" ht="15.75" customHeight="1"/>
    <row r="453" s="4" customFormat="1" ht="15.75" customHeight="1"/>
    <row r="454" s="4" customFormat="1" ht="15.75" customHeight="1"/>
    <row r="455" s="4" customFormat="1" ht="15.75" customHeight="1"/>
    <row r="456" s="4" customFormat="1" ht="15.75" customHeight="1"/>
    <row r="457" s="4" customFormat="1" ht="15.75" customHeight="1"/>
    <row r="458" s="4" customFormat="1" ht="15.75" customHeight="1"/>
    <row r="459" s="4" customFormat="1" ht="15.75" customHeight="1"/>
    <row r="460" s="4" customFormat="1" ht="15.75" customHeight="1"/>
    <row r="461" s="4" customFormat="1" ht="15.75" customHeight="1"/>
    <row r="462" s="4" customFormat="1" ht="15.75" customHeight="1"/>
    <row r="463" s="4" customFormat="1" ht="15.75" customHeight="1"/>
    <row r="464" s="4" customFormat="1" ht="15.75" customHeight="1"/>
    <row r="465" s="4" customFormat="1" ht="15.75" customHeight="1"/>
    <row r="466" s="4" customFormat="1" ht="15.75" customHeight="1"/>
    <row r="467" s="4" customFormat="1" ht="15.75" customHeight="1"/>
    <row r="468" s="4" customFormat="1" ht="15.75" customHeight="1"/>
    <row r="469" s="4" customFormat="1" ht="15.75" customHeight="1"/>
    <row r="470" s="4" customFormat="1" ht="15.75" customHeight="1"/>
    <row r="471" s="4" customFormat="1" ht="15.75" customHeight="1"/>
    <row r="472" s="4" customFormat="1" ht="15.75" customHeight="1"/>
    <row r="473" s="4" customFormat="1" ht="15.75" customHeight="1"/>
    <row r="474" s="4" customFormat="1" ht="15.75" customHeight="1"/>
    <row r="475" s="4" customFormat="1" ht="15.75" customHeight="1"/>
    <row r="476" s="4" customFormat="1" ht="15.75" customHeight="1"/>
    <row r="477" s="4" customFormat="1" ht="15.75" customHeight="1"/>
    <row r="478" s="4" customFormat="1" ht="15.75" customHeight="1"/>
    <row r="479" s="4" customFormat="1" ht="15.75" customHeight="1"/>
    <row r="480" s="4" customFormat="1" ht="15.75" customHeight="1"/>
    <row r="481" s="4" customFormat="1" ht="15.75" customHeight="1"/>
    <row r="482" s="4" customFormat="1" ht="15.75" customHeight="1"/>
    <row r="483" s="4" customFormat="1" ht="15.75" customHeight="1"/>
    <row r="484" s="4" customFormat="1" ht="15.75" customHeight="1"/>
    <row r="485" s="4" customFormat="1" ht="15.75" customHeight="1"/>
    <row r="486" s="4" customFormat="1" ht="15.75" customHeight="1"/>
    <row r="487" s="4" customFormat="1" ht="15.75" customHeight="1"/>
    <row r="488" s="4" customFormat="1" ht="15.75" customHeight="1"/>
    <row r="489" s="4" customFormat="1" ht="15.75" customHeight="1"/>
    <row r="490" s="4" customFormat="1" ht="15.75" customHeight="1"/>
    <row r="491" s="4" customFormat="1" ht="15.75" customHeight="1"/>
    <row r="492" s="4" customFormat="1" ht="15.75" customHeight="1"/>
    <row r="493" s="4" customFormat="1" ht="15.75" customHeight="1"/>
    <row r="494" s="4" customFormat="1" ht="15.75" customHeight="1"/>
    <row r="495" s="4" customFormat="1" ht="15.75" customHeight="1"/>
    <row r="496" s="4" customFormat="1" ht="15.75" customHeight="1"/>
    <row r="497" s="4" customFormat="1" ht="15.75" customHeight="1"/>
    <row r="498" s="4" customFormat="1" ht="15.75" customHeight="1"/>
    <row r="499" s="4" customFormat="1" ht="15.75" customHeight="1"/>
    <row r="500" s="4" customFormat="1" ht="15.75" customHeight="1"/>
    <row r="501" s="4" customFormat="1" ht="15.75" customHeight="1"/>
    <row r="502" s="4" customFormat="1" ht="15.75" customHeight="1"/>
    <row r="503" s="4" customFormat="1" ht="15.75" customHeight="1"/>
    <row r="504" s="4" customFormat="1" ht="15.75" customHeight="1"/>
    <row r="505" s="4" customFormat="1" ht="15.75" customHeight="1"/>
    <row r="506" s="4" customFormat="1" ht="15.75" customHeight="1"/>
    <row r="507" s="4" customFormat="1" ht="15.75" customHeight="1"/>
    <row r="508" s="4" customFormat="1" ht="15.75" customHeight="1"/>
    <row r="509" s="4" customFormat="1" ht="15.75" customHeight="1"/>
    <row r="510" s="4" customFormat="1" ht="15.75" customHeight="1"/>
    <row r="511" s="4" customFormat="1" ht="15.75" customHeight="1"/>
    <row r="512" s="4" customFormat="1" ht="15.75" customHeight="1"/>
    <row r="513" s="4" customFormat="1" ht="15.75" customHeight="1"/>
    <row r="514" s="4" customFormat="1" ht="15.75" customHeight="1"/>
    <row r="515" s="4" customFormat="1" ht="15.75" customHeight="1"/>
    <row r="516" s="4" customFormat="1" ht="15.75" customHeight="1"/>
    <row r="517" s="4" customFormat="1" ht="15.75" customHeight="1"/>
    <row r="518" s="4" customFormat="1" ht="15.75" customHeight="1"/>
    <row r="519" s="4" customFormat="1" ht="15.75" customHeight="1"/>
    <row r="520" s="4" customFormat="1" ht="15.75" customHeight="1"/>
    <row r="521" s="4" customFormat="1" ht="15.75" customHeight="1"/>
    <row r="522" s="4" customFormat="1" ht="15.75" customHeight="1"/>
    <row r="523" s="4" customFormat="1" ht="15.75" customHeight="1"/>
    <row r="524" s="4" customFormat="1" ht="15.75" customHeight="1"/>
    <row r="525" s="4" customFormat="1" ht="15.75" customHeight="1"/>
    <row r="526" s="4" customFormat="1" ht="15.75" customHeight="1"/>
    <row r="527" s="4" customFormat="1" ht="15.75" customHeight="1"/>
    <row r="528" s="4" customFormat="1" ht="15.75" customHeight="1"/>
    <row r="529" s="4" customFormat="1" ht="15.75" customHeight="1"/>
    <row r="530" s="4" customFormat="1" ht="15.75" customHeight="1"/>
    <row r="531" s="4" customFormat="1" ht="15.75" customHeight="1"/>
    <row r="532" s="4" customFormat="1" ht="15.75" customHeight="1"/>
    <row r="533" s="4" customFormat="1" ht="15.75" customHeight="1"/>
    <row r="534" s="4" customFormat="1" ht="15.75" customHeight="1"/>
    <row r="535" s="4" customFormat="1" ht="15.75" customHeight="1"/>
    <row r="536" s="4" customFormat="1" ht="15.75" customHeight="1"/>
    <row r="537" s="4" customFormat="1" ht="15.75" customHeight="1"/>
    <row r="538" s="4" customFormat="1" ht="15.75" customHeight="1"/>
    <row r="539" s="4" customFormat="1" ht="15.75" customHeight="1"/>
    <row r="540" s="4" customFormat="1" ht="15.75" customHeight="1"/>
    <row r="541" s="4" customFormat="1" ht="15.75" customHeight="1"/>
    <row r="542" s="4" customFormat="1" ht="15.75" customHeight="1"/>
    <row r="543" s="4" customFormat="1" ht="15.75" customHeight="1"/>
    <row r="544" s="4" customFormat="1" ht="15.75" customHeight="1"/>
    <row r="545" s="4" customFormat="1" ht="15.75" customHeight="1"/>
    <row r="546" s="4" customFormat="1" ht="15.75" customHeight="1"/>
    <row r="547" s="4" customFormat="1" ht="15.75" customHeight="1"/>
    <row r="548" s="4" customFormat="1" ht="15.75" customHeight="1"/>
    <row r="549" s="4" customFormat="1" ht="15.75" customHeight="1"/>
    <row r="550" s="4" customFormat="1" ht="15.75" customHeight="1"/>
    <row r="551" s="4" customFormat="1" ht="15.75" customHeight="1"/>
    <row r="552" s="4" customFormat="1" ht="15.75" customHeight="1"/>
    <row r="553" s="4" customFormat="1" ht="15.75" customHeight="1"/>
    <row r="554" s="4" customFormat="1" ht="15.75" customHeight="1"/>
    <row r="555" s="4" customFormat="1" ht="15.75" customHeight="1"/>
    <row r="556" s="4" customFormat="1" ht="15.75" customHeight="1"/>
    <row r="557" s="4" customFormat="1" ht="15.75" customHeight="1"/>
    <row r="558" s="4" customFormat="1" ht="15.75" customHeight="1"/>
    <row r="559" s="4" customFormat="1" ht="15.75" customHeight="1"/>
    <row r="560" s="4" customFormat="1" ht="15.75" customHeight="1"/>
    <row r="561" s="4" customFormat="1" ht="15.75" customHeight="1"/>
    <row r="562" s="4" customFormat="1" ht="15.75" customHeight="1"/>
    <row r="563" s="4" customFormat="1" ht="15.75" customHeight="1"/>
    <row r="564" s="4" customFormat="1" ht="15.75" customHeight="1"/>
    <row r="565" s="4" customFormat="1" ht="15.75" customHeight="1"/>
    <row r="566" s="4" customFormat="1" ht="15.75" customHeight="1"/>
    <row r="567" s="4" customFormat="1" ht="15.75" customHeight="1"/>
    <row r="568" s="4" customFormat="1" ht="15.75" customHeight="1"/>
    <row r="569" s="4" customFormat="1" ht="15.75" customHeight="1"/>
    <row r="570" s="4" customFormat="1" ht="15.75" customHeight="1"/>
    <row r="571" s="4" customFormat="1" ht="15.75" customHeight="1"/>
    <row r="572" s="4" customFormat="1" ht="15.75" customHeight="1"/>
    <row r="573" s="4" customFormat="1" ht="15.75" customHeight="1"/>
    <row r="574" s="4" customFormat="1" ht="15.75" customHeight="1"/>
    <row r="575" s="4" customFormat="1" ht="15.75" customHeight="1"/>
    <row r="576" s="4" customFormat="1" ht="15.75" customHeight="1"/>
    <row r="577" s="4" customFormat="1" ht="15.75" customHeight="1"/>
    <row r="578" s="4" customFormat="1" ht="15.75" customHeight="1"/>
    <row r="579" s="4" customFormat="1" ht="15.75" customHeight="1"/>
    <row r="580" s="4" customFormat="1" ht="15.75" customHeight="1"/>
    <row r="581" s="4" customFormat="1" ht="15.75" customHeight="1"/>
    <row r="582" s="4" customFormat="1" ht="15.75" customHeight="1"/>
    <row r="583" s="4" customFormat="1" ht="15.75" customHeight="1"/>
    <row r="584" s="4" customFormat="1" ht="15.75" customHeight="1"/>
    <row r="585" s="4" customFormat="1" ht="15.75" customHeight="1"/>
    <row r="586" s="4" customFormat="1" ht="15.75" customHeight="1"/>
    <row r="587" s="4" customFormat="1" ht="15.75" customHeight="1"/>
    <row r="588" s="4" customFormat="1" ht="15.75" customHeight="1"/>
    <row r="589" s="4" customFormat="1" ht="15.75" customHeight="1"/>
    <row r="590" s="4" customFormat="1" ht="15.75" customHeight="1"/>
    <row r="591" s="4" customFormat="1" ht="15.75" customHeight="1"/>
    <row r="592" s="4" customFormat="1" ht="15.75" customHeight="1"/>
    <row r="593" s="4" customFormat="1" ht="15.75" customHeight="1"/>
    <row r="594" s="4" customFormat="1" ht="15.75" customHeight="1"/>
    <row r="595" s="4" customFormat="1" ht="15.75" customHeight="1"/>
    <row r="596" s="4" customFormat="1" ht="15.75" customHeight="1"/>
    <row r="597" s="4" customFormat="1" ht="15.75" customHeight="1"/>
    <row r="598" s="4" customFormat="1" ht="15.75" customHeight="1"/>
    <row r="599" s="4" customFormat="1" ht="15.75" customHeight="1"/>
    <row r="600" s="4" customFormat="1" ht="15.75" customHeight="1"/>
    <row r="601" s="4" customFormat="1" ht="15.75" customHeight="1"/>
    <row r="602" s="4" customFormat="1" ht="15.75" customHeight="1"/>
    <row r="603" s="4" customFormat="1" ht="15.75" customHeight="1"/>
    <row r="604" s="4" customFormat="1" ht="15.75" customHeight="1"/>
    <row r="605" s="4" customFormat="1" ht="15.75" customHeight="1"/>
    <row r="606" s="4" customFormat="1" ht="15.75" customHeight="1"/>
    <row r="607" s="4" customFormat="1" ht="15.75" customHeight="1"/>
    <row r="608" s="4" customFormat="1" ht="15.75" customHeight="1"/>
    <row r="609" s="4" customFormat="1" ht="15.75" customHeight="1"/>
    <row r="610" s="4" customFormat="1" ht="15.75" customHeight="1"/>
    <row r="611" s="4" customFormat="1" ht="15.75" customHeight="1"/>
    <row r="612" s="4" customFormat="1" ht="15.75" customHeight="1"/>
    <row r="613" s="4" customFormat="1" ht="15.75" customHeight="1"/>
    <row r="614" s="4" customFormat="1" ht="15.75" customHeight="1"/>
    <row r="615" s="4" customFormat="1" ht="15.75" customHeight="1"/>
    <row r="616" s="4" customFormat="1" ht="15.75" customHeight="1"/>
    <row r="617" s="4" customFormat="1" ht="15.75" customHeight="1"/>
    <row r="618" s="4" customFormat="1" ht="15.75" customHeight="1"/>
    <row r="619" s="4" customFormat="1" ht="15.75" customHeight="1"/>
    <row r="620" s="4" customFormat="1" ht="15.75" customHeight="1"/>
    <row r="621" s="4" customFormat="1" ht="15.75" customHeight="1"/>
    <row r="622" s="4" customFormat="1" ht="15.75" customHeight="1"/>
    <row r="623" s="4" customFormat="1" ht="15.75" customHeight="1"/>
    <row r="624" s="4" customFormat="1" ht="15.75" customHeight="1"/>
    <row r="625" s="4" customFormat="1" ht="15.75" customHeight="1"/>
    <row r="626" s="4" customFormat="1" ht="15.75" customHeight="1"/>
    <row r="627" s="4" customFormat="1" ht="15.75" customHeight="1"/>
    <row r="628" s="4" customFormat="1" ht="15.75" customHeight="1"/>
    <row r="629" s="4" customFormat="1" ht="15.75" customHeight="1"/>
    <row r="630" s="4" customFormat="1" ht="15.75" customHeight="1"/>
    <row r="631" s="4" customFormat="1" ht="15.75" customHeight="1"/>
    <row r="632" s="4" customFormat="1" ht="15.75" customHeight="1"/>
    <row r="633" s="4" customFormat="1" ht="15.75" customHeight="1"/>
    <row r="634" s="4" customFormat="1" ht="15.75" customHeight="1"/>
    <row r="635" s="4" customFormat="1" ht="15.75" customHeight="1"/>
    <row r="636" s="4" customFormat="1" ht="15.75" customHeight="1"/>
    <row r="637" s="4" customFormat="1" ht="15.75" customHeight="1"/>
    <row r="638" s="4" customFormat="1" ht="15.75" customHeight="1"/>
    <row r="639" s="4" customFormat="1" ht="15.75" customHeight="1"/>
    <row r="640" s="4" customFormat="1" ht="15.75" customHeight="1"/>
    <row r="641" s="4" customFormat="1" ht="15.75" customHeight="1"/>
    <row r="642" s="4" customFormat="1" ht="15.75" customHeight="1"/>
    <row r="643" s="4" customFormat="1" ht="15.75" customHeight="1"/>
    <row r="644" s="4" customFormat="1" ht="15.75" customHeight="1"/>
    <row r="645" s="4" customFormat="1" ht="15.75" customHeight="1"/>
    <row r="646" s="4" customFormat="1" ht="15.75" customHeight="1"/>
    <row r="647" s="4" customFormat="1" ht="15.75" customHeight="1"/>
    <row r="648" s="4" customFormat="1" ht="15.75" customHeight="1"/>
    <row r="649" s="4" customFormat="1" ht="15.75" customHeight="1"/>
    <row r="650" s="4" customFormat="1" ht="15.75" customHeight="1"/>
    <row r="651" s="4" customFormat="1" ht="15.75" customHeight="1"/>
    <row r="652" s="4" customFormat="1" ht="15.75" customHeight="1"/>
    <row r="653" s="4" customFormat="1" ht="15.75" customHeight="1"/>
    <row r="654" s="4" customFormat="1" ht="15.75" customHeight="1"/>
    <row r="655" s="4" customFormat="1" ht="15.75" customHeight="1"/>
    <row r="656" s="4" customFormat="1" ht="15.75" customHeight="1"/>
    <row r="657" s="4" customFormat="1" ht="15.75" customHeight="1"/>
    <row r="658" s="4" customFormat="1" ht="15.75" customHeight="1"/>
    <row r="659" s="4" customFormat="1" ht="15.75" customHeight="1"/>
    <row r="660" s="4" customFormat="1" ht="15.75" customHeight="1"/>
    <row r="661" s="4" customFormat="1" ht="15.75" customHeight="1"/>
    <row r="662" s="4" customFormat="1" ht="15.75" customHeight="1"/>
    <row r="663" s="4" customFormat="1" ht="15.75" customHeight="1"/>
    <row r="664" s="4" customFormat="1" ht="15.75" customHeight="1"/>
    <row r="665" s="4" customFormat="1" ht="15.75" customHeight="1"/>
    <row r="666" s="4" customFormat="1" ht="15.75" customHeight="1"/>
    <row r="667" s="4" customFormat="1" ht="15.75" customHeight="1"/>
    <row r="668" s="4" customFormat="1" ht="15.75" customHeight="1"/>
    <row r="669" s="4" customFormat="1" ht="15.75" customHeight="1"/>
    <row r="670" s="4" customFormat="1" ht="15.75" customHeight="1"/>
    <row r="671" s="4" customFormat="1" ht="15.75" customHeight="1"/>
    <row r="672" s="4" customFormat="1" ht="15.75" customHeight="1"/>
    <row r="673" s="4" customFormat="1" ht="15.75" customHeight="1"/>
    <row r="674" s="4" customFormat="1" ht="15.75" customHeight="1"/>
    <row r="675" s="4" customFormat="1" ht="15.75" customHeight="1"/>
    <row r="676" s="4" customFormat="1" ht="15.75" customHeight="1"/>
    <row r="677" s="4" customFormat="1" ht="15.75" customHeight="1"/>
    <row r="678" s="4" customFormat="1" ht="15.75" customHeight="1"/>
    <row r="679" s="4" customFormat="1" ht="15.75" customHeight="1"/>
    <row r="680" s="4" customFormat="1" ht="15.75" customHeight="1"/>
    <row r="681" s="4" customFormat="1" ht="15.75" customHeight="1"/>
    <row r="682" s="4" customFormat="1" ht="15.75" customHeight="1"/>
    <row r="683" s="4" customFormat="1" ht="15.75" customHeight="1"/>
    <row r="684" s="4" customFormat="1" ht="15.75" customHeight="1"/>
    <row r="685" s="4" customFormat="1" ht="15.75" customHeight="1"/>
    <row r="686" s="4" customFormat="1" ht="15.75" customHeight="1"/>
    <row r="687" s="4" customFormat="1" ht="15.75" customHeight="1"/>
    <row r="688" s="4" customFormat="1" ht="15.75" customHeight="1"/>
    <row r="689" s="4" customFormat="1" ht="15.75" customHeight="1"/>
    <row r="690" s="4" customFormat="1" ht="15.75" customHeight="1"/>
    <row r="691" s="4" customFormat="1" ht="15.75" customHeight="1"/>
    <row r="692" s="4" customFormat="1" ht="15.75" customHeight="1"/>
    <row r="693" s="4" customFormat="1" ht="15.75" customHeight="1"/>
    <row r="694" s="4" customFormat="1" ht="15.75" customHeight="1"/>
    <row r="695" s="4" customFormat="1" ht="15.75" customHeight="1"/>
    <row r="696" s="4" customFormat="1" ht="15.75" customHeight="1"/>
    <row r="697" s="4" customFormat="1" ht="15.75" customHeight="1"/>
    <row r="698" s="4" customFormat="1" ht="15.75" customHeight="1"/>
    <row r="699" s="4" customFormat="1" ht="15.75" customHeight="1"/>
    <row r="700" s="4" customFormat="1" ht="15.75" customHeight="1"/>
    <row r="701" s="4" customFormat="1" ht="15.75" customHeight="1"/>
    <row r="702" s="4" customFormat="1" ht="15.75" customHeight="1"/>
    <row r="703" s="4" customFormat="1" ht="15.75" customHeight="1"/>
    <row r="704" s="4" customFormat="1" ht="15.75" customHeight="1"/>
    <row r="705" s="4" customFormat="1" ht="15.75" customHeight="1"/>
    <row r="706" s="4" customFormat="1" ht="15.75" customHeight="1"/>
    <row r="707" s="4" customFormat="1" ht="15.75" customHeight="1"/>
    <row r="708" s="4" customFormat="1" ht="15.75" customHeight="1"/>
    <row r="709" s="4" customFormat="1" ht="15.75" customHeight="1"/>
    <row r="710" s="4" customFormat="1" ht="15.75" customHeight="1"/>
    <row r="711" s="4" customFormat="1" ht="15.75" customHeight="1"/>
    <row r="712" s="4" customFormat="1" ht="15.75" customHeight="1"/>
    <row r="713" s="4" customFormat="1" ht="15.75" customHeight="1"/>
    <row r="714" s="4" customFormat="1" ht="15.75" customHeight="1"/>
    <row r="715" s="4" customFormat="1" ht="15.75" customHeight="1"/>
    <row r="716" s="4" customFormat="1" ht="15.75" customHeight="1"/>
    <row r="717" s="4" customFormat="1" ht="15.75" customHeight="1"/>
    <row r="718" s="4" customFormat="1" ht="15.75" customHeight="1"/>
    <row r="719" s="4" customFormat="1" ht="15.75" customHeight="1"/>
    <row r="720" s="4" customFormat="1" ht="15.75" customHeight="1"/>
    <row r="721" s="4" customFormat="1" ht="15.75" customHeight="1"/>
    <row r="722" s="4" customFormat="1" ht="15.75" customHeight="1"/>
    <row r="723" s="4" customFormat="1" ht="15.75" customHeight="1"/>
    <row r="724" s="4" customFormat="1" ht="15.75" customHeight="1"/>
    <row r="725" s="4" customFormat="1" ht="15.75" customHeight="1"/>
    <row r="726" s="4" customFormat="1" ht="15.75" customHeight="1"/>
    <row r="727" s="4" customFormat="1" ht="15.75" customHeight="1"/>
    <row r="728" s="4" customFormat="1" ht="15.75" customHeight="1"/>
    <row r="729" s="4" customFormat="1" ht="15.75" customHeight="1"/>
    <row r="730" s="4" customFormat="1" ht="15.75" customHeight="1"/>
    <row r="731" s="4" customFormat="1" ht="15.75" customHeight="1"/>
    <row r="732" s="4" customFormat="1" ht="15.75" customHeight="1"/>
    <row r="733" s="4" customFormat="1" ht="15.75" customHeight="1"/>
    <row r="734" s="4" customFormat="1" ht="15.75" customHeight="1"/>
    <row r="735" s="4" customFormat="1" ht="15.75" customHeight="1"/>
    <row r="736" s="4" customFormat="1" ht="15.75" customHeight="1"/>
    <row r="737" s="4" customFormat="1" ht="15.75" customHeight="1"/>
    <row r="738" s="4" customFormat="1" ht="15.75" customHeight="1"/>
    <row r="739" s="4" customFormat="1" ht="15.75" customHeight="1"/>
    <row r="740" s="4" customFormat="1" ht="15.75" customHeight="1"/>
    <row r="741" s="4" customFormat="1" ht="15.75" customHeight="1"/>
    <row r="742" s="4" customFormat="1" ht="15.75" customHeight="1"/>
    <row r="743" s="4" customFormat="1" ht="15.75" customHeight="1"/>
    <row r="744" s="4" customFormat="1" ht="15.75" customHeight="1"/>
    <row r="745" s="4" customFormat="1" ht="15.75" customHeight="1"/>
    <row r="746" s="4" customFormat="1" ht="15.75" customHeight="1"/>
    <row r="747" s="4" customFormat="1" ht="15.75" customHeight="1"/>
    <row r="748" s="4" customFormat="1" ht="15.75" customHeight="1"/>
    <row r="749" s="4" customFormat="1" ht="15.75" customHeight="1"/>
    <row r="750" s="4" customFormat="1" ht="15.75" customHeight="1"/>
    <row r="751" s="4" customFormat="1" ht="15.75" customHeight="1"/>
    <row r="752" s="4" customFormat="1" ht="15.75" customHeight="1"/>
    <row r="753" s="4" customFormat="1" ht="15.75" customHeight="1"/>
    <row r="754" s="4" customFormat="1" ht="15.75" customHeight="1"/>
    <row r="755" s="4" customFormat="1" ht="15.75" customHeight="1"/>
    <row r="756" s="4" customFormat="1" ht="15.75" customHeight="1"/>
    <row r="757" s="4" customFormat="1" ht="15.75" customHeight="1"/>
    <row r="758" s="4" customFormat="1" ht="15.75" customHeight="1"/>
    <row r="759" s="4" customFormat="1" ht="15.75" customHeight="1"/>
    <row r="760" s="4" customFormat="1" ht="15.75" customHeight="1"/>
    <row r="761" s="4" customFormat="1" ht="15.75" customHeight="1"/>
    <row r="762" s="4" customFormat="1" ht="15.75" customHeight="1"/>
    <row r="763" s="4" customFormat="1" ht="15.75" customHeight="1"/>
    <row r="764" s="4" customFormat="1" ht="15.75" customHeight="1"/>
    <row r="765" s="4" customFormat="1" ht="15.75" customHeight="1"/>
    <row r="766" s="4" customFormat="1" ht="15.75" customHeight="1"/>
    <row r="767" s="4" customFormat="1" ht="15.75" customHeight="1"/>
    <row r="768" s="4" customFormat="1" ht="15.75" customHeight="1"/>
    <row r="769" s="4" customFormat="1" ht="15.75" customHeight="1"/>
    <row r="770" s="4" customFormat="1" ht="15.75" customHeight="1"/>
    <row r="771" s="4" customFormat="1" ht="15.75" customHeight="1"/>
    <row r="772" s="4" customFormat="1" ht="15.75" customHeight="1"/>
    <row r="773" s="4" customFormat="1" ht="15.75" customHeight="1"/>
    <row r="774" s="4" customFormat="1" ht="15.75" customHeight="1"/>
    <row r="775" s="4" customFormat="1" ht="15.75" customHeight="1"/>
    <row r="776" s="4" customFormat="1" ht="15.75" customHeight="1"/>
    <row r="777" s="4" customFormat="1" ht="15.75" customHeight="1"/>
    <row r="778" s="4" customFormat="1" ht="15.75" customHeight="1"/>
    <row r="779" s="4" customFormat="1" ht="15.75" customHeight="1"/>
    <row r="780" s="4" customFormat="1" ht="15.75" customHeight="1"/>
    <row r="781" s="4" customFormat="1" ht="15.75" customHeight="1"/>
    <row r="782" s="4" customFormat="1" ht="15.75" customHeight="1"/>
    <row r="783" s="4" customFormat="1" ht="15.75" customHeight="1"/>
    <row r="784" s="4" customFormat="1" ht="15.75" customHeight="1"/>
    <row r="785" s="4" customFormat="1" ht="15.75" customHeight="1"/>
    <row r="786" s="4" customFormat="1" ht="15.75" customHeight="1"/>
    <row r="787" s="4" customFormat="1" ht="15.75" customHeight="1"/>
    <row r="788" s="4" customFormat="1" ht="15.75" customHeight="1"/>
    <row r="789" s="4" customFormat="1" ht="15.75" customHeight="1"/>
    <row r="790" s="4" customFormat="1" ht="15.75" customHeight="1"/>
    <row r="791" s="4" customFormat="1" ht="15.75" customHeight="1"/>
    <row r="792" s="4" customFormat="1" ht="15.75" customHeight="1"/>
    <row r="793" s="4" customFormat="1" ht="15.75" customHeight="1"/>
    <row r="794" s="4" customFormat="1" ht="15.75" customHeight="1"/>
    <row r="795" s="4" customFormat="1" ht="15.75" customHeight="1"/>
    <row r="796" s="4" customFormat="1" ht="15.75" customHeight="1"/>
    <row r="797" s="4" customFormat="1" ht="15.75" customHeight="1"/>
    <row r="798" s="4" customFormat="1" ht="15.75" customHeight="1"/>
    <row r="799" s="4" customFormat="1" ht="15.75" customHeight="1"/>
    <row r="800" s="4" customFormat="1" ht="15.75" customHeight="1"/>
    <row r="801" s="4" customFormat="1" ht="15.75" customHeight="1"/>
    <row r="802" s="4" customFormat="1" ht="15.75" customHeight="1"/>
    <row r="803" s="4" customFormat="1" ht="15.75" customHeight="1"/>
    <row r="804" s="4" customFormat="1" ht="15.75" customHeight="1"/>
    <row r="805" s="4" customFormat="1" ht="15.75" customHeight="1"/>
    <row r="806" s="4" customFormat="1" ht="15.75" customHeight="1"/>
    <row r="807" s="4" customFormat="1" ht="15.75" customHeight="1"/>
    <row r="808" s="4" customFormat="1" ht="15.75" customHeight="1"/>
    <row r="809" s="4" customFormat="1" ht="15.75" customHeight="1"/>
    <row r="810" s="4" customFormat="1" ht="15.75" customHeight="1"/>
    <row r="811" s="4" customFormat="1" ht="15.75" customHeight="1"/>
    <row r="812" s="4" customFormat="1" ht="15.75" customHeight="1"/>
    <row r="813" s="4" customFormat="1" ht="15.75" customHeight="1"/>
    <row r="814" s="4" customFormat="1" ht="15.75" customHeight="1"/>
    <row r="815" s="4" customFormat="1" ht="15.75" customHeight="1"/>
    <row r="816" s="4" customFormat="1" ht="15.75" customHeight="1"/>
    <row r="817" s="4" customFormat="1" ht="15.75" customHeight="1"/>
    <row r="818" s="4" customFormat="1" ht="15.75" customHeight="1"/>
    <row r="819" s="4" customFormat="1" ht="15.75" customHeight="1"/>
    <row r="820" s="4" customFormat="1" ht="15.75" customHeight="1"/>
    <row r="821" s="4" customFormat="1" ht="15.75" customHeight="1"/>
    <row r="822" s="4" customFormat="1" ht="15.75" customHeight="1"/>
    <row r="823" s="4" customFormat="1" ht="15.75" customHeight="1"/>
    <row r="824" s="4" customFormat="1" ht="15.75" customHeight="1"/>
    <row r="825" s="4" customFormat="1" ht="15.75" customHeight="1"/>
    <row r="826" s="4" customFormat="1" ht="15.75" customHeight="1"/>
    <row r="827" s="4" customFormat="1" ht="15.75" customHeight="1"/>
    <row r="828" s="4" customFormat="1" ht="15.75" customHeight="1"/>
    <row r="829" s="4" customFormat="1" ht="15.75" customHeight="1"/>
    <row r="830" s="4" customFormat="1" ht="15.75" customHeight="1"/>
    <row r="831" s="4" customFormat="1" ht="15.75" customHeight="1"/>
    <row r="832" s="4" customFormat="1" ht="15.75" customHeight="1"/>
    <row r="833" s="4" customFormat="1" ht="15.75" customHeight="1"/>
    <row r="834" s="4" customFormat="1" ht="15.75" customHeight="1"/>
    <row r="835" s="4" customFormat="1" ht="15.75" customHeight="1"/>
    <row r="836" s="4" customFormat="1" ht="15.75" customHeight="1"/>
    <row r="837" s="4" customFormat="1" ht="15.75" customHeight="1"/>
    <row r="838" s="4" customFormat="1" ht="15.75" customHeight="1"/>
    <row r="839" s="4" customFormat="1" ht="15.75" customHeight="1"/>
    <row r="840" s="4" customFormat="1" ht="15.75" customHeight="1"/>
    <row r="841" s="4" customFormat="1" ht="15.75" customHeight="1"/>
    <row r="842" s="4" customFormat="1" ht="15.75" customHeight="1"/>
    <row r="843" s="4" customFormat="1" ht="15.75" customHeight="1"/>
    <row r="844" s="4" customFormat="1" ht="15.75" customHeight="1"/>
    <row r="845" s="4" customFormat="1" ht="15.75" customHeight="1"/>
    <row r="846" s="4" customFormat="1" ht="15.75" customHeight="1"/>
    <row r="847" s="4" customFormat="1" ht="15.75" customHeight="1"/>
    <row r="848" s="4" customFormat="1" ht="15.75" customHeight="1"/>
    <row r="849" s="4" customFormat="1" ht="15.75" customHeight="1"/>
    <row r="850" s="4" customFormat="1" ht="15.75" customHeight="1"/>
    <row r="851" s="4" customFormat="1" ht="15.75" customHeight="1"/>
    <row r="852" s="4" customFormat="1" ht="15.75" customHeight="1"/>
    <row r="853" s="4" customFormat="1" ht="15.75" customHeight="1"/>
    <row r="854" s="4" customFormat="1" ht="15.75" customHeight="1"/>
    <row r="855" s="4" customFormat="1" ht="15.75" customHeight="1"/>
    <row r="856" s="4" customFormat="1" ht="15.75" customHeight="1"/>
    <row r="857" s="4" customFormat="1" ht="15.75" customHeight="1"/>
    <row r="858" s="4" customFormat="1" ht="15.75" customHeight="1"/>
    <row r="859" s="4" customFormat="1" ht="15.75" customHeight="1"/>
    <row r="860" s="4" customFormat="1" ht="15.75" customHeight="1"/>
    <row r="861" s="4" customFormat="1" ht="15.75" customHeight="1"/>
    <row r="862" s="4" customFormat="1" ht="15.75" customHeight="1"/>
    <row r="863" s="4" customFormat="1" ht="15.75" customHeight="1"/>
    <row r="864" s="4" customFormat="1" ht="15.75" customHeight="1"/>
    <row r="865" s="4" customFormat="1" ht="15.75" customHeight="1"/>
    <row r="866" s="4" customFormat="1" ht="15.75" customHeight="1"/>
    <row r="867" s="4" customFormat="1" ht="15.75" customHeight="1"/>
    <row r="868" s="4" customFormat="1" ht="15.75" customHeight="1"/>
    <row r="869" s="4" customFormat="1" ht="15.75" customHeight="1"/>
    <row r="870" s="4" customFormat="1" ht="15.75" customHeight="1"/>
    <row r="871" s="4" customFormat="1" ht="15.75" customHeight="1"/>
    <row r="872" s="4" customFormat="1" ht="15.75" customHeight="1"/>
    <row r="873" s="4" customFormat="1" ht="15.75" customHeight="1"/>
    <row r="874" s="4" customFormat="1" ht="15.75" customHeight="1"/>
    <row r="875" s="4" customFormat="1" ht="15.75" customHeight="1"/>
    <row r="876" s="4" customFormat="1" ht="15.75" customHeight="1"/>
    <row r="877" s="4" customFormat="1" ht="15.75" customHeight="1"/>
    <row r="878" s="4" customFormat="1" ht="15.75" customHeight="1"/>
    <row r="879" s="4" customFormat="1" ht="15.75" customHeight="1"/>
    <row r="880" s="4" customFormat="1" ht="15.75" customHeight="1"/>
    <row r="881" s="4" customFormat="1" ht="15.75" customHeight="1"/>
    <row r="882" s="4" customFormat="1" ht="15.75" customHeight="1"/>
    <row r="883" s="4" customFormat="1" ht="15.75" customHeight="1"/>
    <row r="884" s="4" customFormat="1" ht="15.75" customHeight="1"/>
    <row r="885" s="4" customFormat="1" ht="15.75" customHeight="1"/>
    <row r="886" s="4" customFormat="1" ht="15.75" customHeight="1"/>
    <row r="887" s="4" customFormat="1" ht="15.75" customHeight="1"/>
    <row r="888" s="4" customFormat="1" ht="15.75" customHeight="1"/>
    <row r="889" s="4" customFormat="1" ht="15.75" customHeight="1"/>
    <row r="890" s="4" customFormat="1" ht="15.75" customHeight="1"/>
    <row r="891" s="4" customFormat="1" ht="15.75" customHeight="1"/>
    <row r="892" s="4" customFormat="1" ht="15.75" customHeight="1"/>
    <row r="893" s="4" customFormat="1" ht="15.75" customHeight="1"/>
    <row r="894" s="4" customFormat="1" ht="15.75" customHeight="1"/>
    <row r="895" s="4" customFormat="1" ht="15.75" customHeight="1"/>
    <row r="896" s="4" customFormat="1" ht="15.75" customHeight="1"/>
    <row r="897" s="4" customFormat="1" ht="15.75" customHeight="1"/>
    <row r="898" s="4" customFormat="1" ht="15.75" customHeight="1"/>
    <row r="899" s="4" customFormat="1" ht="15.75" customHeight="1"/>
    <row r="900" s="4" customFormat="1" ht="15.75" customHeight="1"/>
    <row r="901" s="4" customFormat="1" ht="15.75" customHeight="1"/>
    <row r="902" s="4" customFormat="1" ht="15.75" customHeight="1"/>
    <row r="903" s="4" customFormat="1" ht="15.75" customHeight="1"/>
    <row r="904" s="4" customFormat="1" ht="15.75" customHeight="1"/>
    <row r="905" s="4" customFormat="1" ht="15.75" customHeight="1"/>
    <row r="906" s="4" customFormat="1" ht="15.75" customHeight="1"/>
    <row r="907" s="4" customFormat="1" ht="15.75" customHeight="1"/>
    <row r="908" s="4" customFormat="1" ht="15.75" customHeight="1"/>
    <row r="909" s="4" customFormat="1" ht="15.75" customHeight="1"/>
    <row r="910" s="4" customFormat="1" ht="15.75" customHeight="1"/>
    <row r="911" s="4" customFormat="1" ht="15.75" customHeight="1"/>
    <row r="912" s="4" customFormat="1" ht="15.75" customHeight="1"/>
    <row r="913" s="4" customFormat="1" ht="15.75" customHeight="1"/>
    <row r="914" s="4" customFormat="1" ht="15.75" customHeight="1"/>
    <row r="915" s="4" customFormat="1" ht="15.75" customHeight="1"/>
    <row r="916" s="4" customFormat="1" ht="15.75" customHeight="1"/>
    <row r="917" s="4" customFormat="1" ht="15.75" customHeight="1"/>
    <row r="918" s="4" customFormat="1" ht="15.75" customHeight="1"/>
    <row r="919" s="4" customFormat="1" ht="15.75" customHeight="1"/>
    <row r="920" s="4" customFormat="1" ht="15.75" customHeight="1"/>
    <row r="921" s="4" customFormat="1" ht="15.75" customHeight="1"/>
    <row r="922" s="4" customFormat="1" ht="15.75" customHeight="1"/>
    <row r="923" s="4" customFormat="1" ht="15.75" customHeight="1"/>
    <row r="924" s="4" customFormat="1" ht="15.75" customHeight="1"/>
    <row r="925" s="4" customFormat="1" ht="15.75" customHeight="1"/>
    <row r="926" s="4" customFormat="1" ht="15.75" customHeight="1"/>
    <row r="927" s="4" customFormat="1" ht="15.75" customHeight="1"/>
    <row r="928" s="4" customFormat="1" ht="15.75" customHeight="1"/>
    <row r="929" s="4" customFormat="1" ht="15.75" customHeight="1"/>
    <row r="930" s="4" customFormat="1" ht="15.75" customHeight="1"/>
    <row r="931" s="4" customFormat="1" ht="15.75" customHeight="1"/>
    <row r="932" s="4" customFormat="1" ht="15.75" customHeight="1"/>
    <row r="933" s="4" customFormat="1" ht="15.75" customHeight="1"/>
    <row r="934" s="4" customFormat="1" ht="15.75" customHeight="1"/>
    <row r="935" s="4" customFormat="1" ht="15.75" customHeight="1"/>
    <row r="936" s="4" customFormat="1" ht="15.75" customHeight="1"/>
    <row r="937" s="4" customFormat="1" ht="15.75" customHeight="1"/>
    <row r="938" s="4" customFormat="1" ht="15.75" customHeight="1"/>
    <row r="939" s="4" customFormat="1" ht="15.75" customHeight="1"/>
    <row r="940" s="4" customFormat="1" ht="15.75" customHeight="1"/>
    <row r="941" s="4" customFormat="1" ht="15.75" customHeight="1"/>
    <row r="942" s="4" customFormat="1" ht="15.75" customHeight="1"/>
    <row r="943" s="4" customFormat="1" ht="15.75" customHeight="1"/>
    <row r="944" s="4" customFormat="1" ht="15.75" customHeight="1"/>
    <row r="945" s="4" customFormat="1" ht="15.75" customHeight="1"/>
    <row r="946" s="4" customFormat="1" ht="15.75" customHeight="1"/>
    <row r="947" s="4" customFormat="1" ht="15.75" customHeight="1"/>
    <row r="948" s="4" customFormat="1" ht="15.75" customHeight="1"/>
    <row r="949" s="4" customFormat="1" ht="15.75" customHeight="1"/>
    <row r="950" s="4" customFormat="1" ht="15.75" customHeight="1"/>
    <row r="951" s="4" customFormat="1" ht="15.75" customHeight="1"/>
    <row r="952" s="4" customFormat="1" ht="15.75" customHeight="1"/>
    <row r="953" s="4" customFormat="1" ht="15.75" customHeight="1"/>
    <row r="954" s="4" customFormat="1" ht="15.75" customHeight="1"/>
    <row r="955" s="4" customFormat="1" ht="15.75" customHeight="1"/>
    <row r="956" s="4" customFormat="1" ht="15.75" customHeight="1"/>
    <row r="957" s="4" customFormat="1" ht="15.75" customHeight="1"/>
    <row r="958" s="4" customFormat="1" ht="15.75" customHeight="1"/>
    <row r="959" s="4" customFormat="1" ht="15.75" customHeight="1"/>
    <row r="960" s="4" customFormat="1" ht="15.75" customHeight="1"/>
    <row r="961" s="4" customFormat="1" ht="15.75" customHeight="1"/>
    <row r="962" s="4" customFormat="1" ht="15.75" customHeight="1"/>
    <row r="963" s="4" customFormat="1" ht="15.75" customHeight="1"/>
    <row r="964" s="4" customFormat="1" ht="15.75" customHeight="1"/>
    <row r="965" s="4" customFormat="1" ht="15.75" customHeight="1"/>
    <row r="966" s="4" customFormat="1" ht="15.75" customHeight="1"/>
    <row r="967" s="4" customFormat="1" ht="15.75" customHeight="1"/>
    <row r="968" s="4" customFormat="1" ht="15.75" customHeight="1"/>
    <row r="969" s="4" customFormat="1" ht="15.75" customHeight="1"/>
    <row r="970" s="4" customFormat="1" ht="15.75" customHeight="1"/>
    <row r="971" s="4" customFormat="1" ht="15.75" customHeight="1"/>
    <row r="972" s="4" customFormat="1" ht="15.75" customHeight="1"/>
    <row r="973" s="4" customFormat="1" ht="15.75" customHeight="1"/>
    <row r="974" s="4" customFormat="1" ht="15.75" customHeight="1"/>
    <row r="975" s="4" customFormat="1" ht="15.75" customHeight="1"/>
    <row r="976" s="4" customFormat="1" ht="15.75" customHeight="1"/>
    <row r="977" s="4" customFormat="1" ht="15.75" customHeight="1"/>
    <row r="978" s="4" customFormat="1" ht="15.75" customHeight="1"/>
    <row r="979" s="4" customFormat="1" ht="15.75" customHeight="1"/>
    <row r="980" s="4" customFormat="1" ht="15.75" customHeight="1"/>
    <row r="981" s="4" customFormat="1" ht="15.75" customHeight="1"/>
    <row r="982" s="4" customFormat="1" ht="15.75" customHeight="1"/>
    <row r="983" s="4" customFormat="1" ht="15.75" customHeight="1"/>
    <row r="984" s="4" customFormat="1" ht="15.75" customHeight="1"/>
    <row r="985" s="4" customFormat="1" ht="15.75" customHeight="1"/>
    <row r="986" s="4" customFormat="1" ht="15.75" customHeight="1"/>
    <row r="987" s="4" customFormat="1" ht="15.75" customHeight="1"/>
    <row r="988" s="4" customFormat="1" ht="15.75" customHeight="1"/>
    <row r="989" s="4" customFormat="1" ht="15.75" customHeight="1"/>
    <row r="990" s="4" customFormat="1" ht="15.75" customHeight="1"/>
    <row r="991" s="4" customFormat="1" ht="15.75" customHeight="1"/>
    <row r="992" s="4" customFormat="1" ht="15.75" customHeight="1"/>
    <row r="993" s="4" customFormat="1" ht="15.75" customHeight="1"/>
    <row r="994" s="4" customFormat="1" ht="15.75" customHeight="1"/>
    <row r="995" s="4" customFormat="1" ht="15.75" customHeight="1"/>
    <row r="996" s="4" customFormat="1" ht="15.75" customHeight="1"/>
    <row r="997" s="4" customFormat="1" ht="15.75" customHeight="1"/>
    <row r="998" s="4" customFormat="1" ht="15.75" customHeight="1"/>
    <row r="999" s="4" customFormat="1" ht="15.75" customHeight="1"/>
    <row r="1000" s="4" customFormat="1" ht="15.75" customHeight="1"/>
  </sheetData>
  <mergeCells count="10">
    <mergeCell ref="AL3:AS3"/>
    <mergeCell ref="D40:K44"/>
    <mergeCell ref="L40:S44"/>
    <mergeCell ref="Y40:AF44"/>
    <mergeCell ref="B3:B4"/>
    <mergeCell ref="D3:K3"/>
    <mergeCell ref="L3:S3"/>
    <mergeCell ref="T3:X3"/>
    <mergeCell ref="Y3:AF3"/>
    <mergeCell ref="AG3:AK3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06114-D9B9-E947-B457-2E4798BA9709}">
  <dimension ref="A1:AV1000"/>
  <sheetViews>
    <sheetView zoomScale="94" workbookViewId="0">
      <selection activeCell="A15" sqref="A1:XFD1048576"/>
    </sheetView>
  </sheetViews>
  <sheetFormatPr baseColWidth="10" defaultColWidth="10.28515625" defaultRowHeight="15" customHeight="1"/>
  <cols>
    <col min="1" max="2" width="9.28515625" style="4" customWidth="1"/>
    <col min="3" max="3" width="13.28515625" style="4" customWidth="1"/>
    <col min="4" max="4" width="3.42578125" style="4" customWidth="1"/>
    <col min="5" max="6" width="6.28515625" style="4" customWidth="1"/>
    <col min="7" max="7" width="9.7109375" style="4" customWidth="1"/>
    <col min="8" max="9" width="6.28515625" style="4" customWidth="1"/>
    <col min="10" max="10" width="8.28515625" style="4" customWidth="1"/>
    <col min="11" max="11" width="6.28515625" style="4" customWidth="1"/>
    <col min="12" max="12" width="3.28515625" style="4" customWidth="1"/>
    <col min="13" max="14" width="6.28515625" style="4" customWidth="1"/>
    <col min="15" max="15" width="9.7109375" style="4" customWidth="1"/>
    <col min="16" max="17" width="6.28515625" style="4" customWidth="1"/>
    <col min="18" max="18" width="10.28515625" style="4"/>
    <col min="19" max="22" width="6.28515625" style="4" customWidth="1"/>
    <col min="23" max="23" width="7" style="4" customWidth="1"/>
    <col min="24" max="24" width="6.28515625" style="4" customWidth="1"/>
    <col min="25" max="25" width="2.5703125" style="4" customWidth="1"/>
    <col min="26" max="30" width="6.28515625" style="4" customWidth="1"/>
    <col min="31" max="31" width="8.28515625" style="4" customWidth="1"/>
    <col min="32" max="35" width="6.28515625" style="4" customWidth="1"/>
    <col min="36" max="36" width="11.28515625" style="4" customWidth="1"/>
    <col min="37" max="47" width="9.28515625" style="4" customWidth="1"/>
    <col min="48" max="48" width="10.28515625" style="4" customWidth="1"/>
    <col min="49" max="16384" width="10.28515625" style="4"/>
  </cols>
  <sheetData>
    <row r="1" spans="1:48" ht="13.5" customHeight="1">
      <c r="A1" s="1" t="s">
        <v>0</v>
      </c>
      <c r="B1" s="12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3"/>
      <c r="AT1" s="2"/>
      <c r="AU1" s="3"/>
    </row>
    <row r="2" spans="1:48" ht="13.5" customHeight="1">
      <c r="A2" s="5">
        <v>2023</v>
      </c>
      <c r="B2" s="123">
        <v>11</v>
      </c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2"/>
      <c r="S2" s="2"/>
      <c r="T2" s="2"/>
      <c r="U2" s="2"/>
      <c r="V2" s="2"/>
      <c r="W2" s="2"/>
      <c r="X2" s="2" t="s">
        <v>1</v>
      </c>
      <c r="Y2" s="7"/>
      <c r="Z2" s="7"/>
      <c r="AA2" s="7"/>
      <c r="AB2" s="7"/>
      <c r="AC2" s="7"/>
      <c r="AD2" s="7"/>
      <c r="AE2" s="2"/>
      <c r="AF2" s="2"/>
      <c r="AG2" s="2"/>
      <c r="AH2" s="2"/>
      <c r="AI2" s="2"/>
      <c r="AJ2" s="2"/>
      <c r="AK2" s="2" t="s">
        <v>1</v>
      </c>
      <c r="AL2" s="2"/>
      <c r="AM2" s="2"/>
      <c r="AN2" s="2"/>
      <c r="AO2" s="2"/>
      <c r="AP2" s="2"/>
      <c r="AQ2" s="2"/>
      <c r="AR2" s="2"/>
      <c r="AS2" s="3"/>
      <c r="AT2" s="2"/>
      <c r="AU2" s="3"/>
    </row>
    <row r="3" spans="1:48" ht="33" customHeight="1">
      <c r="A3" s="8"/>
      <c r="B3" s="124" t="s">
        <v>2</v>
      </c>
      <c r="C3" s="9"/>
      <c r="D3" s="114" t="s">
        <v>3</v>
      </c>
      <c r="E3" s="104"/>
      <c r="F3" s="104"/>
      <c r="G3" s="104"/>
      <c r="H3" s="104"/>
      <c r="I3" s="104"/>
      <c r="J3" s="104"/>
      <c r="K3" s="104"/>
      <c r="L3" s="115" t="s">
        <v>4</v>
      </c>
      <c r="M3" s="104"/>
      <c r="N3" s="104"/>
      <c r="O3" s="104"/>
      <c r="P3" s="104"/>
      <c r="Q3" s="104"/>
      <c r="R3" s="104"/>
      <c r="S3" s="104"/>
      <c r="T3" s="116" t="s">
        <v>5</v>
      </c>
      <c r="U3" s="101"/>
      <c r="V3" s="101"/>
      <c r="W3" s="101"/>
      <c r="X3" s="102"/>
      <c r="Y3" s="117" t="s">
        <v>6</v>
      </c>
      <c r="Z3" s="104"/>
      <c r="AA3" s="104"/>
      <c r="AB3" s="104"/>
      <c r="AC3" s="104"/>
      <c r="AD3" s="104"/>
      <c r="AE3" s="104"/>
      <c r="AF3" s="104"/>
      <c r="AG3" s="116" t="s">
        <v>7</v>
      </c>
      <c r="AH3" s="101"/>
      <c r="AI3" s="101"/>
      <c r="AJ3" s="101"/>
      <c r="AK3" s="102"/>
      <c r="AL3" s="100" t="s">
        <v>8</v>
      </c>
      <c r="AM3" s="101"/>
      <c r="AN3" s="101"/>
      <c r="AO3" s="101"/>
      <c r="AP3" s="101"/>
      <c r="AQ3" s="101"/>
      <c r="AR3" s="101"/>
      <c r="AS3" s="102"/>
      <c r="AT3" s="2"/>
      <c r="AU3" s="3"/>
    </row>
    <row r="4" spans="1:48" ht="53.25" customHeight="1" thickBot="1">
      <c r="A4" s="8"/>
      <c r="B4" s="113"/>
      <c r="C4" s="10" t="s">
        <v>9</v>
      </c>
      <c r="D4" s="11" t="s">
        <v>10</v>
      </c>
      <c r="E4" s="12" t="s">
        <v>11</v>
      </c>
      <c r="F4" s="11" t="s">
        <v>12</v>
      </c>
      <c r="G4" s="13" t="s">
        <v>13</v>
      </c>
      <c r="H4" s="11" t="s">
        <v>14</v>
      </c>
      <c r="I4" s="14" t="s">
        <v>15</v>
      </c>
      <c r="J4" s="12" t="s">
        <v>16</v>
      </c>
      <c r="K4" s="11" t="s">
        <v>17</v>
      </c>
      <c r="L4" s="11" t="s">
        <v>18</v>
      </c>
      <c r="M4" s="15" t="s">
        <v>11</v>
      </c>
      <c r="N4" s="11" t="s">
        <v>12</v>
      </c>
      <c r="O4" s="13" t="s">
        <v>13</v>
      </c>
      <c r="P4" s="11" t="s">
        <v>14</v>
      </c>
      <c r="Q4" s="14" t="s">
        <v>15</v>
      </c>
      <c r="R4" s="12" t="s">
        <v>16</v>
      </c>
      <c r="S4" s="16" t="s">
        <v>17</v>
      </c>
      <c r="T4" s="17" t="s">
        <v>19</v>
      </c>
      <c r="U4" s="18" t="s">
        <v>20</v>
      </c>
      <c r="V4" s="18" t="s">
        <v>21</v>
      </c>
      <c r="W4" s="19" t="s">
        <v>22</v>
      </c>
      <c r="X4" s="18"/>
      <c r="Y4" s="20" t="s">
        <v>23</v>
      </c>
      <c r="Z4" s="21" t="s">
        <v>11</v>
      </c>
      <c r="AA4" s="11" t="s">
        <v>20</v>
      </c>
      <c r="AB4" s="13" t="s">
        <v>24</v>
      </c>
      <c r="AC4" s="11" t="s">
        <v>21</v>
      </c>
      <c r="AD4" s="14" t="s">
        <v>25</v>
      </c>
      <c r="AE4" s="15" t="s">
        <v>26</v>
      </c>
      <c r="AF4" s="22" t="s">
        <v>17</v>
      </c>
      <c r="AG4" s="17" t="s">
        <v>19</v>
      </c>
      <c r="AH4" s="18" t="s">
        <v>20</v>
      </c>
      <c r="AI4" s="18" t="s">
        <v>21</v>
      </c>
      <c r="AJ4" s="19" t="s">
        <v>22</v>
      </c>
      <c r="AK4" s="18" t="s">
        <v>27</v>
      </c>
      <c r="AL4" s="23" t="s">
        <v>28</v>
      </c>
      <c r="AM4" s="23" t="s">
        <v>29</v>
      </c>
      <c r="AN4" s="23" t="s">
        <v>30</v>
      </c>
      <c r="AO4" s="23" t="s">
        <v>31</v>
      </c>
      <c r="AP4" s="23" t="s">
        <v>32</v>
      </c>
      <c r="AQ4" s="23" t="s">
        <v>33</v>
      </c>
      <c r="AR4" s="23" t="s">
        <v>34</v>
      </c>
      <c r="AS4" s="24" t="s">
        <v>35</v>
      </c>
      <c r="AT4" s="2"/>
      <c r="AU4" s="3"/>
    </row>
    <row r="5" spans="1:48" ht="13.5" customHeight="1" thickTop="1">
      <c r="A5" s="91"/>
      <c r="B5" s="132">
        <f>DATE($A$2,$B$2,1)</f>
        <v>45231</v>
      </c>
      <c r="C5" s="133" t="s">
        <v>71</v>
      </c>
      <c r="D5" s="134"/>
      <c r="E5" s="135"/>
      <c r="F5" s="136"/>
      <c r="G5" s="137" t="e">
        <f t="shared" ref="G5:G35" si="0">ROUNDDOWN(F5/1.1,0)/E5</f>
        <v>#DIV/0!</v>
      </c>
      <c r="H5" s="136"/>
      <c r="I5" s="138" t="e">
        <f t="shared" ref="I5:I35" si="1">ROUNDDOWN(H5/1.1,0)/E5</f>
        <v>#DIV/0!</v>
      </c>
      <c r="J5" s="139">
        <f t="shared" ref="J5:J35" si="2">F5+H5</f>
        <v>0</v>
      </c>
      <c r="K5" s="140" t="str">
        <f t="shared" ref="K5:K35" si="3">IF(E5="","",J5/E5)</f>
        <v/>
      </c>
      <c r="L5" s="141"/>
      <c r="M5" s="142">
        <f t="shared" ref="M5:N35" si="4">AL5-E5</f>
        <v>24</v>
      </c>
      <c r="N5" s="143">
        <f t="shared" si="4"/>
        <v>222420</v>
      </c>
      <c r="O5" s="137">
        <f t="shared" ref="O5:O35" si="5">ROUNDDOWN(N5/1.1,0)/M5</f>
        <v>8425</v>
      </c>
      <c r="P5" s="143">
        <f t="shared" ref="P5:P35" si="6">AN5-H5</f>
        <v>27360</v>
      </c>
      <c r="Q5" s="138">
        <f t="shared" ref="Q5:Q35" si="7">ROUNDDOWN(P5/1.1,0)/M5</f>
        <v>1036.3333333333333</v>
      </c>
      <c r="R5" s="144">
        <f t="shared" ref="R5:R35" si="8">N5+P5</f>
        <v>249780</v>
      </c>
      <c r="S5" s="140">
        <f t="shared" ref="S5:S35" si="9">IF(M5="","",R5/M5)</f>
        <v>10407.5</v>
      </c>
      <c r="T5" s="145">
        <f t="shared" ref="T5:U35" si="10">E5+M5</f>
        <v>24</v>
      </c>
      <c r="U5" s="143">
        <f t="shared" si="10"/>
        <v>222420</v>
      </c>
      <c r="V5" s="143">
        <f t="shared" ref="V5:V35" si="11">H5+P5</f>
        <v>27360</v>
      </c>
      <c r="W5" s="146">
        <f t="shared" ref="W5:W35" si="12">J5+R5</f>
        <v>249780</v>
      </c>
      <c r="X5" s="143">
        <f t="shared" ref="X5:X34" si="13">IF(T5="","",W5/T5)</f>
        <v>10407.5</v>
      </c>
      <c r="Y5" s="147"/>
      <c r="Z5" s="148">
        <v>17</v>
      </c>
      <c r="AA5" s="136">
        <v>11450</v>
      </c>
      <c r="AB5" s="137">
        <f t="shared" ref="AB5:AB35" si="14">AA5/Z5</f>
        <v>673.52941176470586</v>
      </c>
      <c r="AC5" s="136">
        <v>3800</v>
      </c>
      <c r="AD5" s="138">
        <f t="shared" ref="AD5:AD35" si="15">AC5/Z5</f>
        <v>223.52941176470588</v>
      </c>
      <c r="AE5" s="149">
        <f t="shared" ref="AE5:AE35" si="16">AA5+AC5</f>
        <v>15250</v>
      </c>
      <c r="AF5" s="140">
        <f t="shared" ref="AF5:AF35" si="17">IF(Z5="","",AE5/Z5)</f>
        <v>897.05882352941171</v>
      </c>
      <c r="AG5" s="145">
        <f t="shared" ref="AG5:AG35" si="18">SUM(E5,M5)</f>
        <v>24</v>
      </c>
      <c r="AH5" s="143">
        <f t="shared" ref="AH5:AH35" si="19">U5+AA5</f>
        <v>233870</v>
      </c>
      <c r="AI5" s="143">
        <f t="shared" ref="AI5:AI35" si="20">V5+AC5</f>
        <v>31160</v>
      </c>
      <c r="AJ5" s="150">
        <f t="shared" ref="AJ5:AJ35" si="21">W5+AE5</f>
        <v>265030</v>
      </c>
      <c r="AK5" s="143">
        <f t="shared" ref="AK5:AK35" si="22">AO5+AP5+AQ5</f>
        <v>16500</v>
      </c>
      <c r="AL5" s="151">
        <v>24</v>
      </c>
      <c r="AM5" s="151">
        <v>222420</v>
      </c>
      <c r="AN5" s="151">
        <v>27360</v>
      </c>
      <c r="AO5" s="152">
        <v>16500</v>
      </c>
      <c r="AP5" s="152">
        <v>0</v>
      </c>
      <c r="AQ5" s="152">
        <v>0</v>
      </c>
      <c r="AR5" s="152">
        <v>0</v>
      </c>
      <c r="AS5" s="153">
        <f t="shared" ref="AS5:AS34" si="23">SUM(AM5:AQ5)</f>
        <v>266280</v>
      </c>
      <c r="AT5" s="91">
        <v>1</v>
      </c>
      <c r="AU5" s="92">
        <f t="shared" ref="AU5:AU35" si="24">AR5+AS5</f>
        <v>266280</v>
      </c>
      <c r="AV5" s="154"/>
    </row>
    <row r="6" spans="1:48" ht="13.5" customHeight="1">
      <c r="A6" s="91"/>
      <c r="B6" s="158">
        <f t="shared" ref="B6:B34" si="25">B5+1</f>
        <v>45232</v>
      </c>
      <c r="C6" s="133" t="s">
        <v>52</v>
      </c>
      <c r="D6" s="134"/>
      <c r="E6" s="135"/>
      <c r="F6" s="136"/>
      <c r="G6" s="137" t="e">
        <f t="shared" si="0"/>
        <v>#DIV/0!</v>
      </c>
      <c r="H6" s="136"/>
      <c r="I6" s="138" t="e">
        <f t="shared" si="1"/>
        <v>#DIV/0!</v>
      </c>
      <c r="J6" s="139">
        <f t="shared" si="2"/>
        <v>0</v>
      </c>
      <c r="K6" s="140" t="str">
        <f t="shared" si="3"/>
        <v/>
      </c>
      <c r="L6" s="141"/>
      <c r="M6" s="142">
        <f t="shared" si="4"/>
        <v>37</v>
      </c>
      <c r="N6" s="143">
        <f t="shared" si="4"/>
        <v>341620</v>
      </c>
      <c r="O6" s="137">
        <f t="shared" si="5"/>
        <v>8393.594594594595</v>
      </c>
      <c r="P6" s="143">
        <f t="shared" si="6"/>
        <v>64270</v>
      </c>
      <c r="Q6" s="138">
        <f t="shared" si="7"/>
        <v>1579.1081081081081</v>
      </c>
      <c r="R6" s="144">
        <f t="shared" si="8"/>
        <v>405890</v>
      </c>
      <c r="S6" s="140">
        <f t="shared" si="9"/>
        <v>10970</v>
      </c>
      <c r="T6" s="145">
        <f t="shared" si="10"/>
        <v>37</v>
      </c>
      <c r="U6" s="143">
        <f t="shared" si="10"/>
        <v>341620</v>
      </c>
      <c r="V6" s="143">
        <f t="shared" si="11"/>
        <v>64270</v>
      </c>
      <c r="W6" s="146">
        <f t="shared" si="12"/>
        <v>405890</v>
      </c>
      <c r="X6" s="143">
        <f t="shared" si="13"/>
        <v>10970</v>
      </c>
      <c r="Y6" s="147"/>
      <c r="Z6" s="148">
        <v>72</v>
      </c>
      <c r="AA6" s="136">
        <v>53050</v>
      </c>
      <c r="AB6" s="137">
        <f t="shared" si="14"/>
        <v>736.80555555555554</v>
      </c>
      <c r="AC6" s="136">
        <v>15700</v>
      </c>
      <c r="AD6" s="138">
        <f t="shared" si="15"/>
        <v>218.05555555555554</v>
      </c>
      <c r="AE6" s="149">
        <f t="shared" si="16"/>
        <v>68750</v>
      </c>
      <c r="AF6" s="140">
        <f t="shared" si="17"/>
        <v>954.86111111111109</v>
      </c>
      <c r="AG6" s="156">
        <f t="shared" si="18"/>
        <v>37</v>
      </c>
      <c r="AH6" s="143">
        <f t="shared" si="19"/>
        <v>394670</v>
      </c>
      <c r="AI6" s="143">
        <f t="shared" si="20"/>
        <v>79970</v>
      </c>
      <c r="AJ6" s="150">
        <f t="shared" si="21"/>
        <v>474640</v>
      </c>
      <c r="AK6" s="143">
        <f t="shared" si="22"/>
        <v>28710</v>
      </c>
      <c r="AL6" s="151">
        <v>37</v>
      </c>
      <c r="AM6" s="151">
        <v>341620</v>
      </c>
      <c r="AN6" s="151">
        <v>64270</v>
      </c>
      <c r="AO6" s="152">
        <v>27500</v>
      </c>
      <c r="AP6" s="152">
        <v>1210</v>
      </c>
      <c r="AQ6" s="152">
        <v>0</v>
      </c>
      <c r="AR6" s="152">
        <v>0</v>
      </c>
      <c r="AS6" s="153">
        <f t="shared" si="23"/>
        <v>434600</v>
      </c>
      <c r="AT6" s="91">
        <v>2</v>
      </c>
      <c r="AU6" s="92">
        <f t="shared" si="24"/>
        <v>434600</v>
      </c>
      <c r="AV6" s="154"/>
    </row>
    <row r="7" spans="1:48" ht="13.5" customHeight="1">
      <c r="A7" s="91"/>
      <c r="B7" s="157">
        <f t="shared" si="25"/>
        <v>45233</v>
      </c>
      <c r="C7" s="133" t="s">
        <v>72</v>
      </c>
      <c r="D7" s="134"/>
      <c r="E7" s="135">
        <v>22</v>
      </c>
      <c r="F7" s="136">
        <v>63360</v>
      </c>
      <c r="G7" s="137">
        <f t="shared" si="0"/>
        <v>2618.181818181818</v>
      </c>
      <c r="H7" s="136">
        <v>11350</v>
      </c>
      <c r="I7" s="138">
        <f t="shared" si="1"/>
        <v>469</v>
      </c>
      <c r="J7" s="139">
        <f t="shared" si="2"/>
        <v>74710</v>
      </c>
      <c r="K7" s="140">
        <f t="shared" si="3"/>
        <v>3395.909090909091</v>
      </c>
      <c r="L7" s="141"/>
      <c r="M7" s="142">
        <f t="shared" si="4"/>
        <v>35</v>
      </c>
      <c r="N7" s="143">
        <f t="shared" si="4"/>
        <v>339790</v>
      </c>
      <c r="O7" s="137">
        <f t="shared" si="5"/>
        <v>8825.7142857142862</v>
      </c>
      <c r="P7" s="143">
        <f t="shared" si="6"/>
        <v>49880</v>
      </c>
      <c r="Q7" s="138">
        <f t="shared" si="7"/>
        <v>1295.5714285714287</v>
      </c>
      <c r="R7" s="144">
        <f t="shared" si="8"/>
        <v>389670</v>
      </c>
      <c r="S7" s="140">
        <f t="shared" si="9"/>
        <v>11133.428571428571</v>
      </c>
      <c r="T7" s="145">
        <f t="shared" si="10"/>
        <v>57</v>
      </c>
      <c r="U7" s="143">
        <f t="shared" si="10"/>
        <v>403150</v>
      </c>
      <c r="V7" s="143">
        <f t="shared" si="11"/>
        <v>61230</v>
      </c>
      <c r="W7" s="146">
        <f t="shared" si="12"/>
        <v>464380</v>
      </c>
      <c r="X7" s="143">
        <f t="shared" si="13"/>
        <v>8147.0175438596489</v>
      </c>
      <c r="Y7" s="147"/>
      <c r="Z7" s="148">
        <v>52</v>
      </c>
      <c r="AA7" s="136">
        <v>35050</v>
      </c>
      <c r="AB7" s="137">
        <f t="shared" si="14"/>
        <v>674.03846153846155</v>
      </c>
      <c r="AC7" s="136">
        <v>10800</v>
      </c>
      <c r="AD7" s="138">
        <f t="shared" si="15"/>
        <v>207.69230769230768</v>
      </c>
      <c r="AE7" s="149">
        <f t="shared" si="16"/>
        <v>45850</v>
      </c>
      <c r="AF7" s="140">
        <f t="shared" si="17"/>
        <v>881.73076923076928</v>
      </c>
      <c r="AG7" s="156">
        <f t="shared" si="18"/>
        <v>57</v>
      </c>
      <c r="AH7" s="143">
        <f t="shared" si="19"/>
        <v>438200</v>
      </c>
      <c r="AI7" s="143">
        <f t="shared" si="20"/>
        <v>72030</v>
      </c>
      <c r="AJ7" s="150">
        <f t="shared" si="21"/>
        <v>510230</v>
      </c>
      <c r="AK7" s="143">
        <f t="shared" si="22"/>
        <v>26400</v>
      </c>
      <c r="AL7" s="151">
        <v>57</v>
      </c>
      <c r="AM7" s="151">
        <v>403150</v>
      </c>
      <c r="AN7" s="151">
        <v>61230</v>
      </c>
      <c r="AO7" s="152">
        <v>24750</v>
      </c>
      <c r="AP7" s="152">
        <v>1650</v>
      </c>
      <c r="AQ7" s="152">
        <v>0</v>
      </c>
      <c r="AR7" s="152">
        <v>19250</v>
      </c>
      <c r="AS7" s="153">
        <f t="shared" si="23"/>
        <v>490780</v>
      </c>
      <c r="AT7" s="91">
        <v>3</v>
      </c>
      <c r="AU7" s="92">
        <f t="shared" si="24"/>
        <v>510030</v>
      </c>
      <c r="AV7" s="154"/>
    </row>
    <row r="8" spans="1:48" ht="13.5" customHeight="1">
      <c r="A8" s="91"/>
      <c r="B8" s="180">
        <f t="shared" si="25"/>
        <v>45234</v>
      </c>
      <c r="C8" s="133"/>
      <c r="D8" s="134"/>
      <c r="E8" s="135">
        <v>27</v>
      </c>
      <c r="F8" s="136">
        <v>95700</v>
      </c>
      <c r="G8" s="137">
        <f t="shared" si="0"/>
        <v>3222.2222222222222</v>
      </c>
      <c r="H8" s="136">
        <v>7270</v>
      </c>
      <c r="I8" s="138">
        <f t="shared" si="1"/>
        <v>244.77777777777777</v>
      </c>
      <c r="J8" s="139">
        <f t="shared" si="2"/>
        <v>102970</v>
      </c>
      <c r="K8" s="140">
        <f t="shared" si="3"/>
        <v>3813.7037037037039</v>
      </c>
      <c r="L8" s="141"/>
      <c r="M8" s="142">
        <f t="shared" si="4"/>
        <v>37</v>
      </c>
      <c r="N8" s="143">
        <f t="shared" si="4"/>
        <v>373230</v>
      </c>
      <c r="O8" s="137">
        <f t="shared" si="5"/>
        <v>9170.27027027027</v>
      </c>
      <c r="P8" s="143">
        <f t="shared" si="6"/>
        <v>69090</v>
      </c>
      <c r="Q8" s="138">
        <f t="shared" si="7"/>
        <v>1697.5405405405406</v>
      </c>
      <c r="R8" s="144">
        <f t="shared" si="8"/>
        <v>442320</v>
      </c>
      <c r="S8" s="140">
        <f t="shared" si="9"/>
        <v>11954.594594594595</v>
      </c>
      <c r="T8" s="145">
        <f t="shared" si="10"/>
        <v>64</v>
      </c>
      <c r="U8" s="143">
        <f t="shared" si="10"/>
        <v>468930</v>
      </c>
      <c r="V8" s="143">
        <f t="shared" si="11"/>
        <v>76360</v>
      </c>
      <c r="W8" s="146">
        <f t="shared" si="12"/>
        <v>545290</v>
      </c>
      <c r="X8" s="143">
        <f t="shared" si="13"/>
        <v>8520.15625</v>
      </c>
      <c r="Y8" s="147"/>
      <c r="Z8" s="148">
        <v>187</v>
      </c>
      <c r="AA8" s="136">
        <v>119300</v>
      </c>
      <c r="AB8" s="137">
        <f t="shared" si="14"/>
        <v>637.9679144385027</v>
      </c>
      <c r="AC8" s="136">
        <v>52350</v>
      </c>
      <c r="AD8" s="138">
        <f t="shared" si="15"/>
        <v>279.94652406417111</v>
      </c>
      <c r="AE8" s="149">
        <f t="shared" si="16"/>
        <v>171650</v>
      </c>
      <c r="AF8" s="140">
        <f t="shared" si="17"/>
        <v>917.91443850267376</v>
      </c>
      <c r="AG8" s="156">
        <f t="shared" si="18"/>
        <v>64</v>
      </c>
      <c r="AH8" s="143">
        <f t="shared" si="19"/>
        <v>588230</v>
      </c>
      <c r="AI8" s="143">
        <f t="shared" si="20"/>
        <v>128710</v>
      </c>
      <c r="AJ8" s="159">
        <f t="shared" si="21"/>
        <v>716940</v>
      </c>
      <c r="AK8" s="143">
        <f t="shared" si="22"/>
        <v>31920</v>
      </c>
      <c r="AL8" s="151">
        <v>64</v>
      </c>
      <c r="AM8" s="151">
        <v>468930</v>
      </c>
      <c r="AN8" s="151">
        <v>76360</v>
      </c>
      <c r="AO8" s="152">
        <v>29150</v>
      </c>
      <c r="AP8" s="152">
        <v>2770</v>
      </c>
      <c r="AQ8" s="152">
        <v>0</v>
      </c>
      <c r="AR8" s="152">
        <v>5500</v>
      </c>
      <c r="AS8" s="153">
        <f t="shared" si="23"/>
        <v>577210</v>
      </c>
      <c r="AT8" s="91">
        <v>4</v>
      </c>
      <c r="AU8" s="92">
        <f t="shared" si="24"/>
        <v>582710</v>
      </c>
      <c r="AV8" s="154"/>
    </row>
    <row r="9" spans="1:48" ht="13.5" customHeight="1">
      <c r="A9" s="91"/>
      <c r="B9" s="157">
        <f t="shared" si="25"/>
        <v>45235</v>
      </c>
      <c r="C9" s="133"/>
      <c r="D9" s="134"/>
      <c r="E9" s="135">
        <v>31</v>
      </c>
      <c r="F9" s="136">
        <v>97130</v>
      </c>
      <c r="G9" s="137">
        <f t="shared" si="0"/>
        <v>2848.3870967741937</v>
      </c>
      <c r="H9" s="136">
        <v>11180</v>
      </c>
      <c r="I9" s="138">
        <f t="shared" si="1"/>
        <v>327.83870967741933</v>
      </c>
      <c r="J9" s="139">
        <f t="shared" si="2"/>
        <v>108310</v>
      </c>
      <c r="K9" s="140">
        <f t="shared" si="3"/>
        <v>3493.8709677419356</v>
      </c>
      <c r="L9" s="141"/>
      <c r="M9" s="142">
        <f t="shared" si="4"/>
        <v>33</v>
      </c>
      <c r="N9" s="143">
        <f t="shared" si="4"/>
        <v>298210</v>
      </c>
      <c r="O9" s="137">
        <f t="shared" si="5"/>
        <v>8215.1515151515159</v>
      </c>
      <c r="P9" s="143">
        <f t="shared" si="6"/>
        <v>46580</v>
      </c>
      <c r="Q9" s="138">
        <f t="shared" si="7"/>
        <v>1283.1818181818182</v>
      </c>
      <c r="R9" s="144">
        <f t="shared" si="8"/>
        <v>344790</v>
      </c>
      <c r="S9" s="140">
        <f t="shared" si="9"/>
        <v>10448.181818181818</v>
      </c>
      <c r="T9" s="145">
        <f t="shared" si="10"/>
        <v>64</v>
      </c>
      <c r="U9" s="143">
        <f t="shared" si="10"/>
        <v>395340</v>
      </c>
      <c r="V9" s="143">
        <f t="shared" si="11"/>
        <v>57760</v>
      </c>
      <c r="W9" s="146">
        <f t="shared" si="12"/>
        <v>453100</v>
      </c>
      <c r="X9" s="143">
        <f t="shared" si="13"/>
        <v>7079.6875</v>
      </c>
      <c r="Y9" s="147"/>
      <c r="Z9" s="148">
        <v>129</v>
      </c>
      <c r="AA9" s="136">
        <v>82950</v>
      </c>
      <c r="AB9" s="137">
        <f t="shared" si="14"/>
        <v>643.02325581395348</v>
      </c>
      <c r="AC9" s="136">
        <v>33900</v>
      </c>
      <c r="AD9" s="138">
        <f t="shared" si="15"/>
        <v>262.7906976744186</v>
      </c>
      <c r="AE9" s="149">
        <f t="shared" si="16"/>
        <v>116850</v>
      </c>
      <c r="AF9" s="140">
        <f t="shared" si="17"/>
        <v>905.81395348837214</v>
      </c>
      <c r="AG9" s="156">
        <f t="shared" si="18"/>
        <v>64</v>
      </c>
      <c r="AH9" s="143">
        <f t="shared" si="19"/>
        <v>478290</v>
      </c>
      <c r="AI9" s="143">
        <f t="shared" si="20"/>
        <v>91660</v>
      </c>
      <c r="AJ9" s="150">
        <f t="shared" si="21"/>
        <v>569950</v>
      </c>
      <c r="AK9" s="143">
        <f t="shared" si="22"/>
        <v>28050</v>
      </c>
      <c r="AL9" s="151">
        <v>64</v>
      </c>
      <c r="AM9" s="151">
        <v>395340</v>
      </c>
      <c r="AN9" s="151">
        <v>57760</v>
      </c>
      <c r="AO9" s="152">
        <v>28050</v>
      </c>
      <c r="AP9" s="152">
        <v>0</v>
      </c>
      <c r="AQ9" s="152">
        <v>0</v>
      </c>
      <c r="AR9" s="152">
        <v>0</v>
      </c>
      <c r="AS9" s="153">
        <f t="shared" si="23"/>
        <v>481150</v>
      </c>
      <c r="AT9" s="91">
        <v>5</v>
      </c>
      <c r="AU9" s="92">
        <f t="shared" si="24"/>
        <v>481150</v>
      </c>
      <c r="AV9" s="154"/>
    </row>
    <row r="10" spans="1:48" ht="13.5" customHeight="1">
      <c r="A10" s="91"/>
      <c r="B10" s="158">
        <f t="shared" si="25"/>
        <v>45236</v>
      </c>
      <c r="C10" s="133" t="s">
        <v>73</v>
      </c>
      <c r="D10" s="134"/>
      <c r="E10" s="135"/>
      <c r="F10" s="136"/>
      <c r="G10" s="137" t="e">
        <f t="shared" si="0"/>
        <v>#DIV/0!</v>
      </c>
      <c r="H10" s="136"/>
      <c r="I10" s="138" t="e">
        <f t="shared" si="1"/>
        <v>#DIV/0!</v>
      </c>
      <c r="J10" s="139">
        <f t="shared" si="2"/>
        <v>0</v>
      </c>
      <c r="K10" s="140" t="str">
        <f t="shared" si="3"/>
        <v/>
      </c>
      <c r="L10" s="141"/>
      <c r="M10" s="142">
        <f t="shared" si="4"/>
        <v>25</v>
      </c>
      <c r="N10" s="143">
        <f t="shared" si="4"/>
        <v>269830</v>
      </c>
      <c r="O10" s="137">
        <f t="shared" si="5"/>
        <v>9812</v>
      </c>
      <c r="P10" s="143">
        <f t="shared" si="6"/>
        <v>48230</v>
      </c>
      <c r="Q10" s="138">
        <f t="shared" si="7"/>
        <v>1753.8</v>
      </c>
      <c r="R10" s="144">
        <f t="shared" si="8"/>
        <v>318060</v>
      </c>
      <c r="S10" s="140">
        <f t="shared" si="9"/>
        <v>12722.4</v>
      </c>
      <c r="T10" s="145">
        <f t="shared" si="10"/>
        <v>25</v>
      </c>
      <c r="U10" s="143">
        <f t="shared" si="10"/>
        <v>269830</v>
      </c>
      <c r="V10" s="143">
        <f t="shared" si="11"/>
        <v>48230</v>
      </c>
      <c r="W10" s="146">
        <f t="shared" si="12"/>
        <v>318060</v>
      </c>
      <c r="X10" s="143">
        <f t="shared" si="13"/>
        <v>12722.4</v>
      </c>
      <c r="Y10" s="147"/>
      <c r="Z10" s="148">
        <v>6</v>
      </c>
      <c r="AA10" s="136">
        <v>12800</v>
      </c>
      <c r="AB10" s="137">
        <f t="shared" si="14"/>
        <v>2133.3333333333335</v>
      </c>
      <c r="AC10" s="136">
        <v>0</v>
      </c>
      <c r="AD10" s="138">
        <f t="shared" si="15"/>
        <v>0</v>
      </c>
      <c r="AE10" s="149">
        <f t="shared" si="16"/>
        <v>12800</v>
      </c>
      <c r="AF10" s="140">
        <f t="shared" si="17"/>
        <v>2133.3333333333335</v>
      </c>
      <c r="AG10" s="156">
        <f t="shared" si="18"/>
        <v>25</v>
      </c>
      <c r="AH10" s="143">
        <f t="shared" si="19"/>
        <v>282630</v>
      </c>
      <c r="AI10" s="143">
        <f t="shared" si="20"/>
        <v>48230</v>
      </c>
      <c r="AJ10" s="150">
        <f t="shared" si="21"/>
        <v>330860</v>
      </c>
      <c r="AK10" s="143">
        <f t="shared" si="22"/>
        <v>18150</v>
      </c>
      <c r="AL10" s="151">
        <v>25</v>
      </c>
      <c r="AM10" s="151">
        <v>269830</v>
      </c>
      <c r="AN10" s="151">
        <v>48230</v>
      </c>
      <c r="AO10" s="152">
        <v>18150</v>
      </c>
      <c r="AP10" s="152">
        <v>0</v>
      </c>
      <c r="AQ10" s="152">
        <v>0</v>
      </c>
      <c r="AR10" s="181">
        <v>27170</v>
      </c>
      <c r="AS10" s="153">
        <f t="shared" si="23"/>
        <v>336210</v>
      </c>
      <c r="AT10" s="91">
        <v>6</v>
      </c>
      <c r="AU10" s="92">
        <f t="shared" si="24"/>
        <v>363380</v>
      </c>
      <c r="AV10" s="182" t="s">
        <v>74</v>
      </c>
    </row>
    <row r="11" spans="1:48" ht="13.5" customHeight="1">
      <c r="A11" s="91"/>
      <c r="B11" s="158">
        <f t="shared" si="25"/>
        <v>45237</v>
      </c>
      <c r="C11" s="133" t="s">
        <v>52</v>
      </c>
      <c r="D11" s="134"/>
      <c r="E11" s="135"/>
      <c r="F11" s="136"/>
      <c r="G11" s="137" t="e">
        <f t="shared" si="0"/>
        <v>#DIV/0!</v>
      </c>
      <c r="H11" s="136"/>
      <c r="I11" s="138" t="e">
        <f t="shared" si="1"/>
        <v>#DIV/0!</v>
      </c>
      <c r="J11" s="139">
        <f t="shared" si="2"/>
        <v>0</v>
      </c>
      <c r="K11" s="140" t="str">
        <f t="shared" si="3"/>
        <v/>
      </c>
      <c r="L11" s="141"/>
      <c r="M11" s="142">
        <f t="shared" si="4"/>
        <v>27</v>
      </c>
      <c r="N11" s="143">
        <f t="shared" si="4"/>
        <v>276430</v>
      </c>
      <c r="O11" s="137">
        <f t="shared" si="5"/>
        <v>9307.4074074074069</v>
      </c>
      <c r="P11" s="143">
        <f t="shared" si="6"/>
        <v>31750</v>
      </c>
      <c r="Q11" s="138">
        <f t="shared" si="7"/>
        <v>1069</v>
      </c>
      <c r="R11" s="144">
        <f t="shared" si="8"/>
        <v>308180</v>
      </c>
      <c r="S11" s="140">
        <f t="shared" si="9"/>
        <v>11414.074074074075</v>
      </c>
      <c r="T11" s="145">
        <f t="shared" si="10"/>
        <v>27</v>
      </c>
      <c r="U11" s="143">
        <f t="shared" si="10"/>
        <v>276430</v>
      </c>
      <c r="V11" s="143">
        <f t="shared" si="11"/>
        <v>31750</v>
      </c>
      <c r="W11" s="146">
        <f t="shared" si="12"/>
        <v>308180</v>
      </c>
      <c r="X11" s="143">
        <f t="shared" si="13"/>
        <v>11414.074074074075</v>
      </c>
      <c r="Y11" s="147"/>
      <c r="Z11" s="148">
        <v>45</v>
      </c>
      <c r="AA11" s="136">
        <v>36850</v>
      </c>
      <c r="AB11" s="137">
        <f t="shared" si="14"/>
        <v>818.88888888888891</v>
      </c>
      <c r="AC11" s="136">
        <v>8700</v>
      </c>
      <c r="AD11" s="138">
        <f t="shared" si="15"/>
        <v>193.33333333333334</v>
      </c>
      <c r="AE11" s="149">
        <f t="shared" si="16"/>
        <v>45550</v>
      </c>
      <c r="AF11" s="140">
        <f t="shared" si="17"/>
        <v>1012.2222222222222</v>
      </c>
      <c r="AG11" s="156">
        <f t="shared" si="18"/>
        <v>27</v>
      </c>
      <c r="AH11" s="143">
        <f t="shared" si="19"/>
        <v>313280</v>
      </c>
      <c r="AI11" s="143">
        <f t="shared" si="20"/>
        <v>40450</v>
      </c>
      <c r="AJ11" s="150">
        <f t="shared" si="21"/>
        <v>353730</v>
      </c>
      <c r="AK11" s="143">
        <f t="shared" si="22"/>
        <v>89800</v>
      </c>
      <c r="AL11" s="151">
        <v>27</v>
      </c>
      <c r="AM11" s="151">
        <v>276430</v>
      </c>
      <c r="AN11" s="151">
        <v>31750</v>
      </c>
      <c r="AO11" s="152">
        <v>19800</v>
      </c>
      <c r="AP11" s="152">
        <v>70000</v>
      </c>
      <c r="AQ11" s="152">
        <v>0</v>
      </c>
      <c r="AR11" s="152">
        <v>0</v>
      </c>
      <c r="AS11" s="153">
        <f t="shared" si="23"/>
        <v>397980</v>
      </c>
      <c r="AT11" s="91">
        <v>7</v>
      </c>
      <c r="AU11" s="92">
        <f t="shared" si="24"/>
        <v>397980</v>
      </c>
      <c r="AV11" s="160"/>
    </row>
    <row r="12" spans="1:48" ht="13.5" customHeight="1">
      <c r="A12" s="91"/>
      <c r="B12" s="158">
        <f t="shared" si="25"/>
        <v>45238</v>
      </c>
      <c r="C12" s="133" t="s">
        <v>52</v>
      </c>
      <c r="D12" s="134"/>
      <c r="E12" s="135"/>
      <c r="F12" s="136"/>
      <c r="G12" s="137" t="e">
        <f t="shared" si="0"/>
        <v>#DIV/0!</v>
      </c>
      <c r="H12" s="136"/>
      <c r="I12" s="138" t="e">
        <f t="shared" si="1"/>
        <v>#DIV/0!</v>
      </c>
      <c r="J12" s="139">
        <f t="shared" si="2"/>
        <v>0</v>
      </c>
      <c r="K12" s="140" t="str">
        <f t="shared" si="3"/>
        <v/>
      </c>
      <c r="L12" s="141"/>
      <c r="M12" s="142">
        <f t="shared" si="4"/>
        <v>29</v>
      </c>
      <c r="N12" s="143">
        <f t="shared" si="4"/>
        <v>269610</v>
      </c>
      <c r="O12" s="137">
        <f t="shared" si="5"/>
        <v>8451.7241379310344</v>
      </c>
      <c r="P12" s="143">
        <f t="shared" si="6"/>
        <v>43020</v>
      </c>
      <c r="Q12" s="161">
        <f t="shared" si="7"/>
        <v>1348.5862068965516</v>
      </c>
      <c r="R12" s="144">
        <f t="shared" si="8"/>
        <v>312630</v>
      </c>
      <c r="S12" s="140">
        <f t="shared" si="9"/>
        <v>10780.344827586207</v>
      </c>
      <c r="T12" s="145">
        <f t="shared" si="10"/>
        <v>29</v>
      </c>
      <c r="U12" s="143">
        <f t="shared" si="10"/>
        <v>269610</v>
      </c>
      <c r="V12" s="143">
        <f t="shared" si="11"/>
        <v>43020</v>
      </c>
      <c r="W12" s="146">
        <f t="shared" si="12"/>
        <v>312630</v>
      </c>
      <c r="X12" s="143">
        <f t="shared" si="13"/>
        <v>10780.344827586207</v>
      </c>
      <c r="Y12" s="147"/>
      <c r="Z12" s="148">
        <v>63</v>
      </c>
      <c r="AA12" s="136">
        <v>42950</v>
      </c>
      <c r="AB12" s="137">
        <f t="shared" si="14"/>
        <v>681.74603174603169</v>
      </c>
      <c r="AC12" s="136">
        <v>13800</v>
      </c>
      <c r="AD12" s="138">
        <f t="shared" si="15"/>
        <v>219.04761904761904</v>
      </c>
      <c r="AE12" s="149">
        <f t="shared" si="16"/>
        <v>56750</v>
      </c>
      <c r="AF12" s="140">
        <f t="shared" si="17"/>
        <v>900.79365079365084</v>
      </c>
      <c r="AG12" s="156">
        <f t="shared" si="18"/>
        <v>29</v>
      </c>
      <c r="AH12" s="143">
        <f t="shared" si="19"/>
        <v>312560</v>
      </c>
      <c r="AI12" s="143">
        <f t="shared" si="20"/>
        <v>56820</v>
      </c>
      <c r="AJ12" s="150">
        <f t="shared" si="21"/>
        <v>369380</v>
      </c>
      <c r="AK12" s="143">
        <f t="shared" si="22"/>
        <v>27870</v>
      </c>
      <c r="AL12" s="151">
        <v>29</v>
      </c>
      <c r="AM12" s="151">
        <v>269610</v>
      </c>
      <c r="AN12" s="151">
        <v>43020</v>
      </c>
      <c r="AO12" s="152">
        <v>23100</v>
      </c>
      <c r="AP12" s="152">
        <v>4770</v>
      </c>
      <c r="AQ12" s="152">
        <v>0</v>
      </c>
      <c r="AR12" s="152">
        <v>0</v>
      </c>
      <c r="AS12" s="153">
        <f t="shared" si="23"/>
        <v>340500</v>
      </c>
      <c r="AT12" s="91">
        <v>8</v>
      </c>
      <c r="AU12" s="92">
        <f t="shared" si="24"/>
        <v>340500</v>
      </c>
      <c r="AV12" s="154"/>
    </row>
    <row r="13" spans="1:48" ht="13.5" customHeight="1">
      <c r="A13" s="91"/>
      <c r="B13" s="158">
        <f t="shared" si="25"/>
        <v>45239</v>
      </c>
      <c r="C13" s="133" t="s">
        <v>52</v>
      </c>
      <c r="D13" s="134"/>
      <c r="E13" s="135"/>
      <c r="F13" s="136"/>
      <c r="G13" s="137" t="e">
        <f t="shared" si="0"/>
        <v>#DIV/0!</v>
      </c>
      <c r="H13" s="136"/>
      <c r="I13" s="138" t="e">
        <f t="shared" si="1"/>
        <v>#DIV/0!</v>
      </c>
      <c r="J13" s="139">
        <f t="shared" si="2"/>
        <v>0</v>
      </c>
      <c r="K13" s="140" t="str">
        <f t="shared" si="3"/>
        <v/>
      </c>
      <c r="L13" s="141"/>
      <c r="M13" s="142">
        <f t="shared" si="4"/>
        <v>28</v>
      </c>
      <c r="N13" s="143">
        <f t="shared" si="4"/>
        <v>265540</v>
      </c>
      <c r="O13" s="137">
        <f t="shared" si="5"/>
        <v>8621.4285714285706</v>
      </c>
      <c r="P13" s="143">
        <f t="shared" si="6"/>
        <v>36190</v>
      </c>
      <c r="Q13" s="138">
        <f t="shared" si="7"/>
        <v>1175</v>
      </c>
      <c r="R13" s="144">
        <f t="shared" si="8"/>
        <v>301730</v>
      </c>
      <c r="S13" s="140">
        <f t="shared" si="9"/>
        <v>10776.071428571429</v>
      </c>
      <c r="T13" s="145">
        <f t="shared" si="10"/>
        <v>28</v>
      </c>
      <c r="U13" s="143">
        <f t="shared" si="10"/>
        <v>265540</v>
      </c>
      <c r="V13" s="143">
        <f t="shared" si="11"/>
        <v>36190</v>
      </c>
      <c r="W13" s="146">
        <f t="shared" si="12"/>
        <v>301730</v>
      </c>
      <c r="X13" s="143">
        <f t="shared" si="13"/>
        <v>10776.071428571429</v>
      </c>
      <c r="Y13" s="147"/>
      <c r="Z13" s="148">
        <v>66</v>
      </c>
      <c r="AA13" s="136">
        <v>40050</v>
      </c>
      <c r="AB13" s="137">
        <f t="shared" si="14"/>
        <v>606.81818181818187</v>
      </c>
      <c r="AC13" s="136">
        <v>11600</v>
      </c>
      <c r="AD13" s="138">
        <f t="shared" si="15"/>
        <v>175.75757575757575</v>
      </c>
      <c r="AE13" s="149">
        <f t="shared" si="16"/>
        <v>51650</v>
      </c>
      <c r="AF13" s="140">
        <f t="shared" si="17"/>
        <v>782.57575757575762</v>
      </c>
      <c r="AG13" s="156">
        <f t="shared" si="18"/>
        <v>28</v>
      </c>
      <c r="AH13" s="143">
        <f t="shared" si="19"/>
        <v>305590</v>
      </c>
      <c r="AI13" s="143">
        <f t="shared" si="20"/>
        <v>47790</v>
      </c>
      <c r="AJ13" s="150">
        <f t="shared" si="21"/>
        <v>353380</v>
      </c>
      <c r="AK13" s="143">
        <f t="shared" si="22"/>
        <v>22570</v>
      </c>
      <c r="AL13" s="151">
        <v>28</v>
      </c>
      <c r="AM13" s="151">
        <v>265540</v>
      </c>
      <c r="AN13" s="151">
        <v>36190</v>
      </c>
      <c r="AO13" s="152">
        <v>19800</v>
      </c>
      <c r="AP13" s="152">
        <v>2770</v>
      </c>
      <c r="AQ13" s="152">
        <v>0</v>
      </c>
      <c r="AR13" s="152">
        <v>0</v>
      </c>
      <c r="AS13" s="153">
        <f t="shared" si="23"/>
        <v>324300</v>
      </c>
      <c r="AT13" s="91">
        <v>9</v>
      </c>
      <c r="AU13" s="92">
        <f t="shared" si="24"/>
        <v>324300</v>
      </c>
      <c r="AV13" s="91"/>
    </row>
    <row r="14" spans="1:48" ht="13.5" customHeight="1">
      <c r="A14" s="91"/>
      <c r="B14" s="158">
        <f t="shared" si="25"/>
        <v>45240</v>
      </c>
      <c r="C14" s="133" t="s">
        <v>75</v>
      </c>
      <c r="D14" s="134"/>
      <c r="E14" s="135"/>
      <c r="F14" s="136"/>
      <c r="G14" s="137" t="e">
        <f t="shared" si="0"/>
        <v>#DIV/0!</v>
      </c>
      <c r="H14" s="136"/>
      <c r="I14" s="138" t="e">
        <f t="shared" si="1"/>
        <v>#DIV/0!</v>
      </c>
      <c r="J14" s="139">
        <f t="shared" si="2"/>
        <v>0</v>
      </c>
      <c r="K14" s="140" t="str">
        <f t="shared" si="3"/>
        <v/>
      </c>
      <c r="L14" s="141"/>
      <c r="M14" s="142">
        <f t="shared" si="4"/>
        <v>17</v>
      </c>
      <c r="N14" s="143">
        <f t="shared" si="4"/>
        <v>177320</v>
      </c>
      <c r="O14" s="137">
        <f t="shared" si="5"/>
        <v>9482.3529411764703</v>
      </c>
      <c r="P14" s="143">
        <f t="shared" si="6"/>
        <v>34630</v>
      </c>
      <c r="Q14" s="138">
        <f t="shared" si="7"/>
        <v>1851.8235294117646</v>
      </c>
      <c r="R14" s="144">
        <f t="shared" si="8"/>
        <v>211950</v>
      </c>
      <c r="S14" s="140">
        <f t="shared" si="9"/>
        <v>12467.64705882353</v>
      </c>
      <c r="T14" s="145">
        <f t="shared" si="10"/>
        <v>17</v>
      </c>
      <c r="U14" s="143">
        <f t="shared" si="10"/>
        <v>177320</v>
      </c>
      <c r="V14" s="143">
        <f t="shared" si="11"/>
        <v>34630</v>
      </c>
      <c r="W14" s="146">
        <f t="shared" si="12"/>
        <v>211950</v>
      </c>
      <c r="X14" s="143">
        <f t="shared" si="13"/>
        <v>12467.64705882353</v>
      </c>
      <c r="Y14" s="147"/>
      <c r="Z14" s="148">
        <v>4</v>
      </c>
      <c r="AA14" s="136">
        <v>2800</v>
      </c>
      <c r="AB14" s="137">
        <f t="shared" si="14"/>
        <v>700</v>
      </c>
      <c r="AC14" s="136">
        <v>750</v>
      </c>
      <c r="AD14" s="138">
        <f t="shared" si="15"/>
        <v>187.5</v>
      </c>
      <c r="AE14" s="149">
        <f t="shared" si="16"/>
        <v>3550</v>
      </c>
      <c r="AF14" s="140">
        <f t="shared" si="17"/>
        <v>887.5</v>
      </c>
      <c r="AG14" s="156">
        <f t="shared" si="18"/>
        <v>17</v>
      </c>
      <c r="AH14" s="143">
        <f t="shared" si="19"/>
        <v>180120</v>
      </c>
      <c r="AI14" s="143">
        <f t="shared" si="20"/>
        <v>35380</v>
      </c>
      <c r="AJ14" s="159">
        <f t="shared" si="21"/>
        <v>215500</v>
      </c>
      <c r="AK14" s="143">
        <f t="shared" si="22"/>
        <v>13750</v>
      </c>
      <c r="AL14" s="151">
        <v>17</v>
      </c>
      <c r="AM14" s="151">
        <v>177320</v>
      </c>
      <c r="AN14" s="151">
        <v>34630</v>
      </c>
      <c r="AO14" s="152">
        <v>13750</v>
      </c>
      <c r="AP14" s="152">
        <v>0</v>
      </c>
      <c r="AQ14" s="152">
        <v>0</v>
      </c>
      <c r="AR14" s="152">
        <v>0</v>
      </c>
      <c r="AS14" s="153">
        <f t="shared" si="23"/>
        <v>225700</v>
      </c>
      <c r="AT14" s="91">
        <v>10</v>
      </c>
      <c r="AU14" s="92">
        <f t="shared" si="24"/>
        <v>225700</v>
      </c>
      <c r="AV14" s="154"/>
    </row>
    <row r="15" spans="1:48" ht="13.5" customHeight="1">
      <c r="A15" s="91"/>
      <c r="B15" s="180">
        <f t="shared" si="25"/>
        <v>45241</v>
      </c>
      <c r="C15" s="133" t="s">
        <v>76</v>
      </c>
      <c r="D15" s="134"/>
      <c r="E15" s="135">
        <v>20</v>
      </c>
      <c r="F15" s="136">
        <v>64570</v>
      </c>
      <c r="G15" s="137">
        <f t="shared" si="0"/>
        <v>2935</v>
      </c>
      <c r="H15" s="136">
        <v>2050</v>
      </c>
      <c r="I15" s="138">
        <f t="shared" si="1"/>
        <v>93.15</v>
      </c>
      <c r="J15" s="139">
        <f t="shared" si="2"/>
        <v>66620</v>
      </c>
      <c r="K15" s="140">
        <f t="shared" si="3"/>
        <v>3331</v>
      </c>
      <c r="L15" s="141"/>
      <c r="M15" s="142">
        <f t="shared" si="4"/>
        <v>38</v>
      </c>
      <c r="N15" s="143">
        <f t="shared" si="4"/>
        <v>396770</v>
      </c>
      <c r="O15" s="137">
        <f t="shared" si="5"/>
        <v>9492.105263157895</v>
      </c>
      <c r="P15" s="143">
        <f t="shared" si="6"/>
        <v>67070</v>
      </c>
      <c r="Q15" s="138">
        <f t="shared" si="7"/>
        <v>1604.5263157894738</v>
      </c>
      <c r="R15" s="144">
        <f t="shared" si="8"/>
        <v>463840</v>
      </c>
      <c r="S15" s="140">
        <f t="shared" si="9"/>
        <v>12206.315789473685</v>
      </c>
      <c r="T15" s="145">
        <f t="shared" si="10"/>
        <v>58</v>
      </c>
      <c r="U15" s="143">
        <f t="shared" si="10"/>
        <v>461340</v>
      </c>
      <c r="V15" s="143">
        <f t="shared" si="11"/>
        <v>69120</v>
      </c>
      <c r="W15" s="146">
        <f t="shared" si="12"/>
        <v>530460</v>
      </c>
      <c r="X15" s="143">
        <f t="shared" si="13"/>
        <v>9145.8620689655181</v>
      </c>
      <c r="Y15" s="147"/>
      <c r="Z15" s="148">
        <v>38</v>
      </c>
      <c r="AA15" s="136">
        <v>17850</v>
      </c>
      <c r="AB15" s="137">
        <f t="shared" si="14"/>
        <v>469.73684210526318</v>
      </c>
      <c r="AC15" s="136">
        <v>14800</v>
      </c>
      <c r="AD15" s="138">
        <f t="shared" si="15"/>
        <v>389.4736842105263</v>
      </c>
      <c r="AE15" s="149">
        <f t="shared" si="16"/>
        <v>32650</v>
      </c>
      <c r="AF15" s="140">
        <f t="shared" si="17"/>
        <v>859.21052631578948</v>
      </c>
      <c r="AG15" s="156">
        <f t="shared" si="18"/>
        <v>58</v>
      </c>
      <c r="AH15" s="143">
        <f t="shared" si="19"/>
        <v>479190</v>
      </c>
      <c r="AI15" s="143">
        <f t="shared" si="20"/>
        <v>83920</v>
      </c>
      <c r="AJ15" s="150">
        <f t="shared" si="21"/>
        <v>563110</v>
      </c>
      <c r="AK15" s="143">
        <f t="shared" si="22"/>
        <v>27960</v>
      </c>
      <c r="AL15" s="151">
        <v>58</v>
      </c>
      <c r="AM15" s="151">
        <v>461340</v>
      </c>
      <c r="AN15" s="151">
        <v>69120</v>
      </c>
      <c r="AO15" s="152">
        <v>26400</v>
      </c>
      <c r="AP15" s="152">
        <v>1560</v>
      </c>
      <c r="AQ15" s="152">
        <v>0</v>
      </c>
      <c r="AR15" s="152">
        <v>0</v>
      </c>
      <c r="AS15" s="153">
        <f t="shared" si="23"/>
        <v>558420</v>
      </c>
      <c r="AT15" s="91">
        <v>11</v>
      </c>
      <c r="AU15" s="92">
        <f t="shared" si="24"/>
        <v>558420</v>
      </c>
      <c r="AV15" s="154"/>
    </row>
    <row r="16" spans="1:48" ht="13.5" customHeight="1">
      <c r="A16" s="91"/>
      <c r="B16" s="157">
        <f t="shared" si="25"/>
        <v>45242</v>
      </c>
      <c r="C16" s="133"/>
      <c r="D16" s="134"/>
      <c r="E16" s="135">
        <v>29</v>
      </c>
      <c r="F16" s="136">
        <v>109890</v>
      </c>
      <c r="G16" s="137">
        <f t="shared" si="0"/>
        <v>3444.8275862068967</v>
      </c>
      <c r="H16" s="136">
        <v>16810</v>
      </c>
      <c r="I16" s="138">
        <f t="shared" si="1"/>
        <v>526.93103448275861</v>
      </c>
      <c r="J16" s="139">
        <f t="shared" si="2"/>
        <v>126700</v>
      </c>
      <c r="K16" s="140">
        <f t="shared" si="3"/>
        <v>4368.9655172413795</v>
      </c>
      <c r="L16" s="141"/>
      <c r="M16" s="142">
        <f t="shared" si="4"/>
        <v>37</v>
      </c>
      <c r="N16" s="143">
        <f t="shared" si="4"/>
        <v>329890</v>
      </c>
      <c r="O16" s="137">
        <f t="shared" si="5"/>
        <v>8105.405405405405</v>
      </c>
      <c r="P16" s="143">
        <f t="shared" si="6"/>
        <v>44110</v>
      </c>
      <c r="Q16" s="138">
        <f t="shared" si="7"/>
        <v>1083.7837837837837</v>
      </c>
      <c r="R16" s="144">
        <f t="shared" si="8"/>
        <v>374000</v>
      </c>
      <c r="S16" s="140">
        <f t="shared" si="9"/>
        <v>10108.108108108108</v>
      </c>
      <c r="T16" s="145">
        <f t="shared" si="10"/>
        <v>66</v>
      </c>
      <c r="U16" s="143">
        <f t="shared" si="10"/>
        <v>439780</v>
      </c>
      <c r="V16" s="143">
        <f t="shared" si="11"/>
        <v>60920</v>
      </c>
      <c r="W16" s="146">
        <f t="shared" si="12"/>
        <v>500700</v>
      </c>
      <c r="X16" s="143">
        <f t="shared" si="13"/>
        <v>7586.363636363636</v>
      </c>
      <c r="Y16" s="147"/>
      <c r="Z16" s="148">
        <v>86</v>
      </c>
      <c r="AA16" s="136">
        <v>56700</v>
      </c>
      <c r="AB16" s="137">
        <f t="shared" si="14"/>
        <v>659.30232558139539</v>
      </c>
      <c r="AC16" s="136">
        <v>21650</v>
      </c>
      <c r="AD16" s="138">
        <f t="shared" si="15"/>
        <v>251.74418604651163</v>
      </c>
      <c r="AE16" s="149">
        <f t="shared" si="16"/>
        <v>78350</v>
      </c>
      <c r="AF16" s="140">
        <f t="shared" si="17"/>
        <v>911.04651162790697</v>
      </c>
      <c r="AG16" s="156">
        <f t="shared" si="18"/>
        <v>66</v>
      </c>
      <c r="AH16" s="143">
        <f t="shared" si="19"/>
        <v>496480</v>
      </c>
      <c r="AI16" s="143">
        <f t="shared" si="20"/>
        <v>82570</v>
      </c>
      <c r="AJ16" s="150">
        <f t="shared" si="21"/>
        <v>579050</v>
      </c>
      <c r="AK16" s="143">
        <f t="shared" si="22"/>
        <v>39510</v>
      </c>
      <c r="AL16" s="151">
        <v>66</v>
      </c>
      <c r="AM16" s="151">
        <v>439780</v>
      </c>
      <c r="AN16" s="151">
        <v>60920</v>
      </c>
      <c r="AO16" s="152">
        <v>37950</v>
      </c>
      <c r="AP16" s="152">
        <v>1560</v>
      </c>
      <c r="AQ16" s="152">
        <v>0</v>
      </c>
      <c r="AR16" s="152">
        <v>0</v>
      </c>
      <c r="AS16" s="153">
        <f t="shared" si="23"/>
        <v>540210</v>
      </c>
      <c r="AT16" s="91">
        <v>12</v>
      </c>
      <c r="AU16" s="92">
        <f t="shared" si="24"/>
        <v>540210</v>
      </c>
      <c r="AV16" s="154"/>
    </row>
    <row r="17" spans="1:48" ht="13.5" customHeight="1">
      <c r="A17" s="91"/>
      <c r="B17" s="158">
        <f t="shared" si="25"/>
        <v>45243</v>
      </c>
      <c r="C17" s="133" t="s">
        <v>52</v>
      </c>
      <c r="D17" s="134"/>
      <c r="E17" s="135"/>
      <c r="F17" s="136"/>
      <c r="G17" s="137" t="e">
        <f t="shared" si="0"/>
        <v>#DIV/0!</v>
      </c>
      <c r="H17" s="136"/>
      <c r="I17" s="138" t="e">
        <f t="shared" si="1"/>
        <v>#DIV/0!</v>
      </c>
      <c r="J17" s="139">
        <f t="shared" si="2"/>
        <v>0</v>
      </c>
      <c r="K17" s="140" t="str">
        <f t="shared" si="3"/>
        <v/>
      </c>
      <c r="L17" s="141"/>
      <c r="M17" s="142">
        <f t="shared" si="4"/>
        <v>10</v>
      </c>
      <c r="N17" s="143">
        <f t="shared" si="4"/>
        <v>94820</v>
      </c>
      <c r="O17" s="137">
        <f t="shared" si="5"/>
        <v>8620</v>
      </c>
      <c r="P17" s="143">
        <f t="shared" si="6"/>
        <v>12910</v>
      </c>
      <c r="Q17" s="138">
        <f t="shared" si="7"/>
        <v>1173.5999999999999</v>
      </c>
      <c r="R17" s="144">
        <f t="shared" si="8"/>
        <v>107730</v>
      </c>
      <c r="S17" s="140">
        <f t="shared" si="9"/>
        <v>10773</v>
      </c>
      <c r="T17" s="145">
        <f t="shared" si="10"/>
        <v>10</v>
      </c>
      <c r="U17" s="143">
        <f t="shared" si="10"/>
        <v>94820</v>
      </c>
      <c r="V17" s="143">
        <f t="shared" si="11"/>
        <v>12910</v>
      </c>
      <c r="W17" s="146">
        <f t="shared" si="12"/>
        <v>107730</v>
      </c>
      <c r="X17" s="143">
        <f t="shared" si="13"/>
        <v>10773</v>
      </c>
      <c r="Y17" s="147"/>
      <c r="Z17" s="148">
        <v>62</v>
      </c>
      <c r="AA17" s="136">
        <v>34300</v>
      </c>
      <c r="AB17" s="137">
        <f t="shared" si="14"/>
        <v>553.22580645161293</v>
      </c>
      <c r="AC17" s="136">
        <v>16300</v>
      </c>
      <c r="AD17" s="138">
        <f t="shared" si="15"/>
        <v>262.90322580645159</v>
      </c>
      <c r="AE17" s="149">
        <f t="shared" si="16"/>
        <v>50600</v>
      </c>
      <c r="AF17" s="140">
        <f t="shared" si="17"/>
        <v>816.12903225806451</v>
      </c>
      <c r="AG17" s="156">
        <f t="shared" si="18"/>
        <v>10</v>
      </c>
      <c r="AH17" s="143">
        <f t="shared" si="19"/>
        <v>129120</v>
      </c>
      <c r="AI17" s="143">
        <f t="shared" si="20"/>
        <v>29210</v>
      </c>
      <c r="AJ17" s="150">
        <f t="shared" si="21"/>
        <v>158330</v>
      </c>
      <c r="AK17" s="143">
        <f t="shared" si="22"/>
        <v>11000</v>
      </c>
      <c r="AL17" s="151">
        <v>10</v>
      </c>
      <c r="AM17" s="151">
        <v>94820</v>
      </c>
      <c r="AN17" s="151">
        <v>12910</v>
      </c>
      <c r="AO17" s="152">
        <v>11000</v>
      </c>
      <c r="AP17" s="152">
        <v>0</v>
      </c>
      <c r="AQ17" s="152">
        <v>0</v>
      </c>
      <c r="AR17" s="152">
        <v>0</v>
      </c>
      <c r="AS17" s="153">
        <f t="shared" si="23"/>
        <v>118730</v>
      </c>
      <c r="AT17" s="91">
        <v>13</v>
      </c>
      <c r="AU17" s="92">
        <f t="shared" si="24"/>
        <v>118730</v>
      </c>
      <c r="AV17" s="154"/>
    </row>
    <row r="18" spans="1:48" ht="13.5" customHeight="1">
      <c r="A18" s="91"/>
      <c r="B18" s="158">
        <f t="shared" si="25"/>
        <v>45244</v>
      </c>
      <c r="C18" s="133" t="s">
        <v>77</v>
      </c>
      <c r="D18" s="134"/>
      <c r="E18" s="135"/>
      <c r="F18" s="136"/>
      <c r="G18" s="137" t="e">
        <f t="shared" si="0"/>
        <v>#DIV/0!</v>
      </c>
      <c r="H18" s="136"/>
      <c r="I18" s="138" t="e">
        <f t="shared" si="1"/>
        <v>#DIV/0!</v>
      </c>
      <c r="J18" s="139">
        <f t="shared" si="2"/>
        <v>0</v>
      </c>
      <c r="K18" s="140" t="str">
        <f t="shared" si="3"/>
        <v/>
      </c>
      <c r="L18" s="141"/>
      <c r="M18" s="142">
        <f t="shared" si="4"/>
        <v>23</v>
      </c>
      <c r="N18" s="143">
        <f t="shared" si="4"/>
        <v>214370</v>
      </c>
      <c r="O18" s="137">
        <f t="shared" si="5"/>
        <v>8473.0869565217399</v>
      </c>
      <c r="P18" s="143">
        <f t="shared" si="6"/>
        <v>48100</v>
      </c>
      <c r="Q18" s="138">
        <f t="shared" si="7"/>
        <v>1901.1739130434783</v>
      </c>
      <c r="R18" s="144">
        <f t="shared" si="8"/>
        <v>262470</v>
      </c>
      <c r="S18" s="140">
        <f t="shared" si="9"/>
        <v>11411.739130434782</v>
      </c>
      <c r="T18" s="145">
        <f t="shared" si="10"/>
        <v>23</v>
      </c>
      <c r="U18" s="143">
        <f t="shared" si="10"/>
        <v>214370</v>
      </c>
      <c r="V18" s="143">
        <f t="shared" si="11"/>
        <v>48100</v>
      </c>
      <c r="W18" s="146">
        <f t="shared" si="12"/>
        <v>262470</v>
      </c>
      <c r="X18" s="143">
        <f t="shared" si="13"/>
        <v>11411.739130434782</v>
      </c>
      <c r="Y18" s="147"/>
      <c r="Z18" s="148">
        <v>21</v>
      </c>
      <c r="AA18" s="136">
        <v>13100</v>
      </c>
      <c r="AB18" s="137">
        <f t="shared" si="14"/>
        <v>623.80952380952385</v>
      </c>
      <c r="AC18" s="136">
        <v>6450</v>
      </c>
      <c r="AD18" s="138">
        <f t="shared" si="15"/>
        <v>307.14285714285717</v>
      </c>
      <c r="AE18" s="149">
        <f t="shared" si="16"/>
        <v>19550</v>
      </c>
      <c r="AF18" s="140">
        <f t="shared" si="17"/>
        <v>930.95238095238096</v>
      </c>
      <c r="AG18" s="156">
        <f t="shared" si="18"/>
        <v>23</v>
      </c>
      <c r="AH18" s="143">
        <f t="shared" si="19"/>
        <v>227470</v>
      </c>
      <c r="AI18" s="143">
        <f t="shared" si="20"/>
        <v>54550</v>
      </c>
      <c r="AJ18" s="150">
        <f t="shared" si="21"/>
        <v>282020</v>
      </c>
      <c r="AK18" s="143">
        <f t="shared" si="22"/>
        <v>16060</v>
      </c>
      <c r="AL18" s="151">
        <v>23</v>
      </c>
      <c r="AM18" s="151">
        <v>214370</v>
      </c>
      <c r="AN18" s="151">
        <v>48100</v>
      </c>
      <c r="AO18" s="152">
        <v>14850</v>
      </c>
      <c r="AP18" s="152">
        <v>1210</v>
      </c>
      <c r="AQ18" s="152">
        <v>0</v>
      </c>
      <c r="AR18" s="152">
        <v>0</v>
      </c>
      <c r="AS18" s="153">
        <f t="shared" si="23"/>
        <v>278530</v>
      </c>
      <c r="AT18" s="91">
        <v>14</v>
      </c>
      <c r="AU18" s="92">
        <f t="shared" si="24"/>
        <v>278530</v>
      </c>
      <c r="AV18" s="154"/>
    </row>
    <row r="19" spans="1:48" ht="13.5" customHeight="1">
      <c r="A19" s="91"/>
      <c r="B19" s="158">
        <f t="shared" si="25"/>
        <v>45245</v>
      </c>
      <c r="C19" s="133" t="s">
        <v>52</v>
      </c>
      <c r="D19" s="134"/>
      <c r="E19" s="135"/>
      <c r="F19" s="136"/>
      <c r="G19" s="137" t="e">
        <f t="shared" si="0"/>
        <v>#DIV/0!</v>
      </c>
      <c r="H19" s="136"/>
      <c r="I19" s="138" t="e">
        <f t="shared" si="1"/>
        <v>#DIV/0!</v>
      </c>
      <c r="J19" s="139">
        <f t="shared" si="2"/>
        <v>0</v>
      </c>
      <c r="K19" s="140" t="str">
        <f t="shared" si="3"/>
        <v/>
      </c>
      <c r="L19" s="141"/>
      <c r="M19" s="142">
        <f t="shared" si="4"/>
        <v>29</v>
      </c>
      <c r="N19" s="143">
        <f t="shared" si="4"/>
        <v>292710</v>
      </c>
      <c r="O19" s="137">
        <f t="shared" si="5"/>
        <v>9175.8620689655181</v>
      </c>
      <c r="P19" s="143">
        <f t="shared" si="6"/>
        <v>49970</v>
      </c>
      <c r="Q19" s="161">
        <f t="shared" si="7"/>
        <v>1566.4482758620691</v>
      </c>
      <c r="R19" s="144">
        <f t="shared" si="8"/>
        <v>342680</v>
      </c>
      <c r="S19" s="140">
        <f t="shared" si="9"/>
        <v>11816.551724137931</v>
      </c>
      <c r="T19" s="145">
        <f t="shared" si="10"/>
        <v>29</v>
      </c>
      <c r="U19" s="143">
        <f t="shared" si="10"/>
        <v>292710</v>
      </c>
      <c r="V19" s="143">
        <f t="shared" si="11"/>
        <v>49970</v>
      </c>
      <c r="W19" s="146">
        <f t="shared" si="12"/>
        <v>342680</v>
      </c>
      <c r="X19" s="143">
        <f t="shared" si="13"/>
        <v>11816.551724137931</v>
      </c>
      <c r="Y19" s="147"/>
      <c r="Z19" s="148">
        <v>70</v>
      </c>
      <c r="AA19" s="136">
        <v>32150</v>
      </c>
      <c r="AB19" s="137">
        <f t="shared" si="14"/>
        <v>459.28571428571428</v>
      </c>
      <c r="AC19" s="136">
        <v>18650</v>
      </c>
      <c r="AD19" s="138">
        <f t="shared" si="15"/>
        <v>266.42857142857144</v>
      </c>
      <c r="AE19" s="149">
        <f t="shared" si="16"/>
        <v>50800</v>
      </c>
      <c r="AF19" s="140">
        <f t="shared" si="17"/>
        <v>725.71428571428567</v>
      </c>
      <c r="AG19" s="156">
        <f t="shared" si="18"/>
        <v>29</v>
      </c>
      <c r="AH19" s="143">
        <f t="shared" si="19"/>
        <v>324860</v>
      </c>
      <c r="AI19" s="143">
        <f t="shared" si="20"/>
        <v>68620</v>
      </c>
      <c r="AJ19" s="150">
        <f t="shared" si="21"/>
        <v>393480</v>
      </c>
      <c r="AK19" s="143">
        <f t="shared" si="22"/>
        <v>53550</v>
      </c>
      <c r="AL19" s="151">
        <v>29</v>
      </c>
      <c r="AM19" s="151">
        <v>292710</v>
      </c>
      <c r="AN19" s="151">
        <v>49970</v>
      </c>
      <c r="AO19" s="152">
        <v>22550</v>
      </c>
      <c r="AP19" s="152">
        <v>31000</v>
      </c>
      <c r="AQ19" s="152">
        <v>0</v>
      </c>
      <c r="AR19" s="152">
        <v>0</v>
      </c>
      <c r="AS19" s="153">
        <f t="shared" si="23"/>
        <v>396230</v>
      </c>
      <c r="AT19" s="91">
        <v>15</v>
      </c>
      <c r="AU19" s="92">
        <f t="shared" si="24"/>
        <v>396230</v>
      </c>
      <c r="AV19" s="91"/>
    </row>
    <row r="20" spans="1:48" ht="13.5" customHeight="1">
      <c r="A20" s="91"/>
      <c r="B20" s="158">
        <f t="shared" si="25"/>
        <v>45246</v>
      </c>
      <c r="C20" s="133" t="s">
        <v>52</v>
      </c>
      <c r="D20" s="134"/>
      <c r="E20" s="135"/>
      <c r="F20" s="136"/>
      <c r="G20" s="137" t="e">
        <f t="shared" si="0"/>
        <v>#DIV/0!</v>
      </c>
      <c r="H20" s="136"/>
      <c r="I20" s="137" t="e">
        <f t="shared" si="1"/>
        <v>#DIV/0!</v>
      </c>
      <c r="J20" s="139">
        <f t="shared" si="2"/>
        <v>0</v>
      </c>
      <c r="K20" s="140" t="str">
        <f t="shared" si="3"/>
        <v/>
      </c>
      <c r="L20" s="141"/>
      <c r="M20" s="142">
        <f t="shared" si="4"/>
        <v>35</v>
      </c>
      <c r="N20" s="143">
        <f t="shared" si="4"/>
        <v>380105</v>
      </c>
      <c r="O20" s="137">
        <f t="shared" si="5"/>
        <v>9872.8571428571431</v>
      </c>
      <c r="P20" s="143">
        <f t="shared" si="6"/>
        <v>27670</v>
      </c>
      <c r="Q20" s="161">
        <f t="shared" si="7"/>
        <v>718.68571428571431</v>
      </c>
      <c r="R20" s="144">
        <f t="shared" si="8"/>
        <v>407775</v>
      </c>
      <c r="S20" s="140">
        <f t="shared" si="9"/>
        <v>11650.714285714286</v>
      </c>
      <c r="T20" s="145">
        <f t="shared" si="10"/>
        <v>35</v>
      </c>
      <c r="U20" s="143">
        <f t="shared" si="10"/>
        <v>380105</v>
      </c>
      <c r="V20" s="143">
        <f t="shared" si="11"/>
        <v>27670</v>
      </c>
      <c r="W20" s="146">
        <f t="shared" si="12"/>
        <v>407775</v>
      </c>
      <c r="X20" s="143">
        <f t="shared" si="13"/>
        <v>11650.714285714286</v>
      </c>
      <c r="Y20" s="147"/>
      <c r="Z20" s="148">
        <v>73</v>
      </c>
      <c r="AA20" s="136">
        <v>53400</v>
      </c>
      <c r="AB20" s="137">
        <f t="shared" si="14"/>
        <v>731.50684931506851</v>
      </c>
      <c r="AC20" s="136">
        <v>19300</v>
      </c>
      <c r="AD20" s="138">
        <f t="shared" si="15"/>
        <v>264.38356164383561</v>
      </c>
      <c r="AE20" s="149">
        <f t="shared" si="16"/>
        <v>72700</v>
      </c>
      <c r="AF20" s="140">
        <f t="shared" si="17"/>
        <v>995.89041095890411</v>
      </c>
      <c r="AG20" s="156">
        <f t="shared" si="18"/>
        <v>35</v>
      </c>
      <c r="AH20" s="151">
        <f t="shared" si="19"/>
        <v>433505</v>
      </c>
      <c r="AI20" s="151">
        <f t="shared" si="20"/>
        <v>46970</v>
      </c>
      <c r="AJ20" s="150">
        <f t="shared" si="21"/>
        <v>480475</v>
      </c>
      <c r="AK20" s="143">
        <f t="shared" si="22"/>
        <v>11550</v>
      </c>
      <c r="AL20" s="151">
        <v>35</v>
      </c>
      <c r="AM20" s="151">
        <v>380105</v>
      </c>
      <c r="AN20" s="151">
        <v>27670</v>
      </c>
      <c r="AO20" s="152">
        <v>9900</v>
      </c>
      <c r="AP20" s="152">
        <v>1650</v>
      </c>
      <c r="AQ20" s="152">
        <v>0</v>
      </c>
      <c r="AR20" s="152">
        <v>0</v>
      </c>
      <c r="AS20" s="153">
        <f t="shared" si="23"/>
        <v>419325</v>
      </c>
      <c r="AT20" s="91">
        <v>16</v>
      </c>
      <c r="AU20" s="92">
        <f t="shared" si="24"/>
        <v>419325</v>
      </c>
      <c r="AV20" s="154"/>
    </row>
    <row r="21" spans="1:48" ht="15.75" customHeight="1">
      <c r="A21" s="91"/>
      <c r="B21" s="158">
        <f t="shared" si="25"/>
        <v>45247</v>
      </c>
      <c r="C21" s="133" t="s">
        <v>78</v>
      </c>
      <c r="D21" s="134"/>
      <c r="E21" s="135"/>
      <c r="F21" s="136"/>
      <c r="G21" s="137" t="e">
        <f t="shared" si="0"/>
        <v>#DIV/0!</v>
      </c>
      <c r="H21" s="136"/>
      <c r="I21" s="137" t="e">
        <f t="shared" si="1"/>
        <v>#DIV/0!</v>
      </c>
      <c r="J21" s="139">
        <f t="shared" si="2"/>
        <v>0</v>
      </c>
      <c r="K21" s="140" t="str">
        <f t="shared" si="3"/>
        <v/>
      </c>
      <c r="L21" s="141"/>
      <c r="M21" s="142">
        <f t="shared" si="4"/>
        <v>4</v>
      </c>
      <c r="N21" s="143">
        <f t="shared" si="4"/>
        <v>35200</v>
      </c>
      <c r="O21" s="137">
        <f t="shared" si="5"/>
        <v>8000</v>
      </c>
      <c r="P21" s="143">
        <f t="shared" si="6"/>
        <v>10470</v>
      </c>
      <c r="Q21" s="161">
        <f t="shared" si="7"/>
        <v>2379.5</v>
      </c>
      <c r="R21" s="144">
        <f t="shared" si="8"/>
        <v>45670</v>
      </c>
      <c r="S21" s="140">
        <f t="shared" si="9"/>
        <v>11417.5</v>
      </c>
      <c r="T21" s="145">
        <f t="shared" si="10"/>
        <v>4</v>
      </c>
      <c r="U21" s="143">
        <f t="shared" si="10"/>
        <v>35200</v>
      </c>
      <c r="V21" s="143">
        <f t="shared" si="11"/>
        <v>10470</v>
      </c>
      <c r="W21" s="146">
        <f t="shared" si="12"/>
        <v>45670</v>
      </c>
      <c r="X21" s="143">
        <f t="shared" si="13"/>
        <v>11417.5</v>
      </c>
      <c r="Y21" s="147"/>
      <c r="Z21" s="148">
        <v>5</v>
      </c>
      <c r="AA21" s="136">
        <v>4600</v>
      </c>
      <c r="AB21" s="137">
        <f t="shared" si="14"/>
        <v>920</v>
      </c>
      <c r="AC21" s="136">
        <v>0</v>
      </c>
      <c r="AD21" s="138">
        <f t="shared" si="15"/>
        <v>0</v>
      </c>
      <c r="AE21" s="149">
        <f t="shared" si="16"/>
        <v>4600</v>
      </c>
      <c r="AF21" s="140">
        <f t="shared" si="17"/>
        <v>920</v>
      </c>
      <c r="AG21" s="156">
        <f t="shared" si="18"/>
        <v>4</v>
      </c>
      <c r="AH21" s="151">
        <f t="shared" si="19"/>
        <v>39800</v>
      </c>
      <c r="AI21" s="151">
        <f t="shared" si="20"/>
        <v>10470</v>
      </c>
      <c r="AJ21" s="150">
        <f t="shared" si="21"/>
        <v>50270</v>
      </c>
      <c r="AK21" s="143">
        <f t="shared" si="22"/>
        <v>0</v>
      </c>
      <c r="AL21" s="151">
        <v>4</v>
      </c>
      <c r="AM21" s="151">
        <v>35200</v>
      </c>
      <c r="AN21" s="151">
        <v>10470</v>
      </c>
      <c r="AO21" s="152">
        <v>0</v>
      </c>
      <c r="AP21" s="152">
        <v>0</v>
      </c>
      <c r="AQ21" s="152">
        <v>0</v>
      </c>
      <c r="AR21" s="152">
        <v>0</v>
      </c>
      <c r="AS21" s="153">
        <f t="shared" si="23"/>
        <v>45670</v>
      </c>
      <c r="AT21" s="91">
        <v>17</v>
      </c>
      <c r="AU21" s="92">
        <f t="shared" si="24"/>
        <v>45670</v>
      </c>
      <c r="AV21" s="154"/>
    </row>
    <row r="22" spans="1:48" ht="15.75" customHeight="1">
      <c r="A22" s="91"/>
      <c r="B22" s="180">
        <f t="shared" si="25"/>
        <v>45248</v>
      </c>
      <c r="C22" s="133"/>
      <c r="D22" s="134"/>
      <c r="E22" s="135">
        <v>12</v>
      </c>
      <c r="F22" s="136">
        <v>21890</v>
      </c>
      <c r="G22" s="137">
        <f t="shared" si="0"/>
        <v>1658.3333333333333</v>
      </c>
      <c r="H22" s="136">
        <v>4220</v>
      </c>
      <c r="I22" s="137">
        <f t="shared" si="1"/>
        <v>319.66666666666669</v>
      </c>
      <c r="J22" s="139">
        <f t="shared" si="2"/>
        <v>26110</v>
      </c>
      <c r="K22" s="140">
        <f t="shared" si="3"/>
        <v>2175.8333333333335</v>
      </c>
      <c r="L22" s="141"/>
      <c r="M22" s="142">
        <f t="shared" si="4"/>
        <v>36</v>
      </c>
      <c r="N22" s="143">
        <f t="shared" si="4"/>
        <v>351120</v>
      </c>
      <c r="O22" s="137">
        <f t="shared" si="5"/>
        <v>8866.6666666666661</v>
      </c>
      <c r="P22" s="143">
        <f t="shared" si="6"/>
        <v>61980</v>
      </c>
      <c r="Q22" s="161">
        <f t="shared" si="7"/>
        <v>1565.1388888888889</v>
      </c>
      <c r="R22" s="144">
        <f t="shared" si="8"/>
        <v>413100</v>
      </c>
      <c r="S22" s="140">
        <f t="shared" si="9"/>
        <v>11475</v>
      </c>
      <c r="T22" s="145">
        <f t="shared" si="10"/>
        <v>48</v>
      </c>
      <c r="U22" s="143">
        <f t="shared" si="10"/>
        <v>373010</v>
      </c>
      <c r="V22" s="143">
        <f t="shared" si="11"/>
        <v>66200</v>
      </c>
      <c r="W22" s="146">
        <f t="shared" si="12"/>
        <v>439210</v>
      </c>
      <c r="X22" s="143">
        <f t="shared" si="13"/>
        <v>9150.2083333333339</v>
      </c>
      <c r="Y22" s="147"/>
      <c r="Z22" s="148">
        <v>77</v>
      </c>
      <c r="AA22" s="136">
        <v>33000</v>
      </c>
      <c r="AB22" s="137">
        <f t="shared" si="14"/>
        <v>428.57142857142856</v>
      </c>
      <c r="AC22" s="136">
        <v>18950</v>
      </c>
      <c r="AD22" s="138">
        <f t="shared" si="15"/>
        <v>246.10389610389609</v>
      </c>
      <c r="AE22" s="149">
        <f t="shared" si="16"/>
        <v>51950</v>
      </c>
      <c r="AF22" s="140">
        <f t="shared" si="17"/>
        <v>674.67532467532465</v>
      </c>
      <c r="AG22" s="156">
        <f t="shared" si="18"/>
        <v>48</v>
      </c>
      <c r="AH22" s="151">
        <f t="shared" si="19"/>
        <v>406010</v>
      </c>
      <c r="AI22" s="151">
        <f t="shared" si="20"/>
        <v>85150</v>
      </c>
      <c r="AJ22" s="150">
        <f t="shared" si="21"/>
        <v>491160</v>
      </c>
      <c r="AK22" s="143">
        <f t="shared" si="22"/>
        <v>22000</v>
      </c>
      <c r="AL22" s="151">
        <v>48</v>
      </c>
      <c r="AM22" s="151">
        <v>373010</v>
      </c>
      <c r="AN22" s="151">
        <v>66200</v>
      </c>
      <c r="AO22" s="152">
        <v>22000</v>
      </c>
      <c r="AP22" s="152">
        <v>0</v>
      </c>
      <c r="AQ22" s="152">
        <v>0</v>
      </c>
      <c r="AR22" s="152">
        <v>0</v>
      </c>
      <c r="AS22" s="153">
        <f t="shared" si="23"/>
        <v>461210</v>
      </c>
      <c r="AT22" s="91">
        <v>18</v>
      </c>
      <c r="AU22" s="92">
        <f t="shared" si="24"/>
        <v>461210</v>
      </c>
      <c r="AV22" s="154"/>
    </row>
    <row r="23" spans="1:48" ht="15.75" customHeight="1">
      <c r="A23" s="91"/>
      <c r="B23" s="157">
        <f t="shared" si="25"/>
        <v>45249</v>
      </c>
      <c r="C23" s="133"/>
      <c r="D23" s="134"/>
      <c r="E23" s="135">
        <v>26</v>
      </c>
      <c r="F23" s="136">
        <v>89650</v>
      </c>
      <c r="G23" s="137">
        <f t="shared" si="0"/>
        <v>3134.6153846153848</v>
      </c>
      <c r="H23" s="136">
        <v>12080</v>
      </c>
      <c r="I23" s="137">
        <f t="shared" si="1"/>
        <v>422.34615384615387</v>
      </c>
      <c r="J23" s="139">
        <f t="shared" si="2"/>
        <v>101730</v>
      </c>
      <c r="K23" s="140">
        <f t="shared" si="3"/>
        <v>3912.6923076923076</v>
      </c>
      <c r="L23" s="141"/>
      <c r="M23" s="142">
        <f t="shared" si="4"/>
        <v>30</v>
      </c>
      <c r="N23" s="143">
        <f t="shared" si="4"/>
        <v>280390</v>
      </c>
      <c r="O23" s="137">
        <f t="shared" si="5"/>
        <v>8496.6666666666661</v>
      </c>
      <c r="P23" s="143">
        <f t="shared" si="6"/>
        <v>47410</v>
      </c>
      <c r="Q23" s="161">
        <f t="shared" si="7"/>
        <v>1436.6666666666667</v>
      </c>
      <c r="R23" s="144">
        <f t="shared" si="8"/>
        <v>327800</v>
      </c>
      <c r="S23" s="140">
        <f t="shared" si="9"/>
        <v>10926.666666666666</v>
      </c>
      <c r="T23" s="145">
        <f t="shared" si="10"/>
        <v>56</v>
      </c>
      <c r="U23" s="143">
        <f t="shared" si="10"/>
        <v>370040</v>
      </c>
      <c r="V23" s="143">
        <f t="shared" si="11"/>
        <v>59490</v>
      </c>
      <c r="W23" s="146">
        <f t="shared" si="12"/>
        <v>429530</v>
      </c>
      <c r="X23" s="143">
        <f t="shared" si="13"/>
        <v>7670.1785714285716</v>
      </c>
      <c r="Y23" s="147"/>
      <c r="Z23" s="148">
        <v>92</v>
      </c>
      <c r="AA23" s="136">
        <v>50400</v>
      </c>
      <c r="AB23" s="137">
        <f t="shared" si="14"/>
        <v>547.82608695652175</v>
      </c>
      <c r="AC23" s="136">
        <v>23250</v>
      </c>
      <c r="AD23" s="138">
        <f t="shared" si="15"/>
        <v>252.71739130434781</v>
      </c>
      <c r="AE23" s="149">
        <f t="shared" si="16"/>
        <v>73650</v>
      </c>
      <c r="AF23" s="140">
        <f t="shared" si="17"/>
        <v>800.54347826086962</v>
      </c>
      <c r="AG23" s="156">
        <f t="shared" si="18"/>
        <v>56</v>
      </c>
      <c r="AH23" s="151">
        <f t="shared" si="19"/>
        <v>420440</v>
      </c>
      <c r="AI23" s="151">
        <f t="shared" si="20"/>
        <v>82740</v>
      </c>
      <c r="AJ23" s="150">
        <f t="shared" si="21"/>
        <v>503180</v>
      </c>
      <c r="AK23" s="143">
        <f t="shared" si="22"/>
        <v>29700</v>
      </c>
      <c r="AL23" s="151">
        <v>56</v>
      </c>
      <c r="AM23" s="151">
        <v>370040</v>
      </c>
      <c r="AN23" s="151">
        <v>59490</v>
      </c>
      <c r="AO23" s="152">
        <v>29700</v>
      </c>
      <c r="AP23" s="152">
        <v>0</v>
      </c>
      <c r="AQ23" s="152">
        <v>0</v>
      </c>
      <c r="AR23" s="152">
        <v>0</v>
      </c>
      <c r="AS23" s="153">
        <f t="shared" si="23"/>
        <v>459230</v>
      </c>
      <c r="AT23" s="91">
        <v>19</v>
      </c>
      <c r="AU23" s="92">
        <f t="shared" si="24"/>
        <v>459230</v>
      </c>
      <c r="AV23" s="154"/>
    </row>
    <row r="24" spans="1:48" ht="15.75" customHeight="1">
      <c r="A24" s="91"/>
      <c r="B24" s="158">
        <f t="shared" si="25"/>
        <v>45250</v>
      </c>
      <c r="C24" s="133" t="s">
        <v>52</v>
      </c>
      <c r="D24" s="134"/>
      <c r="E24" s="135"/>
      <c r="F24" s="136"/>
      <c r="G24" s="137" t="e">
        <f t="shared" si="0"/>
        <v>#DIV/0!</v>
      </c>
      <c r="H24" s="136"/>
      <c r="I24" s="137" t="e">
        <f t="shared" si="1"/>
        <v>#DIV/0!</v>
      </c>
      <c r="J24" s="139">
        <f t="shared" si="2"/>
        <v>0</v>
      </c>
      <c r="K24" s="140" t="str">
        <f t="shared" si="3"/>
        <v/>
      </c>
      <c r="L24" s="141"/>
      <c r="M24" s="142">
        <f t="shared" si="4"/>
        <v>36</v>
      </c>
      <c r="N24" s="143">
        <f t="shared" si="4"/>
        <v>335260</v>
      </c>
      <c r="O24" s="137">
        <f t="shared" si="5"/>
        <v>8466.1388888888887</v>
      </c>
      <c r="P24" s="143">
        <f t="shared" si="6"/>
        <v>50230</v>
      </c>
      <c r="Q24" s="161">
        <f t="shared" si="7"/>
        <v>1268.4166666666667</v>
      </c>
      <c r="R24" s="144">
        <f t="shared" si="8"/>
        <v>385490</v>
      </c>
      <c r="S24" s="140">
        <f t="shared" si="9"/>
        <v>10708.055555555555</v>
      </c>
      <c r="T24" s="145">
        <f t="shared" si="10"/>
        <v>36</v>
      </c>
      <c r="U24" s="143">
        <f t="shared" si="10"/>
        <v>335260</v>
      </c>
      <c r="V24" s="143">
        <f t="shared" si="11"/>
        <v>50230</v>
      </c>
      <c r="W24" s="146">
        <f t="shared" si="12"/>
        <v>385490</v>
      </c>
      <c r="X24" s="143">
        <f t="shared" si="13"/>
        <v>10708.055555555555</v>
      </c>
      <c r="Y24" s="147"/>
      <c r="Z24" s="148">
        <v>35</v>
      </c>
      <c r="AA24" s="136">
        <v>23350</v>
      </c>
      <c r="AB24" s="137">
        <f t="shared" si="14"/>
        <v>667.14285714285711</v>
      </c>
      <c r="AC24" s="136">
        <v>11850</v>
      </c>
      <c r="AD24" s="138">
        <f t="shared" si="15"/>
        <v>338.57142857142856</v>
      </c>
      <c r="AE24" s="149">
        <f t="shared" si="16"/>
        <v>35200</v>
      </c>
      <c r="AF24" s="140">
        <f t="shared" si="17"/>
        <v>1005.7142857142857</v>
      </c>
      <c r="AG24" s="156">
        <f t="shared" si="18"/>
        <v>36</v>
      </c>
      <c r="AH24" s="151">
        <f t="shared" si="19"/>
        <v>358610</v>
      </c>
      <c r="AI24" s="151">
        <f t="shared" si="20"/>
        <v>62080</v>
      </c>
      <c r="AJ24" s="150">
        <f t="shared" si="21"/>
        <v>420690</v>
      </c>
      <c r="AK24" s="143">
        <f t="shared" si="22"/>
        <v>82950</v>
      </c>
      <c r="AL24" s="151">
        <v>36</v>
      </c>
      <c r="AM24" s="151">
        <v>335260</v>
      </c>
      <c r="AN24" s="151">
        <v>50230</v>
      </c>
      <c r="AO24" s="152">
        <v>26950</v>
      </c>
      <c r="AP24" s="152">
        <v>56000</v>
      </c>
      <c r="AQ24" s="152">
        <v>0</v>
      </c>
      <c r="AR24" s="152">
        <v>0</v>
      </c>
      <c r="AS24" s="153">
        <f t="shared" si="23"/>
        <v>468440</v>
      </c>
      <c r="AT24" s="91">
        <v>20</v>
      </c>
      <c r="AU24" s="92">
        <f t="shared" si="24"/>
        <v>468440</v>
      </c>
      <c r="AV24" s="154"/>
    </row>
    <row r="25" spans="1:48" ht="15.75" customHeight="1">
      <c r="A25" s="91"/>
      <c r="B25" s="158">
        <f t="shared" si="25"/>
        <v>45251</v>
      </c>
      <c r="C25" s="133" t="s">
        <v>52</v>
      </c>
      <c r="D25" s="134"/>
      <c r="E25" s="135"/>
      <c r="F25" s="136"/>
      <c r="G25" s="137" t="e">
        <f t="shared" si="0"/>
        <v>#DIV/0!</v>
      </c>
      <c r="H25" s="136"/>
      <c r="I25" s="137" t="e">
        <f t="shared" si="1"/>
        <v>#DIV/0!</v>
      </c>
      <c r="J25" s="139">
        <f t="shared" si="2"/>
        <v>0</v>
      </c>
      <c r="K25" s="140" t="str">
        <f t="shared" si="3"/>
        <v/>
      </c>
      <c r="L25" s="141"/>
      <c r="M25" s="142">
        <f t="shared" si="4"/>
        <v>31</v>
      </c>
      <c r="N25" s="143">
        <f t="shared" si="4"/>
        <v>284350</v>
      </c>
      <c r="O25" s="137">
        <f t="shared" si="5"/>
        <v>8338.7096774193542</v>
      </c>
      <c r="P25" s="143">
        <f t="shared" si="6"/>
        <v>53400</v>
      </c>
      <c r="Q25" s="161">
        <f t="shared" si="7"/>
        <v>1565.9677419354839</v>
      </c>
      <c r="R25" s="144">
        <f t="shared" si="8"/>
        <v>337750</v>
      </c>
      <c r="S25" s="140">
        <f t="shared" si="9"/>
        <v>10895.161290322581</v>
      </c>
      <c r="T25" s="145">
        <f t="shared" si="10"/>
        <v>31</v>
      </c>
      <c r="U25" s="143">
        <f t="shared" si="10"/>
        <v>284350</v>
      </c>
      <c r="V25" s="143">
        <f t="shared" si="11"/>
        <v>53400</v>
      </c>
      <c r="W25" s="146">
        <f t="shared" si="12"/>
        <v>337750</v>
      </c>
      <c r="X25" s="143">
        <f t="shared" si="13"/>
        <v>10895.161290322581</v>
      </c>
      <c r="Y25" s="147"/>
      <c r="Z25" s="148">
        <v>81</v>
      </c>
      <c r="AA25" s="136">
        <v>46600</v>
      </c>
      <c r="AB25" s="137">
        <f t="shared" si="14"/>
        <v>575.30864197530866</v>
      </c>
      <c r="AC25" s="136">
        <v>18650</v>
      </c>
      <c r="AD25" s="138">
        <f t="shared" si="15"/>
        <v>230.24691358024691</v>
      </c>
      <c r="AE25" s="149">
        <f t="shared" si="16"/>
        <v>65250</v>
      </c>
      <c r="AF25" s="140">
        <f t="shared" si="17"/>
        <v>805.55555555555554</v>
      </c>
      <c r="AG25" s="156">
        <f t="shared" si="18"/>
        <v>31</v>
      </c>
      <c r="AH25" s="151">
        <f t="shared" si="19"/>
        <v>330950</v>
      </c>
      <c r="AI25" s="151">
        <f t="shared" si="20"/>
        <v>72050</v>
      </c>
      <c r="AJ25" s="150">
        <f t="shared" si="21"/>
        <v>403000</v>
      </c>
      <c r="AK25" s="143">
        <f t="shared" si="22"/>
        <v>23010</v>
      </c>
      <c r="AL25" s="151">
        <v>31</v>
      </c>
      <c r="AM25" s="151">
        <v>284350</v>
      </c>
      <c r="AN25" s="151">
        <v>53400</v>
      </c>
      <c r="AO25" s="152">
        <v>21450</v>
      </c>
      <c r="AP25" s="152">
        <v>1560</v>
      </c>
      <c r="AQ25" s="152">
        <v>0</v>
      </c>
      <c r="AR25" s="152">
        <v>24200</v>
      </c>
      <c r="AS25" s="153">
        <f t="shared" si="23"/>
        <v>360760</v>
      </c>
      <c r="AT25" s="91">
        <v>21</v>
      </c>
      <c r="AU25" s="92">
        <f t="shared" si="24"/>
        <v>384960</v>
      </c>
      <c r="AV25" s="154"/>
    </row>
    <row r="26" spans="1:48" ht="15.75" customHeight="1">
      <c r="A26" s="91"/>
      <c r="B26" s="158">
        <f t="shared" si="25"/>
        <v>45252</v>
      </c>
      <c r="C26" s="133" t="s">
        <v>52</v>
      </c>
      <c r="D26" s="134"/>
      <c r="E26" s="135"/>
      <c r="F26" s="136"/>
      <c r="G26" s="137" t="e">
        <f t="shared" si="0"/>
        <v>#DIV/0!</v>
      </c>
      <c r="H26" s="136"/>
      <c r="I26" s="137" t="e">
        <f t="shared" si="1"/>
        <v>#DIV/0!</v>
      </c>
      <c r="J26" s="139">
        <f t="shared" si="2"/>
        <v>0</v>
      </c>
      <c r="K26" s="140" t="str">
        <f t="shared" si="3"/>
        <v/>
      </c>
      <c r="L26" s="141"/>
      <c r="M26" s="142">
        <f t="shared" si="4"/>
        <v>37</v>
      </c>
      <c r="N26" s="143">
        <f t="shared" si="4"/>
        <v>341310</v>
      </c>
      <c r="O26" s="137">
        <f t="shared" si="5"/>
        <v>8385.9729729729734</v>
      </c>
      <c r="P26" s="143">
        <f t="shared" si="6"/>
        <v>66990</v>
      </c>
      <c r="Q26" s="161">
        <f t="shared" si="7"/>
        <v>1645.9459459459461</v>
      </c>
      <c r="R26" s="144">
        <f t="shared" si="8"/>
        <v>408300</v>
      </c>
      <c r="S26" s="140">
        <f t="shared" si="9"/>
        <v>11035.135135135135</v>
      </c>
      <c r="T26" s="145">
        <f t="shared" si="10"/>
        <v>37</v>
      </c>
      <c r="U26" s="143">
        <f t="shared" si="10"/>
        <v>341310</v>
      </c>
      <c r="V26" s="143">
        <f t="shared" si="11"/>
        <v>66990</v>
      </c>
      <c r="W26" s="146">
        <f t="shared" si="12"/>
        <v>408300</v>
      </c>
      <c r="X26" s="143">
        <f t="shared" si="13"/>
        <v>11035.135135135135</v>
      </c>
      <c r="Y26" s="147"/>
      <c r="Z26" s="148">
        <v>43</v>
      </c>
      <c r="AA26" s="136">
        <v>21650</v>
      </c>
      <c r="AB26" s="137">
        <f t="shared" si="14"/>
        <v>503.48837209302326</v>
      </c>
      <c r="AC26" s="136">
        <v>12400</v>
      </c>
      <c r="AD26" s="138">
        <f t="shared" si="15"/>
        <v>288.37209302325579</v>
      </c>
      <c r="AE26" s="149">
        <f t="shared" si="16"/>
        <v>34050</v>
      </c>
      <c r="AF26" s="140">
        <f t="shared" si="17"/>
        <v>791.8604651162791</v>
      </c>
      <c r="AG26" s="156">
        <f t="shared" si="18"/>
        <v>37</v>
      </c>
      <c r="AH26" s="151">
        <f t="shared" si="19"/>
        <v>362960</v>
      </c>
      <c r="AI26" s="151">
        <f t="shared" si="20"/>
        <v>79390</v>
      </c>
      <c r="AJ26" s="150">
        <f t="shared" si="21"/>
        <v>442350</v>
      </c>
      <c r="AK26" s="143">
        <f t="shared" si="22"/>
        <v>20350</v>
      </c>
      <c r="AL26" s="151">
        <v>37</v>
      </c>
      <c r="AM26" s="151">
        <v>341310</v>
      </c>
      <c r="AN26" s="151">
        <v>66990</v>
      </c>
      <c r="AO26" s="152">
        <v>20350</v>
      </c>
      <c r="AP26" s="152">
        <v>0</v>
      </c>
      <c r="AQ26" s="152">
        <v>0</v>
      </c>
      <c r="AR26" s="152">
        <v>3300</v>
      </c>
      <c r="AS26" s="153">
        <f t="shared" si="23"/>
        <v>428650</v>
      </c>
      <c r="AT26" s="91">
        <v>22</v>
      </c>
      <c r="AU26" s="92">
        <f t="shared" si="24"/>
        <v>431950</v>
      </c>
      <c r="AV26" s="154"/>
    </row>
    <row r="27" spans="1:48" ht="15.75" customHeight="1">
      <c r="A27" s="91"/>
      <c r="B27" s="157">
        <f t="shared" si="25"/>
        <v>45253</v>
      </c>
      <c r="C27" s="133"/>
      <c r="D27" s="134"/>
      <c r="E27" s="135">
        <v>28</v>
      </c>
      <c r="F27" s="136">
        <v>119680</v>
      </c>
      <c r="G27" s="137">
        <f t="shared" si="0"/>
        <v>3885.7142857142858</v>
      </c>
      <c r="H27" s="136">
        <v>9050</v>
      </c>
      <c r="I27" s="137">
        <f t="shared" si="1"/>
        <v>293.82142857142856</v>
      </c>
      <c r="J27" s="139">
        <f t="shared" si="2"/>
        <v>128730</v>
      </c>
      <c r="K27" s="140">
        <f t="shared" si="3"/>
        <v>4597.5</v>
      </c>
      <c r="L27" s="141"/>
      <c r="M27" s="142">
        <f t="shared" si="4"/>
        <v>39</v>
      </c>
      <c r="N27" s="143">
        <f t="shared" si="4"/>
        <v>404340</v>
      </c>
      <c r="O27" s="137">
        <f t="shared" si="5"/>
        <v>9425.1538461538457</v>
      </c>
      <c r="P27" s="143">
        <f t="shared" si="6"/>
        <v>43530</v>
      </c>
      <c r="Q27" s="138">
        <f t="shared" si="7"/>
        <v>1014.6666666666666</v>
      </c>
      <c r="R27" s="144">
        <f t="shared" si="8"/>
        <v>447870</v>
      </c>
      <c r="S27" s="140">
        <f t="shared" si="9"/>
        <v>11483.846153846154</v>
      </c>
      <c r="T27" s="145">
        <f t="shared" si="10"/>
        <v>67</v>
      </c>
      <c r="U27" s="143">
        <f t="shared" si="10"/>
        <v>524020</v>
      </c>
      <c r="V27" s="143">
        <f t="shared" si="11"/>
        <v>52580</v>
      </c>
      <c r="W27" s="146">
        <f t="shared" si="12"/>
        <v>576600</v>
      </c>
      <c r="X27" s="143">
        <f t="shared" si="13"/>
        <v>8605.9701492537315</v>
      </c>
      <c r="Y27" s="147"/>
      <c r="Z27" s="148">
        <v>74</v>
      </c>
      <c r="AA27" s="136">
        <v>50850</v>
      </c>
      <c r="AB27" s="137">
        <f t="shared" si="14"/>
        <v>687.16216216216219</v>
      </c>
      <c r="AC27" s="136">
        <v>17850</v>
      </c>
      <c r="AD27" s="138">
        <f t="shared" si="15"/>
        <v>241.21621621621622</v>
      </c>
      <c r="AE27" s="149">
        <f t="shared" si="16"/>
        <v>68700</v>
      </c>
      <c r="AF27" s="140">
        <f t="shared" si="17"/>
        <v>928.37837837837833</v>
      </c>
      <c r="AG27" s="156">
        <f t="shared" si="18"/>
        <v>67</v>
      </c>
      <c r="AH27" s="151">
        <f t="shared" si="19"/>
        <v>574870</v>
      </c>
      <c r="AI27" s="151">
        <f t="shared" si="20"/>
        <v>70430</v>
      </c>
      <c r="AJ27" s="150">
        <f t="shared" si="21"/>
        <v>645300</v>
      </c>
      <c r="AK27" s="143">
        <f t="shared" si="22"/>
        <v>28600</v>
      </c>
      <c r="AL27" s="151">
        <v>67</v>
      </c>
      <c r="AM27" s="151">
        <v>524020</v>
      </c>
      <c r="AN27" s="151">
        <v>52580</v>
      </c>
      <c r="AO27" s="152">
        <v>28600</v>
      </c>
      <c r="AP27" s="152">
        <v>0</v>
      </c>
      <c r="AQ27" s="152">
        <v>0</v>
      </c>
      <c r="AR27" s="152">
        <v>0</v>
      </c>
      <c r="AS27" s="153">
        <f t="shared" si="23"/>
        <v>605200</v>
      </c>
      <c r="AT27" s="91">
        <v>23</v>
      </c>
      <c r="AU27" s="92">
        <f t="shared" si="24"/>
        <v>605200</v>
      </c>
      <c r="AV27" s="154"/>
    </row>
    <row r="28" spans="1:48" ht="15.75" customHeight="1">
      <c r="A28" s="91"/>
      <c r="B28" s="158">
        <f t="shared" si="25"/>
        <v>45254</v>
      </c>
      <c r="C28" s="133" t="s">
        <v>79</v>
      </c>
      <c r="D28" s="134"/>
      <c r="E28" s="135"/>
      <c r="F28" s="136"/>
      <c r="G28" s="137" t="e">
        <f t="shared" si="0"/>
        <v>#DIV/0!</v>
      </c>
      <c r="H28" s="136"/>
      <c r="I28" s="137" t="e">
        <f t="shared" si="1"/>
        <v>#DIV/0!</v>
      </c>
      <c r="J28" s="139">
        <f t="shared" si="2"/>
        <v>0</v>
      </c>
      <c r="K28" s="140" t="str">
        <f t="shared" si="3"/>
        <v/>
      </c>
      <c r="L28" s="141"/>
      <c r="M28" s="142">
        <f t="shared" si="4"/>
        <v>0</v>
      </c>
      <c r="N28" s="143">
        <f t="shared" si="4"/>
        <v>0</v>
      </c>
      <c r="O28" s="137" t="e">
        <f t="shared" si="5"/>
        <v>#DIV/0!</v>
      </c>
      <c r="P28" s="143">
        <f t="shared" si="6"/>
        <v>0</v>
      </c>
      <c r="Q28" s="138" t="e">
        <f t="shared" si="7"/>
        <v>#DIV/0!</v>
      </c>
      <c r="R28" s="144">
        <f t="shared" si="8"/>
        <v>0</v>
      </c>
      <c r="S28" s="140" t="e">
        <f t="shared" si="9"/>
        <v>#DIV/0!</v>
      </c>
      <c r="T28" s="145">
        <f t="shared" si="10"/>
        <v>0</v>
      </c>
      <c r="U28" s="143">
        <f t="shared" si="10"/>
        <v>0</v>
      </c>
      <c r="V28" s="143">
        <f t="shared" si="11"/>
        <v>0</v>
      </c>
      <c r="W28" s="146">
        <f t="shared" si="12"/>
        <v>0</v>
      </c>
      <c r="X28" s="143" t="e">
        <f t="shared" si="13"/>
        <v>#DIV/0!</v>
      </c>
      <c r="Y28" s="147"/>
      <c r="Z28" s="148">
        <v>5</v>
      </c>
      <c r="AA28" s="136">
        <v>2000</v>
      </c>
      <c r="AB28" s="137">
        <f t="shared" si="14"/>
        <v>400</v>
      </c>
      <c r="AC28" s="136">
        <v>750</v>
      </c>
      <c r="AD28" s="138">
        <f t="shared" si="15"/>
        <v>150</v>
      </c>
      <c r="AE28" s="149">
        <f t="shared" si="16"/>
        <v>2750</v>
      </c>
      <c r="AF28" s="140">
        <f t="shared" si="17"/>
        <v>550</v>
      </c>
      <c r="AG28" s="156">
        <f t="shared" si="18"/>
        <v>0</v>
      </c>
      <c r="AH28" s="151">
        <f t="shared" si="19"/>
        <v>2000</v>
      </c>
      <c r="AI28" s="151">
        <f t="shared" si="20"/>
        <v>750</v>
      </c>
      <c r="AJ28" s="150">
        <f t="shared" si="21"/>
        <v>2750</v>
      </c>
      <c r="AK28" s="143">
        <f t="shared" si="22"/>
        <v>0</v>
      </c>
      <c r="AL28" s="151"/>
      <c r="AM28" s="151"/>
      <c r="AN28" s="151"/>
      <c r="AO28" s="152"/>
      <c r="AP28" s="152"/>
      <c r="AQ28" s="152">
        <v>0</v>
      </c>
      <c r="AR28" s="152">
        <v>0</v>
      </c>
      <c r="AS28" s="153">
        <f t="shared" si="23"/>
        <v>0</v>
      </c>
      <c r="AT28" s="91">
        <v>24</v>
      </c>
      <c r="AU28" s="92">
        <f t="shared" si="24"/>
        <v>0</v>
      </c>
      <c r="AV28" s="154"/>
    </row>
    <row r="29" spans="1:48" ht="15.75" customHeight="1">
      <c r="A29" s="91"/>
      <c r="B29" s="180">
        <f t="shared" si="25"/>
        <v>45255</v>
      </c>
      <c r="C29" s="133" t="s">
        <v>80</v>
      </c>
      <c r="D29" s="134"/>
      <c r="E29" s="135"/>
      <c r="F29" s="136"/>
      <c r="G29" s="137" t="e">
        <f t="shared" si="0"/>
        <v>#DIV/0!</v>
      </c>
      <c r="H29" s="136"/>
      <c r="I29" s="137" t="e">
        <f t="shared" si="1"/>
        <v>#DIV/0!</v>
      </c>
      <c r="J29" s="139">
        <f t="shared" si="2"/>
        <v>0</v>
      </c>
      <c r="K29" s="140" t="str">
        <f t="shared" si="3"/>
        <v/>
      </c>
      <c r="L29" s="141"/>
      <c r="M29" s="142">
        <f t="shared" si="4"/>
        <v>0</v>
      </c>
      <c r="N29" s="143">
        <f t="shared" si="4"/>
        <v>0</v>
      </c>
      <c r="O29" s="137" t="e">
        <f t="shared" si="5"/>
        <v>#DIV/0!</v>
      </c>
      <c r="P29" s="143">
        <f t="shared" si="6"/>
        <v>0</v>
      </c>
      <c r="Q29" s="138" t="e">
        <f t="shared" si="7"/>
        <v>#DIV/0!</v>
      </c>
      <c r="R29" s="144">
        <f t="shared" si="8"/>
        <v>0</v>
      </c>
      <c r="S29" s="140" t="e">
        <f t="shared" si="9"/>
        <v>#DIV/0!</v>
      </c>
      <c r="T29" s="145">
        <f t="shared" si="10"/>
        <v>0</v>
      </c>
      <c r="U29" s="143">
        <f t="shared" si="10"/>
        <v>0</v>
      </c>
      <c r="V29" s="143">
        <f t="shared" si="11"/>
        <v>0</v>
      </c>
      <c r="W29" s="146">
        <f t="shared" si="12"/>
        <v>0</v>
      </c>
      <c r="X29" s="143" t="e">
        <f t="shared" si="13"/>
        <v>#DIV/0!</v>
      </c>
      <c r="Y29" s="147"/>
      <c r="Z29" s="148"/>
      <c r="AA29" s="136"/>
      <c r="AB29" s="137" t="e">
        <f t="shared" si="14"/>
        <v>#DIV/0!</v>
      </c>
      <c r="AC29" s="136"/>
      <c r="AD29" s="138" t="e">
        <f t="shared" si="15"/>
        <v>#DIV/0!</v>
      </c>
      <c r="AE29" s="149">
        <f t="shared" si="16"/>
        <v>0</v>
      </c>
      <c r="AF29" s="140" t="str">
        <f t="shared" si="17"/>
        <v/>
      </c>
      <c r="AG29" s="156">
        <f t="shared" si="18"/>
        <v>0</v>
      </c>
      <c r="AH29" s="151">
        <f t="shared" si="19"/>
        <v>0</v>
      </c>
      <c r="AI29" s="151">
        <f t="shared" si="20"/>
        <v>0</v>
      </c>
      <c r="AJ29" s="150">
        <f t="shared" si="21"/>
        <v>0</v>
      </c>
      <c r="AK29" s="143">
        <f t="shared" si="22"/>
        <v>0</v>
      </c>
      <c r="AL29" s="151"/>
      <c r="AM29" s="151"/>
      <c r="AN29" s="151"/>
      <c r="AO29" s="152"/>
      <c r="AP29" s="152"/>
      <c r="AQ29" s="152">
        <v>0</v>
      </c>
      <c r="AR29" s="152">
        <v>0</v>
      </c>
      <c r="AS29" s="153">
        <f t="shared" si="23"/>
        <v>0</v>
      </c>
      <c r="AT29" s="91">
        <v>25</v>
      </c>
      <c r="AU29" s="92">
        <f t="shared" si="24"/>
        <v>0</v>
      </c>
      <c r="AV29" s="91"/>
    </row>
    <row r="30" spans="1:48" ht="15.75" customHeight="1">
      <c r="A30" s="91"/>
      <c r="B30" s="157">
        <f t="shared" si="25"/>
        <v>45256</v>
      </c>
      <c r="C30" s="133"/>
      <c r="D30" s="134"/>
      <c r="E30" s="135">
        <v>26</v>
      </c>
      <c r="F30" s="136">
        <v>82700</v>
      </c>
      <c r="G30" s="137">
        <f t="shared" si="0"/>
        <v>2891.5769230769229</v>
      </c>
      <c r="H30" s="136">
        <v>17940</v>
      </c>
      <c r="I30" s="137">
        <f t="shared" si="1"/>
        <v>627.26923076923072</v>
      </c>
      <c r="J30" s="139">
        <f t="shared" si="2"/>
        <v>100640</v>
      </c>
      <c r="K30" s="140">
        <f t="shared" si="3"/>
        <v>3870.7692307692309</v>
      </c>
      <c r="L30" s="141"/>
      <c r="M30" s="142">
        <f t="shared" si="4"/>
        <v>32</v>
      </c>
      <c r="N30" s="143">
        <f t="shared" si="4"/>
        <v>276560</v>
      </c>
      <c r="O30" s="137">
        <f t="shared" si="5"/>
        <v>7856.8125</v>
      </c>
      <c r="P30" s="143">
        <f t="shared" si="6"/>
        <v>42660</v>
      </c>
      <c r="Q30" s="137">
        <f t="shared" si="7"/>
        <v>1211.90625</v>
      </c>
      <c r="R30" s="144">
        <f t="shared" si="8"/>
        <v>319220</v>
      </c>
      <c r="S30" s="140">
        <f t="shared" si="9"/>
        <v>9975.625</v>
      </c>
      <c r="T30" s="145">
        <f t="shared" si="10"/>
        <v>58</v>
      </c>
      <c r="U30" s="143">
        <f t="shared" si="10"/>
        <v>359260</v>
      </c>
      <c r="V30" s="143">
        <f t="shared" si="11"/>
        <v>60600</v>
      </c>
      <c r="W30" s="146">
        <f t="shared" si="12"/>
        <v>419860</v>
      </c>
      <c r="X30" s="143">
        <f t="shared" si="13"/>
        <v>7238.9655172413795</v>
      </c>
      <c r="Y30" s="147"/>
      <c r="Z30" s="148">
        <v>55</v>
      </c>
      <c r="AA30" s="136">
        <v>41350</v>
      </c>
      <c r="AB30" s="137">
        <f t="shared" si="14"/>
        <v>751.81818181818187</v>
      </c>
      <c r="AC30" s="136">
        <v>22450</v>
      </c>
      <c r="AD30" s="138">
        <f t="shared" si="15"/>
        <v>408.18181818181819</v>
      </c>
      <c r="AE30" s="149">
        <f t="shared" si="16"/>
        <v>63800</v>
      </c>
      <c r="AF30" s="140">
        <f t="shared" si="17"/>
        <v>1160</v>
      </c>
      <c r="AG30" s="156">
        <f t="shared" si="18"/>
        <v>58</v>
      </c>
      <c r="AH30" s="151">
        <f t="shared" si="19"/>
        <v>400610</v>
      </c>
      <c r="AI30" s="151">
        <f t="shared" si="20"/>
        <v>83050</v>
      </c>
      <c r="AJ30" s="150">
        <f t="shared" si="21"/>
        <v>483660</v>
      </c>
      <c r="AK30" s="143">
        <f t="shared" si="22"/>
        <v>13200</v>
      </c>
      <c r="AL30" s="151">
        <v>58</v>
      </c>
      <c r="AM30" s="151">
        <v>359260</v>
      </c>
      <c r="AN30" s="151">
        <v>60600</v>
      </c>
      <c r="AO30" s="152">
        <v>13200</v>
      </c>
      <c r="AP30" s="152">
        <v>0</v>
      </c>
      <c r="AQ30" s="152">
        <v>0</v>
      </c>
      <c r="AR30" s="152">
        <v>0</v>
      </c>
      <c r="AS30" s="153">
        <f t="shared" si="23"/>
        <v>433060</v>
      </c>
      <c r="AT30" s="91">
        <v>26</v>
      </c>
      <c r="AU30" s="92">
        <f t="shared" si="24"/>
        <v>433060</v>
      </c>
      <c r="AV30" s="154"/>
    </row>
    <row r="31" spans="1:48" ht="15.75" customHeight="1">
      <c r="A31" s="91"/>
      <c r="B31" s="158">
        <f t="shared" si="25"/>
        <v>45257</v>
      </c>
      <c r="C31" s="133" t="s">
        <v>52</v>
      </c>
      <c r="D31" s="134"/>
      <c r="E31" s="135"/>
      <c r="F31" s="136"/>
      <c r="G31" s="137" t="e">
        <f t="shared" si="0"/>
        <v>#DIV/0!</v>
      </c>
      <c r="H31" s="136"/>
      <c r="I31" s="137" t="e">
        <f t="shared" si="1"/>
        <v>#DIV/0!</v>
      </c>
      <c r="J31" s="139">
        <f t="shared" si="2"/>
        <v>0</v>
      </c>
      <c r="K31" s="140" t="str">
        <f t="shared" si="3"/>
        <v/>
      </c>
      <c r="L31" s="141"/>
      <c r="M31" s="142">
        <f t="shared" si="4"/>
        <v>32</v>
      </c>
      <c r="N31" s="143">
        <f t="shared" si="4"/>
        <v>316670</v>
      </c>
      <c r="O31" s="137">
        <f t="shared" si="5"/>
        <v>8996.28125</v>
      </c>
      <c r="P31" s="143">
        <f t="shared" si="6"/>
        <v>56340</v>
      </c>
      <c r="Q31" s="137">
        <f t="shared" si="7"/>
        <v>1600.5625</v>
      </c>
      <c r="R31" s="144">
        <f t="shared" si="8"/>
        <v>373010</v>
      </c>
      <c r="S31" s="140">
        <f t="shared" si="9"/>
        <v>11656.5625</v>
      </c>
      <c r="T31" s="145">
        <f t="shared" si="10"/>
        <v>32</v>
      </c>
      <c r="U31" s="143">
        <f t="shared" si="10"/>
        <v>316670</v>
      </c>
      <c r="V31" s="143">
        <f t="shared" si="11"/>
        <v>56340</v>
      </c>
      <c r="W31" s="146">
        <f t="shared" si="12"/>
        <v>373010</v>
      </c>
      <c r="X31" s="143">
        <f t="shared" si="13"/>
        <v>11656.5625</v>
      </c>
      <c r="Y31" s="147"/>
      <c r="Z31" s="148">
        <v>41</v>
      </c>
      <c r="AA31" s="136">
        <v>19300</v>
      </c>
      <c r="AB31" s="137">
        <f t="shared" si="14"/>
        <v>470.73170731707319</v>
      </c>
      <c r="AC31" s="136">
        <v>19150</v>
      </c>
      <c r="AD31" s="138">
        <f t="shared" si="15"/>
        <v>467.07317073170731</v>
      </c>
      <c r="AE31" s="149">
        <f t="shared" si="16"/>
        <v>38450</v>
      </c>
      <c r="AF31" s="140">
        <f t="shared" si="17"/>
        <v>937.80487804878044</v>
      </c>
      <c r="AG31" s="156">
        <f t="shared" si="18"/>
        <v>32</v>
      </c>
      <c r="AH31" s="151">
        <f t="shared" si="19"/>
        <v>335970</v>
      </c>
      <c r="AI31" s="151">
        <f t="shared" si="20"/>
        <v>75490</v>
      </c>
      <c r="AJ31" s="150">
        <f t="shared" si="21"/>
        <v>411460</v>
      </c>
      <c r="AK31" s="143">
        <f t="shared" si="22"/>
        <v>89750</v>
      </c>
      <c r="AL31" s="151">
        <v>32</v>
      </c>
      <c r="AM31" s="151">
        <v>316670</v>
      </c>
      <c r="AN31" s="151">
        <v>56340</v>
      </c>
      <c r="AO31" s="152">
        <v>24750</v>
      </c>
      <c r="AP31" s="152">
        <v>65000</v>
      </c>
      <c r="AQ31" s="152">
        <v>0</v>
      </c>
      <c r="AR31" s="152">
        <v>0</v>
      </c>
      <c r="AS31" s="153">
        <f t="shared" si="23"/>
        <v>462760</v>
      </c>
      <c r="AT31" s="91">
        <v>27</v>
      </c>
      <c r="AU31" s="92">
        <f t="shared" si="24"/>
        <v>462760</v>
      </c>
      <c r="AV31" s="154"/>
    </row>
    <row r="32" spans="1:48" ht="15.75" customHeight="1">
      <c r="A32" s="91"/>
      <c r="B32" s="158">
        <f t="shared" si="25"/>
        <v>45258</v>
      </c>
      <c r="C32" s="133" t="s">
        <v>52</v>
      </c>
      <c r="D32" s="134"/>
      <c r="E32" s="135"/>
      <c r="F32" s="136"/>
      <c r="G32" s="137" t="e">
        <f t="shared" si="0"/>
        <v>#DIV/0!</v>
      </c>
      <c r="H32" s="136"/>
      <c r="I32" s="137" t="e">
        <f t="shared" si="1"/>
        <v>#DIV/0!</v>
      </c>
      <c r="J32" s="139">
        <f t="shared" si="2"/>
        <v>0</v>
      </c>
      <c r="K32" s="140" t="str">
        <f t="shared" si="3"/>
        <v/>
      </c>
      <c r="L32" s="141"/>
      <c r="M32" s="142">
        <f t="shared" si="4"/>
        <v>25</v>
      </c>
      <c r="N32" s="143">
        <f t="shared" si="4"/>
        <v>242330</v>
      </c>
      <c r="O32" s="137">
        <f t="shared" si="5"/>
        <v>8812</v>
      </c>
      <c r="P32" s="143">
        <f t="shared" si="6"/>
        <v>36930</v>
      </c>
      <c r="Q32" s="137">
        <f t="shared" si="7"/>
        <v>1342.88</v>
      </c>
      <c r="R32" s="144">
        <f t="shared" si="8"/>
        <v>279260</v>
      </c>
      <c r="S32" s="140">
        <f t="shared" si="9"/>
        <v>11170.4</v>
      </c>
      <c r="T32" s="145">
        <f t="shared" si="10"/>
        <v>25</v>
      </c>
      <c r="U32" s="143">
        <f t="shared" si="10"/>
        <v>242330</v>
      </c>
      <c r="V32" s="143">
        <f t="shared" si="11"/>
        <v>36930</v>
      </c>
      <c r="W32" s="146">
        <f t="shared" si="12"/>
        <v>279260</v>
      </c>
      <c r="X32" s="143">
        <f t="shared" si="13"/>
        <v>11170.4</v>
      </c>
      <c r="Y32" s="147"/>
      <c r="Z32" s="148">
        <v>47</v>
      </c>
      <c r="AA32" s="136">
        <v>28550</v>
      </c>
      <c r="AB32" s="137">
        <f t="shared" si="14"/>
        <v>607.44680851063833</v>
      </c>
      <c r="AC32" s="136">
        <v>13100</v>
      </c>
      <c r="AD32" s="138">
        <f t="shared" si="15"/>
        <v>278.72340425531917</v>
      </c>
      <c r="AE32" s="149">
        <f t="shared" si="16"/>
        <v>41650</v>
      </c>
      <c r="AF32" s="140">
        <f t="shared" si="17"/>
        <v>886.17021276595744</v>
      </c>
      <c r="AG32" s="156">
        <f t="shared" si="18"/>
        <v>25</v>
      </c>
      <c r="AH32" s="151">
        <f t="shared" si="19"/>
        <v>270880</v>
      </c>
      <c r="AI32" s="151">
        <f t="shared" si="20"/>
        <v>50030</v>
      </c>
      <c r="AJ32" s="150">
        <f t="shared" si="21"/>
        <v>320910</v>
      </c>
      <c r="AK32" s="143">
        <f t="shared" si="22"/>
        <v>26660</v>
      </c>
      <c r="AL32" s="151">
        <v>25</v>
      </c>
      <c r="AM32" s="151">
        <v>242330</v>
      </c>
      <c r="AN32" s="151">
        <v>36930</v>
      </c>
      <c r="AO32" s="152">
        <v>20350</v>
      </c>
      <c r="AP32" s="152">
        <v>6310</v>
      </c>
      <c r="AQ32" s="152">
        <v>0</v>
      </c>
      <c r="AR32" s="152">
        <v>18700</v>
      </c>
      <c r="AS32" s="153">
        <f t="shared" si="23"/>
        <v>305920</v>
      </c>
      <c r="AT32" s="91">
        <v>28</v>
      </c>
      <c r="AU32" s="92">
        <f t="shared" si="24"/>
        <v>324620</v>
      </c>
      <c r="AV32" s="154"/>
    </row>
    <row r="33" spans="1:48" ht="15.75" customHeight="1">
      <c r="A33" s="91"/>
      <c r="B33" s="158">
        <f t="shared" si="25"/>
        <v>45259</v>
      </c>
      <c r="C33" s="133" t="s">
        <v>52</v>
      </c>
      <c r="D33" s="134"/>
      <c r="E33" s="135"/>
      <c r="F33" s="136"/>
      <c r="G33" s="137" t="e">
        <f t="shared" si="0"/>
        <v>#DIV/0!</v>
      </c>
      <c r="H33" s="136"/>
      <c r="I33" s="137" t="e">
        <f t="shared" si="1"/>
        <v>#DIV/0!</v>
      </c>
      <c r="J33" s="139">
        <f t="shared" si="2"/>
        <v>0</v>
      </c>
      <c r="K33" s="140" t="str">
        <f t="shared" si="3"/>
        <v/>
      </c>
      <c r="L33" s="141"/>
      <c r="M33" s="142">
        <f t="shared" si="4"/>
        <v>30</v>
      </c>
      <c r="N33" s="143">
        <f t="shared" si="4"/>
        <v>327360</v>
      </c>
      <c r="O33" s="137">
        <f t="shared" si="5"/>
        <v>9920</v>
      </c>
      <c r="P33" s="143">
        <f t="shared" si="6"/>
        <v>56980</v>
      </c>
      <c r="Q33" s="137">
        <f t="shared" si="7"/>
        <v>1726.6666666666667</v>
      </c>
      <c r="R33" s="144">
        <f t="shared" si="8"/>
        <v>384340</v>
      </c>
      <c r="S33" s="140">
        <f t="shared" si="9"/>
        <v>12811.333333333334</v>
      </c>
      <c r="T33" s="145">
        <f t="shared" si="10"/>
        <v>30</v>
      </c>
      <c r="U33" s="143">
        <f t="shared" si="10"/>
        <v>327360</v>
      </c>
      <c r="V33" s="143">
        <f t="shared" si="11"/>
        <v>56980</v>
      </c>
      <c r="W33" s="146">
        <f t="shared" si="12"/>
        <v>384340</v>
      </c>
      <c r="X33" s="143">
        <f t="shared" si="13"/>
        <v>12811.333333333334</v>
      </c>
      <c r="Y33" s="147"/>
      <c r="Z33" s="148">
        <v>20</v>
      </c>
      <c r="AA33" s="136">
        <v>8150</v>
      </c>
      <c r="AB33" s="137">
        <f t="shared" si="14"/>
        <v>407.5</v>
      </c>
      <c r="AC33" s="136">
        <v>8450</v>
      </c>
      <c r="AD33" s="138">
        <f t="shared" si="15"/>
        <v>422.5</v>
      </c>
      <c r="AE33" s="149">
        <f t="shared" si="16"/>
        <v>16600</v>
      </c>
      <c r="AF33" s="140">
        <f t="shared" si="17"/>
        <v>830</v>
      </c>
      <c r="AG33" s="156">
        <f t="shared" si="18"/>
        <v>30</v>
      </c>
      <c r="AH33" s="151">
        <f t="shared" si="19"/>
        <v>335510</v>
      </c>
      <c r="AI33" s="151">
        <f t="shared" si="20"/>
        <v>65430</v>
      </c>
      <c r="AJ33" s="150">
        <f t="shared" si="21"/>
        <v>400940</v>
      </c>
      <c r="AK33" s="143">
        <f t="shared" si="22"/>
        <v>23760</v>
      </c>
      <c r="AL33" s="151">
        <v>30</v>
      </c>
      <c r="AM33" s="151">
        <v>327360</v>
      </c>
      <c r="AN33" s="151">
        <v>56980</v>
      </c>
      <c r="AO33" s="152">
        <v>22550</v>
      </c>
      <c r="AP33" s="152">
        <v>1210</v>
      </c>
      <c r="AQ33" s="152">
        <v>0</v>
      </c>
      <c r="AR33" s="152">
        <v>3300</v>
      </c>
      <c r="AS33" s="153">
        <f t="shared" si="23"/>
        <v>408100</v>
      </c>
      <c r="AT33" s="91">
        <v>29</v>
      </c>
      <c r="AU33" s="92">
        <f t="shared" si="24"/>
        <v>411400</v>
      </c>
      <c r="AV33" s="154"/>
    </row>
    <row r="34" spans="1:48" ht="15.75" customHeight="1">
      <c r="A34" s="91"/>
      <c r="B34" s="158">
        <f t="shared" si="25"/>
        <v>45260</v>
      </c>
      <c r="C34" s="133" t="s">
        <v>52</v>
      </c>
      <c r="D34" s="134"/>
      <c r="E34" s="135"/>
      <c r="F34" s="136"/>
      <c r="G34" s="137" t="e">
        <f t="shared" si="0"/>
        <v>#DIV/0!</v>
      </c>
      <c r="H34" s="136"/>
      <c r="I34" s="137" t="e">
        <f t="shared" si="1"/>
        <v>#DIV/0!</v>
      </c>
      <c r="J34" s="139">
        <f t="shared" si="2"/>
        <v>0</v>
      </c>
      <c r="K34" s="140" t="str">
        <f t="shared" si="3"/>
        <v/>
      </c>
      <c r="L34" s="141"/>
      <c r="M34" s="142">
        <f t="shared" si="4"/>
        <v>14</v>
      </c>
      <c r="N34" s="143">
        <f t="shared" si="4"/>
        <v>141020</v>
      </c>
      <c r="O34" s="137">
        <f t="shared" si="5"/>
        <v>9157.1428571428569</v>
      </c>
      <c r="P34" s="143">
        <f t="shared" si="6"/>
        <v>22350</v>
      </c>
      <c r="Q34" s="137">
        <f t="shared" si="7"/>
        <v>1451.2857142857142</v>
      </c>
      <c r="R34" s="144">
        <f t="shared" si="8"/>
        <v>163370</v>
      </c>
      <c r="S34" s="140">
        <f t="shared" si="9"/>
        <v>11669.285714285714</v>
      </c>
      <c r="T34" s="145">
        <f t="shared" si="10"/>
        <v>14</v>
      </c>
      <c r="U34" s="143">
        <f t="shared" si="10"/>
        <v>141020</v>
      </c>
      <c r="V34" s="143">
        <f t="shared" si="11"/>
        <v>22350</v>
      </c>
      <c r="W34" s="146">
        <f t="shared" si="12"/>
        <v>163370</v>
      </c>
      <c r="X34" s="143">
        <f t="shared" si="13"/>
        <v>11669.285714285714</v>
      </c>
      <c r="Y34" s="163"/>
      <c r="Z34" s="164">
        <v>56</v>
      </c>
      <c r="AA34" s="165">
        <v>29850</v>
      </c>
      <c r="AB34" s="137">
        <f t="shared" si="14"/>
        <v>533.03571428571433</v>
      </c>
      <c r="AC34" s="165">
        <v>17750</v>
      </c>
      <c r="AD34" s="138">
        <f t="shared" si="15"/>
        <v>316.96428571428572</v>
      </c>
      <c r="AE34" s="149">
        <f t="shared" si="16"/>
        <v>47600</v>
      </c>
      <c r="AF34" s="140">
        <f t="shared" si="17"/>
        <v>850</v>
      </c>
      <c r="AG34" s="156">
        <f t="shared" si="18"/>
        <v>14</v>
      </c>
      <c r="AH34" s="151">
        <f t="shared" si="19"/>
        <v>170870</v>
      </c>
      <c r="AI34" s="151">
        <f t="shared" si="20"/>
        <v>40100</v>
      </c>
      <c r="AJ34" s="150">
        <f t="shared" si="21"/>
        <v>210970</v>
      </c>
      <c r="AK34" s="143">
        <f t="shared" si="22"/>
        <v>12100</v>
      </c>
      <c r="AL34" s="151">
        <v>14</v>
      </c>
      <c r="AM34" s="151">
        <v>141020</v>
      </c>
      <c r="AN34" s="151">
        <v>22350</v>
      </c>
      <c r="AO34" s="152">
        <v>12100</v>
      </c>
      <c r="AP34" s="152">
        <v>0</v>
      </c>
      <c r="AQ34" s="152">
        <v>0</v>
      </c>
      <c r="AR34" s="152">
        <v>0</v>
      </c>
      <c r="AS34" s="153">
        <f t="shared" si="23"/>
        <v>175470</v>
      </c>
      <c r="AT34" s="91">
        <v>30</v>
      </c>
      <c r="AU34" s="92">
        <f t="shared" si="24"/>
        <v>175470</v>
      </c>
      <c r="AV34" s="154"/>
    </row>
    <row r="35" spans="1:48" ht="15.75" customHeight="1" thickBot="1">
      <c r="A35" s="91"/>
      <c r="B35" s="158"/>
      <c r="C35" s="133"/>
      <c r="D35" s="134"/>
      <c r="E35" s="135"/>
      <c r="F35" s="136"/>
      <c r="G35" s="137" t="e">
        <f t="shared" si="0"/>
        <v>#DIV/0!</v>
      </c>
      <c r="H35" s="136"/>
      <c r="I35" s="137" t="e">
        <f t="shared" si="1"/>
        <v>#DIV/0!</v>
      </c>
      <c r="J35" s="139">
        <f t="shared" si="2"/>
        <v>0</v>
      </c>
      <c r="K35" s="140" t="str">
        <f t="shared" si="3"/>
        <v/>
      </c>
      <c r="L35" s="141"/>
      <c r="M35" s="166">
        <f t="shared" si="4"/>
        <v>0</v>
      </c>
      <c r="N35" s="143">
        <f t="shared" si="4"/>
        <v>0</v>
      </c>
      <c r="O35" s="137" t="e">
        <f t="shared" si="5"/>
        <v>#DIV/0!</v>
      </c>
      <c r="P35" s="143">
        <f t="shared" si="6"/>
        <v>0</v>
      </c>
      <c r="Q35" s="137" t="e">
        <f t="shared" si="7"/>
        <v>#DIV/0!</v>
      </c>
      <c r="R35" s="144">
        <f t="shared" si="8"/>
        <v>0</v>
      </c>
      <c r="S35" s="140" t="e">
        <f t="shared" si="9"/>
        <v>#DIV/0!</v>
      </c>
      <c r="T35" s="145">
        <f t="shared" si="10"/>
        <v>0</v>
      </c>
      <c r="U35" s="168">
        <f t="shared" si="10"/>
        <v>0</v>
      </c>
      <c r="V35" s="168">
        <f t="shared" si="11"/>
        <v>0</v>
      </c>
      <c r="W35" s="169">
        <f t="shared" si="12"/>
        <v>0</v>
      </c>
      <c r="X35" s="168"/>
      <c r="Y35" s="170"/>
      <c r="Z35" s="171"/>
      <c r="AA35" s="172"/>
      <c r="AB35" s="173" t="e">
        <f t="shared" si="14"/>
        <v>#DIV/0!</v>
      </c>
      <c r="AC35" s="172"/>
      <c r="AD35" s="174" t="e">
        <f t="shared" si="15"/>
        <v>#DIV/0!</v>
      </c>
      <c r="AE35" s="175">
        <f t="shared" si="16"/>
        <v>0</v>
      </c>
      <c r="AF35" s="140" t="str">
        <f t="shared" si="17"/>
        <v/>
      </c>
      <c r="AG35" s="167">
        <f t="shared" si="18"/>
        <v>0</v>
      </c>
      <c r="AH35" s="168">
        <f t="shared" si="19"/>
        <v>0</v>
      </c>
      <c r="AI35" s="168">
        <f t="shared" si="20"/>
        <v>0</v>
      </c>
      <c r="AJ35" s="150">
        <f t="shared" si="21"/>
        <v>0</v>
      </c>
      <c r="AK35" s="143">
        <f t="shared" si="22"/>
        <v>0</v>
      </c>
      <c r="AL35" s="151"/>
      <c r="AM35" s="151"/>
      <c r="AN35" s="151"/>
      <c r="AO35" s="152"/>
      <c r="AP35" s="152"/>
      <c r="AQ35" s="152">
        <v>0</v>
      </c>
      <c r="AR35" s="152">
        <v>0</v>
      </c>
      <c r="AS35" s="153">
        <f>SUM(AM35:AR35)</f>
        <v>0</v>
      </c>
      <c r="AT35" s="91">
        <v>31</v>
      </c>
      <c r="AU35" s="92">
        <f t="shared" si="24"/>
        <v>0</v>
      </c>
      <c r="AV35" s="154"/>
    </row>
    <row r="36" spans="1:48" ht="15.75" customHeight="1" thickTop="1" thickBot="1">
      <c r="A36" s="28"/>
      <c r="B36" s="125" t="s">
        <v>26</v>
      </c>
      <c r="C36" s="29">
        <f>SUM(C5:C35)</f>
        <v>0</v>
      </c>
      <c r="D36" s="30">
        <f>SUM(D5:D35)</f>
        <v>0</v>
      </c>
      <c r="E36" s="31">
        <f>SUM(E5:E35)</f>
        <v>221</v>
      </c>
      <c r="F36" s="32">
        <f>SUM(F5:F35)</f>
        <v>744570</v>
      </c>
      <c r="G36" s="33">
        <f>F36/E36</f>
        <v>3369.0950226244345</v>
      </c>
      <c r="H36" s="29">
        <f>SUM(H5:H35)</f>
        <v>91950</v>
      </c>
      <c r="I36" s="34">
        <f>H36/E36</f>
        <v>416.06334841628961</v>
      </c>
      <c r="J36" s="35">
        <f>SUM(J5:J35)</f>
        <v>836520</v>
      </c>
      <c r="K36" s="36">
        <f>J36/E36</f>
        <v>3785.158371040724</v>
      </c>
      <c r="L36" s="37">
        <f>SUM(L5:L35)</f>
        <v>0</v>
      </c>
      <c r="M36" s="31">
        <f>SUM(M5:M35)</f>
        <v>810</v>
      </c>
      <c r="N36" s="32">
        <f>SUM(N5:N35)</f>
        <v>7878575</v>
      </c>
      <c r="O36" s="33">
        <f>N36/M36</f>
        <v>9726.6358024691363</v>
      </c>
      <c r="P36" s="38">
        <f>SUM(P5:P35)</f>
        <v>1250100</v>
      </c>
      <c r="Q36" s="34">
        <f>P36/M36</f>
        <v>1543.3333333333333</v>
      </c>
      <c r="R36" s="39">
        <f>SUM(R5:R35)</f>
        <v>9128675</v>
      </c>
      <c r="S36" s="40">
        <f>R36/M36</f>
        <v>11269.969135802468</v>
      </c>
      <c r="T36" s="31">
        <f>SUM(T5:T35)</f>
        <v>1031</v>
      </c>
      <c r="U36" s="93">
        <f>SUM(U5:U35)</f>
        <v>8623145</v>
      </c>
      <c r="V36" s="38">
        <f>SUM(V5:V35)</f>
        <v>1342050</v>
      </c>
      <c r="W36" s="94">
        <f>SUM(W5:W35)</f>
        <v>9965195</v>
      </c>
      <c r="X36" s="98">
        <f>W36/T36</f>
        <v>9665.5625606207559</v>
      </c>
      <c r="Y36" s="30">
        <f>SUM(Y5:Y35)</f>
        <v>0</v>
      </c>
      <c r="Z36" s="31">
        <f>SUM(Z5:Z35)</f>
        <v>1622</v>
      </c>
      <c r="AA36" s="118">
        <f>SUM(AA5:AA35)</f>
        <v>1004400</v>
      </c>
      <c r="AB36" s="33"/>
      <c r="AC36" s="29">
        <f>SUM(AC5:AC35)</f>
        <v>433150</v>
      </c>
      <c r="AD36" s="34"/>
      <c r="AE36" s="119">
        <f>SUM(AE5:AE35)</f>
        <v>1437550</v>
      </c>
      <c r="AF36" s="126">
        <f>AE36/Z36</f>
        <v>886.28236744759556</v>
      </c>
      <c r="AG36" s="31">
        <f t="shared" ref="AG36:AS36" si="26">SUM(AG5:AG35)</f>
        <v>1031</v>
      </c>
      <c r="AH36" s="93">
        <f t="shared" si="26"/>
        <v>9627545</v>
      </c>
      <c r="AI36" s="38">
        <f t="shared" si="26"/>
        <v>1775200</v>
      </c>
      <c r="AJ36" s="39">
        <f t="shared" si="26"/>
        <v>11402745</v>
      </c>
      <c r="AK36" s="29">
        <f t="shared" si="26"/>
        <v>835430</v>
      </c>
      <c r="AL36" s="41">
        <f t="shared" si="26"/>
        <v>1031</v>
      </c>
      <c r="AM36" s="41">
        <f t="shared" si="26"/>
        <v>8623145</v>
      </c>
      <c r="AN36" s="41">
        <f t="shared" si="26"/>
        <v>1342050</v>
      </c>
      <c r="AO36" s="41">
        <f t="shared" si="26"/>
        <v>585200</v>
      </c>
      <c r="AP36" s="41">
        <f t="shared" si="26"/>
        <v>250230</v>
      </c>
      <c r="AQ36" s="41">
        <f t="shared" si="26"/>
        <v>0</v>
      </c>
      <c r="AR36" s="41">
        <f t="shared" si="26"/>
        <v>101420</v>
      </c>
      <c r="AS36" s="41">
        <f t="shared" si="26"/>
        <v>10800625</v>
      </c>
      <c r="AT36" s="28"/>
      <c r="AU36" s="42">
        <f>SUM(AU5:AU35)</f>
        <v>10902045</v>
      </c>
    </row>
    <row r="37" spans="1:48" ht="15.75" customHeight="1" thickTop="1">
      <c r="A37" s="28"/>
      <c r="B37" s="127"/>
      <c r="C37" s="28"/>
      <c r="D37" s="28"/>
      <c r="E37" s="43" t="s">
        <v>36</v>
      </c>
      <c r="F37" s="44">
        <f>F36/1.1</f>
        <v>676881.81818181812</v>
      </c>
      <c r="G37" s="45">
        <f>F37/E36</f>
        <v>3062.8136569313037</v>
      </c>
      <c r="H37" s="26">
        <f>H36/1.1</f>
        <v>83590.909090909088</v>
      </c>
      <c r="I37" s="45">
        <f>H37/E36</f>
        <v>378.23940765117237</v>
      </c>
      <c r="J37" s="41">
        <f>J36/1.1</f>
        <v>760472.72727272718</v>
      </c>
      <c r="K37" s="46">
        <f>G37+I37</f>
        <v>3441.0530645824761</v>
      </c>
      <c r="L37" s="47"/>
      <c r="M37" s="43" t="s">
        <v>36</v>
      </c>
      <c r="N37" s="44">
        <f>N36/1.1</f>
        <v>7162340.9090909082</v>
      </c>
      <c r="O37" s="45">
        <f>N37/M36</f>
        <v>8842.396184062849</v>
      </c>
      <c r="P37" s="44">
        <f>P36/1.1</f>
        <v>1136454.5454545454</v>
      </c>
      <c r="Q37" s="45">
        <f>P37/M36</f>
        <v>1403.030303030303</v>
      </c>
      <c r="R37" s="45">
        <f>R36/1.1</f>
        <v>8298795.4545454541</v>
      </c>
      <c r="S37" s="95">
        <f>R37/M36</f>
        <v>10245.426487093153</v>
      </c>
      <c r="T37" s="43" t="s">
        <v>36</v>
      </c>
      <c r="U37" s="44">
        <f>U36/1.1</f>
        <v>7839222.7272727266</v>
      </c>
      <c r="V37" s="44">
        <f>V36/1.1</f>
        <v>1220045.4545454544</v>
      </c>
      <c r="W37" s="96">
        <f>W36/1.1</f>
        <v>9059268.1818181816</v>
      </c>
      <c r="X37" s="98">
        <f>W37/T36</f>
        <v>8786.8750551097783</v>
      </c>
      <c r="Y37" s="47"/>
      <c r="Z37" s="43" t="s">
        <v>36</v>
      </c>
      <c r="AA37" s="44">
        <f>AA36/1.1</f>
        <v>913090.90909090906</v>
      </c>
      <c r="AB37" s="26">
        <f>AA37/Z36</f>
        <v>562.94137428539398</v>
      </c>
      <c r="AC37" s="26">
        <f>AC36/1.1</f>
        <v>393772.72727272724</v>
      </c>
      <c r="AD37" s="26">
        <f>AC37/Z36</f>
        <v>242.76986884878374</v>
      </c>
      <c r="AE37" s="45">
        <f>AE36/1.1</f>
        <v>1306863.6363636362</v>
      </c>
      <c r="AF37" s="48">
        <f>AE37/Z36</f>
        <v>805.71124313417772</v>
      </c>
      <c r="AG37" s="43" t="s">
        <v>36</v>
      </c>
      <c r="AH37" s="97">
        <f>AH36/1.1</f>
        <v>8752313.6363636348</v>
      </c>
      <c r="AI37" s="44">
        <f>AI36/1.1</f>
        <v>1613818.1818181816</v>
      </c>
      <c r="AJ37" s="45">
        <f>AJ36/1.1</f>
        <v>10366131.818181816</v>
      </c>
      <c r="AK37" s="49">
        <f>AK36/1.1</f>
        <v>759481.81818181812</v>
      </c>
      <c r="AL37" s="28"/>
      <c r="AM37" s="28"/>
      <c r="AN37" s="28"/>
      <c r="AO37" s="28"/>
      <c r="AP37" s="50"/>
      <c r="AQ37" s="28"/>
      <c r="AR37" s="28"/>
      <c r="AS37" s="50"/>
      <c r="AT37" s="28"/>
      <c r="AU37" s="50"/>
    </row>
    <row r="38" spans="1:48" ht="15.75" customHeight="1">
      <c r="A38" s="25"/>
      <c r="B38" s="128"/>
      <c r="C38" s="25"/>
      <c r="D38" s="25"/>
      <c r="E38" s="51" t="s">
        <v>37</v>
      </c>
      <c r="F38" s="52">
        <f>E36/G38</f>
        <v>24.555555555555557</v>
      </c>
      <c r="G38" s="53">
        <v>9</v>
      </c>
      <c r="H38" s="54" t="s">
        <v>38</v>
      </c>
      <c r="I38" s="52"/>
      <c r="J38" s="55" t="s">
        <v>39</v>
      </c>
      <c r="K38" s="120">
        <f>J37/G38</f>
        <v>84496.969696969682</v>
      </c>
      <c r="L38" s="25"/>
      <c r="M38" s="51" t="s">
        <v>37</v>
      </c>
      <c r="N38" s="52">
        <f>M36/O38</f>
        <v>28.928571428571427</v>
      </c>
      <c r="O38" s="53">
        <v>28</v>
      </c>
      <c r="P38" s="54" t="s">
        <v>38</v>
      </c>
      <c r="Q38" s="52"/>
      <c r="R38" s="55" t="s">
        <v>39</v>
      </c>
      <c r="S38" s="121">
        <f>R37/O38</f>
        <v>296385.55194805196</v>
      </c>
      <c r="T38" s="25"/>
      <c r="U38" s="25"/>
      <c r="V38" s="25"/>
      <c r="W38" s="27"/>
      <c r="X38" s="27"/>
      <c r="Y38" s="25"/>
      <c r="Z38" s="25"/>
      <c r="AA38" s="57">
        <v>29</v>
      </c>
      <c r="AB38" s="54" t="s">
        <v>38</v>
      </c>
      <c r="AC38" s="52"/>
      <c r="AD38" s="52"/>
      <c r="AE38" s="55" t="s">
        <v>39</v>
      </c>
      <c r="AF38" s="56">
        <f>AE37/AA38</f>
        <v>45064.263322884006</v>
      </c>
      <c r="AG38" s="25"/>
      <c r="AH38" s="25"/>
      <c r="AI38" s="25" t="s">
        <v>53</v>
      </c>
      <c r="AJ38" s="27"/>
      <c r="AK38" s="27">
        <f>AJ37/AL38</f>
        <v>3907.3244697255245</v>
      </c>
      <c r="AL38" s="99">
        <f>AG36+Z36</f>
        <v>2653</v>
      </c>
      <c r="AM38" s="25" t="s">
        <v>54</v>
      </c>
      <c r="AN38" s="25"/>
      <c r="AO38" s="25"/>
      <c r="AP38" s="27"/>
      <c r="AQ38" s="25"/>
      <c r="AR38" s="25"/>
      <c r="AS38" s="27"/>
      <c r="AT38" s="25"/>
      <c r="AU38" s="27"/>
    </row>
    <row r="39" spans="1:48" ht="15.75" customHeight="1">
      <c r="A39" s="25"/>
      <c r="B39" s="128"/>
      <c r="C39" s="25"/>
      <c r="D39" s="58" t="s">
        <v>40</v>
      </c>
      <c r="E39" s="59"/>
      <c r="F39" s="52"/>
      <c r="G39" s="60"/>
      <c r="H39" s="52"/>
      <c r="I39" s="52"/>
      <c r="J39" s="55"/>
      <c r="K39" s="56"/>
      <c r="L39" s="61" t="s">
        <v>41</v>
      </c>
      <c r="M39" s="51"/>
      <c r="N39" s="52"/>
      <c r="O39" s="52"/>
      <c r="P39" s="52"/>
      <c r="Q39" s="52"/>
      <c r="R39" s="55"/>
      <c r="S39" s="56"/>
      <c r="T39" s="25"/>
      <c r="U39" s="25"/>
      <c r="V39" s="25"/>
      <c r="W39" s="27"/>
      <c r="X39" s="27"/>
      <c r="Y39" s="61" t="s">
        <v>42</v>
      </c>
      <c r="Z39" s="25"/>
      <c r="AA39" s="52"/>
      <c r="AB39" s="52"/>
      <c r="AC39" s="52"/>
      <c r="AD39" s="52"/>
      <c r="AE39" s="52"/>
      <c r="AF39" s="56"/>
      <c r="AG39" s="25"/>
      <c r="AH39" s="25"/>
      <c r="AI39" s="25" t="s">
        <v>55</v>
      </c>
      <c r="AK39" s="62">
        <f>AJ37/AA38</f>
        <v>357452.82131661434</v>
      </c>
      <c r="AL39" s="25" t="s">
        <v>56</v>
      </c>
      <c r="AM39" s="25"/>
      <c r="AN39" s="25"/>
      <c r="AO39" s="25"/>
      <c r="AP39" s="27"/>
      <c r="AQ39" s="25"/>
      <c r="AR39" s="25"/>
      <c r="AS39" s="27"/>
      <c r="AT39" s="25"/>
      <c r="AU39" s="27"/>
    </row>
    <row r="40" spans="1:48" ht="21" customHeight="1">
      <c r="A40" s="25"/>
      <c r="B40" s="128"/>
      <c r="C40" s="61"/>
      <c r="D40" s="112" t="s">
        <v>81</v>
      </c>
      <c r="E40" s="104"/>
      <c r="F40" s="104"/>
      <c r="G40" s="104"/>
      <c r="H40" s="104"/>
      <c r="I40" s="104"/>
      <c r="J40" s="104"/>
      <c r="K40" s="105"/>
      <c r="L40" s="103" t="s">
        <v>82</v>
      </c>
      <c r="M40" s="104"/>
      <c r="N40" s="104"/>
      <c r="O40" s="104"/>
      <c r="P40" s="104"/>
      <c r="Q40" s="104"/>
      <c r="R40" s="104"/>
      <c r="S40" s="105"/>
      <c r="T40" s="25"/>
      <c r="U40" s="25"/>
      <c r="V40" s="25"/>
      <c r="W40" s="27"/>
      <c r="X40" s="25"/>
      <c r="Y40" s="103" t="s">
        <v>83</v>
      </c>
      <c r="Z40" s="104"/>
      <c r="AA40" s="104"/>
      <c r="AB40" s="104"/>
      <c r="AC40" s="104"/>
      <c r="AD40" s="104"/>
      <c r="AE40" s="104"/>
      <c r="AF40" s="105"/>
      <c r="AG40" s="25"/>
      <c r="AH40" s="25"/>
      <c r="AI40" s="25" t="s">
        <v>57</v>
      </c>
      <c r="AJ40" s="27">
        <f>AJ36+AK36</f>
        <v>12238175</v>
      </c>
      <c r="AK40" s="62">
        <f>AJ40/AA38</f>
        <v>422006.03448275861</v>
      </c>
      <c r="AL40" s="25" t="s">
        <v>43</v>
      </c>
      <c r="AM40" s="25"/>
      <c r="AN40" s="25"/>
      <c r="AO40" s="25"/>
      <c r="AP40" s="25"/>
      <c r="AQ40" s="25"/>
      <c r="AR40" s="25"/>
      <c r="AS40" s="27"/>
      <c r="AT40" s="25"/>
      <c r="AU40" s="27"/>
    </row>
    <row r="41" spans="1:48" ht="21" customHeight="1">
      <c r="A41" s="25"/>
      <c r="B41" s="128"/>
      <c r="C41" s="61"/>
      <c r="D41" s="106"/>
      <c r="E41" s="107"/>
      <c r="F41" s="107"/>
      <c r="G41" s="107"/>
      <c r="H41" s="107"/>
      <c r="I41" s="107"/>
      <c r="J41" s="107"/>
      <c r="K41" s="108"/>
      <c r="L41" s="106"/>
      <c r="M41" s="107"/>
      <c r="N41" s="107"/>
      <c r="O41" s="107"/>
      <c r="P41" s="107"/>
      <c r="Q41" s="107"/>
      <c r="R41" s="107"/>
      <c r="S41" s="108"/>
      <c r="T41" s="25"/>
      <c r="U41" s="25"/>
      <c r="V41" s="25"/>
      <c r="W41" s="27"/>
      <c r="X41" s="25"/>
      <c r="Y41" s="106"/>
      <c r="Z41" s="107"/>
      <c r="AA41" s="107"/>
      <c r="AB41" s="107"/>
      <c r="AC41" s="107"/>
      <c r="AD41" s="107"/>
      <c r="AE41" s="107"/>
      <c r="AF41" s="108"/>
      <c r="AG41" s="25"/>
      <c r="AH41" s="25"/>
      <c r="AI41" s="25" t="s">
        <v>58</v>
      </c>
      <c r="AJ41" s="66">
        <f>AJ37+AK37</f>
        <v>11125613.636363635</v>
      </c>
      <c r="AK41" s="62">
        <f>AJ41/AA38</f>
        <v>383641.84952978051</v>
      </c>
      <c r="AL41" s="25" t="s">
        <v>56</v>
      </c>
      <c r="AM41" s="25"/>
      <c r="AN41" s="25"/>
      <c r="AO41" s="25"/>
      <c r="AP41" s="25"/>
      <c r="AQ41" s="25"/>
      <c r="AR41" s="25"/>
      <c r="AS41" s="27"/>
      <c r="AT41" s="25"/>
      <c r="AU41" s="27"/>
    </row>
    <row r="42" spans="1:48" ht="21" customHeight="1">
      <c r="A42" s="25"/>
      <c r="B42" s="128"/>
      <c r="C42" s="61"/>
      <c r="D42" s="106"/>
      <c r="E42" s="107"/>
      <c r="F42" s="107"/>
      <c r="G42" s="107"/>
      <c r="H42" s="107"/>
      <c r="I42" s="107"/>
      <c r="J42" s="107"/>
      <c r="K42" s="108"/>
      <c r="L42" s="106"/>
      <c r="M42" s="107"/>
      <c r="N42" s="107"/>
      <c r="O42" s="107"/>
      <c r="P42" s="107"/>
      <c r="Q42" s="107"/>
      <c r="R42" s="107"/>
      <c r="S42" s="108"/>
      <c r="T42" s="25"/>
      <c r="U42" s="25"/>
      <c r="V42" s="25"/>
      <c r="W42" s="27"/>
      <c r="X42" s="25"/>
      <c r="Y42" s="106"/>
      <c r="Z42" s="107"/>
      <c r="AA42" s="107"/>
      <c r="AB42" s="107"/>
      <c r="AC42" s="107"/>
      <c r="AD42" s="107"/>
      <c r="AE42" s="107"/>
      <c r="AF42" s="108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7"/>
      <c r="AT42" s="25"/>
      <c r="AU42" s="27"/>
    </row>
    <row r="43" spans="1:48" ht="21" customHeight="1">
      <c r="A43" s="25"/>
      <c r="B43" s="128"/>
      <c r="C43" s="61"/>
      <c r="D43" s="106"/>
      <c r="E43" s="107"/>
      <c r="F43" s="107"/>
      <c r="G43" s="107"/>
      <c r="H43" s="107"/>
      <c r="I43" s="107"/>
      <c r="J43" s="107"/>
      <c r="K43" s="108"/>
      <c r="L43" s="106"/>
      <c r="M43" s="107"/>
      <c r="N43" s="107"/>
      <c r="O43" s="107"/>
      <c r="P43" s="107"/>
      <c r="Q43" s="107"/>
      <c r="R43" s="107"/>
      <c r="S43" s="108"/>
      <c r="T43" s="25"/>
      <c r="U43" s="25"/>
      <c r="V43" s="25"/>
      <c r="W43" s="25"/>
      <c r="X43" s="25"/>
      <c r="Y43" s="106"/>
      <c r="Z43" s="107"/>
      <c r="AA43" s="107"/>
      <c r="AB43" s="107"/>
      <c r="AC43" s="107"/>
      <c r="AD43" s="107"/>
      <c r="AE43" s="107"/>
      <c r="AF43" s="108"/>
      <c r="AG43" s="25"/>
      <c r="AH43" s="25"/>
      <c r="AI43" s="25"/>
      <c r="AJ43" s="27">
        <f>AJ37+AK37</f>
        <v>11125613.636363635</v>
      </c>
      <c r="AK43" s="63" t="s">
        <v>44</v>
      </c>
      <c r="AL43" s="25"/>
      <c r="AM43" s="25"/>
      <c r="AN43" s="25"/>
      <c r="AO43" s="25"/>
      <c r="AP43" s="25"/>
      <c r="AQ43" s="25"/>
      <c r="AR43" s="25"/>
      <c r="AS43" s="27"/>
      <c r="AT43" s="25"/>
      <c r="AU43" s="27"/>
    </row>
    <row r="44" spans="1:48" ht="21" customHeight="1">
      <c r="A44" s="25"/>
      <c r="B44" s="128"/>
      <c r="C44" s="61"/>
      <c r="D44" s="109"/>
      <c r="E44" s="110"/>
      <c r="F44" s="110"/>
      <c r="G44" s="110"/>
      <c r="H44" s="110"/>
      <c r="I44" s="110"/>
      <c r="J44" s="110"/>
      <c r="K44" s="111"/>
      <c r="L44" s="109"/>
      <c r="M44" s="110"/>
      <c r="N44" s="110"/>
      <c r="O44" s="110"/>
      <c r="P44" s="110"/>
      <c r="Q44" s="110"/>
      <c r="R44" s="110"/>
      <c r="S44" s="111"/>
      <c r="T44" s="25"/>
      <c r="U44" s="25"/>
      <c r="V44" s="25"/>
      <c r="W44" s="25"/>
      <c r="X44" s="25"/>
      <c r="Y44" s="109"/>
      <c r="Z44" s="110"/>
      <c r="AA44" s="110"/>
      <c r="AB44" s="110"/>
      <c r="AC44" s="110"/>
      <c r="AD44" s="110"/>
      <c r="AE44" s="110"/>
      <c r="AF44" s="111"/>
      <c r="AG44" s="25"/>
      <c r="AH44" s="64"/>
      <c r="AI44" s="65" t="s">
        <v>45</v>
      </c>
      <c r="AJ44" s="66">
        <f>J45+R45+AE45+AK44</f>
        <v>12173909</v>
      </c>
      <c r="AK44" s="176">
        <v>821609</v>
      </c>
      <c r="AL44" s="64"/>
      <c r="AM44" s="25"/>
      <c r="AN44" s="25"/>
      <c r="AO44" s="25"/>
      <c r="AP44" s="25"/>
      <c r="AQ44" s="25"/>
      <c r="AR44" s="25"/>
      <c r="AS44" s="27"/>
      <c r="AT44" s="25"/>
      <c r="AU44" s="27"/>
    </row>
    <row r="45" spans="1:48" ht="21" customHeight="1">
      <c r="A45" s="25"/>
      <c r="B45" s="128"/>
      <c r="C45" s="25"/>
      <c r="D45" s="25"/>
      <c r="E45" s="25"/>
      <c r="F45" s="25"/>
      <c r="G45" s="25"/>
      <c r="H45" s="67"/>
      <c r="I45" s="68" t="s">
        <v>46</v>
      </c>
      <c r="J45" s="177">
        <v>856800</v>
      </c>
      <c r="K45" s="69" t="s">
        <v>47</v>
      </c>
      <c r="L45" s="64"/>
      <c r="M45" s="64"/>
      <c r="N45" s="64"/>
      <c r="O45" s="64"/>
      <c r="P45" s="64"/>
      <c r="Q45" s="68" t="s">
        <v>48</v>
      </c>
      <c r="R45" s="177">
        <v>8395500</v>
      </c>
      <c r="S45" s="69" t="s">
        <v>47</v>
      </c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7" t="s">
        <v>49</v>
      </c>
      <c r="AE45" s="177">
        <v>2100000</v>
      </c>
      <c r="AF45" s="69" t="s">
        <v>47</v>
      </c>
      <c r="AG45" s="64"/>
      <c r="AH45" s="64"/>
      <c r="AI45" s="65" t="s">
        <v>50</v>
      </c>
      <c r="AJ45" s="66">
        <f>AJ44-AJ37-AK37</f>
        <v>1048295.3636363654</v>
      </c>
      <c r="AK45" s="66">
        <f>AK44-AK37</f>
        <v>62127.181818181882</v>
      </c>
      <c r="AL45" s="70">
        <f>AK37/AK44</f>
        <v>0.92438351841547273</v>
      </c>
      <c r="AM45" s="25"/>
      <c r="AN45" s="25"/>
      <c r="AO45" s="25"/>
      <c r="AP45" s="25"/>
      <c r="AQ45" s="27"/>
      <c r="AR45" s="25"/>
      <c r="AS45" s="27"/>
      <c r="AT45" s="25"/>
      <c r="AU45" s="25"/>
    </row>
    <row r="46" spans="1:48" ht="21" customHeight="1">
      <c r="A46" s="25"/>
      <c r="B46" s="128"/>
      <c r="C46" s="25"/>
      <c r="D46" s="25"/>
      <c r="E46" s="25"/>
      <c r="F46" s="25"/>
      <c r="G46" s="25"/>
      <c r="H46" s="67"/>
      <c r="I46" s="67" t="s">
        <v>50</v>
      </c>
      <c r="J46" s="66">
        <f>J45-J37</f>
        <v>96327.272727272823</v>
      </c>
      <c r="K46" s="71">
        <v>0</v>
      </c>
      <c r="L46" s="64"/>
      <c r="M46" s="64"/>
      <c r="N46" s="64"/>
      <c r="O46" s="64"/>
      <c r="P46" s="64"/>
      <c r="Q46" s="67" t="s">
        <v>50</v>
      </c>
      <c r="R46" s="66">
        <f>R45-R37</f>
        <v>96704.545454545878</v>
      </c>
      <c r="S46" s="64">
        <f>K46</f>
        <v>0</v>
      </c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7" t="s">
        <v>50</v>
      </c>
      <c r="AE46" s="66">
        <f>AE45-AE37</f>
        <v>793136.36363636376</v>
      </c>
      <c r="AF46" s="64">
        <f>K46</f>
        <v>0</v>
      </c>
      <c r="AG46" s="64"/>
      <c r="AH46" s="72"/>
      <c r="AI46" s="73" t="s">
        <v>51</v>
      </c>
      <c r="AJ46" s="74" t="e">
        <f>AJ45/K46</f>
        <v>#DIV/0!</v>
      </c>
      <c r="AK46" s="75">
        <f>(AJ37+AK37)/AJ44</f>
        <v>0.91388999510047553</v>
      </c>
      <c r="AL46" s="72"/>
      <c r="AM46" s="76"/>
      <c r="AN46" s="25"/>
      <c r="AO46" s="25"/>
      <c r="AP46" s="25"/>
      <c r="AQ46" s="27"/>
      <c r="AR46" s="25"/>
      <c r="AS46" s="27"/>
      <c r="AT46" s="25"/>
      <c r="AU46" s="25"/>
    </row>
    <row r="47" spans="1:48" ht="25.5" customHeight="1">
      <c r="A47" s="76"/>
      <c r="B47" s="129"/>
      <c r="C47" s="76"/>
      <c r="D47" s="76"/>
      <c r="E47" s="76"/>
      <c r="F47" s="76"/>
      <c r="G47" s="76"/>
      <c r="H47" s="77"/>
      <c r="I47" s="73" t="s">
        <v>51</v>
      </c>
      <c r="J47" s="78" t="e">
        <f>J46/K46</f>
        <v>#DIV/0!</v>
      </c>
      <c r="K47" s="79">
        <f>J37/J45</f>
        <v>0.88757321110262277</v>
      </c>
      <c r="L47" s="72"/>
      <c r="M47" s="72"/>
      <c r="N47" s="72"/>
      <c r="O47" s="72"/>
      <c r="P47" s="72"/>
      <c r="Q47" s="73" t="s">
        <v>51</v>
      </c>
      <c r="R47" s="74" t="e">
        <f>R46/S46</f>
        <v>#DIV/0!</v>
      </c>
      <c r="S47" s="79">
        <f>R37/R45</f>
        <v>0.98848138342510328</v>
      </c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3" t="s">
        <v>51</v>
      </c>
      <c r="AE47" s="78" t="e">
        <f>AE46/AF46</f>
        <v>#DIV/0!</v>
      </c>
      <c r="AF47" s="79">
        <f>AE37/AE45</f>
        <v>0.62231601731601727</v>
      </c>
      <c r="AG47" s="72"/>
      <c r="AH47" s="25"/>
      <c r="AI47" s="25"/>
      <c r="AJ47" s="27"/>
      <c r="AK47" s="25"/>
      <c r="AL47" s="25"/>
      <c r="AM47" s="25"/>
      <c r="AN47" s="76"/>
      <c r="AO47" s="76"/>
      <c r="AP47" s="76"/>
      <c r="AQ47" s="80"/>
      <c r="AR47" s="76"/>
      <c r="AS47" s="80"/>
      <c r="AT47" s="76"/>
      <c r="AU47" s="76"/>
    </row>
    <row r="48" spans="1:48" ht="15.75" customHeight="1">
      <c r="A48" s="25"/>
      <c r="B48" s="128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81"/>
      <c r="AI48" s="81"/>
      <c r="AJ48" s="81"/>
      <c r="AK48" s="81"/>
      <c r="AL48" s="81"/>
      <c r="AM48" s="81"/>
      <c r="AN48" s="25"/>
      <c r="AO48" s="25"/>
      <c r="AP48" s="25"/>
      <c r="AQ48" s="27"/>
      <c r="AR48" s="25"/>
      <c r="AS48" s="27"/>
      <c r="AT48" s="25"/>
      <c r="AU48" s="25"/>
    </row>
    <row r="49" spans="1:47" ht="36" customHeight="1">
      <c r="A49" s="81"/>
      <c r="B49" s="130"/>
      <c r="C49" s="81"/>
      <c r="D49" s="81"/>
      <c r="E49" s="81"/>
      <c r="F49" s="81"/>
      <c r="G49" s="81"/>
      <c r="H49" s="81"/>
      <c r="I49" s="81"/>
      <c r="J49" s="81"/>
      <c r="K49" s="81"/>
      <c r="L49" s="82"/>
      <c r="M49" s="25"/>
      <c r="N49" s="25"/>
      <c r="O49" s="25"/>
      <c r="P49" s="25"/>
      <c r="Q49" s="25"/>
      <c r="R49" s="82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  <c r="AE49" s="81"/>
      <c r="AF49" s="81"/>
      <c r="AG49" s="81"/>
      <c r="AH49" s="1"/>
      <c r="AI49" s="1"/>
      <c r="AJ49" s="1"/>
      <c r="AK49" s="1"/>
      <c r="AL49" s="1"/>
      <c r="AM49" s="1"/>
      <c r="AN49" s="81"/>
      <c r="AO49" s="81"/>
      <c r="AP49" s="81"/>
      <c r="AQ49" s="83"/>
      <c r="AR49" s="81"/>
      <c r="AS49" s="83"/>
      <c r="AT49" s="81"/>
      <c r="AU49" s="81"/>
    </row>
    <row r="50" spans="1:47" ht="36" customHeight="1">
      <c r="A50" s="1"/>
      <c r="B50" s="131"/>
      <c r="C50" s="1"/>
      <c r="D50" s="1"/>
      <c r="E50" s="1"/>
      <c r="F50" s="1"/>
      <c r="G50" s="1"/>
      <c r="H50" s="1"/>
      <c r="I50" s="1"/>
      <c r="J50" s="1"/>
      <c r="K50" s="1"/>
      <c r="L50" s="84"/>
      <c r="M50" s="25"/>
      <c r="N50" s="25"/>
      <c r="O50" s="25"/>
      <c r="P50" s="25"/>
      <c r="Q50" s="25"/>
      <c r="R50" s="84"/>
      <c r="S50" s="84"/>
      <c r="T50" s="1"/>
      <c r="U50" s="1"/>
      <c r="V50" s="1"/>
      <c r="W50" s="1"/>
      <c r="X50" s="1"/>
      <c r="Y50" s="1"/>
      <c r="Z50" s="85"/>
      <c r="AA50" s="1"/>
      <c r="AB50" s="1"/>
      <c r="AC50" s="1"/>
      <c r="AD50" s="1"/>
      <c r="AE50" s="1"/>
      <c r="AF50" s="1"/>
      <c r="AG50" s="1"/>
      <c r="AH50" s="81"/>
      <c r="AI50" s="81"/>
      <c r="AJ50" s="81"/>
      <c r="AK50" s="81"/>
      <c r="AL50" s="81"/>
      <c r="AM50" s="81"/>
      <c r="AN50" s="1"/>
      <c r="AO50" s="1"/>
      <c r="AP50" s="1"/>
      <c r="AQ50" s="86"/>
      <c r="AR50" s="1"/>
      <c r="AS50" s="86"/>
      <c r="AT50" s="1"/>
      <c r="AU50" s="1"/>
    </row>
    <row r="51" spans="1:47" ht="36" customHeight="1">
      <c r="A51" s="81"/>
      <c r="B51" s="130"/>
      <c r="C51" s="81"/>
      <c r="D51" s="81"/>
      <c r="E51" s="81"/>
      <c r="F51" s="81"/>
      <c r="G51" s="81"/>
      <c r="H51" s="81"/>
      <c r="I51" s="81"/>
      <c r="J51" s="81"/>
      <c r="K51" s="1"/>
      <c r="L51" s="84"/>
      <c r="M51" s="25"/>
      <c r="N51" s="25"/>
      <c r="O51" s="25"/>
      <c r="P51" s="25"/>
      <c r="Q51" s="25"/>
      <c r="R51" s="87"/>
      <c r="S51" s="88"/>
      <c r="T51" s="88"/>
      <c r="U51" s="88"/>
      <c r="V51" s="88"/>
      <c r="W51" s="89"/>
      <c r="X51" s="90"/>
      <c r="Y51" s="91"/>
      <c r="Z51" s="92"/>
      <c r="AA51" s="81"/>
      <c r="AB51" s="81"/>
      <c r="AC51" s="81"/>
      <c r="AD51" s="81"/>
      <c r="AE51" s="81"/>
      <c r="AF51" s="81"/>
      <c r="AG51" s="81"/>
      <c r="AH51" s="81"/>
      <c r="AI51" s="81"/>
      <c r="AJ51" s="81"/>
      <c r="AK51" s="81"/>
      <c r="AL51" s="81"/>
      <c r="AM51" s="81"/>
      <c r="AN51" s="81"/>
      <c r="AO51" s="81"/>
      <c r="AP51" s="81"/>
      <c r="AQ51" s="83"/>
      <c r="AR51" s="81"/>
      <c r="AS51" s="83"/>
      <c r="AT51" s="81"/>
      <c r="AU51" s="81"/>
    </row>
    <row r="52" spans="1:47" ht="36" customHeight="1">
      <c r="A52" s="81"/>
      <c r="B52" s="130"/>
      <c r="C52" s="81"/>
      <c r="D52" s="81"/>
      <c r="E52" s="81"/>
      <c r="F52" s="81"/>
      <c r="G52" s="81"/>
      <c r="H52" s="81"/>
      <c r="I52" s="81"/>
      <c r="J52" s="81"/>
      <c r="K52" s="1"/>
      <c r="L52" s="84"/>
      <c r="M52" s="25"/>
      <c r="N52" s="25"/>
      <c r="O52" s="25"/>
      <c r="P52" s="25"/>
      <c r="Q52" s="25"/>
      <c r="R52" s="89"/>
      <c r="S52" s="88"/>
      <c r="T52" s="88"/>
      <c r="U52" s="88"/>
      <c r="V52" s="88"/>
      <c r="W52" s="89"/>
      <c r="X52" s="90"/>
      <c r="Y52" s="91"/>
      <c r="Z52" s="92"/>
      <c r="AA52" s="81"/>
      <c r="AB52" s="81"/>
      <c r="AC52" s="81"/>
      <c r="AD52" s="81"/>
      <c r="AE52" s="81"/>
      <c r="AF52" s="81"/>
      <c r="AG52" s="81"/>
      <c r="AH52" s="81"/>
      <c r="AI52" s="81"/>
      <c r="AJ52" s="81"/>
      <c r="AK52" s="81"/>
      <c r="AL52" s="81"/>
      <c r="AM52" s="81"/>
      <c r="AN52" s="81"/>
      <c r="AO52" s="81"/>
      <c r="AP52" s="81"/>
      <c r="AQ52" s="83"/>
      <c r="AR52" s="81"/>
      <c r="AS52" s="83"/>
      <c r="AT52" s="81"/>
      <c r="AU52" s="81"/>
    </row>
    <row r="53" spans="1:47" ht="36" customHeight="1">
      <c r="A53" s="81"/>
      <c r="B53" s="130"/>
      <c r="C53" s="81"/>
      <c r="D53" s="81"/>
      <c r="E53" s="81"/>
      <c r="F53" s="81"/>
      <c r="G53" s="81"/>
      <c r="H53" s="81"/>
      <c r="I53" s="81"/>
      <c r="J53" s="81"/>
      <c r="K53" s="1"/>
      <c r="L53" s="84"/>
      <c r="M53" s="25"/>
      <c r="N53" s="25"/>
      <c r="O53" s="25"/>
      <c r="P53" s="25"/>
      <c r="Q53" s="25"/>
      <c r="R53" s="89"/>
      <c r="S53" s="88"/>
      <c r="T53" s="88"/>
      <c r="U53" s="88"/>
      <c r="V53" s="88"/>
      <c r="W53" s="89"/>
      <c r="X53" s="90"/>
      <c r="Y53" s="91"/>
      <c r="Z53" s="92"/>
      <c r="AA53" s="81"/>
      <c r="AB53" s="81"/>
      <c r="AC53" s="81"/>
      <c r="AD53" s="81"/>
      <c r="AE53" s="81"/>
      <c r="AF53" s="81"/>
      <c r="AG53" s="81"/>
      <c r="AH53" s="81"/>
      <c r="AI53" s="81"/>
      <c r="AJ53" s="81"/>
      <c r="AK53" s="81"/>
      <c r="AL53" s="81"/>
      <c r="AM53" s="81"/>
      <c r="AN53" s="81"/>
      <c r="AO53" s="81"/>
      <c r="AP53" s="81"/>
      <c r="AQ53" s="83"/>
      <c r="AR53" s="81"/>
      <c r="AS53" s="83"/>
      <c r="AT53" s="81"/>
      <c r="AU53" s="81"/>
    </row>
    <row r="54" spans="1:47" ht="36" customHeight="1">
      <c r="A54" s="81"/>
      <c r="B54" s="130"/>
      <c r="C54" s="81"/>
      <c r="D54" s="81"/>
      <c r="E54" s="81"/>
      <c r="F54" s="81"/>
      <c r="G54" s="81"/>
      <c r="H54" s="81"/>
      <c r="I54" s="81"/>
      <c r="J54" s="81"/>
      <c r="K54" s="1"/>
      <c r="L54" s="84"/>
      <c r="M54" s="25"/>
      <c r="N54" s="25"/>
      <c r="O54" s="25"/>
      <c r="P54" s="25"/>
      <c r="Q54" s="25"/>
      <c r="R54" s="89"/>
      <c r="S54" s="88"/>
      <c r="T54" s="88"/>
      <c r="U54" s="88"/>
      <c r="V54" s="88"/>
      <c r="W54" s="89"/>
      <c r="X54" s="90"/>
      <c r="Y54" s="91"/>
      <c r="Z54" s="92"/>
      <c r="AA54" s="81"/>
      <c r="AB54" s="81"/>
      <c r="AC54" s="81"/>
      <c r="AD54" s="81"/>
      <c r="AE54" s="81"/>
      <c r="AF54" s="81"/>
      <c r="AG54" s="81"/>
      <c r="AH54" s="81"/>
      <c r="AI54" s="81"/>
      <c r="AJ54" s="81"/>
      <c r="AK54" s="81"/>
      <c r="AL54" s="81"/>
      <c r="AM54" s="81"/>
      <c r="AN54" s="81"/>
      <c r="AO54" s="81"/>
      <c r="AP54" s="81"/>
      <c r="AQ54" s="83"/>
      <c r="AR54" s="81"/>
      <c r="AS54" s="83"/>
      <c r="AT54" s="81"/>
      <c r="AU54" s="81"/>
    </row>
    <row r="55" spans="1:47" ht="36" customHeight="1">
      <c r="A55" s="81"/>
      <c r="B55" s="130"/>
      <c r="C55" s="81"/>
      <c r="D55" s="81"/>
      <c r="E55" s="81"/>
      <c r="F55" s="81"/>
      <c r="G55" s="81"/>
      <c r="H55" s="81"/>
      <c r="I55" s="81"/>
      <c r="J55" s="81"/>
      <c r="K55" s="81"/>
      <c r="L55" s="82"/>
      <c r="M55" s="25"/>
      <c r="N55" s="25"/>
      <c r="O55" s="25"/>
      <c r="P55" s="25"/>
      <c r="Q55" s="25"/>
      <c r="R55" s="89"/>
      <c r="S55" s="88"/>
      <c r="T55" s="88"/>
      <c r="U55" s="88"/>
      <c r="V55" s="88"/>
      <c r="W55" s="90"/>
      <c r="X55" s="90"/>
      <c r="Y55" s="91"/>
      <c r="Z55" s="92"/>
      <c r="AA55" s="81"/>
      <c r="AB55" s="81"/>
      <c r="AC55" s="81"/>
      <c r="AD55" s="81"/>
      <c r="AE55" s="81"/>
      <c r="AF55" s="81"/>
      <c r="AG55" s="81"/>
      <c r="AH55" s="25"/>
      <c r="AI55" s="25"/>
      <c r="AJ55" s="25"/>
      <c r="AK55" s="25"/>
      <c r="AL55" s="25"/>
      <c r="AM55" s="25"/>
      <c r="AN55" s="81"/>
      <c r="AO55" s="81"/>
      <c r="AP55" s="81"/>
      <c r="AQ55" s="83"/>
      <c r="AR55" s="81"/>
      <c r="AS55" s="83"/>
      <c r="AT55" s="81"/>
      <c r="AU55" s="81"/>
    </row>
    <row r="56" spans="1:47" ht="15.75" customHeight="1">
      <c r="A56" s="25"/>
      <c r="B56" s="128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91"/>
      <c r="Z56" s="91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7"/>
      <c r="AT56" s="25"/>
      <c r="AU56" s="27"/>
    </row>
    <row r="57" spans="1:47" ht="15.75" customHeight="1">
      <c r="A57" s="25"/>
      <c r="B57" s="128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81"/>
      <c r="Z57" s="81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7"/>
      <c r="AT57" s="25"/>
      <c r="AU57" s="27"/>
    </row>
    <row r="58" spans="1:47" ht="15.75" customHeight="1">
      <c r="A58" s="25"/>
      <c r="B58" s="128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7"/>
      <c r="AT58" s="25"/>
      <c r="AU58" s="27"/>
    </row>
    <row r="59" spans="1:47" ht="15.75" customHeight="1">
      <c r="A59" s="25"/>
      <c r="B59" s="128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7"/>
      <c r="AT59" s="25"/>
      <c r="AU59" s="27"/>
    </row>
    <row r="60" spans="1:47" ht="15.75" customHeight="1">
      <c r="A60" s="25"/>
      <c r="B60" s="128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7"/>
      <c r="AT60" s="25"/>
      <c r="AU60" s="27"/>
    </row>
    <row r="61" spans="1:47" ht="15.75" customHeight="1">
      <c r="A61" s="25"/>
      <c r="B61" s="128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7"/>
      <c r="AT61" s="25"/>
      <c r="AU61" s="27"/>
    </row>
    <row r="62" spans="1:47" ht="15.75" customHeight="1">
      <c r="A62" s="25"/>
      <c r="B62" s="128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7"/>
      <c r="AT62" s="25"/>
      <c r="AU62" s="27"/>
    </row>
    <row r="63" spans="1:47" ht="15.75" customHeight="1">
      <c r="A63" s="25"/>
      <c r="B63" s="128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7"/>
      <c r="AT63" s="25"/>
      <c r="AU63" s="27"/>
    </row>
    <row r="64" spans="1:47" ht="15.75" customHeight="1">
      <c r="A64" s="25"/>
      <c r="B64" s="128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7"/>
      <c r="AT64" s="25"/>
      <c r="AU64" s="27"/>
    </row>
    <row r="65" spans="1:47" ht="15.75" customHeight="1">
      <c r="A65" s="25"/>
      <c r="B65" s="128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7"/>
      <c r="AT65" s="25"/>
      <c r="AU65" s="27"/>
    </row>
    <row r="66" spans="1:47" ht="15.75" customHeight="1">
      <c r="A66" s="25"/>
      <c r="B66" s="128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7"/>
      <c r="AT66" s="25"/>
      <c r="AU66" s="27"/>
    </row>
    <row r="67" spans="1:47" ht="15.75" customHeight="1">
      <c r="A67" s="25"/>
      <c r="B67" s="128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7"/>
      <c r="AT67" s="25"/>
      <c r="AU67" s="27"/>
    </row>
    <row r="68" spans="1:47" ht="15.75" customHeight="1">
      <c r="A68" s="25"/>
      <c r="B68" s="128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7"/>
      <c r="AT68" s="25"/>
      <c r="AU68" s="27"/>
    </row>
    <row r="69" spans="1:47" ht="15.75" customHeight="1">
      <c r="A69" s="25"/>
      <c r="B69" s="128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7"/>
      <c r="AT69" s="25"/>
      <c r="AU69" s="27"/>
    </row>
    <row r="70" spans="1:47" ht="15.75" customHeight="1">
      <c r="A70" s="25"/>
      <c r="B70" s="128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7"/>
      <c r="AT70" s="25"/>
      <c r="AU70" s="27"/>
    </row>
    <row r="71" spans="1:47" ht="15.75" customHeight="1">
      <c r="A71" s="25"/>
      <c r="B71" s="128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7"/>
      <c r="AT71" s="25"/>
      <c r="AU71" s="27"/>
    </row>
    <row r="72" spans="1:47" ht="15.75" customHeight="1">
      <c r="A72" s="25"/>
      <c r="B72" s="128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7"/>
      <c r="AT72" s="25"/>
      <c r="AU72" s="27"/>
    </row>
    <row r="73" spans="1:47" ht="15.75" customHeight="1">
      <c r="A73" s="25"/>
      <c r="B73" s="128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7"/>
      <c r="AT73" s="25"/>
      <c r="AU73" s="27"/>
    </row>
    <row r="74" spans="1:47" ht="15.75" customHeight="1">
      <c r="A74" s="25"/>
      <c r="B74" s="128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7"/>
      <c r="AT74" s="25"/>
      <c r="AU74" s="27"/>
    </row>
    <row r="75" spans="1:47" ht="15.75" customHeight="1">
      <c r="A75" s="25"/>
      <c r="B75" s="128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7"/>
      <c r="AT75" s="25"/>
      <c r="AU75" s="27"/>
    </row>
    <row r="76" spans="1:47" ht="15.75" customHeight="1">
      <c r="A76" s="25"/>
      <c r="B76" s="128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7"/>
      <c r="AT76" s="25"/>
      <c r="AU76" s="27"/>
    </row>
    <row r="77" spans="1:47" ht="15.75" customHeight="1">
      <c r="A77" s="25"/>
      <c r="B77" s="128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7"/>
      <c r="AT77" s="25"/>
      <c r="AU77" s="27"/>
    </row>
    <row r="78" spans="1:47" ht="15.75" customHeight="1">
      <c r="A78" s="25"/>
      <c r="B78" s="128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7"/>
      <c r="AT78" s="25"/>
      <c r="AU78" s="27"/>
    </row>
    <row r="79" spans="1:47" ht="15.75" customHeight="1">
      <c r="A79" s="25"/>
      <c r="B79" s="128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7"/>
      <c r="AT79" s="25"/>
      <c r="AU79" s="27"/>
    </row>
    <row r="80" spans="1:47" ht="15.75" customHeight="1">
      <c r="A80" s="25"/>
      <c r="B80" s="128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7"/>
      <c r="AT80" s="25"/>
      <c r="AU80" s="27"/>
    </row>
    <row r="81" spans="1:47" ht="15.75" customHeight="1">
      <c r="A81" s="25"/>
      <c r="B81" s="128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7"/>
      <c r="AT81" s="25"/>
      <c r="AU81" s="27"/>
    </row>
    <row r="82" spans="1:47" ht="15.75" customHeight="1">
      <c r="A82" s="25"/>
      <c r="B82" s="128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7"/>
      <c r="AT82" s="25"/>
      <c r="AU82" s="27"/>
    </row>
    <row r="83" spans="1:47" ht="15.75" customHeight="1">
      <c r="A83" s="25"/>
      <c r="B83" s="128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7"/>
      <c r="AT83" s="25"/>
      <c r="AU83" s="27"/>
    </row>
    <row r="84" spans="1:47" ht="15.75" customHeight="1">
      <c r="A84" s="25"/>
      <c r="B84" s="128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7"/>
      <c r="AT84" s="25"/>
      <c r="AU84" s="27"/>
    </row>
    <row r="85" spans="1:47" ht="15.75" customHeight="1">
      <c r="A85" s="25"/>
      <c r="B85" s="128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7"/>
      <c r="AT85" s="25"/>
      <c r="AU85" s="27"/>
    </row>
    <row r="86" spans="1:47" ht="15.75" customHeight="1">
      <c r="A86" s="25"/>
      <c r="B86" s="128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7"/>
      <c r="AT86" s="25"/>
      <c r="AU86" s="27"/>
    </row>
    <row r="87" spans="1:47" ht="15.75" customHeight="1">
      <c r="A87" s="25"/>
      <c r="B87" s="128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7"/>
      <c r="AT87" s="25"/>
      <c r="AU87" s="27"/>
    </row>
    <row r="88" spans="1:47" ht="15.75" customHeight="1">
      <c r="A88" s="25"/>
      <c r="B88" s="128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7"/>
      <c r="AT88" s="25"/>
      <c r="AU88" s="27"/>
    </row>
    <row r="89" spans="1:47" ht="15.75" customHeight="1">
      <c r="A89" s="25"/>
      <c r="B89" s="128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7"/>
      <c r="AT89" s="25"/>
      <c r="AU89" s="27"/>
    </row>
    <row r="90" spans="1:47" ht="15.75" customHeight="1">
      <c r="A90" s="25"/>
      <c r="B90" s="128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7"/>
      <c r="AT90" s="25"/>
      <c r="AU90" s="27"/>
    </row>
    <row r="91" spans="1:47" ht="15.75" customHeight="1">
      <c r="A91" s="25"/>
      <c r="B91" s="128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7"/>
      <c r="AT91" s="25"/>
      <c r="AU91" s="27"/>
    </row>
    <row r="92" spans="1:47" ht="15.75" customHeight="1">
      <c r="A92" s="25"/>
      <c r="B92" s="128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7"/>
      <c r="AT92" s="25"/>
      <c r="AU92" s="27"/>
    </row>
    <row r="93" spans="1:47" ht="15.75" customHeight="1">
      <c r="A93" s="25"/>
      <c r="B93" s="128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7"/>
      <c r="AT93" s="25"/>
      <c r="AU93" s="27"/>
    </row>
    <row r="94" spans="1:47" ht="15.75" customHeight="1">
      <c r="A94" s="25"/>
      <c r="B94" s="128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7"/>
      <c r="AT94" s="25"/>
      <c r="AU94" s="27"/>
    </row>
    <row r="95" spans="1:47" ht="15.75" customHeight="1">
      <c r="A95" s="25"/>
      <c r="B95" s="128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7"/>
      <c r="AT95" s="25"/>
      <c r="AU95" s="27"/>
    </row>
    <row r="96" spans="1:47" ht="15.75" customHeight="1">
      <c r="A96" s="25"/>
      <c r="B96" s="128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7"/>
      <c r="AT96" s="25"/>
      <c r="AU96" s="27"/>
    </row>
    <row r="97" spans="1:47" ht="15.75" customHeight="1">
      <c r="A97" s="25"/>
      <c r="B97" s="128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7"/>
      <c r="AT97" s="25"/>
      <c r="AU97" s="27"/>
    </row>
    <row r="98" spans="1:47" ht="15.75" customHeight="1">
      <c r="A98" s="25"/>
      <c r="B98" s="128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7"/>
      <c r="AT98" s="25"/>
      <c r="AU98" s="27"/>
    </row>
    <row r="99" spans="1:47" ht="15.75" customHeight="1">
      <c r="A99" s="25"/>
      <c r="B99" s="128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7"/>
      <c r="AT99" s="25"/>
      <c r="AU99" s="27"/>
    </row>
    <row r="100" spans="1:47" ht="15.75" customHeight="1">
      <c r="A100" s="25"/>
      <c r="B100" s="128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7"/>
      <c r="AT100" s="25"/>
      <c r="AU100" s="27"/>
    </row>
    <row r="101" spans="1:47" ht="15.75" customHeight="1">
      <c r="A101" s="25"/>
      <c r="B101" s="128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7"/>
      <c r="AT101" s="25"/>
      <c r="AU101" s="27"/>
    </row>
    <row r="102" spans="1:47" ht="15.75" customHeight="1">
      <c r="A102" s="25"/>
      <c r="B102" s="128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7"/>
      <c r="AT102" s="25"/>
      <c r="AU102" s="27"/>
    </row>
    <row r="103" spans="1:47" ht="15.75" customHeight="1">
      <c r="A103" s="25"/>
      <c r="B103" s="128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7"/>
      <c r="AT103" s="25"/>
      <c r="AU103" s="27"/>
    </row>
    <row r="104" spans="1:47" ht="15.75" customHeight="1">
      <c r="A104" s="25"/>
      <c r="B104" s="128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7"/>
      <c r="AT104" s="25"/>
      <c r="AU104" s="27"/>
    </row>
    <row r="105" spans="1:47" ht="15.75" customHeight="1">
      <c r="A105" s="25"/>
      <c r="B105" s="128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7"/>
      <c r="AT105" s="25"/>
      <c r="AU105" s="27"/>
    </row>
    <row r="106" spans="1:47" ht="15.75" customHeight="1">
      <c r="A106" s="25"/>
      <c r="B106" s="128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7"/>
      <c r="AT106" s="25"/>
      <c r="AU106" s="27"/>
    </row>
    <row r="107" spans="1:47" ht="15.75" customHeight="1">
      <c r="A107" s="25"/>
      <c r="B107" s="128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7"/>
      <c r="AT107" s="25"/>
      <c r="AU107" s="27"/>
    </row>
    <row r="108" spans="1:47" ht="15.75" customHeight="1">
      <c r="A108" s="25"/>
      <c r="B108" s="128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7"/>
      <c r="AT108" s="25"/>
      <c r="AU108" s="27"/>
    </row>
    <row r="109" spans="1:47" ht="15.75" customHeight="1">
      <c r="A109" s="25"/>
      <c r="B109" s="128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7"/>
      <c r="AT109" s="25"/>
      <c r="AU109" s="27"/>
    </row>
    <row r="110" spans="1:47" ht="15.75" customHeight="1">
      <c r="A110" s="25"/>
      <c r="B110" s="128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7"/>
      <c r="AT110" s="25"/>
      <c r="AU110" s="27"/>
    </row>
    <row r="111" spans="1:47" ht="15.75" customHeight="1">
      <c r="A111" s="25"/>
      <c r="B111" s="128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7"/>
      <c r="AT111" s="25"/>
      <c r="AU111" s="27"/>
    </row>
    <row r="112" spans="1:47" ht="15.75" customHeight="1">
      <c r="A112" s="25"/>
      <c r="B112" s="128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7"/>
      <c r="AT112" s="25"/>
      <c r="AU112" s="27"/>
    </row>
    <row r="113" spans="1:47" ht="15.75" customHeight="1">
      <c r="A113" s="25"/>
      <c r="B113" s="128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7"/>
      <c r="AT113" s="25"/>
      <c r="AU113" s="27"/>
    </row>
    <row r="114" spans="1:47" ht="15.75" customHeight="1">
      <c r="A114" s="25"/>
      <c r="B114" s="128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7"/>
      <c r="AT114" s="25"/>
      <c r="AU114" s="27"/>
    </row>
    <row r="115" spans="1:47" ht="15.75" customHeight="1">
      <c r="A115" s="25"/>
      <c r="B115" s="128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7"/>
      <c r="AT115" s="25"/>
      <c r="AU115" s="27"/>
    </row>
    <row r="116" spans="1:47" ht="15.75" customHeight="1">
      <c r="A116" s="25"/>
      <c r="B116" s="128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7"/>
      <c r="AT116" s="25"/>
      <c r="AU116" s="27"/>
    </row>
    <row r="117" spans="1:47" ht="15.75" customHeight="1">
      <c r="A117" s="25"/>
      <c r="B117" s="128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7"/>
      <c r="AT117" s="25"/>
      <c r="AU117" s="27"/>
    </row>
    <row r="118" spans="1:47" ht="15.75" customHeight="1">
      <c r="A118" s="25"/>
      <c r="B118" s="128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7"/>
      <c r="AT118" s="25"/>
      <c r="AU118" s="27"/>
    </row>
    <row r="119" spans="1:47" ht="15.75" customHeight="1">
      <c r="A119" s="25"/>
      <c r="B119" s="128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7"/>
      <c r="AT119" s="25"/>
      <c r="AU119" s="27"/>
    </row>
    <row r="120" spans="1:47" ht="15.75" customHeight="1">
      <c r="A120" s="25"/>
      <c r="B120" s="128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7"/>
      <c r="AT120" s="25"/>
      <c r="AU120" s="27"/>
    </row>
    <row r="121" spans="1:47" ht="15.75" customHeight="1">
      <c r="A121" s="25"/>
      <c r="B121" s="128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7"/>
      <c r="AT121" s="25"/>
      <c r="AU121" s="27"/>
    </row>
    <row r="122" spans="1:47" ht="15.75" customHeight="1">
      <c r="A122" s="25"/>
      <c r="B122" s="128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7"/>
      <c r="AT122" s="25"/>
      <c r="AU122" s="27"/>
    </row>
    <row r="123" spans="1:47" ht="15.75" customHeight="1">
      <c r="A123" s="25"/>
      <c r="B123" s="128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7"/>
      <c r="AT123" s="25"/>
      <c r="AU123" s="27"/>
    </row>
    <row r="124" spans="1:47" ht="15.75" customHeight="1">
      <c r="A124" s="25"/>
      <c r="B124" s="128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7"/>
      <c r="AT124" s="25"/>
      <c r="AU124" s="27"/>
    </row>
    <row r="125" spans="1:47" ht="15.75" customHeight="1">
      <c r="A125" s="25"/>
      <c r="B125" s="128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7"/>
      <c r="AT125" s="25"/>
      <c r="AU125" s="27"/>
    </row>
    <row r="126" spans="1:47" ht="15.75" customHeight="1">
      <c r="A126" s="25"/>
      <c r="B126" s="128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7"/>
      <c r="AT126" s="25"/>
      <c r="AU126" s="27"/>
    </row>
    <row r="127" spans="1:47" ht="15.75" customHeight="1">
      <c r="A127" s="25"/>
      <c r="B127" s="128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7"/>
      <c r="AT127" s="25"/>
      <c r="AU127" s="27"/>
    </row>
    <row r="128" spans="1:47" ht="15.75" customHeight="1">
      <c r="A128" s="25"/>
      <c r="B128" s="128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7"/>
      <c r="AT128" s="25"/>
      <c r="AU128" s="27"/>
    </row>
    <row r="129" spans="1:47" ht="15.75" customHeight="1">
      <c r="A129" s="25"/>
      <c r="B129" s="128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7"/>
      <c r="AT129" s="25"/>
      <c r="AU129" s="27"/>
    </row>
    <row r="130" spans="1:47" ht="15.75" customHeight="1">
      <c r="A130" s="25"/>
      <c r="B130" s="128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7"/>
      <c r="AT130" s="25"/>
      <c r="AU130" s="27"/>
    </row>
    <row r="131" spans="1:47" ht="15.75" customHeight="1">
      <c r="A131" s="25"/>
      <c r="B131" s="128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7"/>
      <c r="AT131" s="25"/>
      <c r="AU131" s="27"/>
    </row>
    <row r="132" spans="1:47" ht="15.75" customHeight="1">
      <c r="A132" s="25"/>
      <c r="B132" s="128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7"/>
      <c r="AT132" s="25"/>
      <c r="AU132" s="27"/>
    </row>
    <row r="133" spans="1:47" ht="15.75" customHeight="1">
      <c r="A133" s="25"/>
      <c r="B133" s="128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7"/>
      <c r="AT133" s="25"/>
      <c r="AU133" s="27"/>
    </row>
    <row r="134" spans="1:47" ht="15.75" customHeight="1">
      <c r="A134" s="25"/>
      <c r="B134" s="128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7"/>
      <c r="AT134" s="25"/>
      <c r="AU134" s="27"/>
    </row>
    <row r="135" spans="1:47" ht="15.75" customHeight="1">
      <c r="A135" s="25"/>
      <c r="B135" s="128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7"/>
      <c r="AT135" s="25"/>
      <c r="AU135" s="27"/>
    </row>
    <row r="136" spans="1:47" ht="15.75" customHeight="1">
      <c r="A136" s="25"/>
      <c r="B136" s="128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7"/>
      <c r="AT136" s="25"/>
      <c r="AU136" s="27"/>
    </row>
    <row r="137" spans="1:47" ht="15.75" customHeight="1">
      <c r="A137" s="25"/>
      <c r="B137" s="128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7"/>
      <c r="AT137" s="25"/>
      <c r="AU137" s="27"/>
    </row>
    <row r="138" spans="1:47" ht="15.75" customHeight="1">
      <c r="A138" s="25"/>
      <c r="B138" s="128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7"/>
      <c r="AT138" s="25"/>
      <c r="AU138" s="27"/>
    </row>
    <row r="139" spans="1:47" ht="15.75" customHeight="1">
      <c r="A139" s="25"/>
      <c r="B139" s="128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7"/>
      <c r="AT139" s="25"/>
      <c r="AU139" s="27"/>
    </row>
    <row r="140" spans="1:47" ht="15.75" customHeight="1">
      <c r="A140" s="25"/>
      <c r="B140" s="128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7"/>
      <c r="AT140" s="25"/>
      <c r="AU140" s="27"/>
    </row>
    <row r="141" spans="1:47" ht="15.75" customHeight="1">
      <c r="A141" s="25"/>
      <c r="B141" s="128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7"/>
      <c r="AT141" s="25"/>
      <c r="AU141" s="27"/>
    </row>
    <row r="142" spans="1:47" ht="15.75" customHeight="1">
      <c r="A142" s="25"/>
      <c r="B142" s="128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7"/>
      <c r="AT142" s="25"/>
      <c r="AU142" s="27"/>
    </row>
    <row r="143" spans="1:47" ht="15.75" customHeight="1">
      <c r="A143" s="25"/>
      <c r="B143" s="128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7"/>
      <c r="AT143" s="25"/>
      <c r="AU143" s="27"/>
    </row>
    <row r="144" spans="1:47" ht="15.75" customHeight="1">
      <c r="A144" s="25"/>
      <c r="B144" s="128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7"/>
      <c r="AT144" s="25"/>
      <c r="AU144" s="27"/>
    </row>
    <row r="145" spans="1:47" ht="15.75" customHeight="1">
      <c r="A145" s="25"/>
      <c r="B145" s="128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7"/>
      <c r="AT145" s="25"/>
      <c r="AU145" s="27"/>
    </row>
    <row r="146" spans="1:47" ht="15.75" customHeight="1">
      <c r="A146" s="25"/>
      <c r="B146" s="128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7"/>
      <c r="AT146" s="25"/>
      <c r="AU146" s="27"/>
    </row>
    <row r="147" spans="1:47" ht="15.75" customHeight="1">
      <c r="A147" s="25"/>
      <c r="B147" s="128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7"/>
      <c r="AT147" s="25"/>
      <c r="AU147" s="27"/>
    </row>
    <row r="148" spans="1:47" ht="15.75" customHeight="1">
      <c r="A148" s="25"/>
      <c r="B148" s="128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7"/>
      <c r="AT148" s="25"/>
      <c r="AU148" s="27"/>
    </row>
    <row r="149" spans="1:47" ht="15.75" customHeight="1">
      <c r="A149" s="25"/>
      <c r="B149" s="128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7"/>
      <c r="AT149" s="25"/>
      <c r="AU149" s="27"/>
    </row>
    <row r="150" spans="1:47" ht="15.75" customHeight="1">
      <c r="A150" s="25"/>
      <c r="B150" s="128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7"/>
      <c r="AT150" s="25"/>
      <c r="AU150" s="27"/>
    </row>
    <row r="151" spans="1:47" ht="15.75" customHeight="1">
      <c r="A151" s="25"/>
      <c r="B151" s="128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7"/>
      <c r="AT151" s="25"/>
      <c r="AU151" s="27"/>
    </row>
    <row r="152" spans="1:47" ht="15.75" customHeight="1">
      <c r="A152" s="25"/>
      <c r="B152" s="128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7"/>
      <c r="AT152" s="25"/>
      <c r="AU152" s="27"/>
    </row>
    <row r="153" spans="1:47" ht="15.75" customHeight="1">
      <c r="A153" s="25"/>
      <c r="B153" s="128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7"/>
      <c r="AT153" s="25"/>
      <c r="AU153" s="27"/>
    </row>
    <row r="154" spans="1:47" ht="15.75" customHeight="1">
      <c r="A154" s="25"/>
      <c r="B154" s="128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7"/>
      <c r="AT154" s="25"/>
      <c r="AU154" s="27"/>
    </row>
    <row r="155" spans="1:47" ht="15.75" customHeight="1">
      <c r="A155" s="25"/>
      <c r="B155" s="128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7"/>
      <c r="AT155" s="25"/>
      <c r="AU155" s="27"/>
    </row>
    <row r="156" spans="1:47" ht="15.75" customHeight="1">
      <c r="A156" s="25"/>
      <c r="B156" s="128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7"/>
      <c r="AT156" s="25"/>
      <c r="AU156" s="27"/>
    </row>
    <row r="157" spans="1:47" ht="15.75" customHeight="1">
      <c r="A157" s="25"/>
      <c r="B157" s="128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7"/>
      <c r="AT157" s="25"/>
      <c r="AU157" s="27"/>
    </row>
    <row r="158" spans="1:47" ht="15.75" customHeight="1">
      <c r="A158" s="25"/>
      <c r="B158" s="128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7"/>
      <c r="AT158" s="25"/>
      <c r="AU158" s="27"/>
    </row>
    <row r="159" spans="1:47" ht="15.75" customHeight="1">
      <c r="A159" s="25"/>
      <c r="B159" s="128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7"/>
      <c r="AT159" s="25"/>
      <c r="AU159" s="27"/>
    </row>
    <row r="160" spans="1:47" ht="15.75" customHeight="1">
      <c r="A160" s="25"/>
      <c r="B160" s="128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7"/>
      <c r="AT160" s="25"/>
      <c r="AU160" s="27"/>
    </row>
    <row r="161" spans="1:47" ht="15.75" customHeight="1">
      <c r="A161" s="25"/>
      <c r="B161" s="128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7"/>
      <c r="AT161" s="25"/>
      <c r="AU161" s="27"/>
    </row>
    <row r="162" spans="1:47" ht="15.75" customHeight="1">
      <c r="A162" s="25"/>
      <c r="B162" s="128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7"/>
      <c r="AT162" s="25"/>
      <c r="AU162" s="27"/>
    </row>
    <row r="163" spans="1:47" ht="15.75" customHeight="1">
      <c r="A163" s="25"/>
      <c r="B163" s="128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7"/>
      <c r="AT163" s="25"/>
      <c r="AU163" s="27"/>
    </row>
    <row r="164" spans="1:47" ht="15.75" customHeight="1">
      <c r="A164" s="25"/>
      <c r="B164" s="128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7"/>
      <c r="AT164" s="25"/>
      <c r="AU164" s="27"/>
    </row>
    <row r="165" spans="1:47" ht="15.75" customHeight="1">
      <c r="A165" s="25"/>
      <c r="B165" s="128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7"/>
      <c r="AT165" s="25"/>
      <c r="AU165" s="27"/>
    </row>
    <row r="166" spans="1:47" ht="15.75" customHeight="1">
      <c r="A166" s="25"/>
      <c r="B166" s="128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7"/>
      <c r="AT166" s="25"/>
      <c r="AU166" s="27"/>
    </row>
    <row r="167" spans="1:47" ht="15.75" customHeight="1">
      <c r="A167" s="25"/>
      <c r="B167" s="128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7"/>
      <c r="AT167" s="25"/>
      <c r="AU167" s="27"/>
    </row>
    <row r="168" spans="1:47" ht="15.75" customHeight="1">
      <c r="A168" s="25"/>
      <c r="B168" s="128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7"/>
      <c r="AT168" s="25"/>
      <c r="AU168" s="27"/>
    </row>
    <row r="169" spans="1:47" ht="15.75" customHeight="1">
      <c r="A169" s="25"/>
      <c r="B169" s="128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7"/>
      <c r="AT169" s="25"/>
      <c r="AU169" s="27"/>
    </row>
    <row r="170" spans="1:47" ht="15.75" customHeight="1">
      <c r="A170" s="25"/>
      <c r="B170" s="128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7"/>
      <c r="AT170" s="25"/>
      <c r="AU170" s="27"/>
    </row>
    <row r="171" spans="1:47" ht="15.75" customHeight="1">
      <c r="A171" s="25"/>
      <c r="B171" s="128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7"/>
      <c r="AT171" s="25"/>
      <c r="AU171" s="27"/>
    </row>
    <row r="172" spans="1:47" ht="15.75" customHeight="1">
      <c r="A172" s="25"/>
      <c r="B172" s="128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7"/>
      <c r="AT172" s="25"/>
      <c r="AU172" s="27"/>
    </row>
    <row r="173" spans="1:47" ht="15.75" customHeight="1">
      <c r="A173" s="25"/>
      <c r="B173" s="128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7"/>
      <c r="AT173" s="25"/>
      <c r="AU173" s="27"/>
    </row>
    <row r="174" spans="1:47" ht="15.75" customHeight="1">
      <c r="A174" s="25"/>
      <c r="B174" s="128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7"/>
      <c r="AT174" s="25"/>
      <c r="AU174" s="27"/>
    </row>
    <row r="175" spans="1:47" ht="15.75" customHeight="1">
      <c r="A175" s="25"/>
      <c r="B175" s="128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7"/>
      <c r="AT175" s="25"/>
      <c r="AU175" s="27"/>
    </row>
    <row r="176" spans="1:47" ht="15.75" customHeight="1">
      <c r="A176" s="25"/>
      <c r="B176" s="128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7"/>
      <c r="AT176" s="25"/>
      <c r="AU176" s="27"/>
    </row>
    <row r="177" spans="1:47" ht="15.75" customHeight="1">
      <c r="A177" s="25"/>
      <c r="B177" s="128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7"/>
      <c r="AT177" s="25"/>
      <c r="AU177" s="27"/>
    </row>
    <row r="178" spans="1:47" ht="15.75" customHeight="1">
      <c r="A178" s="25"/>
      <c r="B178" s="128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7"/>
      <c r="AT178" s="25"/>
      <c r="AU178" s="27"/>
    </row>
    <row r="179" spans="1:47" ht="15.75" customHeight="1">
      <c r="A179" s="25"/>
      <c r="B179" s="128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7"/>
      <c r="AT179" s="25"/>
      <c r="AU179" s="27"/>
    </row>
    <row r="180" spans="1:47" ht="15.75" customHeight="1">
      <c r="A180" s="25"/>
      <c r="B180" s="128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7"/>
      <c r="AT180" s="25"/>
      <c r="AU180" s="27"/>
    </row>
    <row r="181" spans="1:47" ht="15.75" customHeight="1">
      <c r="A181" s="25"/>
      <c r="B181" s="128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7"/>
      <c r="AT181" s="25"/>
      <c r="AU181" s="27"/>
    </row>
    <row r="182" spans="1:47" ht="15.75" customHeight="1">
      <c r="A182" s="25"/>
      <c r="B182" s="128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7"/>
      <c r="AT182" s="25"/>
      <c r="AU182" s="27"/>
    </row>
    <row r="183" spans="1:47" ht="15.75" customHeight="1">
      <c r="A183" s="25"/>
      <c r="B183" s="128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7"/>
      <c r="AT183" s="25"/>
      <c r="AU183" s="27"/>
    </row>
    <row r="184" spans="1:47" ht="15.75" customHeight="1">
      <c r="A184" s="25"/>
      <c r="B184" s="128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7"/>
      <c r="AT184" s="25"/>
      <c r="AU184" s="27"/>
    </row>
    <row r="185" spans="1:47" ht="15.75" customHeight="1">
      <c r="A185" s="25"/>
      <c r="B185" s="128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7"/>
      <c r="AT185" s="25"/>
      <c r="AU185" s="27"/>
    </row>
    <row r="186" spans="1:47" ht="15.75" customHeight="1">
      <c r="A186" s="25"/>
      <c r="B186" s="128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7"/>
      <c r="AT186" s="25"/>
      <c r="AU186" s="27"/>
    </row>
    <row r="187" spans="1:47" ht="15.75" customHeight="1">
      <c r="A187" s="25"/>
      <c r="B187" s="128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7"/>
      <c r="AT187" s="25"/>
      <c r="AU187" s="27"/>
    </row>
    <row r="188" spans="1:47" ht="15.75" customHeight="1">
      <c r="A188" s="25"/>
      <c r="B188" s="128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7"/>
      <c r="AT188" s="25"/>
      <c r="AU188" s="27"/>
    </row>
    <row r="189" spans="1:47" ht="15.75" customHeight="1">
      <c r="A189" s="25"/>
      <c r="B189" s="128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7"/>
      <c r="AT189" s="25"/>
      <c r="AU189" s="27"/>
    </row>
    <row r="190" spans="1:47" ht="15.75" customHeight="1">
      <c r="A190" s="25"/>
      <c r="B190" s="128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7"/>
      <c r="AT190" s="25"/>
      <c r="AU190" s="27"/>
    </row>
    <row r="191" spans="1:47" ht="15.75" customHeight="1">
      <c r="A191" s="25"/>
      <c r="B191" s="128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7"/>
      <c r="AT191" s="25"/>
      <c r="AU191" s="27"/>
    </row>
    <row r="192" spans="1:47" ht="15.75" customHeight="1">
      <c r="A192" s="25"/>
      <c r="B192" s="128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7"/>
      <c r="AT192" s="25"/>
      <c r="AU192" s="27"/>
    </row>
    <row r="193" spans="1:47" ht="15.75" customHeight="1">
      <c r="A193" s="25"/>
      <c r="B193" s="128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7"/>
      <c r="AT193" s="25"/>
      <c r="AU193" s="27"/>
    </row>
    <row r="194" spans="1:47" ht="15.75" customHeight="1">
      <c r="A194" s="25"/>
      <c r="B194" s="128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7"/>
      <c r="AT194" s="25"/>
      <c r="AU194" s="27"/>
    </row>
    <row r="195" spans="1:47" ht="15.75" customHeight="1">
      <c r="A195" s="25"/>
      <c r="B195" s="128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7"/>
      <c r="AT195" s="25"/>
      <c r="AU195" s="27"/>
    </row>
    <row r="196" spans="1:47" ht="15.75" customHeight="1">
      <c r="A196" s="25"/>
      <c r="B196" s="128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7"/>
      <c r="AT196" s="25"/>
      <c r="AU196" s="27"/>
    </row>
    <row r="197" spans="1:47" ht="15.75" customHeight="1">
      <c r="A197" s="25"/>
      <c r="B197" s="128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7"/>
      <c r="AT197" s="25"/>
      <c r="AU197" s="27"/>
    </row>
    <row r="198" spans="1:47" ht="15.75" customHeight="1">
      <c r="A198" s="25"/>
      <c r="B198" s="128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7"/>
      <c r="AT198" s="25"/>
      <c r="AU198" s="27"/>
    </row>
    <row r="199" spans="1:47" ht="15.75" customHeight="1">
      <c r="A199" s="25"/>
      <c r="B199" s="128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7"/>
      <c r="AT199" s="25"/>
      <c r="AU199" s="27"/>
    </row>
    <row r="200" spans="1:47" ht="15.75" customHeight="1">
      <c r="A200" s="25"/>
      <c r="B200" s="128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7"/>
      <c r="AT200" s="25"/>
      <c r="AU200" s="27"/>
    </row>
    <row r="201" spans="1:47" ht="15.75" customHeight="1">
      <c r="A201" s="25"/>
      <c r="B201" s="128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7"/>
      <c r="AT201" s="25"/>
      <c r="AU201" s="27"/>
    </row>
    <row r="202" spans="1:47" ht="15.75" customHeight="1">
      <c r="A202" s="25"/>
      <c r="B202" s="128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7"/>
      <c r="AT202" s="25"/>
      <c r="AU202" s="27"/>
    </row>
    <row r="203" spans="1:47" ht="15.75" customHeight="1">
      <c r="A203" s="25"/>
      <c r="B203" s="128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7"/>
      <c r="AT203" s="25"/>
      <c r="AU203" s="27"/>
    </row>
    <row r="204" spans="1:47" ht="15.75" customHeight="1">
      <c r="A204" s="25"/>
      <c r="B204" s="128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7"/>
      <c r="AT204" s="25"/>
      <c r="AU204" s="27"/>
    </row>
    <row r="205" spans="1:47" ht="15.75" customHeight="1">
      <c r="A205" s="25"/>
      <c r="B205" s="128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7"/>
      <c r="AT205" s="25"/>
      <c r="AU205" s="27"/>
    </row>
    <row r="206" spans="1:47" ht="15.75" customHeight="1">
      <c r="A206" s="25"/>
      <c r="B206" s="128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7"/>
      <c r="AT206" s="25"/>
      <c r="AU206" s="27"/>
    </row>
    <row r="207" spans="1:47" ht="15.75" customHeight="1">
      <c r="A207" s="25"/>
      <c r="B207" s="128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7"/>
      <c r="AT207" s="25"/>
      <c r="AU207" s="27"/>
    </row>
    <row r="208" spans="1:47" ht="15.75" customHeight="1">
      <c r="A208" s="25"/>
      <c r="B208" s="128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7"/>
      <c r="AT208" s="25"/>
      <c r="AU208" s="27"/>
    </row>
    <row r="209" spans="1:47" ht="15.75" customHeight="1">
      <c r="A209" s="25"/>
      <c r="B209" s="128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7"/>
      <c r="AT209" s="25"/>
      <c r="AU209" s="27"/>
    </row>
    <row r="210" spans="1:47" ht="15.75" customHeight="1">
      <c r="A210" s="25"/>
      <c r="B210" s="128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7"/>
      <c r="AT210" s="25"/>
      <c r="AU210" s="27"/>
    </row>
    <row r="211" spans="1:47" ht="15.75" customHeight="1">
      <c r="A211" s="25"/>
      <c r="B211" s="128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7"/>
      <c r="AT211" s="25"/>
      <c r="AU211" s="27"/>
    </row>
    <row r="212" spans="1:47" ht="15.75" customHeight="1">
      <c r="A212" s="25"/>
      <c r="B212" s="128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7"/>
      <c r="AT212" s="25"/>
      <c r="AU212" s="27"/>
    </row>
    <row r="213" spans="1:47" ht="15.75" customHeight="1">
      <c r="A213" s="25"/>
      <c r="B213" s="128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7"/>
      <c r="AT213" s="25"/>
      <c r="AU213" s="27"/>
    </row>
    <row r="214" spans="1:47" ht="15.75" customHeight="1">
      <c r="A214" s="25"/>
      <c r="B214" s="128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7"/>
      <c r="AT214" s="25"/>
      <c r="AU214" s="27"/>
    </row>
    <row r="215" spans="1:47" ht="15.75" customHeight="1">
      <c r="A215" s="25"/>
      <c r="B215" s="128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7"/>
      <c r="AT215" s="25"/>
      <c r="AU215" s="27"/>
    </row>
    <row r="216" spans="1:47" ht="15.75" customHeight="1">
      <c r="A216" s="25"/>
      <c r="B216" s="128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7"/>
      <c r="AT216" s="25"/>
      <c r="AU216" s="27"/>
    </row>
    <row r="217" spans="1:47" ht="15.75" customHeight="1">
      <c r="A217" s="25"/>
      <c r="B217" s="128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7"/>
      <c r="AT217" s="25"/>
      <c r="AU217" s="27"/>
    </row>
    <row r="218" spans="1:47" ht="15.75" customHeight="1">
      <c r="A218" s="25"/>
      <c r="B218" s="128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7"/>
      <c r="AT218" s="25"/>
      <c r="AU218" s="27"/>
    </row>
    <row r="219" spans="1:47" ht="15.75" customHeight="1">
      <c r="A219" s="25"/>
      <c r="B219" s="128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7"/>
      <c r="AT219" s="25"/>
      <c r="AU219" s="27"/>
    </row>
    <row r="220" spans="1:47" ht="15.75" customHeight="1">
      <c r="A220" s="25"/>
      <c r="B220" s="128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7"/>
      <c r="AT220" s="25"/>
      <c r="AU220" s="27"/>
    </row>
    <row r="221" spans="1:47" ht="15.75" customHeight="1">
      <c r="A221" s="25"/>
      <c r="B221" s="128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7"/>
      <c r="AT221" s="25"/>
      <c r="AU221" s="27"/>
    </row>
    <row r="222" spans="1:47" ht="15.75" customHeight="1">
      <c r="A222" s="25"/>
      <c r="B222" s="128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7"/>
      <c r="AT222" s="25"/>
      <c r="AU222" s="27"/>
    </row>
    <row r="223" spans="1:47" ht="15.75" customHeight="1">
      <c r="A223" s="25"/>
      <c r="B223" s="128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7"/>
      <c r="AT223" s="25"/>
      <c r="AU223" s="27"/>
    </row>
    <row r="224" spans="1:47" ht="15.75" customHeight="1">
      <c r="A224" s="25"/>
      <c r="B224" s="128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7"/>
      <c r="AT224" s="25"/>
      <c r="AU224" s="27"/>
    </row>
    <row r="225" spans="1:47" ht="15.75" customHeight="1">
      <c r="A225" s="25"/>
      <c r="B225" s="128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7"/>
      <c r="AT225" s="25"/>
      <c r="AU225" s="27"/>
    </row>
    <row r="226" spans="1:47" ht="15.75" customHeight="1">
      <c r="A226" s="25"/>
      <c r="B226" s="128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7"/>
      <c r="AT226" s="25"/>
      <c r="AU226" s="27"/>
    </row>
    <row r="227" spans="1:47" ht="15.75" customHeight="1">
      <c r="A227" s="25"/>
      <c r="B227" s="128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7"/>
      <c r="AT227" s="25"/>
      <c r="AU227" s="27"/>
    </row>
    <row r="228" spans="1:47" ht="15.75" customHeight="1">
      <c r="A228" s="25"/>
      <c r="B228" s="128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7"/>
      <c r="AT228" s="25"/>
      <c r="AU228" s="27"/>
    </row>
    <row r="229" spans="1:47" ht="15.75" customHeight="1">
      <c r="A229" s="25"/>
      <c r="B229" s="128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7"/>
      <c r="AT229" s="25"/>
      <c r="AU229" s="27"/>
    </row>
    <row r="230" spans="1:47" ht="15.75" customHeight="1">
      <c r="A230" s="25"/>
      <c r="B230" s="128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7"/>
      <c r="AT230" s="25"/>
      <c r="AU230" s="27"/>
    </row>
    <row r="231" spans="1:47" ht="15.75" customHeight="1">
      <c r="A231" s="25"/>
      <c r="B231" s="128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7"/>
      <c r="AT231" s="25"/>
      <c r="AU231" s="27"/>
    </row>
    <row r="232" spans="1:47" ht="15.75" customHeight="1">
      <c r="A232" s="25"/>
      <c r="B232" s="128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7"/>
      <c r="AT232" s="25"/>
      <c r="AU232" s="27"/>
    </row>
    <row r="233" spans="1:47" ht="15.75" customHeight="1">
      <c r="A233" s="25"/>
      <c r="B233" s="128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7"/>
      <c r="AT233" s="25"/>
      <c r="AU233" s="27"/>
    </row>
    <row r="234" spans="1:47" ht="15.75" customHeight="1">
      <c r="A234" s="25"/>
      <c r="B234" s="128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7"/>
      <c r="AT234" s="25"/>
      <c r="AU234" s="27"/>
    </row>
    <row r="235" spans="1:47" ht="15.75" customHeight="1">
      <c r="A235" s="25"/>
      <c r="B235" s="128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7"/>
      <c r="AT235" s="25"/>
      <c r="AU235" s="27"/>
    </row>
    <row r="236" spans="1:47" ht="15.75" customHeight="1">
      <c r="A236" s="25"/>
      <c r="B236" s="128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7"/>
      <c r="AT236" s="25"/>
      <c r="AU236" s="27"/>
    </row>
    <row r="237" spans="1:47" ht="15.75" customHeight="1">
      <c r="A237" s="25"/>
      <c r="B237" s="128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7"/>
      <c r="AT237" s="25"/>
      <c r="AU237" s="27"/>
    </row>
    <row r="238" spans="1:47" ht="15.75" customHeight="1">
      <c r="A238" s="25"/>
      <c r="B238" s="128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7"/>
      <c r="AT238" s="25"/>
      <c r="AU238" s="27"/>
    </row>
    <row r="239" spans="1:47" ht="15.75" customHeight="1">
      <c r="A239" s="25"/>
      <c r="B239" s="128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7"/>
      <c r="AT239" s="25"/>
      <c r="AU239" s="27"/>
    </row>
    <row r="240" spans="1:47" ht="15.75" customHeight="1">
      <c r="A240" s="25"/>
      <c r="B240" s="128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7"/>
      <c r="AT240" s="25"/>
      <c r="AU240" s="27"/>
    </row>
    <row r="241" spans="1:47" ht="15.75" customHeight="1">
      <c r="A241" s="25"/>
      <c r="B241" s="128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7"/>
      <c r="AT241" s="25"/>
      <c r="AU241" s="27"/>
    </row>
    <row r="242" spans="1:47" ht="15.75" customHeight="1">
      <c r="A242" s="25"/>
      <c r="B242" s="128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7"/>
      <c r="AT242" s="25"/>
      <c r="AU242" s="27"/>
    </row>
    <row r="243" spans="1:47" ht="15.75" customHeight="1">
      <c r="A243" s="25"/>
      <c r="B243" s="128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7"/>
      <c r="AT243" s="25"/>
      <c r="AU243" s="27"/>
    </row>
    <row r="244" spans="1:47" ht="15.75" customHeight="1">
      <c r="A244" s="25"/>
      <c r="B244" s="128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7"/>
      <c r="AT244" s="25"/>
      <c r="AU244" s="27"/>
    </row>
    <row r="245" spans="1:47" ht="15.75" customHeight="1">
      <c r="A245" s="25"/>
      <c r="B245" s="128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7"/>
      <c r="AT245" s="25"/>
      <c r="AU245" s="27"/>
    </row>
    <row r="246" spans="1:47" ht="15.75" customHeight="1">
      <c r="A246" s="25"/>
      <c r="B246" s="128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7"/>
      <c r="AT246" s="25"/>
      <c r="AU246" s="27"/>
    </row>
    <row r="247" spans="1:47" ht="15.75" customHeight="1">
      <c r="A247" s="25"/>
      <c r="B247" s="128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7"/>
      <c r="AT247" s="25"/>
      <c r="AU247" s="27"/>
    </row>
    <row r="248" spans="1:47" ht="15.75" customHeight="1">
      <c r="B248" s="178"/>
    </row>
    <row r="249" spans="1:47" ht="15.75" customHeight="1">
      <c r="B249" s="178"/>
    </row>
    <row r="250" spans="1:47" ht="15.75" customHeight="1">
      <c r="B250" s="178"/>
    </row>
    <row r="251" spans="1:47" ht="15.75" customHeight="1">
      <c r="B251" s="178"/>
    </row>
    <row r="252" spans="1:47" ht="15.75" customHeight="1">
      <c r="B252" s="178"/>
    </row>
    <row r="253" spans="1:47" ht="15.75" customHeight="1">
      <c r="B253" s="178"/>
    </row>
    <row r="254" spans="1:47" ht="15.75" customHeight="1">
      <c r="B254" s="178"/>
    </row>
    <row r="255" spans="1:47" ht="15.75" customHeight="1">
      <c r="B255" s="178"/>
    </row>
    <row r="256" spans="1:47" ht="15.75" customHeight="1">
      <c r="B256" s="178"/>
    </row>
    <row r="257" spans="2:2" ht="15.75" customHeight="1">
      <c r="B257" s="178"/>
    </row>
    <row r="258" spans="2:2" ht="15.75" customHeight="1">
      <c r="B258" s="178"/>
    </row>
    <row r="259" spans="2:2" ht="15.75" customHeight="1">
      <c r="B259" s="178"/>
    </row>
    <row r="260" spans="2:2" ht="15.75" customHeight="1">
      <c r="B260" s="178"/>
    </row>
    <row r="261" spans="2:2" ht="15.75" customHeight="1">
      <c r="B261" s="178"/>
    </row>
    <row r="262" spans="2:2" ht="15.75" customHeight="1">
      <c r="B262" s="178"/>
    </row>
    <row r="263" spans="2:2" ht="15.75" customHeight="1">
      <c r="B263" s="178"/>
    </row>
    <row r="264" spans="2:2" ht="15.75" customHeight="1">
      <c r="B264" s="178"/>
    </row>
    <row r="265" spans="2:2" ht="15.75" customHeight="1">
      <c r="B265" s="178"/>
    </row>
    <row r="266" spans="2:2" ht="15.75" customHeight="1">
      <c r="B266" s="178"/>
    </row>
    <row r="267" spans="2:2" ht="15.75" customHeight="1">
      <c r="B267" s="178"/>
    </row>
    <row r="268" spans="2:2" ht="15.75" customHeight="1">
      <c r="B268" s="178"/>
    </row>
    <row r="269" spans="2:2" ht="15.75" customHeight="1">
      <c r="B269" s="178"/>
    </row>
    <row r="270" spans="2:2" ht="15.75" customHeight="1">
      <c r="B270" s="178"/>
    </row>
    <row r="271" spans="2:2" ht="15.75" customHeight="1">
      <c r="B271" s="178"/>
    </row>
    <row r="272" spans="2:2" ht="15.75" customHeight="1">
      <c r="B272" s="178"/>
    </row>
    <row r="273" spans="2:2" ht="15.75" customHeight="1">
      <c r="B273" s="178"/>
    </row>
    <row r="274" spans="2:2" ht="15.75" customHeight="1">
      <c r="B274" s="178"/>
    </row>
    <row r="275" spans="2:2" ht="15.75" customHeight="1">
      <c r="B275" s="178"/>
    </row>
    <row r="276" spans="2:2" ht="15.75" customHeight="1">
      <c r="B276" s="178"/>
    </row>
    <row r="277" spans="2:2" ht="15.75" customHeight="1">
      <c r="B277" s="178"/>
    </row>
    <row r="278" spans="2:2" ht="15.75" customHeight="1">
      <c r="B278" s="178"/>
    </row>
    <row r="279" spans="2:2" ht="15.75" customHeight="1">
      <c r="B279" s="178"/>
    </row>
    <row r="280" spans="2:2" ht="15.75" customHeight="1">
      <c r="B280" s="178"/>
    </row>
    <row r="281" spans="2:2" ht="15.75" customHeight="1">
      <c r="B281" s="178"/>
    </row>
    <row r="282" spans="2:2" ht="15.75" customHeight="1">
      <c r="B282" s="178"/>
    </row>
    <row r="283" spans="2:2" ht="15.75" customHeight="1">
      <c r="B283" s="178"/>
    </row>
    <row r="284" spans="2:2" ht="15.75" customHeight="1">
      <c r="B284" s="178"/>
    </row>
    <row r="285" spans="2:2" ht="15.75" customHeight="1">
      <c r="B285" s="178"/>
    </row>
    <row r="286" spans="2:2" ht="15.75" customHeight="1">
      <c r="B286" s="178"/>
    </row>
    <row r="287" spans="2:2" ht="15.75" customHeight="1">
      <c r="B287" s="178"/>
    </row>
    <row r="288" spans="2:2" ht="15.75" customHeight="1">
      <c r="B288" s="178"/>
    </row>
    <row r="289" spans="2:2" ht="15.75" customHeight="1">
      <c r="B289" s="178"/>
    </row>
    <row r="290" spans="2:2" ht="15.75" customHeight="1">
      <c r="B290" s="178"/>
    </row>
    <row r="291" spans="2:2" ht="15.75" customHeight="1">
      <c r="B291" s="178"/>
    </row>
    <row r="292" spans="2:2" ht="15.75" customHeight="1">
      <c r="B292" s="178"/>
    </row>
    <row r="293" spans="2:2" ht="15.75" customHeight="1">
      <c r="B293" s="178"/>
    </row>
    <row r="294" spans="2:2" ht="15.75" customHeight="1">
      <c r="B294" s="178"/>
    </row>
    <row r="295" spans="2:2" ht="15.75" customHeight="1">
      <c r="B295" s="178"/>
    </row>
    <row r="296" spans="2:2" ht="15.75" customHeight="1">
      <c r="B296" s="178"/>
    </row>
    <row r="297" spans="2:2" ht="15.75" customHeight="1">
      <c r="B297" s="178"/>
    </row>
    <row r="298" spans="2:2" ht="15.75" customHeight="1">
      <c r="B298" s="178"/>
    </row>
    <row r="299" spans="2:2" ht="15.75" customHeight="1">
      <c r="B299" s="178"/>
    </row>
    <row r="300" spans="2:2" ht="15.75" customHeight="1">
      <c r="B300" s="178"/>
    </row>
    <row r="301" spans="2:2" ht="15.75" customHeight="1">
      <c r="B301" s="178"/>
    </row>
    <row r="302" spans="2:2" ht="15.75" customHeight="1">
      <c r="B302" s="178"/>
    </row>
    <row r="303" spans="2:2" ht="15.75" customHeight="1">
      <c r="B303" s="178"/>
    </row>
    <row r="304" spans="2:2" ht="15.75" customHeight="1">
      <c r="B304" s="178"/>
    </row>
    <row r="305" spans="2:2" ht="15.75" customHeight="1">
      <c r="B305" s="178"/>
    </row>
    <row r="306" spans="2:2" ht="15.75" customHeight="1">
      <c r="B306" s="178"/>
    </row>
    <row r="307" spans="2:2" ht="15.75" customHeight="1">
      <c r="B307" s="178"/>
    </row>
    <row r="308" spans="2:2" ht="15.75" customHeight="1">
      <c r="B308" s="178"/>
    </row>
    <row r="309" spans="2:2" ht="15.75" customHeight="1">
      <c r="B309" s="178"/>
    </row>
    <row r="310" spans="2:2" ht="15.75" customHeight="1">
      <c r="B310" s="178"/>
    </row>
    <row r="311" spans="2:2" ht="15.75" customHeight="1">
      <c r="B311" s="178"/>
    </row>
    <row r="312" spans="2:2" ht="15.75" customHeight="1">
      <c r="B312" s="178"/>
    </row>
    <row r="313" spans="2:2" ht="15.75" customHeight="1">
      <c r="B313" s="178"/>
    </row>
    <row r="314" spans="2:2" ht="15.75" customHeight="1">
      <c r="B314" s="178"/>
    </row>
    <row r="315" spans="2:2" ht="15.75" customHeight="1">
      <c r="B315" s="178"/>
    </row>
    <row r="316" spans="2:2" ht="15.75" customHeight="1">
      <c r="B316" s="178"/>
    </row>
    <row r="317" spans="2:2" ht="15.75" customHeight="1">
      <c r="B317" s="178"/>
    </row>
    <row r="318" spans="2:2" ht="15.75" customHeight="1">
      <c r="B318" s="178"/>
    </row>
    <row r="319" spans="2:2" ht="15.75" customHeight="1">
      <c r="B319" s="178"/>
    </row>
    <row r="320" spans="2:2" ht="15.75" customHeight="1">
      <c r="B320" s="178"/>
    </row>
    <row r="321" spans="2:2" ht="15.75" customHeight="1">
      <c r="B321" s="178"/>
    </row>
    <row r="322" spans="2:2" ht="15.75" customHeight="1">
      <c r="B322" s="178"/>
    </row>
    <row r="323" spans="2:2" ht="15.75" customHeight="1">
      <c r="B323" s="178"/>
    </row>
    <row r="324" spans="2:2" ht="15.75" customHeight="1">
      <c r="B324" s="178"/>
    </row>
    <row r="325" spans="2:2" ht="15.75" customHeight="1">
      <c r="B325" s="178"/>
    </row>
    <row r="326" spans="2:2" ht="15.75" customHeight="1">
      <c r="B326" s="178"/>
    </row>
    <row r="327" spans="2:2" ht="15.75" customHeight="1">
      <c r="B327" s="178"/>
    </row>
    <row r="328" spans="2:2" ht="15.75" customHeight="1">
      <c r="B328" s="178"/>
    </row>
    <row r="329" spans="2:2" ht="15.75" customHeight="1">
      <c r="B329" s="178"/>
    </row>
    <row r="330" spans="2:2" ht="15.75" customHeight="1">
      <c r="B330" s="178"/>
    </row>
    <row r="331" spans="2:2" ht="15.75" customHeight="1">
      <c r="B331" s="178"/>
    </row>
    <row r="332" spans="2:2" ht="15.75" customHeight="1">
      <c r="B332" s="178"/>
    </row>
    <row r="333" spans="2:2" ht="15.75" customHeight="1">
      <c r="B333" s="178"/>
    </row>
    <row r="334" spans="2:2" ht="15.75" customHeight="1">
      <c r="B334" s="178"/>
    </row>
    <row r="335" spans="2:2" ht="15.75" customHeight="1">
      <c r="B335" s="178"/>
    </row>
    <row r="336" spans="2:2" ht="15.75" customHeight="1">
      <c r="B336" s="178"/>
    </row>
    <row r="337" spans="2:2" ht="15.75" customHeight="1">
      <c r="B337" s="178"/>
    </row>
    <row r="338" spans="2:2" ht="15.75" customHeight="1">
      <c r="B338" s="178"/>
    </row>
    <row r="339" spans="2:2" ht="15.75" customHeight="1">
      <c r="B339" s="178"/>
    </row>
    <row r="340" spans="2:2" ht="15.75" customHeight="1">
      <c r="B340" s="178"/>
    </row>
    <row r="341" spans="2:2" ht="15.75" customHeight="1">
      <c r="B341" s="178"/>
    </row>
    <row r="342" spans="2:2" ht="15.75" customHeight="1">
      <c r="B342" s="178"/>
    </row>
    <row r="343" spans="2:2" ht="15.75" customHeight="1">
      <c r="B343" s="178"/>
    </row>
    <row r="344" spans="2:2" ht="15.75" customHeight="1">
      <c r="B344" s="178"/>
    </row>
    <row r="345" spans="2:2" ht="15.75" customHeight="1">
      <c r="B345" s="178"/>
    </row>
    <row r="346" spans="2:2" ht="15.75" customHeight="1">
      <c r="B346" s="178"/>
    </row>
    <row r="347" spans="2:2" ht="15.75" customHeight="1">
      <c r="B347" s="178"/>
    </row>
    <row r="348" spans="2:2" ht="15.75" customHeight="1">
      <c r="B348" s="178"/>
    </row>
    <row r="349" spans="2:2" ht="15.75" customHeight="1">
      <c r="B349" s="178"/>
    </row>
    <row r="350" spans="2:2" ht="15.75" customHeight="1">
      <c r="B350" s="178"/>
    </row>
    <row r="351" spans="2:2" ht="15.75" customHeight="1">
      <c r="B351" s="178"/>
    </row>
    <row r="352" spans="2:2" ht="15.75" customHeight="1">
      <c r="B352" s="178"/>
    </row>
    <row r="353" spans="2:2" ht="15.75" customHeight="1">
      <c r="B353" s="178"/>
    </row>
    <row r="354" spans="2:2" ht="15.75" customHeight="1">
      <c r="B354" s="178"/>
    </row>
    <row r="355" spans="2:2" ht="15.75" customHeight="1">
      <c r="B355" s="178"/>
    </row>
    <row r="356" spans="2:2" ht="15.75" customHeight="1">
      <c r="B356" s="178"/>
    </row>
    <row r="357" spans="2:2" ht="15.75" customHeight="1">
      <c r="B357" s="178"/>
    </row>
    <row r="358" spans="2:2" ht="15.75" customHeight="1">
      <c r="B358" s="178"/>
    </row>
    <row r="359" spans="2:2" ht="15.75" customHeight="1">
      <c r="B359" s="178"/>
    </row>
    <row r="360" spans="2:2" ht="15.75" customHeight="1">
      <c r="B360" s="178"/>
    </row>
    <row r="361" spans="2:2" ht="15.75" customHeight="1">
      <c r="B361" s="178"/>
    </row>
    <row r="362" spans="2:2" ht="15.75" customHeight="1">
      <c r="B362" s="178"/>
    </row>
    <row r="363" spans="2:2" ht="15.75" customHeight="1">
      <c r="B363" s="178"/>
    </row>
    <row r="364" spans="2:2" ht="15.75" customHeight="1">
      <c r="B364" s="178"/>
    </row>
    <row r="365" spans="2:2" ht="15.75" customHeight="1">
      <c r="B365" s="178"/>
    </row>
    <row r="366" spans="2:2" ht="15.75" customHeight="1">
      <c r="B366" s="178"/>
    </row>
    <row r="367" spans="2:2" ht="15.75" customHeight="1">
      <c r="B367" s="178"/>
    </row>
    <row r="368" spans="2:2" ht="15.75" customHeight="1">
      <c r="B368" s="178"/>
    </row>
    <row r="369" spans="2:2" ht="15.75" customHeight="1">
      <c r="B369" s="178"/>
    </row>
    <row r="370" spans="2:2" ht="15.75" customHeight="1">
      <c r="B370" s="178"/>
    </row>
    <row r="371" spans="2:2" ht="15.75" customHeight="1">
      <c r="B371" s="178"/>
    </row>
    <row r="372" spans="2:2" ht="15.75" customHeight="1">
      <c r="B372" s="178"/>
    </row>
    <row r="373" spans="2:2" ht="15.75" customHeight="1">
      <c r="B373" s="178"/>
    </row>
    <row r="374" spans="2:2" ht="15.75" customHeight="1">
      <c r="B374" s="178"/>
    </row>
    <row r="375" spans="2:2" ht="15.75" customHeight="1">
      <c r="B375" s="178"/>
    </row>
    <row r="376" spans="2:2" ht="15.75" customHeight="1">
      <c r="B376" s="178"/>
    </row>
    <row r="377" spans="2:2" ht="15.75" customHeight="1">
      <c r="B377" s="178"/>
    </row>
    <row r="378" spans="2:2" ht="15.75" customHeight="1">
      <c r="B378" s="178"/>
    </row>
    <row r="379" spans="2:2" ht="15.75" customHeight="1">
      <c r="B379" s="178"/>
    </row>
    <row r="380" spans="2:2" ht="15.75" customHeight="1">
      <c r="B380" s="178"/>
    </row>
    <row r="381" spans="2:2" ht="15.75" customHeight="1">
      <c r="B381" s="178"/>
    </row>
    <row r="382" spans="2:2" ht="15.75" customHeight="1">
      <c r="B382" s="178"/>
    </row>
    <row r="383" spans="2:2" ht="15.75" customHeight="1">
      <c r="B383" s="178"/>
    </row>
    <row r="384" spans="2:2" ht="15.75" customHeight="1">
      <c r="B384" s="178"/>
    </row>
    <row r="385" spans="2:2" ht="15.75" customHeight="1">
      <c r="B385" s="178"/>
    </row>
    <row r="386" spans="2:2" ht="15.75" customHeight="1">
      <c r="B386" s="178"/>
    </row>
    <row r="387" spans="2:2" ht="15.75" customHeight="1">
      <c r="B387" s="178"/>
    </row>
    <row r="388" spans="2:2" ht="15.75" customHeight="1">
      <c r="B388" s="178"/>
    </row>
    <row r="389" spans="2:2" ht="15.75" customHeight="1">
      <c r="B389" s="178"/>
    </row>
    <row r="390" spans="2:2" ht="15.75" customHeight="1">
      <c r="B390" s="178"/>
    </row>
    <row r="391" spans="2:2" ht="15.75" customHeight="1">
      <c r="B391" s="178"/>
    </row>
    <row r="392" spans="2:2" ht="15.75" customHeight="1">
      <c r="B392" s="178"/>
    </row>
    <row r="393" spans="2:2" ht="15.75" customHeight="1">
      <c r="B393" s="178"/>
    </row>
    <row r="394" spans="2:2" ht="15.75" customHeight="1">
      <c r="B394" s="178"/>
    </row>
    <row r="395" spans="2:2" ht="15.75" customHeight="1">
      <c r="B395" s="178"/>
    </row>
    <row r="396" spans="2:2" ht="15.75" customHeight="1">
      <c r="B396" s="178"/>
    </row>
    <row r="397" spans="2:2" ht="15.75" customHeight="1">
      <c r="B397" s="178"/>
    </row>
    <row r="398" spans="2:2" ht="15.75" customHeight="1">
      <c r="B398" s="178"/>
    </row>
    <row r="399" spans="2:2" ht="15.75" customHeight="1">
      <c r="B399" s="178"/>
    </row>
    <row r="400" spans="2:2" ht="15.75" customHeight="1">
      <c r="B400" s="178"/>
    </row>
    <row r="401" spans="2:2" ht="15.75" customHeight="1">
      <c r="B401" s="178"/>
    </row>
    <row r="402" spans="2:2" ht="15.75" customHeight="1">
      <c r="B402" s="178"/>
    </row>
    <row r="403" spans="2:2" ht="15.75" customHeight="1">
      <c r="B403" s="178"/>
    </row>
    <row r="404" spans="2:2" ht="15.75" customHeight="1">
      <c r="B404" s="178"/>
    </row>
    <row r="405" spans="2:2" ht="15.75" customHeight="1">
      <c r="B405" s="178"/>
    </row>
    <row r="406" spans="2:2" ht="15.75" customHeight="1">
      <c r="B406" s="178"/>
    </row>
    <row r="407" spans="2:2" ht="15.75" customHeight="1">
      <c r="B407" s="178"/>
    </row>
    <row r="408" spans="2:2" ht="15.75" customHeight="1">
      <c r="B408" s="178"/>
    </row>
    <row r="409" spans="2:2" ht="15.75" customHeight="1">
      <c r="B409" s="178"/>
    </row>
    <row r="410" spans="2:2" ht="15.75" customHeight="1">
      <c r="B410" s="178"/>
    </row>
    <row r="411" spans="2:2" ht="15.75" customHeight="1">
      <c r="B411" s="178"/>
    </row>
    <row r="412" spans="2:2" ht="15.75" customHeight="1">
      <c r="B412" s="178"/>
    </row>
    <row r="413" spans="2:2" ht="15.75" customHeight="1">
      <c r="B413" s="178"/>
    </row>
    <row r="414" spans="2:2" ht="15.75" customHeight="1">
      <c r="B414" s="178"/>
    </row>
    <row r="415" spans="2:2" ht="15.75" customHeight="1">
      <c r="B415" s="178"/>
    </row>
    <row r="416" spans="2:2" ht="15.75" customHeight="1">
      <c r="B416" s="178"/>
    </row>
    <row r="417" spans="2:2" ht="15.75" customHeight="1">
      <c r="B417" s="178"/>
    </row>
    <row r="418" spans="2:2" ht="15.75" customHeight="1">
      <c r="B418" s="178"/>
    </row>
    <row r="419" spans="2:2" ht="15.75" customHeight="1">
      <c r="B419" s="178"/>
    </row>
    <row r="420" spans="2:2" ht="15.75" customHeight="1">
      <c r="B420" s="178"/>
    </row>
    <row r="421" spans="2:2" ht="15.75" customHeight="1">
      <c r="B421" s="178"/>
    </row>
    <row r="422" spans="2:2" ht="15.75" customHeight="1">
      <c r="B422" s="178"/>
    </row>
    <row r="423" spans="2:2" ht="15.75" customHeight="1">
      <c r="B423" s="178"/>
    </row>
    <row r="424" spans="2:2" ht="15.75" customHeight="1">
      <c r="B424" s="178"/>
    </row>
    <row r="425" spans="2:2" ht="15.75" customHeight="1">
      <c r="B425" s="178"/>
    </row>
    <row r="426" spans="2:2" ht="15.75" customHeight="1">
      <c r="B426" s="178"/>
    </row>
    <row r="427" spans="2:2" ht="15.75" customHeight="1">
      <c r="B427" s="178"/>
    </row>
    <row r="428" spans="2:2" ht="15.75" customHeight="1">
      <c r="B428" s="178"/>
    </row>
    <row r="429" spans="2:2" ht="15.75" customHeight="1">
      <c r="B429" s="178"/>
    </row>
    <row r="430" spans="2:2" ht="15.75" customHeight="1">
      <c r="B430" s="178"/>
    </row>
    <row r="431" spans="2:2" ht="15.75" customHeight="1">
      <c r="B431" s="178"/>
    </row>
    <row r="432" spans="2:2" ht="15.75" customHeight="1">
      <c r="B432" s="178"/>
    </row>
    <row r="433" spans="2:2" ht="15.75" customHeight="1">
      <c r="B433" s="178"/>
    </row>
    <row r="434" spans="2:2" ht="15.75" customHeight="1">
      <c r="B434" s="178"/>
    </row>
    <row r="435" spans="2:2" ht="15.75" customHeight="1">
      <c r="B435" s="178"/>
    </row>
    <row r="436" spans="2:2" ht="15.75" customHeight="1">
      <c r="B436" s="178"/>
    </row>
    <row r="437" spans="2:2" ht="15.75" customHeight="1">
      <c r="B437" s="178"/>
    </row>
    <row r="438" spans="2:2" ht="15.75" customHeight="1">
      <c r="B438" s="178"/>
    </row>
    <row r="439" spans="2:2" ht="15.75" customHeight="1">
      <c r="B439" s="178"/>
    </row>
    <row r="440" spans="2:2" ht="15.75" customHeight="1">
      <c r="B440" s="178"/>
    </row>
    <row r="441" spans="2:2" ht="15.75" customHeight="1">
      <c r="B441" s="178"/>
    </row>
    <row r="442" spans="2:2" ht="15.75" customHeight="1">
      <c r="B442" s="178"/>
    </row>
    <row r="443" spans="2:2" ht="15.75" customHeight="1">
      <c r="B443" s="178"/>
    </row>
    <row r="444" spans="2:2" ht="15.75" customHeight="1">
      <c r="B444" s="178"/>
    </row>
    <row r="445" spans="2:2" ht="15.75" customHeight="1">
      <c r="B445" s="178"/>
    </row>
    <row r="446" spans="2:2" ht="15.75" customHeight="1">
      <c r="B446" s="178"/>
    </row>
    <row r="447" spans="2:2" ht="15.75" customHeight="1">
      <c r="B447" s="178"/>
    </row>
    <row r="448" spans="2:2" ht="15.75" customHeight="1">
      <c r="B448" s="178"/>
    </row>
    <row r="449" spans="2:2" ht="15.75" customHeight="1">
      <c r="B449" s="178"/>
    </row>
    <row r="450" spans="2:2" ht="15.75" customHeight="1">
      <c r="B450" s="178"/>
    </row>
    <row r="451" spans="2:2" ht="15.75" customHeight="1">
      <c r="B451" s="178"/>
    </row>
    <row r="452" spans="2:2" ht="15.75" customHeight="1">
      <c r="B452" s="178"/>
    </row>
    <row r="453" spans="2:2" ht="15.75" customHeight="1">
      <c r="B453" s="178"/>
    </row>
    <row r="454" spans="2:2" ht="15.75" customHeight="1">
      <c r="B454" s="178"/>
    </row>
    <row r="455" spans="2:2" ht="15.75" customHeight="1">
      <c r="B455" s="178"/>
    </row>
    <row r="456" spans="2:2" ht="15.75" customHeight="1">
      <c r="B456" s="178"/>
    </row>
    <row r="457" spans="2:2" ht="15.75" customHeight="1">
      <c r="B457" s="178"/>
    </row>
    <row r="458" spans="2:2" ht="15.75" customHeight="1">
      <c r="B458" s="178"/>
    </row>
    <row r="459" spans="2:2" ht="15.75" customHeight="1">
      <c r="B459" s="178"/>
    </row>
    <row r="460" spans="2:2" ht="15.75" customHeight="1">
      <c r="B460" s="178"/>
    </row>
    <row r="461" spans="2:2" ht="15.75" customHeight="1">
      <c r="B461" s="178"/>
    </row>
    <row r="462" spans="2:2" ht="15.75" customHeight="1">
      <c r="B462" s="178"/>
    </row>
    <row r="463" spans="2:2" ht="15.75" customHeight="1">
      <c r="B463" s="178"/>
    </row>
    <row r="464" spans="2:2" ht="15.75" customHeight="1">
      <c r="B464" s="178"/>
    </row>
    <row r="465" spans="2:2" ht="15.75" customHeight="1">
      <c r="B465" s="178"/>
    </row>
    <row r="466" spans="2:2" ht="15.75" customHeight="1">
      <c r="B466" s="178"/>
    </row>
    <row r="467" spans="2:2" ht="15.75" customHeight="1">
      <c r="B467" s="178"/>
    </row>
    <row r="468" spans="2:2" ht="15.75" customHeight="1">
      <c r="B468" s="178"/>
    </row>
    <row r="469" spans="2:2" ht="15.75" customHeight="1">
      <c r="B469" s="178"/>
    </row>
    <row r="470" spans="2:2" ht="15.75" customHeight="1">
      <c r="B470" s="178"/>
    </row>
    <row r="471" spans="2:2" ht="15.75" customHeight="1">
      <c r="B471" s="178"/>
    </row>
    <row r="472" spans="2:2" ht="15.75" customHeight="1">
      <c r="B472" s="178"/>
    </row>
    <row r="473" spans="2:2" ht="15.75" customHeight="1">
      <c r="B473" s="178"/>
    </row>
    <row r="474" spans="2:2" ht="15.75" customHeight="1">
      <c r="B474" s="178"/>
    </row>
    <row r="475" spans="2:2" ht="15.75" customHeight="1">
      <c r="B475" s="178"/>
    </row>
    <row r="476" spans="2:2" ht="15.75" customHeight="1">
      <c r="B476" s="178"/>
    </row>
    <row r="477" spans="2:2" ht="15.75" customHeight="1">
      <c r="B477" s="178"/>
    </row>
    <row r="478" spans="2:2" ht="15.75" customHeight="1">
      <c r="B478" s="178"/>
    </row>
    <row r="479" spans="2:2" ht="15.75" customHeight="1">
      <c r="B479" s="178"/>
    </row>
    <row r="480" spans="2:2" ht="15.75" customHeight="1">
      <c r="B480" s="178"/>
    </row>
    <row r="481" spans="2:2" ht="15.75" customHeight="1">
      <c r="B481" s="178"/>
    </row>
    <row r="482" spans="2:2" ht="15.75" customHeight="1">
      <c r="B482" s="178"/>
    </row>
    <row r="483" spans="2:2" ht="15.75" customHeight="1">
      <c r="B483" s="178"/>
    </row>
    <row r="484" spans="2:2" ht="15.75" customHeight="1">
      <c r="B484" s="178"/>
    </row>
    <row r="485" spans="2:2" ht="15.75" customHeight="1">
      <c r="B485" s="178"/>
    </row>
    <row r="486" spans="2:2" ht="15.75" customHeight="1">
      <c r="B486" s="178"/>
    </row>
    <row r="487" spans="2:2" ht="15.75" customHeight="1">
      <c r="B487" s="178"/>
    </row>
    <row r="488" spans="2:2" ht="15.75" customHeight="1">
      <c r="B488" s="178"/>
    </row>
    <row r="489" spans="2:2" ht="15.75" customHeight="1">
      <c r="B489" s="178"/>
    </row>
    <row r="490" spans="2:2" ht="15.75" customHeight="1">
      <c r="B490" s="178"/>
    </row>
    <row r="491" spans="2:2" ht="15.75" customHeight="1">
      <c r="B491" s="178"/>
    </row>
    <row r="492" spans="2:2" ht="15.75" customHeight="1">
      <c r="B492" s="178"/>
    </row>
    <row r="493" spans="2:2" ht="15.75" customHeight="1">
      <c r="B493" s="178"/>
    </row>
    <row r="494" spans="2:2" ht="15.75" customHeight="1">
      <c r="B494" s="178"/>
    </row>
    <row r="495" spans="2:2" ht="15.75" customHeight="1">
      <c r="B495" s="178"/>
    </row>
    <row r="496" spans="2:2" ht="15.75" customHeight="1">
      <c r="B496" s="178"/>
    </row>
    <row r="497" spans="2:2" ht="15.75" customHeight="1">
      <c r="B497" s="178"/>
    </row>
    <row r="498" spans="2:2" ht="15.75" customHeight="1">
      <c r="B498" s="178"/>
    </row>
    <row r="499" spans="2:2" ht="15.75" customHeight="1">
      <c r="B499" s="178"/>
    </row>
    <row r="500" spans="2:2" ht="15.75" customHeight="1">
      <c r="B500" s="178"/>
    </row>
    <row r="501" spans="2:2" ht="15.75" customHeight="1">
      <c r="B501" s="178"/>
    </row>
    <row r="502" spans="2:2" ht="15.75" customHeight="1">
      <c r="B502" s="178"/>
    </row>
    <row r="503" spans="2:2" ht="15.75" customHeight="1">
      <c r="B503" s="178"/>
    </row>
    <row r="504" spans="2:2" ht="15.75" customHeight="1">
      <c r="B504" s="178"/>
    </row>
    <row r="505" spans="2:2" ht="15.75" customHeight="1">
      <c r="B505" s="178"/>
    </row>
    <row r="506" spans="2:2" ht="15.75" customHeight="1">
      <c r="B506" s="178"/>
    </row>
    <row r="507" spans="2:2" ht="15.75" customHeight="1">
      <c r="B507" s="178"/>
    </row>
    <row r="508" spans="2:2" ht="15.75" customHeight="1">
      <c r="B508" s="178"/>
    </row>
    <row r="509" spans="2:2" ht="15.75" customHeight="1">
      <c r="B509" s="178"/>
    </row>
    <row r="510" spans="2:2" ht="15.75" customHeight="1">
      <c r="B510" s="178"/>
    </row>
    <row r="511" spans="2:2" ht="15.75" customHeight="1">
      <c r="B511" s="178"/>
    </row>
    <row r="512" spans="2:2" ht="15.75" customHeight="1">
      <c r="B512" s="178"/>
    </row>
    <row r="513" spans="2:2" ht="15.75" customHeight="1">
      <c r="B513" s="178"/>
    </row>
    <row r="514" spans="2:2" ht="15.75" customHeight="1">
      <c r="B514" s="178"/>
    </row>
    <row r="515" spans="2:2" ht="15.75" customHeight="1">
      <c r="B515" s="178"/>
    </row>
    <row r="516" spans="2:2" ht="15.75" customHeight="1">
      <c r="B516" s="178"/>
    </row>
    <row r="517" spans="2:2" ht="15.75" customHeight="1">
      <c r="B517" s="178"/>
    </row>
    <row r="518" spans="2:2" ht="15.75" customHeight="1">
      <c r="B518" s="178"/>
    </row>
    <row r="519" spans="2:2" ht="15.75" customHeight="1">
      <c r="B519" s="178"/>
    </row>
    <row r="520" spans="2:2" ht="15.75" customHeight="1">
      <c r="B520" s="178"/>
    </row>
    <row r="521" spans="2:2" ht="15.75" customHeight="1">
      <c r="B521" s="178"/>
    </row>
    <row r="522" spans="2:2" ht="15.75" customHeight="1">
      <c r="B522" s="178"/>
    </row>
    <row r="523" spans="2:2" ht="15.75" customHeight="1">
      <c r="B523" s="178"/>
    </row>
    <row r="524" spans="2:2" ht="15.75" customHeight="1">
      <c r="B524" s="178"/>
    </row>
    <row r="525" spans="2:2" ht="15.75" customHeight="1">
      <c r="B525" s="178"/>
    </row>
    <row r="526" spans="2:2" ht="15.75" customHeight="1">
      <c r="B526" s="178"/>
    </row>
    <row r="527" spans="2:2" ht="15.75" customHeight="1">
      <c r="B527" s="178"/>
    </row>
    <row r="528" spans="2:2" ht="15.75" customHeight="1">
      <c r="B528" s="178"/>
    </row>
    <row r="529" spans="2:2" ht="15.75" customHeight="1">
      <c r="B529" s="178"/>
    </row>
    <row r="530" spans="2:2" ht="15.75" customHeight="1">
      <c r="B530" s="178"/>
    </row>
    <row r="531" spans="2:2" ht="15.75" customHeight="1">
      <c r="B531" s="178"/>
    </row>
    <row r="532" spans="2:2" ht="15.75" customHeight="1">
      <c r="B532" s="178"/>
    </row>
    <row r="533" spans="2:2" ht="15.75" customHeight="1">
      <c r="B533" s="178"/>
    </row>
    <row r="534" spans="2:2" ht="15.75" customHeight="1">
      <c r="B534" s="178"/>
    </row>
    <row r="535" spans="2:2" ht="15.75" customHeight="1">
      <c r="B535" s="178"/>
    </row>
    <row r="536" spans="2:2" ht="15.75" customHeight="1">
      <c r="B536" s="178"/>
    </row>
    <row r="537" spans="2:2" ht="15.75" customHeight="1">
      <c r="B537" s="178"/>
    </row>
    <row r="538" spans="2:2" ht="15.75" customHeight="1">
      <c r="B538" s="178"/>
    </row>
    <row r="539" spans="2:2" ht="15.75" customHeight="1">
      <c r="B539" s="178"/>
    </row>
    <row r="540" spans="2:2" ht="15.75" customHeight="1">
      <c r="B540" s="178"/>
    </row>
    <row r="541" spans="2:2" ht="15.75" customHeight="1">
      <c r="B541" s="178"/>
    </row>
    <row r="542" spans="2:2" ht="15.75" customHeight="1">
      <c r="B542" s="178"/>
    </row>
    <row r="543" spans="2:2" ht="15.75" customHeight="1">
      <c r="B543" s="178"/>
    </row>
    <row r="544" spans="2:2" ht="15.75" customHeight="1">
      <c r="B544" s="178"/>
    </row>
    <row r="545" spans="2:2" ht="15.75" customHeight="1">
      <c r="B545" s="178"/>
    </row>
    <row r="546" spans="2:2" ht="15.75" customHeight="1">
      <c r="B546" s="178"/>
    </row>
    <row r="547" spans="2:2" ht="15.75" customHeight="1">
      <c r="B547" s="178"/>
    </row>
    <row r="548" spans="2:2" ht="15.75" customHeight="1">
      <c r="B548" s="178"/>
    </row>
    <row r="549" spans="2:2" ht="15.75" customHeight="1">
      <c r="B549" s="178"/>
    </row>
    <row r="550" spans="2:2" ht="15.75" customHeight="1">
      <c r="B550" s="178"/>
    </row>
    <row r="551" spans="2:2" ht="15.75" customHeight="1">
      <c r="B551" s="178"/>
    </row>
    <row r="552" spans="2:2" ht="15.75" customHeight="1">
      <c r="B552" s="178"/>
    </row>
    <row r="553" spans="2:2" ht="15.75" customHeight="1">
      <c r="B553" s="178"/>
    </row>
    <row r="554" spans="2:2" ht="15.75" customHeight="1">
      <c r="B554" s="178"/>
    </row>
    <row r="555" spans="2:2" ht="15.75" customHeight="1">
      <c r="B555" s="178"/>
    </row>
    <row r="556" spans="2:2" ht="15.75" customHeight="1">
      <c r="B556" s="178"/>
    </row>
    <row r="557" spans="2:2" ht="15.75" customHeight="1">
      <c r="B557" s="178"/>
    </row>
    <row r="558" spans="2:2" ht="15.75" customHeight="1">
      <c r="B558" s="178"/>
    </row>
    <row r="559" spans="2:2" ht="15.75" customHeight="1">
      <c r="B559" s="178"/>
    </row>
    <row r="560" spans="2:2" ht="15.75" customHeight="1">
      <c r="B560" s="178"/>
    </row>
    <row r="561" spans="2:2" ht="15.75" customHeight="1">
      <c r="B561" s="178"/>
    </row>
    <row r="562" spans="2:2" ht="15.75" customHeight="1">
      <c r="B562" s="178"/>
    </row>
    <row r="563" spans="2:2" ht="15.75" customHeight="1">
      <c r="B563" s="178"/>
    </row>
    <row r="564" spans="2:2" ht="15.75" customHeight="1">
      <c r="B564" s="178"/>
    </row>
    <row r="565" spans="2:2" ht="15.75" customHeight="1">
      <c r="B565" s="178"/>
    </row>
    <row r="566" spans="2:2" ht="15.75" customHeight="1">
      <c r="B566" s="178"/>
    </row>
    <row r="567" spans="2:2" ht="15.75" customHeight="1">
      <c r="B567" s="178"/>
    </row>
    <row r="568" spans="2:2" ht="15.75" customHeight="1">
      <c r="B568" s="178"/>
    </row>
    <row r="569" spans="2:2" ht="15.75" customHeight="1">
      <c r="B569" s="178"/>
    </row>
    <row r="570" spans="2:2" ht="15.75" customHeight="1">
      <c r="B570" s="178"/>
    </row>
    <row r="571" spans="2:2" ht="15.75" customHeight="1">
      <c r="B571" s="178"/>
    </row>
    <row r="572" spans="2:2" ht="15.75" customHeight="1">
      <c r="B572" s="178"/>
    </row>
    <row r="573" spans="2:2" ht="15.75" customHeight="1">
      <c r="B573" s="178"/>
    </row>
    <row r="574" spans="2:2" ht="15.75" customHeight="1">
      <c r="B574" s="178"/>
    </row>
    <row r="575" spans="2:2" ht="15.75" customHeight="1">
      <c r="B575" s="178"/>
    </row>
    <row r="576" spans="2:2" ht="15.75" customHeight="1">
      <c r="B576" s="178"/>
    </row>
    <row r="577" spans="2:2" ht="15.75" customHeight="1">
      <c r="B577" s="178"/>
    </row>
    <row r="578" spans="2:2" ht="15.75" customHeight="1">
      <c r="B578" s="178"/>
    </row>
    <row r="579" spans="2:2" ht="15.75" customHeight="1">
      <c r="B579" s="178"/>
    </row>
    <row r="580" spans="2:2" ht="15.75" customHeight="1">
      <c r="B580" s="178"/>
    </row>
    <row r="581" spans="2:2" ht="15.75" customHeight="1">
      <c r="B581" s="178"/>
    </row>
    <row r="582" spans="2:2" ht="15.75" customHeight="1">
      <c r="B582" s="178"/>
    </row>
    <row r="583" spans="2:2" ht="15.75" customHeight="1">
      <c r="B583" s="178"/>
    </row>
    <row r="584" spans="2:2" ht="15.75" customHeight="1">
      <c r="B584" s="178"/>
    </row>
    <row r="585" spans="2:2" ht="15.75" customHeight="1">
      <c r="B585" s="178"/>
    </row>
    <row r="586" spans="2:2" ht="15.75" customHeight="1">
      <c r="B586" s="178"/>
    </row>
    <row r="587" spans="2:2" ht="15.75" customHeight="1">
      <c r="B587" s="178"/>
    </row>
    <row r="588" spans="2:2" ht="15.75" customHeight="1">
      <c r="B588" s="178"/>
    </row>
    <row r="589" spans="2:2" ht="15.75" customHeight="1">
      <c r="B589" s="178"/>
    </row>
    <row r="590" spans="2:2" ht="15.75" customHeight="1">
      <c r="B590" s="178"/>
    </row>
    <row r="591" spans="2:2" ht="15.75" customHeight="1">
      <c r="B591" s="178"/>
    </row>
    <row r="592" spans="2:2" ht="15.75" customHeight="1">
      <c r="B592" s="178"/>
    </row>
    <row r="593" spans="2:2" ht="15.75" customHeight="1">
      <c r="B593" s="178"/>
    </row>
    <row r="594" spans="2:2" ht="15.75" customHeight="1">
      <c r="B594" s="178"/>
    </row>
    <row r="595" spans="2:2" ht="15.75" customHeight="1">
      <c r="B595" s="178"/>
    </row>
    <row r="596" spans="2:2" ht="15.75" customHeight="1">
      <c r="B596" s="178"/>
    </row>
    <row r="597" spans="2:2" ht="15.75" customHeight="1">
      <c r="B597" s="178"/>
    </row>
    <row r="598" spans="2:2" ht="15.75" customHeight="1">
      <c r="B598" s="178"/>
    </row>
    <row r="599" spans="2:2" ht="15.75" customHeight="1">
      <c r="B599" s="178"/>
    </row>
    <row r="600" spans="2:2" ht="15.75" customHeight="1">
      <c r="B600" s="178"/>
    </row>
    <row r="601" spans="2:2" ht="15.75" customHeight="1">
      <c r="B601" s="178"/>
    </row>
    <row r="602" spans="2:2" ht="15.75" customHeight="1">
      <c r="B602" s="178"/>
    </row>
    <row r="603" spans="2:2" ht="15.75" customHeight="1">
      <c r="B603" s="178"/>
    </row>
    <row r="604" spans="2:2" ht="15.75" customHeight="1">
      <c r="B604" s="178"/>
    </row>
    <row r="605" spans="2:2" ht="15.75" customHeight="1">
      <c r="B605" s="178"/>
    </row>
    <row r="606" spans="2:2" ht="15.75" customHeight="1">
      <c r="B606" s="178"/>
    </row>
    <row r="607" spans="2:2" ht="15.75" customHeight="1">
      <c r="B607" s="178"/>
    </row>
    <row r="608" spans="2:2" ht="15.75" customHeight="1">
      <c r="B608" s="178"/>
    </row>
    <row r="609" spans="2:2" ht="15.75" customHeight="1">
      <c r="B609" s="178"/>
    </row>
    <row r="610" spans="2:2" ht="15.75" customHeight="1">
      <c r="B610" s="178"/>
    </row>
    <row r="611" spans="2:2" ht="15.75" customHeight="1">
      <c r="B611" s="178"/>
    </row>
    <row r="612" spans="2:2" ht="15.75" customHeight="1">
      <c r="B612" s="178"/>
    </row>
    <row r="613" spans="2:2" ht="15.75" customHeight="1">
      <c r="B613" s="178"/>
    </row>
    <row r="614" spans="2:2" ht="15.75" customHeight="1">
      <c r="B614" s="178"/>
    </row>
    <row r="615" spans="2:2" ht="15.75" customHeight="1">
      <c r="B615" s="178"/>
    </row>
    <row r="616" spans="2:2" ht="15.75" customHeight="1">
      <c r="B616" s="178"/>
    </row>
    <row r="617" spans="2:2" ht="15.75" customHeight="1">
      <c r="B617" s="178"/>
    </row>
    <row r="618" spans="2:2" ht="15.75" customHeight="1">
      <c r="B618" s="178"/>
    </row>
    <row r="619" spans="2:2" ht="15.75" customHeight="1">
      <c r="B619" s="178"/>
    </row>
    <row r="620" spans="2:2" ht="15.75" customHeight="1">
      <c r="B620" s="178"/>
    </row>
    <row r="621" spans="2:2" ht="15.75" customHeight="1">
      <c r="B621" s="178"/>
    </row>
    <row r="622" spans="2:2" ht="15.75" customHeight="1">
      <c r="B622" s="178"/>
    </row>
    <row r="623" spans="2:2" ht="15.75" customHeight="1">
      <c r="B623" s="178"/>
    </row>
    <row r="624" spans="2:2" ht="15.75" customHeight="1">
      <c r="B624" s="178"/>
    </row>
    <row r="625" spans="2:2" ht="15.75" customHeight="1">
      <c r="B625" s="178"/>
    </row>
    <row r="626" spans="2:2" ht="15.75" customHeight="1">
      <c r="B626" s="178"/>
    </row>
    <row r="627" spans="2:2" ht="15.75" customHeight="1">
      <c r="B627" s="178"/>
    </row>
    <row r="628" spans="2:2" ht="15.75" customHeight="1">
      <c r="B628" s="178"/>
    </row>
    <row r="629" spans="2:2" ht="15.75" customHeight="1">
      <c r="B629" s="178"/>
    </row>
    <row r="630" spans="2:2" ht="15.75" customHeight="1">
      <c r="B630" s="178"/>
    </row>
    <row r="631" spans="2:2" ht="15.75" customHeight="1">
      <c r="B631" s="178"/>
    </row>
    <row r="632" spans="2:2" ht="15.75" customHeight="1">
      <c r="B632" s="178"/>
    </row>
    <row r="633" spans="2:2" ht="15.75" customHeight="1">
      <c r="B633" s="178"/>
    </row>
    <row r="634" spans="2:2" ht="15.75" customHeight="1">
      <c r="B634" s="178"/>
    </row>
    <row r="635" spans="2:2" ht="15.75" customHeight="1">
      <c r="B635" s="178"/>
    </row>
    <row r="636" spans="2:2" ht="15.75" customHeight="1">
      <c r="B636" s="178"/>
    </row>
    <row r="637" spans="2:2" ht="15.75" customHeight="1">
      <c r="B637" s="178"/>
    </row>
    <row r="638" spans="2:2" ht="15.75" customHeight="1">
      <c r="B638" s="178"/>
    </row>
    <row r="639" spans="2:2" ht="15.75" customHeight="1">
      <c r="B639" s="178"/>
    </row>
    <row r="640" spans="2:2" ht="15.75" customHeight="1">
      <c r="B640" s="178"/>
    </row>
    <row r="641" spans="2:2" ht="15.75" customHeight="1">
      <c r="B641" s="178"/>
    </row>
    <row r="642" spans="2:2" ht="15.75" customHeight="1">
      <c r="B642" s="178"/>
    </row>
    <row r="643" spans="2:2" ht="15.75" customHeight="1">
      <c r="B643" s="178"/>
    </row>
    <row r="644" spans="2:2" ht="15.75" customHeight="1">
      <c r="B644" s="178"/>
    </row>
    <row r="645" spans="2:2" ht="15.75" customHeight="1">
      <c r="B645" s="178"/>
    </row>
    <row r="646" spans="2:2" ht="15.75" customHeight="1">
      <c r="B646" s="178"/>
    </row>
    <row r="647" spans="2:2" ht="15.75" customHeight="1">
      <c r="B647" s="178"/>
    </row>
    <row r="648" spans="2:2" ht="15.75" customHeight="1">
      <c r="B648" s="178"/>
    </row>
    <row r="649" spans="2:2" ht="15.75" customHeight="1">
      <c r="B649" s="178"/>
    </row>
    <row r="650" spans="2:2" ht="15.75" customHeight="1">
      <c r="B650" s="178"/>
    </row>
    <row r="651" spans="2:2" ht="15.75" customHeight="1">
      <c r="B651" s="178"/>
    </row>
    <row r="652" spans="2:2" ht="15.75" customHeight="1">
      <c r="B652" s="178"/>
    </row>
    <row r="653" spans="2:2" ht="15.75" customHeight="1">
      <c r="B653" s="178"/>
    </row>
    <row r="654" spans="2:2" ht="15.75" customHeight="1">
      <c r="B654" s="178"/>
    </row>
    <row r="655" spans="2:2" ht="15.75" customHeight="1">
      <c r="B655" s="178"/>
    </row>
    <row r="656" spans="2:2" ht="15.75" customHeight="1">
      <c r="B656" s="178"/>
    </row>
    <row r="657" spans="2:2" ht="15.75" customHeight="1">
      <c r="B657" s="178"/>
    </row>
    <row r="658" spans="2:2" ht="15.75" customHeight="1">
      <c r="B658" s="178"/>
    </row>
    <row r="659" spans="2:2" ht="15.75" customHeight="1">
      <c r="B659" s="178"/>
    </row>
    <row r="660" spans="2:2" ht="15.75" customHeight="1">
      <c r="B660" s="178"/>
    </row>
    <row r="661" spans="2:2" ht="15.75" customHeight="1">
      <c r="B661" s="178"/>
    </row>
    <row r="662" spans="2:2" ht="15.75" customHeight="1">
      <c r="B662" s="178"/>
    </row>
    <row r="663" spans="2:2" ht="15.75" customHeight="1">
      <c r="B663" s="178"/>
    </row>
    <row r="664" spans="2:2" ht="15.75" customHeight="1">
      <c r="B664" s="178"/>
    </row>
    <row r="665" spans="2:2" ht="15.75" customHeight="1">
      <c r="B665" s="178"/>
    </row>
    <row r="666" spans="2:2" ht="15.75" customHeight="1">
      <c r="B666" s="178"/>
    </row>
    <row r="667" spans="2:2" ht="15.75" customHeight="1">
      <c r="B667" s="178"/>
    </row>
    <row r="668" spans="2:2" ht="15.75" customHeight="1">
      <c r="B668" s="178"/>
    </row>
    <row r="669" spans="2:2" ht="15.75" customHeight="1">
      <c r="B669" s="178"/>
    </row>
    <row r="670" spans="2:2" ht="15.75" customHeight="1">
      <c r="B670" s="178"/>
    </row>
    <row r="671" spans="2:2" ht="15.75" customHeight="1">
      <c r="B671" s="178"/>
    </row>
    <row r="672" spans="2:2" ht="15.75" customHeight="1">
      <c r="B672" s="178"/>
    </row>
    <row r="673" spans="2:2" ht="15.75" customHeight="1">
      <c r="B673" s="178"/>
    </row>
    <row r="674" spans="2:2" ht="15.75" customHeight="1">
      <c r="B674" s="178"/>
    </row>
    <row r="675" spans="2:2" ht="15.75" customHeight="1">
      <c r="B675" s="178"/>
    </row>
    <row r="676" spans="2:2" ht="15.75" customHeight="1">
      <c r="B676" s="178"/>
    </row>
    <row r="677" spans="2:2" ht="15.75" customHeight="1">
      <c r="B677" s="178"/>
    </row>
    <row r="678" spans="2:2" ht="15.75" customHeight="1">
      <c r="B678" s="178"/>
    </row>
    <row r="679" spans="2:2" ht="15.75" customHeight="1">
      <c r="B679" s="178"/>
    </row>
    <row r="680" spans="2:2" ht="15.75" customHeight="1">
      <c r="B680" s="178"/>
    </row>
    <row r="681" spans="2:2" ht="15.75" customHeight="1">
      <c r="B681" s="178"/>
    </row>
    <row r="682" spans="2:2" ht="15.75" customHeight="1">
      <c r="B682" s="178"/>
    </row>
    <row r="683" spans="2:2" ht="15.75" customHeight="1">
      <c r="B683" s="178"/>
    </row>
    <row r="684" spans="2:2" ht="15.75" customHeight="1">
      <c r="B684" s="178"/>
    </row>
    <row r="685" spans="2:2" ht="15.75" customHeight="1">
      <c r="B685" s="178"/>
    </row>
    <row r="686" spans="2:2" ht="15.75" customHeight="1">
      <c r="B686" s="178"/>
    </row>
    <row r="687" spans="2:2" ht="15.75" customHeight="1">
      <c r="B687" s="178"/>
    </row>
    <row r="688" spans="2:2" ht="15.75" customHeight="1">
      <c r="B688" s="178"/>
    </row>
    <row r="689" spans="2:2" ht="15.75" customHeight="1">
      <c r="B689" s="178"/>
    </row>
    <row r="690" spans="2:2" ht="15.75" customHeight="1">
      <c r="B690" s="178"/>
    </row>
    <row r="691" spans="2:2" ht="15.75" customHeight="1">
      <c r="B691" s="178"/>
    </row>
    <row r="692" spans="2:2" ht="15.75" customHeight="1">
      <c r="B692" s="178"/>
    </row>
    <row r="693" spans="2:2" ht="15.75" customHeight="1">
      <c r="B693" s="178"/>
    </row>
    <row r="694" spans="2:2" ht="15.75" customHeight="1">
      <c r="B694" s="178"/>
    </row>
    <row r="695" spans="2:2" ht="15.75" customHeight="1">
      <c r="B695" s="178"/>
    </row>
    <row r="696" spans="2:2" ht="15.75" customHeight="1">
      <c r="B696" s="178"/>
    </row>
    <row r="697" spans="2:2" ht="15.75" customHeight="1">
      <c r="B697" s="178"/>
    </row>
    <row r="698" spans="2:2" ht="15.75" customHeight="1">
      <c r="B698" s="178"/>
    </row>
    <row r="699" spans="2:2" ht="15.75" customHeight="1">
      <c r="B699" s="178"/>
    </row>
    <row r="700" spans="2:2" ht="15.75" customHeight="1">
      <c r="B700" s="178"/>
    </row>
    <row r="701" spans="2:2" ht="15.75" customHeight="1">
      <c r="B701" s="178"/>
    </row>
    <row r="702" spans="2:2" ht="15.75" customHeight="1">
      <c r="B702" s="178"/>
    </row>
    <row r="703" spans="2:2" ht="15.75" customHeight="1">
      <c r="B703" s="178"/>
    </row>
    <row r="704" spans="2:2" ht="15.75" customHeight="1">
      <c r="B704" s="178"/>
    </row>
    <row r="705" spans="2:2" ht="15.75" customHeight="1">
      <c r="B705" s="178"/>
    </row>
    <row r="706" spans="2:2" ht="15.75" customHeight="1">
      <c r="B706" s="178"/>
    </row>
    <row r="707" spans="2:2" ht="15.75" customHeight="1">
      <c r="B707" s="178"/>
    </row>
    <row r="708" spans="2:2" ht="15.75" customHeight="1">
      <c r="B708" s="178"/>
    </row>
    <row r="709" spans="2:2" ht="15.75" customHeight="1">
      <c r="B709" s="178"/>
    </row>
    <row r="710" spans="2:2" ht="15.75" customHeight="1">
      <c r="B710" s="178"/>
    </row>
    <row r="711" spans="2:2" ht="15.75" customHeight="1">
      <c r="B711" s="178"/>
    </row>
    <row r="712" spans="2:2" ht="15.75" customHeight="1">
      <c r="B712" s="178"/>
    </row>
    <row r="713" spans="2:2" ht="15.75" customHeight="1">
      <c r="B713" s="178"/>
    </row>
    <row r="714" spans="2:2" ht="15.75" customHeight="1">
      <c r="B714" s="178"/>
    </row>
    <row r="715" spans="2:2" ht="15.75" customHeight="1">
      <c r="B715" s="178"/>
    </row>
    <row r="716" spans="2:2" ht="15.75" customHeight="1">
      <c r="B716" s="178"/>
    </row>
    <row r="717" spans="2:2" ht="15.75" customHeight="1">
      <c r="B717" s="178"/>
    </row>
    <row r="718" spans="2:2" ht="15.75" customHeight="1">
      <c r="B718" s="178"/>
    </row>
    <row r="719" spans="2:2" ht="15.75" customHeight="1">
      <c r="B719" s="178"/>
    </row>
    <row r="720" spans="2:2" ht="15.75" customHeight="1">
      <c r="B720" s="178"/>
    </row>
    <row r="721" spans="2:2" ht="15.75" customHeight="1">
      <c r="B721" s="178"/>
    </row>
    <row r="722" spans="2:2" ht="15.75" customHeight="1">
      <c r="B722" s="178"/>
    </row>
    <row r="723" spans="2:2" ht="15.75" customHeight="1">
      <c r="B723" s="178"/>
    </row>
    <row r="724" spans="2:2" ht="15.75" customHeight="1">
      <c r="B724" s="178"/>
    </row>
    <row r="725" spans="2:2" ht="15.75" customHeight="1">
      <c r="B725" s="178"/>
    </row>
    <row r="726" spans="2:2" ht="15.75" customHeight="1">
      <c r="B726" s="178"/>
    </row>
    <row r="727" spans="2:2" ht="15.75" customHeight="1">
      <c r="B727" s="178"/>
    </row>
    <row r="728" spans="2:2" ht="15.75" customHeight="1">
      <c r="B728" s="178"/>
    </row>
    <row r="729" spans="2:2" ht="15.75" customHeight="1">
      <c r="B729" s="178"/>
    </row>
    <row r="730" spans="2:2" ht="15.75" customHeight="1">
      <c r="B730" s="178"/>
    </row>
    <row r="731" spans="2:2" ht="15.75" customHeight="1">
      <c r="B731" s="178"/>
    </row>
    <row r="732" spans="2:2" ht="15.75" customHeight="1">
      <c r="B732" s="178"/>
    </row>
    <row r="733" spans="2:2" ht="15.75" customHeight="1">
      <c r="B733" s="178"/>
    </row>
    <row r="734" spans="2:2" ht="15.75" customHeight="1">
      <c r="B734" s="178"/>
    </row>
    <row r="735" spans="2:2" ht="15.75" customHeight="1">
      <c r="B735" s="178"/>
    </row>
    <row r="736" spans="2:2" ht="15.75" customHeight="1">
      <c r="B736" s="178"/>
    </row>
    <row r="737" spans="2:2" ht="15.75" customHeight="1">
      <c r="B737" s="178"/>
    </row>
    <row r="738" spans="2:2" ht="15.75" customHeight="1">
      <c r="B738" s="178"/>
    </row>
    <row r="739" spans="2:2" ht="15.75" customHeight="1">
      <c r="B739" s="178"/>
    </row>
    <row r="740" spans="2:2" ht="15.75" customHeight="1">
      <c r="B740" s="178"/>
    </row>
    <row r="741" spans="2:2" ht="15.75" customHeight="1">
      <c r="B741" s="178"/>
    </row>
    <row r="742" spans="2:2" ht="15.75" customHeight="1">
      <c r="B742" s="178"/>
    </row>
    <row r="743" spans="2:2" ht="15.75" customHeight="1">
      <c r="B743" s="178"/>
    </row>
    <row r="744" spans="2:2" ht="15.75" customHeight="1">
      <c r="B744" s="178"/>
    </row>
    <row r="745" spans="2:2" ht="15.75" customHeight="1">
      <c r="B745" s="178"/>
    </row>
    <row r="746" spans="2:2" ht="15.75" customHeight="1">
      <c r="B746" s="178"/>
    </row>
    <row r="747" spans="2:2" ht="15.75" customHeight="1">
      <c r="B747" s="178"/>
    </row>
    <row r="748" spans="2:2" ht="15.75" customHeight="1">
      <c r="B748" s="178"/>
    </row>
    <row r="749" spans="2:2" ht="15.75" customHeight="1">
      <c r="B749" s="178"/>
    </row>
    <row r="750" spans="2:2" ht="15.75" customHeight="1">
      <c r="B750" s="178"/>
    </row>
    <row r="751" spans="2:2" ht="15.75" customHeight="1">
      <c r="B751" s="178"/>
    </row>
    <row r="752" spans="2:2" ht="15.75" customHeight="1">
      <c r="B752" s="178"/>
    </row>
    <row r="753" spans="2:2" ht="15.75" customHeight="1">
      <c r="B753" s="178"/>
    </row>
    <row r="754" spans="2:2" ht="15.75" customHeight="1">
      <c r="B754" s="178"/>
    </row>
    <row r="755" spans="2:2" ht="15.75" customHeight="1">
      <c r="B755" s="178"/>
    </row>
    <row r="756" spans="2:2" ht="15.75" customHeight="1">
      <c r="B756" s="178"/>
    </row>
    <row r="757" spans="2:2" ht="15.75" customHeight="1">
      <c r="B757" s="178"/>
    </row>
    <row r="758" spans="2:2" ht="15.75" customHeight="1">
      <c r="B758" s="178"/>
    </row>
    <row r="759" spans="2:2" ht="15.75" customHeight="1">
      <c r="B759" s="178"/>
    </row>
    <row r="760" spans="2:2" ht="15.75" customHeight="1">
      <c r="B760" s="178"/>
    </row>
    <row r="761" spans="2:2" ht="15.75" customHeight="1">
      <c r="B761" s="178"/>
    </row>
    <row r="762" spans="2:2" ht="15.75" customHeight="1">
      <c r="B762" s="178"/>
    </row>
    <row r="763" spans="2:2" ht="15.75" customHeight="1">
      <c r="B763" s="178"/>
    </row>
    <row r="764" spans="2:2" ht="15.75" customHeight="1">
      <c r="B764" s="178"/>
    </row>
    <row r="765" spans="2:2" ht="15.75" customHeight="1">
      <c r="B765" s="178"/>
    </row>
    <row r="766" spans="2:2" ht="15.75" customHeight="1">
      <c r="B766" s="178"/>
    </row>
    <row r="767" spans="2:2" ht="15.75" customHeight="1">
      <c r="B767" s="178"/>
    </row>
    <row r="768" spans="2:2" ht="15.75" customHeight="1">
      <c r="B768" s="178"/>
    </row>
    <row r="769" spans="2:2" ht="15.75" customHeight="1">
      <c r="B769" s="178"/>
    </row>
    <row r="770" spans="2:2" ht="15.75" customHeight="1">
      <c r="B770" s="178"/>
    </row>
    <row r="771" spans="2:2" ht="15.75" customHeight="1">
      <c r="B771" s="178"/>
    </row>
    <row r="772" spans="2:2" ht="15.75" customHeight="1">
      <c r="B772" s="178"/>
    </row>
    <row r="773" spans="2:2" ht="15.75" customHeight="1">
      <c r="B773" s="178"/>
    </row>
    <row r="774" spans="2:2" ht="15.75" customHeight="1">
      <c r="B774" s="178"/>
    </row>
    <row r="775" spans="2:2" ht="15.75" customHeight="1">
      <c r="B775" s="178"/>
    </row>
    <row r="776" spans="2:2" ht="15.75" customHeight="1">
      <c r="B776" s="178"/>
    </row>
    <row r="777" spans="2:2" ht="15.75" customHeight="1">
      <c r="B777" s="178"/>
    </row>
    <row r="778" spans="2:2" ht="15.75" customHeight="1">
      <c r="B778" s="178"/>
    </row>
    <row r="779" spans="2:2" ht="15.75" customHeight="1">
      <c r="B779" s="178"/>
    </row>
    <row r="780" spans="2:2" ht="15.75" customHeight="1">
      <c r="B780" s="178"/>
    </row>
    <row r="781" spans="2:2" ht="15.75" customHeight="1">
      <c r="B781" s="178"/>
    </row>
    <row r="782" spans="2:2" ht="15.75" customHeight="1">
      <c r="B782" s="178"/>
    </row>
    <row r="783" spans="2:2" ht="15.75" customHeight="1">
      <c r="B783" s="178"/>
    </row>
    <row r="784" spans="2:2" ht="15.75" customHeight="1">
      <c r="B784" s="178"/>
    </row>
    <row r="785" spans="2:2" ht="15.75" customHeight="1">
      <c r="B785" s="178"/>
    </row>
    <row r="786" spans="2:2" ht="15.75" customHeight="1">
      <c r="B786" s="178"/>
    </row>
    <row r="787" spans="2:2" ht="15.75" customHeight="1">
      <c r="B787" s="178"/>
    </row>
    <row r="788" spans="2:2" ht="15.75" customHeight="1">
      <c r="B788" s="178"/>
    </row>
    <row r="789" spans="2:2" ht="15.75" customHeight="1">
      <c r="B789" s="178"/>
    </row>
    <row r="790" spans="2:2" ht="15.75" customHeight="1">
      <c r="B790" s="178"/>
    </row>
    <row r="791" spans="2:2" ht="15.75" customHeight="1">
      <c r="B791" s="178"/>
    </row>
    <row r="792" spans="2:2" ht="15.75" customHeight="1">
      <c r="B792" s="178"/>
    </row>
    <row r="793" spans="2:2" ht="15.75" customHeight="1">
      <c r="B793" s="178"/>
    </row>
    <row r="794" spans="2:2" ht="15.75" customHeight="1">
      <c r="B794" s="178"/>
    </row>
    <row r="795" spans="2:2" ht="15.75" customHeight="1">
      <c r="B795" s="178"/>
    </row>
    <row r="796" spans="2:2" ht="15.75" customHeight="1">
      <c r="B796" s="178"/>
    </row>
    <row r="797" spans="2:2" ht="15.75" customHeight="1">
      <c r="B797" s="178"/>
    </row>
    <row r="798" spans="2:2" ht="15.75" customHeight="1">
      <c r="B798" s="178"/>
    </row>
    <row r="799" spans="2:2" ht="15.75" customHeight="1">
      <c r="B799" s="178"/>
    </row>
    <row r="800" spans="2:2" ht="15.75" customHeight="1">
      <c r="B800" s="178"/>
    </row>
    <row r="801" spans="2:2" ht="15.75" customHeight="1">
      <c r="B801" s="178"/>
    </row>
    <row r="802" spans="2:2" ht="15.75" customHeight="1">
      <c r="B802" s="178"/>
    </row>
    <row r="803" spans="2:2" ht="15.75" customHeight="1">
      <c r="B803" s="178"/>
    </row>
    <row r="804" spans="2:2" ht="15.75" customHeight="1">
      <c r="B804" s="178"/>
    </row>
    <row r="805" spans="2:2" ht="15.75" customHeight="1">
      <c r="B805" s="178"/>
    </row>
    <row r="806" spans="2:2" ht="15.75" customHeight="1">
      <c r="B806" s="178"/>
    </row>
    <row r="807" spans="2:2" ht="15.75" customHeight="1">
      <c r="B807" s="178"/>
    </row>
    <row r="808" spans="2:2" ht="15.75" customHeight="1">
      <c r="B808" s="178"/>
    </row>
    <row r="809" spans="2:2" ht="15.75" customHeight="1">
      <c r="B809" s="178"/>
    </row>
    <row r="810" spans="2:2" ht="15.75" customHeight="1">
      <c r="B810" s="178"/>
    </row>
    <row r="811" spans="2:2" ht="15.75" customHeight="1">
      <c r="B811" s="178"/>
    </row>
    <row r="812" spans="2:2" ht="15.75" customHeight="1">
      <c r="B812" s="178"/>
    </row>
    <row r="813" spans="2:2" ht="15.75" customHeight="1">
      <c r="B813" s="178"/>
    </row>
    <row r="814" spans="2:2" ht="15.75" customHeight="1">
      <c r="B814" s="178"/>
    </row>
    <row r="815" spans="2:2" ht="15.75" customHeight="1">
      <c r="B815" s="178"/>
    </row>
    <row r="816" spans="2:2" ht="15.75" customHeight="1">
      <c r="B816" s="178"/>
    </row>
    <row r="817" spans="2:2" ht="15.75" customHeight="1">
      <c r="B817" s="178"/>
    </row>
    <row r="818" spans="2:2" ht="15.75" customHeight="1">
      <c r="B818" s="178"/>
    </row>
    <row r="819" spans="2:2" ht="15.75" customHeight="1">
      <c r="B819" s="178"/>
    </row>
    <row r="820" spans="2:2" ht="15.75" customHeight="1">
      <c r="B820" s="178"/>
    </row>
    <row r="821" spans="2:2" ht="15.75" customHeight="1">
      <c r="B821" s="178"/>
    </row>
    <row r="822" spans="2:2" ht="15.75" customHeight="1">
      <c r="B822" s="178"/>
    </row>
    <row r="823" spans="2:2" ht="15.75" customHeight="1">
      <c r="B823" s="178"/>
    </row>
    <row r="824" spans="2:2" ht="15.75" customHeight="1">
      <c r="B824" s="178"/>
    </row>
    <row r="825" spans="2:2" ht="15.75" customHeight="1">
      <c r="B825" s="178"/>
    </row>
    <row r="826" spans="2:2" ht="15.75" customHeight="1">
      <c r="B826" s="178"/>
    </row>
    <row r="827" spans="2:2" ht="15.75" customHeight="1">
      <c r="B827" s="178"/>
    </row>
    <row r="828" spans="2:2" ht="15.75" customHeight="1">
      <c r="B828" s="178"/>
    </row>
    <row r="829" spans="2:2" ht="15.75" customHeight="1">
      <c r="B829" s="178"/>
    </row>
    <row r="830" spans="2:2" ht="15.75" customHeight="1">
      <c r="B830" s="178"/>
    </row>
    <row r="831" spans="2:2" ht="15.75" customHeight="1">
      <c r="B831" s="178"/>
    </row>
    <row r="832" spans="2:2" ht="15.75" customHeight="1">
      <c r="B832" s="178"/>
    </row>
    <row r="833" spans="2:2" ht="15.75" customHeight="1">
      <c r="B833" s="178"/>
    </row>
    <row r="834" spans="2:2" ht="15.75" customHeight="1">
      <c r="B834" s="178"/>
    </row>
    <row r="835" spans="2:2" ht="15.75" customHeight="1">
      <c r="B835" s="178"/>
    </row>
    <row r="836" spans="2:2" ht="15.75" customHeight="1">
      <c r="B836" s="178"/>
    </row>
    <row r="837" spans="2:2" ht="15.75" customHeight="1">
      <c r="B837" s="178"/>
    </row>
    <row r="838" spans="2:2" ht="15.75" customHeight="1">
      <c r="B838" s="178"/>
    </row>
    <row r="839" spans="2:2" ht="15.75" customHeight="1">
      <c r="B839" s="178"/>
    </row>
    <row r="840" spans="2:2" ht="15.75" customHeight="1">
      <c r="B840" s="178"/>
    </row>
    <row r="841" spans="2:2" ht="15.75" customHeight="1">
      <c r="B841" s="178"/>
    </row>
    <row r="842" spans="2:2" ht="15.75" customHeight="1">
      <c r="B842" s="178"/>
    </row>
    <row r="843" spans="2:2" ht="15.75" customHeight="1">
      <c r="B843" s="178"/>
    </row>
    <row r="844" spans="2:2" ht="15.75" customHeight="1">
      <c r="B844" s="178"/>
    </row>
    <row r="845" spans="2:2" ht="15.75" customHeight="1">
      <c r="B845" s="178"/>
    </row>
    <row r="846" spans="2:2" ht="15.75" customHeight="1">
      <c r="B846" s="178"/>
    </row>
    <row r="847" spans="2:2" ht="15.75" customHeight="1">
      <c r="B847" s="178"/>
    </row>
    <row r="848" spans="2:2" ht="15.75" customHeight="1">
      <c r="B848" s="178"/>
    </row>
    <row r="849" spans="2:2" ht="15.75" customHeight="1">
      <c r="B849" s="178"/>
    </row>
    <row r="850" spans="2:2" ht="15.75" customHeight="1">
      <c r="B850" s="178"/>
    </row>
    <row r="851" spans="2:2" ht="15.75" customHeight="1">
      <c r="B851" s="178"/>
    </row>
    <row r="852" spans="2:2" ht="15.75" customHeight="1">
      <c r="B852" s="178"/>
    </row>
    <row r="853" spans="2:2" ht="15.75" customHeight="1">
      <c r="B853" s="178"/>
    </row>
    <row r="854" spans="2:2" ht="15.75" customHeight="1">
      <c r="B854" s="178"/>
    </row>
    <row r="855" spans="2:2" ht="15.75" customHeight="1">
      <c r="B855" s="178"/>
    </row>
    <row r="856" spans="2:2" ht="15.75" customHeight="1">
      <c r="B856" s="178"/>
    </row>
    <row r="857" spans="2:2" ht="15.75" customHeight="1">
      <c r="B857" s="178"/>
    </row>
    <row r="858" spans="2:2" ht="15.75" customHeight="1">
      <c r="B858" s="178"/>
    </row>
    <row r="859" spans="2:2" ht="15.75" customHeight="1">
      <c r="B859" s="178"/>
    </row>
    <row r="860" spans="2:2" ht="15.75" customHeight="1">
      <c r="B860" s="178"/>
    </row>
    <row r="861" spans="2:2" ht="15.75" customHeight="1">
      <c r="B861" s="178"/>
    </row>
    <row r="862" spans="2:2" ht="15.75" customHeight="1">
      <c r="B862" s="178"/>
    </row>
    <row r="863" spans="2:2" ht="15.75" customHeight="1">
      <c r="B863" s="178"/>
    </row>
    <row r="864" spans="2:2" ht="15.75" customHeight="1">
      <c r="B864" s="178"/>
    </row>
    <row r="865" spans="2:2" ht="15.75" customHeight="1">
      <c r="B865" s="178"/>
    </row>
    <row r="866" spans="2:2" ht="15.75" customHeight="1">
      <c r="B866" s="178"/>
    </row>
    <row r="867" spans="2:2" ht="15.75" customHeight="1">
      <c r="B867" s="178"/>
    </row>
    <row r="868" spans="2:2" ht="15.75" customHeight="1">
      <c r="B868" s="178"/>
    </row>
    <row r="869" spans="2:2" ht="15.75" customHeight="1">
      <c r="B869" s="178"/>
    </row>
    <row r="870" spans="2:2" ht="15.75" customHeight="1">
      <c r="B870" s="178"/>
    </row>
    <row r="871" spans="2:2" ht="15.75" customHeight="1">
      <c r="B871" s="178"/>
    </row>
    <row r="872" spans="2:2" ht="15.75" customHeight="1">
      <c r="B872" s="178"/>
    </row>
    <row r="873" spans="2:2" ht="15.75" customHeight="1">
      <c r="B873" s="178"/>
    </row>
    <row r="874" spans="2:2" ht="15.75" customHeight="1">
      <c r="B874" s="178"/>
    </row>
    <row r="875" spans="2:2" ht="15.75" customHeight="1">
      <c r="B875" s="178"/>
    </row>
    <row r="876" spans="2:2" ht="15.75" customHeight="1">
      <c r="B876" s="178"/>
    </row>
    <row r="877" spans="2:2" ht="15.75" customHeight="1">
      <c r="B877" s="178"/>
    </row>
    <row r="878" spans="2:2" ht="15.75" customHeight="1">
      <c r="B878" s="178"/>
    </row>
    <row r="879" spans="2:2" ht="15.75" customHeight="1">
      <c r="B879" s="178"/>
    </row>
    <row r="880" spans="2:2" ht="15.75" customHeight="1">
      <c r="B880" s="178"/>
    </row>
    <row r="881" spans="2:2" ht="15.75" customHeight="1">
      <c r="B881" s="178"/>
    </row>
    <row r="882" spans="2:2" ht="15.75" customHeight="1">
      <c r="B882" s="178"/>
    </row>
    <row r="883" spans="2:2" ht="15.75" customHeight="1">
      <c r="B883" s="178"/>
    </row>
    <row r="884" spans="2:2" ht="15.75" customHeight="1">
      <c r="B884" s="178"/>
    </row>
    <row r="885" spans="2:2" ht="15.75" customHeight="1">
      <c r="B885" s="178"/>
    </row>
    <row r="886" spans="2:2" ht="15.75" customHeight="1">
      <c r="B886" s="178"/>
    </row>
    <row r="887" spans="2:2" ht="15.75" customHeight="1">
      <c r="B887" s="178"/>
    </row>
    <row r="888" spans="2:2" ht="15.75" customHeight="1">
      <c r="B888" s="178"/>
    </row>
    <row r="889" spans="2:2" ht="15.75" customHeight="1">
      <c r="B889" s="178"/>
    </row>
    <row r="890" spans="2:2" ht="15.75" customHeight="1">
      <c r="B890" s="178"/>
    </row>
    <row r="891" spans="2:2" ht="15.75" customHeight="1">
      <c r="B891" s="178"/>
    </row>
    <row r="892" spans="2:2" ht="15.75" customHeight="1">
      <c r="B892" s="178"/>
    </row>
    <row r="893" spans="2:2" ht="15.75" customHeight="1">
      <c r="B893" s="178"/>
    </row>
    <row r="894" spans="2:2" ht="15.75" customHeight="1">
      <c r="B894" s="178"/>
    </row>
    <row r="895" spans="2:2" ht="15.75" customHeight="1">
      <c r="B895" s="178"/>
    </row>
    <row r="896" spans="2:2" ht="15.75" customHeight="1">
      <c r="B896" s="178"/>
    </row>
    <row r="897" spans="2:2" ht="15.75" customHeight="1">
      <c r="B897" s="178"/>
    </row>
    <row r="898" spans="2:2" ht="15.75" customHeight="1">
      <c r="B898" s="178"/>
    </row>
    <row r="899" spans="2:2" ht="15.75" customHeight="1">
      <c r="B899" s="178"/>
    </row>
    <row r="900" spans="2:2" ht="15.75" customHeight="1">
      <c r="B900" s="178"/>
    </row>
    <row r="901" spans="2:2" ht="15.75" customHeight="1">
      <c r="B901" s="178"/>
    </row>
    <row r="902" spans="2:2" ht="15.75" customHeight="1">
      <c r="B902" s="178"/>
    </row>
    <row r="903" spans="2:2" ht="15.75" customHeight="1">
      <c r="B903" s="178"/>
    </row>
    <row r="904" spans="2:2" ht="15.75" customHeight="1">
      <c r="B904" s="178"/>
    </row>
    <row r="905" spans="2:2" ht="15.75" customHeight="1">
      <c r="B905" s="178"/>
    </row>
    <row r="906" spans="2:2" ht="15.75" customHeight="1">
      <c r="B906" s="178"/>
    </row>
    <row r="907" spans="2:2" ht="15.75" customHeight="1">
      <c r="B907" s="178"/>
    </row>
    <row r="908" spans="2:2" ht="15.75" customHeight="1">
      <c r="B908" s="178"/>
    </row>
    <row r="909" spans="2:2" ht="15.75" customHeight="1">
      <c r="B909" s="178"/>
    </row>
    <row r="910" spans="2:2" ht="15.75" customHeight="1">
      <c r="B910" s="178"/>
    </row>
    <row r="911" spans="2:2" ht="15.75" customHeight="1">
      <c r="B911" s="178"/>
    </row>
    <row r="912" spans="2:2" ht="15.75" customHeight="1">
      <c r="B912" s="178"/>
    </row>
    <row r="913" spans="2:2" ht="15.75" customHeight="1">
      <c r="B913" s="178"/>
    </row>
    <row r="914" spans="2:2" ht="15.75" customHeight="1">
      <c r="B914" s="178"/>
    </row>
    <row r="915" spans="2:2" ht="15.75" customHeight="1">
      <c r="B915" s="178"/>
    </row>
    <row r="916" spans="2:2" ht="15.75" customHeight="1">
      <c r="B916" s="178"/>
    </row>
    <row r="917" spans="2:2" ht="15.75" customHeight="1">
      <c r="B917" s="178"/>
    </row>
    <row r="918" spans="2:2" ht="15.75" customHeight="1">
      <c r="B918" s="178"/>
    </row>
    <row r="919" spans="2:2" ht="15.75" customHeight="1">
      <c r="B919" s="178"/>
    </row>
    <row r="920" spans="2:2" ht="15.75" customHeight="1">
      <c r="B920" s="178"/>
    </row>
    <row r="921" spans="2:2" ht="15.75" customHeight="1">
      <c r="B921" s="178"/>
    </row>
    <row r="922" spans="2:2" ht="15.75" customHeight="1">
      <c r="B922" s="178"/>
    </row>
    <row r="923" spans="2:2" ht="15.75" customHeight="1">
      <c r="B923" s="178"/>
    </row>
    <row r="924" spans="2:2" ht="15.75" customHeight="1">
      <c r="B924" s="178"/>
    </row>
    <row r="925" spans="2:2" ht="15.75" customHeight="1">
      <c r="B925" s="178"/>
    </row>
    <row r="926" spans="2:2" ht="15.75" customHeight="1">
      <c r="B926" s="178"/>
    </row>
    <row r="927" spans="2:2" ht="15.75" customHeight="1">
      <c r="B927" s="178"/>
    </row>
    <row r="928" spans="2:2" ht="15.75" customHeight="1">
      <c r="B928" s="178"/>
    </row>
    <row r="929" spans="2:2" ht="15.75" customHeight="1">
      <c r="B929" s="178"/>
    </row>
    <row r="930" spans="2:2" ht="15.75" customHeight="1">
      <c r="B930" s="178"/>
    </row>
    <row r="931" spans="2:2" ht="15.75" customHeight="1">
      <c r="B931" s="178"/>
    </row>
    <row r="932" spans="2:2" ht="15.75" customHeight="1">
      <c r="B932" s="178"/>
    </row>
    <row r="933" spans="2:2" ht="15.75" customHeight="1">
      <c r="B933" s="178"/>
    </row>
    <row r="934" spans="2:2" ht="15.75" customHeight="1">
      <c r="B934" s="178"/>
    </row>
    <row r="935" spans="2:2" ht="15.75" customHeight="1">
      <c r="B935" s="178"/>
    </row>
    <row r="936" spans="2:2" ht="15.75" customHeight="1">
      <c r="B936" s="178"/>
    </row>
    <row r="937" spans="2:2" ht="15.75" customHeight="1">
      <c r="B937" s="178"/>
    </row>
    <row r="938" spans="2:2" ht="15.75" customHeight="1">
      <c r="B938" s="178"/>
    </row>
    <row r="939" spans="2:2" ht="15.75" customHeight="1">
      <c r="B939" s="178"/>
    </row>
    <row r="940" spans="2:2" ht="15.75" customHeight="1">
      <c r="B940" s="178"/>
    </row>
    <row r="941" spans="2:2" ht="15.75" customHeight="1">
      <c r="B941" s="178"/>
    </row>
    <row r="942" spans="2:2" ht="15.75" customHeight="1">
      <c r="B942" s="178"/>
    </row>
    <row r="943" spans="2:2" ht="15.75" customHeight="1">
      <c r="B943" s="178"/>
    </row>
    <row r="944" spans="2:2" ht="15.75" customHeight="1">
      <c r="B944" s="178"/>
    </row>
    <row r="945" spans="2:2" ht="15.75" customHeight="1">
      <c r="B945" s="178"/>
    </row>
    <row r="946" spans="2:2" ht="15.75" customHeight="1">
      <c r="B946" s="178"/>
    </row>
    <row r="947" spans="2:2" ht="15.75" customHeight="1">
      <c r="B947" s="178"/>
    </row>
    <row r="948" spans="2:2" ht="15.75" customHeight="1">
      <c r="B948" s="178"/>
    </row>
    <row r="949" spans="2:2" ht="15.75" customHeight="1">
      <c r="B949" s="178"/>
    </row>
    <row r="950" spans="2:2" ht="15.75" customHeight="1">
      <c r="B950" s="178"/>
    </row>
    <row r="951" spans="2:2" ht="15.75" customHeight="1">
      <c r="B951" s="178"/>
    </row>
    <row r="952" spans="2:2" ht="15.75" customHeight="1">
      <c r="B952" s="178"/>
    </row>
    <row r="953" spans="2:2" ht="15.75" customHeight="1">
      <c r="B953" s="178"/>
    </row>
    <row r="954" spans="2:2" ht="15.75" customHeight="1">
      <c r="B954" s="178"/>
    </row>
    <row r="955" spans="2:2" ht="15.75" customHeight="1">
      <c r="B955" s="178"/>
    </row>
    <row r="956" spans="2:2" ht="15.75" customHeight="1">
      <c r="B956" s="178"/>
    </row>
    <row r="957" spans="2:2" ht="15.75" customHeight="1">
      <c r="B957" s="178"/>
    </row>
    <row r="958" spans="2:2" ht="15.75" customHeight="1">
      <c r="B958" s="178"/>
    </row>
    <row r="959" spans="2:2" ht="15.75" customHeight="1">
      <c r="B959" s="178"/>
    </row>
    <row r="960" spans="2:2" ht="15.75" customHeight="1">
      <c r="B960" s="178"/>
    </row>
    <row r="961" spans="2:2" ht="15.75" customHeight="1">
      <c r="B961" s="178"/>
    </row>
    <row r="962" spans="2:2" ht="15.75" customHeight="1">
      <c r="B962" s="178"/>
    </row>
    <row r="963" spans="2:2" ht="15.75" customHeight="1">
      <c r="B963" s="178"/>
    </row>
    <row r="964" spans="2:2" ht="15.75" customHeight="1">
      <c r="B964" s="178"/>
    </row>
    <row r="965" spans="2:2" ht="15.75" customHeight="1">
      <c r="B965" s="178"/>
    </row>
    <row r="966" spans="2:2" ht="15.75" customHeight="1">
      <c r="B966" s="178"/>
    </row>
    <row r="967" spans="2:2" ht="15.75" customHeight="1">
      <c r="B967" s="178"/>
    </row>
    <row r="968" spans="2:2" ht="15.75" customHeight="1">
      <c r="B968" s="178"/>
    </row>
    <row r="969" spans="2:2" ht="15.75" customHeight="1">
      <c r="B969" s="178"/>
    </row>
    <row r="970" spans="2:2" ht="15.75" customHeight="1">
      <c r="B970" s="178"/>
    </row>
    <row r="971" spans="2:2" ht="15.75" customHeight="1">
      <c r="B971" s="178"/>
    </row>
    <row r="972" spans="2:2" ht="15.75" customHeight="1">
      <c r="B972" s="178"/>
    </row>
    <row r="973" spans="2:2" ht="15.75" customHeight="1">
      <c r="B973" s="178"/>
    </row>
    <row r="974" spans="2:2" ht="15.75" customHeight="1">
      <c r="B974" s="178"/>
    </row>
    <row r="975" spans="2:2" ht="15.75" customHeight="1">
      <c r="B975" s="178"/>
    </row>
    <row r="976" spans="2:2" ht="15.75" customHeight="1">
      <c r="B976" s="178"/>
    </row>
    <row r="977" spans="2:2" ht="15.75" customHeight="1">
      <c r="B977" s="178"/>
    </row>
    <row r="978" spans="2:2" ht="15.75" customHeight="1">
      <c r="B978" s="178"/>
    </row>
    <row r="979" spans="2:2" ht="15.75" customHeight="1">
      <c r="B979" s="178"/>
    </row>
    <row r="980" spans="2:2" ht="15.75" customHeight="1">
      <c r="B980" s="178"/>
    </row>
    <row r="981" spans="2:2" ht="15.75" customHeight="1">
      <c r="B981" s="178"/>
    </row>
    <row r="982" spans="2:2" ht="15.75" customHeight="1">
      <c r="B982" s="178"/>
    </row>
    <row r="983" spans="2:2" ht="15.75" customHeight="1">
      <c r="B983" s="178"/>
    </row>
    <row r="984" spans="2:2" ht="15.75" customHeight="1">
      <c r="B984" s="178"/>
    </row>
    <row r="985" spans="2:2" ht="15.75" customHeight="1">
      <c r="B985" s="178"/>
    </row>
    <row r="986" spans="2:2" ht="15.75" customHeight="1">
      <c r="B986" s="178"/>
    </row>
    <row r="987" spans="2:2" ht="15.75" customHeight="1">
      <c r="B987" s="178"/>
    </row>
    <row r="988" spans="2:2" ht="15.75" customHeight="1">
      <c r="B988" s="178"/>
    </row>
    <row r="989" spans="2:2" ht="15.75" customHeight="1">
      <c r="B989" s="178"/>
    </row>
    <row r="990" spans="2:2" ht="15.75" customHeight="1">
      <c r="B990" s="178"/>
    </row>
    <row r="991" spans="2:2" ht="15.75" customHeight="1">
      <c r="B991" s="178"/>
    </row>
    <row r="992" spans="2:2" ht="15.75" customHeight="1">
      <c r="B992" s="178"/>
    </row>
    <row r="993" spans="2:2" ht="15.75" customHeight="1">
      <c r="B993" s="178"/>
    </row>
    <row r="994" spans="2:2" ht="15.75" customHeight="1">
      <c r="B994" s="178"/>
    </row>
    <row r="995" spans="2:2" ht="15.75" customHeight="1">
      <c r="B995" s="178"/>
    </row>
    <row r="996" spans="2:2" ht="15.75" customHeight="1">
      <c r="B996" s="178"/>
    </row>
    <row r="997" spans="2:2" ht="15.75" customHeight="1">
      <c r="B997" s="178"/>
    </row>
    <row r="998" spans="2:2" ht="15.75" customHeight="1">
      <c r="B998" s="178"/>
    </row>
    <row r="999" spans="2:2" ht="15.75" customHeight="1">
      <c r="B999" s="178"/>
    </row>
    <row r="1000" spans="2:2" ht="15.75" customHeight="1">
      <c r="B1000" s="178"/>
    </row>
  </sheetData>
  <mergeCells count="10">
    <mergeCell ref="AL3:AS3"/>
    <mergeCell ref="D40:K44"/>
    <mergeCell ref="L40:S44"/>
    <mergeCell ref="Y40:AF44"/>
    <mergeCell ref="B3:B4"/>
    <mergeCell ref="D3:K3"/>
    <mergeCell ref="L3:S3"/>
    <mergeCell ref="T3:X3"/>
    <mergeCell ref="Y3:AF3"/>
    <mergeCell ref="AG3:AK3"/>
  </mergeCells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A5F55-950E-5040-A159-4D81ADF8C168}">
  <dimension ref="A1:AV1000"/>
  <sheetViews>
    <sheetView tabSelected="1" workbookViewId="0">
      <selection sqref="A1:XFD1048576"/>
    </sheetView>
  </sheetViews>
  <sheetFormatPr baseColWidth="10" defaultColWidth="10.28515625" defaultRowHeight="15" customHeight="1"/>
  <cols>
    <col min="1" max="2" width="9.28515625" style="4" customWidth="1"/>
    <col min="3" max="3" width="13.28515625" style="4" customWidth="1"/>
    <col min="4" max="4" width="3.42578125" style="4" customWidth="1"/>
    <col min="5" max="6" width="6.28515625" style="4" customWidth="1"/>
    <col min="7" max="7" width="9.7109375" style="4" customWidth="1"/>
    <col min="8" max="9" width="6.28515625" style="4" customWidth="1"/>
    <col min="10" max="10" width="8.28515625" style="4" customWidth="1"/>
    <col min="11" max="11" width="6.28515625" style="4" customWidth="1"/>
    <col min="12" max="12" width="3.28515625" style="4" customWidth="1"/>
    <col min="13" max="14" width="6.28515625" style="4" customWidth="1"/>
    <col min="15" max="15" width="9.7109375" style="4" customWidth="1"/>
    <col min="16" max="17" width="6.28515625" style="4" customWidth="1"/>
    <col min="18" max="18" width="10.28515625" style="4"/>
    <col min="19" max="22" width="6.28515625" style="4" customWidth="1"/>
    <col min="23" max="23" width="7" style="4" customWidth="1"/>
    <col min="24" max="24" width="6.28515625" style="4" customWidth="1"/>
    <col min="25" max="25" width="2.5703125" style="4" customWidth="1"/>
    <col min="26" max="30" width="6.28515625" style="4" customWidth="1"/>
    <col min="31" max="31" width="9.85546875" style="4" bestFit="1" customWidth="1"/>
    <col min="32" max="35" width="6.28515625" style="4" customWidth="1"/>
    <col min="36" max="36" width="11.28515625" style="4" customWidth="1"/>
    <col min="37" max="47" width="9.28515625" style="4" customWidth="1"/>
    <col min="48" max="16384" width="10.28515625" style="4"/>
  </cols>
  <sheetData>
    <row r="1" spans="1:48" ht="13.5" customHeight="1">
      <c r="A1" s="1" t="s">
        <v>0</v>
      </c>
      <c r="B1" s="12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3"/>
      <c r="AT1" s="2"/>
      <c r="AU1" s="3"/>
    </row>
    <row r="2" spans="1:48" ht="13.5" customHeight="1">
      <c r="A2" s="5">
        <v>2023</v>
      </c>
      <c r="B2" s="123">
        <v>12</v>
      </c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2"/>
      <c r="S2" s="2"/>
      <c r="T2" s="2"/>
      <c r="U2" s="2"/>
      <c r="V2" s="2"/>
      <c r="W2" s="2"/>
      <c r="X2" s="2" t="s">
        <v>1</v>
      </c>
      <c r="Y2" s="7"/>
      <c r="Z2" s="7"/>
      <c r="AA2" s="7"/>
      <c r="AB2" s="7"/>
      <c r="AC2" s="7"/>
      <c r="AD2" s="7"/>
      <c r="AE2" s="2"/>
      <c r="AF2" s="2"/>
      <c r="AG2" s="2"/>
      <c r="AH2" s="2"/>
      <c r="AI2" s="2"/>
      <c r="AJ2" s="2"/>
      <c r="AK2" s="2" t="s">
        <v>1</v>
      </c>
      <c r="AL2" s="2"/>
      <c r="AM2" s="2"/>
      <c r="AN2" s="2"/>
      <c r="AO2" s="2"/>
      <c r="AP2" s="2"/>
      <c r="AQ2" s="2"/>
      <c r="AR2" s="2"/>
      <c r="AS2" s="3"/>
      <c r="AT2" s="2"/>
      <c r="AU2" s="3"/>
    </row>
    <row r="3" spans="1:48" ht="33" customHeight="1">
      <c r="A3" s="8"/>
      <c r="B3" s="124" t="s">
        <v>2</v>
      </c>
      <c r="C3" s="9"/>
      <c r="D3" s="114" t="s">
        <v>3</v>
      </c>
      <c r="E3" s="104"/>
      <c r="F3" s="104"/>
      <c r="G3" s="104"/>
      <c r="H3" s="104"/>
      <c r="I3" s="104"/>
      <c r="J3" s="104"/>
      <c r="K3" s="104"/>
      <c r="L3" s="115" t="s">
        <v>4</v>
      </c>
      <c r="M3" s="104"/>
      <c r="N3" s="104"/>
      <c r="O3" s="104"/>
      <c r="P3" s="104"/>
      <c r="Q3" s="104"/>
      <c r="R3" s="104"/>
      <c r="S3" s="104"/>
      <c r="T3" s="116" t="s">
        <v>5</v>
      </c>
      <c r="U3" s="101"/>
      <c r="V3" s="101"/>
      <c r="W3" s="101"/>
      <c r="X3" s="102"/>
      <c r="Y3" s="117" t="s">
        <v>6</v>
      </c>
      <c r="Z3" s="104"/>
      <c r="AA3" s="104"/>
      <c r="AB3" s="104"/>
      <c r="AC3" s="104"/>
      <c r="AD3" s="104"/>
      <c r="AE3" s="104"/>
      <c r="AF3" s="104"/>
      <c r="AG3" s="116" t="s">
        <v>7</v>
      </c>
      <c r="AH3" s="101"/>
      <c r="AI3" s="101"/>
      <c r="AJ3" s="101"/>
      <c r="AK3" s="102"/>
      <c r="AL3" s="100" t="s">
        <v>8</v>
      </c>
      <c r="AM3" s="101"/>
      <c r="AN3" s="101"/>
      <c r="AO3" s="101"/>
      <c r="AP3" s="101"/>
      <c r="AQ3" s="101"/>
      <c r="AR3" s="101"/>
      <c r="AS3" s="102"/>
      <c r="AT3" s="2"/>
      <c r="AU3" s="3"/>
    </row>
    <row r="4" spans="1:48" ht="53.25" customHeight="1" thickBot="1">
      <c r="A4" s="8"/>
      <c r="B4" s="113"/>
      <c r="C4" s="10" t="s">
        <v>9</v>
      </c>
      <c r="D4" s="11" t="s">
        <v>10</v>
      </c>
      <c r="E4" s="12" t="s">
        <v>11</v>
      </c>
      <c r="F4" s="11" t="s">
        <v>12</v>
      </c>
      <c r="G4" s="13" t="s">
        <v>13</v>
      </c>
      <c r="H4" s="11" t="s">
        <v>14</v>
      </c>
      <c r="I4" s="14" t="s">
        <v>15</v>
      </c>
      <c r="J4" s="12" t="s">
        <v>16</v>
      </c>
      <c r="K4" s="11" t="s">
        <v>17</v>
      </c>
      <c r="L4" s="11" t="s">
        <v>18</v>
      </c>
      <c r="M4" s="15" t="s">
        <v>11</v>
      </c>
      <c r="N4" s="11" t="s">
        <v>12</v>
      </c>
      <c r="O4" s="13" t="s">
        <v>13</v>
      </c>
      <c r="P4" s="11" t="s">
        <v>14</v>
      </c>
      <c r="Q4" s="14" t="s">
        <v>15</v>
      </c>
      <c r="R4" s="12" t="s">
        <v>16</v>
      </c>
      <c r="S4" s="16" t="s">
        <v>17</v>
      </c>
      <c r="T4" s="17" t="s">
        <v>19</v>
      </c>
      <c r="U4" s="18" t="s">
        <v>20</v>
      </c>
      <c r="V4" s="18" t="s">
        <v>21</v>
      </c>
      <c r="W4" s="19" t="s">
        <v>22</v>
      </c>
      <c r="X4" s="18"/>
      <c r="Y4" s="20" t="s">
        <v>23</v>
      </c>
      <c r="Z4" s="21" t="s">
        <v>11</v>
      </c>
      <c r="AA4" s="11" t="s">
        <v>20</v>
      </c>
      <c r="AB4" s="13" t="s">
        <v>24</v>
      </c>
      <c r="AC4" s="11" t="s">
        <v>21</v>
      </c>
      <c r="AD4" s="14" t="s">
        <v>25</v>
      </c>
      <c r="AE4" s="15" t="s">
        <v>26</v>
      </c>
      <c r="AF4" s="22" t="s">
        <v>17</v>
      </c>
      <c r="AG4" s="17" t="s">
        <v>19</v>
      </c>
      <c r="AH4" s="18" t="s">
        <v>20</v>
      </c>
      <c r="AI4" s="18" t="s">
        <v>21</v>
      </c>
      <c r="AJ4" s="19" t="s">
        <v>22</v>
      </c>
      <c r="AK4" s="18" t="s">
        <v>27</v>
      </c>
      <c r="AL4" s="23" t="s">
        <v>28</v>
      </c>
      <c r="AM4" s="23" t="s">
        <v>29</v>
      </c>
      <c r="AN4" s="23" t="s">
        <v>30</v>
      </c>
      <c r="AO4" s="23" t="s">
        <v>31</v>
      </c>
      <c r="AP4" s="23" t="s">
        <v>32</v>
      </c>
      <c r="AQ4" s="23" t="s">
        <v>33</v>
      </c>
      <c r="AR4" s="23" t="s">
        <v>34</v>
      </c>
      <c r="AS4" s="24" t="s">
        <v>35</v>
      </c>
      <c r="AT4" s="2"/>
      <c r="AU4" s="3"/>
    </row>
    <row r="5" spans="1:48" ht="13.5" customHeight="1" thickTop="1">
      <c r="A5" s="91"/>
      <c r="B5" s="132">
        <f>DATE($A$2,$B$2,1)</f>
        <v>45261</v>
      </c>
      <c r="C5" s="133"/>
      <c r="D5" s="134"/>
      <c r="E5" s="135"/>
      <c r="F5" s="136"/>
      <c r="G5" s="137" t="e">
        <f t="shared" ref="G5:G35" si="0">ROUNDDOWN(F5/1.1,0)/E5</f>
        <v>#DIV/0!</v>
      </c>
      <c r="H5" s="136"/>
      <c r="I5" s="138" t="e">
        <f t="shared" ref="I5:I35" si="1">ROUNDDOWN(H5/1.1,0)/E5</f>
        <v>#DIV/0!</v>
      </c>
      <c r="J5" s="139">
        <f t="shared" ref="J5:J35" si="2">F5+H5</f>
        <v>0</v>
      </c>
      <c r="K5" s="140" t="str">
        <f t="shared" ref="K5:K35" si="3">IF(E5="","",J5/E5)</f>
        <v/>
      </c>
      <c r="L5" s="141"/>
      <c r="M5" s="142">
        <f t="shared" ref="M5:N35" si="4">AL5-E5</f>
        <v>46</v>
      </c>
      <c r="N5" s="143">
        <f t="shared" si="4"/>
        <v>267520</v>
      </c>
      <c r="O5" s="137">
        <f t="shared" ref="O5:O35" si="5">ROUNDDOWN(N5/1.1,0)/M5</f>
        <v>5286.95652173913</v>
      </c>
      <c r="P5" s="143">
        <f t="shared" ref="P5:P35" si="6">AN5-H5</f>
        <v>24350</v>
      </c>
      <c r="Q5" s="138">
        <f t="shared" ref="Q5:Q35" si="7">ROUNDDOWN(P5/1.1,0)/M5</f>
        <v>481.21739130434781</v>
      </c>
      <c r="R5" s="144">
        <f t="shared" ref="R5:R35" si="8">N5+P5</f>
        <v>291870</v>
      </c>
      <c r="S5" s="140">
        <f t="shared" ref="S5:S35" si="9">IF(M5="","",R5/M5)</f>
        <v>6345</v>
      </c>
      <c r="T5" s="145">
        <f t="shared" ref="T5:U35" si="10">E5+M5</f>
        <v>46</v>
      </c>
      <c r="U5" s="143">
        <f t="shared" si="10"/>
        <v>267520</v>
      </c>
      <c r="V5" s="143">
        <f t="shared" ref="V5:V35" si="11">H5+P5</f>
        <v>24350</v>
      </c>
      <c r="W5" s="146">
        <f t="shared" ref="W5:W35" si="12">J5+R5</f>
        <v>291870</v>
      </c>
      <c r="X5" s="143">
        <f t="shared" ref="X5:X34" si="13">IF(T5="","",W5/T5)</f>
        <v>6345</v>
      </c>
      <c r="Y5" s="147"/>
      <c r="Z5" s="148">
        <v>46</v>
      </c>
      <c r="AA5" s="136">
        <v>31050</v>
      </c>
      <c r="AB5" s="137">
        <f t="shared" ref="AB5:AB36" si="14">AA5/Z5</f>
        <v>675</v>
      </c>
      <c r="AC5" s="136">
        <v>22550</v>
      </c>
      <c r="AD5" s="138">
        <f t="shared" ref="AD5:AD36" si="15">AC5/Z5</f>
        <v>490.21739130434781</v>
      </c>
      <c r="AE5" s="149">
        <f t="shared" ref="AE5:AE35" si="16">AA5+AC5</f>
        <v>53600</v>
      </c>
      <c r="AF5" s="140">
        <f t="shared" ref="AF5:AF35" si="17">IF(Z5="","",AE5/Z5)</f>
        <v>1165.2173913043478</v>
      </c>
      <c r="AG5" s="145">
        <f t="shared" ref="AG5:AG35" si="18">SUM(E5,M5)</f>
        <v>46</v>
      </c>
      <c r="AH5" s="143">
        <f t="shared" ref="AH5:AH35" si="19">U5+AA5</f>
        <v>298570</v>
      </c>
      <c r="AI5" s="143">
        <f t="shared" ref="AI5:AI35" si="20">V5+AC5</f>
        <v>46900</v>
      </c>
      <c r="AJ5" s="150">
        <f t="shared" ref="AJ5:AJ35" si="21">W5+AE5</f>
        <v>345470</v>
      </c>
      <c r="AK5" s="143">
        <f t="shared" ref="AK5:AK35" si="22">AO5+AP5+AQ5</f>
        <v>20900</v>
      </c>
      <c r="AL5" s="151">
        <v>46</v>
      </c>
      <c r="AM5" s="151">
        <v>267520</v>
      </c>
      <c r="AN5" s="151">
        <v>24350</v>
      </c>
      <c r="AO5" s="152">
        <v>20900</v>
      </c>
      <c r="AP5" s="152">
        <v>0</v>
      </c>
      <c r="AQ5" s="152">
        <v>0</v>
      </c>
      <c r="AR5" s="152">
        <v>0</v>
      </c>
      <c r="AS5" s="153">
        <f t="shared" ref="AS5:AS24" si="23">SUM(AM5:AQ5)</f>
        <v>312770</v>
      </c>
      <c r="AT5" s="91">
        <v>1</v>
      </c>
      <c r="AU5" s="92">
        <f t="shared" ref="AU5:AU35" si="24">AR5+AS5</f>
        <v>312770</v>
      </c>
      <c r="AV5" s="154"/>
    </row>
    <row r="6" spans="1:48" ht="13.5" customHeight="1">
      <c r="A6" s="91"/>
      <c r="B6" s="180">
        <f t="shared" ref="B6:B35" si="25">B5+1</f>
        <v>45262</v>
      </c>
      <c r="C6" s="133"/>
      <c r="D6" s="134"/>
      <c r="E6" s="135">
        <v>33</v>
      </c>
      <c r="F6" s="136">
        <v>108790</v>
      </c>
      <c r="G6" s="137">
        <f t="shared" si="0"/>
        <v>2996.969696969697</v>
      </c>
      <c r="H6" s="136">
        <v>28180</v>
      </c>
      <c r="I6" s="138">
        <f t="shared" si="1"/>
        <v>776.30303030303025</v>
      </c>
      <c r="J6" s="139">
        <f t="shared" si="2"/>
        <v>136970</v>
      </c>
      <c r="K6" s="140">
        <f t="shared" si="3"/>
        <v>4150.606060606061</v>
      </c>
      <c r="L6" s="141"/>
      <c r="M6" s="142">
        <f t="shared" si="4"/>
        <v>38</v>
      </c>
      <c r="N6" s="143">
        <f t="shared" si="4"/>
        <v>426100</v>
      </c>
      <c r="O6" s="137">
        <f t="shared" si="5"/>
        <v>10193.763157894737</v>
      </c>
      <c r="P6" s="143">
        <f t="shared" si="6"/>
        <v>61650</v>
      </c>
      <c r="Q6" s="138">
        <f t="shared" si="7"/>
        <v>1474.8684210526317</v>
      </c>
      <c r="R6" s="144">
        <f t="shared" si="8"/>
        <v>487750</v>
      </c>
      <c r="S6" s="140">
        <f t="shared" si="9"/>
        <v>12835.526315789473</v>
      </c>
      <c r="T6" s="145">
        <f t="shared" si="10"/>
        <v>71</v>
      </c>
      <c r="U6" s="143">
        <f t="shared" si="10"/>
        <v>534890</v>
      </c>
      <c r="V6" s="143">
        <f t="shared" si="11"/>
        <v>89830</v>
      </c>
      <c r="W6" s="146">
        <f t="shared" si="12"/>
        <v>624720</v>
      </c>
      <c r="X6" s="143">
        <f t="shared" si="13"/>
        <v>8798.8732394366198</v>
      </c>
      <c r="Y6" s="147"/>
      <c r="Z6" s="148">
        <v>90</v>
      </c>
      <c r="AA6" s="136">
        <v>64700</v>
      </c>
      <c r="AB6" s="137">
        <f t="shared" si="14"/>
        <v>718.88888888888891</v>
      </c>
      <c r="AC6" s="136">
        <v>22100</v>
      </c>
      <c r="AD6" s="138">
        <f t="shared" si="15"/>
        <v>245.55555555555554</v>
      </c>
      <c r="AE6" s="149">
        <f t="shared" si="16"/>
        <v>86800</v>
      </c>
      <c r="AF6" s="140">
        <f t="shared" si="17"/>
        <v>964.44444444444446</v>
      </c>
      <c r="AG6" s="156">
        <f t="shared" si="18"/>
        <v>71</v>
      </c>
      <c r="AH6" s="143">
        <f t="shared" si="19"/>
        <v>599590</v>
      </c>
      <c r="AI6" s="143">
        <f t="shared" si="20"/>
        <v>111930</v>
      </c>
      <c r="AJ6" s="150">
        <f t="shared" si="21"/>
        <v>711520</v>
      </c>
      <c r="AK6" s="143">
        <f t="shared" si="22"/>
        <v>32450</v>
      </c>
      <c r="AL6" s="151">
        <v>71</v>
      </c>
      <c r="AM6" s="151">
        <v>534890</v>
      </c>
      <c r="AN6" s="151">
        <v>89830</v>
      </c>
      <c r="AO6" s="152">
        <v>32450</v>
      </c>
      <c r="AP6" s="152">
        <v>0</v>
      </c>
      <c r="AQ6" s="152">
        <v>0</v>
      </c>
      <c r="AR6" s="152">
        <v>4400</v>
      </c>
      <c r="AS6" s="153">
        <f t="shared" si="23"/>
        <v>657170</v>
      </c>
      <c r="AT6" s="91">
        <v>2</v>
      </c>
      <c r="AU6" s="92">
        <f t="shared" si="24"/>
        <v>661570</v>
      </c>
      <c r="AV6" s="154"/>
    </row>
    <row r="7" spans="1:48" ht="13.5" customHeight="1">
      <c r="A7" s="91"/>
      <c r="B7" s="157">
        <f t="shared" si="25"/>
        <v>45263</v>
      </c>
      <c r="C7" s="133"/>
      <c r="D7" s="134"/>
      <c r="E7" s="135">
        <v>22</v>
      </c>
      <c r="F7" s="136">
        <v>79860</v>
      </c>
      <c r="G7" s="137">
        <f t="shared" si="0"/>
        <v>3300</v>
      </c>
      <c r="H7" s="136">
        <v>9890</v>
      </c>
      <c r="I7" s="138">
        <f t="shared" si="1"/>
        <v>408.63636363636363</v>
      </c>
      <c r="J7" s="139">
        <f t="shared" si="2"/>
        <v>89750</v>
      </c>
      <c r="K7" s="140">
        <f t="shared" si="3"/>
        <v>4079.5454545454545</v>
      </c>
      <c r="L7" s="141"/>
      <c r="M7" s="142">
        <f t="shared" si="4"/>
        <v>26</v>
      </c>
      <c r="N7" s="143">
        <f t="shared" si="4"/>
        <v>284460</v>
      </c>
      <c r="O7" s="137">
        <f t="shared" si="5"/>
        <v>9946.1538461538457</v>
      </c>
      <c r="P7" s="143">
        <f t="shared" si="6"/>
        <v>56130</v>
      </c>
      <c r="Q7" s="138">
        <f t="shared" si="7"/>
        <v>1962.5769230769231</v>
      </c>
      <c r="R7" s="144">
        <f t="shared" si="8"/>
        <v>340590</v>
      </c>
      <c r="S7" s="140">
        <f t="shared" si="9"/>
        <v>13099.615384615385</v>
      </c>
      <c r="T7" s="145">
        <f t="shared" si="10"/>
        <v>48</v>
      </c>
      <c r="U7" s="143">
        <f t="shared" si="10"/>
        <v>364320</v>
      </c>
      <c r="V7" s="143">
        <f t="shared" si="11"/>
        <v>66020</v>
      </c>
      <c r="W7" s="146">
        <f t="shared" si="12"/>
        <v>430340</v>
      </c>
      <c r="X7" s="143">
        <f t="shared" si="13"/>
        <v>8965.4166666666661</v>
      </c>
      <c r="Y7" s="147"/>
      <c r="Z7" s="148">
        <v>70</v>
      </c>
      <c r="AA7" s="136">
        <v>54350</v>
      </c>
      <c r="AB7" s="137">
        <f t="shared" si="14"/>
        <v>776.42857142857144</v>
      </c>
      <c r="AC7" s="136">
        <v>27500</v>
      </c>
      <c r="AD7" s="138">
        <f t="shared" si="15"/>
        <v>392.85714285714283</v>
      </c>
      <c r="AE7" s="149">
        <f t="shared" si="16"/>
        <v>81850</v>
      </c>
      <c r="AF7" s="140">
        <f t="shared" si="17"/>
        <v>1169.2857142857142</v>
      </c>
      <c r="AG7" s="156">
        <f t="shared" si="18"/>
        <v>48</v>
      </c>
      <c r="AH7" s="143">
        <f t="shared" si="19"/>
        <v>418670</v>
      </c>
      <c r="AI7" s="143">
        <f t="shared" si="20"/>
        <v>93520</v>
      </c>
      <c r="AJ7" s="150">
        <f t="shared" si="21"/>
        <v>512190</v>
      </c>
      <c r="AK7" s="143">
        <f t="shared" si="22"/>
        <v>28180</v>
      </c>
      <c r="AL7" s="151">
        <v>48</v>
      </c>
      <c r="AM7" s="151">
        <v>364320</v>
      </c>
      <c r="AN7" s="151">
        <v>66020</v>
      </c>
      <c r="AO7" s="152">
        <v>24200</v>
      </c>
      <c r="AP7" s="152">
        <v>3980</v>
      </c>
      <c r="AQ7" s="152">
        <v>0</v>
      </c>
      <c r="AR7" s="152">
        <v>0</v>
      </c>
      <c r="AS7" s="153">
        <f t="shared" si="23"/>
        <v>458520</v>
      </c>
      <c r="AT7" s="91">
        <v>3</v>
      </c>
      <c r="AU7" s="92">
        <f t="shared" si="24"/>
        <v>458520</v>
      </c>
      <c r="AV7" s="154"/>
    </row>
    <row r="8" spans="1:48" ht="13.5" customHeight="1">
      <c r="A8" s="91"/>
      <c r="B8" s="158">
        <f t="shared" si="25"/>
        <v>45264</v>
      </c>
      <c r="C8" s="133" t="s">
        <v>52</v>
      </c>
      <c r="D8" s="134"/>
      <c r="E8" s="135"/>
      <c r="F8" s="136"/>
      <c r="G8" s="137" t="e">
        <f t="shared" si="0"/>
        <v>#DIV/0!</v>
      </c>
      <c r="H8" s="136"/>
      <c r="I8" s="138" t="e">
        <f t="shared" si="1"/>
        <v>#DIV/0!</v>
      </c>
      <c r="J8" s="139">
        <f t="shared" si="2"/>
        <v>0</v>
      </c>
      <c r="K8" s="140" t="str">
        <f t="shared" si="3"/>
        <v/>
      </c>
      <c r="L8" s="141"/>
      <c r="M8" s="142">
        <f t="shared" si="4"/>
        <v>32</v>
      </c>
      <c r="N8" s="143">
        <f t="shared" si="4"/>
        <v>333850</v>
      </c>
      <c r="O8" s="137">
        <f t="shared" si="5"/>
        <v>9484.375</v>
      </c>
      <c r="P8" s="143">
        <f t="shared" si="6"/>
        <v>64940</v>
      </c>
      <c r="Q8" s="138">
        <f t="shared" si="7"/>
        <v>1844.875</v>
      </c>
      <c r="R8" s="144">
        <f t="shared" si="8"/>
        <v>398790</v>
      </c>
      <c r="S8" s="140">
        <f t="shared" si="9"/>
        <v>12462.1875</v>
      </c>
      <c r="T8" s="145">
        <f t="shared" si="10"/>
        <v>32</v>
      </c>
      <c r="U8" s="143">
        <f t="shared" si="10"/>
        <v>333850</v>
      </c>
      <c r="V8" s="143">
        <f t="shared" si="11"/>
        <v>64940</v>
      </c>
      <c r="W8" s="146">
        <f t="shared" si="12"/>
        <v>398790</v>
      </c>
      <c r="X8" s="143">
        <f t="shared" si="13"/>
        <v>12462.1875</v>
      </c>
      <c r="Y8" s="147"/>
      <c r="Z8" s="148">
        <v>80</v>
      </c>
      <c r="AA8" s="136">
        <v>42900</v>
      </c>
      <c r="AB8" s="137">
        <f t="shared" si="14"/>
        <v>536.25</v>
      </c>
      <c r="AC8" s="136">
        <v>24100</v>
      </c>
      <c r="AD8" s="138">
        <f t="shared" si="15"/>
        <v>301.25</v>
      </c>
      <c r="AE8" s="149">
        <f t="shared" si="16"/>
        <v>67000</v>
      </c>
      <c r="AF8" s="140">
        <f t="shared" si="17"/>
        <v>837.5</v>
      </c>
      <c r="AG8" s="156">
        <f t="shared" si="18"/>
        <v>32</v>
      </c>
      <c r="AH8" s="143">
        <f t="shared" si="19"/>
        <v>376750</v>
      </c>
      <c r="AI8" s="143">
        <f t="shared" si="20"/>
        <v>89040</v>
      </c>
      <c r="AJ8" s="159">
        <f t="shared" si="21"/>
        <v>465790</v>
      </c>
      <c r="AK8" s="143">
        <f t="shared" si="22"/>
        <v>73500</v>
      </c>
      <c r="AL8" s="151">
        <v>32</v>
      </c>
      <c r="AM8" s="151">
        <v>333850</v>
      </c>
      <c r="AN8" s="151">
        <v>64940</v>
      </c>
      <c r="AO8" s="152">
        <v>14850</v>
      </c>
      <c r="AP8" s="152">
        <v>58650</v>
      </c>
      <c r="AQ8" s="152">
        <v>0</v>
      </c>
      <c r="AR8" s="152">
        <v>0</v>
      </c>
      <c r="AS8" s="153">
        <f t="shared" si="23"/>
        <v>472290</v>
      </c>
      <c r="AT8" s="91">
        <v>4</v>
      </c>
      <c r="AU8" s="92">
        <f t="shared" si="24"/>
        <v>472290</v>
      </c>
      <c r="AV8" s="154"/>
    </row>
    <row r="9" spans="1:48" ht="13.5" customHeight="1">
      <c r="A9" s="91"/>
      <c r="B9" s="158">
        <f t="shared" si="25"/>
        <v>45265</v>
      </c>
      <c r="C9" s="133" t="s">
        <v>52</v>
      </c>
      <c r="D9" s="134"/>
      <c r="E9" s="135"/>
      <c r="F9" s="136"/>
      <c r="G9" s="137" t="e">
        <f t="shared" si="0"/>
        <v>#DIV/0!</v>
      </c>
      <c r="H9" s="136"/>
      <c r="I9" s="138" t="e">
        <f t="shared" si="1"/>
        <v>#DIV/0!</v>
      </c>
      <c r="J9" s="139">
        <f t="shared" si="2"/>
        <v>0</v>
      </c>
      <c r="K9" s="140" t="str">
        <f t="shared" si="3"/>
        <v/>
      </c>
      <c r="L9" s="141"/>
      <c r="M9" s="142">
        <f t="shared" si="4"/>
        <v>20</v>
      </c>
      <c r="N9" s="143">
        <f t="shared" si="4"/>
        <v>189750</v>
      </c>
      <c r="O9" s="137">
        <f t="shared" si="5"/>
        <v>8625</v>
      </c>
      <c r="P9" s="143">
        <f t="shared" si="6"/>
        <v>39590</v>
      </c>
      <c r="Q9" s="138">
        <f t="shared" si="7"/>
        <v>1799.5</v>
      </c>
      <c r="R9" s="144">
        <f t="shared" si="8"/>
        <v>229340</v>
      </c>
      <c r="S9" s="140">
        <f t="shared" si="9"/>
        <v>11467</v>
      </c>
      <c r="T9" s="145">
        <f t="shared" si="10"/>
        <v>20</v>
      </c>
      <c r="U9" s="143">
        <f t="shared" si="10"/>
        <v>189750</v>
      </c>
      <c r="V9" s="143">
        <f t="shared" si="11"/>
        <v>39590</v>
      </c>
      <c r="W9" s="146">
        <f t="shared" si="12"/>
        <v>229340</v>
      </c>
      <c r="X9" s="143">
        <f t="shared" si="13"/>
        <v>11467</v>
      </c>
      <c r="Y9" s="147"/>
      <c r="Z9" s="148">
        <v>49</v>
      </c>
      <c r="AA9" s="136">
        <v>27350</v>
      </c>
      <c r="AB9" s="137">
        <f t="shared" si="14"/>
        <v>558.16326530612241</v>
      </c>
      <c r="AC9" s="136">
        <v>10600</v>
      </c>
      <c r="AD9" s="138">
        <f t="shared" si="15"/>
        <v>216.32653061224491</v>
      </c>
      <c r="AE9" s="149">
        <f t="shared" si="16"/>
        <v>37950</v>
      </c>
      <c r="AF9" s="140">
        <f t="shared" si="17"/>
        <v>774.48979591836735</v>
      </c>
      <c r="AG9" s="156">
        <f t="shared" si="18"/>
        <v>20</v>
      </c>
      <c r="AH9" s="143">
        <f t="shared" si="19"/>
        <v>217100</v>
      </c>
      <c r="AI9" s="143">
        <f t="shared" si="20"/>
        <v>50190</v>
      </c>
      <c r="AJ9" s="150">
        <f t="shared" si="21"/>
        <v>267290</v>
      </c>
      <c r="AK9" s="143">
        <f t="shared" si="22"/>
        <v>21010</v>
      </c>
      <c r="AL9" s="151">
        <v>20</v>
      </c>
      <c r="AM9" s="151">
        <v>189750</v>
      </c>
      <c r="AN9" s="151">
        <v>39590</v>
      </c>
      <c r="AO9" s="152">
        <v>19800</v>
      </c>
      <c r="AP9" s="152">
        <v>1210</v>
      </c>
      <c r="AQ9" s="152">
        <v>0</v>
      </c>
      <c r="AR9" s="152">
        <v>0</v>
      </c>
      <c r="AS9" s="153">
        <f t="shared" si="23"/>
        <v>250350</v>
      </c>
      <c r="AT9" s="91">
        <v>5</v>
      </c>
      <c r="AU9" s="92">
        <f t="shared" si="24"/>
        <v>250350</v>
      </c>
      <c r="AV9" s="154"/>
    </row>
    <row r="10" spans="1:48" ht="13.5" customHeight="1">
      <c r="A10" s="91"/>
      <c r="B10" s="158">
        <f t="shared" si="25"/>
        <v>45266</v>
      </c>
      <c r="C10" s="133" t="s">
        <v>52</v>
      </c>
      <c r="D10" s="134"/>
      <c r="E10" s="135"/>
      <c r="F10" s="136"/>
      <c r="G10" s="137" t="e">
        <f t="shared" si="0"/>
        <v>#DIV/0!</v>
      </c>
      <c r="H10" s="136"/>
      <c r="I10" s="138" t="e">
        <f t="shared" si="1"/>
        <v>#DIV/0!</v>
      </c>
      <c r="J10" s="139">
        <f t="shared" si="2"/>
        <v>0</v>
      </c>
      <c r="K10" s="140" t="str">
        <f t="shared" si="3"/>
        <v/>
      </c>
      <c r="L10" s="141"/>
      <c r="M10" s="142">
        <f t="shared" si="4"/>
        <v>25</v>
      </c>
      <c r="N10" s="143">
        <f t="shared" si="4"/>
        <v>278850</v>
      </c>
      <c r="O10" s="137">
        <f t="shared" si="5"/>
        <v>10140</v>
      </c>
      <c r="P10" s="143">
        <f t="shared" si="6"/>
        <v>31980</v>
      </c>
      <c r="Q10" s="138">
        <f t="shared" si="7"/>
        <v>1162.8800000000001</v>
      </c>
      <c r="R10" s="144">
        <f t="shared" si="8"/>
        <v>310830</v>
      </c>
      <c r="S10" s="140">
        <f t="shared" si="9"/>
        <v>12433.2</v>
      </c>
      <c r="T10" s="145">
        <f t="shared" si="10"/>
        <v>25</v>
      </c>
      <c r="U10" s="143">
        <f t="shared" si="10"/>
        <v>278850</v>
      </c>
      <c r="V10" s="143">
        <f t="shared" si="11"/>
        <v>31980</v>
      </c>
      <c r="W10" s="146">
        <f t="shared" si="12"/>
        <v>310830</v>
      </c>
      <c r="X10" s="143">
        <f t="shared" si="13"/>
        <v>12433.2</v>
      </c>
      <c r="Y10" s="147"/>
      <c r="Z10" s="148">
        <v>42</v>
      </c>
      <c r="AA10" s="136">
        <v>25300</v>
      </c>
      <c r="AB10" s="137">
        <f t="shared" si="14"/>
        <v>602.38095238095241</v>
      </c>
      <c r="AC10" s="136">
        <v>7650</v>
      </c>
      <c r="AD10" s="138">
        <f t="shared" si="15"/>
        <v>182.14285714285714</v>
      </c>
      <c r="AE10" s="149">
        <f t="shared" si="16"/>
        <v>32950</v>
      </c>
      <c r="AF10" s="140">
        <f t="shared" si="17"/>
        <v>784.52380952380952</v>
      </c>
      <c r="AG10" s="156">
        <f t="shared" si="18"/>
        <v>25</v>
      </c>
      <c r="AH10" s="143">
        <f t="shared" si="19"/>
        <v>304150</v>
      </c>
      <c r="AI10" s="143">
        <f t="shared" si="20"/>
        <v>39630</v>
      </c>
      <c r="AJ10" s="150">
        <f t="shared" si="21"/>
        <v>343780</v>
      </c>
      <c r="AK10" s="143">
        <f t="shared" si="22"/>
        <v>22660</v>
      </c>
      <c r="AL10" s="151">
        <v>25</v>
      </c>
      <c r="AM10" s="151">
        <v>278850</v>
      </c>
      <c r="AN10" s="151">
        <v>31980</v>
      </c>
      <c r="AO10" s="152">
        <v>19800</v>
      </c>
      <c r="AP10" s="152">
        <v>2860</v>
      </c>
      <c r="AQ10" s="152">
        <v>0</v>
      </c>
      <c r="AR10" s="152">
        <v>0</v>
      </c>
      <c r="AS10" s="153">
        <f t="shared" si="23"/>
        <v>333490</v>
      </c>
      <c r="AT10" s="91">
        <v>6</v>
      </c>
      <c r="AU10" s="92">
        <f t="shared" si="24"/>
        <v>333490</v>
      </c>
      <c r="AV10" s="182"/>
    </row>
    <row r="11" spans="1:48" ht="13.5" customHeight="1">
      <c r="A11" s="91"/>
      <c r="B11" s="158">
        <f t="shared" si="25"/>
        <v>45267</v>
      </c>
      <c r="C11" s="133" t="s">
        <v>52</v>
      </c>
      <c r="D11" s="134"/>
      <c r="E11" s="135"/>
      <c r="F11" s="136"/>
      <c r="G11" s="137" t="e">
        <f t="shared" si="0"/>
        <v>#DIV/0!</v>
      </c>
      <c r="H11" s="136"/>
      <c r="I11" s="138" t="e">
        <f t="shared" si="1"/>
        <v>#DIV/0!</v>
      </c>
      <c r="J11" s="139">
        <f t="shared" si="2"/>
        <v>0</v>
      </c>
      <c r="K11" s="140" t="str">
        <f t="shared" si="3"/>
        <v/>
      </c>
      <c r="L11" s="141"/>
      <c r="M11" s="142">
        <f t="shared" si="4"/>
        <v>25</v>
      </c>
      <c r="N11" s="143">
        <f t="shared" si="4"/>
        <v>261030</v>
      </c>
      <c r="O11" s="137">
        <f t="shared" si="5"/>
        <v>9492</v>
      </c>
      <c r="P11" s="143">
        <f t="shared" si="6"/>
        <v>44710</v>
      </c>
      <c r="Q11" s="138">
        <f t="shared" si="7"/>
        <v>1625.8</v>
      </c>
      <c r="R11" s="144">
        <f t="shared" si="8"/>
        <v>305740</v>
      </c>
      <c r="S11" s="140">
        <f t="shared" si="9"/>
        <v>12229.6</v>
      </c>
      <c r="T11" s="145">
        <f t="shared" si="10"/>
        <v>25</v>
      </c>
      <c r="U11" s="143">
        <f t="shared" si="10"/>
        <v>261030</v>
      </c>
      <c r="V11" s="143">
        <f t="shared" si="11"/>
        <v>44710</v>
      </c>
      <c r="W11" s="146">
        <f t="shared" si="12"/>
        <v>305740</v>
      </c>
      <c r="X11" s="143">
        <f t="shared" si="13"/>
        <v>12229.6</v>
      </c>
      <c r="Y11" s="147"/>
      <c r="Z11" s="148">
        <v>10</v>
      </c>
      <c r="AA11" s="136">
        <v>6300</v>
      </c>
      <c r="AB11" s="137">
        <f t="shared" si="14"/>
        <v>630</v>
      </c>
      <c r="AC11" s="136">
        <v>2400</v>
      </c>
      <c r="AD11" s="138">
        <f t="shared" si="15"/>
        <v>240</v>
      </c>
      <c r="AE11" s="149">
        <f t="shared" si="16"/>
        <v>8700</v>
      </c>
      <c r="AF11" s="140">
        <f t="shared" si="17"/>
        <v>870</v>
      </c>
      <c r="AG11" s="156">
        <f t="shared" si="18"/>
        <v>25</v>
      </c>
      <c r="AH11" s="143">
        <f t="shared" si="19"/>
        <v>267330</v>
      </c>
      <c r="AI11" s="143">
        <f t="shared" si="20"/>
        <v>47110</v>
      </c>
      <c r="AJ11" s="150">
        <f t="shared" si="21"/>
        <v>314440</v>
      </c>
      <c r="AK11" s="143">
        <f t="shared" si="22"/>
        <v>23100</v>
      </c>
      <c r="AL11" s="151">
        <v>25</v>
      </c>
      <c r="AM11" s="151">
        <v>261030</v>
      </c>
      <c r="AN11" s="151">
        <v>44710</v>
      </c>
      <c r="AO11" s="152">
        <v>23100</v>
      </c>
      <c r="AP11" s="152">
        <v>0</v>
      </c>
      <c r="AQ11" s="152">
        <v>0</v>
      </c>
      <c r="AR11" s="152">
        <v>0</v>
      </c>
      <c r="AS11" s="153">
        <f t="shared" si="23"/>
        <v>328840</v>
      </c>
      <c r="AT11" s="91">
        <v>7</v>
      </c>
      <c r="AU11" s="92">
        <f t="shared" si="24"/>
        <v>328840</v>
      </c>
      <c r="AV11" s="160"/>
    </row>
    <row r="12" spans="1:48" ht="13.5" customHeight="1">
      <c r="A12" s="91"/>
      <c r="B12" s="158">
        <f t="shared" si="25"/>
        <v>45268</v>
      </c>
      <c r="C12" s="133" t="s">
        <v>52</v>
      </c>
      <c r="D12" s="134"/>
      <c r="E12" s="135"/>
      <c r="F12" s="136"/>
      <c r="G12" s="137" t="e">
        <f t="shared" si="0"/>
        <v>#DIV/0!</v>
      </c>
      <c r="H12" s="136"/>
      <c r="I12" s="138" t="e">
        <f t="shared" si="1"/>
        <v>#DIV/0!</v>
      </c>
      <c r="J12" s="139">
        <f t="shared" si="2"/>
        <v>0</v>
      </c>
      <c r="K12" s="140" t="str">
        <f t="shared" si="3"/>
        <v/>
      </c>
      <c r="L12" s="141"/>
      <c r="M12" s="142">
        <f t="shared" si="4"/>
        <v>25</v>
      </c>
      <c r="N12" s="143">
        <f t="shared" si="4"/>
        <v>264990</v>
      </c>
      <c r="O12" s="137">
        <f t="shared" si="5"/>
        <v>9636</v>
      </c>
      <c r="P12" s="143">
        <f t="shared" si="6"/>
        <v>37690</v>
      </c>
      <c r="Q12" s="161">
        <f t="shared" si="7"/>
        <v>1370.52</v>
      </c>
      <c r="R12" s="144">
        <f t="shared" si="8"/>
        <v>302680</v>
      </c>
      <c r="S12" s="140">
        <f t="shared" si="9"/>
        <v>12107.2</v>
      </c>
      <c r="T12" s="145">
        <f t="shared" si="10"/>
        <v>25</v>
      </c>
      <c r="U12" s="143">
        <f t="shared" si="10"/>
        <v>264990</v>
      </c>
      <c r="V12" s="143">
        <f t="shared" si="11"/>
        <v>37690</v>
      </c>
      <c r="W12" s="146">
        <f t="shared" si="12"/>
        <v>302680</v>
      </c>
      <c r="X12" s="143">
        <f t="shared" si="13"/>
        <v>12107.2</v>
      </c>
      <c r="Y12" s="147"/>
      <c r="Z12" s="148">
        <v>46</v>
      </c>
      <c r="AA12" s="136">
        <v>24650</v>
      </c>
      <c r="AB12" s="137">
        <f t="shared" si="14"/>
        <v>535.86956521739125</v>
      </c>
      <c r="AC12" s="136">
        <v>18350</v>
      </c>
      <c r="AD12" s="138">
        <f t="shared" si="15"/>
        <v>398.91304347826087</v>
      </c>
      <c r="AE12" s="149">
        <f t="shared" si="16"/>
        <v>43000</v>
      </c>
      <c r="AF12" s="140">
        <f t="shared" si="17"/>
        <v>934.78260869565213</v>
      </c>
      <c r="AG12" s="156">
        <f t="shared" si="18"/>
        <v>25</v>
      </c>
      <c r="AH12" s="143">
        <f t="shared" si="19"/>
        <v>289640</v>
      </c>
      <c r="AI12" s="143">
        <f t="shared" si="20"/>
        <v>56040</v>
      </c>
      <c r="AJ12" s="150">
        <f t="shared" si="21"/>
        <v>345680</v>
      </c>
      <c r="AK12" s="143">
        <f t="shared" si="22"/>
        <v>23010</v>
      </c>
      <c r="AL12" s="151">
        <v>25</v>
      </c>
      <c r="AM12" s="151">
        <v>264990</v>
      </c>
      <c r="AN12" s="151">
        <v>37690</v>
      </c>
      <c r="AO12" s="152">
        <v>19800</v>
      </c>
      <c r="AP12" s="152">
        <v>3210</v>
      </c>
      <c r="AQ12" s="152">
        <v>0</v>
      </c>
      <c r="AR12" s="152">
        <f>3300+20000</f>
        <v>23300</v>
      </c>
      <c r="AS12" s="153">
        <f t="shared" si="23"/>
        <v>325690</v>
      </c>
      <c r="AT12" s="91">
        <v>8</v>
      </c>
      <c r="AU12" s="92">
        <f t="shared" si="24"/>
        <v>348990</v>
      </c>
      <c r="AV12" s="182" t="s">
        <v>84</v>
      </c>
    </row>
    <row r="13" spans="1:48" ht="13.5" customHeight="1">
      <c r="A13" s="91"/>
      <c r="B13" s="180">
        <f t="shared" si="25"/>
        <v>45269</v>
      </c>
      <c r="C13" s="133" t="s">
        <v>85</v>
      </c>
      <c r="D13" s="134"/>
      <c r="E13" s="135">
        <v>0</v>
      </c>
      <c r="F13" s="136">
        <v>0</v>
      </c>
      <c r="G13" s="137" t="e">
        <f t="shared" si="0"/>
        <v>#DIV/0!</v>
      </c>
      <c r="H13" s="136">
        <v>0</v>
      </c>
      <c r="I13" s="138" t="e">
        <f t="shared" si="1"/>
        <v>#DIV/0!</v>
      </c>
      <c r="J13" s="139">
        <f t="shared" si="2"/>
        <v>0</v>
      </c>
      <c r="K13" s="140" t="e">
        <f t="shared" si="3"/>
        <v>#DIV/0!</v>
      </c>
      <c r="L13" s="141"/>
      <c r="M13" s="142">
        <f t="shared" si="4"/>
        <v>38</v>
      </c>
      <c r="N13" s="143">
        <f t="shared" si="4"/>
        <v>415030</v>
      </c>
      <c r="O13" s="137">
        <f t="shared" si="5"/>
        <v>9928.9473684210534</v>
      </c>
      <c r="P13" s="143">
        <f t="shared" si="6"/>
        <v>43200</v>
      </c>
      <c r="Q13" s="138">
        <f t="shared" si="7"/>
        <v>1033.4736842105262</v>
      </c>
      <c r="R13" s="144">
        <f t="shared" si="8"/>
        <v>458230</v>
      </c>
      <c r="S13" s="140">
        <f t="shared" si="9"/>
        <v>12058.684210526315</v>
      </c>
      <c r="T13" s="145">
        <f t="shared" si="10"/>
        <v>38</v>
      </c>
      <c r="U13" s="143">
        <f t="shared" si="10"/>
        <v>415030</v>
      </c>
      <c r="V13" s="143">
        <f t="shared" si="11"/>
        <v>43200</v>
      </c>
      <c r="W13" s="146">
        <f t="shared" si="12"/>
        <v>458230</v>
      </c>
      <c r="X13" s="143">
        <f t="shared" si="13"/>
        <v>12058.684210526315</v>
      </c>
      <c r="Y13" s="147"/>
      <c r="Z13" s="148">
        <v>6</v>
      </c>
      <c r="AA13" s="136">
        <v>3000</v>
      </c>
      <c r="AB13" s="137">
        <f t="shared" si="14"/>
        <v>500</v>
      </c>
      <c r="AC13" s="136">
        <v>2100</v>
      </c>
      <c r="AD13" s="138">
        <f t="shared" si="15"/>
        <v>350</v>
      </c>
      <c r="AE13" s="149">
        <f t="shared" si="16"/>
        <v>5100</v>
      </c>
      <c r="AF13" s="140">
        <f t="shared" si="17"/>
        <v>850</v>
      </c>
      <c r="AG13" s="156">
        <f t="shared" si="18"/>
        <v>38</v>
      </c>
      <c r="AH13" s="143">
        <f t="shared" si="19"/>
        <v>418030</v>
      </c>
      <c r="AI13" s="143">
        <f t="shared" si="20"/>
        <v>45300</v>
      </c>
      <c r="AJ13" s="150">
        <f t="shared" si="21"/>
        <v>463330</v>
      </c>
      <c r="AK13" s="143">
        <f t="shared" si="22"/>
        <v>22000</v>
      </c>
      <c r="AL13" s="151">
        <v>38</v>
      </c>
      <c r="AM13" s="151">
        <v>415030</v>
      </c>
      <c r="AN13" s="151">
        <v>43200</v>
      </c>
      <c r="AO13" s="152">
        <v>22000</v>
      </c>
      <c r="AP13" s="152">
        <v>0</v>
      </c>
      <c r="AQ13" s="152">
        <v>0</v>
      </c>
      <c r="AR13" s="152">
        <v>0</v>
      </c>
      <c r="AS13" s="153">
        <f t="shared" si="23"/>
        <v>480230</v>
      </c>
      <c r="AT13" s="91">
        <v>9</v>
      </c>
      <c r="AU13" s="92">
        <f t="shared" si="24"/>
        <v>480230</v>
      </c>
      <c r="AV13" s="91"/>
    </row>
    <row r="14" spans="1:48" ht="13.5" customHeight="1">
      <c r="A14" s="91"/>
      <c r="B14" s="157">
        <f t="shared" si="25"/>
        <v>45270</v>
      </c>
      <c r="C14" s="133"/>
      <c r="D14" s="134"/>
      <c r="E14" s="135">
        <v>29</v>
      </c>
      <c r="F14" s="136">
        <v>88550</v>
      </c>
      <c r="G14" s="137">
        <f t="shared" si="0"/>
        <v>2775.8620689655172</v>
      </c>
      <c r="H14" s="136">
        <v>12300</v>
      </c>
      <c r="I14" s="138">
        <f t="shared" si="1"/>
        <v>385.55172413793105</v>
      </c>
      <c r="J14" s="139">
        <f t="shared" si="2"/>
        <v>100850</v>
      </c>
      <c r="K14" s="140">
        <f t="shared" si="3"/>
        <v>3477.5862068965516</v>
      </c>
      <c r="L14" s="141"/>
      <c r="M14" s="142">
        <f t="shared" si="4"/>
        <v>36</v>
      </c>
      <c r="N14" s="143">
        <f t="shared" si="4"/>
        <v>366520</v>
      </c>
      <c r="O14" s="137">
        <f t="shared" si="5"/>
        <v>9255.5555555555547</v>
      </c>
      <c r="P14" s="143">
        <f t="shared" si="6"/>
        <v>50050</v>
      </c>
      <c r="Q14" s="138">
        <f t="shared" si="7"/>
        <v>1263.8888888888889</v>
      </c>
      <c r="R14" s="144">
        <f t="shared" si="8"/>
        <v>416570</v>
      </c>
      <c r="S14" s="140">
        <f t="shared" si="9"/>
        <v>11571.388888888889</v>
      </c>
      <c r="T14" s="145">
        <f t="shared" si="10"/>
        <v>65</v>
      </c>
      <c r="U14" s="143">
        <f t="shared" si="10"/>
        <v>455070</v>
      </c>
      <c r="V14" s="143">
        <f t="shared" si="11"/>
        <v>62350</v>
      </c>
      <c r="W14" s="146">
        <f t="shared" si="12"/>
        <v>517420</v>
      </c>
      <c r="X14" s="143">
        <f t="shared" si="13"/>
        <v>7960.3076923076924</v>
      </c>
      <c r="Y14" s="147"/>
      <c r="Z14" s="148">
        <v>67</v>
      </c>
      <c r="AA14" s="136">
        <v>48150</v>
      </c>
      <c r="AB14" s="137">
        <f t="shared" si="14"/>
        <v>718.6567164179105</v>
      </c>
      <c r="AC14" s="136">
        <v>19700</v>
      </c>
      <c r="AD14" s="138">
        <f t="shared" si="15"/>
        <v>294.02985074626866</v>
      </c>
      <c r="AE14" s="149">
        <f t="shared" si="16"/>
        <v>67850</v>
      </c>
      <c r="AF14" s="140">
        <f t="shared" si="17"/>
        <v>1012.6865671641791</v>
      </c>
      <c r="AG14" s="156">
        <f t="shared" si="18"/>
        <v>65</v>
      </c>
      <c r="AH14" s="143">
        <f t="shared" si="19"/>
        <v>503220</v>
      </c>
      <c r="AI14" s="143">
        <f t="shared" si="20"/>
        <v>82050</v>
      </c>
      <c r="AJ14" s="159">
        <f t="shared" si="21"/>
        <v>585270</v>
      </c>
      <c r="AK14" s="143">
        <f t="shared" si="22"/>
        <v>36580</v>
      </c>
      <c r="AL14" s="151">
        <v>65</v>
      </c>
      <c r="AM14" s="151">
        <v>455070</v>
      </c>
      <c r="AN14" s="151">
        <v>62350</v>
      </c>
      <c r="AO14" s="152">
        <v>30250</v>
      </c>
      <c r="AP14" s="152">
        <v>6330</v>
      </c>
      <c r="AQ14" s="152">
        <v>0</v>
      </c>
      <c r="AR14" s="152">
        <v>3300</v>
      </c>
      <c r="AS14" s="153">
        <f t="shared" si="23"/>
        <v>554000</v>
      </c>
      <c r="AT14" s="91">
        <v>10</v>
      </c>
      <c r="AU14" s="92">
        <f t="shared" si="24"/>
        <v>557300</v>
      </c>
      <c r="AV14" s="154"/>
    </row>
    <row r="15" spans="1:48" ht="13.5" customHeight="1">
      <c r="A15" s="91"/>
      <c r="B15" s="158">
        <f t="shared" si="25"/>
        <v>45271</v>
      </c>
      <c r="C15" s="133" t="s">
        <v>52</v>
      </c>
      <c r="D15" s="134"/>
      <c r="E15" s="135"/>
      <c r="F15" s="136"/>
      <c r="G15" s="137" t="e">
        <f t="shared" si="0"/>
        <v>#DIV/0!</v>
      </c>
      <c r="H15" s="136"/>
      <c r="I15" s="138" t="e">
        <f t="shared" si="1"/>
        <v>#DIV/0!</v>
      </c>
      <c r="J15" s="139">
        <f t="shared" si="2"/>
        <v>0</v>
      </c>
      <c r="K15" s="140" t="str">
        <f t="shared" si="3"/>
        <v/>
      </c>
      <c r="L15" s="141"/>
      <c r="M15" s="142">
        <f t="shared" si="4"/>
        <v>25</v>
      </c>
      <c r="N15" s="143">
        <f t="shared" si="4"/>
        <v>242880</v>
      </c>
      <c r="O15" s="137">
        <f t="shared" si="5"/>
        <v>8832</v>
      </c>
      <c r="P15" s="143">
        <f t="shared" si="6"/>
        <v>32060</v>
      </c>
      <c r="Q15" s="138">
        <f t="shared" si="7"/>
        <v>1165.8</v>
      </c>
      <c r="R15" s="144">
        <f t="shared" si="8"/>
        <v>274940</v>
      </c>
      <c r="S15" s="140">
        <f t="shared" si="9"/>
        <v>10997.6</v>
      </c>
      <c r="T15" s="145">
        <f t="shared" si="10"/>
        <v>25</v>
      </c>
      <c r="U15" s="143">
        <f t="shared" si="10"/>
        <v>242880</v>
      </c>
      <c r="V15" s="143">
        <f t="shared" si="11"/>
        <v>32060</v>
      </c>
      <c r="W15" s="146">
        <f t="shared" si="12"/>
        <v>274940</v>
      </c>
      <c r="X15" s="143">
        <f t="shared" si="13"/>
        <v>10997.6</v>
      </c>
      <c r="Y15" s="147"/>
      <c r="Z15" s="148">
        <v>25</v>
      </c>
      <c r="AA15" s="136">
        <v>53000</v>
      </c>
      <c r="AB15" s="137">
        <f t="shared" si="14"/>
        <v>2120</v>
      </c>
      <c r="AC15" s="136">
        <v>35550</v>
      </c>
      <c r="AD15" s="138">
        <f t="shared" si="15"/>
        <v>1422</v>
      </c>
      <c r="AE15" s="149">
        <f t="shared" si="16"/>
        <v>88550</v>
      </c>
      <c r="AF15" s="140">
        <f t="shared" si="17"/>
        <v>3542</v>
      </c>
      <c r="AG15" s="156">
        <f t="shared" si="18"/>
        <v>25</v>
      </c>
      <c r="AH15" s="143">
        <f t="shared" si="19"/>
        <v>295880</v>
      </c>
      <c r="AI15" s="143">
        <f t="shared" si="20"/>
        <v>67610</v>
      </c>
      <c r="AJ15" s="150">
        <f t="shared" si="21"/>
        <v>363490</v>
      </c>
      <c r="AK15" s="143">
        <f t="shared" si="22"/>
        <v>75500</v>
      </c>
      <c r="AL15" s="151">
        <v>25</v>
      </c>
      <c r="AM15" s="151">
        <v>242880</v>
      </c>
      <c r="AN15" s="151">
        <v>32060</v>
      </c>
      <c r="AO15" s="152">
        <v>16500</v>
      </c>
      <c r="AP15" s="152">
        <v>59000</v>
      </c>
      <c r="AQ15" s="152">
        <v>0</v>
      </c>
      <c r="AR15" s="152">
        <v>0</v>
      </c>
      <c r="AS15" s="153">
        <f t="shared" si="23"/>
        <v>350440</v>
      </c>
      <c r="AT15" s="91">
        <v>11</v>
      </c>
      <c r="AU15" s="92">
        <f t="shared" si="24"/>
        <v>350440</v>
      </c>
      <c r="AV15" s="154"/>
    </row>
    <row r="16" spans="1:48" ht="13.5" customHeight="1">
      <c r="A16" s="91"/>
      <c r="B16" s="158">
        <f t="shared" si="25"/>
        <v>45272</v>
      </c>
      <c r="C16" s="133" t="s">
        <v>52</v>
      </c>
      <c r="D16" s="134"/>
      <c r="E16" s="135"/>
      <c r="F16" s="136"/>
      <c r="G16" s="137" t="e">
        <f t="shared" si="0"/>
        <v>#DIV/0!</v>
      </c>
      <c r="H16" s="136"/>
      <c r="I16" s="138" t="e">
        <f t="shared" si="1"/>
        <v>#DIV/0!</v>
      </c>
      <c r="J16" s="139">
        <f t="shared" si="2"/>
        <v>0</v>
      </c>
      <c r="K16" s="140" t="str">
        <f t="shared" si="3"/>
        <v/>
      </c>
      <c r="L16" s="141"/>
      <c r="M16" s="142">
        <f t="shared" si="4"/>
        <v>38</v>
      </c>
      <c r="N16" s="143">
        <f t="shared" si="4"/>
        <v>416240</v>
      </c>
      <c r="O16" s="137">
        <f t="shared" si="5"/>
        <v>9957.894736842105</v>
      </c>
      <c r="P16" s="143">
        <f t="shared" si="6"/>
        <v>46920</v>
      </c>
      <c r="Q16" s="138">
        <f t="shared" si="7"/>
        <v>1122.4736842105262</v>
      </c>
      <c r="R16" s="144">
        <f t="shared" si="8"/>
        <v>463160</v>
      </c>
      <c r="S16" s="140">
        <f t="shared" si="9"/>
        <v>12188.421052631578</v>
      </c>
      <c r="T16" s="145">
        <f t="shared" si="10"/>
        <v>38</v>
      </c>
      <c r="U16" s="143">
        <f t="shared" si="10"/>
        <v>416240</v>
      </c>
      <c r="V16" s="143">
        <f t="shared" si="11"/>
        <v>46920</v>
      </c>
      <c r="W16" s="146">
        <f t="shared" si="12"/>
        <v>463160</v>
      </c>
      <c r="X16" s="143">
        <f t="shared" si="13"/>
        <v>12188.421052631578</v>
      </c>
      <c r="Y16" s="147"/>
      <c r="Z16" s="148">
        <v>38</v>
      </c>
      <c r="AA16" s="136">
        <v>11450</v>
      </c>
      <c r="AB16" s="137">
        <f t="shared" si="14"/>
        <v>301.31578947368422</v>
      </c>
      <c r="AC16" s="136">
        <v>20550</v>
      </c>
      <c r="AD16" s="138">
        <f t="shared" si="15"/>
        <v>540.78947368421052</v>
      </c>
      <c r="AE16" s="149">
        <f t="shared" si="16"/>
        <v>32000</v>
      </c>
      <c r="AF16" s="140">
        <f t="shared" si="17"/>
        <v>842.10526315789468</v>
      </c>
      <c r="AG16" s="156">
        <f t="shared" si="18"/>
        <v>38</v>
      </c>
      <c r="AH16" s="143">
        <f t="shared" si="19"/>
        <v>427690</v>
      </c>
      <c r="AI16" s="143">
        <f t="shared" si="20"/>
        <v>67470</v>
      </c>
      <c r="AJ16" s="150">
        <f t="shared" si="21"/>
        <v>495160</v>
      </c>
      <c r="AK16" s="143">
        <f t="shared" si="22"/>
        <v>8160</v>
      </c>
      <c r="AL16" s="151">
        <v>38</v>
      </c>
      <c r="AM16" s="151">
        <v>416240</v>
      </c>
      <c r="AN16" s="151">
        <v>46920</v>
      </c>
      <c r="AO16" s="152">
        <v>6600</v>
      </c>
      <c r="AP16" s="152">
        <v>1560</v>
      </c>
      <c r="AQ16" s="152">
        <v>0</v>
      </c>
      <c r="AR16" s="152">
        <v>0</v>
      </c>
      <c r="AS16" s="153">
        <f t="shared" si="23"/>
        <v>471320</v>
      </c>
      <c r="AT16" s="91">
        <v>12</v>
      </c>
      <c r="AU16" s="92">
        <f t="shared" si="24"/>
        <v>471320</v>
      </c>
      <c r="AV16" s="154"/>
    </row>
    <row r="17" spans="1:48" ht="13.5" customHeight="1">
      <c r="A17" s="91"/>
      <c r="B17" s="158">
        <f t="shared" si="25"/>
        <v>45273</v>
      </c>
      <c r="C17" s="133" t="s">
        <v>86</v>
      </c>
      <c r="D17" s="134"/>
      <c r="E17" s="135"/>
      <c r="F17" s="136"/>
      <c r="G17" s="137" t="e">
        <f t="shared" si="0"/>
        <v>#DIV/0!</v>
      </c>
      <c r="H17" s="136"/>
      <c r="I17" s="138" t="e">
        <f t="shared" si="1"/>
        <v>#DIV/0!</v>
      </c>
      <c r="J17" s="139">
        <f t="shared" si="2"/>
        <v>0</v>
      </c>
      <c r="K17" s="140" t="str">
        <f t="shared" si="3"/>
        <v/>
      </c>
      <c r="L17" s="141"/>
      <c r="M17" s="142">
        <f t="shared" si="4"/>
        <v>0</v>
      </c>
      <c r="N17" s="143">
        <f t="shared" si="4"/>
        <v>0</v>
      </c>
      <c r="O17" s="137" t="e">
        <f t="shared" si="5"/>
        <v>#DIV/0!</v>
      </c>
      <c r="P17" s="143">
        <f t="shared" si="6"/>
        <v>0</v>
      </c>
      <c r="Q17" s="138" t="e">
        <f t="shared" si="7"/>
        <v>#DIV/0!</v>
      </c>
      <c r="R17" s="144">
        <f t="shared" si="8"/>
        <v>0</v>
      </c>
      <c r="S17" s="140" t="e">
        <f t="shared" si="9"/>
        <v>#DIV/0!</v>
      </c>
      <c r="T17" s="145">
        <f t="shared" si="10"/>
        <v>0</v>
      </c>
      <c r="U17" s="143">
        <f t="shared" si="10"/>
        <v>0</v>
      </c>
      <c r="V17" s="143">
        <f t="shared" si="11"/>
        <v>0</v>
      </c>
      <c r="W17" s="146">
        <f t="shared" si="12"/>
        <v>0</v>
      </c>
      <c r="X17" s="143" t="e">
        <f t="shared" si="13"/>
        <v>#DIV/0!</v>
      </c>
      <c r="Y17" s="147"/>
      <c r="Z17" s="148">
        <v>0</v>
      </c>
      <c r="AA17" s="136">
        <v>0</v>
      </c>
      <c r="AB17" s="137" t="e">
        <f t="shared" si="14"/>
        <v>#DIV/0!</v>
      </c>
      <c r="AC17" s="136">
        <v>0</v>
      </c>
      <c r="AD17" s="138" t="e">
        <f t="shared" si="15"/>
        <v>#DIV/0!</v>
      </c>
      <c r="AE17" s="149">
        <f t="shared" si="16"/>
        <v>0</v>
      </c>
      <c r="AF17" s="140" t="e">
        <f t="shared" si="17"/>
        <v>#DIV/0!</v>
      </c>
      <c r="AG17" s="156">
        <f t="shared" si="18"/>
        <v>0</v>
      </c>
      <c r="AH17" s="143">
        <f t="shared" si="19"/>
        <v>0</v>
      </c>
      <c r="AI17" s="143">
        <f t="shared" si="20"/>
        <v>0</v>
      </c>
      <c r="AJ17" s="150">
        <f t="shared" si="21"/>
        <v>0</v>
      </c>
      <c r="AK17" s="143">
        <f t="shared" si="22"/>
        <v>0</v>
      </c>
      <c r="AL17" s="151">
        <v>0</v>
      </c>
      <c r="AM17" s="151">
        <v>0</v>
      </c>
      <c r="AN17" s="151">
        <v>0</v>
      </c>
      <c r="AO17" s="152">
        <v>0</v>
      </c>
      <c r="AP17" s="152">
        <v>0</v>
      </c>
      <c r="AQ17" s="152">
        <v>0</v>
      </c>
      <c r="AR17" s="152">
        <v>0</v>
      </c>
      <c r="AS17" s="153">
        <f t="shared" si="23"/>
        <v>0</v>
      </c>
      <c r="AT17" s="91">
        <v>13</v>
      </c>
      <c r="AU17" s="92">
        <f t="shared" si="24"/>
        <v>0</v>
      </c>
      <c r="AV17" s="154"/>
    </row>
    <row r="18" spans="1:48" ht="13.5" customHeight="1">
      <c r="A18" s="91"/>
      <c r="B18" s="158">
        <f t="shared" si="25"/>
        <v>45274</v>
      </c>
      <c r="C18" s="133" t="s">
        <v>86</v>
      </c>
      <c r="D18" s="134"/>
      <c r="E18" s="135"/>
      <c r="F18" s="136"/>
      <c r="G18" s="137" t="e">
        <f t="shared" si="0"/>
        <v>#DIV/0!</v>
      </c>
      <c r="H18" s="136"/>
      <c r="I18" s="138" t="e">
        <f t="shared" si="1"/>
        <v>#DIV/0!</v>
      </c>
      <c r="J18" s="139">
        <f t="shared" si="2"/>
        <v>0</v>
      </c>
      <c r="K18" s="140" t="str">
        <f t="shared" si="3"/>
        <v/>
      </c>
      <c r="L18" s="141"/>
      <c r="M18" s="142">
        <f t="shared" si="4"/>
        <v>0</v>
      </c>
      <c r="N18" s="143">
        <f t="shared" si="4"/>
        <v>0</v>
      </c>
      <c r="O18" s="137" t="e">
        <f t="shared" si="5"/>
        <v>#DIV/0!</v>
      </c>
      <c r="P18" s="143">
        <f t="shared" si="6"/>
        <v>0</v>
      </c>
      <c r="Q18" s="138" t="e">
        <f t="shared" si="7"/>
        <v>#DIV/0!</v>
      </c>
      <c r="R18" s="144">
        <f t="shared" si="8"/>
        <v>0</v>
      </c>
      <c r="S18" s="140" t="e">
        <f t="shared" si="9"/>
        <v>#DIV/0!</v>
      </c>
      <c r="T18" s="145">
        <f t="shared" si="10"/>
        <v>0</v>
      </c>
      <c r="U18" s="143">
        <f t="shared" si="10"/>
        <v>0</v>
      </c>
      <c r="V18" s="143">
        <f t="shared" si="11"/>
        <v>0</v>
      </c>
      <c r="W18" s="146">
        <f t="shared" si="12"/>
        <v>0</v>
      </c>
      <c r="X18" s="143" t="e">
        <f t="shared" si="13"/>
        <v>#DIV/0!</v>
      </c>
      <c r="Y18" s="147"/>
      <c r="Z18" s="148">
        <v>0</v>
      </c>
      <c r="AA18" s="136">
        <v>0</v>
      </c>
      <c r="AB18" s="137" t="e">
        <f t="shared" si="14"/>
        <v>#DIV/0!</v>
      </c>
      <c r="AC18" s="136">
        <v>0</v>
      </c>
      <c r="AD18" s="138" t="e">
        <f t="shared" si="15"/>
        <v>#DIV/0!</v>
      </c>
      <c r="AE18" s="149">
        <f t="shared" si="16"/>
        <v>0</v>
      </c>
      <c r="AF18" s="140" t="e">
        <f t="shared" si="17"/>
        <v>#DIV/0!</v>
      </c>
      <c r="AG18" s="156">
        <f t="shared" si="18"/>
        <v>0</v>
      </c>
      <c r="AH18" s="143">
        <f t="shared" si="19"/>
        <v>0</v>
      </c>
      <c r="AI18" s="143">
        <f t="shared" si="20"/>
        <v>0</v>
      </c>
      <c r="AJ18" s="150">
        <f t="shared" si="21"/>
        <v>0</v>
      </c>
      <c r="AK18" s="143">
        <f t="shared" si="22"/>
        <v>0</v>
      </c>
      <c r="AL18" s="151">
        <v>0</v>
      </c>
      <c r="AM18" s="151">
        <v>0</v>
      </c>
      <c r="AN18" s="151">
        <v>0</v>
      </c>
      <c r="AO18" s="152">
        <v>0</v>
      </c>
      <c r="AP18" s="152">
        <v>0</v>
      </c>
      <c r="AQ18" s="152">
        <v>0</v>
      </c>
      <c r="AR18" s="152">
        <v>0</v>
      </c>
      <c r="AS18" s="153">
        <f t="shared" si="23"/>
        <v>0</v>
      </c>
      <c r="AT18" s="91">
        <v>14</v>
      </c>
      <c r="AU18" s="92">
        <f t="shared" si="24"/>
        <v>0</v>
      </c>
      <c r="AV18" s="154"/>
    </row>
    <row r="19" spans="1:48" ht="13.5" customHeight="1">
      <c r="A19" s="91"/>
      <c r="B19" s="158">
        <f t="shared" si="25"/>
        <v>45275</v>
      </c>
      <c r="C19" s="133" t="s">
        <v>52</v>
      </c>
      <c r="D19" s="134"/>
      <c r="E19" s="135"/>
      <c r="F19" s="136"/>
      <c r="G19" s="137" t="e">
        <f t="shared" si="0"/>
        <v>#DIV/0!</v>
      </c>
      <c r="H19" s="136"/>
      <c r="I19" s="138" t="e">
        <f t="shared" si="1"/>
        <v>#DIV/0!</v>
      </c>
      <c r="J19" s="139">
        <f t="shared" si="2"/>
        <v>0</v>
      </c>
      <c r="K19" s="140" t="str">
        <f t="shared" si="3"/>
        <v/>
      </c>
      <c r="L19" s="141"/>
      <c r="M19" s="142">
        <f t="shared" si="4"/>
        <v>34</v>
      </c>
      <c r="N19" s="143">
        <f t="shared" si="4"/>
        <v>353320</v>
      </c>
      <c r="O19" s="137">
        <f t="shared" si="5"/>
        <v>9447.0588235294126</v>
      </c>
      <c r="P19" s="143">
        <f t="shared" si="6"/>
        <v>60200</v>
      </c>
      <c r="Q19" s="161">
        <f t="shared" si="7"/>
        <v>1609.6176470588234</v>
      </c>
      <c r="R19" s="144">
        <f t="shared" si="8"/>
        <v>413520</v>
      </c>
      <c r="S19" s="140">
        <f t="shared" si="9"/>
        <v>12162.35294117647</v>
      </c>
      <c r="T19" s="145">
        <f t="shared" si="10"/>
        <v>34</v>
      </c>
      <c r="U19" s="143">
        <f t="shared" si="10"/>
        <v>353320</v>
      </c>
      <c r="V19" s="143">
        <f t="shared" si="11"/>
        <v>60200</v>
      </c>
      <c r="W19" s="146">
        <f t="shared" si="12"/>
        <v>413520</v>
      </c>
      <c r="X19" s="143">
        <f t="shared" si="13"/>
        <v>12162.35294117647</v>
      </c>
      <c r="Y19" s="147"/>
      <c r="Z19" s="148">
        <v>72</v>
      </c>
      <c r="AA19" s="136">
        <v>45550</v>
      </c>
      <c r="AB19" s="137">
        <f t="shared" si="14"/>
        <v>632.63888888888891</v>
      </c>
      <c r="AC19" s="136">
        <v>26800</v>
      </c>
      <c r="AD19" s="138">
        <f t="shared" si="15"/>
        <v>372.22222222222223</v>
      </c>
      <c r="AE19" s="149">
        <f t="shared" si="16"/>
        <v>72350</v>
      </c>
      <c r="AF19" s="140">
        <f t="shared" si="17"/>
        <v>1004.8611111111111</v>
      </c>
      <c r="AG19" s="156">
        <f t="shared" si="18"/>
        <v>34</v>
      </c>
      <c r="AH19" s="143">
        <f t="shared" si="19"/>
        <v>398870</v>
      </c>
      <c r="AI19" s="143">
        <f t="shared" si="20"/>
        <v>87000</v>
      </c>
      <c r="AJ19" s="150">
        <f t="shared" si="21"/>
        <v>485870</v>
      </c>
      <c r="AK19" s="143">
        <f t="shared" si="22"/>
        <v>22550</v>
      </c>
      <c r="AL19" s="151">
        <v>34</v>
      </c>
      <c r="AM19" s="151">
        <v>353320</v>
      </c>
      <c r="AN19" s="151">
        <v>60200</v>
      </c>
      <c r="AO19" s="152">
        <v>20900</v>
      </c>
      <c r="AP19" s="152">
        <v>1650</v>
      </c>
      <c r="AQ19" s="152">
        <v>0</v>
      </c>
      <c r="AR19" s="152">
        <v>0</v>
      </c>
      <c r="AS19" s="153">
        <f t="shared" si="23"/>
        <v>436070</v>
      </c>
      <c r="AT19" s="91">
        <v>15</v>
      </c>
      <c r="AU19" s="92">
        <f t="shared" si="24"/>
        <v>436070</v>
      </c>
      <c r="AV19" s="91"/>
    </row>
    <row r="20" spans="1:48" ht="13.5" customHeight="1">
      <c r="A20" s="91"/>
      <c r="B20" s="180">
        <f t="shared" si="25"/>
        <v>45276</v>
      </c>
      <c r="C20" s="133"/>
      <c r="D20" s="134"/>
      <c r="E20" s="135">
        <v>28</v>
      </c>
      <c r="F20" s="136">
        <v>97680</v>
      </c>
      <c r="G20" s="137">
        <f t="shared" si="0"/>
        <v>3171.4285714285716</v>
      </c>
      <c r="H20" s="136">
        <v>17260</v>
      </c>
      <c r="I20" s="137">
        <f t="shared" si="1"/>
        <v>560.35714285714289</v>
      </c>
      <c r="J20" s="139">
        <f t="shared" si="2"/>
        <v>114940</v>
      </c>
      <c r="K20" s="140">
        <f t="shared" si="3"/>
        <v>4105</v>
      </c>
      <c r="L20" s="141"/>
      <c r="M20" s="142">
        <f t="shared" si="4"/>
        <v>38</v>
      </c>
      <c r="N20" s="143">
        <f t="shared" si="4"/>
        <v>462440</v>
      </c>
      <c r="O20" s="137">
        <f t="shared" si="5"/>
        <v>11063.157894736842</v>
      </c>
      <c r="P20" s="143">
        <f t="shared" si="6"/>
        <v>77190</v>
      </c>
      <c r="Q20" s="161">
        <f t="shared" si="7"/>
        <v>1846.6315789473683</v>
      </c>
      <c r="R20" s="144">
        <f t="shared" si="8"/>
        <v>539630</v>
      </c>
      <c r="S20" s="140">
        <f t="shared" si="9"/>
        <v>14200.78947368421</v>
      </c>
      <c r="T20" s="145">
        <f t="shared" si="10"/>
        <v>66</v>
      </c>
      <c r="U20" s="143">
        <f t="shared" si="10"/>
        <v>560120</v>
      </c>
      <c r="V20" s="143">
        <f t="shared" si="11"/>
        <v>94450</v>
      </c>
      <c r="W20" s="146">
        <f t="shared" si="12"/>
        <v>654570</v>
      </c>
      <c r="X20" s="143">
        <f t="shared" si="13"/>
        <v>9917.7272727272721</v>
      </c>
      <c r="Y20" s="147"/>
      <c r="Z20" s="148">
        <v>63</v>
      </c>
      <c r="AA20" s="136">
        <v>39350</v>
      </c>
      <c r="AB20" s="137">
        <f t="shared" si="14"/>
        <v>624.60317460317458</v>
      </c>
      <c r="AC20" s="136">
        <v>14150</v>
      </c>
      <c r="AD20" s="138">
        <f t="shared" si="15"/>
        <v>224.60317460317461</v>
      </c>
      <c r="AE20" s="149">
        <f t="shared" si="16"/>
        <v>53500</v>
      </c>
      <c r="AF20" s="140">
        <f t="shared" si="17"/>
        <v>849.20634920634916</v>
      </c>
      <c r="AG20" s="156">
        <f t="shared" si="18"/>
        <v>66</v>
      </c>
      <c r="AH20" s="151">
        <f t="shared" si="19"/>
        <v>599470</v>
      </c>
      <c r="AI20" s="151">
        <f t="shared" si="20"/>
        <v>108600</v>
      </c>
      <c r="AJ20" s="150">
        <f t="shared" si="21"/>
        <v>708070</v>
      </c>
      <c r="AK20" s="143">
        <f t="shared" si="22"/>
        <v>12100</v>
      </c>
      <c r="AL20" s="151">
        <v>66</v>
      </c>
      <c r="AM20" s="151">
        <v>560120</v>
      </c>
      <c r="AN20" s="151">
        <v>94450</v>
      </c>
      <c r="AO20" s="152">
        <v>12100</v>
      </c>
      <c r="AP20" s="152">
        <v>0</v>
      </c>
      <c r="AQ20" s="152">
        <v>0</v>
      </c>
      <c r="AR20" s="152">
        <v>20000</v>
      </c>
      <c r="AS20" s="153">
        <f t="shared" si="23"/>
        <v>666670</v>
      </c>
      <c r="AT20" s="91">
        <v>16</v>
      </c>
      <c r="AU20" s="92">
        <f t="shared" si="24"/>
        <v>686670</v>
      </c>
      <c r="AV20" s="154"/>
    </row>
    <row r="21" spans="1:48" ht="15.75" customHeight="1">
      <c r="A21" s="91"/>
      <c r="B21" s="157">
        <f t="shared" si="25"/>
        <v>45277</v>
      </c>
      <c r="C21" s="133" t="s">
        <v>87</v>
      </c>
      <c r="D21" s="134"/>
      <c r="E21" s="135"/>
      <c r="F21" s="136"/>
      <c r="G21" s="137" t="e">
        <f t="shared" si="0"/>
        <v>#DIV/0!</v>
      </c>
      <c r="H21" s="136"/>
      <c r="I21" s="137" t="e">
        <f t="shared" si="1"/>
        <v>#DIV/0!</v>
      </c>
      <c r="J21" s="139">
        <f t="shared" si="2"/>
        <v>0</v>
      </c>
      <c r="K21" s="140" t="str">
        <f t="shared" si="3"/>
        <v/>
      </c>
      <c r="L21" s="141"/>
      <c r="M21" s="142">
        <f t="shared" si="4"/>
        <v>0</v>
      </c>
      <c r="N21" s="143">
        <f t="shared" si="4"/>
        <v>0</v>
      </c>
      <c r="O21" s="137" t="e">
        <f t="shared" si="5"/>
        <v>#DIV/0!</v>
      </c>
      <c r="P21" s="143">
        <f t="shared" si="6"/>
        <v>0</v>
      </c>
      <c r="Q21" s="161" t="e">
        <f t="shared" si="7"/>
        <v>#DIV/0!</v>
      </c>
      <c r="R21" s="144">
        <f t="shared" si="8"/>
        <v>0</v>
      </c>
      <c r="S21" s="140" t="e">
        <f t="shared" si="9"/>
        <v>#DIV/0!</v>
      </c>
      <c r="T21" s="145">
        <f t="shared" si="10"/>
        <v>0</v>
      </c>
      <c r="U21" s="143">
        <f t="shared" si="10"/>
        <v>0</v>
      </c>
      <c r="V21" s="143">
        <f t="shared" si="11"/>
        <v>0</v>
      </c>
      <c r="W21" s="146">
        <f t="shared" si="12"/>
        <v>0</v>
      </c>
      <c r="X21" s="143" t="e">
        <f t="shared" si="13"/>
        <v>#DIV/0!</v>
      </c>
      <c r="Y21" s="147"/>
      <c r="Z21" s="148">
        <v>0</v>
      </c>
      <c r="AA21" s="136">
        <v>0</v>
      </c>
      <c r="AB21" s="137" t="e">
        <f t="shared" si="14"/>
        <v>#DIV/0!</v>
      </c>
      <c r="AC21" s="136">
        <v>0</v>
      </c>
      <c r="AD21" s="138" t="e">
        <f t="shared" si="15"/>
        <v>#DIV/0!</v>
      </c>
      <c r="AE21" s="149">
        <f t="shared" si="16"/>
        <v>0</v>
      </c>
      <c r="AF21" s="140" t="e">
        <f t="shared" si="17"/>
        <v>#DIV/0!</v>
      </c>
      <c r="AG21" s="156">
        <f t="shared" si="18"/>
        <v>0</v>
      </c>
      <c r="AH21" s="151">
        <f t="shared" si="19"/>
        <v>0</v>
      </c>
      <c r="AI21" s="151">
        <f t="shared" si="20"/>
        <v>0</v>
      </c>
      <c r="AJ21" s="150">
        <f t="shared" si="21"/>
        <v>0</v>
      </c>
      <c r="AK21" s="143">
        <f t="shared" si="22"/>
        <v>0</v>
      </c>
      <c r="AL21" s="151">
        <v>0</v>
      </c>
      <c r="AM21" s="151">
        <v>0</v>
      </c>
      <c r="AN21" s="151">
        <v>0</v>
      </c>
      <c r="AO21" s="152">
        <v>0</v>
      </c>
      <c r="AP21" s="152">
        <v>0</v>
      </c>
      <c r="AQ21" s="152">
        <v>0</v>
      </c>
      <c r="AR21" s="152">
        <v>0</v>
      </c>
      <c r="AS21" s="153">
        <f t="shared" si="23"/>
        <v>0</v>
      </c>
      <c r="AT21" s="91">
        <v>17</v>
      </c>
      <c r="AU21" s="92">
        <f t="shared" si="24"/>
        <v>0</v>
      </c>
      <c r="AV21" s="154"/>
    </row>
    <row r="22" spans="1:48" ht="15.75" customHeight="1">
      <c r="A22" s="91"/>
      <c r="B22" s="158">
        <f t="shared" si="25"/>
        <v>45278</v>
      </c>
      <c r="C22" s="133" t="s">
        <v>52</v>
      </c>
      <c r="D22" s="134"/>
      <c r="E22" s="135"/>
      <c r="F22" s="136"/>
      <c r="G22" s="137" t="e">
        <f t="shared" si="0"/>
        <v>#DIV/0!</v>
      </c>
      <c r="H22" s="136"/>
      <c r="I22" s="137" t="e">
        <f t="shared" si="1"/>
        <v>#DIV/0!</v>
      </c>
      <c r="J22" s="139">
        <f t="shared" si="2"/>
        <v>0</v>
      </c>
      <c r="K22" s="140" t="str">
        <f t="shared" si="3"/>
        <v/>
      </c>
      <c r="L22" s="141"/>
      <c r="M22" s="142">
        <f t="shared" si="4"/>
        <v>31</v>
      </c>
      <c r="N22" s="143">
        <f t="shared" si="4"/>
        <v>335720</v>
      </c>
      <c r="O22" s="137">
        <f t="shared" si="5"/>
        <v>9845.1612903225814</v>
      </c>
      <c r="P22" s="143">
        <f t="shared" si="6"/>
        <v>53680</v>
      </c>
      <c r="Q22" s="161">
        <f t="shared" si="7"/>
        <v>1574.1935483870968</v>
      </c>
      <c r="R22" s="144">
        <f t="shared" si="8"/>
        <v>389400</v>
      </c>
      <c r="S22" s="140">
        <f t="shared" si="9"/>
        <v>12561.290322580646</v>
      </c>
      <c r="T22" s="145">
        <f t="shared" si="10"/>
        <v>31</v>
      </c>
      <c r="U22" s="143">
        <f t="shared" si="10"/>
        <v>335720</v>
      </c>
      <c r="V22" s="143">
        <f t="shared" si="11"/>
        <v>53680</v>
      </c>
      <c r="W22" s="146">
        <f t="shared" si="12"/>
        <v>389400</v>
      </c>
      <c r="X22" s="143">
        <f t="shared" si="13"/>
        <v>12561.290322580646</v>
      </c>
      <c r="Y22" s="147"/>
      <c r="Z22" s="148">
        <v>26</v>
      </c>
      <c r="AA22" s="136">
        <v>16850</v>
      </c>
      <c r="AB22" s="137">
        <f t="shared" si="14"/>
        <v>648.07692307692309</v>
      </c>
      <c r="AC22" s="136">
        <v>6900</v>
      </c>
      <c r="AD22" s="138">
        <f t="shared" si="15"/>
        <v>265.38461538461536</v>
      </c>
      <c r="AE22" s="149">
        <f t="shared" si="16"/>
        <v>23750</v>
      </c>
      <c r="AF22" s="140">
        <f t="shared" si="17"/>
        <v>913.46153846153845</v>
      </c>
      <c r="AG22" s="156">
        <f t="shared" si="18"/>
        <v>31</v>
      </c>
      <c r="AH22" s="151">
        <f t="shared" si="19"/>
        <v>352570</v>
      </c>
      <c r="AI22" s="151">
        <f t="shared" si="20"/>
        <v>60580</v>
      </c>
      <c r="AJ22" s="150">
        <f t="shared" si="21"/>
        <v>413150</v>
      </c>
      <c r="AK22" s="143">
        <f t="shared" si="22"/>
        <v>50010</v>
      </c>
      <c r="AL22" s="151">
        <v>31</v>
      </c>
      <c r="AM22" s="151">
        <v>335720</v>
      </c>
      <c r="AN22" s="151">
        <v>53680</v>
      </c>
      <c r="AO22" s="152">
        <v>21450</v>
      </c>
      <c r="AP22" s="152">
        <v>28560</v>
      </c>
      <c r="AQ22" s="152">
        <v>0</v>
      </c>
      <c r="AR22" s="152">
        <v>3300</v>
      </c>
      <c r="AS22" s="153">
        <f t="shared" si="23"/>
        <v>439410</v>
      </c>
      <c r="AT22" s="91">
        <v>18</v>
      </c>
      <c r="AU22" s="92">
        <f t="shared" si="24"/>
        <v>442710</v>
      </c>
      <c r="AV22" s="154"/>
    </row>
    <row r="23" spans="1:48" ht="15.75" customHeight="1">
      <c r="A23" s="91"/>
      <c r="B23" s="158">
        <f t="shared" si="25"/>
        <v>45279</v>
      </c>
      <c r="C23" s="133" t="s">
        <v>52</v>
      </c>
      <c r="D23" s="134"/>
      <c r="E23" s="135"/>
      <c r="F23" s="136"/>
      <c r="G23" s="137" t="e">
        <f t="shared" si="0"/>
        <v>#DIV/0!</v>
      </c>
      <c r="H23" s="136"/>
      <c r="I23" s="137" t="e">
        <f t="shared" si="1"/>
        <v>#DIV/0!</v>
      </c>
      <c r="J23" s="139">
        <f t="shared" si="2"/>
        <v>0</v>
      </c>
      <c r="K23" s="140" t="str">
        <f t="shared" si="3"/>
        <v/>
      </c>
      <c r="L23" s="141"/>
      <c r="M23" s="142">
        <f t="shared" si="4"/>
        <v>33</v>
      </c>
      <c r="N23" s="143">
        <f t="shared" si="4"/>
        <v>417560</v>
      </c>
      <c r="O23" s="137">
        <f t="shared" si="5"/>
        <v>11503.030303030304</v>
      </c>
      <c r="P23" s="143">
        <f t="shared" si="6"/>
        <v>66150</v>
      </c>
      <c r="Q23" s="161">
        <f t="shared" si="7"/>
        <v>1822.3030303030303</v>
      </c>
      <c r="R23" s="144">
        <f t="shared" si="8"/>
        <v>483710</v>
      </c>
      <c r="S23" s="140">
        <f t="shared" si="9"/>
        <v>14657.878787878788</v>
      </c>
      <c r="T23" s="145">
        <f t="shared" si="10"/>
        <v>33</v>
      </c>
      <c r="U23" s="143">
        <f t="shared" si="10"/>
        <v>417560</v>
      </c>
      <c r="V23" s="143">
        <f t="shared" si="11"/>
        <v>66150</v>
      </c>
      <c r="W23" s="146">
        <f t="shared" si="12"/>
        <v>483710</v>
      </c>
      <c r="X23" s="143">
        <f t="shared" si="13"/>
        <v>14657.878787878788</v>
      </c>
      <c r="Y23" s="147"/>
      <c r="Z23" s="148">
        <v>73</v>
      </c>
      <c r="AA23" s="136">
        <v>44950</v>
      </c>
      <c r="AB23" s="137">
        <f t="shared" si="14"/>
        <v>615.7534246575342</v>
      </c>
      <c r="AC23" s="136">
        <v>42600</v>
      </c>
      <c r="AD23" s="138">
        <f t="shared" si="15"/>
        <v>583.56164383561645</v>
      </c>
      <c r="AE23" s="149">
        <f t="shared" si="16"/>
        <v>87550</v>
      </c>
      <c r="AF23" s="140">
        <f t="shared" si="17"/>
        <v>1199.3150684931506</v>
      </c>
      <c r="AG23" s="156">
        <f t="shared" si="18"/>
        <v>33</v>
      </c>
      <c r="AH23" s="151">
        <f t="shared" si="19"/>
        <v>462510</v>
      </c>
      <c r="AI23" s="151">
        <f t="shared" si="20"/>
        <v>108750</v>
      </c>
      <c r="AJ23" s="150">
        <f t="shared" si="21"/>
        <v>571260</v>
      </c>
      <c r="AK23" s="143">
        <f t="shared" si="22"/>
        <v>24200</v>
      </c>
      <c r="AL23" s="151">
        <v>33</v>
      </c>
      <c r="AM23" s="151">
        <v>417560</v>
      </c>
      <c r="AN23" s="151">
        <v>66150</v>
      </c>
      <c r="AO23" s="152">
        <v>24200</v>
      </c>
      <c r="AP23" s="152">
        <v>0</v>
      </c>
      <c r="AQ23" s="152">
        <v>0</v>
      </c>
      <c r="AR23" s="152">
        <v>0</v>
      </c>
      <c r="AS23" s="153">
        <f t="shared" si="23"/>
        <v>507910</v>
      </c>
      <c r="AT23" s="91">
        <v>19</v>
      </c>
      <c r="AU23" s="92">
        <f t="shared" si="24"/>
        <v>507910</v>
      </c>
      <c r="AV23" s="154"/>
    </row>
    <row r="24" spans="1:48" ht="15.75" customHeight="1">
      <c r="A24" s="91"/>
      <c r="B24" s="158">
        <f t="shared" si="25"/>
        <v>45280</v>
      </c>
      <c r="C24" s="133" t="s">
        <v>52</v>
      </c>
      <c r="D24" s="134"/>
      <c r="E24" s="135"/>
      <c r="F24" s="136"/>
      <c r="G24" s="137" t="e">
        <f t="shared" si="0"/>
        <v>#DIV/0!</v>
      </c>
      <c r="H24" s="136"/>
      <c r="I24" s="137" t="e">
        <f t="shared" si="1"/>
        <v>#DIV/0!</v>
      </c>
      <c r="J24" s="139">
        <f t="shared" si="2"/>
        <v>0</v>
      </c>
      <c r="K24" s="140" t="str">
        <f t="shared" si="3"/>
        <v/>
      </c>
      <c r="L24" s="141"/>
      <c r="M24" s="142">
        <f t="shared" si="4"/>
        <v>33</v>
      </c>
      <c r="N24" s="143">
        <f t="shared" si="4"/>
        <v>379590</v>
      </c>
      <c r="O24" s="137">
        <f t="shared" si="5"/>
        <v>10457</v>
      </c>
      <c r="P24" s="143">
        <f t="shared" si="6"/>
        <v>57920</v>
      </c>
      <c r="Q24" s="161">
        <f t="shared" si="7"/>
        <v>1595.5757575757575</v>
      </c>
      <c r="R24" s="144">
        <f t="shared" si="8"/>
        <v>437510</v>
      </c>
      <c r="S24" s="140">
        <f t="shared" si="9"/>
        <v>13257.878787878788</v>
      </c>
      <c r="T24" s="145">
        <f t="shared" si="10"/>
        <v>33</v>
      </c>
      <c r="U24" s="143">
        <f t="shared" si="10"/>
        <v>379590</v>
      </c>
      <c r="V24" s="143">
        <f t="shared" si="11"/>
        <v>57920</v>
      </c>
      <c r="W24" s="146">
        <f t="shared" si="12"/>
        <v>437510</v>
      </c>
      <c r="X24" s="143">
        <f t="shared" si="13"/>
        <v>13257.878787878788</v>
      </c>
      <c r="Y24" s="147"/>
      <c r="Z24" s="148">
        <v>103</v>
      </c>
      <c r="AA24" s="136">
        <v>72700</v>
      </c>
      <c r="AB24" s="137">
        <f t="shared" si="14"/>
        <v>705.82524271844659</v>
      </c>
      <c r="AC24" s="136">
        <v>31500</v>
      </c>
      <c r="AD24" s="138">
        <f t="shared" si="15"/>
        <v>305.82524271844659</v>
      </c>
      <c r="AE24" s="149">
        <f t="shared" si="16"/>
        <v>104200</v>
      </c>
      <c r="AF24" s="140">
        <f t="shared" si="17"/>
        <v>1011.6504854368932</v>
      </c>
      <c r="AG24" s="156">
        <f t="shared" si="18"/>
        <v>33</v>
      </c>
      <c r="AH24" s="151">
        <f t="shared" si="19"/>
        <v>452290</v>
      </c>
      <c r="AI24" s="151">
        <f t="shared" si="20"/>
        <v>89420</v>
      </c>
      <c r="AJ24" s="150">
        <f t="shared" si="21"/>
        <v>541710</v>
      </c>
      <c r="AK24" s="143">
        <f t="shared" si="22"/>
        <v>19800</v>
      </c>
      <c r="AL24" s="151">
        <v>33</v>
      </c>
      <c r="AM24" s="151">
        <v>379590</v>
      </c>
      <c r="AN24" s="151">
        <v>57920</v>
      </c>
      <c r="AO24" s="152">
        <v>19800</v>
      </c>
      <c r="AP24" s="152">
        <v>0</v>
      </c>
      <c r="AQ24" s="152">
        <v>0</v>
      </c>
      <c r="AR24" s="152">
        <v>0</v>
      </c>
      <c r="AS24" s="153">
        <f t="shared" si="23"/>
        <v>457310</v>
      </c>
      <c r="AT24" s="91">
        <v>20</v>
      </c>
      <c r="AU24" s="92">
        <f t="shared" si="24"/>
        <v>457310</v>
      </c>
      <c r="AV24" s="154"/>
    </row>
    <row r="25" spans="1:48" ht="15.75" customHeight="1">
      <c r="A25" s="91"/>
      <c r="B25" s="158">
        <f t="shared" si="25"/>
        <v>45281</v>
      </c>
      <c r="C25" s="133" t="s">
        <v>52</v>
      </c>
      <c r="D25" s="134"/>
      <c r="E25" s="135"/>
      <c r="F25" s="136"/>
      <c r="G25" s="137" t="e">
        <f t="shared" si="0"/>
        <v>#DIV/0!</v>
      </c>
      <c r="H25" s="136"/>
      <c r="I25" s="137" t="e">
        <f t="shared" si="1"/>
        <v>#DIV/0!</v>
      </c>
      <c r="J25" s="139">
        <f t="shared" si="2"/>
        <v>0</v>
      </c>
      <c r="K25" s="140" t="str">
        <f t="shared" si="3"/>
        <v/>
      </c>
      <c r="L25" s="141"/>
      <c r="M25" s="142">
        <f t="shared" si="4"/>
        <v>37</v>
      </c>
      <c r="N25" s="143">
        <f t="shared" si="4"/>
        <v>393690</v>
      </c>
      <c r="O25" s="137">
        <f t="shared" si="5"/>
        <v>9672.9729729729734</v>
      </c>
      <c r="P25" s="143">
        <f t="shared" si="6"/>
        <v>52690</v>
      </c>
      <c r="Q25" s="161">
        <f t="shared" si="7"/>
        <v>1294.5945945945946</v>
      </c>
      <c r="R25" s="144">
        <f t="shared" si="8"/>
        <v>446380</v>
      </c>
      <c r="S25" s="140">
        <f t="shared" si="9"/>
        <v>12064.324324324325</v>
      </c>
      <c r="T25" s="145">
        <f t="shared" si="10"/>
        <v>37</v>
      </c>
      <c r="U25" s="143">
        <f t="shared" si="10"/>
        <v>393690</v>
      </c>
      <c r="V25" s="143">
        <f t="shared" si="11"/>
        <v>52690</v>
      </c>
      <c r="W25" s="146">
        <f t="shared" si="12"/>
        <v>446380</v>
      </c>
      <c r="X25" s="143">
        <f t="shared" si="13"/>
        <v>12064.324324324325</v>
      </c>
      <c r="Y25" s="147"/>
      <c r="Z25" s="148">
        <v>84</v>
      </c>
      <c r="AA25" s="136">
        <v>68250</v>
      </c>
      <c r="AB25" s="137">
        <f t="shared" si="14"/>
        <v>812.5</v>
      </c>
      <c r="AC25" s="136">
        <v>31650</v>
      </c>
      <c r="AD25" s="138">
        <f t="shared" si="15"/>
        <v>376.78571428571428</v>
      </c>
      <c r="AE25" s="149">
        <f t="shared" si="16"/>
        <v>99900</v>
      </c>
      <c r="AF25" s="140">
        <f t="shared" si="17"/>
        <v>1189.2857142857142</v>
      </c>
      <c r="AG25" s="156">
        <f t="shared" si="18"/>
        <v>37</v>
      </c>
      <c r="AH25" s="151">
        <f t="shared" si="19"/>
        <v>461940</v>
      </c>
      <c r="AI25" s="151">
        <f t="shared" si="20"/>
        <v>84340</v>
      </c>
      <c r="AJ25" s="150">
        <f t="shared" si="21"/>
        <v>546280</v>
      </c>
      <c r="AK25" s="143">
        <f t="shared" si="22"/>
        <v>22550</v>
      </c>
      <c r="AL25" s="151">
        <v>37</v>
      </c>
      <c r="AM25" s="151">
        <v>393690</v>
      </c>
      <c r="AN25" s="151">
        <v>52690</v>
      </c>
      <c r="AO25" s="152">
        <v>22550</v>
      </c>
      <c r="AP25" s="152">
        <v>0</v>
      </c>
      <c r="AQ25" s="152">
        <v>0</v>
      </c>
      <c r="AR25" s="152">
        <v>0</v>
      </c>
      <c r="AS25" s="153">
        <f>SUM(AM25:AR25)</f>
        <v>468930</v>
      </c>
      <c r="AT25" s="91">
        <v>21</v>
      </c>
      <c r="AU25" s="92">
        <f t="shared" si="24"/>
        <v>468930</v>
      </c>
      <c r="AV25" s="154"/>
    </row>
    <row r="26" spans="1:48" ht="15.75" customHeight="1">
      <c r="A26" s="91"/>
      <c r="B26" s="158">
        <f t="shared" si="25"/>
        <v>45282</v>
      </c>
      <c r="C26" s="133" t="s">
        <v>52</v>
      </c>
      <c r="D26" s="134"/>
      <c r="E26" s="135"/>
      <c r="F26" s="136"/>
      <c r="G26" s="137" t="e">
        <f t="shared" si="0"/>
        <v>#DIV/0!</v>
      </c>
      <c r="H26" s="136"/>
      <c r="I26" s="137" t="e">
        <f t="shared" si="1"/>
        <v>#DIV/0!</v>
      </c>
      <c r="J26" s="139">
        <f t="shared" si="2"/>
        <v>0</v>
      </c>
      <c r="K26" s="140" t="str">
        <f t="shared" si="3"/>
        <v/>
      </c>
      <c r="L26" s="141"/>
      <c r="M26" s="142">
        <f t="shared" si="4"/>
        <v>34</v>
      </c>
      <c r="N26" s="143">
        <f t="shared" si="4"/>
        <v>575850</v>
      </c>
      <c r="O26" s="137">
        <f t="shared" si="5"/>
        <v>15397.058823529413</v>
      </c>
      <c r="P26" s="143">
        <f t="shared" si="6"/>
        <v>80890</v>
      </c>
      <c r="Q26" s="161">
        <f t="shared" si="7"/>
        <v>2162.8235294117649</v>
      </c>
      <c r="R26" s="144">
        <f t="shared" si="8"/>
        <v>656740</v>
      </c>
      <c r="S26" s="140">
        <f t="shared" si="9"/>
        <v>19315.882352941175</v>
      </c>
      <c r="T26" s="145">
        <f t="shared" si="10"/>
        <v>34</v>
      </c>
      <c r="U26" s="143">
        <f t="shared" si="10"/>
        <v>575850</v>
      </c>
      <c r="V26" s="143">
        <f t="shared" si="11"/>
        <v>80890</v>
      </c>
      <c r="W26" s="146">
        <f t="shared" si="12"/>
        <v>656740</v>
      </c>
      <c r="X26" s="143">
        <f t="shared" si="13"/>
        <v>19315.882352941175</v>
      </c>
      <c r="Y26" s="147"/>
      <c r="Z26" s="148">
        <v>89</v>
      </c>
      <c r="AA26" s="136">
        <v>72400</v>
      </c>
      <c r="AB26" s="137">
        <f t="shared" si="14"/>
        <v>813.48314606741576</v>
      </c>
      <c r="AC26" s="136">
        <v>27000</v>
      </c>
      <c r="AD26" s="138">
        <f t="shared" si="15"/>
        <v>303.37078651685391</v>
      </c>
      <c r="AE26" s="149">
        <f t="shared" si="16"/>
        <v>99400</v>
      </c>
      <c r="AF26" s="140">
        <f t="shared" si="17"/>
        <v>1116.8539325842696</v>
      </c>
      <c r="AG26" s="156">
        <f t="shared" si="18"/>
        <v>34</v>
      </c>
      <c r="AH26" s="151">
        <f t="shared" si="19"/>
        <v>648250</v>
      </c>
      <c r="AI26" s="151">
        <f t="shared" si="20"/>
        <v>107890</v>
      </c>
      <c r="AJ26" s="150">
        <f t="shared" si="21"/>
        <v>756140</v>
      </c>
      <c r="AK26" s="143">
        <f t="shared" si="22"/>
        <v>52800</v>
      </c>
      <c r="AL26" s="151">
        <v>34</v>
      </c>
      <c r="AM26" s="151">
        <v>575850</v>
      </c>
      <c r="AN26" s="151">
        <v>80890</v>
      </c>
      <c r="AO26" s="152">
        <v>52800</v>
      </c>
      <c r="AP26" s="152">
        <v>0</v>
      </c>
      <c r="AQ26" s="152">
        <v>0</v>
      </c>
      <c r="AR26" s="152">
        <v>0</v>
      </c>
      <c r="AS26" s="153">
        <f t="shared" ref="AS26:AS34" si="26">SUM(AM26:AQ26)</f>
        <v>709540</v>
      </c>
      <c r="AT26" s="91">
        <v>22</v>
      </c>
      <c r="AU26" s="92">
        <f t="shared" si="24"/>
        <v>709540</v>
      </c>
      <c r="AV26" s="154"/>
    </row>
    <row r="27" spans="1:48" ht="15.75" customHeight="1">
      <c r="A27" s="91"/>
      <c r="B27" s="180">
        <f t="shared" si="25"/>
        <v>45283</v>
      </c>
      <c r="C27" s="133"/>
      <c r="D27" s="134"/>
      <c r="E27" s="135">
        <v>28</v>
      </c>
      <c r="F27" s="136">
        <v>115390</v>
      </c>
      <c r="G27" s="137">
        <f t="shared" si="0"/>
        <v>3746.4285714285716</v>
      </c>
      <c r="H27" s="136">
        <v>32510</v>
      </c>
      <c r="I27" s="137">
        <f t="shared" si="1"/>
        <v>1055.5</v>
      </c>
      <c r="J27" s="139">
        <f t="shared" si="2"/>
        <v>147900</v>
      </c>
      <c r="K27" s="140">
        <f t="shared" si="3"/>
        <v>5282.1428571428569</v>
      </c>
      <c r="L27" s="141"/>
      <c r="M27" s="142">
        <f t="shared" si="4"/>
        <v>37</v>
      </c>
      <c r="N27" s="143">
        <f t="shared" si="4"/>
        <v>613470</v>
      </c>
      <c r="O27" s="137">
        <f t="shared" si="5"/>
        <v>15072.972972972973</v>
      </c>
      <c r="P27" s="143">
        <f t="shared" si="6"/>
        <v>76530</v>
      </c>
      <c r="Q27" s="138">
        <f t="shared" si="7"/>
        <v>1880.3243243243244</v>
      </c>
      <c r="R27" s="144">
        <f t="shared" si="8"/>
        <v>690000</v>
      </c>
      <c r="S27" s="140">
        <f t="shared" si="9"/>
        <v>18648.64864864865</v>
      </c>
      <c r="T27" s="145">
        <f t="shared" si="10"/>
        <v>65</v>
      </c>
      <c r="U27" s="143">
        <f t="shared" si="10"/>
        <v>728860</v>
      </c>
      <c r="V27" s="143">
        <f t="shared" si="11"/>
        <v>109040</v>
      </c>
      <c r="W27" s="146">
        <f t="shared" si="12"/>
        <v>837900</v>
      </c>
      <c r="X27" s="143">
        <f t="shared" si="13"/>
        <v>12890.76923076923</v>
      </c>
      <c r="Y27" s="147"/>
      <c r="Z27" s="148">
        <v>112</v>
      </c>
      <c r="AA27" s="136">
        <v>84950</v>
      </c>
      <c r="AB27" s="137">
        <f t="shared" si="14"/>
        <v>758.48214285714289</v>
      </c>
      <c r="AC27" s="136">
        <v>47650</v>
      </c>
      <c r="AD27" s="138">
        <f t="shared" si="15"/>
        <v>425.44642857142856</v>
      </c>
      <c r="AE27" s="149">
        <f t="shared" si="16"/>
        <v>132600</v>
      </c>
      <c r="AF27" s="140">
        <f t="shared" si="17"/>
        <v>1183.9285714285713</v>
      </c>
      <c r="AG27" s="156">
        <f t="shared" si="18"/>
        <v>65</v>
      </c>
      <c r="AH27" s="151">
        <f t="shared" si="19"/>
        <v>813810</v>
      </c>
      <c r="AI27" s="151">
        <f t="shared" si="20"/>
        <v>156690</v>
      </c>
      <c r="AJ27" s="150">
        <f t="shared" si="21"/>
        <v>970500</v>
      </c>
      <c r="AK27" s="143">
        <f t="shared" si="22"/>
        <v>72710</v>
      </c>
      <c r="AL27" s="151">
        <v>65</v>
      </c>
      <c r="AM27" s="151">
        <v>728860</v>
      </c>
      <c r="AN27" s="151">
        <v>109040</v>
      </c>
      <c r="AO27" s="152">
        <v>71500</v>
      </c>
      <c r="AP27" s="152">
        <v>1210</v>
      </c>
      <c r="AQ27" s="152">
        <v>0</v>
      </c>
      <c r="AR27" s="152">
        <v>15400</v>
      </c>
      <c r="AS27" s="153">
        <f t="shared" si="26"/>
        <v>910610</v>
      </c>
      <c r="AT27" s="91">
        <v>23</v>
      </c>
      <c r="AU27" s="92">
        <f t="shared" si="24"/>
        <v>926010</v>
      </c>
      <c r="AV27" s="154"/>
    </row>
    <row r="28" spans="1:48" ht="15.75" customHeight="1">
      <c r="A28" s="91"/>
      <c r="B28" s="157">
        <f t="shared" si="25"/>
        <v>45284</v>
      </c>
      <c r="C28" s="133"/>
      <c r="D28" s="134"/>
      <c r="E28" s="135">
        <v>29</v>
      </c>
      <c r="F28" s="136">
        <v>112310</v>
      </c>
      <c r="G28" s="137">
        <f t="shared" si="0"/>
        <v>3520.6896551724139</v>
      </c>
      <c r="H28" s="136">
        <v>23460</v>
      </c>
      <c r="I28" s="137">
        <f t="shared" si="1"/>
        <v>735.41379310344826</v>
      </c>
      <c r="J28" s="139">
        <f t="shared" si="2"/>
        <v>135770</v>
      </c>
      <c r="K28" s="140">
        <f t="shared" si="3"/>
        <v>4681.7241379310344</v>
      </c>
      <c r="L28" s="141"/>
      <c r="M28" s="142">
        <f t="shared" si="4"/>
        <v>38</v>
      </c>
      <c r="N28" s="143">
        <f t="shared" si="4"/>
        <v>617650</v>
      </c>
      <c r="O28" s="137">
        <f t="shared" si="5"/>
        <v>14776.315789473685</v>
      </c>
      <c r="P28" s="143">
        <f t="shared" si="6"/>
        <v>394020</v>
      </c>
      <c r="Q28" s="138">
        <f t="shared" si="7"/>
        <v>9426.3157894736851</v>
      </c>
      <c r="R28" s="144">
        <f t="shared" si="8"/>
        <v>1011670</v>
      </c>
      <c r="S28" s="140">
        <f t="shared" si="9"/>
        <v>26622.894736842107</v>
      </c>
      <c r="T28" s="145">
        <f t="shared" si="10"/>
        <v>67</v>
      </c>
      <c r="U28" s="143">
        <f t="shared" si="10"/>
        <v>729960</v>
      </c>
      <c r="V28" s="143">
        <f t="shared" si="11"/>
        <v>417480</v>
      </c>
      <c r="W28" s="146">
        <f t="shared" si="12"/>
        <v>1147440</v>
      </c>
      <c r="X28" s="143">
        <f t="shared" si="13"/>
        <v>17125.970149253732</v>
      </c>
      <c r="Y28" s="147"/>
      <c r="Z28" s="148">
        <v>179</v>
      </c>
      <c r="AA28" s="136">
        <v>131450</v>
      </c>
      <c r="AB28" s="137">
        <f t="shared" si="14"/>
        <v>734.35754189944134</v>
      </c>
      <c r="AC28" s="136">
        <v>71250</v>
      </c>
      <c r="AD28" s="138">
        <f t="shared" si="15"/>
        <v>398.04469273743018</v>
      </c>
      <c r="AE28" s="149">
        <f t="shared" si="16"/>
        <v>202700</v>
      </c>
      <c r="AF28" s="140">
        <f t="shared" si="17"/>
        <v>1132.4022346368715</v>
      </c>
      <c r="AG28" s="156">
        <f t="shared" si="18"/>
        <v>67</v>
      </c>
      <c r="AH28" s="151">
        <f t="shared" si="19"/>
        <v>861410</v>
      </c>
      <c r="AI28" s="151">
        <f t="shared" si="20"/>
        <v>488730</v>
      </c>
      <c r="AJ28" s="150">
        <f t="shared" si="21"/>
        <v>1350140</v>
      </c>
      <c r="AK28" s="143">
        <f t="shared" si="22"/>
        <v>66460</v>
      </c>
      <c r="AL28" s="151">
        <v>67</v>
      </c>
      <c r="AM28" s="151">
        <v>729960</v>
      </c>
      <c r="AN28" s="151">
        <v>417480</v>
      </c>
      <c r="AO28" s="152">
        <v>64900</v>
      </c>
      <c r="AP28" s="152">
        <v>1560</v>
      </c>
      <c r="AQ28" s="152">
        <v>0</v>
      </c>
      <c r="AR28" s="152">
        <v>0</v>
      </c>
      <c r="AS28" s="153">
        <f t="shared" si="26"/>
        <v>1213900</v>
      </c>
      <c r="AT28" s="91">
        <v>24</v>
      </c>
      <c r="AU28" s="92">
        <f t="shared" si="24"/>
        <v>1213900</v>
      </c>
      <c r="AV28" s="154"/>
    </row>
    <row r="29" spans="1:48" ht="15.75" customHeight="1">
      <c r="A29" s="91"/>
      <c r="B29" s="158">
        <f t="shared" si="25"/>
        <v>45285</v>
      </c>
      <c r="C29" s="133"/>
      <c r="D29" s="134"/>
      <c r="E29" s="135">
        <v>20</v>
      </c>
      <c r="F29" s="136">
        <v>114840</v>
      </c>
      <c r="G29" s="137">
        <f t="shared" si="0"/>
        <v>5220</v>
      </c>
      <c r="H29" s="136">
        <v>20700</v>
      </c>
      <c r="I29" s="137">
        <f t="shared" si="1"/>
        <v>940.9</v>
      </c>
      <c r="J29" s="139">
        <f t="shared" si="2"/>
        <v>135540</v>
      </c>
      <c r="K29" s="140">
        <f t="shared" si="3"/>
        <v>6777</v>
      </c>
      <c r="L29" s="141"/>
      <c r="M29" s="142">
        <f t="shared" si="4"/>
        <v>33</v>
      </c>
      <c r="N29" s="143">
        <f t="shared" si="4"/>
        <v>547470</v>
      </c>
      <c r="O29" s="137">
        <f t="shared" si="5"/>
        <v>15081.818181818182</v>
      </c>
      <c r="P29" s="143">
        <f t="shared" si="6"/>
        <v>97570</v>
      </c>
      <c r="Q29" s="138">
        <f t="shared" si="7"/>
        <v>2687.878787878788</v>
      </c>
      <c r="R29" s="144">
        <f t="shared" si="8"/>
        <v>645040</v>
      </c>
      <c r="S29" s="140">
        <f t="shared" si="9"/>
        <v>19546.666666666668</v>
      </c>
      <c r="T29" s="145">
        <f t="shared" si="10"/>
        <v>53</v>
      </c>
      <c r="U29" s="143">
        <f t="shared" si="10"/>
        <v>662310</v>
      </c>
      <c r="V29" s="143">
        <f t="shared" si="11"/>
        <v>118270</v>
      </c>
      <c r="W29" s="146">
        <f t="shared" si="12"/>
        <v>780580</v>
      </c>
      <c r="X29" s="143">
        <f t="shared" si="13"/>
        <v>14727.924528301886</v>
      </c>
      <c r="Y29" s="147"/>
      <c r="Z29" s="148">
        <v>166</v>
      </c>
      <c r="AA29" s="136">
        <v>109200</v>
      </c>
      <c r="AB29" s="137">
        <f t="shared" si="14"/>
        <v>657.83132530120486</v>
      </c>
      <c r="AC29" s="136">
        <v>46850</v>
      </c>
      <c r="AD29" s="138">
        <f t="shared" si="15"/>
        <v>282.22891566265059</v>
      </c>
      <c r="AE29" s="149">
        <f t="shared" si="16"/>
        <v>156050</v>
      </c>
      <c r="AF29" s="140">
        <f t="shared" si="17"/>
        <v>940.06024096385545</v>
      </c>
      <c r="AG29" s="156">
        <f t="shared" si="18"/>
        <v>53</v>
      </c>
      <c r="AH29" s="151">
        <f t="shared" si="19"/>
        <v>771510</v>
      </c>
      <c r="AI29" s="151">
        <f t="shared" si="20"/>
        <v>165120</v>
      </c>
      <c r="AJ29" s="150">
        <f t="shared" si="21"/>
        <v>936630</v>
      </c>
      <c r="AK29" s="143">
        <f t="shared" si="22"/>
        <v>128360</v>
      </c>
      <c r="AL29" s="151">
        <v>53</v>
      </c>
      <c r="AM29" s="151">
        <v>662310</v>
      </c>
      <c r="AN29" s="151">
        <v>118270</v>
      </c>
      <c r="AO29" s="152">
        <v>52800</v>
      </c>
      <c r="AP29" s="152">
        <v>75560</v>
      </c>
      <c r="AQ29" s="152">
        <v>0</v>
      </c>
      <c r="AR29" s="152">
        <v>0</v>
      </c>
      <c r="AS29" s="153">
        <f t="shared" si="26"/>
        <v>908940</v>
      </c>
      <c r="AT29" s="91">
        <v>25</v>
      </c>
      <c r="AU29" s="92">
        <f t="shared" si="24"/>
        <v>908940</v>
      </c>
      <c r="AV29" s="91"/>
    </row>
    <row r="30" spans="1:48" ht="15.75" customHeight="1">
      <c r="A30" s="91"/>
      <c r="B30" s="158">
        <f t="shared" si="25"/>
        <v>45286</v>
      </c>
      <c r="C30" s="133" t="s">
        <v>52</v>
      </c>
      <c r="D30" s="134"/>
      <c r="E30" s="135"/>
      <c r="F30" s="136"/>
      <c r="G30" s="137" t="e">
        <f t="shared" si="0"/>
        <v>#DIV/0!</v>
      </c>
      <c r="H30" s="136"/>
      <c r="I30" s="137" t="e">
        <f t="shared" si="1"/>
        <v>#DIV/0!</v>
      </c>
      <c r="J30" s="139">
        <f t="shared" si="2"/>
        <v>0</v>
      </c>
      <c r="K30" s="140" t="str">
        <f t="shared" si="3"/>
        <v/>
      </c>
      <c r="L30" s="141"/>
      <c r="M30" s="142">
        <f t="shared" si="4"/>
        <v>31</v>
      </c>
      <c r="N30" s="143">
        <f t="shared" si="4"/>
        <v>287980</v>
      </c>
      <c r="O30" s="137">
        <f t="shared" si="5"/>
        <v>8445.1612903225814</v>
      </c>
      <c r="P30" s="143">
        <f t="shared" si="6"/>
        <v>33370</v>
      </c>
      <c r="Q30" s="137">
        <f t="shared" si="7"/>
        <v>978.58064516129036</v>
      </c>
      <c r="R30" s="144">
        <f t="shared" si="8"/>
        <v>321350</v>
      </c>
      <c r="S30" s="140">
        <f t="shared" si="9"/>
        <v>10366.129032258064</v>
      </c>
      <c r="T30" s="145">
        <f t="shared" si="10"/>
        <v>31</v>
      </c>
      <c r="U30" s="143">
        <f t="shared" si="10"/>
        <v>287980</v>
      </c>
      <c r="V30" s="143">
        <f t="shared" si="11"/>
        <v>33370</v>
      </c>
      <c r="W30" s="146">
        <f t="shared" si="12"/>
        <v>321350</v>
      </c>
      <c r="X30" s="143">
        <f t="shared" si="13"/>
        <v>10366.129032258064</v>
      </c>
      <c r="Y30" s="147"/>
      <c r="Z30" s="148">
        <v>122</v>
      </c>
      <c r="AA30" s="136">
        <v>91750</v>
      </c>
      <c r="AB30" s="137">
        <f t="shared" si="14"/>
        <v>752.04918032786884</v>
      </c>
      <c r="AC30" s="136">
        <v>43600</v>
      </c>
      <c r="AD30" s="138">
        <f t="shared" si="15"/>
        <v>357.37704918032784</v>
      </c>
      <c r="AE30" s="149">
        <f t="shared" si="16"/>
        <v>135350</v>
      </c>
      <c r="AF30" s="140">
        <f t="shared" si="17"/>
        <v>1109.4262295081967</v>
      </c>
      <c r="AG30" s="156">
        <f t="shared" si="18"/>
        <v>31</v>
      </c>
      <c r="AH30" s="151">
        <f t="shared" si="19"/>
        <v>379730</v>
      </c>
      <c r="AI30" s="151">
        <f t="shared" si="20"/>
        <v>76970</v>
      </c>
      <c r="AJ30" s="150">
        <f t="shared" si="21"/>
        <v>456700</v>
      </c>
      <c r="AK30" s="143">
        <f t="shared" si="22"/>
        <v>14760</v>
      </c>
      <c r="AL30" s="151">
        <v>31</v>
      </c>
      <c r="AM30" s="151">
        <v>287980</v>
      </c>
      <c r="AN30" s="151">
        <v>33370</v>
      </c>
      <c r="AO30" s="152">
        <v>13200</v>
      </c>
      <c r="AP30" s="152">
        <v>1560</v>
      </c>
      <c r="AQ30" s="152">
        <v>0</v>
      </c>
      <c r="AR30" s="152">
        <v>0</v>
      </c>
      <c r="AS30" s="153">
        <f t="shared" si="26"/>
        <v>336110</v>
      </c>
      <c r="AT30" s="91">
        <v>26</v>
      </c>
      <c r="AU30" s="92">
        <f t="shared" si="24"/>
        <v>336110</v>
      </c>
      <c r="AV30" s="154"/>
    </row>
    <row r="31" spans="1:48" ht="15.75" customHeight="1">
      <c r="A31" s="91"/>
      <c r="B31" s="158">
        <f t="shared" si="25"/>
        <v>45287</v>
      </c>
      <c r="C31" s="133" t="s">
        <v>52</v>
      </c>
      <c r="D31" s="134"/>
      <c r="E31" s="135"/>
      <c r="F31" s="136"/>
      <c r="G31" s="137" t="e">
        <f t="shared" si="0"/>
        <v>#DIV/0!</v>
      </c>
      <c r="H31" s="136"/>
      <c r="I31" s="137" t="e">
        <f t="shared" si="1"/>
        <v>#DIV/0!</v>
      </c>
      <c r="J31" s="139">
        <f t="shared" si="2"/>
        <v>0</v>
      </c>
      <c r="K31" s="140" t="str">
        <f t="shared" si="3"/>
        <v/>
      </c>
      <c r="L31" s="141"/>
      <c r="M31" s="142">
        <f t="shared" si="4"/>
        <v>41</v>
      </c>
      <c r="N31" s="143">
        <f t="shared" si="4"/>
        <v>421740</v>
      </c>
      <c r="O31" s="137">
        <f t="shared" si="5"/>
        <v>9351.2195121951227</v>
      </c>
      <c r="P31" s="143">
        <f t="shared" si="6"/>
        <v>73610</v>
      </c>
      <c r="Q31" s="137">
        <f t="shared" si="7"/>
        <v>1632.1463414634147</v>
      </c>
      <c r="R31" s="144">
        <f t="shared" si="8"/>
        <v>495350</v>
      </c>
      <c r="S31" s="140">
        <f t="shared" si="9"/>
        <v>12081.707317073171</v>
      </c>
      <c r="T31" s="145">
        <f t="shared" si="10"/>
        <v>41</v>
      </c>
      <c r="U31" s="143">
        <f t="shared" si="10"/>
        <v>421740</v>
      </c>
      <c r="V31" s="143">
        <f t="shared" si="11"/>
        <v>73610</v>
      </c>
      <c r="W31" s="146">
        <f t="shared" si="12"/>
        <v>495350</v>
      </c>
      <c r="X31" s="143">
        <f t="shared" si="13"/>
        <v>12081.707317073171</v>
      </c>
      <c r="Y31" s="147"/>
      <c r="Z31" s="148">
        <v>125</v>
      </c>
      <c r="AA31" s="136">
        <v>81950</v>
      </c>
      <c r="AB31" s="137">
        <f t="shared" si="14"/>
        <v>655.6</v>
      </c>
      <c r="AC31" s="136">
        <v>37150</v>
      </c>
      <c r="AD31" s="138">
        <f t="shared" si="15"/>
        <v>297.2</v>
      </c>
      <c r="AE31" s="149">
        <f t="shared" si="16"/>
        <v>119100</v>
      </c>
      <c r="AF31" s="140">
        <f t="shared" si="17"/>
        <v>952.8</v>
      </c>
      <c r="AG31" s="156">
        <f t="shared" si="18"/>
        <v>41</v>
      </c>
      <c r="AH31" s="151">
        <f t="shared" si="19"/>
        <v>503690</v>
      </c>
      <c r="AI31" s="151">
        <f t="shared" si="20"/>
        <v>110760</v>
      </c>
      <c r="AJ31" s="150">
        <f t="shared" si="21"/>
        <v>614450</v>
      </c>
      <c r="AK31" s="143">
        <f t="shared" si="22"/>
        <v>29150</v>
      </c>
      <c r="AL31" s="151">
        <v>41</v>
      </c>
      <c r="AM31" s="151">
        <v>421740</v>
      </c>
      <c r="AN31" s="151">
        <v>73610</v>
      </c>
      <c r="AO31" s="152">
        <v>27500</v>
      </c>
      <c r="AP31" s="152">
        <v>1650</v>
      </c>
      <c r="AQ31" s="152">
        <v>0</v>
      </c>
      <c r="AR31" s="152">
        <v>0</v>
      </c>
      <c r="AS31" s="153">
        <f t="shared" si="26"/>
        <v>524500</v>
      </c>
      <c r="AT31" s="91">
        <v>27</v>
      </c>
      <c r="AU31" s="92">
        <f t="shared" si="24"/>
        <v>524500</v>
      </c>
      <c r="AV31" s="154"/>
    </row>
    <row r="32" spans="1:48" ht="15.75" customHeight="1">
      <c r="A32" s="91"/>
      <c r="B32" s="158">
        <f t="shared" si="25"/>
        <v>45288</v>
      </c>
      <c r="C32" s="133" t="s">
        <v>52</v>
      </c>
      <c r="D32" s="134"/>
      <c r="E32" s="135"/>
      <c r="F32" s="136"/>
      <c r="G32" s="137" t="e">
        <f t="shared" si="0"/>
        <v>#DIV/0!</v>
      </c>
      <c r="H32" s="136"/>
      <c r="I32" s="137" t="e">
        <f t="shared" si="1"/>
        <v>#DIV/0!</v>
      </c>
      <c r="J32" s="139">
        <f t="shared" si="2"/>
        <v>0</v>
      </c>
      <c r="K32" s="140" t="str">
        <f t="shared" si="3"/>
        <v/>
      </c>
      <c r="L32" s="141"/>
      <c r="M32" s="142">
        <f t="shared" si="4"/>
        <v>39</v>
      </c>
      <c r="N32" s="143">
        <f t="shared" si="4"/>
        <v>349030</v>
      </c>
      <c r="O32" s="137">
        <f t="shared" si="5"/>
        <v>8135.8974358974356</v>
      </c>
      <c r="P32" s="143">
        <f t="shared" si="6"/>
        <v>44850</v>
      </c>
      <c r="Q32" s="137">
        <f t="shared" si="7"/>
        <v>1045.4358974358975</v>
      </c>
      <c r="R32" s="144">
        <f t="shared" si="8"/>
        <v>393880</v>
      </c>
      <c r="S32" s="140">
        <f t="shared" si="9"/>
        <v>10099.48717948718</v>
      </c>
      <c r="T32" s="145">
        <f t="shared" si="10"/>
        <v>39</v>
      </c>
      <c r="U32" s="143">
        <f t="shared" si="10"/>
        <v>349030</v>
      </c>
      <c r="V32" s="143">
        <f t="shared" si="11"/>
        <v>44850</v>
      </c>
      <c r="W32" s="146">
        <f t="shared" si="12"/>
        <v>393880</v>
      </c>
      <c r="X32" s="143">
        <f t="shared" si="13"/>
        <v>10099.48717948718</v>
      </c>
      <c r="Y32" s="147"/>
      <c r="Z32" s="148">
        <v>154</v>
      </c>
      <c r="AA32" s="136">
        <v>119580</v>
      </c>
      <c r="AB32" s="137">
        <f t="shared" si="14"/>
        <v>776.49350649350652</v>
      </c>
      <c r="AC32" s="136">
        <v>51350</v>
      </c>
      <c r="AD32" s="138">
        <f t="shared" si="15"/>
        <v>333.44155844155841</v>
      </c>
      <c r="AE32" s="149">
        <f t="shared" si="16"/>
        <v>170930</v>
      </c>
      <c r="AF32" s="140">
        <f t="shared" si="17"/>
        <v>1109.9350649350649</v>
      </c>
      <c r="AG32" s="156">
        <f t="shared" si="18"/>
        <v>39</v>
      </c>
      <c r="AH32" s="151">
        <f t="shared" si="19"/>
        <v>468610</v>
      </c>
      <c r="AI32" s="151">
        <f t="shared" si="20"/>
        <v>96200</v>
      </c>
      <c r="AJ32" s="150">
        <f t="shared" si="21"/>
        <v>564810</v>
      </c>
      <c r="AK32" s="143">
        <f t="shared" si="22"/>
        <v>22000</v>
      </c>
      <c r="AL32" s="151">
        <v>39</v>
      </c>
      <c r="AM32" s="151">
        <v>349030</v>
      </c>
      <c r="AN32" s="151">
        <v>44850</v>
      </c>
      <c r="AO32" s="152">
        <v>22000</v>
      </c>
      <c r="AP32" s="152">
        <v>0</v>
      </c>
      <c r="AQ32" s="152">
        <v>0</v>
      </c>
      <c r="AR32" s="152">
        <v>0</v>
      </c>
      <c r="AS32" s="153">
        <f t="shared" si="26"/>
        <v>415880</v>
      </c>
      <c r="AT32" s="91">
        <v>28</v>
      </c>
      <c r="AU32" s="92">
        <f t="shared" si="24"/>
        <v>415880</v>
      </c>
      <c r="AV32" s="154"/>
    </row>
    <row r="33" spans="1:48" ht="15.75" customHeight="1">
      <c r="A33" s="91"/>
      <c r="B33" s="158">
        <f t="shared" si="25"/>
        <v>45289</v>
      </c>
      <c r="C33" s="133" t="s">
        <v>52</v>
      </c>
      <c r="D33" s="134"/>
      <c r="E33" s="135"/>
      <c r="F33" s="136"/>
      <c r="G33" s="137" t="e">
        <f t="shared" si="0"/>
        <v>#DIV/0!</v>
      </c>
      <c r="H33" s="136"/>
      <c r="I33" s="137" t="e">
        <f t="shared" si="1"/>
        <v>#DIV/0!</v>
      </c>
      <c r="J33" s="139">
        <f t="shared" si="2"/>
        <v>0</v>
      </c>
      <c r="K33" s="140" t="str">
        <f t="shared" si="3"/>
        <v/>
      </c>
      <c r="L33" s="141"/>
      <c r="M33" s="142">
        <f t="shared" si="4"/>
        <v>37</v>
      </c>
      <c r="N33" s="143">
        <f t="shared" si="4"/>
        <v>335390</v>
      </c>
      <c r="O33" s="137">
        <f t="shared" si="5"/>
        <v>8240.54054054054</v>
      </c>
      <c r="P33" s="143">
        <f t="shared" si="6"/>
        <v>45980</v>
      </c>
      <c r="Q33" s="137">
        <f t="shared" si="7"/>
        <v>1129.7297297297298</v>
      </c>
      <c r="R33" s="144">
        <f t="shared" si="8"/>
        <v>381370</v>
      </c>
      <c r="S33" s="140">
        <f t="shared" si="9"/>
        <v>10307.297297297297</v>
      </c>
      <c r="T33" s="145">
        <f t="shared" si="10"/>
        <v>37</v>
      </c>
      <c r="U33" s="143">
        <f t="shared" si="10"/>
        <v>335390</v>
      </c>
      <c r="V33" s="143">
        <f t="shared" si="11"/>
        <v>45980</v>
      </c>
      <c r="W33" s="146">
        <f t="shared" si="12"/>
        <v>381370</v>
      </c>
      <c r="X33" s="143">
        <f t="shared" si="13"/>
        <v>10307.297297297297</v>
      </c>
      <c r="Y33" s="147"/>
      <c r="Z33" s="148">
        <v>153</v>
      </c>
      <c r="AA33" s="136">
        <v>118400</v>
      </c>
      <c r="AB33" s="137">
        <f t="shared" si="14"/>
        <v>773.85620915032678</v>
      </c>
      <c r="AC33" s="136">
        <v>47100</v>
      </c>
      <c r="AD33" s="138">
        <f t="shared" si="15"/>
        <v>307.84313725490193</v>
      </c>
      <c r="AE33" s="149">
        <f t="shared" si="16"/>
        <v>165500</v>
      </c>
      <c r="AF33" s="140">
        <f t="shared" si="17"/>
        <v>1081.6993464052287</v>
      </c>
      <c r="AG33" s="156">
        <f t="shared" si="18"/>
        <v>37</v>
      </c>
      <c r="AH33" s="151">
        <f t="shared" si="19"/>
        <v>453790</v>
      </c>
      <c r="AI33" s="151">
        <f t="shared" si="20"/>
        <v>93080</v>
      </c>
      <c r="AJ33" s="150">
        <f t="shared" si="21"/>
        <v>546870</v>
      </c>
      <c r="AK33" s="143">
        <f t="shared" si="22"/>
        <v>26950</v>
      </c>
      <c r="AL33" s="151">
        <v>37</v>
      </c>
      <c r="AM33" s="151">
        <v>335390</v>
      </c>
      <c r="AN33" s="151">
        <v>45980</v>
      </c>
      <c r="AO33" s="152">
        <v>26950</v>
      </c>
      <c r="AP33" s="152">
        <v>0</v>
      </c>
      <c r="AQ33" s="152">
        <v>0</v>
      </c>
      <c r="AR33" s="152">
        <v>0</v>
      </c>
      <c r="AS33" s="153">
        <f t="shared" si="26"/>
        <v>408320</v>
      </c>
      <c r="AT33" s="91">
        <v>29</v>
      </c>
      <c r="AU33" s="92">
        <f t="shared" si="24"/>
        <v>408320</v>
      </c>
      <c r="AV33" s="154"/>
    </row>
    <row r="34" spans="1:48" ht="15.75" customHeight="1">
      <c r="A34" s="91"/>
      <c r="B34" s="180">
        <f t="shared" si="25"/>
        <v>45290</v>
      </c>
      <c r="C34" s="133"/>
      <c r="D34" s="134"/>
      <c r="E34" s="135">
        <v>31</v>
      </c>
      <c r="F34" s="136">
        <v>110814</v>
      </c>
      <c r="G34" s="137">
        <f t="shared" si="0"/>
        <v>3249.6774193548385</v>
      </c>
      <c r="H34" s="136">
        <v>20750</v>
      </c>
      <c r="I34" s="137">
        <f t="shared" si="1"/>
        <v>608.48387096774195</v>
      </c>
      <c r="J34" s="139">
        <f t="shared" si="2"/>
        <v>131564</v>
      </c>
      <c r="K34" s="140">
        <f t="shared" si="3"/>
        <v>4244</v>
      </c>
      <c r="L34" s="141"/>
      <c r="M34" s="142">
        <f t="shared" si="4"/>
        <v>44</v>
      </c>
      <c r="N34" s="143">
        <f t="shared" si="4"/>
        <v>421080</v>
      </c>
      <c r="O34" s="137">
        <f t="shared" si="5"/>
        <v>8700</v>
      </c>
      <c r="P34" s="143">
        <f t="shared" si="6"/>
        <v>46280</v>
      </c>
      <c r="Q34" s="137">
        <f t="shared" si="7"/>
        <v>956.18181818181813</v>
      </c>
      <c r="R34" s="144">
        <f t="shared" si="8"/>
        <v>467360</v>
      </c>
      <c r="S34" s="140">
        <f t="shared" si="9"/>
        <v>10621.818181818182</v>
      </c>
      <c r="T34" s="145">
        <f t="shared" si="10"/>
        <v>75</v>
      </c>
      <c r="U34" s="143">
        <f t="shared" si="10"/>
        <v>531894</v>
      </c>
      <c r="V34" s="143">
        <f t="shared" si="11"/>
        <v>67030</v>
      </c>
      <c r="W34" s="146">
        <f t="shared" si="12"/>
        <v>598924</v>
      </c>
      <c r="X34" s="143">
        <f t="shared" si="13"/>
        <v>7985.6533333333336</v>
      </c>
      <c r="Y34" s="163"/>
      <c r="Z34" s="164">
        <v>141</v>
      </c>
      <c r="AA34" s="165">
        <v>112750</v>
      </c>
      <c r="AB34" s="137">
        <f t="shared" si="14"/>
        <v>799.64539007092196</v>
      </c>
      <c r="AC34" s="165">
        <v>31650</v>
      </c>
      <c r="AD34" s="138">
        <f t="shared" si="15"/>
        <v>224.46808510638297</v>
      </c>
      <c r="AE34" s="149">
        <f t="shared" si="16"/>
        <v>144400</v>
      </c>
      <c r="AF34" s="140">
        <f t="shared" si="17"/>
        <v>1024.113475177305</v>
      </c>
      <c r="AG34" s="156">
        <f t="shared" si="18"/>
        <v>75</v>
      </c>
      <c r="AH34" s="151">
        <f t="shared" si="19"/>
        <v>644644</v>
      </c>
      <c r="AI34" s="151">
        <f t="shared" si="20"/>
        <v>98680</v>
      </c>
      <c r="AJ34" s="150">
        <f t="shared" si="21"/>
        <v>743324</v>
      </c>
      <c r="AK34" s="143">
        <f t="shared" si="22"/>
        <v>35200</v>
      </c>
      <c r="AL34" s="151">
        <v>75</v>
      </c>
      <c r="AM34" s="151">
        <v>531894</v>
      </c>
      <c r="AN34" s="151">
        <v>67030</v>
      </c>
      <c r="AO34" s="152">
        <v>33550</v>
      </c>
      <c r="AP34" s="152">
        <v>1650</v>
      </c>
      <c r="AQ34" s="152">
        <v>0</v>
      </c>
      <c r="AR34" s="152">
        <v>0</v>
      </c>
      <c r="AS34" s="153">
        <f t="shared" si="26"/>
        <v>634124</v>
      </c>
      <c r="AT34" s="91">
        <v>30</v>
      </c>
      <c r="AU34" s="92">
        <f t="shared" si="24"/>
        <v>634124</v>
      </c>
      <c r="AV34" s="154"/>
    </row>
    <row r="35" spans="1:48" ht="15.75" customHeight="1" thickBot="1">
      <c r="A35" s="91"/>
      <c r="B35" s="157">
        <f t="shared" si="25"/>
        <v>45291</v>
      </c>
      <c r="C35" s="133"/>
      <c r="D35" s="134"/>
      <c r="E35" s="135">
        <v>36</v>
      </c>
      <c r="F35" s="136">
        <v>135520</v>
      </c>
      <c r="G35" s="137">
        <f t="shared" si="0"/>
        <v>3422.2222222222222</v>
      </c>
      <c r="H35" s="136">
        <v>24930</v>
      </c>
      <c r="I35" s="137">
        <f t="shared" si="1"/>
        <v>629.52777777777783</v>
      </c>
      <c r="J35" s="139">
        <f t="shared" si="2"/>
        <v>160450</v>
      </c>
      <c r="K35" s="140">
        <f t="shared" si="3"/>
        <v>4456.9444444444443</v>
      </c>
      <c r="L35" s="141"/>
      <c r="M35" s="166">
        <f t="shared" si="4"/>
        <v>0</v>
      </c>
      <c r="N35" s="143">
        <f t="shared" si="4"/>
        <v>0</v>
      </c>
      <c r="O35" s="137" t="e">
        <f t="shared" si="5"/>
        <v>#DIV/0!</v>
      </c>
      <c r="P35" s="143">
        <f t="shared" si="6"/>
        <v>0</v>
      </c>
      <c r="Q35" s="137" t="e">
        <f t="shared" si="7"/>
        <v>#DIV/0!</v>
      </c>
      <c r="R35" s="144">
        <f t="shared" si="8"/>
        <v>0</v>
      </c>
      <c r="S35" s="140" t="e">
        <f t="shared" si="9"/>
        <v>#DIV/0!</v>
      </c>
      <c r="T35" s="145">
        <f t="shared" si="10"/>
        <v>36</v>
      </c>
      <c r="U35" s="168">
        <f t="shared" si="10"/>
        <v>135520</v>
      </c>
      <c r="V35" s="168">
        <f t="shared" si="11"/>
        <v>24930</v>
      </c>
      <c r="W35" s="169">
        <f t="shared" si="12"/>
        <v>160450</v>
      </c>
      <c r="X35" s="168"/>
      <c r="Y35" s="170"/>
      <c r="Z35" s="171">
        <v>21</v>
      </c>
      <c r="AA35" s="172">
        <v>21950</v>
      </c>
      <c r="AB35" s="183">
        <f t="shared" si="14"/>
        <v>1045.2380952380952</v>
      </c>
      <c r="AC35" s="184">
        <v>10000</v>
      </c>
      <c r="AD35" s="183">
        <f t="shared" si="15"/>
        <v>476.1904761904762</v>
      </c>
      <c r="AE35" s="175">
        <f t="shared" si="16"/>
        <v>31950</v>
      </c>
      <c r="AF35" s="140">
        <f t="shared" si="17"/>
        <v>1521.4285714285713</v>
      </c>
      <c r="AG35" s="167">
        <f t="shared" si="18"/>
        <v>36</v>
      </c>
      <c r="AH35" s="168">
        <f t="shared" si="19"/>
        <v>157470</v>
      </c>
      <c r="AI35" s="168">
        <f t="shared" si="20"/>
        <v>34930</v>
      </c>
      <c r="AJ35" s="150">
        <f t="shared" si="21"/>
        <v>192400</v>
      </c>
      <c r="AK35" s="143">
        <f t="shared" si="22"/>
        <v>54000</v>
      </c>
      <c r="AL35" s="151">
        <v>36</v>
      </c>
      <c r="AM35" s="151">
        <v>135520</v>
      </c>
      <c r="AN35" s="151">
        <v>24930</v>
      </c>
      <c r="AO35" s="152">
        <v>11000</v>
      </c>
      <c r="AP35" s="152">
        <v>43000</v>
      </c>
      <c r="AQ35" s="152">
        <v>0</v>
      </c>
      <c r="AR35" s="152">
        <v>0</v>
      </c>
      <c r="AS35" s="153">
        <f>SUM(AM35:AR35)</f>
        <v>214450</v>
      </c>
      <c r="AT35" s="91">
        <v>31</v>
      </c>
      <c r="AU35" s="92">
        <f t="shared" si="24"/>
        <v>214450</v>
      </c>
      <c r="AV35" s="154"/>
    </row>
    <row r="36" spans="1:48" ht="15.75" customHeight="1" thickTop="1" thickBot="1">
      <c r="A36" s="28"/>
      <c r="B36" s="125" t="s">
        <v>26</v>
      </c>
      <c r="C36" s="29">
        <f>SUM(C5:C35)</f>
        <v>0</v>
      </c>
      <c r="D36" s="30">
        <f>SUM(D5:D35)</f>
        <v>0</v>
      </c>
      <c r="E36" s="31">
        <f>SUM(E5:E35)</f>
        <v>256</v>
      </c>
      <c r="F36" s="32">
        <f>SUM(F5:F35)</f>
        <v>963754</v>
      </c>
      <c r="G36" s="33">
        <f>F36/E36</f>
        <v>3764.6640625</v>
      </c>
      <c r="H36" s="29">
        <f>SUM(H5:H35)</f>
        <v>189980</v>
      </c>
      <c r="I36" s="34">
        <f>H36/E36</f>
        <v>742.109375</v>
      </c>
      <c r="J36" s="35">
        <f>SUM(J5:J35)</f>
        <v>1153734</v>
      </c>
      <c r="K36" s="36">
        <f>J36/E36</f>
        <v>4506.7734375</v>
      </c>
      <c r="L36" s="37">
        <f>SUM(L5:L35)</f>
        <v>0</v>
      </c>
      <c r="M36" s="31">
        <f>SUM(M5:M35)</f>
        <v>914</v>
      </c>
      <c r="N36" s="185">
        <f>SUM(N5:N35)</f>
        <v>10259200</v>
      </c>
      <c r="O36" s="33">
        <f>N36/M36</f>
        <v>11224.507658643326</v>
      </c>
      <c r="P36" s="38">
        <f>SUM(P5:P35)</f>
        <v>1794200</v>
      </c>
      <c r="Q36" s="34">
        <f>P36/M36</f>
        <v>1963.019693654267</v>
      </c>
      <c r="R36" s="39">
        <f>SUM(R5:R35)</f>
        <v>12053400</v>
      </c>
      <c r="S36" s="40">
        <f>R36/M36</f>
        <v>13187.527352297593</v>
      </c>
      <c r="T36" s="31">
        <f>SUM(T5:T35)</f>
        <v>1170</v>
      </c>
      <c r="U36" s="93">
        <f>SUM(U5:U35)</f>
        <v>11222954</v>
      </c>
      <c r="V36" s="38">
        <f>SUM(V5:V35)</f>
        <v>1984180</v>
      </c>
      <c r="W36" s="94">
        <f>SUM(W5:W35)</f>
        <v>13207134</v>
      </c>
      <c r="X36" s="98">
        <f>W36/T36</f>
        <v>11288.148717948718</v>
      </c>
      <c r="Y36" s="30">
        <f>SUM(Y5:Y35)</f>
        <v>0</v>
      </c>
      <c r="Z36" s="31">
        <f>SUM(Z5:Z35)</f>
        <v>2252</v>
      </c>
      <c r="AA36" s="118">
        <f>SUM(AA5:AA35)</f>
        <v>1624230</v>
      </c>
      <c r="AB36" s="29">
        <f t="shared" si="14"/>
        <v>721.23889875666077</v>
      </c>
      <c r="AC36" s="29">
        <f>SUM(AC5:AC35)</f>
        <v>780350</v>
      </c>
      <c r="AD36" s="29">
        <f t="shared" si="15"/>
        <v>346.51420959147424</v>
      </c>
      <c r="AE36" s="119">
        <f>SUM(AE5:AE35)</f>
        <v>2404580</v>
      </c>
      <c r="AF36" s="126">
        <f>AE36/Z36</f>
        <v>1067.7531083481349</v>
      </c>
      <c r="AG36" s="31">
        <f t="shared" ref="AG36:AS36" si="27">SUM(AG5:AG35)</f>
        <v>1170</v>
      </c>
      <c r="AH36" s="93">
        <f t="shared" si="27"/>
        <v>12847184</v>
      </c>
      <c r="AI36" s="38">
        <f t="shared" si="27"/>
        <v>2764530</v>
      </c>
      <c r="AJ36" s="39">
        <f t="shared" si="27"/>
        <v>15611714</v>
      </c>
      <c r="AK36" s="29">
        <f t="shared" si="27"/>
        <v>1040650</v>
      </c>
      <c r="AL36" s="41">
        <f t="shared" si="27"/>
        <v>1170</v>
      </c>
      <c r="AM36" s="41">
        <f t="shared" si="27"/>
        <v>11222954</v>
      </c>
      <c r="AN36" s="41">
        <f t="shared" si="27"/>
        <v>1984180</v>
      </c>
      <c r="AO36" s="41">
        <f t="shared" si="27"/>
        <v>747450</v>
      </c>
      <c r="AP36" s="41">
        <f t="shared" si="27"/>
        <v>293200</v>
      </c>
      <c r="AQ36" s="41">
        <f t="shared" si="27"/>
        <v>0</v>
      </c>
      <c r="AR36" s="41">
        <f t="shared" si="27"/>
        <v>69700</v>
      </c>
      <c r="AS36" s="41">
        <f t="shared" si="27"/>
        <v>14247784</v>
      </c>
      <c r="AT36" s="28"/>
      <c r="AU36" s="42">
        <f>SUM(AU5:AU35)</f>
        <v>14317484</v>
      </c>
    </row>
    <row r="37" spans="1:48" ht="15.75" customHeight="1" thickTop="1">
      <c r="A37" s="28"/>
      <c r="B37" s="127"/>
      <c r="C37" s="28"/>
      <c r="D37" s="28"/>
      <c r="E37" s="43" t="s">
        <v>36</v>
      </c>
      <c r="F37" s="44">
        <f>F36/1.1</f>
        <v>876139.99999999988</v>
      </c>
      <c r="G37" s="45">
        <f>F37/E36</f>
        <v>3422.4218749999995</v>
      </c>
      <c r="H37" s="26">
        <f>H36/1.1</f>
        <v>172709.09090909088</v>
      </c>
      <c r="I37" s="45">
        <f>H37/E36</f>
        <v>674.64488636363626</v>
      </c>
      <c r="J37" s="41">
        <f>J36/1.1</f>
        <v>1048849.0909090908</v>
      </c>
      <c r="K37" s="46">
        <f>G37+I37</f>
        <v>4097.066761363636</v>
      </c>
      <c r="L37" s="47"/>
      <c r="M37" s="43" t="s">
        <v>36</v>
      </c>
      <c r="N37" s="44">
        <f>N36/1.1</f>
        <v>9326545.4545454532</v>
      </c>
      <c r="O37" s="45">
        <f>N37/M36</f>
        <v>10204.097871493932</v>
      </c>
      <c r="P37" s="44">
        <f>P36/1.1</f>
        <v>1631090.9090909089</v>
      </c>
      <c r="Q37" s="45">
        <f>P37/M36</f>
        <v>1784.5633578675152</v>
      </c>
      <c r="R37" s="45">
        <f>R36/1.1</f>
        <v>10957636.363636363</v>
      </c>
      <c r="S37" s="95">
        <f>R37/M36</f>
        <v>11988.661229361447</v>
      </c>
      <c r="T37" s="43" t="s">
        <v>36</v>
      </c>
      <c r="U37" s="186">
        <f>U36/1.1</f>
        <v>10202685.454545453</v>
      </c>
      <c r="V37" s="44">
        <f>V36/1.1</f>
        <v>1803799.9999999998</v>
      </c>
      <c r="W37" s="96">
        <f>W36/1.1</f>
        <v>12006485.454545453</v>
      </c>
      <c r="X37" s="98">
        <f>W37/T36</f>
        <v>10261.953379953378</v>
      </c>
      <c r="Y37" s="47"/>
      <c r="Z37" s="43" t="s">
        <v>36</v>
      </c>
      <c r="AA37" s="44">
        <f>AA36/1.1</f>
        <v>1476572.7272727271</v>
      </c>
      <c r="AB37" s="26">
        <f>AA37/Z36</f>
        <v>655.67172614241872</v>
      </c>
      <c r="AC37" s="26">
        <f>AC36/1.1</f>
        <v>709409.09090909082</v>
      </c>
      <c r="AD37" s="26">
        <f>AC37/Z36</f>
        <v>315.01291781043108</v>
      </c>
      <c r="AE37" s="45">
        <f>AE36/1.1</f>
        <v>2185981.8181818179</v>
      </c>
      <c r="AF37" s="48">
        <f>AE37/Z36</f>
        <v>970.68464395284991</v>
      </c>
      <c r="AG37" s="43" t="s">
        <v>36</v>
      </c>
      <c r="AH37" s="97">
        <f>AH36/1.1</f>
        <v>11679258.181818182</v>
      </c>
      <c r="AI37" s="44">
        <f>AI36/1.1</f>
        <v>2513209.0909090908</v>
      </c>
      <c r="AJ37" s="45">
        <f>AJ36/1.1</f>
        <v>14192467.272727272</v>
      </c>
      <c r="AK37" s="49">
        <f>AK36/1.1</f>
        <v>946045.45454545447</v>
      </c>
      <c r="AL37" s="28"/>
      <c r="AM37" s="28"/>
      <c r="AN37" s="28"/>
      <c r="AO37" s="28"/>
      <c r="AP37" s="50"/>
      <c r="AQ37" s="28"/>
      <c r="AR37" s="28"/>
      <c r="AS37" s="50"/>
      <c r="AT37" s="28"/>
      <c r="AU37" s="50"/>
    </row>
    <row r="38" spans="1:48" ht="15.75" customHeight="1">
      <c r="A38" s="25"/>
      <c r="B38" s="128"/>
      <c r="C38" s="25"/>
      <c r="D38" s="25"/>
      <c r="E38" s="51" t="s">
        <v>37</v>
      </c>
      <c r="F38" s="52">
        <f>E36/G38</f>
        <v>28.444444444444443</v>
      </c>
      <c r="G38" s="53">
        <v>9</v>
      </c>
      <c r="H38" s="54" t="s">
        <v>38</v>
      </c>
      <c r="I38" s="52"/>
      <c r="J38" s="55" t="s">
        <v>39</v>
      </c>
      <c r="K38" s="120">
        <f>J37/G38</f>
        <v>116538.78787878787</v>
      </c>
      <c r="L38" s="25"/>
      <c r="M38" s="51" t="s">
        <v>37</v>
      </c>
      <c r="N38" s="52">
        <f>M36/O38</f>
        <v>33.851851851851855</v>
      </c>
      <c r="O38" s="53">
        <v>27</v>
      </c>
      <c r="P38" s="54" t="s">
        <v>38</v>
      </c>
      <c r="Q38" s="52"/>
      <c r="R38" s="55" t="s">
        <v>39</v>
      </c>
      <c r="S38" s="121">
        <f>R37/O38</f>
        <v>405838.38383838383</v>
      </c>
      <c r="T38" s="25"/>
      <c r="U38" s="25"/>
      <c r="V38" s="25"/>
      <c r="W38" s="27"/>
      <c r="X38" s="27"/>
      <c r="Y38" s="25"/>
      <c r="Z38" s="25"/>
      <c r="AA38" s="57">
        <v>28</v>
      </c>
      <c r="AB38" s="54" t="s">
        <v>38</v>
      </c>
      <c r="AC38" s="52"/>
      <c r="AD38" s="52"/>
      <c r="AE38" s="55" t="s">
        <v>39</v>
      </c>
      <c r="AF38" s="56">
        <f>AE37/AA38</f>
        <v>78070.779220779208</v>
      </c>
      <c r="AG38" s="25"/>
      <c r="AH38" s="25"/>
      <c r="AI38" s="25" t="s">
        <v>53</v>
      </c>
      <c r="AJ38" s="27"/>
      <c r="AK38" s="27">
        <f>AJ37/AL38</f>
        <v>4147.4188406567127</v>
      </c>
      <c r="AL38" s="99">
        <f>AG36+Z36</f>
        <v>3422</v>
      </c>
      <c r="AM38" s="25" t="s">
        <v>54</v>
      </c>
      <c r="AN38" s="25"/>
      <c r="AO38" s="25"/>
      <c r="AP38" s="27"/>
      <c r="AQ38" s="25"/>
      <c r="AR38" s="25"/>
      <c r="AS38" s="27"/>
      <c r="AT38" s="25"/>
      <c r="AU38" s="27"/>
    </row>
    <row r="39" spans="1:48" ht="15.75" customHeight="1">
      <c r="A39" s="25"/>
      <c r="B39" s="128"/>
      <c r="C39" s="25"/>
      <c r="D39" s="58" t="s">
        <v>40</v>
      </c>
      <c r="E39" s="59"/>
      <c r="F39" s="52"/>
      <c r="G39" s="60"/>
      <c r="H39" s="52"/>
      <c r="I39" s="52"/>
      <c r="J39" s="55"/>
      <c r="K39" s="56"/>
      <c r="L39" s="61" t="s">
        <v>41</v>
      </c>
      <c r="M39" s="51"/>
      <c r="N39" s="52"/>
      <c r="O39" s="52"/>
      <c r="P39" s="52"/>
      <c r="Q39" s="52"/>
      <c r="R39" s="55"/>
      <c r="S39" s="56"/>
      <c r="T39" s="25"/>
      <c r="U39" s="25"/>
      <c r="V39" s="25"/>
      <c r="W39" s="27"/>
      <c r="X39" s="27"/>
      <c r="Y39" s="61" t="s">
        <v>42</v>
      </c>
      <c r="Z39" s="25"/>
      <c r="AA39" s="52"/>
      <c r="AB39" s="52"/>
      <c r="AC39" s="52"/>
      <c r="AD39" s="52"/>
      <c r="AE39" s="52"/>
      <c r="AF39" s="56"/>
      <c r="AG39" s="25"/>
      <c r="AH39" s="25"/>
      <c r="AI39" s="25" t="s">
        <v>55</v>
      </c>
      <c r="AK39" s="62">
        <f>AJ37/AA38</f>
        <v>506873.83116883115</v>
      </c>
      <c r="AL39" s="25" t="s">
        <v>56</v>
      </c>
      <c r="AM39" s="25"/>
      <c r="AN39" s="25"/>
      <c r="AO39" s="25"/>
      <c r="AP39" s="27"/>
      <c r="AQ39" s="25"/>
      <c r="AR39" s="25"/>
      <c r="AS39" s="27"/>
      <c r="AT39" s="25"/>
      <c r="AU39" s="27"/>
    </row>
    <row r="40" spans="1:48" ht="21" customHeight="1">
      <c r="A40" s="25"/>
      <c r="B40" s="128"/>
      <c r="C40" s="61"/>
      <c r="D40" s="103" t="s">
        <v>88</v>
      </c>
      <c r="E40" s="104"/>
      <c r="F40" s="104"/>
      <c r="G40" s="104"/>
      <c r="H40" s="104"/>
      <c r="I40" s="104"/>
      <c r="J40" s="104"/>
      <c r="K40" s="105"/>
      <c r="L40" s="103" t="s">
        <v>89</v>
      </c>
      <c r="M40" s="104"/>
      <c r="N40" s="104"/>
      <c r="O40" s="104"/>
      <c r="P40" s="104"/>
      <c r="Q40" s="104"/>
      <c r="R40" s="104"/>
      <c r="S40" s="105"/>
      <c r="T40" s="25"/>
      <c r="U40" s="25"/>
      <c r="V40" s="25"/>
      <c r="W40" s="27"/>
      <c r="X40" s="25"/>
      <c r="Y40" s="103" t="s">
        <v>90</v>
      </c>
      <c r="Z40" s="104"/>
      <c r="AA40" s="104"/>
      <c r="AB40" s="104"/>
      <c r="AC40" s="104"/>
      <c r="AD40" s="104"/>
      <c r="AE40" s="104"/>
      <c r="AF40" s="105"/>
      <c r="AG40" s="25"/>
      <c r="AH40" s="25"/>
      <c r="AI40" s="25" t="s">
        <v>57</v>
      </c>
      <c r="AJ40" s="27">
        <f>AJ36+AK36</f>
        <v>16652364</v>
      </c>
      <c r="AK40" s="62">
        <f>AJ40/AA38</f>
        <v>594727.28571428568</v>
      </c>
      <c r="AL40" s="25" t="s">
        <v>43</v>
      </c>
      <c r="AM40" s="25"/>
      <c r="AN40" s="25"/>
      <c r="AO40" s="25"/>
      <c r="AP40" s="25"/>
      <c r="AQ40" s="25"/>
      <c r="AR40" s="25"/>
      <c r="AS40" s="27"/>
      <c r="AT40" s="25"/>
      <c r="AU40" s="27"/>
    </row>
    <row r="41" spans="1:48" ht="21" customHeight="1">
      <c r="A41" s="25"/>
      <c r="B41" s="128"/>
      <c r="C41" s="61"/>
      <c r="D41" s="106"/>
      <c r="E41" s="107"/>
      <c r="F41" s="107"/>
      <c r="G41" s="107"/>
      <c r="H41" s="107"/>
      <c r="I41" s="107"/>
      <c r="J41" s="107"/>
      <c r="K41" s="108"/>
      <c r="L41" s="106"/>
      <c r="M41" s="107"/>
      <c r="N41" s="107"/>
      <c r="O41" s="107"/>
      <c r="P41" s="107"/>
      <c r="Q41" s="107"/>
      <c r="R41" s="107"/>
      <c r="S41" s="108"/>
      <c r="T41" s="25"/>
      <c r="U41" s="25"/>
      <c r="V41" s="25"/>
      <c r="W41" s="27"/>
      <c r="X41" s="25"/>
      <c r="Y41" s="106"/>
      <c r="Z41" s="107"/>
      <c r="AA41" s="107"/>
      <c r="AB41" s="107"/>
      <c r="AC41" s="107"/>
      <c r="AD41" s="107"/>
      <c r="AE41" s="107"/>
      <c r="AF41" s="108"/>
      <c r="AG41" s="25"/>
      <c r="AH41" s="25"/>
      <c r="AI41" s="25" t="s">
        <v>58</v>
      </c>
      <c r="AJ41" s="66">
        <f>AJ37+AK37</f>
        <v>15138512.727272727</v>
      </c>
      <c r="AK41" s="62">
        <f>AJ41/AA38</f>
        <v>540661.16883116879</v>
      </c>
      <c r="AL41" s="25" t="s">
        <v>56</v>
      </c>
      <c r="AM41" s="25"/>
      <c r="AN41" s="25"/>
      <c r="AO41" s="25"/>
      <c r="AP41" s="25"/>
      <c r="AQ41" s="25"/>
      <c r="AR41" s="25"/>
      <c r="AS41" s="27"/>
      <c r="AT41" s="25"/>
      <c r="AU41" s="27"/>
    </row>
    <row r="42" spans="1:48" ht="21" customHeight="1">
      <c r="A42" s="25"/>
      <c r="B42" s="128"/>
      <c r="C42" s="61"/>
      <c r="D42" s="106"/>
      <c r="E42" s="107"/>
      <c r="F42" s="107"/>
      <c r="G42" s="107"/>
      <c r="H42" s="107"/>
      <c r="I42" s="107"/>
      <c r="J42" s="107"/>
      <c r="K42" s="108"/>
      <c r="L42" s="106"/>
      <c r="M42" s="107"/>
      <c r="N42" s="107"/>
      <c r="O42" s="107"/>
      <c r="P42" s="107"/>
      <c r="Q42" s="107"/>
      <c r="R42" s="107"/>
      <c r="S42" s="108"/>
      <c r="T42" s="25"/>
      <c r="U42" s="25"/>
      <c r="V42" s="25"/>
      <c r="W42" s="27"/>
      <c r="X42" s="25"/>
      <c r="Y42" s="106"/>
      <c r="Z42" s="107"/>
      <c r="AA42" s="107"/>
      <c r="AB42" s="107"/>
      <c r="AC42" s="107"/>
      <c r="AD42" s="107"/>
      <c r="AE42" s="107"/>
      <c r="AF42" s="108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7"/>
      <c r="AT42" s="25"/>
      <c r="AU42" s="27"/>
    </row>
    <row r="43" spans="1:48" ht="21" customHeight="1">
      <c r="A43" s="25"/>
      <c r="B43" s="128"/>
      <c r="C43" s="61"/>
      <c r="D43" s="106"/>
      <c r="E43" s="107"/>
      <c r="F43" s="107"/>
      <c r="G43" s="107"/>
      <c r="H43" s="107"/>
      <c r="I43" s="107"/>
      <c r="J43" s="107"/>
      <c r="K43" s="108"/>
      <c r="L43" s="106"/>
      <c r="M43" s="107"/>
      <c r="N43" s="107"/>
      <c r="O43" s="107"/>
      <c r="P43" s="107"/>
      <c r="Q43" s="107"/>
      <c r="R43" s="107"/>
      <c r="S43" s="108"/>
      <c r="T43" s="25"/>
      <c r="U43" s="25"/>
      <c r="V43" s="25"/>
      <c r="W43" s="25"/>
      <c r="X43" s="25"/>
      <c r="Y43" s="106"/>
      <c r="Z43" s="107"/>
      <c r="AA43" s="107"/>
      <c r="AB43" s="107"/>
      <c r="AC43" s="107"/>
      <c r="AD43" s="107"/>
      <c r="AE43" s="107"/>
      <c r="AF43" s="108"/>
      <c r="AG43" s="25"/>
      <c r="AH43" s="25"/>
      <c r="AI43" s="25"/>
      <c r="AJ43" s="27">
        <f>AJ37+AK37</f>
        <v>15138512.727272727</v>
      </c>
      <c r="AK43" s="63" t="s">
        <v>44</v>
      </c>
      <c r="AL43" s="25"/>
      <c r="AM43" s="25"/>
      <c r="AN43" s="25"/>
      <c r="AO43" s="25"/>
      <c r="AP43" s="25"/>
      <c r="AQ43" s="25"/>
      <c r="AR43" s="25"/>
      <c r="AS43" s="27"/>
      <c r="AT43" s="25"/>
      <c r="AU43" s="27"/>
    </row>
    <row r="44" spans="1:48" ht="21" customHeight="1">
      <c r="A44" s="25"/>
      <c r="B44" s="128"/>
      <c r="C44" s="61"/>
      <c r="D44" s="109"/>
      <c r="E44" s="110"/>
      <c r="F44" s="110"/>
      <c r="G44" s="110"/>
      <c r="H44" s="110"/>
      <c r="I44" s="110"/>
      <c r="J44" s="110"/>
      <c r="K44" s="111"/>
      <c r="L44" s="109"/>
      <c r="M44" s="110"/>
      <c r="N44" s="110"/>
      <c r="O44" s="110"/>
      <c r="P44" s="110"/>
      <c r="Q44" s="110"/>
      <c r="R44" s="110"/>
      <c r="S44" s="111"/>
      <c r="T44" s="25"/>
      <c r="U44" s="25"/>
      <c r="V44" s="25"/>
      <c r="W44" s="25"/>
      <c r="X44" s="25"/>
      <c r="Y44" s="109"/>
      <c r="Z44" s="110"/>
      <c r="AA44" s="110"/>
      <c r="AB44" s="110"/>
      <c r="AC44" s="110"/>
      <c r="AD44" s="110"/>
      <c r="AE44" s="110"/>
      <c r="AF44" s="111"/>
      <c r="AG44" s="25"/>
      <c r="AH44" s="64"/>
      <c r="AI44" s="65" t="s">
        <v>45</v>
      </c>
      <c r="AJ44" s="66">
        <f>J45+R45+AE45+AK44</f>
        <v>12961715</v>
      </c>
      <c r="AK44" s="176">
        <v>789195</v>
      </c>
      <c r="AL44" s="64"/>
      <c r="AM44" s="25"/>
      <c r="AN44" s="25"/>
      <c r="AO44" s="25"/>
      <c r="AP44" s="25"/>
      <c r="AQ44" s="25"/>
      <c r="AR44" s="25"/>
      <c r="AS44" s="27"/>
      <c r="AT44" s="25"/>
      <c r="AU44" s="27"/>
    </row>
    <row r="45" spans="1:48" ht="21" customHeight="1">
      <c r="A45" s="25"/>
      <c r="B45" s="128"/>
      <c r="C45" s="25"/>
      <c r="D45" s="25"/>
      <c r="E45" s="25"/>
      <c r="F45" s="25"/>
      <c r="G45" s="25"/>
      <c r="H45" s="67"/>
      <c r="I45" s="68" t="s">
        <v>46</v>
      </c>
      <c r="J45" s="177">
        <v>816000</v>
      </c>
      <c r="K45" s="69" t="s">
        <v>47</v>
      </c>
      <c r="L45" s="64"/>
      <c r="M45" s="64"/>
      <c r="N45" s="64"/>
      <c r="O45" s="64"/>
      <c r="P45" s="64"/>
      <c r="Q45" s="68" t="s">
        <v>48</v>
      </c>
      <c r="R45" s="177">
        <v>9856520</v>
      </c>
      <c r="S45" s="69" t="s">
        <v>47</v>
      </c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7" t="s">
        <v>49</v>
      </c>
      <c r="AE45" s="177">
        <v>1500000</v>
      </c>
      <c r="AF45" s="69" t="s">
        <v>47</v>
      </c>
      <c r="AG45" s="64"/>
      <c r="AH45" s="64"/>
      <c r="AI45" s="65" t="s">
        <v>50</v>
      </c>
      <c r="AJ45" s="66">
        <f>AJ44-AJ37-AK37</f>
        <v>-2176797.7272727261</v>
      </c>
      <c r="AK45" s="66">
        <f>AK44-AK37</f>
        <v>-156850.45454545447</v>
      </c>
      <c r="AL45" s="70">
        <f>AK37/AK44</f>
        <v>1.1987474002565328</v>
      </c>
      <c r="AM45" s="25"/>
      <c r="AN45" s="25"/>
      <c r="AO45" s="25"/>
      <c r="AP45" s="25"/>
      <c r="AQ45" s="27"/>
      <c r="AR45" s="25"/>
      <c r="AS45" s="27"/>
      <c r="AT45" s="25"/>
      <c r="AU45" s="25"/>
    </row>
    <row r="46" spans="1:48" ht="21" customHeight="1">
      <c r="A46" s="25"/>
      <c r="B46" s="128"/>
      <c r="C46" s="25"/>
      <c r="D46" s="25"/>
      <c r="E46" s="25"/>
      <c r="F46" s="25"/>
      <c r="G46" s="25"/>
      <c r="H46" s="67"/>
      <c r="I46" s="67" t="s">
        <v>50</v>
      </c>
      <c r="J46" s="66">
        <f>J45-J37</f>
        <v>-232849.09090909082</v>
      </c>
      <c r="K46" s="71">
        <v>0</v>
      </c>
      <c r="L46" s="64"/>
      <c r="M46" s="64"/>
      <c r="N46" s="64"/>
      <c r="O46" s="64"/>
      <c r="P46" s="64"/>
      <c r="Q46" s="67" t="s">
        <v>50</v>
      </c>
      <c r="R46" s="66">
        <f>R45-R37</f>
        <v>-1101116.3636363633</v>
      </c>
      <c r="S46" s="64">
        <f>K46</f>
        <v>0</v>
      </c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7" t="s">
        <v>50</v>
      </c>
      <c r="AE46" s="66">
        <f>AE45-AE37</f>
        <v>-685981.81818181789</v>
      </c>
      <c r="AF46" s="64">
        <f>K46</f>
        <v>0</v>
      </c>
      <c r="AG46" s="64"/>
      <c r="AH46" s="72"/>
      <c r="AI46" s="73" t="s">
        <v>51</v>
      </c>
      <c r="AJ46" s="74" t="e">
        <f>AJ45/K46</f>
        <v>#DIV/0!</v>
      </c>
      <c r="AK46" s="75">
        <f>(AJ37+AK37)/AJ44</f>
        <v>1.1679405639819056</v>
      </c>
      <c r="AL46" s="72"/>
      <c r="AM46" s="76"/>
      <c r="AN46" s="25"/>
      <c r="AO46" s="25"/>
      <c r="AP46" s="25"/>
      <c r="AQ46" s="27"/>
      <c r="AR46" s="25"/>
      <c r="AS46" s="27"/>
      <c r="AT46" s="25"/>
      <c r="AU46" s="25"/>
    </row>
    <row r="47" spans="1:48" ht="25.5" customHeight="1">
      <c r="A47" s="76"/>
      <c r="B47" s="129"/>
      <c r="C47" s="76"/>
      <c r="D47" s="76"/>
      <c r="E47" s="76"/>
      <c r="F47" s="76"/>
      <c r="G47" s="76"/>
      <c r="H47" s="77"/>
      <c r="I47" s="73" t="s">
        <v>51</v>
      </c>
      <c r="J47" s="78" t="e">
        <f>J46/K46</f>
        <v>#DIV/0!</v>
      </c>
      <c r="K47" s="79">
        <f>J37/J45</f>
        <v>1.2853542780748661</v>
      </c>
      <c r="L47" s="72"/>
      <c r="M47" s="72"/>
      <c r="N47" s="72"/>
      <c r="O47" s="72"/>
      <c r="P47" s="72"/>
      <c r="Q47" s="73" t="s">
        <v>51</v>
      </c>
      <c r="R47" s="74" t="e">
        <f>R46/S46</f>
        <v>#DIV/0!</v>
      </c>
      <c r="S47" s="79">
        <f>R37/R45</f>
        <v>1.1117145162426865</v>
      </c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3" t="s">
        <v>51</v>
      </c>
      <c r="AE47" s="78" t="e">
        <f>AE46/AF46</f>
        <v>#DIV/0!</v>
      </c>
      <c r="AF47" s="79">
        <f>AE37/AE45</f>
        <v>1.457321212121212</v>
      </c>
      <c r="AG47" s="72"/>
      <c r="AH47" s="25"/>
      <c r="AI47" s="25"/>
      <c r="AJ47" s="187" t="s">
        <v>91</v>
      </c>
      <c r="AK47" s="25"/>
      <c r="AL47" s="25"/>
      <c r="AM47" s="25"/>
      <c r="AN47" s="76"/>
      <c r="AO47" s="76"/>
      <c r="AP47" s="76"/>
      <c r="AQ47" s="80"/>
      <c r="AR47" s="76"/>
      <c r="AS47" s="80"/>
      <c r="AT47" s="76"/>
      <c r="AU47" s="76"/>
    </row>
    <row r="48" spans="1:48" ht="15.75" customHeight="1">
      <c r="A48" s="25"/>
      <c r="B48" s="128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81"/>
      <c r="AI48" s="81"/>
      <c r="AJ48" s="81"/>
      <c r="AK48" s="81"/>
      <c r="AL48" s="81"/>
      <c r="AM48" s="81"/>
      <c r="AN48" s="25"/>
      <c r="AO48" s="25"/>
      <c r="AP48" s="25"/>
      <c r="AQ48" s="27"/>
      <c r="AR48" s="25"/>
      <c r="AS48" s="27"/>
      <c r="AT48" s="25"/>
      <c r="AU48" s="25"/>
    </row>
    <row r="49" spans="1:47" ht="36" customHeight="1">
      <c r="A49" s="81"/>
      <c r="B49" s="130"/>
      <c r="C49" s="81"/>
      <c r="D49" s="81"/>
      <c r="E49" s="81"/>
      <c r="F49" s="81"/>
      <c r="G49" s="81"/>
      <c r="H49" s="81"/>
      <c r="I49" s="81"/>
      <c r="J49" s="81"/>
      <c r="K49" s="81"/>
      <c r="L49" s="82"/>
      <c r="M49" s="25"/>
      <c r="N49" s="25"/>
      <c r="O49" s="25"/>
      <c r="P49" s="25"/>
      <c r="Q49" s="25"/>
      <c r="R49" s="82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  <c r="AE49" s="81"/>
      <c r="AF49" s="81"/>
      <c r="AG49" s="81"/>
      <c r="AH49" s="1"/>
      <c r="AI49" s="1"/>
      <c r="AJ49" s="1"/>
      <c r="AK49" s="1"/>
      <c r="AL49" s="1"/>
      <c r="AM49" s="1"/>
      <c r="AN49" s="81"/>
      <c r="AO49" s="81"/>
      <c r="AP49" s="81"/>
      <c r="AQ49" s="83"/>
      <c r="AR49" s="81"/>
      <c r="AS49" s="83"/>
      <c r="AT49" s="81"/>
      <c r="AU49" s="81"/>
    </row>
    <row r="50" spans="1:47" ht="36" customHeight="1">
      <c r="A50" s="1"/>
      <c r="B50" s="131"/>
      <c r="C50" s="1"/>
      <c r="D50" s="1"/>
      <c r="E50" s="1"/>
      <c r="F50" s="1"/>
      <c r="G50" s="1"/>
      <c r="H50" s="1"/>
      <c r="I50" s="1"/>
      <c r="J50" s="1"/>
      <c r="K50" s="1"/>
      <c r="L50" s="84"/>
      <c r="M50" s="25"/>
      <c r="N50" s="25"/>
      <c r="O50" s="25"/>
      <c r="P50" s="25"/>
      <c r="Q50" s="25"/>
      <c r="R50" s="84"/>
      <c r="S50" s="84"/>
      <c r="T50" s="1"/>
      <c r="U50" s="1"/>
      <c r="V50" s="1"/>
      <c r="W50" s="1"/>
      <c r="X50" s="1"/>
      <c r="Y50" s="1"/>
      <c r="Z50" s="85"/>
      <c r="AA50" s="1"/>
      <c r="AB50" s="1"/>
      <c r="AC50" s="1"/>
      <c r="AD50" s="1"/>
      <c r="AE50" s="1"/>
      <c r="AF50" s="1"/>
      <c r="AG50" s="1"/>
      <c r="AH50" s="81"/>
      <c r="AI50" s="81"/>
      <c r="AJ50" s="81"/>
      <c r="AK50" s="81"/>
      <c r="AL50" s="81"/>
      <c r="AM50" s="81"/>
      <c r="AN50" s="1"/>
      <c r="AO50" s="1"/>
      <c r="AP50" s="1"/>
      <c r="AQ50" s="86"/>
      <c r="AR50" s="1"/>
      <c r="AS50" s="86"/>
      <c r="AT50" s="1"/>
      <c r="AU50" s="1"/>
    </row>
    <row r="51" spans="1:47" ht="36" customHeight="1">
      <c r="A51" s="81"/>
      <c r="B51" s="130"/>
      <c r="C51" s="81"/>
      <c r="D51" s="81"/>
      <c r="E51" s="81"/>
      <c r="F51" s="81"/>
      <c r="G51" s="81"/>
      <c r="H51" s="81"/>
      <c r="I51" s="81"/>
      <c r="J51" s="81"/>
      <c r="K51" s="1"/>
      <c r="L51" s="84"/>
      <c r="M51" s="25"/>
      <c r="N51" s="25"/>
      <c r="O51" s="25"/>
      <c r="P51" s="25"/>
      <c r="Q51" s="25"/>
      <c r="R51" s="87"/>
      <c r="S51" s="88"/>
      <c r="T51" s="88"/>
      <c r="U51" s="88"/>
      <c r="V51" s="88"/>
      <c r="W51" s="89"/>
      <c r="X51" s="90"/>
      <c r="Y51" s="91"/>
      <c r="Z51" s="92"/>
      <c r="AA51" s="81"/>
      <c r="AB51" s="81"/>
      <c r="AC51" s="81"/>
      <c r="AD51" s="81"/>
      <c r="AE51" s="81"/>
      <c r="AF51" s="81"/>
      <c r="AG51" s="81"/>
      <c r="AH51" s="81"/>
      <c r="AI51" s="81"/>
      <c r="AJ51" s="81"/>
      <c r="AK51" s="81"/>
      <c r="AL51" s="81"/>
      <c r="AM51" s="81"/>
      <c r="AN51" s="81"/>
      <c r="AO51" s="81"/>
      <c r="AP51" s="81"/>
      <c r="AQ51" s="83"/>
      <c r="AR51" s="81"/>
      <c r="AS51" s="83"/>
      <c r="AT51" s="81"/>
      <c r="AU51" s="81"/>
    </row>
    <row r="52" spans="1:47" ht="36" customHeight="1">
      <c r="A52" s="81"/>
      <c r="B52" s="130"/>
      <c r="C52" s="81"/>
      <c r="D52" s="81"/>
      <c r="E52" s="81"/>
      <c r="F52" s="81"/>
      <c r="G52" s="81"/>
      <c r="H52" s="81"/>
      <c r="I52" s="81"/>
      <c r="J52" s="81"/>
      <c r="K52" s="1"/>
      <c r="L52" s="84"/>
      <c r="M52" s="25"/>
      <c r="N52" s="25"/>
      <c r="O52" s="25"/>
      <c r="P52" s="25"/>
      <c r="Q52" s="25"/>
      <c r="R52" s="89"/>
      <c r="S52" s="88"/>
      <c r="T52" s="88"/>
      <c r="U52" s="88"/>
      <c r="V52" s="88"/>
      <c r="W52" s="89"/>
      <c r="X52" s="90"/>
      <c r="Y52" s="91"/>
      <c r="Z52" s="92"/>
      <c r="AA52" s="81"/>
      <c r="AB52" s="81"/>
      <c r="AC52" s="81"/>
      <c r="AD52" s="81"/>
      <c r="AE52" s="81"/>
      <c r="AF52" s="81"/>
      <c r="AG52" s="81"/>
      <c r="AH52" s="81"/>
      <c r="AI52" s="81"/>
      <c r="AJ52" s="81"/>
      <c r="AK52" s="81"/>
      <c r="AL52" s="81"/>
      <c r="AM52" s="81"/>
      <c r="AN52" s="81"/>
      <c r="AO52" s="81"/>
      <c r="AP52" s="81"/>
      <c r="AQ52" s="83"/>
      <c r="AR52" s="81"/>
      <c r="AS52" s="83"/>
      <c r="AT52" s="81"/>
      <c r="AU52" s="81"/>
    </row>
    <row r="53" spans="1:47" ht="36" customHeight="1">
      <c r="A53" s="81"/>
      <c r="B53" s="130"/>
      <c r="C53" s="81"/>
      <c r="D53" s="81"/>
      <c r="E53" s="81"/>
      <c r="F53" s="81"/>
      <c r="G53" s="81"/>
      <c r="H53" s="81"/>
      <c r="I53" s="81"/>
      <c r="J53" s="81"/>
      <c r="K53" s="1"/>
      <c r="L53" s="84"/>
      <c r="M53" s="25"/>
      <c r="N53" s="25"/>
      <c r="O53" s="25"/>
      <c r="P53" s="25"/>
      <c r="Q53" s="25"/>
      <c r="R53" s="89"/>
      <c r="S53" s="88"/>
      <c r="T53" s="88"/>
      <c r="U53" s="88"/>
      <c r="V53" s="88"/>
      <c r="W53" s="89"/>
      <c r="X53" s="90"/>
      <c r="Y53" s="91"/>
      <c r="Z53" s="92"/>
      <c r="AA53" s="81"/>
      <c r="AB53" s="81"/>
      <c r="AC53" s="81"/>
      <c r="AD53" s="81"/>
      <c r="AE53" s="81"/>
      <c r="AF53" s="81"/>
      <c r="AG53" s="81"/>
      <c r="AH53" s="81"/>
      <c r="AI53" s="81"/>
      <c r="AJ53" s="81"/>
      <c r="AK53" s="81"/>
      <c r="AL53" s="81"/>
      <c r="AM53" s="81"/>
      <c r="AN53" s="81"/>
      <c r="AO53" s="81"/>
      <c r="AP53" s="81"/>
      <c r="AQ53" s="83"/>
      <c r="AR53" s="81"/>
      <c r="AS53" s="83"/>
      <c r="AT53" s="81"/>
      <c r="AU53" s="81"/>
    </row>
    <row r="54" spans="1:47" ht="36" customHeight="1">
      <c r="A54" s="81"/>
      <c r="B54" s="130"/>
      <c r="C54" s="81"/>
      <c r="D54" s="81"/>
      <c r="E54" s="81"/>
      <c r="F54" s="81"/>
      <c r="G54" s="81"/>
      <c r="H54" s="81"/>
      <c r="I54" s="81"/>
      <c r="J54" s="81"/>
      <c r="K54" s="1"/>
      <c r="L54" s="84"/>
      <c r="M54" s="25"/>
      <c r="N54" s="25"/>
      <c r="O54" s="25"/>
      <c r="P54" s="25"/>
      <c r="Q54" s="25"/>
      <c r="R54" s="89"/>
      <c r="S54" s="88"/>
      <c r="T54" s="88"/>
      <c r="U54" s="88"/>
      <c r="V54" s="88"/>
      <c r="W54" s="89"/>
      <c r="X54" s="90"/>
      <c r="Y54" s="91"/>
      <c r="Z54" s="92"/>
      <c r="AA54" s="81"/>
      <c r="AB54" s="81"/>
      <c r="AC54" s="81"/>
      <c r="AD54" s="81"/>
      <c r="AE54" s="81"/>
      <c r="AF54" s="81"/>
      <c r="AG54" s="81"/>
      <c r="AH54" s="81"/>
      <c r="AI54" s="81"/>
      <c r="AJ54" s="81"/>
      <c r="AK54" s="81"/>
      <c r="AL54" s="81"/>
      <c r="AM54" s="81"/>
      <c r="AN54" s="81"/>
      <c r="AO54" s="81"/>
      <c r="AP54" s="81"/>
      <c r="AQ54" s="83"/>
      <c r="AR54" s="81"/>
      <c r="AS54" s="83"/>
      <c r="AT54" s="81"/>
      <c r="AU54" s="81"/>
    </row>
    <row r="55" spans="1:47" ht="36" customHeight="1">
      <c r="A55" s="81"/>
      <c r="B55" s="130"/>
      <c r="C55" s="81"/>
      <c r="D55" s="81"/>
      <c r="E55" s="81"/>
      <c r="F55" s="81"/>
      <c r="G55" s="81"/>
      <c r="H55" s="81"/>
      <c r="I55" s="81"/>
      <c r="J55" s="81"/>
      <c r="K55" s="81"/>
      <c r="L55" s="82"/>
      <c r="M55" s="25"/>
      <c r="N55" s="25"/>
      <c r="O55" s="25"/>
      <c r="P55" s="25"/>
      <c r="Q55" s="25"/>
      <c r="R55" s="89"/>
      <c r="S55" s="88"/>
      <c r="T55" s="88"/>
      <c r="U55" s="88"/>
      <c r="V55" s="88"/>
      <c r="W55" s="90"/>
      <c r="X55" s="90"/>
      <c r="Y55" s="91"/>
      <c r="Z55" s="92"/>
      <c r="AA55" s="81"/>
      <c r="AB55" s="81"/>
      <c r="AC55" s="81"/>
      <c r="AD55" s="81"/>
      <c r="AE55" s="81"/>
      <c r="AF55" s="81"/>
      <c r="AG55" s="81"/>
      <c r="AH55" s="25"/>
      <c r="AI55" s="25"/>
      <c r="AJ55" s="25"/>
      <c r="AK55" s="25"/>
      <c r="AL55" s="25"/>
      <c r="AM55" s="25"/>
      <c r="AN55" s="81"/>
      <c r="AO55" s="81"/>
      <c r="AP55" s="81"/>
      <c r="AQ55" s="83"/>
      <c r="AR55" s="81"/>
      <c r="AS55" s="83"/>
      <c r="AT55" s="81"/>
      <c r="AU55" s="81"/>
    </row>
    <row r="56" spans="1:47" ht="15.75" customHeight="1">
      <c r="A56" s="25"/>
      <c r="B56" s="128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91"/>
      <c r="Z56" s="91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7"/>
      <c r="AT56" s="25"/>
      <c r="AU56" s="27"/>
    </row>
    <row r="57" spans="1:47" ht="15.75" customHeight="1">
      <c r="A57" s="25"/>
      <c r="B57" s="128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81"/>
      <c r="Z57" s="81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7"/>
      <c r="AT57" s="25"/>
      <c r="AU57" s="27"/>
    </row>
    <row r="58" spans="1:47" ht="15.75" customHeight="1">
      <c r="A58" s="25"/>
      <c r="B58" s="128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7"/>
      <c r="AT58" s="25"/>
      <c r="AU58" s="27"/>
    </row>
    <row r="59" spans="1:47" ht="15.75" customHeight="1">
      <c r="A59" s="25"/>
      <c r="B59" s="128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7"/>
      <c r="AT59" s="25"/>
      <c r="AU59" s="27"/>
    </row>
    <row r="60" spans="1:47" ht="15.75" customHeight="1">
      <c r="A60" s="25"/>
      <c r="B60" s="128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7"/>
      <c r="AT60" s="25"/>
      <c r="AU60" s="27"/>
    </row>
    <row r="61" spans="1:47" ht="15.75" customHeight="1">
      <c r="A61" s="25"/>
      <c r="B61" s="128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7"/>
      <c r="AT61" s="25"/>
      <c r="AU61" s="27"/>
    </row>
    <row r="62" spans="1:47" ht="15.75" customHeight="1">
      <c r="A62" s="25"/>
      <c r="B62" s="128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7"/>
      <c r="AT62" s="25"/>
      <c r="AU62" s="27"/>
    </row>
    <row r="63" spans="1:47" ht="15.75" customHeight="1">
      <c r="A63" s="25"/>
      <c r="B63" s="128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7"/>
      <c r="AT63" s="25"/>
      <c r="AU63" s="27"/>
    </row>
    <row r="64" spans="1:47" ht="15.75" customHeight="1">
      <c r="A64" s="25"/>
      <c r="B64" s="128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7"/>
      <c r="AT64" s="25"/>
      <c r="AU64" s="27"/>
    </row>
    <row r="65" spans="1:47" ht="15.75" customHeight="1">
      <c r="A65" s="25"/>
      <c r="B65" s="128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7"/>
      <c r="AT65" s="25"/>
      <c r="AU65" s="27"/>
    </row>
    <row r="66" spans="1:47" ht="15.75" customHeight="1">
      <c r="A66" s="25"/>
      <c r="B66" s="128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7"/>
      <c r="AT66" s="25"/>
      <c r="AU66" s="27"/>
    </row>
    <row r="67" spans="1:47" ht="15.75" customHeight="1">
      <c r="A67" s="25"/>
      <c r="B67" s="128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7"/>
      <c r="AT67" s="25"/>
      <c r="AU67" s="27"/>
    </row>
    <row r="68" spans="1:47" ht="15.75" customHeight="1">
      <c r="A68" s="25"/>
      <c r="B68" s="128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7"/>
      <c r="AT68" s="25"/>
      <c r="AU68" s="27"/>
    </row>
    <row r="69" spans="1:47" ht="15.75" customHeight="1">
      <c r="A69" s="25"/>
      <c r="B69" s="128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7"/>
      <c r="AT69" s="25"/>
      <c r="AU69" s="27"/>
    </row>
    <row r="70" spans="1:47" ht="15.75" customHeight="1">
      <c r="A70" s="25"/>
      <c r="B70" s="128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7"/>
      <c r="AT70" s="25"/>
      <c r="AU70" s="27"/>
    </row>
    <row r="71" spans="1:47" ht="15.75" customHeight="1">
      <c r="A71" s="25"/>
      <c r="B71" s="128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7"/>
      <c r="AT71" s="25"/>
      <c r="AU71" s="27"/>
    </row>
    <row r="72" spans="1:47" ht="15.75" customHeight="1">
      <c r="A72" s="25"/>
      <c r="B72" s="128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7"/>
      <c r="AT72" s="25"/>
      <c r="AU72" s="27"/>
    </row>
    <row r="73" spans="1:47" ht="15.75" customHeight="1">
      <c r="A73" s="25"/>
      <c r="B73" s="128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7"/>
      <c r="AT73" s="25"/>
      <c r="AU73" s="27"/>
    </row>
    <row r="74" spans="1:47" ht="15.75" customHeight="1">
      <c r="A74" s="25"/>
      <c r="B74" s="128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7"/>
      <c r="AT74" s="25"/>
      <c r="AU74" s="27"/>
    </row>
    <row r="75" spans="1:47" ht="15.75" customHeight="1">
      <c r="A75" s="25"/>
      <c r="B75" s="128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7"/>
      <c r="AT75" s="25"/>
      <c r="AU75" s="27"/>
    </row>
    <row r="76" spans="1:47" ht="15.75" customHeight="1">
      <c r="A76" s="25"/>
      <c r="B76" s="128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7"/>
      <c r="AT76" s="25"/>
      <c r="AU76" s="27"/>
    </row>
    <row r="77" spans="1:47" ht="15.75" customHeight="1">
      <c r="A77" s="25"/>
      <c r="B77" s="128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7"/>
      <c r="AT77" s="25"/>
      <c r="AU77" s="27"/>
    </row>
    <row r="78" spans="1:47" ht="15.75" customHeight="1">
      <c r="A78" s="25"/>
      <c r="B78" s="128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7"/>
      <c r="AT78" s="25"/>
      <c r="AU78" s="27"/>
    </row>
    <row r="79" spans="1:47" ht="15.75" customHeight="1">
      <c r="A79" s="25"/>
      <c r="B79" s="128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7"/>
      <c r="AT79" s="25"/>
      <c r="AU79" s="27"/>
    </row>
    <row r="80" spans="1:47" ht="15.75" customHeight="1">
      <c r="A80" s="25"/>
      <c r="B80" s="128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7"/>
      <c r="AT80" s="25"/>
      <c r="AU80" s="27"/>
    </row>
    <row r="81" spans="1:47" ht="15.75" customHeight="1">
      <c r="A81" s="25"/>
      <c r="B81" s="128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7"/>
      <c r="AT81" s="25"/>
      <c r="AU81" s="27"/>
    </row>
    <row r="82" spans="1:47" ht="15.75" customHeight="1">
      <c r="A82" s="25"/>
      <c r="B82" s="128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7"/>
      <c r="AT82" s="25"/>
      <c r="AU82" s="27"/>
    </row>
    <row r="83" spans="1:47" ht="15.75" customHeight="1">
      <c r="A83" s="25"/>
      <c r="B83" s="128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7"/>
      <c r="AT83" s="25"/>
      <c r="AU83" s="27"/>
    </row>
    <row r="84" spans="1:47" ht="15.75" customHeight="1">
      <c r="A84" s="25"/>
      <c r="B84" s="128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7"/>
      <c r="AT84" s="25"/>
      <c r="AU84" s="27"/>
    </row>
    <row r="85" spans="1:47" ht="15.75" customHeight="1">
      <c r="A85" s="25"/>
      <c r="B85" s="128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7"/>
      <c r="AT85" s="25"/>
      <c r="AU85" s="27"/>
    </row>
    <row r="86" spans="1:47" ht="15.75" customHeight="1">
      <c r="A86" s="25"/>
      <c r="B86" s="128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7"/>
      <c r="AT86" s="25"/>
      <c r="AU86" s="27"/>
    </row>
    <row r="87" spans="1:47" ht="15.75" customHeight="1">
      <c r="A87" s="25"/>
      <c r="B87" s="128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7"/>
      <c r="AT87" s="25"/>
      <c r="AU87" s="27"/>
    </row>
    <row r="88" spans="1:47" ht="15.75" customHeight="1">
      <c r="A88" s="25"/>
      <c r="B88" s="128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7"/>
      <c r="AT88" s="25"/>
      <c r="AU88" s="27"/>
    </row>
    <row r="89" spans="1:47" ht="15.75" customHeight="1">
      <c r="A89" s="25"/>
      <c r="B89" s="128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7"/>
      <c r="AT89" s="25"/>
      <c r="AU89" s="27"/>
    </row>
    <row r="90" spans="1:47" ht="15.75" customHeight="1">
      <c r="A90" s="25"/>
      <c r="B90" s="128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7"/>
      <c r="AT90" s="25"/>
      <c r="AU90" s="27"/>
    </row>
    <row r="91" spans="1:47" ht="15.75" customHeight="1">
      <c r="A91" s="25"/>
      <c r="B91" s="128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7"/>
      <c r="AT91" s="25"/>
      <c r="AU91" s="27"/>
    </row>
    <row r="92" spans="1:47" ht="15.75" customHeight="1">
      <c r="A92" s="25"/>
      <c r="B92" s="128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7"/>
      <c r="AT92" s="25"/>
      <c r="AU92" s="27"/>
    </row>
    <row r="93" spans="1:47" ht="15.75" customHeight="1">
      <c r="A93" s="25"/>
      <c r="B93" s="128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7"/>
      <c r="AT93" s="25"/>
      <c r="AU93" s="27"/>
    </row>
    <row r="94" spans="1:47" ht="15.75" customHeight="1">
      <c r="A94" s="25"/>
      <c r="B94" s="128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7"/>
      <c r="AT94" s="25"/>
      <c r="AU94" s="27"/>
    </row>
    <row r="95" spans="1:47" ht="15.75" customHeight="1">
      <c r="A95" s="25"/>
      <c r="B95" s="128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7"/>
      <c r="AT95" s="25"/>
      <c r="AU95" s="27"/>
    </row>
    <row r="96" spans="1:47" ht="15.75" customHeight="1">
      <c r="A96" s="25"/>
      <c r="B96" s="128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7"/>
      <c r="AT96" s="25"/>
      <c r="AU96" s="27"/>
    </row>
    <row r="97" spans="1:47" ht="15.75" customHeight="1">
      <c r="A97" s="25"/>
      <c r="B97" s="128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7"/>
      <c r="AT97" s="25"/>
      <c r="AU97" s="27"/>
    </row>
    <row r="98" spans="1:47" ht="15.75" customHeight="1">
      <c r="A98" s="25"/>
      <c r="B98" s="128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7"/>
      <c r="AT98" s="25"/>
      <c r="AU98" s="27"/>
    </row>
    <row r="99" spans="1:47" ht="15.75" customHeight="1">
      <c r="A99" s="25"/>
      <c r="B99" s="128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7"/>
      <c r="AT99" s="25"/>
      <c r="AU99" s="27"/>
    </row>
    <row r="100" spans="1:47" ht="15.75" customHeight="1">
      <c r="A100" s="25"/>
      <c r="B100" s="128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7"/>
      <c r="AT100" s="25"/>
      <c r="AU100" s="27"/>
    </row>
    <row r="101" spans="1:47" ht="15.75" customHeight="1">
      <c r="A101" s="25"/>
      <c r="B101" s="128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7"/>
      <c r="AT101" s="25"/>
      <c r="AU101" s="27"/>
    </row>
    <row r="102" spans="1:47" ht="15.75" customHeight="1">
      <c r="A102" s="25"/>
      <c r="B102" s="128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7"/>
      <c r="AT102" s="25"/>
      <c r="AU102" s="27"/>
    </row>
    <row r="103" spans="1:47" ht="15.75" customHeight="1">
      <c r="A103" s="25"/>
      <c r="B103" s="128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7"/>
      <c r="AT103" s="25"/>
      <c r="AU103" s="27"/>
    </row>
    <row r="104" spans="1:47" ht="15.75" customHeight="1">
      <c r="A104" s="25"/>
      <c r="B104" s="128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7"/>
      <c r="AT104" s="25"/>
      <c r="AU104" s="27"/>
    </row>
    <row r="105" spans="1:47" ht="15.75" customHeight="1">
      <c r="A105" s="25"/>
      <c r="B105" s="128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7"/>
      <c r="AT105" s="25"/>
      <c r="AU105" s="27"/>
    </row>
    <row r="106" spans="1:47" ht="15.75" customHeight="1">
      <c r="A106" s="25"/>
      <c r="B106" s="128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7"/>
      <c r="AT106" s="25"/>
      <c r="AU106" s="27"/>
    </row>
    <row r="107" spans="1:47" ht="15.75" customHeight="1">
      <c r="A107" s="25"/>
      <c r="B107" s="128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7"/>
      <c r="AT107" s="25"/>
      <c r="AU107" s="27"/>
    </row>
    <row r="108" spans="1:47" ht="15.75" customHeight="1">
      <c r="A108" s="25"/>
      <c r="B108" s="128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7"/>
      <c r="AT108" s="25"/>
      <c r="AU108" s="27"/>
    </row>
    <row r="109" spans="1:47" ht="15.75" customHeight="1">
      <c r="A109" s="25"/>
      <c r="B109" s="128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7"/>
      <c r="AT109" s="25"/>
      <c r="AU109" s="27"/>
    </row>
    <row r="110" spans="1:47" ht="15.75" customHeight="1">
      <c r="A110" s="25"/>
      <c r="B110" s="128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7"/>
      <c r="AT110" s="25"/>
      <c r="AU110" s="27"/>
    </row>
    <row r="111" spans="1:47" ht="15.75" customHeight="1">
      <c r="A111" s="25"/>
      <c r="B111" s="128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7"/>
      <c r="AT111" s="25"/>
      <c r="AU111" s="27"/>
    </row>
    <row r="112" spans="1:47" ht="15.75" customHeight="1">
      <c r="A112" s="25"/>
      <c r="B112" s="128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7"/>
      <c r="AT112" s="25"/>
      <c r="AU112" s="27"/>
    </row>
    <row r="113" spans="1:47" ht="15.75" customHeight="1">
      <c r="A113" s="25"/>
      <c r="B113" s="128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7"/>
      <c r="AT113" s="25"/>
      <c r="AU113" s="27"/>
    </row>
    <row r="114" spans="1:47" ht="15.75" customHeight="1">
      <c r="A114" s="25"/>
      <c r="B114" s="128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7"/>
      <c r="AT114" s="25"/>
      <c r="AU114" s="27"/>
    </row>
    <row r="115" spans="1:47" ht="15.75" customHeight="1">
      <c r="A115" s="25"/>
      <c r="B115" s="128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7"/>
      <c r="AT115" s="25"/>
      <c r="AU115" s="27"/>
    </row>
    <row r="116" spans="1:47" ht="15.75" customHeight="1">
      <c r="A116" s="25"/>
      <c r="B116" s="128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7"/>
      <c r="AT116" s="25"/>
      <c r="AU116" s="27"/>
    </row>
    <row r="117" spans="1:47" ht="15.75" customHeight="1">
      <c r="A117" s="25"/>
      <c r="B117" s="128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7"/>
      <c r="AT117" s="25"/>
      <c r="AU117" s="27"/>
    </row>
    <row r="118" spans="1:47" ht="15.75" customHeight="1">
      <c r="A118" s="25"/>
      <c r="B118" s="128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7"/>
      <c r="AT118" s="25"/>
      <c r="AU118" s="27"/>
    </row>
    <row r="119" spans="1:47" ht="15.75" customHeight="1">
      <c r="A119" s="25"/>
      <c r="B119" s="128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7"/>
      <c r="AT119" s="25"/>
      <c r="AU119" s="27"/>
    </row>
    <row r="120" spans="1:47" ht="15.75" customHeight="1">
      <c r="A120" s="25"/>
      <c r="B120" s="128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7"/>
      <c r="AT120" s="25"/>
      <c r="AU120" s="27"/>
    </row>
    <row r="121" spans="1:47" ht="15.75" customHeight="1">
      <c r="A121" s="25"/>
      <c r="B121" s="128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7"/>
      <c r="AT121" s="25"/>
      <c r="AU121" s="27"/>
    </row>
    <row r="122" spans="1:47" ht="15.75" customHeight="1">
      <c r="A122" s="25"/>
      <c r="B122" s="128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7"/>
      <c r="AT122" s="25"/>
      <c r="AU122" s="27"/>
    </row>
    <row r="123" spans="1:47" ht="15.75" customHeight="1">
      <c r="A123" s="25"/>
      <c r="B123" s="128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7"/>
      <c r="AT123" s="25"/>
      <c r="AU123" s="27"/>
    </row>
    <row r="124" spans="1:47" ht="15.75" customHeight="1">
      <c r="A124" s="25"/>
      <c r="B124" s="128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7"/>
      <c r="AT124" s="25"/>
      <c r="AU124" s="27"/>
    </row>
    <row r="125" spans="1:47" ht="15.75" customHeight="1">
      <c r="A125" s="25"/>
      <c r="B125" s="128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7"/>
      <c r="AT125" s="25"/>
      <c r="AU125" s="27"/>
    </row>
    <row r="126" spans="1:47" ht="15.75" customHeight="1">
      <c r="A126" s="25"/>
      <c r="B126" s="128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7"/>
      <c r="AT126" s="25"/>
      <c r="AU126" s="27"/>
    </row>
    <row r="127" spans="1:47" ht="15.75" customHeight="1">
      <c r="A127" s="25"/>
      <c r="B127" s="128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7"/>
      <c r="AT127" s="25"/>
      <c r="AU127" s="27"/>
    </row>
    <row r="128" spans="1:47" ht="15.75" customHeight="1">
      <c r="A128" s="25"/>
      <c r="B128" s="128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7"/>
      <c r="AT128" s="25"/>
      <c r="AU128" s="27"/>
    </row>
    <row r="129" spans="1:47" ht="15.75" customHeight="1">
      <c r="A129" s="25"/>
      <c r="B129" s="128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7"/>
      <c r="AT129" s="25"/>
      <c r="AU129" s="27"/>
    </row>
    <row r="130" spans="1:47" ht="15.75" customHeight="1">
      <c r="A130" s="25"/>
      <c r="B130" s="128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7"/>
      <c r="AT130" s="25"/>
      <c r="AU130" s="27"/>
    </row>
    <row r="131" spans="1:47" ht="15.75" customHeight="1">
      <c r="A131" s="25"/>
      <c r="B131" s="128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7"/>
      <c r="AT131" s="25"/>
      <c r="AU131" s="27"/>
    </row>
    <row r="132" spans="1:47" ht="15.75" customHeight="1">
      <c r="A132" s="25"/>
      <c r="B132" s="128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7"/>
      <c r="AT132" s="25"/>
      <c r="AU132" s="27"/>
    </row>
    <row r="133" spans="1:47" ht="15.75" customHeight="1">
      <c r="A133" s="25"/>
      <c r="B133" s="128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7"/>
      <c r="AT133" s="25"/>
      <c r="AU133" s="27"/>
    </row>
    <row r="134" spans="1:47" ht="15.75" customHeight="1">
      <c r="A134" s="25"/>
      <c r="B134" s="128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7"/>
      <c r="AT134" s="25"/>
      <c r="AU134" s="27"/>
    </row>
    <row r="135" spans="1:47" ht="15.75" customHeight="1">
      <c r="A135" s="25"/>
      <c r="B135" s="128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7"/>
      <c r="AT135" s="25"/>
      <c r="AU135" s="27"/>
    </row>
    <row r="136" spans="1:47" ht="15.75" customHeight="1">
      <c r="A136" s="25"/>
      <c r="B136" s="128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7"/>
      <c r="AT136" s="25"/>
      <c r="AU136" s="27"/>
    </row>
    <row r="137" spans="1:47" ht="15.75" customHeight="1">
      <c r="A137" s="25"/>
      <c r="B137" s="128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7"/>
      <c r="AT137" s="25"/>
      <c r="AU137" s="27"/>
    </row>
    <row r="138" spans="1:47" ht="15.75" customHeight="1">
      <c r="A138" s="25"/>
      <c r="B138" s="128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7"/>
      <c r="AT138" s="25"/>
      <c r="AU138" s="27"/>
    </row>
    <row r="139" spans="1:47" ht="15.75" customHeight="1">
      <c r="A139" s="25"/>
      <c r="B139" s="128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7"/>
      <c r="AT139" s="25"/>
      <c r="AU139" s="27"/>
    </row>
    <row r="140" spans="1:47" ht="15.75" customHeight="1">
      <c r="A140" s="25"/>
      <c r="B140" s="128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7"/>
      <c r="AT140" s="25"/>
      <c r="AU140" s="27"/>
    </row>
    <row r="141" spans="1:47" ht="15.75" customHeight="1">
      <c r="A141" s="25"/>
      <c r="B141" s="128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7"/>
      <c r="AT141" s="25"/>
      <c r="AU141" s="27"/>
    </row>
    <row r="142" spans="1:47" ht="15.75" customHeight="1">
      <c r="A142" s="25"/>
      <c r="B142" s="128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7"/>
      <c r="AT142" s="25"/>
      <c r="AU142" s="27"/>
    </row>
    <row r="143" spans="1:47" ht="15.75" customHeight="1">
      <c r="A143" s="25"/>
      <c r="B143" s="128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7"/>
      <c r="AT143" s="25"/>
      <c r="AU143" s="27"/>
    </row>
    <row r="144" spans="1:47" ht="15.75" customHeight="1">
      <c r="A144" s="25"/>
      <c r="B144" s="128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7"/>
      <c r="AT144" s="25"/>
      <c r="AU144" s="27"/>
    </row>
    <row r="145" spans="1:47" ht="15.75" customHeight="1">
      <c r="A145" s="25"/>
      <c r="B145" s="128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7"/>
      <c r="AT145" s="25"/>
      <c r="AU145" s="27"/>
    </row>
    <row r="146" spans="1:47" ht="15.75" customHeight="1">
      <c r="A146" s="25"/>
      <c r="B146" s="128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7"/>
      <c r="AT146" s="25"/>
      <c r="AU146" s="27"/>
    </row>
    <row r="147" spans="1:47" ht="15.75" customHeight="1">
      <c r="A147" s="25"/>
      <c r="B147" s="128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7"/>
      <c r="AT147" s="25"/>
      <c r="AU147" s="27"/>
    </row>
    <row r="148" spans="1:47" ht="15.75" customHeight="1">
      <c r="A148" s="25"/>
      <c r="B148" s="128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7"/>
      <c r="AT148" s="25"/>
      <c r="AU148" s="27"/>
    </row>
    <row r="149" spans="1:47" ht="15.75" customHeight="1">
      <c r="A149" s="25"/>
      <c r="B149" s="128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7"/>
      <c r="AT149" s="25"/>
      <c r="AU149" s="27"/>
    </row>
    <row r="150" spans="1:47" ht="15.75" customHeight="1">
      <c r="A150" s="25"/>
      <c r="B150" s="128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7"/>
      <c r="AT150" s="25"/>
      <c r="AU150" s="27"/>
    </row>
    <row r="151" spans="1:47" ht="15.75" customHeight="1">
      <c r="A151" s="25"/>
      <c r="B151" s="128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7"/>
      <c r="AT151" s="25"/>
      <c r="AU151" s="27"/>
    </row>
    <row r="152" spans="1:47" ht="15.75" customHeight="1">
      <c r="A152" s="25"/>
      <c r="B152" s="128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7"/>
      <c r="AT152" s="25"/>
      <c r="AU152" s="27"/>
    </row>
    <row r="153" spans="1:47" ht="15.75" customHeight="1">
      <c r="A153" s="25"/>
      <c r="B153" s="128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7"/>
      <c r="AT153" s="25"/>
      <c r="AU153" s="27"/>
    </row>
    <row r="154" spans="1:47" ht="15.75" customHeight="1">
      <c r="A154" s="25"/>
      <c r="B154" s="128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7"/>
      <c r="AT154" s="25"/>
      <c r="AU154" s="27"/>
    </row>
    <row r="155" spans="1:47" ht="15.75" customHeight="1">
      <c r="A155" s="25"/>
      <c r="B155" s="128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7"/>
      <c r="AT155" s="25"/>
      <c r="AU155" s="27"/>
    </row>
    <row r="156" spans="1:47" ht="15.75" customHeight="1">
      <c r="A156" s="25"/>
      <c r="B156" s="128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7"/>
      <c r="AT156" s="25"/>
      <c r="AU156" s="27"/>
    </row>
    <row r="157" spans="1:47" ht="15.75" customHeight="1">
      <c r="A157" s="25"/>
      <c r="B157" s="128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7"/>
      <c r="AT157" s="25"/>
      <c r="AU157" s="27"/>
    </row>
    <row r="158" spans="1:47" ht="15.75" customHeight="1">
      <c r="A158" s="25"/>
      <c r="B158" s="128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7"/>
      <c r="AT158" s="25"/>
      <c r="AU158" s="27"/>
    </row>
    <row r="159" spans="1:47" ht="15.75" customHeight="1">
      <c r="A159" s="25"/>
      <c r="B159" s="128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7"/>
      <c r="AT159" s="25"/>
      <c r="AU159" s="27"/>
    </row>
    <row r="160" spans="1:47" ht="15.75" customHeight="1">
      <c r="A160" s="25"/>
      <c r="B160" s="128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7"/>
      <c r="AT160" s="25"/>
      <c r="AU160" s="27"/>
    </row>
    <row r="161" spans="1:47" ht="15.75" customHeight="1">
      <c r="A161" s="25"/>
      <c r="B161" s="128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7"/>
      <c r="AT161" s="25"/>
      <c r="AU161" s="27"/>
    </row>
    <row r="162" spans="1:47" ht="15.75" customHeight="1">
      <c r="A162" s="25"/>
      <c r="B162" s="128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7"/>
      <c r="AT162" s="25"/>
      <c r="AU162" s="27"/>
    </row>
    <row r="163" spans="1:47" ht="15.75" customHeight="1">
      <c r="A163" s="25"/>
      <c r="B163" s="128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7"/>
      <c r="AT163" s="25"/>
      <c r="AU163" s="27"/>
    </row>
    <row r="164" spans="1:47" ht="15.75" customHeight="1">
      <c r="A164" s="25"/>
      <c r="B164" s="128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7"/>
      <c r="AT164" s="25"/>
      <c r="AU164" s="27"/>
    </row>
    <row r="165" spans="1:47" ht="15.75" customHeight="1">
      <c r="A165" s="25"/>
      <c r="B165" s="128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7"/>
      <c r="AT165" s="25"/>
      <c r="AU165" s="27"/>
    </row>
    <row r="166" spans="1:47" ht="15.75" customHeight="1">
      <c r="A166" s="25"/>
      <c r="B166" s="128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7"/>
      <c r="AT166" s="25"/>
      <c r="AU166" s="27"/>
    </row>
    <row r="167" spans="1:47" ht="15.75" customHeight="1">
      <c r="A167" s="25"/>
      <c r="B167" s="128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7"/>
      <c r="AT167" s="25"/>
      <c r="AU167" s="27"/>
    </row>
    <row r="168" spans="1:47" ht="15.75" customHeight="1">
      <c r="A168" s="25"/>
      <c r="B168" s="128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7"/>
      <c r="AT168" s="25"/>
      <c r="AU168" s="27"/>
    </row>
    <row r="169" spans="1:47" ht="15.75" customHeight="1">
      <c r="A169" s="25"/>
      <c r="B169" s="128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7"/>
      <c r="AT169" s="25"/>
      <c r="AU169" s="27"/>
    </row>
    <row r="170" spans="1:47" ht="15.75" customHeight="1">
      <c r="A170" s="25"/>
      <c r="B170" s="128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7"/>
      <c r="AT170" s="25"/>
      <c r="AU170" s="27"/>
    </row>
    <row r="171" spans="1:47" ht="15.75" customHeight="1">
      <c r="A171" s="25"/>
      <c r="B171" s="128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7"/>
      <c r="AT171" s="25"/>
      <c r="AU171" s="27"/>
    </row>
    <row r="172" spans="1:47" ht="15.75" customHeight="1">
      <c r="A172" s="25"/>
      <c r="B172" s="128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7"/>
      <c r="AT172" s="25"/>
      <c r="AU172" s="27"/>
    </row>
    <row r="173" spans="1:47" ht="15.75" customHeight="1">
      <c r="A173" s="25"/>
      <c r="B173" s="128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7"/>
      <c r="AT173" s="25"/>
      <c r="AU173" s="27"/>
    </row>
    <row r="174" spans="1:47" ht="15.75" customHeight="1">
      <c r="A174" s="25"/>
      <c r="B174" s="128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7"/>
      <c r="AT174" s="25"/>
      <c r="AU174" s="27"/>
    </row>
    <row r="175" spans="1:47" ht="15.75" customHeight="1">
      <c r="A175" s="25"/>
      <c r="B175" s="128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7"/>
      <c r="AT175" s="25"/>
      <c r="AU175" s="27"/>
    </row>
    <row r="176" spans="1:47" ht="15.75" customHeight="1">
      <c r="A176" s="25"/>
      <c r="B176" s="128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7"/>
      <c r="AT176" s="25"/>
      <c r="AU176" s="27"/>
    </row>
    <row r="177" spans="1:47" ht="15.75" customHeight="1">
      <c r="A177" s="25"/>
      <c r="B177" s="128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7"/>
      <c r="AT177" s="25"/>
      <c r="AU177" s="27"/>
    </row>
    <row r="178" spans="1:47" ht="15.75" customHeight="1">
      <c r="A178" s="25"/>
      <c r="B178" s="128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7"/>
      <c r="AT178" s="25"/>
      <c r="AU178" s="27"/>
    </row>
    <row r="179" spans="1:47" ht="15.75" customHeight="1">
      <c r="A179" s="25"/>
      <c r="B179" s="128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7"/>
      <c r="AT179" s="25"/>
      <c r="AU179" s="27"/>
    </row>
    <row r="180" spans="1:47" ht="15.75" customHeight="1">
      <c r="A180" s="25"/>
      <c r="B180" s="128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7"/>
      <c r="AT180" s="25"/>
      <c r="AU180" s="27"/>
    </row>
    <row r="181" spans="1:47" ht="15.75" customHeight="1">
      <c r="A181" s="25"/>
      <c r="B181" s="128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7"/>
      <c r="AT181" s="25"/>
      <c r="AU181" s="27"/>
    </row>
    <row r="182" spans="1:47" ht="15.75" customHeight="1">
      <c r="A182" s="25"/>
      <c r="B182" s="128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7"/>
      <c r="AT182" s="25"/>
      <c r="AU182" s="27"/>
    </row>
    <row r="183" spans="1:47" ht="15.75" customHeight="1">
      <c r="A183" s="25"/>
      <c r="B183" s="128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7"/>
      <c r="AT183" s="25"/>
      <c r="AU183" s="27"/>
    </row>
    <row r="184" spans="1:47" ht="15.75" customHeight="1">
      <c r="A184" s="25"/>
      <c r="B184" s="128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7"/>
      <c r="AT184" s="25"/>
      <c r="AU184" s="27"/>
    </row>
    <row r="185" spans="1:47" ht="15.75" customHeight="1">
      <c r="A185" s="25"/>
      <c r="B185" s="128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7"/>
      <c r="AT185" s="25"/>
      <c r="AU185" s="27"/>
    </row>
    <row r="186" spans="1:47" ht="15.75" customHeight="1">
      <c r="A186" s="25"/>
      <c r="B186" s="128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7"/>
      <c r="AT186" s="25"/>
      <c r="AU186" s="27"/>
    </row>
    <row r="187" spans="1:47" ht="15.75" customHeight="1">
      <c r="A187" s="25"/>
      <c r="B187" s="128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7"/>
      <c r="AT187" s="25"/>
      <c r="AU187" s="27"/>
    </row>
    <row r="188" spans="1:47" ht="15.75" customHeight="1">
      <c r="A188" s="25"/>
      <c r="B188" s="128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7"/>
      <c r="AT188" s="25"/>
      <c r="AU188" s="27"/>
    </row>
    <row r="189" spans="1:47" ht="15.75" customHeight="1">
      <c r="A189" s="25"/>
      <c r="B189" s="128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7"/>
      <c r="AT189" s="25"/>
      <c r="AU189" s="27"/>
    </row>
    <row r="190" spans="1:47" ht="15.75" customHeight="1">
      <c r="A190" s="25"/>
      <c r="B190" s="128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7"/>
      <c r="AT190" s="25"/>
      <c r="AU190" s="27"/>
    </row>
    <row r="191" spans="1:47" ht="15.75" customHeight="1">
      <c r="A191" s="25"/>
      <c r="B191" s="128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7"/>
      <c r="AT191" s="25"/>
      <c r="AU191" s="27"/>
    </row>
    <row r="192" spans="1:47" ht="15.75" customHeight="1">
      <c r="A192" s="25"/>
      <c r="B192" s="128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7"/>
      <c r="AT192" s="25"/>
      <c r="AU192" s="27"/>
    </row>
    <row r="193" spans="1:47" ht="15.75" customHeight="1">
      <c r="A193" s="25"/>
      <c r="B193" s="128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7"/>
      <c r="AT193" s="25"/>
      <c r="AU193" s="27"/>
    </row>
    <row r="194" spans="1:47" ht="15.75" customHeight="1">
      <c r="A194" s="25"/>
      <c r="B194" s="128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7"/>
      <c r="AT194" s="25"/>
      <c r="AU194" s="27"/>
    </row>
    <row r="195" spans="1:47" ht="15.75" customHeight="1">
      <c r="A195" s="25"/>
      <c r="B195" s="128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7"/>
      <c r="AT195" s="25"/>
      <c r="AU195" s="27"/>
    </row>
    <row r="196" spans="1:47" ht="15.75" customHeight="1">
      <c r="A196" s="25"/>
      <c r="B196" s="128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7"/>
      <c r="AT196" s="25"/>
      <c r="AU196" s="27"/>
    </row>
    <row r="197" spans="1:47" ht="15.75" customHeight="1">
      <c r="A197" s="25"/>
      <c r="B197" s="128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7"/>
      <c r="AT197" s="25"/>
      <c r="AU197" s="27"/>
    </row>
    <row r="198" spans="1:47" ht="15.75" customHeight="1">
      <c r="A198" s="25"/>
      <c r="B198" s="128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7"/>
      <c r="AT198" s="25"/>
      <c r="AU198" s="27"/>
    </row>
    <row r="199" spans="1:47" ht="15.75" customHeight="1">
      <c r="A199" s="25"/>
      <c r="B199" s="128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7"/>
      <c r="AT199" s="25"/>
      <c r="AU199" s="27"/>
    </row>
    <row r="200" spans="1:47" ht="15.75" customHeight="1">
      <c r="A200" s="25"/>
      <c r="B200" s="128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7"/>
      <c r="AT200" s="25"/>
      <c r="AU200" s="27"/>
    </row>
    <row r="201" spans="1:47" ht="15.75" customHeight="1">
      <c r="A201" s="25"/>
      <c r="B201" s="128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7"/>
      <c r="AT201" s="25"/>
      <c r="AU201" s="27"/>
    </row>
    <row r="202" spans="1:47" ht="15.75" customHeight="1">
      <c r="A202" s="25"/>
      <c r="B202" s="128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7"/>
      <c r="AT202" s="25"/>
      <c r="AU202" s="27"/>
    </row>
    <row r="203" spans="1:47" ht="15.75" customHeight="1">
      <c r="A203" s="25"/>
      <c r="B203" s="128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7"/>
      <c r="AT203" s="25"/>
      <c r="AU203" s="27"/>
    </row>
    <row r="204" spans="1:47" ht="15.75" customHeight="1">
      <c r="A204" s="25"/>
      <c r="B204" s="128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7"/>
      <c r="AT204" s="25"/>
      <c r="AU204" s="27"/>
    </row>
    <row r="205" spans="1:47" ht="15.75" customHeight="1">
      <c r="A205" s="25"/>
      <c r="B205" s="128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7"/>
      <c r="AT205" s="25"/>
      <c r="AU205" s="27"/>
    </row>
    <row r="206" spans="1:47" ht="15.75" customHeight="1">
      <c r="A206" s="25"/>
      <c r="B206" s="128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7"/>
      <c r="AT206" s="25"/>
      <c r="AU206" s="27"/>
    </row>
    <row r="207" spans="1:47" ht="15.75" customHeight="1">
      <c r="A207" s="25"/>
      <c r="B207" s="128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7"/>
      <c r="AT207" s="25"/>
      <c r="AU207" s="27"/>
    </row>
    <row r="208" spans="1:47" ht="15.75" customHeight="1">
      <c r="A208" s="25"/>
      <c r="B208" s="128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7"/>
      <c r="AT208" s="25"/>
      <c r="AU208" s="27"/>
    </row>
    <row r="209" spans="1:47" ht="15.75" customHeight="1">
      <c r="A209" s="25"/>
      <c r="B209" s="128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7"/>
      <c r="AT209" s="25"/>
      <c r="AU209" s="27"/>
    </row>
    <row r="210" spans="1:47" ht="15.75" customHeight="1">
      <c r="A210" s="25"/>
      <c r="B210" s="128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7"/>
      <c r="AT210" s="25"/>
      <c r="AU210" s="27"/>
    </row>
    <row r="211" spans="1:47" ht="15.75" customHeight="1">
      <c r="A211" s="25"/>
      <c r="B211" s="128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7"/>
      <c r="AT211" s="25"/>
      <c r="AU211" s="27"/>
    </row>
    <row r="212" spans="1:47" ht="15.75" customHeight="1">
      <c r="A212" s="25"/>
      <c r="B212" s="128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7"/>
      <c r="AT212" s="25"/>
      <c r="AU212" s="27"/>
    </row>
    <row r="213" spans="1:47" ht="15.75" customHeight="1">
      <c r="A213" s="25"/>
      <c r="B213" s="128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7"/>
      <c r="AT213" s="25"/>
      <c r="AU213" s="27"/>
    </row>
    <row r="214" spans="1:47" ht="15.75" customHeight="1">
      <c r="A214" s="25"/>
      <c r="B214" s="128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7"/>
      <c r="AT214" s="25"/>
      <c r="AU214" s="27"/>
    </row>
    <row r="215" spans="1:47" ht="15.75" customHeight="1">
      <c r="A215" s="25"/>
      <c r="B215" s="128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7"/>
      <c r="AT215" s="25"/>
      <c r="AU215" s="27"/>
    </row>
    <row r="216" spans="1:47" ht="15.75" customHeight="1">
      <c r="A216" s="25"/>
      <c r="B216" s="128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7"/>
      <c r="AT216" s="25"/>
      <c r="AU216" s="27"/>
    </row>
    <row r="217" spans="1:47" ht="15.75" customHeight="1">
      <c r="A217" s="25"/>
      <c r="B217" s="128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7"/>
      <c r="AT217" s="25"/>
      <c r="AU217" s="27"/>
    </row>
    <row r="218" spans="1:47" ht="15.75" customHeight="1">
      <c r="A218" s="25"/>
      <c r="B218" s="128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7"/>
      <c r="AT218" s="25"/>
      <c r="AU218" s="27"/>
    </row>
    <row r="219" spans="1:47" ht="15.75" customHeight="1">
      <c r="A219" s="25"/>
      <c r="B219" s="128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7"/>
      <c r="AT219" s="25"/>
      <c r="AU219" s="27"/>
    </row>
    <row r="220" spans="1:47" ht="15.75" customHeight="1">
      <c r="A220" s="25"/>
      <c r="B220" s="128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7"/>
      <c r="AT220" s="25"/>
      <c r="AU220" s="27"/>
    </row>
    <row r="221" spans="1:47" ht="15.75" customHeight="1">
      <c r="A221" s="25"/>
      <c r="B221" s="128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7"/>
      <c r="AT221" s="25"/>
      <c r="AU221" s="27"/>
    </row>
    <row r="222" spans="1:47" ht="15.75" customHeight="1">
      <c r="A222" s="25"/>
      <c r="B222" s="128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7"/>
      <c r="AT222" s="25"/>
      <c r="AU222" s="27"/>
    </row>
    <row r="223" spans="1:47" ht="15.75" customHeight="1">
      <c r="A223" s="25"/>
      <c r="B223" s="128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7"/>
      <c r="AT223" s="25"/>
      <c r="AU223" s="27"/>
    </row>
    <row r="224" spans="1:47" ht="15.75" customHeight="1">
      <c r="A224" s="25"/>
      <c r="B224" s="128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7"/>
      <c r="AT224" s="25"/>
      <c r="AU224" s="27"/>
    </row>
    <row r="225" spans="1:47" ht="15.75" customHeight="1">
      <c r="A225" s="25"/>
      <c r="B225" s="128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7"/>
      <c r="AT225" s="25"/>
      <c r="AU225" s="27"/>
    </row>
    <row r="226" spans="1:47" ht="15.75" customHeight="1">
      <c r="A226" s="25"/>
      <c r="B226" s="128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7"/>
      <c r="AT226" s="25"/>
      <c r="AU226" s="27"/>
    </row>
    <row r="227" spans="1:47" ht="15.75" customHeight="1">
      <c r="A227" s="25"/>
      <c r="B227" s="128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7"/>
      <c r="AT227" s="25"/>
      <c r="AU227" s="27"/>
    </row>
    <row r="228" spans="1:47" ht="15.75" customHeight="1">
      <c r="A228" s="25"/>
      <c r="B228" s="128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7"/>
      <c r="AT228" s="25"/>
      <c r="AU228" s="27"/>
    </row>
    <row r="229" spans="1:47" ht="15.75" customHeight="1">
      <c r="A229" s="25"/>
      <c r="B229" s="128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7"/>
      <c r="AT229" s="25"/>
      <c r="AU229" s="27"/>
    </row>
    <row r="230" spans="1:47" ht="15.75" customHeight="1">
      <c r="A230" s="25"/>
      <c r="B230" s="128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7"/>
      <c r="AT230" s="25"/>
      <c r="AU230" s="27"/>
    </row>
    <row r="231" spans="1:47" ht="15.75" customHeight="1">
      <c r="A231" s="25"/>
      <c r="B231" s="128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7"/>
      <c r="AT231" s="25"/>
      <c r="AU231" s="27"/>
    </row>
    <row r="232" spans="1:47" ht="15.75" customHeight="1">
      <c r="A232" s="25"/>
      <c r="B232" s="128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7"/>
      <c r="AT232" s="25"/>
      <c r="AU232" s="27"/>
    </row>
    <row r="233" spans="1:47" ht="15.75" customHeight="1">
      <c r="A233" s="25"/>
      <c r="B233" s="128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7"/>
      <c r="AT233" s="25"/>
      <c r="AU233" s="27"/>
    </row>
    <row r="234" spans="1:47" ht="15.75" customHeight="1">
      <c r="A234" s="25"/>
      <c r="B234" s="128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7"/>
      <c r="AT234" s="25"/>
      <c r="AU234" s="27"/>
    </row>
    <row r="235" spans="1:47" ht="15.75" customHeight="1">
      <c r="A235" s="25"/>
      <c r="B235" s="128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7"/>
      <c r="AT235" s="25"/>
      <c r="AU235" s="27"/>
    </row>
    <row r="236" spans="1:47" ht="15.75" customHeight="1">
      <c r="A236" s="25"/>
      <c r="B236" s="128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7"/>
      <c r="AT236" s="25"/>
      <c r="AU236" s="27"/>
    </row>
    <row r="237" spans="1:47" ht="15.75" customHeight="1">
      <c r="A237" s="25"/>
      <c r="B237" s="128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7"/>
      <c r="AT237" s="25"/>
      <c r="AU237" s="27"/>
    </row>
    <row r="238" spans="1:47" ht="15.75" customHeight="1">
      <c r="A238" s="25"/>
      <c r="B238" s="128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7"/>
      <c r="AT238" s="25"/>
      <c r="AU238" s="27"/>
    </row>
    <row r="239" spans="1:47" ht="15.75" customHeight="1">
      <c r="A239" s="25"/>
      <c r="B239" s="128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7"/>
      <c r="AT239" s="25"/>
      <c r="AU239" s="27"/>
    </row>
    <row r="240" spans="1:47" ht="15.75" customHeight="1">
      <c r="A240" s="25"/>
      <c r="B240" s="128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7"/>
      <c r="AT240" s="25"/>
      <c r="AU240" s="27"/>
    </row>
    <row r="241" spans="1:47" ht="15.75" customHeight="1">
      <c r="A241" s="25"/>
      <c r="B241" s="128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7"/>
      <c r="AT241" s="25"/>
      <c r="AU241" s="27"/>
    </row>
    <row r="242" spans="1:47" ht="15.75" customHeight="1">
      <c r="A242" s="25"/>
      <c r="B242" s="128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7"/>
      <c r="AT242" s="25"/>
      <c r="AU242" s="27"/>
    </row>
    <row r="243" spans="1:47" ht="15.75" customHeight="1">
      <c r="A243" s="25"/>
      <c r="B243" s="128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7"/>
      <c r="AT243" s="25"/>
      <c r="AU243" s="27"/>
    </row>
    <row r="244" spans="1:47" ht="15.75" customHeight="1">
      <c r="A244" s="25"/>
      <c r="B244" s="128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7"/>
      <c r="AT244" s="25"/>
      <c r="AU244" s="27"/>
    </row>
    <row r="245" spans="1:47" ht="15.75" customHeight="1">
      <c r="A245" s="25"/>
      <c r="B245" s="128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7"/>
      <c r="AT245" s="25"/>
      <c r="AU245" s="27"/>
    </row>
    <row r="246" spans="1:47" ht="15.75" customHeight="1">
      <c r="A246" s="25"/>
      <c r="B246" s="128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7"/>
      <c r="AT246" s="25"/>
      <c r="AU246" s="27"/>
    </row>
    <row r="247" spans="1:47" ht="15.75" customHeight="1">
      <c r="A247" s="25"/>
      <c r="B247" s="128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7"/>
      <c r="AT247" s="25"/>
      <c r="AU247" s="27"/>
    </row>
    <row r="248" spans="1:47" ht="15.75" customHeight="1">
      <c r="B248" s="178"/>
    </row>
    <row r="249" spans="1:47" ht="15.75" customHeight="1">
      <c r="B249" s="178"/>
    </row>
    <row r="250" spans="1:47" ht="15.75" customHeight="1">
      <c r="B250" s="178"/>
    </row>
    <row r="251" spans="1:47" ht="15.75" customHeight="1">
      <c r="B251" s="178"/>
    </row>
    <row r="252" spans="1:47" ht="15.75" customHeight="1">
      <c r="B252" s="178"/>
    </row>
    <row r="253" spans="1:47" ht="15.75" customHeight="1">
      <c r="B253" s="178"/>
    </row>
    <row r="254" spans="1:47" ht="15.75" customHeight="1">
      <c r="B254" s="178"/>
    </row>
    <row r="255" spans="1:47" ht="15.75" customHeight="1">
      <c r="B255" s="178"/>
    </row>
    <row r="256" spans="1:47" ht="15.75" customHeight="1">
      <c r="B256" s="178"/>
    </row>
    <row r="257" spans="2:2" ht="15.75" customHeight="1">
      <c r="B257" s="178"/>
    </row>
    <row r="258" spans="2:2" ht="15.75" customHeight="1">
      <c r="B258" s="178"/>
    </row>
    <row r="259" spans="2:2" ht="15.75" customHeight="1">
      <c r="B259" s="178"/>
    </row>
    <row r="260" spans="2:2" ht="15.75" customHeight="1">
      <c r="B260" s="178"/>
    </row>
    <row r="261" spans="2:2" ht="15.75" customHeight="1">
      <c r="B261" s="178"/>
    </row>
    <row r="262" spans="2:2" ht="15.75" customHeight="1">
      <c r="B262" s="178"/>
    </row>
    <row r="263" spans="2:2" ht="15.75" customHeight="1">
      <c r="B263" s="178"/>
    </row>
    <row r="264" spans="2:2" ht="15.75" customHeight="1">
      <c r="B264" s="178"/>
    </row>
    <row r="265" spans="2:2" ht="15.75" customHeight="1">
      <c r="B265" s="178"/>
    </row>
    <row r="266" spans="2:2" ht="15.75" customHeight="1">
      <c r="B266" s="178"/>
    </row>
    <row r="267" spans="2:2" ht="15.75" customHeight="1">
      <c r="B267" s="178"/>
    </row>
    <row r="268" spans="2:2" ht="15.75" customHeight="1">
      <c r="B268" s="178"/>
    </row>
    <row r="269" spans="2:2" ht="15.75" customHeight="1">
      <c r="B269" s="178"/>
    </row>
    <row r="270" spans="2:2" ht="15.75" customHeight="1">
      <c r="B270" s="178"/>
    </row>
    <row r="271" spans="2:2" ht="15.75" customHeight="1">
      <c r="B271" s="178"/>
    </row>
    <row r="272" spans="2:2" ht="15.75" customHeight="1">
      <c r="B272" s="178"/>
    </row>
    <row r="273" spans="2:2" ht="15.75" customHeight="1">
      <c r="B273" s="178"/>
    </row>
    <row r="274" spans="2:2" ht="15.75" customHeight="1">
      <c r="B274" s="178"/>
    </row>
    <row r="275" spans="2:2" ht="15.75" customHeight="1">
      <c r="B275" s="178"/>
    </row>
    <row r="276" spans="2:2" ht="15.75" customHeight="1">
      <c r="B276" s="178"/>
    </row>
    <row r="277" spans="2:2" ht="15.75" customHeight="1">
      <c r="B277" s="178"/>
    </row>
    <row r="278" spans="2:2" ht="15.75" customHeight="1">
      <c r="B278" s="178"/>
    </row>
    <row r="279" spans="2:2" ht="15.75" customHeight="1">
      <c r="B279" s="178"/>
    </row>
    <row r="280" spans="2:2" ht="15.75" customHeight="1">
      <c r="B280" s="178"/>
    </row>
    <row r="281" spans="2:2" ht="15.75" customHeight="1">
      <c r="B281" s="178"/>
    </row>
    <row r="282" spans="2:2" ht="15.75" customHeight="1">
      <c r="B282" s="178"/>
    </row>
    <row r="283" spans="2:2" ht="15.75" customHeight="1">
      <c r="B283" s="178"/>
    </row>
    <row r="284" spans="2:2" ht="15.75" customHeight="1">
      <c r="B284" s="178"/>
    </row>
    <row r="285" spans="2:2" ht="15.75" customHeight="1">
      <c r="B285" s="178"/>
    </row>
    <row r="286" spans="2:2" ht="15.75" customHeight="1">
      <c r="B286" s="178"/>
    </row>
    <row r="287" spans="2:2" ht="15.75" customHeight="1">
      <c r="B287" s="178"/>
    </row>
    <row r="288" spans="2:2" ht="15.75" customHeight="1">
      <c r="B288" s="178"/>
    </row>
    <row r="289" spans="2:2" ht="15.75" customHeight="1">
      <c r="B289" s="178"/>
    </row>
    <row r="290" spans="2:2" ht="15.75" customHeight="1">
      <c r="B290" s="178"/>
    </row>
    <row r="291" spans="2:2" ht="15.75" customHeight="1">
      <c r="B291" s="178"/>
    </row>
    <row r="292" spans="2:2" ht="15.75" customHeight="1">
      <c r="B292" s="178"/>
    </row>
    <row r="293" spans="2:2" ht="15.75" customHeight="1">
      <c r="B293" s="178"/>
    </row>
    <row r="294" spans="2:2" ht="15.75" customHeight="1">
      <c r="B294" s="178"/>
    </row>
    <row r="295" spans="2:2" ht="15.75" customHeight="1">
      <c r="B295" s="178"/>
    </row>
    <row r="296" spans="2:2" ht="15.75" customHeight="1">
      <c r="B296" s="178"/>
    </row>
    <row r="297" spans="2:2" ht="15.75" customHeight="1">
      <c r="B297" s="178"/>
    </row>
    <row r="298" spans="2:2" ht="15.75" customHeight="1">
      <c r="B298" s="178"/>
    </row>
    <row r="299" spans="2:2" ht="15.75" customHeight="1">
      <c r="B299" s="178"/>
    </row>
    <row r="300" spans="2:2" ht="15.75" customHeight="1">
      <c r="B300" s="178"/>
    </row>
    <row r="301" spans="2:2" ht="15.75" customHeight="1">
      <c r="B301" s="178"/>
    </row>
    <row r="302" spans="2:2" ht="15.75" customHeight="1">
      <c r="B302" s="178"/>
    </row>
    <row r="303" spans="2:2" ht="15.75" customHeight="1">
      <c r="B303" s="178"/>
    </row>
    <row r="304" spans="2:2" ht="15.75" customHeight="1">
      <c r="B304" s="178"/>
    </row>
    <row r="305" spans="2:2" ht="15.75" customHeight="1">
      <c r="B305" s="178"/>
    </row>
    <row r="306" spans="2:2" ht="15.75" customHeight="1">
      <c r="B306" s="178"/>
    </row>
    <row r="307" spans="2:2" ht="15.75" customHeight="1">
      <c r="B307" s="178"/>
    </row>
    <row r="308" spans="2:2" ht="15.75" customHeight="1">
      <c r="B308" s="178"/>
    </row>
    <row r="309" spans="2:2" ht="15.75" customHeight="1">
      <c r="B309" s="178"/>
    </row>
    <row r="310" spans="2:2" ht="15.75" customHeight="1">
      <c r="B310" s="178"/>
    </row>
    <row r="311" spans="2:2" ht="15.75" customHeight="1">
      <c r="B311" s="178"/>
    </row>
    <row r="312" spans="2:2" ht="15.75" customHeight="1">
      <c r="B312" s="178"/>
    </row>
    <row r="313" spans="2:2" ht="15.75" customHeight="1">
      <c r="B313" s="178"/>
    </row>
    <row r="314" spans="2:2" ht="15.75" customHeight="1">
      <c r="B314" s="178"/>
    </row>
    <row r="315" spans="2:2" ht="15.75" customHeight="1">
      <c r="B315" s="178"/>
    </row>
    <row r="316" spans="2:2" ht="15.75" customHeight="1">
      <c r="B316" s="178"/>
    </row>
    <row r="317" spans="2:2" ht="15.75" customHeight="1">
      <c r="B317" s="178"/>
    </row>
    <row r="318" spans="2:2" ht="15.75" customHeight="1">
      <c r="B318" s="178"/>
    </row>
    <row r="319" spans="2:2" ht="15.75" customHeight="1">
      <c r="B319" s="178"/>
    </row>
    <row r="320" spans="2:2" ht="15.75" customHeight="1">
      <c r="B320" s="178"/>
    </row>
    <row r="321" spans="2:2" ht="15.75" customHeight="1">
      <c r="B321" s="178"/>
    </row>
    <row r="322" spans="2:2" ht="15.75" customHeight="1">
      <c r="B322" s="178"/>
    </row>
    <row r="323" spans="2:2" ht="15.75" customHeight="1">
      <c r="B323" s="178"/>
    </row>
    <row r="324" spans="2:2" ht="15.75" customHeight="1">
      <c r="B324" s="178"/>
    </row>
    <row r="325" spans="2:2" ht="15.75" customHeight="1">
      <c r="B325" s="178"/>
    </row>
    <row r="326" spans="2:2" ht="15.75" customHeight="1">
      <c r="B326" s="178"/>
    </row>
    <row r="327" spans="2:2" ht="15.75" customHeight="1">
      <c r="B327" s="178"/>
    </row>
    <row r="328" spans="2:2" ht="15.75" customHeight="1">
      <c r="B328" s="178"/>
    </row>
    <row r="329" spans="2:2" ht="15.75" customHeight="1">
      <c r="B329" s="178"/>
    </row>
    <row r="330" spans="2:2" ht="15.75" customHeight="1">
      <c r="B330" s="178"/>
    </row>
    <row r="331" spans="2:2" ht="15.75" customHeight="1">
      <c r="B331" s="178"/>
    </row>
    <row r="332" spans="2:2" ht="15.75" customHeight="1">
      <c r="B332" s="178"/>
    </row>
    <row r="333" spans="2:2" ht="15.75" customHeight="1">
      <c r="B333" s="178"/>
    </row>
    <row r="334" spans="2:2" ht="15.75" customHeight="1">
      <c r="B334" s="178"/>
    </row>
    <row r="335" spans="2:2" ht="15.75" customHeight="1">
      <c r="B335" s="178"/>
    </row>
    <row r="336" spans="2:2" ht="15.75" customHeight="1">
      <c r="B336" s="178"/>
    </row>
    <row r="337" spans="2:2" ht="15.75" customHeight="1">
      <c r="B337" s="178"/>
    </row>
    <row r="338" spans="2:2" ht="15.75" customHeight="1">
      <c r="B338" s="178"/>
    </row>
    <row r="339" spans="2:2" ht="15.75" customHeight="1">
      <c r="B339" s="178"/>
    </row>
    <row r="340" spans="2:2" ht="15.75" customHeight="1">
      <c r="B340" s="178"/>
    </row>
    <row r="341" spans="2:2" ht="15.75" customHeight="1">
      <c r="B341" s="178"/>
    </row>
    <row r="342" spans="2:2" ht="15.75" customHeight="1">
      <c r="B342" s="178"/>
    </row>
    <row r="343" spans="2:2" ht="15.75" customHeight="1">
      <c r="B343" s="178"/>
    </row>
    <row r="344" spans="2:2" ht="15.75" customHeight="1">
      <c r="B344" s="178"/>
    </row>
    <row r="345" spans="2:2" ht="15.75" customHeight="1">
      <c r="B345" s="178"/>
    </row>
    <row r="346" spans="2:2" ht="15.75" customHeight="1">
      <c r="B346" s="178"/>
    </row>
    <row r="347" spans="2:2" ht="15.75" customHeight="1">
      <c r="B347" s="178"/>
    </row>
    <row r="348" spans="2:2" ht="15.75" customHeight="1">
      <c r="B348" s="178"/>
    </row>
    <row r="349" spans="2:2" ht="15.75" customHeight="1">
      <c r="B349" s="178"/>
    </row>
    <row r="350" spans="2:2" ht="15.75" customHeight="1">
      <c r="B350" s="178"/>
    </row>
    <row r="351" spans="2:2" ht="15.75" customHeight="1">
      <c r="B351" s="178"/>
    </row>
    <row r="352" spans="2:2" ht="15.75" customHeight="1">
      <c r="B352" s="178"/>
    </row>
    <row r="353" spans="2:2" ht="15.75" customHeight="1">
      <c r="B353" s="178"/>
    </row>
    <row r="354" spans="2:2" ht="15.75" customHeight="1">
      <c r="B354" s="178"/>
    </row>
    <row r="355" spans="2:2" ht="15.75" customHeight="1">
      <c r="B355" s="178"/>
    </row>
    <row r="356" spans="2:2" ht="15.75" customHeight="1">
      <c r="B356" s="178"/>
    </row>
    <row r="357" spans="2:2" ht="15.75" customHeight="1">
      <c r="B357" s="178"/>
    </row>
    <row r="358" spans="2:2" ht="15.75" customHeight="1">
      <c r="B358" s="178"/>
    </row>
    <row r="359" spans="2:2" ht="15.75" customHeight="1">
      <c r="B359" s="178"/>
    </row>
    <row r="360" spans="2:2" ht="15.75" customHeight="1">
      <c r="B360" s="178"/>
    </row>
    <row r="361" spans="2:2" ht="15.75" customHeight="1">
      <c r="B361" s="178"/>
    </row>
    <row r="362" spans="2:2" ht="15.75" customHeight="1">
      <c r="B362" s="178"/>
    </row>
    <row r="363" spans="2:2" ht="15.75" customHeight="1">
      <c r="B363" s="178"/>
    </row>
    <row r="364" spans="2:2" ht="15.75" customHeight="1">
      <c r="B364" s="178"/>
    </row>
    <row r="365" spans="2:2" ht="15.75" customHeight="1">
      <c r="B365" s="178"/>
    </row>
    <row r="366" spans="2:2" ht="15.75" customHeight="1">
      <c r="B366" s="178"/>
    </row>
    <row r="367" spans="2:2" ht="15.75" customHeight="1">
      <c r="B367" s="178"/>
    </row>
    <row r="368" spans="2:2" ht="15.75" customHeight="1">
      <c r="B368" s="178"/>
    </row>
    <row r="369" spans="2:2" ht="15.75" customHeight="1">
      <c r="B369" s="178"/>
    </row>
    <row r="370" spans="2:2" ht="15.75" customHeight="1">
      <c r="B370" s="178"/>
    </row>
    <row r="371" spans="2:2" ht="15.75" customHeight="1">
      <c r="B371" s="178"/>
    </row>
    <row r="372" spans="2:2" ht="15.75" customHeight="1">
      <c r="B372" s="178"/>
    </row>
    <row r="373" spans="2:2" ht="15.75" customHeight="1">
      <c r="B373" s="178"/>
    </row>
    <row r="374" spans="2:2" ht="15.75" customHeight="1">
      <c r="B374" s="178"/>
    </row>
    <row r="375" spans="2:2" ht="15.75" customHeight="1">
      <c r="B375" s="178"/>
    </row>
    <row r="376" spans="2:2" ht="15.75" customHeight="1">
      <c r="B376" s="178"/>
    </row>
    <row r="377" spans="2:2" ht="15.75" customHeight="1">
      <c r="B377" s="178"/>
    </row>
    <row r="378" spans="2:2" ht="15.75" customHeight="1">
      <c r="B378" s="178"/>
    </row>
    <row r="379" spans="2:2" ht="15.75" customHeight="1">
      <c r="B379" s="178"/>
    </row>
    <row r="380" spans="2:2" ht="15.75" customHeight="1">
      <c r="B380" s="178"/>
    </row>
    <row r="381" spans="2:2" ht="15.75" customHeight="1">
      <c r="B381" s="178"/>
    </row>
    <row r="382" spans="2:2" ht="15.75" customHeight="1">
      <c r="B382" s="178"/>
    </row>
    <row r="383" spans="2:2" ht="15.75" customHeight="1">
      <c r="B383" s="178"/>
    </row>
    <row r="384" spans="2:2" ht="15.75" customHeight="1">
      <c r="B384" s="178"/>
    </row>
    <row r="385" spans="2:2" ht="15.75" customHeight="1">
      <c r="B385" s="178"/>
    </row>
    <row r="386" spans="2:2" ht="15.75" customHeight="1">
      <c r="B386" s="178"/>
    </row>
    <row r="387" spans="2:2" ht="15.75" customHeight="1">
      <c r="B387" s="178"/>
    </row>
    <row r="388" spans="2:2" ht="15.75" customHeight="1">
      <c r="B388" s="178"/>
    </row>
    <row r="389" spans="2:2" ht="15.75" customHeight="1">
      <c r="B389" s="178"/>
    </row>
    <row r="390" spans="2:2" ht="15.75" customHeight="1">
      <c r="B390" s="178"/>
    </row>
    <row r="391" spans="2:2" ht="15.75" customHeight="1">
      <c r="B391" s="178"/>
    </row>
    <row r="392" spans="2:2" ht="15.75" customHeight="1">
      <c r="B392" s="178"/>
    </row>
    <row r="393" spans="2:2" ht="15.75" customHeight="1">
      <c r="B393" s="178"/>
    </row>
    <row r="394" spans="2:2" ht="15.75" customHeight="1">
      <c r="B394" s="178"/>
    </row>
    <row r="395" spans="2:2" ht="15.75" customHeight="1">
      <c r="B395" s="178"/>
    </row>
    <row r="396" spans="2:2" ht="15.75" customHeight="1">
      <c r="B396" s="178"/>
    </row>
    <row r="397" spans="2:2" ht="15.75" customHeight="1">
      <c r="B397" s="178"/>
    </row>
    <row r="398" spans="2:2" ht="15.75" customHeight="1">
      <c r="B398" s="178"/>
    </row>
    <row r="399" spans="2:2" ht="15.75" customHeight="1">
      <c r="B399" s="178"/>
    </row>
    <row r="400" spans="2:2" ht="15.75" customHeight="1">
      <c r="B400" s="178"/>
    </row>
    <row r="401" spans="2:2" ht="15.75" customHeight="1">
      <c r="B401" s="178"/>
    </row>
    <row r="402" spans="2:2" ht="15.75" customHeight="1">
      <c r="B402" s="178"/>
    </row>
    <row r="403" spans="2:2" ht="15.75" customHeight="1">
      <c r="B403" s="178"/>
    </row>
    <row r="404" spans="2:2" ht="15.75" customHeight="1">
      <c r="B404" s="178"/>
    </row>
    <row r="405" spans="2:2" ht="15.75" customHeight="1">
      <c r="B405" s="178"/>
    </row>
    <row r="406" spans="2:2" ht="15.75" customHeight="1">
      <c r="B406" s="178"/>
    </row>
    <row r="407" spans="2:2" ht="15.75" customHeight="1">
      <c r="B407" s="178"/>
    </row>
    <row r="408" spans="2:2" ht="15.75" customHeight="1">
      <c r="B408" s="178"/>
    </row>
    <row r="409" spans="2:2" ht="15.75" customHeight="1">
      <c r="B409" s="178"/>
    </row>
    <row r="410" spans="2:2" ht="15.75" customHeight="1">
      <c r="B410" s="178"/>
    </row>
    <row r="411" spans="2:2" ht="15.75" customHeight="1">
      <c r="B411" s="178"/>
    </row>
    <row r="412" spans="2:2" ht="15.75" customHeight="1">
      <c r="B412" s="178"/>
    </row>
    <row r="413" spans="2:2" ht="15.75" customHeight="1">
      <c r="B413" s="178"/>
    </row>
    <row r="414" spans="2:2" ht="15.75" customHeight="1">
      <c r="B414" s="178"/>
    </row>
    <row r="415" spans="2:2" ht="15.75" customHeight="1">
      <c r="B415" s="178"/>
    </row>
    <row r="416" spans="2:2" ht="15.75" customHeight="1">
      <c r="B416" s="178"/>
    </row>
    <row r="417" spans="2:2" ht="15.75" customHeight="1">
      <c r="B417" s="178"/>
    </row>
    <row r="418" spans="2:2" ht="15.75" customHeight="1">
      <c r="B418" s="178"/>
    </row>
    <row r="419" spans="2:2" ht="15.75" customHeight="1">
      <c r="B419" s="178"/>
    </row>
    <row r="420" spans="2:2" ht="15.75" customHeight="1">
      <c r="B420" s="178"/>
    </row>
    <row r="421" spans="2:2" ht="15.75" customHeight="1">
      <c r="B421" s="178"/>
    </row>
    <row r="422" spans="2:2" ht="15.75" customHeight="1">
      <c r="B422" s="178"/>
    </row>
    <row r="423" spans="2:2" ht="15.75" customHeight="1">
      <c r="B423" s="178"/>
    </row>
    <row r="424" spans="2:2" ht="15.75" customHeight="1">
      <c r="B424" s="178"/>
    </row>
    <row r="425" spans="2:2" ht="15.75" customHeight="1">
      <c r="B425" s="178"/>
    </row>
    <row r="426" spans="2:2" ht="15.75" customHeight="1">
      <c r="B426" s="178"/>
    </row>
    <row r="427" spans="2:2" ht="15.75" customHeight="1">
      <c r="B427" s="178"/>
    </row>
    <row r="428" spans="2:2" ht="15.75" customHeight="1">
      <c r="B428" s="178"/>
    </row>
    <row r="429" spans="2:2" ht="15.75" customHeight="1">
      <c r="B429" s="178"/>
    </row>
    <row r="430" spans="2:2" ht="15.75" customHeight="1">
      <c r="B430" s="178"/>
    </row>
    <row r="431" spans="2:2" ht="15.75" customHeight="1">
      <c r="B431" s="178"/>
    </row>
    <row r="432" spans="2:2" ht="15.75" customHeight="1">
      <c r="B432" s="178"/>
    </row>
    <row r="433" spans="2:2" ht="15.75" customHeight="1">
      <c r="B433" s="178"/>
    </row>
    <row r="434" spans="2:2" ht="15.75" customHeight="1">
      <c r="B434" s="178"/>
    </row>
    <row r="435" spans="2:2" ht="15.75" customHeight="1">
      <c r="B435" s="178"/>
    </row>
    <row r="436" spans="2:2" ht="15.75" customHeight="1">
      <c r="B436" s="178"/>
    </row>
    <row r="437" spans="2:2" ht="15.75" customHeight="1">
      <c r="B437" s="178"/>
    </row>
    <row r="438" spans="2:2" ht="15.75" customHeight="1">
      <c r="B438" s="178"/>
    </row>
    <row r="439" spans="2:2" ht="15.75" customHeight="1">
      <c r="B439" s="178"/>
    </row>
    <row r="440" spans="2:2" ht="15.75" customHeight="1">
      <c r="B440" s="178"/>
    </row>
    <row r="441" spans="2:2" ht="15.75" customHeight="1">
      <c r="B441" s="178"/>
    </row>
    <row r="442" spans="2:2" ht="15.75" customHeight="1">
      <c r="B442" s="178"/>
    </row>
    <row r="443" spans="2:2" ht="15.75" customHeight="1">
      <c r="B443" s="178"/>
    </row>
    <row r="444" spans="2:2" ht="15.75" customHeight="1">
      <c r="B444" s="178"/>
    </row>
    <row r="445" spans="2:2" ht="15.75" customHeight="1">
      <c r="B445" s="178"/>
    </row>
    <row r="446" spans="2:2" ht="15.75" customHeight="1">
      <c r="B446" s="178"/>
    </row>
    <row r="447" spans="2:2" ht="15.75" customHeight="1">
      <c r="B447" s="178"/>
    </row>
    <row r="448" spans="2:2" ht="15.75" customHeight="1">
      <c r="B448" s="178"/>
    </row>
    <row r="449" spans="2:2" ht="15.75" customHeight="1">
      <c r="B449" s="178"/>
    </row>
    <row r="450" spans="2:2" ht="15.75" customHeight="1">
      <c r="B450" s="178"/>
    </row>
    <row r="451" spans="2:2" ht="15.75" customHeight="1">
      <c r="B451" s="178"/>
    </row>
    <row r="452" spans="2:2" ht="15.75" customHeight="1">
      <c r="B452" s="178"/>
    </row>
    <row r="453" spans="2:2" ht="15.75" customHeight="1">
      <c r="B453" s="178"/>
    </row>
    <row r="454" spans="2:2" ht="15.75" customHeight="1">
      <c r="B454" s="178"/>
    </row>
    <row r="455" spans="2:2" ht="15.75" customHeight="1">
      <c r="B455" s="178"/>
    </row>
    <row r="456" spans="2:2" ht="15.75" customHeight="1">
      <c r="B456" s="178"/>
    </row>
    <row r="457" spans="2:2" ht="15.75" customHeight="1">
      <c r="B457" s="178"/>
    </row>
    <row r="458" spans="2:2" ht="15.75" customHeight="1">
      <c r="B458" s="178"/>
    </row>
    <row r="459" spans="2:2" ht="15.75" customHeight="1">
      <c r="B459" s="178"/>
    </row>
    <row r="460" spans="2:2" ht="15.75" customHeight="1">
      <c r="B460" s="178"/>
    </row>
    <row r="461" spans="2:2" ht="15.75" customHeight="1">
      <c r="B461" s="178"/>
    </row>
    <row r="462" spans="2:2" ht="15.75" customHeight="1">
      <c r="B462" s="178"/>
    </row>
    <row r="463" spans="2:2" ht="15.75" customHeight="1">
      <c r="B463" s="178"/>
    </row>
    <row r="464" spans="2:2" ht="15.75" customHeight="1">
      <c r="B464" s="178"/>
    </row>
    <row r="465" spans="2:2" ht="15.75" customHeight="1">
      <c r="B465" s="178"/>
    </row>
    <row r="466" spans="2:2" ht="15.75" customHeight="1">
      <c r="B466" s="178"/>
    </row>
    <row r="467" spans="2:2" ht="15.75" customHeight="1">
      <c r="B467" s="178"/>
    </row>
    <row r="468" spans="2:2" ht="15.75" customHeight="1">
      <c r="B468" s="178"/>
    </row>
    <row r="469" spans="2:2" ht="15.75" customHeight="1">
      <c r="B469" s="178"/>
    </row>
    <row r="470" spans="2:2" ht="15.75" customHeight="1">
      <c r="B470" s="178"/>
    </row>
    <row r="471" spans="2:2" ht="15.75" customHeight="1">
      <c r="B471" s="178"/>
    </row>
    <row r="472" spans="2:2" ht="15.75" customHeight="1">
      <c r="B472" s="178"/>
    </row>
    <row r="473" spans="2:2" ht="15.75" customHeight="1">
      <c r="B473" s="178"/>
    </row>
    <row r="474" spans="2:2" ht="15.75" customHeight="1">
      <c r="B474" s="178"/>
    </row>
    <row r="475" spans="2:2" ht="15.75" customHeight="1">
      <c r="B475" s="178"/>
    </row>
    <row r="476" spans="2:2" ht="15.75" customHeight="1">
      <c r="B476" s="178"/>
    </row>
    <row r="477" spans="2:2" ht="15.75" customHeight="1">
      <c r="B477" s="178"/>
    </row>
    <row r="478" spans="2:2" ht="15.75" customHeight="1">
      <c r="B478" s="178"/>
    </row>
    <row r="479" spans="2:2" ht="15.75" customHeight="1">
      <c r="B479" s="178"/>
    </row>
    <row r="480" spans="2:2" ht="15.75" customHeight="1">
      <c r="B480" s="178"/>
    </row>
    <row r="481" spans="2:2" ht="15.75" customHeight="1">
      <c r="B481" s="178"/>
    </row>
    <row r="482" spans="2:2" ht="15.75" customHeight="1">
      <c r="B482" s="178"/>
    </row>
    <row r="483" spans="2:2" ht="15.75" customHeight="1">
      <c r="B483" s="178"/>
    </row>
    <row r="484" spans="2:2" ht="15.75" customHeight="1">
      <c r="B484" s="178"/>
    </row>
    <row r="485" spans="2:2" ht="15.75" customHeight="1">
      <c r="B485" s="178"/>
    </row>
    <row r="486" spans="2:2" ht="15.75" customHeight="1">
      <c r="B486" s="178"/>
    </row>
    <row r="487" spans="2:2" ht="15.75" customHeight="1">
      <c r="B487" s="178"/>
    </row>
    <row r="488" spans="2:2" ht="15.75" customHeight="1">
      <c r="B488" s="178"/>
    </row>
    <row r="489" spans="2:2" ht="15.75" customHeight="1">
      <c r="B489" s="178"/>
    </row>
    <row r="490" spans="2:2" ht="15.75" customHeight="1">
      <c r="B490" s="178"/>
    </row>
    <row r="491" spans="2:2" ht="15.75" customHeight="1">
      <c r="B491" s="178"/>
    </row>
    <row r="492" spans="2:2" ht="15.75" customHeight="1">
      <c r="B492" s="178"/>
    </row>
    <row r="493" spans="2:2" ht="15.75" customHeight="1">
      <c r="B493" s="178"/>
    </row>
    <row r="494" spans="2:2" ht="15.75" customHeight="1">
      <c r="B494" s="178"/>
    </row>
    <row r="495" spans="2:2" ht="15.75" customHeight="1">
      <c r="B495" s="178"/>
    </row>
    <row r="496" spans="2:2" ht="15.75" customHeight="1">
      <c r="B496" s="178"/>
    </row>
    <row r="497" spans="2:2" ht="15.75" customHeight="1">
      <c r="B497" s="178"/>
    </row>
    <row r="498" spans="2:2" ht="15.75" customHeight="1">
      <c r="B498" s="178"/>
    </row>
    <row r="499" spans="2:2" ht="15.75" customHeight="1">
      <c r="B499" s="178"/>
    </row>
    <row r="500" spans="2:2" ht="15.75" customHeight="1">
      <c r="B500" s="178"/>
    </row>
    <row r="501" spans="2:2" ht="15.75" customHeight="1">
      <c r="B501" s="178"/>
    </row>
    <row r="502" spans="2:2" ht="15.75" customHeight="1">
      <c r="B502" s="178"/>
    </row>
    <row r="503" spans="2:2" ht="15.75" customHeight="1">
      <c r="B503" s="178"/>
    </row>
    <row r="504" spans="2:2" ht="15.75" customHeight="1">
      <c r="B504" s="178"/>
    </row>
    <row r="505" spans="2:2" ht="15.75" customHeight="1">
      <c r="B505" s="178"/>
    </row>
    <row r="506" spans="2:2" ht="15.75" customHeight="1">
      <c r="B506" s="178"/>
    </row>
    <row r="507" spans="2:2" ht="15.75" customHeight="1">
      <c r="B507" s="178"/>
    </row>
    <row r="508" spans="2:2" ht="15.75" customHeight="1">
      <c r="B508" s="178"/>
    </row>
    <row r="509" spans="2:2" ht="15.75" customHeight="1">
      <c r="B509" s="178"/>
    </row>
    <row r="510" spans="2:2" ht="15.75" customHeight="1">
      <c r="B510" s="178"/>
    </row>
    <row r="511" spans="2:2" ht="15.75" customHeight="1">
      <c r="B511" s="178"/>
    </row>
    <row r="512" spans="2:2" ht="15.75" customHeight="1">
      <c r="B512" s="178"/>
    </row>
    <row r="513" spans="2:2" ht="15.75" customHeight="1">
      <c r="B513" s="178"/>
    </row>
    <row r="514" spans="2:2" ht="15.75" customHeight="1">
      <c r="B514" s="178"/>
    </row>
    <row r="515" spans="2:2" ht="15.75" customHeight="1">
      <c r="B515" s="178"/>
    </row>
    <row r="516" spans="2:2" ht="15.75" customHeight="1">
      <c r="B516" s="178"/>
    </row>
    <row r="517" spans="2:2" ht="15.75" customHeight="1">
      <c r="B517" s="178"/>
    </row>
    <row r="518" spans="2:2" ht="15.75" customHeight="1">
      <c r="B518" s="178"/>
    </row>
    <row r="519" spans="2:2" ht="15.75" customHeight="1">
      <c r="B519" s="178"/>
    </row>
    <row r="520" spans="2:2" ht="15.75" customHeight="1">
      <c r="B520" s="178"/>
    </row>
    <row r="521" spans="2:2" ht="15.75" customHeight="1">
      <c r="B521" s="178"/>
    </row>
    <row r="522" spans="2:2" ht="15.75" customHeight="1">
      <c r="B522" s="178"/>
    </row>
    <row r="523" spans="2:2" ht="15.75" customHeight="1">
      <c r="B523" s="178"/>
    </row>
    <row r="524" spans="2:2" ht="15.75" customHeight="1">
      <c r="B524" s="178"/>
    </row>
    <row r="525" spans="2:2" ht="15.75" customHeight="1">
      <c r="B525" s="178"/>
    </row>
    <row r="526" spans="2:2" ht="15.75" customHeight="1">
      <c r="B526" s="178"/>
    </row>
    <row r="527" spans="2:2" ht="15.75" customHeight="1">
      <c r="B527" s="178"/>
    </row>
    <row r="528" spans="2:2" ht="15.75" customHeight="1">
      <c r="B528" s="178"/>
    </row>
    <row r="529" spans="2:2" ht="15.75" customHeight="1">
      <c r="B529" s="178"/>
    </row>
    <row r="530" spans="2:2" ht="15.75" customHeight="1">
      <c r="B530" s="178"/>
    </row>
    <row r="531" spans="2:2" ht="15.75" customHeight="1">
      <c r="B531" s="178"/>
    </row>
    <row r="532" spans="2:2" ht="15.75" customHeight="1">
      <c r="B532" s="178"/>
    </row>
    <row r="533" spans="2:2" ht="15.75" customHeight="1">
      <c r="B533" s="178"/>
    </row>
    <row r="534" spans="2:2" ht="15.75" customHeight="1">
      <c r="B534" s="178"/>
    </row>
    <row r="535" spans="2:2" ht="15.75" customHeight="1">
      <c r="B535" s="178"/>
    </row>
    <row r="536" spans="2:2" ht="15.75" customHeight="1">
      <c r="B536" s="178"/>
    </row>
    <row r="537" spans="2:2" ht="15.75" customHeight="1">
      <c r="B537" s="178"/>
    </row>
    <row r="538" spans="2:2" ht="15.75" customHeight="1">
      <c r="B538" s="178"/>
    </row>
    <row r="539" spans="2:2" ht="15.75" customHeight="1">
      <c r="B539" s="178"/>
    </row>
    <row r="540" spans="2:2" ht="15.75" customHeight="1">
      <c r="B540" s="178"/>
    </row>
    <row r="541" spans="2:2" ht="15.75" customHeight="1">
      <c r="B541" s="178"/>
    </row>
    <row r="542" spans="2:2" ht="15.75" customHeight="1">
      <c r="B542" s="178"/>
    </row>
    <row r="543" spans="2:2" ht="15.75" customHeight="1">
      <c r="B543" s="178"/>
    </row>
    <row r="544" spans="2:2" ht="15.75" customHeight="1">
      <c r="B544" s="178"/>
    </row>
    <row r="545" spans="2:2" ht="15.75" customHeight="1">
      <c r="B545" s="178"/>
    </row>
    <row r="546" spans="2:2" ht="15.75" customHeight="1">
      <c r="B546" s="178"/>
    </row>
    <row r="547" spans="2:2" ht="15.75" customHeight="1">
      <c r="B547" s="178"/>
    </row>
    <row r="548" spans="2:2" ht="15.75" customHeight="1">
      <c r="B548" s="178"/>
    </row>
    <row r="549" spans="2:2" ht="15.75" customHeight="1">
      <c r="B549" s="178"/>
    </row>
    <row r="550" spans="2:2" ht="15.75" customHeight="1">
      <c r="B550" s="178"/>
    </row>
    <row r="551" spans="2:2" ht="15.75" customHeight="1">
      <c r="B551" s="178"/>
    </row>
    <row r="552" spans="2:2" ht="15.75" customHeight="1">
      <c r="B552" s="178"/>
    </row>
    <row r="553" spans="2:2" ht="15.75" customHeight="1">
      <c r="B553" s="178"/>
    </row>
    <row r="554" spans="2:2" ht="15.75" customHeight="1">
      <c r="B554" s="178"/>
    </row>
    <row r="555" spans="2:2" ht="15.75" customHeight="1">
      <c r="B555" s="178"/>
    </row>
    <row r="556" spans="2:2" ht="15.75" customHeight="1">
      <c r="B556" s="178"/>
    </row>
    <row r="557" spans="2:2" ht="15.75" customHeight="1">
      <c r="B557" s="178"/>
    </row>
    <row r="558" spans="2:2" ht="15.75" customHeight="1">
      <c r="B558" s="178"/>
    </row>
    <row r="559" spans="2:2" ht="15.75" customHeight="1">
      <c r="B559" s="178"/>
    </row>
    <row r="560" spans="2:2" ht="15.75" customHeight="1">
      <c r="B560" s="178"/>
    </row>
    <row r="561" spans="2:2" ht="15.75" customHeight="1">
      <c r="B561" s="178"/>
    </row>
    <row r="562" spans="2:2" ht="15.75" customHeight="1">
      <c r="B562" s="178"/>
    </row>
    <row r="563" spans="2:2" ht="15.75" customHeight="1">
      <c r="B563" s="178"/>
    </row>
    <row r="564" spans="2:2" ht="15.75" customHeight="1">
      <c r="B564" s="178"/>
    </row>
    <row r="565" spans="2:2" ht="15.75" customHeight="1">
      <c r="B565" s="178"/>
    </row>
    <row r="566" spans="2:2" ht="15.75" customHeight="1">
      <c r="B566" s="178"/>
    </row>
    <row r="567" spans="2:2" ht="15.75" customHeight="1">
      <c r="B567" s="178"/>
    </row>
    <row r="568" spans="2:2" ht="15.75" customHeight="1">
      <c r="B568" s="178"/>
    </row>
    <row r="569" spans="2:2" ht="15.75" customHeight="1">
      <c r="B569" s="178"/>
    </row>
    <row r="570" spans="2:2" ht="15.75" customHeight="1">
      <c r="B570" s="178"/>
    </row>
    <row r="571" spans="2:2" ht="15.75" customHeight="1">
      <c r="B571" s="178"/>
    </row>
    <row r="572" spans="2:2" ht="15.75" customHeight="1">
      <c r="B572" s="178"/>
    </row>
    <row r="573" spans="2:2" ht="15.75" customHeight="1">
      <c r="B573" s="178"/>
    </row>
    <row r="574" spans="2:2" ht="15.75" customHeight="1">
      <c r="B574" s="178"/>
    </row>
    <row r="575" spans="2:2" ht="15.75" customHeight="1">
      <c r="B575" s="178"/>
    </row>
    <row r="576" spans="2:2" ht="15.75" customHeight="1">
      <c r="B576" s="178"/>
    </row>
    <row r="577" spans="2:2" ht="15.75" customHeight="1">
      <c r="B577" s="178"/>
    </row>
    <row r="578" spans="2:2" ht="15.75" customHeight="1">
      <c r="B578" s="178"/>
    </row>
    <row r="579" spans="2:2" ht="15.75" customHeight="1">
      <c r="B579" s="178"/>
    </row>
    <row r="580" spans="2:2" ht="15.75" customHeight="1">
      <c r="B580" s="178"/>
    </row>
    <row r="581" spans="2:2" ht="15.75" customHeight="1">
      <c r="B581" s="178"/>
    </row>
    <row r="582" spans="2:2" ht="15.75" customHeight="1">
      <c r="B582" s="178"/>
    </row>
    <row r="583" spans="2:2" ht="15.75" customHeight="1">
      <c r="B583" s="178"/>
    </row>
    <row r="584" spans="2:2" ht="15.75" customHeight="1">
      <c r="B584" s="178"/>
    </row>
    <row r="585" spans="2:2" ht="15.75" customHeight="1">
      <c r="B585" s="178"/>
    </row>
    <row r="586" spans="2:2" ht="15.75" customHeight="1">
      <c r="B586" s="178"/>
    </row>
    <row r="587" spans="2:2" ht="15.75" customHeight="1">
      <c r="B587" s="178"/>
    </row>
    <row r="588" spans="2:2" ht="15.75" customHeight="1">
      <c r="B588" s="178"/>
    </row>
    <row r="589" spans="2:2" ht="15.75" customHeight="1">
      <c r="B589" s="178"/>
    </row>
    <row r="590" spans="2:2" ht="15.75" customHeight="1">
      <c r="B590" s="178"/>
    </row>
    <row r="591" spans="2:2" ht="15.75" customHeight="1">
      <c r="B591" s="178"/>
    </row>
    <row r="592" spans="2:2" ht="15.75" customHeight="1">
      <c r="B592" s="178"/>
    </row>
    <row r="593" spans="2:2" ht="15.75" customHeight="1">
      <c r="B593" s="178"/>
    </row>
    <row r="594" spans="2:2" ht="15.75" customHeight="1">
      <c r="B594" s="178"/>
    </row>
    <row r="595" spans="2:2" ht="15.75" customHeight="1">
      <c r="B595" s="178"/>
    </row>
    <row r="596" spans="2:2" ht="15.75" customHeight="1">
      <c r="B596" s="178"/>
    </row>
    <row r="597" spans="2:2" ht="15.75" customHeight="1">
      <c r="B597" s="178"/>
    </row>
    <row r="598" spans="2:2" ht="15.75" customHeight="1">
      <c r="B598" s="178"/>
    </row>
    <row r="599" spans="2:2" ht="15.75" customHeight="1">
      <c r="B599" s="178"/>
    </row>
    <row r="600" spans="2:2" ht="15.75" customHeight="1">
      <c r="B600" s="178"/>
    </row>
    <row r="601" spans="2:2" ht="15.75" customHeight="1">
      <c r="B601" s="178"/>
    </row>
    <row r="602" spans="2:2" ht="15.75" customHeight="1">
      <c r="B602" s="178"/>
    </row>
    <row r="603" spans="2:2" ht="15.75" customHeight="1">
      <c r="B603" s="178"/>
    </row>
    <row r="604" spans="2:2" ht="15.75" customHeight="1">
      <c r="B604" s="178"/>
    </row>
    <row r="605" spans="2:2" ht="15.75" customHeight="1">
      <c r="B605" s="178"/>
    </row>
    <row r="606" spans="2:2" ht="15.75" customHeight="1">
      <c r="B606" s="178"/>
    </row>
    <row r="607" spans="2:2" ht="15.75" customHeight="1">
      <c r="B607" s="178"/>
    </row>
    <row r="608" spans="2:2" ht="15.75" customHeight="1">
      <c r="B608" s="178"/>
    </row>
    <row r="609" spans="2:2" ht="15.75" customHeight="1">
      <c r="B609" s="178"/>
    </row>
    <row r="610" spans="2:2" ht="15.75" customHeight="1">
      <c r="B610" s="178"/>
    </row>
    <row r="611" spans="2:2" ht="15.75" customHeight="1">
      <c r="B611" s="178"/>
    </row>
    <row r="612" spans="2:2" ht="15.75" customHeight="1">
      <c r="B612" s="178"/>
    </row>
    <row r="613" spans="2:2" ht="15.75" customHeight="1">
      <c r="B613" s="178"/>
    </row>
    <row r="614" spans="2:2" ht="15.75" customHeight="1">
      <c r="B614" s="178"/>
    </row>
    <row r="615" spans="2:2" ht="15.75" customHeight="1">
      <c r="B615" s="178"/>
    </row>
    <row r="616" spans="2:2" ht="15.75" customHeight="1">
      <c r="B616" s="178"/>
    </row>
    <row r="617" spans="2:2" ht="15.75" customHeight="1">
      <c r="B617" s="178"/>
    </row>
    <row r="618" spans="2:2" ht="15.75" customHeight="1">
      <c r="B618" s="178"/>
    </row>
    <row r="619" spans="2:2" ht="15.75" customHeight="1">
      <c r="B619" s="178"/>
    </row>
    <row r="620" spans="2:2" ht="15.75" customHeight="1">
      <c r="B620" s="178"/>
    </row>
    <row r="621" spans="2:2" ht="15.75" customHeight="1">
      <c r="B621" s="178"/>
    </row>
    <row r="622" spans="2:2" ht="15.75" customHeight="1">
      <c r="B622" s="178"/>
    </row>
    <row r="623" spans="2:2" ht="15.75" customHeight="1">
      <c r="B623" s="178"/>
    </row>
    <row r="624" spans="2:2" ht="15.75" customHeight="1">
      <c r="B624" s="178"/>
    </row>
    <row r="625" spans="2:2" ht="15.75" customHeight="1">
      <c r="B625" s="178"/>
    </row>
    <row r="626" spans="2:2" ht="15.75" customHeight="1">
      <c r="B626" s="178"/>
    </row>
    <row r="627" spans="2:2" ht="15.75" customHeight="1">
      <c r="B627" s="178"/>
    </row>
    <row r="628" spans="2:2" ht="15.75" customHeight="1">
      <c r="B628" s="178"/>
    </row>
    <row r="629" spans="2:2" ht="15.75" customHeight="1">
      <c r="B629" s="178"/>
    </row>
    <row r="630" spans="2:2" ht="15.75" customHeight="1">
      <c r="B630" s="178"/>
    </row>
    <row r="631" spans="2:2" ht="15.75" customHeight="1">
      <c r="B631" s="178"/>
    </row>
    <row r="632" spans="2:2" ht="15.75" customHeight="1">
      <c r="B632" s="178"/>
    </row>
    <row r="633" spans="2:2" ht="15.75" customHeight="1">
      <c r="B633" s="178"/>
    </row>
    <row r="634" spans="2:2" ht="15.75" customHeight="1">
      <c r="B634" s="178"/>
    </row>
    <row r="635" spans="2:2" ht="15.75" customHeight="1">
      <c r="B635" s="178"/>
    </row>
    <row r="636" spans="2:2" ht="15.75" customHeight="1">
      <c r="B636" s="178"/>
    </row>
    <row r="637" spans="2:2" ht="15.75" customHeight="1">
      <c r="B637" s="178"/>
    </row>
    <row r="638" spans="2:2" ht="15.75" customHeight="1">
      <c r="B638" s="178"/>
    </row>
    <row r="639" spans="2:2" ht="15.75" customHeight="1">
      <c r="B639" s="178"/>
    </row>
    <row r="640" spans="2:2" ht="15.75" customHeight="1">
      <c r="B640" s="178"/>
    </row>
    <row r="641" spans="2:2" ht="15.75" customHeight="1">
      <c r="B641" s="178"/>
    </row>
    <row r="642" spans="2:2" ht="15.75" customHeight="1">
      <c r="B642" s="178"/>
    </row>
    <row r="643" spans="2:2" ht="15.75" customHeight="1">
      <c r="B643" s="178"/>
    </row>
    <row r="644" spans="2:2" ht="15.75" customHeight="1">
      <c r="B644" s="178"/>
    </row>
    <row r="645" spans="2:2" ht="15.75" customHeight="1">
      <c r="B645" s="178"/>
    </row>
    <row r="646" spans="2:2" ht="15.75" customHeight="1">
      <c r="B646" s="178"/>
    </row>
    <row r="647" spans="2:2" ht="15.75" customHeight="1">
      <c r="B647" s="178"/>
    </row>
    <row r="648" spans="2:2" ht="15.75" customHeight="1">
      <c r="B648" s="178"/>
    </row>
    <row r="649" spans="2:2" ht="15.75" customHeight="1">
      <c r="B649" s="178"/>
    </row>
    <row r="650" spans="2:2" ht="15.75" customHeight="1">
      <c r="B650" s="178"/>
    </row>
    <row r="651" spans="2:2" ht="15.75" customHeight="1">
      <c r="B651" s="178"/>
    </row>
    <row r="652" spans="2:2" ht="15.75" customHeight="1">
      <c r="B652" s="178"/>
    </row>
    <row r="653" spans="2:2" ht="15.75" customHeight="1">
      <c r="B653" s="178"/>
    </row>
    <row r="654" spans="2:2" ht="15.75" customHeight="1">
      <c r="B654" s="178"/>
    </row>
    <row r="655" spans="2:2" ht="15.75" customHeight="1">
      <c r="B655" s="178"/>
    </row>
    <row r="656" spans="2:2" ht="15.75" customHeight="1">
      <c r="B656" s="178"/>
    </row>
    <row r="657" spans="2:2" ht="15.75" customHeight="1">
      <c r="B657" s="178"/>
    </row>
    <row r="658" spans="2:2" ht="15.75" customHeight="1">
      <c r="B658" s="178"/>
    </row>
    <row r="659" spans="2:2" ht="15.75" customHeight="1">
      <c r="B659" s="178"/>
    </row>
    <row r="660" spans="2:2" ht="15.75" customHeight="1">
      <c r="B660" s="178"/>
    </row>
    <row r="661" spans="2:2" ht="15.75" customHeight="1">
      <c r="B661" s="178"/>
    </row>
    <row r="662" spans="2:2" ht="15.75" customHeight="1">
      <c r="B662" s="178"/>
    </row>
    <row r="663" spans="2:2" ht="15.75" customHeight="1">
      <c r="B663" s="178"/>
    </row>
    <row r="664" spans="2:2" ht="15.75" customHeight="1">
      <c r="B664" s="178"/>
    </row>
    <row r="665" spans="2:2" ht="15.75" customHeight="1">
      <c r="B665" s="178"/>
    </row>
    <row r="666" spans="2:2" ht="15.75" customHeight="1">
      <c r="B666" s="178"/>
    </row>
    <row r="667" spans="2:2" ht="15.75" customHeight="1">
      <c r="B667" s="178"/>
    </row>
    <row r="668" spans="2:2" ht="15.75" customHeight="1">
      <c r="B668" s="178"/>
    </row>
    <row r="669" spans="2:2" ht="15.75" customHeight="1">
      <c r="B669" s="178"/>
    </row>
    <row r="670" spans="2:2" ht="15.75" customHeight="1">
      <c r="B670" s="178"/>
    </row>
    <row r="671" spans="2:2" ht="15.75" customHeight="1">
      <c r="B671" s="178"/>
    </row>
    <row r="672" spans="2:2" ht="15.75" customHeight="1">
      <c r="B672" s="178"/>
    </row>
    <row r="673" spans="2:2" ht="15.75" customHeight="1">
      <c r="B673" s="178"/>
    </row>
    <row r="674" spans="2:2" ht="15.75" customHeight="1">
      <c r="B674" s="178"/>
    </row>
    <row r="675" spans="2:2" ht="15.75" customHeight="1">
      <c r="B675" s="178"/>
    </row>
    <row r="676" spans="2:2" ht="15.75" customHeight="1">
      <c r="B676" s="178"/>
    </row>
    <row r="677" spans="2:2" ht="15.75" customHeight="1">
      <c r="B677" s="178"/>
    </row>
    <row r="678" spans="2:2" ht="15.75" customHeight="1">
      <c r="B678" s="178"/>
    </row>
    <row r="679" spans="2:2" ht="15.75" customHeight="1">
      <c r="B679" s="178"/>
    </row>
    <row r="680" spans="2:2" ht="15.75" customHeight="1">
      <c r="B680" s="178"/>
    </row>
    <row r="681" spans="2:2" ht="15.75" customHeight="1">
      <c r="B681" s="178"/>
    </row>
    <row r="682" spans="2:2" ht="15.75" customHeight="1">
      <c r="B682" s="178"/>
    </row>
    <row r="683" spans="2:2" ht="15.75" customHeight="1">
      <c r="B683" s="178"/>
    </row>
    <row r="684" spans="2:2" ht="15.75" customHeight="1">
      <c r="B684" s="178"/>
    </row>
    <row r="685" spans="2:2" ht="15.75" customHeight="1">
      <c r="B685" s="178"/>
    </row>
    <row r="686" spans="2:2" ht="15.75" customHeight="1">
      <c r="B686" s="178"/>
    </row>
    <row r="687" spans="2:2" ht="15.75" customHeight="1">
      <c r="B687" s="178"/>
    </row>
    <row r="688" spans="2:2" ht="15.75" customHeight="1">
      <c r="B688" s="178"/>
    </row>
    <row r="689" spans="2:2" ht="15.75" customHeight="1">
      <c r="B689" s="178"/>
    </row>
    <row r="690" spans="2:2" ht="15.75" customHeight="1">
      <c r="B690" s="178"/>
    </row>
    <row r="691" spans="2:2" ht="15.75" customHeight="1">
      <c r="B691" s="178"/>
    </row>
    <row r="692" spans="2:2" ht="15.75" customHeight="1">
      <c r="B692" s="178"/>
    </row>
    <row r="693" spans="2:2" ht="15.75" customHeight="1">
      <c r="B693" s="178"/>
    </row>
    <row r="694" spans="2:2" ht="15.75" customHeight="1">
      <c r="B694" s="178"/>
    </row>
    <row r="695" spans="2:2" ht="15.75" customHeight="1">
      <c r="B695" s="178"/>
    </row>
    <row r="696" spans="2:2" ht="15.75" customHeight="1">
      <c r="B696" s="178"/>
    </row>
    <row r="697" spans="2:2" ht="15.75" customHeight="1">
      <c r="B697" s="178"/>
    </row>
    <row r="698" spans="2:2" ht="15.75" customHeight="1">
      <c r="B698" s="178"/>
    </row>
    <row r="699" spans="2:2" ht="15.75" customHeight="1">
      <c r="B699" s="178"/>
    </row>
    <row r="700" spans="2:2" ht="15.75" customHeight="1">
      <c r="B700" s="178"/>
    </row>
    <row r="701" spans="2:2" ht="15.75" customHeight="1">
      <c r="B701" s="178"/>
    </row>
    <row r="702" spans="2:2" ht="15.75" customHeight="1">
      <c r="B702" s="178"/>
    </row>
    <row r="703" spans="2:2" ht="15.75" customHeight="1">
      <c r="B703" s="178"/>
    </row>
    <row r="704" spans="2:2" ht="15.75" customHeight="1">
      <c r="B704" s="178"/>
    </row>
    <row r="705" spans="2:2" ht="15.75" customHeight="1">
      <c r="B705" s="178"/>
    </row>
    <row r="706" spans="2:2" ht="15.75" customHeight="1">
      <c r="B706" s="178"/>
    </row>
    <row r="707" spans="2:2" ht="15.75" customHeight="1">
      <c r="B707" s="178"/>
    </row>
    <row r="708" spans="2:2" ht="15.75" customHeight="1">
      <c r="B708" s="178"/>
    </row>
    <row r="709" spans="2:2" ht="15.75" customHeight="1">
      <c r="B709" s="178"/>
    </row>
    <row r="710" spans="2:2" ht="15.75" customHeight="1">
      <c r="B710" s="178"/>
    </row>
    <row r="711" spans="2:2" ht="15.75" customHeight="1">
      <c r="B711" s="178"/>
    </row>
    <row r="712" spans="2:2" ht="15.75" customHeight="1">
      <c r="B712" s="178"/>
    </row>
    <row r="713" spans="2:2" ht="15.75" customHeight="1">
      <c r="B713" s="178"/>
    </row>
    <row r="714" spans="2:2" ht="15.75" customHeight="1">
      <c r="B714" s="178"/>
    </row>
    <row r="715" spans="2:2" ht="15.75" customHeight="1">
      <c r="B715" s="178"/>
    </row>
    <row r="716" spans="2:2" ht="15.75" customHeight="1">
      <c r="B716" s="178"/>
    </row>
    <row r="717" spans="2:2" ht="15.75" customHeight="1">
      <c r="B717" s="178"/>
    </row>
    <row r="718" spans="2:2" ht="15.75" customHeight="1">
      <c r="B718" s="178"/>
    </row>
    <row r="719" spans="2:2" ht="15.75" customHeight="1">
      <c r="B719" s="178"/>
    </row>
    <row r="720" spans="2:2" ht="15.75" customHeight="1">
      <c r="B720" s="178"/>
    </row>
    <row r="721" spans="2:2" ht="15.75" customHeight="1">
      <c r="B721" s="178"/>
    </row>
    <row r="722" spans="2:2" ht="15.75" customHeight="1">
      <c r="B722" s="178"/>
    </row>
    <row r="723" spans="2:2" ht="15.75" customHeight="1">
      <c r="B723" s="178"/>
    </row>
    <row r="724" spans="2:2" ht="15.75" customHeight="1">
      <c r="B724" s="178"/>
    </row>
    <row r="725" spans="2:2" ht="15.75" customHeight="1">
      <c r="B725" s="178"/>
    </row>
    <row r="726" spans="2:2" ht="15.75" customHeight="1">
      <c r="B726" s="178"/>
    </row>
    <row r="727" spans="2:2" ht="15.75" customHeight="1">
      <c r="B727" s="178"/>
    </row>
    <row r="728" spans="2:2" ht="15.75" customHeight="1">
      <c r="B728" s="178"/>
    </row>
    <row r="729" spans="2:2" ht="15.75" customHeight="1">
      <c r="B729" s="178"/>
    </row>
    <row r="730" spans="2:2" ht="15.75" customHeight="1">
      <c r="B730" s="178"/>
    </row>
    <row r="731" spans="2:2" ht="15.75" customHeight="1">
      <c r="B731" s="178"/>
    </row>
    <row r="732" spans="2:2" ht="15.75" customHeight="1">
      <c r="B732" s="178"/>
    </row>
    <row r="733" spans="2:2" ht="15.75" customHeight="1">
      <c r="B733" s="178"/>
    </row>
    <row r="734" spans="2:2" ht="15.75" customHeight="1">
      <c r="B734" s="178"/>
    </row>
    <row r="735" spans="2:2" ht="15.75" customHeight="1">
      <c r="B735" s="178"/>
    </row>
    <row r="736" spans="2:2" ht="15.75" customHeight="1">
      <c r="B736" s="178"/>
    </row>
    <row r="737" spans="2:2" ht="15.75" customHeight="1">
      <c r="B737" s="178"/>
    </row>
    <row r="738" spans="2:2" ht="15.75" customHeight="1">
      <c r="B738" s="178"/>
    </row>
    <row r="739" spans="2:2" ht="15.75" customHeight="1">
      <c r="B739" s="178"/>
    </row>
    <row r="740" spans="2:2" ht="15.75" customHeight="1">
      <c r="B740" s="178"/>
    </row>
    <row r="741" spans="2:2" ht="15.75" customHeight="1">
      <c r="B741" s="178"/>
    </row>
    <row r="742" spans="2:2" ht="15.75" customHeight="1">
      <c r="B742" s="178"/>
    </row>
    <row r="743" spans="2:2" ht="15.75" customHeight="1">
      <c r="B743" s="178"/>
    </row>
    <row r="744" spans="2:2" ht="15.75" customHeight="1">
      <c r="B744" s="178"/>
    </row>
    <row r="745" spans="2:2" ht="15.75" customHeight="1">
      <c r="B745" s="178"/>
    </row>
    <row r="746" spans="2:2" ht="15.75" customHeight="1">
      <c r="B746" s="178"/>
    </row>
    <row r="747" spans="2:2" ht="15.75" customHeight="1">
      <c r="B747" s="178"/>
    </row>
    <row r="748" spans="2:2" ht="15.75" customHeight="1">
      <c r="B748" s="178"/>
    </row>
    <row r="749" spans="2:2" ht="15.75" customHeight="1">
      <c r="B749" s="178"/>
    </row>
    <row r="750" spans="2:2" ht="15.75" customHeight="1">
      <c r="B750" s="178"/>
    </row>
    <row r="751" spans="2:2" ht="15.75" customHeight="1">
      <c r="B751" s="178"/>
    </row>
    <row r="752" spans="2:2" ht="15.75" customHeight="1">
      <c r="B752" s="178"/>
    </row>
    <row r="753" spans="2:2" ht="15.75" customHeight="1">
      <c r="B753" s="178"/>
    </row>
    <row r="754" spans="2:2" ht="15.75" customHeight="1">
      <c r="B754" s="178"/>
    </row>
    <row r="755" spans="2:2" ht="15.75" customHeight="1">
      <c r="B755" s="178"/>
    </row>
    <row r="756" spans="2:2" ht="15.75" customHeight="1">
      <c r="B756" s="178"/>
    </row>
    <row r="757" spans="2:2" ht="15.75" customHeight="1">
      <c r="B757" s="178"/>
    </row>
    <row r="758" spans="2:2" ht="15.75" customHeight="1">
      <c r="B758" s="178"/>
    </row>
    <row r="759" spans="2:2" ht="15.75" customHeight="1">
      <c r="B759" s="178"/>
    </row>
    <row r="760" spans="2:2" ht="15.75" customHeight="1">
      <c r="B760" s="178"/>
    </row>
    <row r="761" spans="2:2" ht="15.75" customHeight="1">
      <c r="B761" s="178"/>
    </row>
    <row r="762" spans="2:2" ht="15.75" customHeight="1">
      <c r="B762" s="178"/>
    </row>
    <row r="763" spans="2:2" ht="15.75" customHeight="1">
      <c r="B763" s="178"/>
    </row>
    <row r="764" spans="2:2" ht="15.75" customHeight="1">
      <c r="B764" s="178"/>
    </row>
    <row r="765" spans="2:2" ht="15.75" customHeight="1">
      <c r="B765" s="178"/>
    </row>
    <row r="766" spans="2:2" ht="15.75" customHeight="1">
      <c r="B766" s="178"/>
    </row>
    <row r="767" spans="2:2" ht="15.75" customHeight="1">
      <c r="B767" s="178"/>
    </row>
    <row r="768" spans="2:2" ht="15.75" customHeight="1">
      <c r="B768" s="178"/>
    </row>
    <row r="769" spans="2:2" ht="15.75" customHeight="1">
      <c r="B769" s="178"/>
    </row>
    <row r="770" spans="2:2" ht="15.75" customHeight="1">
      <c r="B770" s="178"/>
    </row>
    <row r="771" spans="2:2" ht="15.75" customHeight="1">
      <c r="B771" s="178"/>
    </row>
    <row r="772" spans="2:2" ht="15.75" customHeight="1">
      <c r="B772" s="178"/>
    </row>
    <row r="773" spans="2:2" ht="15.75" customHeight="1">
      <c r="B773" s="178"/>
    </row>
    <row r="774" spans="2:2" ht="15.75" customHeight="1">
      <c r="B774" s="178"/>
    </row>
    <row r="775" spans="2:2" ht="15.75" customHeight="1">
      <c r="B775" s="178"/>
    </row>
    <row r="776" spans="2:2" ht="15.75" customHeight="1">
      <c r="B776" s="178"/>
    </row>
    <row r="777" spans="2:2" ht="15.75" customHeight="1">
      <c r="B777" s="178"/>
    </row>
    <row r="778" spans="2:2" ht="15.75" customHeight="1">
      <c r="B778" s="178"/>
    </row>
    <row r="779" spans="2:2" ht="15.75" customHeight="1">
      <c r="B779" s="178"/>
    </row>
    <row r="780" spans="2:2" ht="15.75" customHeight="1">
      <c r="B780" s="178"/>
    </row>
    <row r="781" spans="2:2" ht="15.75" customHeight="1">
      <c r="B781" s="178"/>
    </row>
    <row r="782" spans="2:2" ht="15.75" customHeight="1">
      <c r="B782" s="178"/>
    </row>
    <row r="783" spans="2:2" ht="15.75" customHeight="1">
      <c r="B783" s="178"/>
    </row>
    <row r="784" spans="2:2" ht="15.75" customHeight="1">
      <c r="B784" s="178"/>
    </row>
    <row r="785" spans="2:2" ht="15.75" customHeight="1">
      <c r="B785" s="178"/>
    </row>
    <row r="786" spans="2:2" ht="15.75" customHeight="1">
      <c r="B786" s="178"/>
    </row>
    <row r="787" spans="2:2" ht="15.75" customHeight="1">
      <c r="B787" s="178"/>
    </row>
    <row r="788" spans="2:2" ht="15.75" customHeight="1">
      <c r="B788" s="178"/>
    </row>
    <row r="789" spans="2:2" ht="15.75" customHeight="1">
      <c r="B789" s="178"/>
    </row>
    <row r="790" spans="2:2" ht="15.75" customHeight="1">
      <c r="B790" s="178"/>
    </row>
    <row r="791" spans="2:2" ht="15.75" customHeight="1">
      <c r="B791" s="178"/>
    </row>
    <row r="792" spans="2:2" ht="15.75" customHeight="1">
      <c r="B792" s="178"/>
    </row>
    <row r="793" spans="2:2" ht="15.75" customHeight="1">
      <c r="B793" s="178"/>
    </row>
    <row r="794" spans="2:2" ht="15.75" customHeight="1">
      <c r="B794" s="178"/>
    </row>
    <row r="795" spans="2:2" ht="15.75" customHeight="1">
      <c r="B795" s="178"/>
    </row>
    <row r="796" spans="2:2" ht="15.75" customHeight="1">
      <c r="B796" s="178"/>
    </row>
    <row r="797" spans="2:2" ht="15.75" customHeight="1">
      <c r="B797" s="178"/>
    </row>
    <row r="798" spans="2:2" ht="15.75" customHeight="1">
      <c r="B798" s="178"/>
    </row>
    <row r="799" spans="2:2" ht="15.75" customHeight="1">
      <c r="B799" s="178"/>
    </row>
    <row r="800" spans="2:2" ht="15.75" customHeight="1">
      <c r="B800" s="178"/>
    </row>
    <row r="801" spans="2:2" ht="15.75" customHeight="1">
      <c r="B801" s="178"/>
    </row>
    <row r="802" spans="2:2" ht="15.75" customHeight="1">
      <c r="B802" s="178"/>
    </row>
    <row r="803" spans="2:2" ht="15.75" customHeight="1">
      <c r="B803" s="178"/>
    </row>
    <row r="804" spans="2:2" ht="15.75" customHeight="1">
      <c r="B804" s="178"/>
    </row>
    <row r="805" spans="2:2" ht="15.75" customHeight="1">
      <c r="B805" s="178"/>
    </row>
    <row r="806" spans="2:2" ht="15.75" customHeight="1">
      <c r="B806" s="178"/>
    </row>
    <row r="807" spans="2:2" ht="15.75" customHeight="1">
      <c r="B807" s="178"/>
    </row>
    <row r="808" spans="2:2" ht="15.75" customHeight="1">
      <c r="B808" s="178"/>
    </row>
    <row r="809" spans="2:2" ht="15.75" customHeight="1">
      <c r="B809" s="178"/>
    </row>
    <row r="810" spans="2:2" ht="15.75" customHeight="1">
      <c r="B810" s="178"/>
    </row>
    <row r="811" spans="2:2" ht="15.75" customHeight="1">
      <c r="B811" s="178"/>
    </row>
    <row r="812" spans="2:2" ht="15.75" customHeight="1">
      <c r="B812" s="178"/>
    </row>
    <row r="813" spans="2:2" ht="15.75" customHeight="1">
      <c r="B813" s="178"/>
    </row>
    <row r="814" spans="2:2" ht="15.75" customHeight="1">
      <c r="B814" s="178"/>
    </row>
    <row r="815" spans="2:2" ht="15.75" customHeight="1">
      <c r="B815" s="178"/>
    </row>
    <row r="816" spans="2:2" ht="15.75" customHeight="1">
      <c r="B816" s="178"/>
    </row>
    <row r="817" spans="2:2" ht="15.75" customHeight="1">
      <c r="B817" s="178"/>
    </row>
    <row r="818" spans="2:2" ht="15.75" customHeight="1">
      <c r="B818" s="178"/>
    </row>
    <row r="819" spans="2:2" ht="15.75" customHeight="1">
      <c r="B819" s="178"/>
    </row>
    <row r="820" spans="2:2" ht="15.75" customHeight="1">
      <c r="B820" s="178"/>
    </row>
    <row r="821" spans="2:2" ht="15.75" customHeight="1">
      <c r="B821" s="178"/>
    </row>
    <row r="822" spans="2:2" ht="15.75" customHeight="1">
      <c r="B822" s="178"/>
    </row>
    <row r="823" spans="2:2" ht="15.75" customHeight="1">
      <c r="B823" s="178"/>
    </row>
    <row r="824" spans="2:2" ht="15.75" customHeight="1">
      <c r="B824" s="178"/>
    </row>
    <row r="825" spans="2:2" ht="15.75" customHeight="1">
      <c r="B825" s="178"/>
    </row>
    <row r="826" spans="2:2" ht="15.75" customHeight="1">
      <c r="B826" s="178"/>
    </row>
    <row r="827" spans="2:2" ht="15.75" customHeight="1">
      <c r="B827" s="178"/>
    </row>
    <row r="828" spans="2:2" ht="15.75" customHeight="1">
      <c r="B828" s="178"/>
    </row>
    <row r="829" spans="2:2" ht="15.75" customHeight="1">
      <c r="B829" s="178"/>
    </row>
    <row r="830" spans="2:2" ht="15.75" customHeight="1">
      <c r="B830" s="178"/>
    </row>
    <row r="831" spans="2:2" ht="15.75" customHeight="1">
      <c r="B831" s="178"/>
    </row>
    <row r="832" spans="2:2" ht="15.75" customHeight="1">
      <c r="B832" s="178"/>
    </row>
    <row r="833" spans="2:2" ht="15.75" customHeight="1">
      <c r="B833" s="178"/>
    </row>
    <row r="834" spans="2:2" ht="15.75" customHeight="1">
      <c r="B834" s="178"/>
    </row>
    <row r="835" spans="2:2" ht="15.75" customHeight="1">
      <c r="B835" s="178"/>
    </row>
    <row r="836" spans="2:2" ht="15.75" customHeight="1">
      <c r="B836" s="178"/>
    </row>
    <row r="837" spans="2:2" ht="15.75" customHeight="1">
      <c r="B837" s="178"/>
    </row>
    <row r="838" spans="2:2" ht="15.75" customHeight="1">
      <c r="B838" s="178"/>
    </row>
    <row r="839" spans="2:2" ht="15.75" customHeight="1">
      <c r="B839" s="178"/>
    </row>
    <row r="840" spans="2:2" ht="15.75" customHeight="1">
      <c r="B840" s="178"/>
    </row>
    <row r="841" spans="2:2" ht="15.75" customHeight="1">
      <c r="B841" s="178"/>
    </row>
    <row r="842" spans="2:2" ht="15.75" customHeight="1">
      <c r="B842" s="178"/>
    </row>
    <row r="843" spans="2:2" ht="15.75" customHeight="1">
      <c r="B843" s="178"/>
    </row>
    <row r="844" spans="2:2" ht="15.75" customHeight="1">
      <c r="B844" s="178"/>
    </row>
    <row r="845" spans="2:2" ht="15.75" customHeight="1">
      <c r="B845" s="178"/>
    </row>
    <row r="846" spans="2:2" ht="15.75" customHeight="1">
      <c r="B846" s="178"/>
    </row>
    <row r="847" spans="2:2" ht="15.75" customHeight="1">
      <c r="B847" s="178"/>
    </row>
    <row r="848" spans="2:2" ht="15.75" customHeight="1">
      <c r="B848" s="178"/>
    </row>
    <row r="849" spans="2:2" ht="15.75" customHeight="1">
      <c r="B849" s="178"/>
    </row>
    <row r="850" spans="2:2" ht="15.75" customHeight="1">
      <c r="B850" s="178"/>
    </row>
    <row r="851" spans="2:2" ht="15.75" customHeight="1">
      <c r="B851" s="178"/>
    </row>
    <row r="852" spans="2:2" ht="15.75" customHeight="1">
      <c r="B852" s="178"/>
    </row>
    <row r="853" spans="2:2" ht="15.75" customHeight="1">
      <c r="B853" s="178"/>
    </row>
    <row r="854" spans="2:2" ht="15.75" customHeight="1">
      <c r="B854" s="178"/>
    </row>
    <row r="855" spans="2:2" ht="15.75" customHeight="1">
      <c r="B855" s="178"/>
    </row>
    <row r="856" spans="2:2" ht="15.75" customHeight="1">
      <c r="B856" s="178"/>
    </row>
    <row r="857" spans="2:2" ht="15.75" customHeight="1">
      <c r="B857" s="178"/>
    </row>
    <row r="858" spans="2:2" ht="15.75" customHeight="1">
      <c r="B858" s="178"/>
    </row>
    <row r="859" spans="2:2" ht="15.75" customHeight="1">
      <c r="B859" s="178"/>
    </row>
    <row r="860" spans="2:2" ht="15.75" customHeight="1">
      <c r="B860" s="178"/>
    </row>
    <row r="861" spans="2:2" ht="15.75" customHeight="1">
      <c r="B861" s="178"/>
    </row>
    <row r="862" spans="2:2" ht="15.75" customHeight="1">
      <c r="B862" s="178"/>
    </row>
    <row r="863" spans="2:2" ht="15.75" customHeight="1">
      <c r="B863" s="178"/>
    </row>
    <row r="864" spans="2:2" ht="15.75" customHeight="1">
      <c r="B864" s="178"/>
    </row>
    <row r="865" spans="2:2" ht="15.75" customHeight="1">
      <c r="B865" s="178"/>
    </row>
    <row r="866" spans="2:2" ht="15.75" customHeight="1">
      <c r="B866" s="178"/>
    </row>
    <row r="867" spans="2:2" ht="15.75" customHeight="1">
      <c r="B867" s="178"/>
    </row>
    <row r="868" spans="2:2" ht="15.75" customHeight="1">
      <c r="B868" s="178"/>
    </row>
    <row r="869" spans="2:2" ht="15.75" customHeight="1">
      <c r="B869" s="178"/>
    </row>
    <row r="870" spans="2:2" ht="15.75" customHeight="1">
      <c r="B870" s="178"/>
    </row>
    <row r="871" spans="2:2" ht="15.75" customHeight="1">
      <c r="B871" s="178"/>
    </row>
    <row r="872" spans="2:2" ht="15.75" customHeight="1">
      <c r="B872" s="178"/>
    </row>
    <row r="873" spans="2:2" ht="15.75" customHeight="1">
      <c r="B873" s="178"/>
    </row>
    <row r="874" spans="2:2" ht="15.75" customHeight="1">
      <c r="B874" s="178"/>
    </row>
    <row r="875" spans="2:2" ht="15.75" customHeight="1">
      <c r="B875" s="178"/>
    </row>
    <row r="876" spans="2:2" ht="15.75" customHeight="1">
      <c r="B876" s="178"/>
    </row>
    <row r="877" spans="2:2" ht="15.75" customHeight="1">
      <c r="B877" s="178"/>
    </row>
    <row r="878" spans="2:2" ht="15.75" customHeight="1">
      <c r="B878" s="178"/>
    </row>
    <row r="879" spans="2:2" ht="15.75" customHeight="1">
      <c r="B879" s="178"/>
    </row>
    <row r="880" spans="2:2" ht="15.75" customHeight="1">
      <c r="B880" s="178"/>
    </row>
    <row r="881" spans="2:2" ht="15.75" customHeight="1">
      <c r="B881" s="178"/>
    </row>
    <row r="882" spans="2:2" ht="15.75" customHeight="1">
      <c r="B882" s="178"/>
    </row>
    <row r="883" spans="2:2" ht="15.75" customHeight="1">
      <c r="B883" s="178"/>
    </row>
    <row r="884" spans="2:2" ht="15.75" customHeight="1">
      <c r="B884" s="178"/>
    </row>
    <row r="885" spans="2:2" ht="15.75" customHeight="1">
      <c r="B885" s="178"/>
    </row>
    <row r="886" spans="2:2" ht="15.75" customHeight="1">
      <c r="B886" s="178"/>
    </row>
    <row r="887" spans="2:2" ht="15.75" customHeight="1">
      <c r="B887" s="178"/>
    </row>
    <row r="888" spans="2:2" ht="15.75" customHeight="1">
      <c r="B888" s="178"/>
    </row>
    <row r="889" spans="2:2" ht="15.75" customHeight="1">
      <c r="B889" s="178"/>
    </row>
    <row r="890" spans="2:2" ht="15.75" customHeight="1">
      <c r="B890" s="178"/>
    </row>
    <row r="891" spans="2:2" ht="15.75" customHeight="1">
      <c r="B891" s="178"/>
    </row>
    <row r="892" spans="2:2" ht="15.75" customHeight="1">
      <c r="B892" s="178"/>
    </row>
    <row r="893" spans="2:2" ht="15.75" customHeight="1">
      <c r="B893" s="178"/>
    </row>
    <row r="894" spans="2:2" ht="15.75" customHeight="1">
      <c r="B894" s="178"/>
    </row>
    <row r="895" spans="2:2" ht="15.75" customHeight="1">
      <c r="B895" s="178"/>
    </row>
    <row r="896" spans="2:2" ht="15.75" customHeight="1">
      <c r="B896" s="178"/>
    </row>
    <row r="897" spans="2:2" ht="15.75" customHeight="1">
      <c r="B897" s="178"/>
    </row>
    <row r="898" spans="2:2" ht="15.75" customHeight="1">
      <c r="B898" s="178"/>
    </row>
    <row r="899" spans="2:2" ht="15.75" customHeight="1">
      <c r="B899" s="178"/>
    </row>
    <row r="900" spans="2:2" ht="15.75" customHeight="1">
      <c r="B900" s="178"/>
    </row>
    <row r="901" spans="2:2" ht="15.75" customHeight="1">
      <c r="B901" s="178"/>
    </row>
    <row r="902" spans="2:2" ht="15.75" customHeight="1">
      <c r="B902" s="178"/>
    </row>
    <row r="903" spans="2:2" ht="15.75" customHeight="1">
      <c r="B903" s="178"/>
    </row>
    <row r="904" spans="2:2" ht="15.75" customHeight="1">
      <c r="B904" s="178"/>
    </row>
    <row r="905" spans="2:2" ht="15.75" customHeight="1">
      <c r="B905" s="178"/>
    </row>
    <row r="906" spans="2:2" ht="15.75" customHeight="1">
      <c r="B906" s="178"/>
    </row>
    <row r="907" spans="2:2" ht="15.75" customHeight="1">
      <c r="B907" s="178"/>
    </row>
    <row r="908" spans="2:2" ht="15.75" customHeight="1">
      <c r="B908" s="178"/>
    </row>
    <row r="909" spans="2:2" ht="15.75" customHeight="1">
      <c r="B909" s="178"/>
    </row>
    <row r="910" spans="2:2" ht="15.75" customHeight="1">
      <c r="B910" s="178"/>
    </row>
    <row r="911" spans="2:2" ht="15.75" customHeight="1">
      <c r="B911" s="178"/>
    </row>
    <row r="912" spans="2:2" ht="15.75" customHeight="1">
      <c r="B912" s="178"/>
    </row>
    <row r="913" spans="2:2" ht="15.75" customHeight="1">
      <c r="B913" s="178"/>
    </row>
    <row r="914" spans="2:2" ht="15.75" customHeight="1">
      <c r="B914" s="178"/>
    </row>
    <row r="915" spans="2:2" ht="15.75" customHeight="1">
      <c r="B915" s="178"/>
    </row>
    <row r="916" spans="2:2" ht="15.75" customHeight="1">
      <c r="B916" s="178"/>
    </row>
    <row r="917" spans="2:2" ht="15.75" customHeight="1">
      <c r="B917" s="178"/>
    </row>
    <row r="918" spans="2:2" ht="15.75" customHeight="1">
      <c r="B918" s="178"/>
    </row>
    <row r="919" spans="2:2" ht="15.75" customHeight="1">
      <c r="B919" s="178"/>
    </row>
    <row r="920" spans="2:2" ht="15.75" customHeight="1">
      <c r="B920" s="178"/>
    </row>
    <row r="921" spans="2:2" ht="15.75" customHeight="1">
      <c r="B921" s="178"/>
    </row>
    <row r="922" spans="2:2" ht="15.75" customHeight="1">
      <c r="B922" s="178"/>
    </row>
    <row r="923" spans="2:2" ht="15.75" customHeight="1">
      <c r="B923" s="178"/>
    </row>
    <row r="924" spans="2:2" ht="15.75" customHeight="1">
      <c r="B924" s="178"/>
    </row>
    <row r="925" spans="2:2" ht="15.75" customHeight="1">
      <c r="B925" s="178"/>
    </row>
    <row r="926" spans="2:2" ht="15.75" customHeight="1">
      <c r="B926" s="178"/>
    </row>
    <row r="927" spans="2:2" ht="15.75" customHeight="1">
      <c r="B927" s="178"/>
    </row>
    <row r="928" spans="2:2" ht="15.75" customHeight="1">
      <c r="B928" s="178"/>
    </row>
    <row r="929" spans="2:2" ht="15.75" customHeight="1">
      <c r="B929" s="178"/>
    </row>
    <row r="930" spans="2:2" ht="15.75" customHeight="1">
      <c r="B930" s="178"/>
    </row>
    <row r="931" spans="2:2" ht="15.75" customHeight="1">
      <c r="B931" s="178"/>
    </row>
    <row r="932" spans="2:2" ht="15.75" customHeight="1">
      <c r="B932" s="178"/>
    </row>
    <row r="933" spans="2:2" ht="15.75" customHeight="1">
      <c r="B933" s="178"/>
    </row>
    <row r="934" spans="2:2" ht="15.75" customHeight="1">
      <c r="B934" s="178"/>
    </row>
    <row r="935" spans="2:2" ht="15.75" customHeight="1">
      <c r="B935" s="178"/>
    </row>
    <row r="936" spans="2:2" ht="15.75" customHeight="1">
      <c r="B936" s="178"/>
    </row>
    <row r="937" spans="2:2" ht="15.75" customHeight="1">
      <c r="B937" s="178"/>
    </row>
    <row r="938" spans="2:2" ht="15.75" customHeight="1">
      <c r="B938" s="178"/>
    </row>
    <row r="939" spans="2:2" ht="15.75" customHeight="1">
      <c r="B939" s="178"/>
    </row>
    <row r="940" spans="2:2" ht="15.75" customHeight="1">
      <c r="B940" s="178"/>
    </row>
    <row r="941" spans="2:2" ht="15.75" customHeight="1">
      <c r="B941" s="178"/>
    </row>
    <row r="942" spans="2:2" ht="15.75" customHeight="1">
      <c r="B942" s="178"/>
    </row>
    <row r="943" spans="2:2" ht="15.75" customHeight="1">
      <c r="B943" s="178"/>
    </row>
    <row r="944" spans="2:2" ht="15.75" customHeight="1">
      <c r="B944" s="178"/>
    </row>
    <row r="945" spans="2:2" ht="15.75" customHeight="1">
      <c r="B945" s="178"/>
    </row>
    <row r="946" spans="2:2" ht="15.75" customHeight="1">
      <c r="B946" s="178"/>
    </row>
    <row r="947" spans="2:2" ht="15.75" customHeight="1">
      <c r="B947" s="178"/>
    </row>
    <row r="948" spans="2:2" ht="15.75" customHeight="1">
      <c r="B948" s="178"/>
    </row>
    <row r="949" spans="2:2" ht="15.75" customHeight="1">
      <c r="B949" s="178"/>
    </row>
    <row r="950" spans="2:2" ht="15.75" customHeight="1">
      <c r="B950" s="178"/>
    </row>
    <row r="951" spans="2:2" ht="15.75" customHeight="1">
      <c r="B951" s="178"/>
    </row>
    <row r="952" spans="2:2" ht="15.75" customHeight="1">
      <c r="B952" s="178"/>
    </row>
    <row r="953" spans="2:2" ht="15.75" customHeight="1">
      <c r="B953" s="178"/>
    </row>
    <row r="954" spans="2:2" ht="15.75" customHeight="1">
      <c r="B954" s="178"/>
    </row>
    <row r="955" spans="2:2" ht="15.75" customHeight="1">
      <c r="B955" s="178"/>
    </row>
    <row r="956" spans="2:2" ht="15.75" customHeight="1">
      <c r="B956" s="178"/>
    </row>
    <row r="957" spans="2:2" ht="15.75" customHeight="1">
      <c r="B957" s="178"/>
    </row>
    <row r="958" spans="2:2" ht="15.75" customHeight="1">
      <c r="B958" s="178"/>
    </row>
    <row r="959" spans="2:2" ht="15.75" customHeight="1">
      <c r="B959" s="178"/>
    </row>
    <row r="960" spans="2:2" ht="15.75" customHeight="1">
      <c r="B960" s="178"/>
    </row>
    <row r="961" spans="2:2" ht="15.75" customHeight="1">
      <c r="B961" s="178"/>
    </row>
    <row r="962" spans="2:2" ht="15.75" customHeight="1">
      <c r="B962" s="178"/>
    </row>
    <row r="963" spans="2:2" ht="15.75" customHeight="1">
      <c r="B963" s="178"/>
    </row>
    <row r="964" spans="2:2" ht="15.75" customHeight="1">
      <c r="B964" s="178"/>
    </row>
    <row r="965" spans="2:2" ht="15.75" customHeight="1">
      <c r="B965" s="178"/>
    </row>
    <row r="966" spans="2:2" ht="15.75" customHeight="1">
      <c r="B966" s="178"/>
    </row>
    <row r="967" spans="2:2" ht="15.75" customHeight="1">
      <c r="B967" s="178"/>
    </row>
    <row r="968" spans="2:2" ht="15.75" customHeight="1">
      <c r="B968" s="178"/>
    </row>
    <row r="969" spans="2:2" ht="15.75" customHeight="1">
      <c r="B969" s="178"/>
    </row>
    <row r="970" spans="2:2" ht="15.75" customHeight="1">
      <c r="B970" s="178"/>
    </row>
    <row r="971" spans="2:2" ht="15.75" customHeight="1">
      <c r="B971" s="178"/>
    </row>
    <row r="972" spans="2:2" ht="15.75" customHeight="1">
      <c r="B972" s="178"/>
    </row>
    <row r="973" spans="2:2" ht="15.75" customHeight="1">
      <c r="B973" s="178"/>
    </row>
    <row r="974" spans="2:2" ht="15.75" customHeight="1">
      <c r="B974" s="178"/>
    </row>
    <row r="975" spans="2:2" ht="15.75" customHeight="1">
      <c r="B975" s="178"/>
    </row>
    <row r="976" spans="2:2" ht="15.75" customHeight="1">
      <c r="B976" s="178"/>
    </row>
    <row r="977" spans="2:2" ht="15.75" customHeight="1">
      <c r="B977" s="178"/>
    </row>
    <row r="978" spans="2:2" ht="15.75" customHeight="1">
      <c r="B978" s="178"/>
    </row>
    <row r="979" spans="2:2" ht="15.75" customHeight="1">
      <c r="B979" s="178"/>
    </row>
    <row r="980" spans="2:2" ht="15.75" customHeight="1">
      <c r="B980" s="178"/>
    </row>
    <row r="981" spans="2:2" ht="15.75" customHeight="1">
      <c r="B981" s="178"/>
    </row>
    <row r="982" spans="2:2" ht="15.75" customHeight="1">
      <c r="B982" s="178"/>
    </row>
    <row r="983" spans="2:2" ht="15.75" customHeight="1">
      <c r="B983" s="178"/>
    </row>
    <row r="984" spans="2:2" ht="15.75" customHeight="1">
      <c r="B984" s="178"/>
    </row>
    <row r="985" spans="2:2" ht="15.75" customHeight="1">
      <c r="B985" s="178"/>
    </row>
    <row r="986" spans="2:2" ht="15.75" customHeight="1">
      <c r="B986" s="178"/>
    </row>
    <row r="987" spans="2:2" ht="15.75" customHeight="1">
      <c r="B987" s="178"/>
    </row>
    <row r="988" spans="2:2" ht="15.75" customHeight="1">
      <c r="B988" s="178"/>
    </row>
    <row r="989" spans="2:2" ht="15.75" customHeight="1">
      <c r="B989" s="178"/>
    </row>
    <row r="990" spans="2:2" ht="15.75" customHeight="1">
      <c r="B990" s="178"/>
    </row>
    <row r="991" spans="2:2" ht="15.75" customHeight="1">
      <c r="B991" s="178"/>
    </row>
    <row r="992" spans="2:2" ht="15.75" customHeight="1">
      <c r="B992" s="178"/>
    </row>
    <row r="993" spans="2:2" ht="15.75" customHeight="1">
      <c r="B993" s="178"/>
    </row>
    <row r="994" spans="2:2" ht="15.75" customHeight="1">
      <c r="B994" s="178"/>
    </row>
    <row r="995" spans="2:2" ht="15.75" customHeight="1">
      <c r="B995" s="178"/>
    </row>
    <row r="996" spans="2:2" ht="15.75" customHeight="1">
      <c r="B996" s="178"/>
    </row>
    <row r="997" spans="2:2" ht="15.75" customHeight="1">
      <c r="B997" s="178"/>
    </row>
    <row r="998" spans="2:2" ht="15.75" customHeight="1">
      <c r="B998" s="178"/>
    </row>
    <row r="999" spans="2:2" ht="15.75" customHeight="1">
      <c r="B999" s="178"/>
    </row>
    <row r="1000" spans="2:2" ht="15.75" customHeight="1">
      <c r="B1000" s="178"/>
    </row>
  </sheetData>
  <mergeCells count="10">
    <mergeCell ref="AL3:AS3"/>
    <mergeCell ref="D40:K44"/>
    <mergeCell ref="L40:S44"/>
    <mergeCell ref="Y40:AF44"/>
    <mergeCell ref="B3:B4"/>
    <mergeCell ref="D3:K3"/>
    <mergeCell ref="L3:S3"/>
    <mergeCell ref="T3:X3"/>
    <mergeCell ref="Y3:AF3"/>
    <mergeCell ref="AG3:AK3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２０２３.10</vt:lpstr>
      <vt:lpstr>2023.11</vt:lpstr>
      <vt:lpstr>2023.12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Nouvell Pousse</dc:creator>
  <cp:lastModifiedBy>Nouvell Pousse</cp:lastModifiedBy>
  <dcterms:created xsi:type="dcterms:W3CDTF">2026-02-11T10:20:36Z</dcterms:created>
  <dcterms:modified xsi:type="dcterms:W3CDTF">2026-02-11T10:31:51Z</dcterms:modified>
</cp:coreProperties>
</file>