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DEB64A0A-801A-E841-9972-FD0BC1647F8C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5.10" sheetId="1" r:id="rId1"/>
    <sheet name="2025.11" sheetId="2" r:id="rId2"/>
    <sheet name="2025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3" l="1"/>
  <c r="L46" i="3"/>
  <c r="AL44" i="3"/>
  <c r="AK44" i="3" s="1"/>
  <c r="AB38" i="3"/>
  <c r="AG46" i="3" s="1"/>
  <c r="G38" i="3"/>
  <c r="AM37" i="3"/>
  <c r="AD37" i="3"/>
  <c r="AE37" i="3" s="1"/>
  <c r="AT36" i="3"/>
  <c r="AS36" i="3"/>
  <c r="AR36" i="3"/>
  <c r="AQ36" i="3"/>
  <c r="AP36" i="3"/>
  <c r="AO36" i="3"/>
  <c r="AN36" i="3"/>
  <c r="AM36" i="3"/>
  <c r="AD36" i="3"/>
  <c r="AE36" i="3" s="1"/>
  <c r="AB36" i="3"/>
  <c r="AC36" i="3" s="1"/>
  <c r="AA36" i="3"/>
  <c r="Z36" i="3"/>
  <c r="M36" i="3"/>
  <c r="J36" i="3"/>
  <c r="I36" i="3"/>
  <c r="I37" i="3" s="1"/>
  <c r="J37" i="3" s="1"/>
  <c r="H36" i="3"/>
  <c r="G36" i="3"/>
  <c r="G37" i="3" s="1"/>
  <c r="H37" i="3" s="1"/>
  <c r="L37" i="3" s="1"/>
  <c r="F36" i="3"/>
  <c r="E36" i="3"/>
  <c r="AU34" i="3"/>
  <c r="AW34" i="3" s="1"/>
  <c r="AL34" i="3"/>
  <c r="AJ34" i="3"/>
  <c r="AG34" i="3"/>
  <c r="AF34" i="3"/>
  <c r="AE34" i="3"/>
  <c r="AC34" i="3"/>
  <c r="W34" i="3"/>
  <c r="V34" i="3"/>
  <c r="AI34" i="3" s="1"/>
  <c r="U34" i="3"/>
  <c r="Y34" i="3" s="1"/>
  <c r="S34" i="3"/>
  <c r="Q34" i="3"/>
  <c r="O34" i="3"/>
  <c r="P34" i="3" s="1"/>
  <c r="N34" i="3"/>
  <c r="AH34" i="3" s="1"/>
  <c r="L34" i="3"/>
  <c r="K34" i="3"/>
  <c r="X34" i="3" s="1"/>
  <c r="AK34" i="3" s="1"/>
  <c r="J34" i="3"/>
  <c r="H34" i="3"/>
  <c r="AW33" i="3"/>
  <c r="AU33" i="3"/>
  <c r="AL33" i="3"/>
  <c r="AI33" i="3"/>
  <c r="AH33" i="3"/>
  <c r="AF33" i="3"/>
  <c r="AG33" i="3" s="1"/>
  <c r="AE33" i="3"/>
  <c r="AC33" i="3"/>
  <c r="W33" i="3"/>
  <c r="AJ33" i="3" s="1"/>
  <c r="V33" i="3"/>
  <c r="U33" i="3"/>
  <c r="Y33" i="3" s="1"/>
  <c r="T33" i="3"/>
  <c r="S33" i="3"/>
  <c r="R33" i="3"/>
  <c r="Q33" i="3"/>
  <c r="O33" i="3"/>
  <c r="N33" i="3"/>
  <c r="P33" i="3" s="1"/>
  <c r="L33" i="3"/>
  <c r="K33" i="3"/>
  <c r="X33" i="3" s="1"/>
  <c r="AK33" i="3" s="1"/>
  <c r="J33" i="3"/>
  <c r="H33" i="3"/>
  <c r="AX32" i="3"/>
  <c r="AW32" i="3"/>
  <c r="AU32" i="3"/>
  <c r="AL32" i="3"/>
  <c r="AH32" i="3"/>
  <c r="AG32" i="3"/>
  <c r="AF32" i="3"/>
  <c r="AE32" i="3"/>
  <c r="AC32" i="3"/>
  <c r="V32" i="3"/>
  <c r="AI32" i="3" s="1"/>
  <c r="U32" i="3"/>
  <c r="Y32" i="3" s="1"/>
  <c r="S32" i="3"/>
  <c r="T32" i="3" s="1"/>
  <c r="Q32" i="3"/>
  <c r="W32" i="3" s="1"/>
  <c r="AJ32" i="3" s="1"/>
  <c r="P32" i="3"/>
  <c r="O32" i="3"/>
  <c r="N32" i="3"/>
  <c r="K32" i="3"/>
  <c r="X32" i="3" s="1"/>
  <c r="AK32" i="3" s="1"/>
  <c r="J32" i="3"/>
  <c r="H32" i="3"/>
  <c r="AW31" i="3"/>
  <c r="AU31" i="3"/>
  <c r="AL31" i="3"/>
  <c r="AH31" i="3"/>
  <c r="AF31" i="3"/>
  <c r="AG31" i="3" s="1"/>
  <c r="AE31" i="3"/>
  <c r="AC31" i="3"/>
  <c r="U31" i="3"/>
  <c r="S31" i="3"/>
  <c r="T31" i="3" s="1"/>
  <c r="R31" i="3"/>
  <c r="Q31" i="3"/>
  <c r="W31" i="3" s="1"/>
  <c r="AJ31" i="3" s="1"/>
  <c r="P31" i="3"/>
  <c r="O31" i="3"/>
  <c r="V31" i="3" s="1"/>
  <c r="AI31" i="3" s="1"/>
  <c r="N31" i="3"/>
  <c r="K31" i="3"/>
  <c r="L31" i="3" s="1"/>
  <c r="J31" i="3"/>
  <c r="H31" i="3"/>
  <c r="AX30" i="3"/>
  <c r="AU30" i="3"/>
  <c r="AW30" i="3" s="1"/>
  <c r="AL30" i="3"/>
  <c r="AH30" i="3"/>
  <c r="AF30" i="3"/>
  <c r="AG30" i="3" s="1"/>
  <c r="AE30" i="3"/>
  <c r="AC30" i="3"/>
  <c r="Q30" i="3"/>
  <c r="R30" i="3" s="1"/>
  <c r="O30" i="3"/>
  <c r="V30" i="3" s="1"/>
  <c r="AI30" i="3" s="1"/>
  <c r="N30" i="3"/>
  <c r="U30" i="3" s="1"/>
  <c r="L30" i="3"/>
  <c r="K30" i="3"/>
  <c r="J30" i="3"/>
  <c r="H30" i="3"/>
  <c r="AX29" i="3"/>
  <c r="AW29" i="3"/>
  <c r="AU29" i="3"/>
  <c r="AL29" i="3"/>
  <c r="AG29" i="3"/>
  <c r="AF29" i="3"/>
  <c r="AE29" i="3"/>
  <c r="AC29" i="3"/>
  <c r="Q29" i="3"/>
  <c r="S29" i="3" s="1"/>
  <c r="X29" i="3" s="1"/>
  <c r="AK29" i="3" s="1"/>
  <c r="P29" i="3"/>
  <c r="O29" i="3"/>
  <c r="V29" i="3" s="1"/>
  <c r="AI29" i="3" s="1"/>
  <c r="N29" i="3"/>
  <c r="U29" i="3" s="1"/>
  <c r="Y29" i="3" s="1"/>
  <c r="L29" i="3"/>
  <c r="K29" i="3"/>
  <c r="J29" i="3"/>
  <c r="H29" i="3"/>
  <c r="AU28" i="3"/>
  <c r="AX28" i="3" s="1"/>
  <c r="AL28" i="3"/>
  <c r="AF28" i="3"/>
  <c r="AG28" i="3" s="1"/>
  <c r="AE28" i="3"/>
  <c r="AC28" i="3"/>
  <c r="W28" i="3"/>
  <c r="AJ28" i="3" s="1"/>
  <c r="R28" i="3"/>
  <c r="Q28" i="3"/>
  <c r="O28" i="3"/>
  <c r="S28" i="3" s="1"/>
  <c r="X28" i="3" s="1"/>
  <c r="AK28" i="3" s="1"/>
  <c r="N28" i="3"/>
  <c r="AH28" i="3" s="1"/>
  <c r="L28" i="3"/>
  <c r="K28" i="3"/>
  <c r="J28" i="3"/>
  <c r="H28" i="3"/>
  <c r="AU27" i="3"/>
  <c r="AX27" i="3" s="1"/>
  <c r="AL27" i="3"/>
  <c r="AF27" i="3"/>
  <c r="AG27" i="3" s="1"/>
  <c r="AE27" i="3"/>
  <c r="AC27" i="3"/>
  <c r="V27" i="3"/>
  <c r="AI27" i="3" s="1"/>
  <c r="Q27" i="3"/>
  <c r="R27" i="3" s="1"/>
  <c r="O27" i="3"/>
  <c r="S27" i="3" s="1"/>
  <c r="X27" i="3" s="1"/>
  <c r="AK27" i="3" s="1"/>
  <c r="N27" i="3"/>
  <c r="U27" i="3" s="1"/>
  <c r="Y27" i="3" s="1"/>
  <c r="K27" i="3"/>
  <c r="L27" i="3" s="1"/>
  <c r="J27" i="3"/>
  <c r="H27" i="3"/>
  <c r="AW26" i="3"/>
  <c r="AU26" i="3"/>
  <c r="AX26" i="3" s="1"/>
  <c r="AL26" i="3"/>
  <c r="AI26" i="3"/>
  <c r="AG26" i="3"/>
  <c r="AF26" i="3"/>
  <c r="AE26" i="3"/>
  <c r="AC26" i="3"/>
  <c r="W26" i="3"/>
  <c r="AJ26" i="3" s="1"/>
  <c r="V26" i="3"/>
  <c r="U26" i="3"/>
  <c r="Y26" i="3" s="1"/>
  <c r="Q26" i="3"/>
  <c r="R26" i="3" s="1"/>
  <c r="O26" i="3"/>
  <c r="S26" i="3" s="1"/>
  <c r="X26" i="3" s="1"/>
  <c r="AK26" i="3" s="1"/>
  <c r="N26" i="3"/>
  <c r="P26" i="3" s="1"/>
  <c r="L26" i="3"/>
  <c r="K26" i="3"/>
  <c r="J26" i="3"/>
  <c r="H26" i="3"/>
  <c r="AU25" i="3"/>
  <c r="AX25" i="3" s="1"/>
  <c r="AL25" i="3"/>
  <c r="AJ25" i="3"/>
  <c r="AH25" i="3"/>
  <c r="AG25" i="3"/>
  <c r="AF25" i="3"/>
  <c r="AE25" i="3"/>
  <c r="AC25" i="3"/>
  <c r="W25" i="3"/>
  <c r="V25" i="3"/>
  <c r="AI25" i="3" s="1"/>
  <c r="U25" i="3"/>
  <c r="Q25" i="3"/>
  <c r="O25" i="3"/>
  <c r="P25" i="3" s="1"/>
  <c r="N25" i="3"/>
  <c r="R25" i="3" s="1"/>
  <c r="K25" i="3"/>
  <c r="J25" i="3"/>
  <c r="H25" i="3"/>
  <c r="AU24" i="3"/>
  <c r="AW24" i="3" s="1"/>
  <c r="AL24" i="3"/>
  <c r="AJ24" i="3"/>
  <c r="AI24" i="3"/>
  <c r="AG24" i="3"/>
  <c r="AF24" i="3"/>
  <c r="AE24" i="3"/>
  <c r="AC24" i="3"/>
  <c r="W24" i="3"/>
  <c r="V24" i="3"/>
  <c r="U24" i="3"/>
  <c r="S24" i="3"/>
  <c r="Q24" i="3"/>
  <c r="O24" i="3"/>
  <c r="P24" i="3" s="1"/>
  <c r="N24" i="3"/>
  <c r="AH24" i="3" s="1"/>
  <c r="K24" i="3"/>
  <c r="L24" i="3" s="1"/>
  <c r="J24" i="3"/>
  <c r="H24" i="3"/>
  <c r="AW23" i="3"/>
  <c r="AU23" i="3"/>
  <c r="AL23" i="3"/>
  <c r="AI23" i="3"/>
  <c r="AH23" i="3"/>
  <c r="AF23" i="3"/>
  <c r="AG23" i="3" s="1"/>
  <c r="AE23" i="3"/>
  <c r="AC23" i="3"/>
  <c r="W23" i="3"/>
  <c r="AJ23" i="3" s="1"/>
  <c r="V23" i="3"/>
  <c r="U23" i="3"/>
  <c r="T23" i="3"/>
  <c r="S23" i="3"/>
  <c r="R23" i="3"/>
  <c r="Q23" i="3"/>
  <c r="O23" i="3"/>
  <c r="N23" i="3"/>
  <c r="P23" i="3" s="1"/>
  <c r="L23" i="3"/>
  <c r="K23" i="3"/>
  <c r="X23" i="3" s="1"/>
  <c r="AK23" i="3" s="1"/>
  <c r="J23" i="3"/>
  <c r="H23" i="3"/>
  <c r="AX22" i="3"/>
  <c r="AW22" i="3"/>
  <c r="AU22" i="3"/>
  <c r="AL22" i="3"/>
  <c r="AH22" i="3"/>
  <c r="AG22" i="3"/>
  <c r="AF22" i="3"/>
  <c r="AE22" i="3"/>
  <c r="AC22" i="3"/>
  <c r="V22" i="3"/>
  <c r="AI22" i="3" s="1"/>
  <c r="U22" i="3"/>
  <c r="S22" i="3"/>
  <c r="T22" i="3" s="1"/>
  <c r="Q22" i="3"/>
  <c r="W22" i="3" s="1"/>
  <c r="AJ22" i="3" s="1"/>
  <c r="P22" i="3"/>
  <c r="O22" i="3"/>
  <c r="N22" i="3"/>
  <c r="L22" i="3"/>
  <c r="K22" i="3"/>
  <c r="X22" i="3" s="1"/>
  <c r="AK22" i="3" s="1"/>
  <c r="J22" i="3"/>
  <c r="H22" i="3"/>
  <c r="AW21" i="3"/>
  <c r="AU21" i="3"/>
  <c r="AL21" i="3"/>
  <c r="AH21" i="3"/>
  <c r="AF21" i="3"/>
  <c r="AG21" i="3" s="1"/>
  <c r="AE21" i="3"/>
  <c r="AC21" i="3"/>
  <c r="U21" i="3"/>
  <c r="S21" i="3"/>
  <c r="T21" i="3" s="1"/>
  <c r="R21" i="3"/>
  <c r="Q21" i="3"/>
  <c r="W21" i="3" s="1"/>
  <c r="AJ21" i="3" s="1"/>
  <c r="P21" i="3"/>
  <c r="O21" i="3"/>
  <c r="V21" i="3" s="1"/>
  <c r="AI21" i="3" s="1"/>
  <c r="N21" i="3"/>
  <c r="L21" i="3"/>
  <c r="K21" i="3"/>
  <c r="X21" i="3" s="1"/>
  <c r="AK21" i="3" s="1"/>
  <c r="J21" i="3"/>
  <c r="H21" i="3"/>
  <c r="AX20" i="3"/>
  <c r="AU20" i="3"/>
  <c r="AW20" i="3" s="1"/>
  <c r="AL20" i="3"/>
  <c r="AH20" i="3"/>
  <c r="AF20" i="3"/>
  <c r="AG20" i="3" s="1"/>
  <c r="AE20" i="3"/>
  <c r="AC20" i="3"/>
  <c r="Q20" i="3"/>
  <c r="R20" i="3" s="1"/>
  <c r="O20" i="3"/>
  <c r="V20" i="3" s="1"/>
  <c r="AI20" i="3" s="1"/>
  <c r="N20" i="3"/>
  <c r="U20" i="3" s="1"/>
  <c r="L20" i="3"/>
  <c r="K20" i="3"/>
  <c r="J20" i="3"/>
  <c r="H20" i="3"/>
  <c r="AX19" i="3"/>
  <c r="AW19" i="3"/>
  <c r="AU19" i="3"/>
  <c r="AL19" i="3"/>
  <c r="AG19" i="3"/>
  <c r="AF19" i="3"/>
  <c r="AE19" i="3"/>
  <c r="AC19" i="3"/>
  <c r="Q19" i="3"/>
  <c r="R19" i="3" s="1"/>
  <c r="P19" i="3"/>
  <c r="O19" i="3"/>
  <c r="V19" i="3" s="1"/>
  <c r="AI19" i="3" s="1"/>
  <c r="N19" i="3"/>
  <c r="U19" i="3" s="1"/>
  <c r="L19" i="3"/>
  <c r="K19" i="3"/>
  <c r="J19" i="3"/>
  <c r="H19" i="3"/>
  <c r="AU18" i="3"/>
  <c r="AX18" i="3" s="1"/>
  <c r="AL18" i="3"/>
  <c r="AF18" i="3"/>
  <c r="AG18" i="3" s="1"/>
  <c r="AE18" i="3"/>
  <c r="AC18" i="3"/>
  <c r="W18" i="3"/>
  <c r="AJ18" i="3" s="1"/>
  <c r="R18" i="3"/>
  <c r="Q18" i="3"/>
  <c r="O18" i="3"/>
  <c r="S18" i="3" s="1"/>
  <c r="N18" i="3"/>
  <c r="AH18" i="3" s="1"/>
  <c r="L18" i="3"/>
  <c r="K18" i="3"/>
  <c r="J18" i="3"/>
  <c r="H18" i="3"/>
  <c r="AU17" i="3"/>
  <c r="AX17" i="3" s="1"/>
  <c r="AL17" i="3"/>
  <c r="AF17" i="3"/>
  <c r="AG17" i="3" s="1"/>
  <c r="AE17" i="3"/>
  <c r="AC17" i="3"/>
  <c r="V17" i="3"/>
  <c r="AI17" i="3" s="1"/>
  <c r="Q17" i="3"/>
  <c r="R17" i="3" s="1"/>
  <c r="O17" i="3"/>
  <c r="S17" i="3" s="1"/>
  <c r="X17" i="3" s="1"/>
  <c r="AK17" i="3" s="1"/>
  <c r="N17" i="3"/>
  <c r="U17" i="3" s="1"/>
  <c r="K17" i="3"/>
  <c r="L17" i="3" s="1"/>
  <c r="J17" i="3"/>
  <c r="H17" i="3"/>
  <c r="AW16" i="3"/>
  <c r="AU16" i="3"/>
  <c r="AX16" i="3" s="1"/>
  <c r="AL16" i="3"/>
  <c r="AI16" i="3"/>
  <c r="AG16" i="3"/>
  <c r="AF16" i="3"/>
  <c r="AE16" i="3"/>
  <c r="AC16" i="3"/>
  <c r="W16" i="3"/>
  <c r="AJ16" i="3" s="1"/>
  <c r="V16" i="3"/>
  <c r="U16" i="3"/>
  <c r="Q16" i="3"/>
  <c r="R16" i="3" s="1"/>
  <c r="O16" i="3"/>
  <c r="S16" i="3" s="1"/>
  <c r="X16" i="3" s="1"/>
  <c r="AK16" i="3" s="1"/>
  <c r="N16" i="3"/>
  <c r="AH16" i="3" s="1"/>
  <c r="L16" i="3"/>
  <c r="K16" i="3"/>
  <c r="J16" i="3"/>
  <c r="H16" i="3"/>
  <c r="AU15" i="3"/>
  <c r="AX15" i="3" s="1"/>
  <c r="AL15" i="3"/>
  <c r="AJ15" i="3"/>
  <c r="AH15" i="3"/>
  <c r="AG15" i="3"/>
  <c r="AF15" i="3"/>
  <c r="AE15" i="3"/>
  <c r="AC15" i="3"/>
  <c r="W15" i="3"/>
  <c r="V15" i="3"/>
  <c r="AI15" i="3" s="1"/>
  <c r="U15" i="3"/>
  <c r="Q15" i="3"/>
  <c r="O15" i="3"/>
  <c r="P15" i="3" s="1"/>
  <c r="N15" i="3"/>
  <c r="R15" i="3" s="1"/>
  <c r="L15" i="3"/>
  <c r="K15" i="3"/>
  <c r="J15" i="3"/>
  <c r="H15" i="3"/>
  <c r="AU14" i="3"/>
  <c r="AW14" i="3" s="1"/>
  <c r="AL14" i="3"/>
  <c r="AJ14" i="3"/>
  <c r="AI14" i="3"/>
  <c r="AG14" i="3"/>
  <c r="AF14" i="3"/>
  <c r="AE14" i="3"/>
  <c r="AC14" i="3"/>
  <c r="W14" i="3"/>
  <c r="V14" i="3"/>
  <c r="U14" i="3"/>
  <c r="S14" i="3"/>
  <c r="Q14" i="3"/>
  <c r="O14" i="3"/>
  <c r="P14" i="3" s="1"/>
  <c r="N14" i="3"/>
  <c r="AH14" i="3" s="1"/>
  <c r="L14" i="3"/>
  <c r="K14" i="3"/>
  <c r="X14" i="3" s="1"/>
  <c r="AK14" i="3" s="1"/>
  <c r="J14" i="3"/>
  <c r="H14" i="3"/>
  <c r="AW13" i="3"/>
  <c r="AU13" i="3"/>
  <c r="AL13" i="3"/>
  <c r="AI13" i="3"/>
  <c r="AH13" i="3"/>
  <c r="AF13" i="3"/>
  <c r="AG13" i="3" s="1"/>
  <c r="AE13" i="3"/>
  <c r="AC13" i="3"/>
  <c r="W13" i="3"/>
  <c r="AJ13" i="3" s="1"/>
  <c r="V13" i="3"/>
  <c r="U13" i="3"/>
  <c r="T13" i="3"/>
  <c r="S13" i="3"/>
  <c r="R13" i="3"/>
  <c r="Q13" i="3"/>
  <c r="O13" i="3"/>
  <c r="N13" i="3"/>
  <c r="P13" i="3" s="1"/>
  <c r="L13" i="3"/>
  <c r="K13" i="3"/>
  <c r="X13" i="3" s="1"/>
  <c r="AK13" i="3" s="1"/>
  <c r="J13" i="3"/>
  <c r="H13" i="3"/>
  <c r="AX12" i="3"/>
  <c r="AW12" i="3"/>
  <c r="AU12" i="3"/>
  <c r="AL12" i="3"/>
  <c r="AH12" i="3"/>
  <c r="AG12" i="3"/>
  <c r="AF12" i="3"/>
  <c r="AE12" i="3"/>
  <c r="AC12" i="3"/>
  <c r="V12" i="3"/>
  <c r="AI12" i="3" s="1"/>
  <c r="U12" i="3"/>
  <c r="S12" i="3"/>
  <c r="T12" i="3" s="1"/>
  <c r="Q12" i="3"/>
  <c r="W12" i="3" s="1"/>
  <c r="AJ12" i="3" s="1"/>
  <c r="P12" i="3"/>
  <c r="O12" i="3"/>
  <c r="N12" i="3"/>
  <c r="L12" i="3"/>
  <c r="K12" i="3"/>
  <c r="X12" i="3" s="1"/>
  <c r="AK12" i="3" s="1"/>
  <c r="J12" i="3"/>
  <c r="H12" i="3"/>
  <c r="AW11" i="3"/>
  <c r="AU11" i="3"/>
  <c r="AL11" i="3"/>
  <c r="AH11" i="3"/>
  <c r="AF11" i="3"/>
  <c r="AG11" i="3" s="1"/>
  <c r="AE11" i="3"/>
  <c r="AC11" i="3"/>
  <c r="U11" i="3"/>
  <c r="S11" i="3"/>
  <c r="T11" i="3" s="1"/>
  <c r="R11" i="3"/>
  <c r="Q11" i="3"/>
  <c r="W11" i="3" s="1"/>
  <c r="AJ11" i="3" s="1"/>
  <c r="P11" i="3"/>
  <c r="O11" i="3"/>
  <c r="V11" i="3" s="1"/>
  <c r="AI11" i="3" s="1"/>
  <c r="N11" i="3"/>
  <c r="K11" i="3"/>
  <c r="L11" i="3" s="1"/>
  <c r="J11" i="3"/>
  <c r="H11" i="3"/>
  <c r="AX10" i="3"/>
  <c r="AU10" i="3"/>
  <c r="AW10" i="3" s="1"/>
  <c r="AL10" i="3"/>
  <c r="AH10" i="3"/>
  <c r="AF10" i="3"/>
  <c r="AG10" i="3" s="1"/>
  <c r="AE10" i="3"/>
  <c r="AC10" i="3"/>
  <c r="Q10" i="3"/>
  <c r="R10" i="3" s="1"/>
  <c r="O10" i="3"/>
  <c r="V10" i="3" s="1"/>
  <c r="AI10" i="3" s="1"/>
  <c r="N10" i="3"/>
  <c r="U10" i="3" s="1"/>
  <c r="L10" i="3"/>
  <c r="K10" i="3"/>
  <c r="J10" i="3"/>
  <c r="H10" i="3"/>
  <c r="AX9" i="3"/>
  <c r="AW9" i="3"/>
  <c r="AU9" i="3"/>
  <c r="AL9" i="3"/>
  <c r="AG9" i="3"/>
  <c r="AF9" i="3"/>
  <c r="AE9" i="3"/>
  <c r="AC9" i="3"/>
  <c r="Q9" i="3"/>
  <c r="R9" i="3" s="1"/>
  <c r="P9" i="3"/>
  <c r="O9" i="3"/>
  <c r="V9" i="3" s="1"/>
  <c r="AI9" i="3" s="1"/>
  <c r="N9" i="3"/>
  <c r="U9" i="3" s="1"/>
  <c r="L9" i="3"/>
  <c r="K9" i="3"/>
  <c r="J9" i="3"/>
  <c r="H9" i="3"/>
  <c r="AU8" i="3"/>
  <c r="AX8" i="3" s="1"/>
  <c r="AL8" i="3"/>
  <c r="AF8" i="3"/>
  <c r="AG8" i="3" s="1"/>
  <c r="AE8" i="3"/>
  <c r="AC8" i="3"/>
  <c r="W8" i="3"/>
  <c r="AJ8" i="3" s="1"/>
  <c r="R8" i="3"/>
  <c r="Q8" i="3"/>
  <c r="O8" i="3"/>
  <c r="S8" i="3" s="1"/>
  <c r="N8" i="3"/>
  <c r="AH8" i="3" s="1"/>
  <c r="L8" i="3"/>
  <c r="K8" i="3"/>
  <c r="J8" i="3"/>
  <c r="H8" i="3"/>
  <c r="AU7" i="3"/>
  <c r="AW7" i="3" s="1"/>
  <c r="AL7" i="3"/>
  <c r="AF7" i="3"/>
  <c r="AG7" i="3" s="1"/>
  <c r="AE7" i="3"/>
  <c r="AC7" i="3"/>
  <c r="V7" i="3"/>
  <c r="AI7" i="3" s="1"/>
  <c r="Q7" i="3"/>
  <c r="R7" i="3" s="1"/>
  <c r="O7" i="3"/>
  <c r="S7" i="3" s="1"/>
  <c r="X7" i="3" s="1"/>
  <c r="AK7" i="3" s="1"/>
  <c r="N7" i="3"/>
  <c r="U7" i="3" s="1"/>
  <c r="L7" i="3"/>
  <c r="K7" i="3"/>
  <c r="J7" i="3"/>
  <c r="H7" i="3"/>
  <c r="AW6" i="3"/>
  <c r="AU6" i="3"/>
  <c r="AX6" i="3" s="1"/>
  <c r="AL6" i="3"/>
  <c r="AL36" i="3" s="1"/>
  <c r="AL37" i="3" s="1"/>
  <c r="AI6" i="3"/>
  <c r="AG6" i="3"/>
  <c r="AF6" i="3"/>
  <c r="AE6" i="3"/>
  <c r="AC6" i="3"/>
  <c r="W6" i="3"/>
  <c r="AJ6" i="3" s="1"/>
  <c r="V6" i="3"/>
  <c r="U6" i="3"/>
  <c r="Q6" i="3"/>
  <c r="R6" i="3" s="1"/>
  <c r="O6" i="3"/>
  <c r="S6" i="3" s="1"/>
  <c r="X6" i="3" s="1"/>
  <c r="AK6" i="3" s="1"/>
  <c r="N6" i="3"/>
  <c r="AH6" i="3" s="1"/>
  <c r="L6" i="3"/>
  <c r="K6" i="3"/>
  <c r="J6" i="3"/>
  <c r="H6" i="3"/>
  <c r="AU5" i="3"/>
  <c r="AX5" i="3" s="1"/>
  <c r="AL5" i="3"/>
  <c r="AJ5" i="3"/>
  <c r="AH5" i="3"/>
  <c r="AG5" i="3"/>
  <c r="AF5" i="3"/>
  <c r="AF36" i="3" s="1"/>
  <c r="AE5" i="3"/>
  <c r="AC5" i="3"/>
  <c r="W5" i="3"/>
  <c r="V5" i="3"/>
  <c r="U5" i="3"/>
  <c r="Q5" i="3"/>
  <c r="O5" i="3"/>
  <c r="P5" i="3" s="1"/>
  <c r="N5" i="3"/>
  <c r="N36" i="3" s="1"/>
  <c r="O38" i="3" s="1"/>
  <c r="L5" i="3"/>
  <c r="K5" i="3"/>
  <c r="K36" i="3" s="1"/>
  <c r="J5" i="3"/>
  <c r="H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T46" i="2"/>
  <c r="L46" i="2"/>
  <c r="AL44" i="2"/>
  <c r="AK44" i="2" s="1"/>
  <c r="AB38" i="2"/>
  <c r="AG46" i="2" s="1"/>
  <c r="G38" i="2"/>
  <c r="AM37" i="2"/>
  <c r="AD37" i="2"/>
  <c r="J37" i="2"/>
  <c r="I37" i="2"/>
  <c r="AT36" i="2"/>
  <c r="AS36" i="2"/>
  <c r="AR36" i="2"/>
  <c r="AQ36" i="2"/>
  <c r="AP36" i="2"/>
  <c r="AO36" i="2"/>
  <c r="AN36" i="2"/>
  <c r="AM36" i="2"/>
  <c r="AD36" i="2"/>
  <c r="AB36" i="2"/>
  <c r="AA36" i="2"/>
  <c r="AE36" i="2" s="1"/>
  <c r="Z36" i="2"/>
  <c r="M36" i="2"/>
  <c r="I36" i="2"/>
  <c r="J36" i="2" s="1"/>
  <c r="G36" i="2"/>
  <c r="F36" i="2"/>
  <c r="E36" i="2"/>
  <c r="AX34" i="2"/>
  <c r="AW34" i="2"/>
  <c r="AU34" i="2"/>
  <c r="AL34" i="2"/>
  <c r="AH34" i="2"/>
  <c r="AF34" i="2"/>
  <c r="AG34" i="2" s="1"/>
  <c r="AE34" i="2"/>
  <c r="AC34" i="2"/>
  <c r="Q34" i="2"/>
  <c r="W34" i="2" s="1"/>
  <c r="AJ34" i="2" s="1"/>
  <c r="P34" i="2"/>
  <c r="O34" i="2"/>
  <c r="V34" i="2" s="1"/>
  <c r="AI34" i="2" s="1"/>
  <c r="N34" i="2"/>
  <c r="U34" i="2" s="1"/>
  <c r="L34" i="2"/>
  <c r="K34" i="2"/>
  <c r="J34" i="2"/>
  <c r="H34" i="2"/>
  <c r="AU33" i="2"/>
  <c r="AL33" i="2"/>
  <c r="AG33" i="2"/>
  <c r="AF33" i="2"/>
  <c r="AE33" i="2"/>
  <c r="AC33" i="2"/>
  <c r="W33" i="2"/>
  <c r="AJ33" i="2" s="1"/>
  <c r="Q33" i="2"/>
  <c r="R33" i="2" s="1"/>
  <c r="O33" i="2"/>
  <c r="N33" i="2"/>
  <c r="AH33" i="2" s="1"/>
  <c r="L33" i="2"/>
  <c r="K33" i="2"/>
  <c r="J33" i="2"/>
  <c r="H33" i="2"/>
  <c r="AU32" i="2"/>
  <c r="AX32" i="2" s="1"/>
  <c r="AL32" i="2"/>
  <c r="AJ32" i="2"/>
  <c r="AF32" i="2"/>
  <c r="AG32" i="2" s="1"/>
  <c r="AE32" i="2"/>
  <c r="AC32" i="2"/>
  <c r="W32" i="2"/>
  <c r="R32" i="2"/>
  <c r="Q32" i="2"/>
  <c r="O32" i="2"/>
  <c r="S32" i="2" s="1"/>
  <c r="X32" i="2" s="1"/>
  <c r="AK32" i="2" s="1"/>
  <c r="N32" i="2"/>
  <c r="L32" i="2"/>
  <c r="K32" i="2"/>
  <c r="J32" i="2"/>
  <c r="H32" i="2"/>
  <c r="AX31" i="2"/>
  <c r="AU31" i="2"/>
  <c r="AW31" i="2" s="1"/>
  <c r="AL31" i="2"/>
  <c r="AF31" i="2"/>
  <c r="AG31" i="2" s="1"/>
  <c r="AE31" i="2"/>
  <c r="AC31" i="2"/>
  <c r="V31" i="2"/>
  <c r="AI31" i="2" s="1"/>
  <c r="Q31" i="2"/>
  <c r="R31" i="2" s="1"/>
  <c r="O31" i="2"/>
  <c r="N31" i="2"/>
  <c r="AH31" i="2" s="1"/>
  <c r="L31" i="2"/>
  <c r="K31" i="2"/>
  <c r="J31" i="2"/>
  <c r="H31" i="2"/>
  <c r="AX30" i="2"/>
  <c r="AW30" i="2"/>
  <c r="AU30" i="2"/>
  <c r="AL30" i="2"/>
  <c r="AJ30" i="2"/>
  <c r="AH30" i="2"/>
  <c r="AF30" i="2"/>
  <c r="AG30" i="2" s="1"/>
  <c r="AE30" i="2"/>
  <c r="AC30" i="2"/>
  <c r="W30" i="2"/>
  <c r="V30" i="2"/>
  <c r="AI30" i="2" s="1"/>
  <c r="U30" i="2"/>
  <c r="Q30" i="2"/>
  <c r="R30" i="2" s="1"/>
  <c r="P30" i="2"/>
  <c r="O30" i="2"/>
  <c r="S30" i="2" s="1"/>
  <c r="T30" i="2" s="1"/>
  <c r="N30" i="2"/>
  <c r="L30" i="2"/>
  <c r="K30" i="2"/>
  <c r="X30" i="2" s="1"/>
  <c r="AK30" i="2" s="1"/>
  <c r="J30" i="2"/>
  <c r="H30" i="2"/>
  <c r="AU29" i="2"/>
  <c r="AL29" i="2"/>
  <c r="AJ29" i="2"/>
  <c r="AH29" i="2"/>
  <c r="AG29" i="2"/>
  <c r="AF29" i="2"/>
  <c r="AE29" i="2"/>
  <c r="AC29" i="2"/>
  <c r="W29" i="2"/>
  <c r="U29" i="2"/>
  <c r="Q29" i="2"/>
  <c r="R29" i="2" s="1"/>
  <c r="O29" i="2"/>
  <c r="N29" i="2"/>
  <c r="L29" i="2"/>
  <c r="K29" i="2"/>
  <c r="J29" i="2"/>
  <c r="H29" i="2"/>
  <c r="AU28" i="2"/>
  <c r="AL28" i="2"/>
  <c r="AJ28" i="2"/>
  <c r="AI28" i="2"/>
  <c r="AF28" i="2"/>
  <c r="AG28" i="2" s="1"/>
  <c r="AE28" i="2"/>
  <c r="AC28" i="2"/>
  <c r="W28" i="2"/>
  <c r="V28" i="2"/>
  <c r="S28" i="2"/>
  <c r="X28" i="2" s="1"/>
  <c r="AK28" i="2" s="1"/>
  <c r="Q28" i="2"/>
  <c r="O28" i="2"/>
  <c r="N28" i="2"/>
  <c r="U28" i="2" s="1"/>
  <c r="K28" i="2"/>
  <c r="L28" i="2" s="1"/>
  <c r="J28" i="2"/>
  <c r="H28" i="2"/>
  <c r="AX27" i="2"/>
  <c r="AU27" i="2"/>
  <c r="AW27" i="2" s="1"/>
  <c r="AL27" i="2"/>
  <c r="AI27" i="2"/>
  <c r="AH27" i="2"/>
  <c r="AG27" i="2"/>
  <c r="AF27" i="2"/>
  <c r="AE27" i="2"/>
  <c r="AC27" i="2"/>
  <c r="W27" i="2"/>
  <c r="AJ27" i="2" s="1"/>
  <c r="V27" i="2"/>
  <c r="U27" i="2"/>
  <c r="Y27" i="2" s="1"/>
  <c r="S27" i="2"/>
  <c r="X27" i="2" s="1"/>
  <c r="AK27" i="2" s="1"/>
  <c r="R27" i="2"/>
  <c r="Q27" i="2"/>
  <c r="O27" i="2"/>
  <c r="P27" i="2" s="1"/>
  <c r="N27" i="2"/>
  <c r="L27" i="2"/>
  <c r="K27" i="2"/>
  <c r="J27" i="2"/>
  <c r="H27" i="2"/>
  <c r="AX26" i="2"/>
  <c r="AW26" i="2"/>
  <c r="AU26" i="2"/>
  <c r="AL26" i="2"/>
  <c r="AH26" i="2"/>
  <c r="AG26" i="2"/>
  <c r="AF26" i="2"/>
  <c r="AE26" i="2"/>
  <c r="AC26" i="2"/>
  <c r="V26" i="2"/>
  <c r="AI26" i="2" s="1"/>
  <c r="U26" i="2"/>
  <c r="Q26" i="2"/>
  <c r="W26" i="2" s="1"/>
  <c r="AJ26" i="2" s="1"/>
  <c r="P26" i="2"/>
  <c r="O26" i="2"/>
  <c r="N26" i="2"/>
  <c r="K26" i="2"/>
  <c r="J26" i="2"/>
  <c r="H26" i="2"/>
  <c r="AU25" i="2"/>
  <c r="AX25" i="2" s="1"/>
  <c r="AL25" i="2"/>
  <c r="AH25" i="2"/>
  <c r="AF25" i="2"/>
  <c r="AG25" i="2" s="1"/>
  <c r="AE25" i="2"/>
  <c r="AC25" i="2"/>
  <c r="U25" i="2"/>
  <c r="Q25" i="2"/>
  <c r="W25" i="2" s="1"/>
  <c r="AJ25" i="2" s="1"/>
  <c r="O25" i="2"/>
  <c r="N25" i="2"/>
  <c r="L25" i="2"/>
  <c r="K25" i="2"/>
  <c r="J25" i="2"/>
  <c r="H25" i="2"/>
  <c r="AU24" i="2"/>
  <c r="AX24" i="2" s="1"/>
  <c r="AL24" i="2"/>
  <c r="AF24" i="2"/>
  <c r="AG24" i="2" s="1"/>
  <c r="AE24" i="2"/>
  <c r="AC24" i="2"/>
  <c r="Q24" i="2"/>
  <c r="O24" i="2"/>
  <c r="N24" i="2"/>
  <c r="U24" i="2" s="1"/>
  <c r="L24" i="2"/>
  <c r="K24" i="2"/>
  <c r="J24" i="2"/>
  <c r="H24" i="2"/>
  <c r="AW23" i="2"/>
  <c r="AU23" i="2"/>
  <c r="AX23" i="2" s="1"/>
  <c r="AL23" i="2"/>
  <c r="AG23" i="2"/>
  <c r="AF23" i="2"/>
  <c r="AE23" i="2"/>
  <c r="AC23" i="2"/>
  <c r="W23" i="2"/>
  <c r="AJ23" i="2" s="1"/>
  <c r="Q23" i="2"/>
  <c r="O23" i="2"/>
  <c r="V23" i="2" s="1"/>
  <c r="AI23" i="2" s="1"/>
  <c r="N23" i="2"/>
  <c r="L23" i="2"/>
  <c r="K23" i="2"/>
  <c r="J23" i="2"/>
  <c r="H23" i="2"/>
  <c r="AU22" i="2"/>
  <c r="AL22" i="2"/>
  <c r="AF22" i="2"/>
  <c r="AG22" i="2" s="1"/>
  <c r="AE22" i="2"/>
  <c r="AC22" i="2"/>
  <c r="W22" i="2"/>
  <c r="AJ22" i="2" s="1"/>
  <c r="Q22" i="2"/>
  <c r="O22" i="2"/>
  <c r="N22" i="2"/>
  <c r="L22" i="2"/>
  <c r="K22" i="2"/>
  <c r="J22" i="2"/>
  <c r="H22" i="2"/>
  <c r="AX21" i="2"/>
  <c r="AU21" i="2"/>
  <c r="AW21" i="2" s="1"/>
  <c r="AL21" i="2"/>
  <c r="AI21" i="2"/>
  <c r="AF21" i="2"/>
  <c r="AG21" i="2" s="1"/>
  <c r="AE21" i="2"/>
  <c r="AC21" i="2"/>
  <c r="W21" i="2"/>
  <c r="AJ21" i="2" s="1"/>
  <c r="V21" i="2"/>
  <c r="Q21" i="2"/>
  <c r="O21" i="2"/>
  <c r="N21" i="2"/>
  <c r="L21" i="2"/>
  <c r="K21" i="2"/>
  <c r="J21" i="2"/>
  <c r="H21" i="2"/>
  <c r="AX20" i="2"/>
  <c r="AW20" i="2"/>
  <c r="AU20" i="2"/>
  <c r="AL20" i="2"/>
  <c r="AJ20" i="2"/>
  <c r="AI20" i="2"/>
  <c r="AH20" i="2"/>
  <c r="AF20" i="2"/>
  <c r="AG20" i="2" s="1"/>
  <c r="AE20" i="2"/>
  <c r="AC20" i="2"/>
  <c r="W20" i="2"/>
  <c r="V20" i="2"/>
  <c r="U20" i="2"/>
  <c r="Q20" i="2"/>
  <c r="R20" i="2" s="1"/>
  <c r="P20" i="2"/>
  <c r="O20" i="2"/>
  <c r="S20" i="2" s="1"/>
  <c r="T20" i="2" s="1"/>
  <c r="N20" i="2"/>
  <c r="K20" i="2"/>
  <c r="X20" i="2" s="1"/>
  <c r="AK20" i="2" s="1"/>
  <c r="J20" i="2"/>
  <c r="H20" i="2"/>
  <c r="AU19" i="2"/>
  <c r="AL19" i="2"/>
  <c r="AJ19" i="2"/>
  <c r="AH19" i="2"/>
  <c r="AG19" i="2"/>
  <c r="AF19" i="2"/>
  <c r="AE19" i="2"/>
  <c r="AC19" i="2"/>
  <c r="W19" i="2"/>
  <c r="U19" i="2"/>
  <c r="Q19" i="2"/>
  <c r="R19" i="2" s="1"/>
  <c r="O19" i="2"/>
  <c r="P19" i="2" s="1"/>
  <c r="N19" i="2"/>
  <c r="K19" i="2"/>
  <c r="J19" i="2"/>
  <c r="H19" i="2"/>
  <c r="AU18" i="2"/>
  <c r="AX18" i="2" s="1"/>
  <c r="AL18" i="2"/>
  <c r="AJ18" i="2"/>
  <c r="AH18" i="2"/>
  <c r="AF18" i="2"/>
  <c r="AG18" i="2" s="1"/>
  <c r="AE18" i="2"/>
  <c r="AC18" i="2"/>
  <c r="W18" i="2"/>
  <c r="V18" i="2"/>
  <c r="AI18" i="2" s="1"/>
  <c r="U18" i="2"/>
  <c r="S18" i="2"/>
  <c r="X18" i="2" s="1"/>
  <c r="AK18" i="2" s="1"/>
  <c r="Q18" i="2"/>
  <c r="O18" i="2"/>
  <c r="P18" i="2" s="1"/>
  <c r="N18" i="2"/>
  <c r="R18" i="2" s="1"/>
  <c r="L18" i="2"/>
  <c r="K18" i="2"/>
  <c r="J18" i="2"/>
  <c r="H18" i="2"/>
  <c r="AX17" i="2"/>
  <c r="AW17" i="2"/>
  <c r="AU17" i="2"/>
  <c r="AL17" i="2"/>
  <c r="AI17" i="2"/>
  <c r="AH17" i="2"/>
  <c r="AG17" i="2"/>
  <c r="AF17" i="2"/>
  <c r="AE17" i="2"/>
  <c r="AC17" i="2"/>
  <c r="V17" i="2"/>
  <c r="U17" i="2"/>
  <c r="Q17" i="2"/>
  <c r="W17" i="2" s="1"/>
  <c r="AJ17" i="2" s="1"/>
  <c r="O17" i="2"/>
  <c r="N17" i="2"/>
  <c r="P17" i="2" s="1"/>
  <c r="L17" i="2"/>
  <c r="K17" i="2"/>
  <c r="J17" i="2"/>
  <c r="H17" i="2"/>
  <c r="AX16" i="2"/>
  <c r="AW16" i="2"/>
  <c r="AU16" i="2"/>
  <c r="AL16" i="2"/>
  <c r="AH16" i="2"/>
  <c r="AG16" i="2"/>
  <c r="AF16" i="2"/>
  <c r="AE16" i="2"/>
  <c r="AC16" i="2"/>
  <c r="V16" i="2"/>
  <c r="AI16" i="2" s="1"/>
  <c r="U16" i="2"/>
  <c r="Q16" i="2"/>
  <c r="W16" i="2" s="1"/>
  <c r="AJ16" i="2" s="1"/>
  <c r="P16" i="2"/>
  <c r="O16" i="2"/>
  <c r="N16" i="2"/>
  <c r="L16" i="2"/>
  <c r="K16" i="2"/>
  <c r="J16" i="2"/>
  <c r="H16" i="2"/>
  <c r="AX15" i="2"/>
  <c r="AW15" i="2"/>
  <c r="AU15" i="2"/>
  <c r="AL15" i="2"/>
  <c r="AH15" i="2"/>
  <c r="AG15" i="2"/>
  <c r="AF15" i="2"/>
  <c r="AE15" i="2"/>
  <c r="AC15" i="2"/>
  <c r="U15" i="2"/>
  <c r="Q15" i="2"/>
  <c r="W15" i="2" s="1"/>
  <c r="AJ15" i="2" s="1"/>
  <c r="O15" i="2"/>
  <c r="V15" i="2" s="1"/>
  <c r="AI15" i="2" s="1"/>
  <c r="N15" i="2"/>
  <c r="L15" i="2"/>
  <c r="K15" i="2"/>
  <c r="J15" i="2"/>
  <c r="H15" i="2"/>
  <c r="AW14" i="2"/>
  <c r="AU14" i="2"/>
  <c r="AX14" i="2" s="1"/>
  <c r="AL14" i="2"/>
  <c r="AF14" i="2"/>
  <c r="AG14" i="2" s="1"/>
  <c r="AE14" i="2"/>
  <c r="AC14" i="2"/>
  <c r="Q14" i="2"/>
  <c r="W14" i="2" s="1"/>
  <c r="AJ14" i="2" s="1"/>
  <c r="P14" i="2"/>
  <c r="O14" i="2"/>
  <c r="N14" i="2"/>
  <c r="U14" i="2" s="1"/>
  <c r="L14" i="2"/>
  <c r="K14" i="2"/>
  <c r="J14" i="2"/>
  <c r="H14" i="2"/>
  <c r="AW13" i="2"/>
  <c r="AU13" i="2"/>
  <c r="AX13" i="2" s="1"/>
  <c r="AL13" i="2"/>
  <c r="AG13" i="2"/>
  <c r="AF13" i="2"/>
  <c r="AE13" i="2"/>
  <c r="AC13" i="2"/>
  <c r="Q13" i="2"/>
  <c r="R13" i="2" s="1"/>
  <c r="O13" i="2"/>
  <c r="V13" i="2" s="1"/>
  <c r="AI13" i="2" s="1"/>
  <c r="N13" i="2"/>
  <c r="L13" i="2"/>
  <c r="K13" i="2"/>
  <c r="J13" i="2"/>
  <c r="H13" i="2"/>
  <c r="AU12" i="2"/>
  <c r="AX12" i="2" s="1"/>
  <c r="AL12" i="2"/>
  <c r="AJ12" i="2"/>
  <c r="AF12" i="2"/>
  <c r="AG12" i="2" s="1"/>
  <c r="AE12" i="2"/>
  <c r="AC12" i="2"/>
  <c r="W12" i="2"/>
  <c r="V12" i="2"/>
  <c r="AI12" i="2" s="1"/>
  <c r="Q12" i="2"/>
  <c r="O12" i="2"/>
  <c r="S12" i="2" s="1"/>
  <c r="X12" i="2" s="1"/>
  <c r="AK12" i="2" s="1"/>
  <c r="N12" i="2"/>
  <c r="L12" i="2"/>
  <c r="K12" i="2"/>
  <c r="J12" i="2"/>
  <c r="H12" i="2"/>
  <c r="AX11" i="2"/>
  <c r="AU11" i="2"/>
  <c r="AW11" i="2" s="1"/>
  <c r="AL11" i="2"/>
  <c r="AI11" i="2"/>
  <c r="AG11" i="2"/>
  <c r="AF11" i="2"/>
  <c r="AE11" i="2"/>
  <c r="AC11" i="2"/>
  <c r="W11" i="2"/>
  <c r="AJ11" i="2" s="1"/>
  <c r="V11" i="2"/>
  <c r="U11" i="2"/>
  <c r="Q11" i="2"/>
  <c r="R11" i="2" s="1"/>
  <c r="O11" i="2"/>
  <c r="N11" i="2"/>
  <c r="L11" i="2"/>
  <c r="K11" i="2"/>
  <c r="J11" i="2"/>
  <c r="H11" i="2"/>
  <c r="AX10" i="2"/>
  <c r="AW10" i="2"/>
  <c r="AU10" i="2"/>
  <c r="AL10" i="2"/>
  <c r="AF10" i="2"/>
  <c r="AG10" i="2" s="1"/>
  <c r="AE10" i="2"/>
  <c r="AC10" i="2"/>
  <c r="W10" i="2"/>
  <c r="AJ10" i="2" s="1"/>
  <c r="V10" i="2"/>
  <c r="AI10" i="2" s="1"/>
  <c r="Q10" i="2"/>
  <c r="S10" i="2" s="1"/>
  <c r="O10" i="2"/>
  <c r="N10" i="2"/>
  <c r="U10" i="2" s="1"/>
  <c r="Y10" i="2" s="1"/>
  <c r="L10" i="2"/>
  <c r="K10" i="2"/>
  <c r="X10" i="2" s="1"/>
  <c r="AK10" i="2" s="1"/>
  <c r="J10" i="2"/>
  <c r="H10" i="2"/>
  <c r="AU9" i="2"/>
  <c r="AL9" i="2"/>
  <c r="AJ9" i="2"/>
  <c r="AH9" i="2"/>
  <c r="AG9" i="2"/>
  <c r="AF9" i="2"/>
  <c r="AE9" i="2"/>
  <c r="AC9" i="2"/>
  <c r="W9" i="2"/>
  <c r="U9" i="2"/>
  <c r="T9" i="2"/>
  <c r="S9" i="2"/>
  <c r="Q9" i="2"/>
  <c r="R9" i="2" s="1"/>
  <c r="O9" i="2"/>
  <c r="P9" i="2" s="1"/>
  <c r="N9" i="2"/>
  <c r="L9" i="2"/>
  <c r="K9" i="2"/>
  <c r="J9" i="2"/>
  <c r="H9" i="2"/>
  <c r="AU8" i="2"/>
  <c r="AX8" i="2" s="1"/>
  <c r="AL8" i="2"/>
  <c r="AJ8" i="2"/>
  <c r="AH8" i="2"/>
  <c r="AG8" i="2"/>
  <c r="AF8" i="2"/>
  <c r="AE8" i="2"/>
  <c r="AC8" i="2"/>
  <c r="V8" i="2"/>
  <c r="AI8" i="2" s="1"/>
  <c r="U8" i="2"/>
  <c r="T8" i="2"/>
  <c r="S8" i="2"/>
  <c r="R8" i="2"/>
  <c r="Q8" i="2"/>
  <c r="W8" i="2" s="1"/>
  <c r="O8" i="2"/>
  <c r="P8" i="2" s="1"/>
  <c r="N8" i="2"/>
  <c r="L8" i="2"/>
  <c r="K8" i="2"/>
  <c r="X8" i="2" s="1"/>
  <c r="AK8" i="2" s="1"/>
  <c r="J8" i="2"/>
  <c r="H8" i="2"/>
  <c r="AW7" i="2"/>
  <c r="AU7" i="2"/>
  <c r="AL7" i="2"/>
  <c r="AH7" i="2"/>
  <c r="AG7" i="2"/>
  <c r="AF7" i="2"/>
  <c r="AX7" i="2" s="1"/>
  <c r="AE7" i="2"/>
  <c r="AC7" i="2"/>
  <c r="W7" i="2"/>
  <c r="AJ7" i="2" s="1"/>
  <c r="U7" i="2"/>
  <c r="R7" i="2"/>
  <c r="Q7" i="2"/>
  <c r="S7" i="2" s="1"/>
  <c r="O7" i="2"/>
  <c r="V7" i="2" s="1"/>
  <c r="AI7" i="2" s="1"/>
  <c r="N7" i="2"/>
  <c r="P7" i="2" s="1"/>
  <c r="L7" i="2"/>
  <c r="K7" i="2"/>
  <c r="J7" i="2"/>
  <c r="H7" i="2"/>
  <c r="AW6" i="2"/>
  <c r="AU6" i="2"/>
  <c r="AL6" i="2"/>
  <c r="AH6" i="2"/>
  <c r="AF6" i="2"/>
  <c r="AX6" i="2" s="1"/>
  <c r="AE6" i="2"/>
  <c r="AC6" i="2"/>
  <c r="V6" i="2"/>
  <c r="AI6" i="2" s="1"/>
  <c r="Q6" i="2"/>
  <c r="W6" i="2" s="1"/>
  <c r="AJ6" i="2" s="1"/>
  <c r="P6" i="2"/>
  <c r="O6" i="2"/>
  <c r="N6" i="2"/>
  <c r="U6" i="2" s="1"/>
  <c r="L6" i="2"/>
  <c r="K6" i="2"/>
  <c r="J6" i="2"/>
  <c r="H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AW5" i="2"/>
  <c r="AU5" i="2"/>
  <c r="AU36" i="2" s="1"/>
  <c r="AL5" i="2"/>
  <c r="AJ5" i="2"/>
  <c r="AG5" i="2"/>
  <c r="AF5" i="2"/>
  <c r="AE5" i="2"/>
  <c r="AC5" i="2"/>
  <c r="V5" i="2"/>
  <c r="U5" i="2"/>
  <c r="S5" i="2"/>
  <c r="R5" i="2"/>
  <c r="Q5" i="2"/>
  <c r="W5" i="2" s="1"/>
  <c r="O5" i="2"/>
  <c r="N5" i="2"/>
  <c r="AH5" i="2" s="1"/>
  <c r="K5" i="2"/>
  <c r="J5" i="2"/>
  <c r="H5" i="2"/>
  <c r="B5" i="2"/>
  <c r="AF1" i="2"/>
  <c r="T46" i="1"/>
  <c r="L46" i="1"/>
  <c r="AL44" i="1"/>
  <c r="AB38" i="1"/>
  <c r="AG46" i="1" s="1"/>
  <c r="AM37" i="1"/>
  <c r="AD37" i="1"/>
  <c r="AE37" i="1" s="1"/>
  <c r="I37" i="1"/>
  <c r="J37" i="1" s="1"/>
  <c r="AT36" i="1"/>
  <c r="AS36" i="1"/>
  <c r="AR36" i="1"/>
  <c r="AQ36" i="1"/>
  <c r="AP36" i="1"/>
  <c r="AO36" i="1"/>
  <c r="AN36" i="1"/>
  <c r="AM36" i="1"/>
  <c r="AD36" i="1"/>
  <c r="AB36" i="1"/>
  <c r="AC36" i="1" s="1"/>
  <c r="AA36" i="1"/>
  <c r="AE36" i="1" s="1"/>
  <c r="Z36" i="1"/>
  <c r="M36" i="1"/>
  <c r="I36" i="1"/>
  <c r="G36" i="1"/>
  <c r="G37" i="1" s="1"/>
  <c r="H37" i="1" s="1"/>
  <c r="F36" i="1"/>
  <c r="J36" i="1" s="1"/>
  <c r="E36" i="1"/>
  <c r="AX35" i="1"/>
  <c r="AU35" i="1"/>
  <c r="AW35" i="1" s="1"/>
  <c r="AL35" i="1"/>
  <c r="AH35" i="1"/>
  <c r="AG35" i="1"/>
  <c r="AF35" i="1"/>
  <c r="AE35" i="1"/>
  <c r="AC35" i="1"/>
  <c r="Q35" i="1"/>
  <c r="W35" i="1" s="1"/>
  <c r="AJ35" i="1" s="1"/>
  <c r="O35" i="1"/>
  <c r="V35" i="1" s="1"/>
  <c r="AI35" i="1" s="1"/>
  <c r="N35" i="1"/>
  <c r="U35" i="1" s="1"/>
  <c r="AU34" i="1"/>
  <c r="AX34" i="1" s="1"/>
  <c r="AL34" i="1"/>
  <c r="AJ34" i="1"/>
  <c r="AG34" i="1"/>
  <c r="AF34" i="1"/>
  <c r="AE34" i="1"/>
  <c r="AC34" i="1"/>
  <c r="W34" i="1"/>
  <c r="Q34" i="1"/>
  <c r="R34" i="1" s="1"/>
  <c r="O34" i="1"/>
  <c r="P34" i="1" s="1"/>
  <c r="N34" i="1"/>
  <c r="U34" i="1" s="1"/>
  <c r="L34" i="1"/>
  <c r="K34" i="1"/>
  <c r="J34" i="1"/>
  <c r="H34" i="1"/>
  <c r="AU33" i="1"/>
  <c r="AX33" i="1" s="1"/>
  <c r="AL33" i="1"/>
  <c r="AF33" i="1"/>
  <c r="AG33" i="1" s="1"/>
  <c r="AE33" i="1"/>
  <c r="AC33" i="1"/>
  <c r="W33" i="1"/>
  <c r="AJ33" i="1" s="1"/>
  <c r="Q33" i="1"/>
  <c r="O33" i="1"/>
  <c r="P33" i="1" s="1"/>
  <c r="N33" i="1"/>
  <c r="U33" i="1" s="1"/>
  <c r="L33" i="1"/>
  <c r="K33" i="1"/>
  <c r="J33" i="1"/>
  <c r="H33" i="1"/>
  <c r="AX32" i="1"/>
  <c r="AU32" i="1"/>
  <c r="AW32" i="1" s="1"/>
  <c r="AL32" i="1"/>
  <c r="AH32" i="1"/>
  <c r="AF32" i="1"/>
  <c r="AG32" i="1" s="1"/>
  <c r="AE32" i="1"/>
  <c r="AC32" i="1"/>
  <c r="W32" i="1"/>
  <c r="AJ32" i="1" s="1"/>
  <c r="V32" i="1"/>
  <c r="AI32" i="1" s="1"/>
  <c r="Q32" i="1"/>
  <c r="S32" i="1" s="1"/>
  <c r="O32" i="1"/>
  <c r="P32" i="1" s="1"/>
  <c r="N32" i="1"/>
  <c r="U32" i="1" s="1"/>
  <c r="L32" i="1"/>
  <c r="K32" i="1"/>
  <c r="J32" i="1"/>
  <c r="H32" i="1"/>
  <c r="AX31" i="1"/>
  <c r="AW31" i="1"/>
  <c r="AU31" i="1"/>
  <c r="AL31" i="1"/>
  <c r="AJ31" i="1"/>
  <c r="AH31" i="1"/>
  <c r="AG31" i="1"/>
  <c r="AF31" i="1"/>
  <c r="AE31" i="1"/>
  <c r="AC31" i="1"/>
  <c r="W31" i="1"/>
  <c r="V31" i="1"/>
  <c r="AI31" i="1" s="1"/>
  <c r="U31" i="1"/>
  <c r="S31" i="1"/>
  <c r="T31" i="1" s="1"/>
  <c r="Q31" i="1"/>
  <c r="R31" i="1" s="1"/>
  <c r="P31" i="1"/>
  <c r="O31" i="1"/>
  <c r="N31" i="1"/>
  <c r="L31" i="1"/>
  <c r="K31" i="1"/>
  <c r="X31" i="1" s="1"/>
  <c r="AK31" i="1" s="1"/>
  <c r="J31" i="1"/>
  <c r="H31" i="1"/>
  <c r="AU30" i="1"/>
  <c r="AX30" i="1" s="1"/>
  <c r="AL30" i="1"/>
  <c r="AH30" i="1"/>
  <c r="AF30" i="1"/>
  <c r="AG30" i="1" s="1"/>
  <c r="AE30" i="1"/>
  <c r="AC30" i="1"/>
  <c r="U30" i="1"/>
  <c r="R30" i="1"/>
  <c r="Q30" i="1"/>
  <c r="W30" i="1" s="1"/>
  <c r="AJ30" i="1" s="1"/>
  <c r="O30" i="1"/>
  <c r="V30" i="1" s="1"/>
  <c r="AI30" i="1" s="1"/>
  <c r="N30" i="1"/>
  <c r="K30" i="1"/>
  <c r="J30" i="1"/>
  <c r="H30" i="1"/>
  <c r="AX29" i="1"/>
  <c r="AU29" i="1"/>
  <c r="AW29" i="1" s="1"/>
  <c r="AL29" i="1"/>
  <c r="AH29" i="1"/>
  <c r="AG29" i="1"/>
  <c r="AF29" i="1"/>
  <c r="AE29" i="1"/>
  <c r="AC29" i="1"/>
  <c r="Q29" i="1"/>
  <c r="W29" i="1" s="1"/>
  <c r="AJ29" i="1" s="1"/>
  <c r="O29" i="1"/>
  <c r="V29" i="1" s="1"/>
  <c r="AI29" i="1" s="1"/>
  <c r="N29" i="1"/>
  <c r="U29" i="1" s="1"/>
  <c r="L29" i="1"/>
  <c r="K29" i="1"/>
  <c r="J29" i="1"/>
  <c r="H29" i="1"/>
  <c r="AW28" i="1"/>
  <c r="AU28" i="1"/>
  <c r="AX28" i="1" s="1"/>
  <c r="AL28" i="1"/>
  <c r="AH28" i="1"/>
  <c r="AG28" i="1"/>
  <c r="AF28" i="1"/>
  <c r="AE28" i="1"/>
  <c r="AC28" i="1"/>
  <c r="W28" i="1"/>
  <c r="AJ28" i="1" s="1"/>
  <c r="S28" i="1"/>
  <c r="T28" i="1" s="1"/>
  <c r="R28" i="1"/>
  <c r="Q28" i="1"/>
  <c r="P28" i="1"/>
  <c r="O28" i="1"/>
  <c r="V28" i="1" s="1"/>
  <c r="AI28" i="1" s="1"/>
  <c r="N28" i="1"/>
  <c r="U28" i="1" s="1"/>
  <c r="L28" i="1"/>
  <c r="K28" i="1"/>
  <c r="J28" i="1"/>
  <c r="H28" i="1"/>
  <c r="AU27" i="1"/>
  <c r="AX27" i="1" s="1"/>
  <c r="AL27" i="1"/>
  <c r="AF27" i="1"/>
  <c r="AG27" i="1" s="1"/>
  <c r="AE27" i="1"/>
  <c r="AC27" i="1"/>
  <c r="V27" i="1"/>
  <c r="AI27" i="1" s="1"/>
  <c r="R27" i="1"/>
  <c r="Q27" i="1"/>
  <c r="W27" i="1" s="1"/>
  <c r="AJ27" i="1" s="1"/>
  <c r="O27" i="1"/>
  <c r="S27" i="1" s="1"/>
  <c r="N27" i="1"/>
  <c r="U27" i="1" s="1"/>
  <c r="L27" i="1"/>
  <c r="K27" i="1"/>
  <c r="J27" i="1"/>
  <c r="H27" i="1"/>
  <c r="AX26" i="1"/>
  <c r="AW26" i="1"/>
  <c r="AU26" i="1"/>
  <c r="AL26" i="1"/>
  <c r="AI26" i="1"/>
  <c r="AF26" i="1"/>
  <c r="AG26" i="1" s="1"/>
  <c r="AE26" i="1"/>
  <c r="AC26" i="1"/>
  <c r="V26" i="1"/>
  <c r="U26" i="1"/>
  <c r="Q26" i="1"/>
  <c r="R26" i="1" s="1"/>
  <c r="O26" i="1"/>
  <c r="S26" i="1" s="1"/>
  <c r="X26" i="1" s="1"/>
  <c r="AK26" i="1" s="1"/>
  <c r="N26" i="1"/>
  <c r="AH26" i="1" s="1"/>
  <c r="L26" i="1"/>
  <c r="K26" i="1"/>
  <c r="J26" i="1"/>
  <c r="H26" i="1"/>
  <c r="AX25" i="1"/>
  <c r="AW25" i="1"/>
  <c r="AU25" i="1"/>
  <c r="AL25" i="1"/>
  <c r="AH25" i="1"/>
  <c r="AF25" i="1"/>
  <c r="AG25" i="1" s="1"/>
  <c r="AE25" i="1"/>
  <c r="AC25" i="1"/>
  <c r="W25" i="1"/>
  <c r="AJ25" i="1" s="1"/>
  <c r="V25" i="1"/>
  <c r="AI25" i="1" s="1"/>
  <c r="U25" i="1"/>
  <c r="Q25" i="1"/>
  <c r="R25" i="1" s="1"/>
  <c r="P25" i="1"/>
  <c r="O25" i="1"/>
  <c r="S25" i="1" s="1"/>
  <c r="T25" i="1" s="1"/>
  <c r="N25" i="1"/>
  <c r="L25" i="1"/>
  <c r="K25" i="1"/>
  <c r="X25" i="1" s="1"/>
  <c r="J25" i="1"/>
  <c r="H25" i="1"/>
  <c r="AU24" i="1"/>
  <c r="AX24" i="1" s="1"/>
  <c r="AL24" i="1"/>
  <c r="AG24" i="1"/>
  <c r="AF24" i="1"/>
  <c r="AE24" i="1"/>
  <c r="AC24" i="1"/>
  <c r="U24" i="1"/>
  <c r="Q24" i="1"/>
  <c r="R24" i="1" s="1"/>
  <c r="O24" i="1"/>
  <c r="P24" i="1" s="1"/>
  <c r="N24" i="1"/>
  <c r="AH24" i="1" s="1"/>
  <c r="L24" i="1"/>
  <c r="K24" i="1"/>
  <c r="J24" i="1"/>
  <c r="H24" i="1"/>
  <c r="AU23" i="1"/>
  <c r="AX23" i="1" s="1"/>
  <c r="AL23" i="1"/>
  <c r="AF23" i="1"/>
  <c r="AG23" i="1" s="1"/>
  <c r="AE23" i="1"/>
  <c r="AC23" i="1"/>
  <c r="W23" i="1"/>
  <c r="AJ23" i="1" s="1"/>
  <c r="Q23" i="1"/>
  <c r="O23" i="1"/>
  <c r="P23" i="1" s="1"/>
  <c r="N23" i="1"/>
  <c r="U23" i="1" s="1"/>
  <c r="L23" i="1"/>
  <c r="K23" i="1"/>
  <c r="J23" i="1"/>
  <c r="H23" i="1"/>
  <c r="AX22" i="1"/>
  <c r="AU22" i="1"/>
  <c r="AW22" i="1" s="1"/>
  <c r="AL22" i="1"/>
  <c r="AH22" i="1"/>
  <c r="AG22" i="1"/>
  <c r="AF22" i="1"/>
  <c r="AE22" i="1"/>
  <c r="AC22" i="1"/>
  <c r="W22" i="1"/>
  <c r="AJ22" i="1" s="1"/>
  <c r="Q22" i="1"/>
  <c r="S22" i="1" s="1"/>
  <c r="O22" i="1"/>
  <c r="P22" i="1" s="1"/>
  <c r="N22" i="1"/>
  <c r="U22" i="1" s="1"/>
  <c r="L22" i="1"/>
  <c r="K22" i="1"/>
  <c r="J22" i="1"/>
  <c r="H22" i="1"/>
  <c r="AW21" i="1"/>
  <c r="AU21" i="1"/>
  <c r="AL21" i="1"/>
  <c r="AJ21" i="1"/>
  <c r="AG21" i="1"/>
  <c r="AF21" i="1"/>
  <c r="AX21" i="1" s="1"/>
  <c r="AE21" i="1"/>
  <c r="AC21" i="1"/>
  <c r="W21" i="1"/>
  <c r="V21" i="1"/>
  <c r="AI21" i="1" s="1"/>
  <c r="S21" i="1"/>
  <c r="R21" i="1"/>
  <c r="Q21" i="1"/>
  <c r="P21" i="1"/>
  <c r="O21" i="1"/>
  <c r="N21" i="1"/>
  <c r="U21" i="1" s="1"/>
  <c r="L21" i="1"/>
  <c r="K21" i="1"/>
  <c r="X21" i="1" s="1"/>
  <c r="AK21" i="1" s="1"/>
  <c r="J21" i="1"/>
  <c r="H21" i="1"/>
  <c r="AU20" i="1"/>
  <c r="AX20" i="1" s="1"/>
  <c r="AL20" i="1"/>
  <c r="AH20" i="1"/>
  <c r="AF20" i="1"/>
  <c r="AG20" i="1" s="1"/>
  <c r="AE20" i="1"/>
  <c r="AC20" i="1"/>
  <c r="U20" i="1"/>
  <c r="R20" i="1"/>
  <c r="Q20" i="1"/>
  <c r="W20" i="1" s="1"/>
  <c r="AJ20" i="1" s="1"/>
  <c r="O20" i="1"/>
  <c r="V20" i="1" s="1"/>
  <c r="AI20" i="1" s="1"/>
  <c r="N20" i="1"/>
  <c r="L20" i="1"/>
  <c r="K20" i="1"/>
  <c r="J20" i="1"/>
  <c r="H20" i="1"/>
  <c r="AX19" i="1"/>
  <c r="AW19" i="1"/>
  <c r="AU19" i="1"/>
  <c r="AL19" i="1"/>
  <c r="AI19" i="1"/>
  <c r="AG19" i="1"/>
  <c r="AF19" i="1"/>
  <c r="AE19" i="1"/>
  <c r="AC19" i="1"/>
  <c r="V19" i="1"/>
  <c r="Q19" i="1"/>
  <c r="W19" i="1" s="1"/>
  <c r="AJ19" i="1" s="1"/>
  <c r="O19" i="1"/>
  <c r="S19" i="1" s="1"/>
  <c r="N19" i="1"/>
  <c r="U19" i="1" s="1"/>
  <c r="L19" i="1"/>
  <c r="K19" i="1"/>
  <c r="J19" i="1"/>
  <c r="H19" i="1"/>
  <c r="AW18" i="1"/>
  <c r="AU18" i="1"/>
  <c r="AX18" i="1" s="1"/>
  <c r="AL18" i="1"/>
  <c r="AH18" i="1"/>
  <c r="AG18" i="1"/>
  <c r="AF18" i="1"/>
  <c r="AE18" i="1"/>
  <c r="AC18" i="1"/>
  <c r="W18" i="1"/>
  <c r="AJ18" i="1" s="1"/>
  <c r="U18" i="1"/>
  <c r="S18" i="1"/>
  <c r="T18" i="1" s="1"/>
  <c r="Q18" i="1"/>
  <c r="P18" i="1"/>
  <c r="O18" i="1"/>
  <c r="V18" i="1" s="1"/>
  <c r="AI18" i="1" s="1"/>
  <c r="N18" i="1"/>
  <c r="R18" i="1" s="1"/>
  <c r="L18" i="1"/>
  <c r="K18" i="1"/>
  <c r="J18" i="1"/>
  <c r="H18" i="1"/>
  <c r="AU17" i="1"/>
  <c r="AX17" i="1" s="1"/>
  <c r="AL17" i="1"/>
  <c r="AJ17" i="1"/>
  <c r="AF17" i="1"/>
  <c r="AG17" i="1" s="1"/>
  <c r="AE17" i="1"/>
  <c r="AC17" i="1"/>
  <c r="W17" i="1"/>
  <c r="V17" i="1"/>
  <c r="AI17" i="1" s="1"/>
  <c r="R17" i="1"/>
  <c r="Q17" i="1"/>
  <c r="O17" i="1"/>
  <c r="S17" i="1" s="1"/>
  <c r="N17" i="1"/>
  <c r="U17" i="1" s="1"/>
  <c r="Y17" i="1" s="1"/>
  <c r="K17" i="1"/>
  <c r="X17" i="1" s="1"/>
  <c r="AK17" i="1" s="1"/>
  <c r="J17" i="1"/>
  <c r="H17" i="1"/>
  <c r="AX16" i="1"/>
  <c r="AW16" i="1"/>
  <c r="AU16" i="1"/>
  <c r="AL16" i="1"/>
  <c r="AI16" i="1"/>
  <c r="AF16" i="1"/>
  <c r="AG16" i="1" s="1"/>
  <c r="AE16" i="1"/>
  <c r="AC16" i="1"/>
  <c r="V16" i="1"/>
  <c r="U16" i="1"/>
  <c r="Q16" i="1"/>
  <c r="S16" i="1" s="1"/>
  <c r="X16" i="1" s="1"/>
  <c r="AK16" i="1" s="1"/>
  <c r="O16" i="1"/>
  <c r="N16" i="1"/>
  <c r="AH16" i="1" s="1"/>
  <c r="L16" i="1"/>
  <c r="K16" i="1"/>
  <c r="J16" i="1"/>
  <c r="H16" i="1"/>
  <c r="AX15" i="1"/>
  <c r="AW15" i="1"/>
  <c r="AU15" i="1"/>
  <c r="AL15" i="1"/>
  <c r="AH15" i="1"/>
  <c r="AF15" i="1"/>
  <c r="AG15" i="1" s="1"/>
  <c r="AE15" i="1"/>
  <c r="AC15" i="1"/>
  <c r="W15" i="1"/>
  <c r="AJ15" i="1" s="1"/>
  <c r="V15" i="1"/>
  <c r="AI15" i="1" s="1"/>
  <c r="U15" i="1"/>
  <c r="Q15" i="1"/>
  <c r="S15" i="1" s="1"/>
  <c r="T15" i="1" s="1"/>
  <c r="P15" i="1"/>
  <c r="O15" i="1"/>
  <c r="N15" i="1"/>
  <c r="L15" i="1"/>
  <c r="K15" i="1"/>
  <c r="J15" i="1"/>
  <c r="H15" i="1"/>
  <c r="AU14" i="1"/>
  <c r="AX14" i="1" s="1"/>
  <c r="AL14" i="1"/>
  <c r="AH14" i="1"/>
  <c r="AG14" i="1"/>
  <c r="AF14" i="1"/>
  <c r="AE14" i="1"/>
  <c r="AC14" i="1"/>
  <c r="U14" i="1"/>
  <c r="S14" i="1"/>
  <c r="T14" i="1" s="1"/>
  <c r="Q14" i="1"/>
  <c r="R14" i="1" s="1"/>
  <c r="O14" i="1"/>
  <c r="P14" i="1" s="1"/>
  <c r="N14" i="1"/>
  <c r="L14" i="1"/>
  <c r="K14" i="1"/>
  <c r="X14" i="1" s="1"/>
  <c r="J14" i="1"/>
  <c r="H14" i="1"/>
  <c r="AU13" i="1"/>
  <c r="AX13" i="1" s="1"/>
  <c r="AL13" i="1"/>
  <c r="AF13" i="1"/>
  <c r="AG13" i="1" s="1"/>
  <c r="AE13" i="1"/>
  <c r="AC13" i="1"/>
  <c r="W13" i="1"/>
  <c r="AJ13" i="1" s="1"/>
  <c r="R13" i="1"/>
  <c r="Q13" i="1"/>
  <c r="O13" i="1"/>
  <c r="P13" i="1" s="1"/>
  <c r="N13" i="1"/>
  <c r="U13" i="1" s="1"/>
  <c r="L13" i="1"/>
  <c r="K13" i="1"/>
  <c r="J13" i="1"/>
  <c r="H13" i="1"/>
  <c r="AX12" i="1"/>
  <c r="AU12" i="1"/>
  <c r="AW12" i="1" s="1"/>
  <c r="AL12" i="1"/>
  <c r="AJ12" i="1"/>
  <c r="AH12" i="1"/>
  <c r="AG12" i="1"/>
  <c r="AF12" i="1"/>
  <c r="AE12" i="1"/>
  <c r="AC12" i="1"/>
  <c r="W12" i="1"/>
  <c r="V12" i="1"/>
  <c r="AI12" i="1" s="1"/>
  <c r="Q12" i="1"/>
  <c r="S12" i="1" s="1"/>
  <c r="T12" i="1" s="1"/>
  <c r="O12" i="1"/>
  <c r="P12" i="1" s="1"/>
  <c r="N12" i="1"/>
  <c r="U12" i="1" s="1"/>
  <c r="L12" i="1"/>
  <c r="K12" i="1"/>
  <c r="X12" i="1" s="1"/>
  <c r="AK12" i="1" s="1"/>
  <c r="J12" i="1"/>
  <c r="H12" i="1"/>
  <c r="AW11" i="1"/>
  <c r="AU11" i="1"/>
  <c r="AX11" i="1" s="1"/>
  <c r="AL11" i="1"/>
  <c r="AJ11" i="1"/>
  <c r="AI11" i="1"/>
  <c r="AG11" i="1"/>
  <c r="AF11" i="1"/>
  <c r="AE11" i="1"/>
  <c r="AC11" i="1"/>
  <c r="W11" i="1"/>
  <c r="V11" i="1"/>
  <c r="U11" i="1"/>
  <c r="Y11" i="1" s="1"/>
  <c r="S11" i="1"/>
  <c r="R11" i="1"/>
  <c r="Q11" i="1"/>
  <c r="P11" i="1"/>
  <c r="O11" i="1"/>
  <c r="N11" i="1"/>
  <c r="AH11" i="1" s="1"/>
  <c r="L11" i="1"/>
  <c r="K11" i="1"/>
  <c r="X11" i="1" s="1"/>
  <c r="AK11" i="1" s="1"/>
  <c r="J11" i="1"/>
  <c r="H11" i="1"/>
  <c r="AU10" i="1"/>
  <c r="AX10" i="1" s="1"/>
  <c r="AL10" i="1"/>
  <c r="AH10" i="1"/>
  <c r="AF10" i="1"/>
  <c r="AG10" i="1" s="1"/>
  <c r="AE10" i="1"/>
  <c r="AC10" i="1"/>
  <c r="U10" i="1"/>
  <c r="R10" i="1"/>
  <c r="Q10" i="1"/>
  <c r="W10" i="1" s="1"/>
  <c r="AJ10" i="1" s="1"/>
  <c r="O10" i="1"/>
  <c r="V10" i="1" s="1"/>
  <c r="AI10" i="1" s="1"/>
  <c r="N10" i="1"/>
  <c r="L10" i="1"/>
  <c r="K10" i="1"/>
  <c r="J10" i="1"/>
  <c r="H10" i="1"/>
  <c r="AX9" i="1"/>
  <c r="AW9" i="1"/>
  <c r="AU9" i="1"/>
  <c r="AL9" i="1"/>
  <c r="AI9" i="1"/>
  <c r="AG9" i="1"/>
  <c r="AF9" i="1"/>
  <c r="AE9" i="1"/>
  <c r="AC9" i="1"/>
  <c r="V9" i="1"/>
  <c r="S9" i="1"/>
  <c r="X9" i="1" s="1"/>
  <c r="AK9" i="1" s="1"/>
  <c r="Q9" i="1"/>
  <c r="W9" i="1" s="1"/>
  <c r="AJ9" i="1" s="1"/>
  <c r="O9" i="1"/>
  <c r="N9" i="1"/>
  <c r="U9" i="1" s="1"/>
  <c r="L9" i="1"/>
  <c r="K9" i="1"/>
  <c r="J9" i="1"/>
  <c r="H9" i="1"/>
  <c r="AW8" i="1"/>
  <c r="AU8" i="1"/>
  <c r="AX8" i="1" s="1"/>
  <c r="AL8" i="1"/>
  <c r="AH8" i="1"/>
  <c r="AF8" i="1"/>
  <c r="AG8" i="1" s="1"/>
  <c r="AE8" i="1"/>
  <c r="AC8" i="1"/>
  <c r="W8" i="1"/>
  <c r="AJ8" i="1" s="1"/>
  <c r="U8" i="1"/>
  <c r="S8" i="1"/>
  <c r="T8" i="1" s="1"/>
  <c r="R8" i="1"/>
  <c r="Q8" i="1"/>
  <c r="P8" i="1"/>
  <c r="O8" i="1"/>
  <c r="V8" i="1" s="1"/>
  <c r="AI8" i="1" s="1"/>
  <c r="N8" i="1"/>
  <c r="L8" i="1"/>
  <c r="K8" i="1"/>
  <c r="X8" i="1" s="1"/>
  <c r="J8" i="1"/>
  <c r="H8" i="1"/>
  <c r="AX7" i="1"/>
  <c r="AU7" i="1"/>
  <c r="AW7" i="1" s="1"/>
  <c r="AL7" i="1"/>
  <c r="AF7" i="1"/>
  <c r="AF1" i="1" s="1"/>
  <c r="AE7" i="1"/>
  <c r="AC7" i="1"/>
  <c r="V7" i="1"/>
  <c r="AI7" i="1" s="1"/>
  <c r="Q7" i="1"/>
  <c r="R7" i="1" s="1"/>
  <c r="O7" i="1"/>
  <c r="S7" i="1" s="1"/>
  <c r="T7" i="1" s="1"/>
  <c r="N7" i="1"/>
  <c r="U7" i="1" s="1"/>
  <c r="L7" i="1"/>
  <c r="K7" i="1"/>
  <c r="X7" i="1" s="1"/>
  <c r="AK7" i="1" s="1"/>
  <c r="J7" i="1"/>
  <c r="H7" i="1"/>
  <c r="AX6" i="1"/>
  <c r="AW6" i="1"/>
  <c r="AU6" i="1"/>
  <c r="AL6" i="1"/>
  <c r="AL36" i="1" s="1"/>
  <c r="AL37" i="1" s="1"/>
  <c r="AM45" i="1" s="1"/>
  <c r="AI6" i="1"/>
  <c r="AG6" i="1"/>
  <c r="AF6" i="1"/>
  <c r="AE6" i="1"/>
  <c r="AC6" i="1"/>
  <c r="V6" i="1"/>
  <c r="U6" i="1"/>
  <c r="Q6" i="1"/>
  <c r="S6" i="1" s="1"/>
  <c r="X6" i="1" s="1"/>
  <c r="AK6" i="1" s="1"/>
  <c r="P6" i="1"/>
  <c r="O6" i="1"/>
  <c r="N6" i="1"/>
  <c r="AH6" i="1" s="1"/>
  <c r="L6" i="1"/>
  <c r="K6" i="1"/>
  <c r="J6" i="1"/>
  <c r="H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U5" i="1"/>
  <c r="AX5" i="1" s="1"/>
  <c r="AL5" i="1"/>
  <c r="AH5" i="1"/>
  <c r="AF5" i="1"/>
  <c r="AG5" i="1" s="1"/>
  <c r="AE5" i="1"/>
  <c r="AC5" i="1"/>
  <c r="W5" i="1"/>
  <c r="U5" i="1"/>
  <c r="R5" i="1"/>
  <c r="Q5" i="1"/>
  <c r="O5" i="1"/>
  <c r="S5" i="1" s="1"/>
  <c r="N5" i="1"/>
  <c r="L5" i="1"/>
  <c r="K5" i="1"/>
  <c r="X5" i="1" s="1"/>
  <c r="J5" i="1"/>
  <c r="H5" i="1"/>
  <c r="B5" i="1"/>
  <c r="AM45" i="3" l="1"/>
  <c r="AL45" i="3"/>
  <c r="X8" i="3"/>
  <c r="AK8" i="3" s="1"/>
  <c r="L36" i="3"/>
  <c r="K37" i="3"/>
  <c r="AG36" i="3"/>
  <c r="AF37" i="3"/>
  <c r="Y21" i="3"/>
  <c r="Y6" i="3"/>
  <c r="Y16" i="3"/>
  <c r="U36" i="3"/>
  <c r="Y12" i="3"/>
  <c r="Y14" i="3"/>
  <c r="Y17" i="3"/>
  <c r="Y22" i="3"/>
  <c r="Y7" i="3"/>
  <c r="Y13" i="3"/>
  <c r="X18" i="3"/>
  <c r="AK18" i="3" s="1"/>
  <c r="Y23" i="3"/>
  <c r="P6" i="3"/>
  <c r="S9" i="3"/>
  <c r="X9" i="3" s="1"/>
  <c r="AK9" i="3" s="1"/>
  <c r="S19" i="3"/>
  <c r="X19" i="3" s="1"/>
  <c r="AK19" i="3" s="1"/>
  <c r="X24" i="3"/>
  <c r="AK24" i="3" s="1"/>
  <c r="AF1" i="3"/>
  <c r="R5" i="3"/>
  <c r="T7" i="3"/>
  <c r="AH7" i="3"/>
  <c r="U8" i="3"/>
  <c r="Y8" i="3" s="1"/>
  <c r="W10" i="3"/>
  <c r="AJ10" i="3" s="1"/>
  <c r="X11" i="3"/>
  <c r="AK11" i="3" s="1"/>
  <c r="AX14" i="3"/>
  <c r="T17" i="3"/>
  <c r="AH17" i="3"/>
  <c r="U18" i="3"/>
  <c r="W20" i="3"/>
  <c r="AJ20" i="3" s="1"/>
  <c r="AX24" i="3"/>
  <c r="T27" i="3"/>
  <c r="AH27" i="3"/>
  <c r="U28" i="3"/>
  <c r="Y28" i="3" s="1"/>
  <c r="W30" i="3"/>
  <c r="AJ30" i="3" s="1"/>
  <c r="X31" i="3"/>
  <c r="AK31" i="3" s="1"/>
  <c r="AX34" i="3"/>
  <c r="AX7" i="3"/>
  <c r="AX36" i="3" s="1"/>
  <c r="P16" i="3"/>
  <c r="S5" i="3"/>
  <c r="T6" i="3"/>
  <c r="V8" i="3"/>
  <c r="AI8" i="3" s="1"/>
  <c r="W9" i="3"/>
  <c r="AJ9" i="3" s="1"/>
  <c r="AX13" i="3"/>
  <c r="R14" i="3"/>
  <c r="S15" i="3"/>
  <c r="T15" i="3" s="1"/>
  <c r="T16" i="3"/>
  <c r="V18" i="3"/>
  <c r="AI18" i="3" s="1"/>
  <c r="W19" i="3"/>
  <c r="AJ19" i="3" s="1"/>
  <c r="AX23" i="3"/>
  <c r="R24" i="3"/>
  <c r="S25" i="3"/>
  <c r="T25" i="3" s="1"/>
  <c r="T26" i="3"/>
  <c r="AH26" i="3"/>
  <c r="V28" i="3"/>
  <c r="AI28" i="3" s="1"/>
  <c r="W29" i="3"/>
  <c r="AJ29" i="3" s="1"/>
  <c r="AX33" i="3"/>
  <c r="R34" i="3"/>
  <c r="O36" i="3"/>
  <c r="AI5" i="3"/>
  <c r="W7" i="3"/>
  <c r="AJ7" i="3" s="1"/>
  <c r="AJ36" i="3" s="1"/>
  <c r="AJ37" i="3" s="1"/>
  <c r="P10" i="3"/>
  <c r="AX11" i="3"/>
  <c r="R12" i="3"/>
  <c r="T14" i="3"/>
  <c r="W17" i="3"/>
  <c r="AJ17" i="3" s="1"/>
  <c r="P20" i="3"/>
  <c r="AX21" i="3"/>
  <c r="R22" i="3"/>
  <c r="T24" i="3"/>
  <c r="W27" i="3"/>
  <c r="AJ27" i="3" s="1"/>
  <c r="P30" i="3"/>
  <c r="AX31" i="3"/>
  <c r="R32" i="3"/>
  <c r="T34" i="3"/>
  <c r="AB37" i="3"/>
  <c r="AC37" i="3" s="1"/>
  <c r="Q36" i="3"/>
  <c r="AU36" i="3"/>
  <c r="P8" i="3"/>
  <c r="AW8" i="3"/>
  <c r="P18" i="3"/>
  <c r="AW18" i="3"/>
  <c r="L25" i="3"/>
  <c r="P28" i="3"/>
  <c r="AW28" i="3"/>
  <c r="X5" i="3"/>
  <c r="P7" i="3"/>
  <c r="S10" i="3"/>
  <c r="P17" i="3"/>
  <c r="AW17" i="3"/>
  <c r="S20" i="3"/>
  <c r="P27" i="3"/>
  <c r="AW27" i="3"/>
  <c r="R29" i="3"/>
  <c r="S30" i="3"/>
  <c r="AW5" i="3"/>
  <c r="AW36" i="3" s="1"/>
  <c r="AW38" i="3" s="1"/>
  <c r="AH9" i="3"/>
  <c r="AH36" i="3" s="1"/>
  <c r="AN38" i="3" s="1"/>
  <c r="AH19" i="3"/>
  <c r="AW25" i="3"/>
  <c r="T29" i="3"/>
  <c r="AH29" i="3"/>
  <c r="L32" i="3"/>
  <c r="AW15" i="3"/>
  <c r="T8" i="3"/>
  <c r="T18" i="3"/>
  <c r="T28" i="3"/>
  <c r="X7" i="2"/>
  <c r="AK7" i="2" s="1"/>
  <c r="T7" i="2"/>
  <c r="Y9" i="2"/>
  <c r="AJ36" i="2"/>
  <c r="AJ37" i="2" s="1"/>
  <c r="Y6" i="2"/>
  <c r="U12" i="2"/>
  <c r="Y12" i="2" s="1"/>
  <c r="AH12" i="2"/>
  <c r="T12" i="2"/>
  <c r="Y28" i="2"/>
  <c r="Q36" i="2"/>
  <c r="T5" i="2"/>
  <c r="R16" i="2"/>
  <c r="T18" i="2"/>
  <c r="L20" i="2"/>
  <c r="P28" i="2"/>
  <c r="AE37" i="2"/>
  <c r="AG6" i="2"/>
  <c r="P12" i="2"/>
  <c r="AH13" i="2"/>
  <c r="U13" i="2"/>
  <c r="S16" i="2"/>
  <c r="T16" i="2" s="1"/>
  <c r="Y18" i="2"/>
  <c r="X25" i="2"/>
  <c r="T27" i="2"/>
  <c r="V36" i="2"/>
  <c r="V37" i="2" s="1"/>
  <c r="S19" i="2"/>
  <c r="T19" i="2" s="1"/>
  <c r="L26" i="2"/>
  <c r="R28" i="2"/>
  <c r="AH28" i="2"/>
  <c r="AX5" i="2"/>
  <c r="R6" i="2"/>
  <c r="Y8" i="2"/>
  <c r="R12" i="2"/>
  <c r="P13" i="2"/>
  <c r="V14" i="2"/>
  <c r="AI14" i="2" s="1"/>
  <c r="S14" i="2"/>
  <c r="X14" i="2" s="1"/>
  <c r="AK14" i="2" s="1"/>
  <c r="AH14" i="2"/>
  <c r="R17" i="2"/>
  <c r="P29" i="2"/>
  <c r="V29" i="2"/>
  <c r="AI29" i="2" s="1"/>
  <c r="S31" i="2"/>
  <c r="X31" i="2" s="1"/>
  <c r="AK31" i="2" s="1"/>
  <c r="AC36" i="2"/>
  <c r="S17" i="2"/>
  <c r="AH21" i="2"/>
  <c r="T21" i="2"/>
  <c r="U22" i="2"/>
  <c r="Y22" i="2" s="1"/>
  <c r="AH22" i="2"/>
  <c r="T22" i="2"/>
  <c r="AH23" i="2"/>
  <c r="U23" i="2"/>
  <c r="Y23" i="2" s="1"/>
  <c r="T23" i="2"/>
  <c r="AH24" i="2"/>
  <c r="V25" i="2"/>
  <c r="AI25" i="2" s="1"/>
  <c r="S25" i="2"/>
  <c r="T25" i="2" s="1"/>
  <c r="T28" i="2"/>
  <c r="P10" i="2"/>
  <c r="AH10" i="2"/>
  <c r="AH36" i="2" s="1"/>
  <c r="AN38" i="2" s="1"/>
  <c r="AW12" i="2"/>
  <c r="S13" i="2"/>
  <c r="X13" i="2" s="1"/>
  <c r="AK13" i="2" s="1"/>
  <c r="P15" i="2"/>
  <c r="V19" i="2"/>
  <c r="AI19" i="2" s="1"/>
  <c r="S21" i="2"/>
  <c r="X21" i="2" s="1"/>
  <c r="AK21" i="2" s="1"/>
  <c r="S22" i="2"/>
  <c r="X22" i="2" s="1"/>
  <c r="AK22" i="2" s="1"/>
  <c r="P22" i="2"/>
  <c r="V24" i="2"/>
  <c r="AI24" i="2" s="1"/>
  <c r="S24" i="2"/>
  <c r="X24" i="2" s="1"/>
  <c r="P25" i="2"/>
  <c r="S29" i="2"/>
  <c r="T29" i="2" s="1"/>
  <c r="X5" i="2"/>
  <c r="L5" i="2"/>
  <c r="K36" i="2"/>
  <c r="S6" i="2"/>
  <c r="T6" i="2" s="1"/>
  <c r="AF36" i="2"/>
  <c r="V9" i="2"/>
  <c r="AI9" i="2" s="1"/>
  <c r="W13" i="2"/>
  <c r="AJ13" i="2" s="1"/>
  <c r="Y20" i="2"/>
  <c r="R21" i="2"/>
  <c r="P23" i="2"/>
  <c r="P24" i="2"/>
  <c r="AX28" i="2"/>
  <c r="Y30" i="2"/>
  <c r="W31" i="2"/>
  <c r="AJ31" i="2" s="1"/>
  <c r="V33" i="2"/>
  <c r="AI33" i="2" s="1"/>
  <c r="P33" i="2"/>
  <c r="AX33" i="2"/>
  <c r="AW33" i="2"/>
  <c r="G37" i="2"/>
  <c r="H37" i="2" s="1"/>
  <c r="L37" i="2" s="1"/>
  <c r="H36" i="2"/>
  <c r="O36" i="2"/>
  <c r="AX19" i="2"/>
  <c r="AW19" i="2"/>
  <c r="P5" i="2"/>
  <c r="X6" i="2"/>
  <c r="AK6" i="2" s="1"/>
  <c r="T10" i="2"/>
  <c r="AH11" i="2"/>
  <c r="T14" i="2"/>
  <c r="R15" i="2"/>
  <c r="U21" i="2"/>
  <c r="Y21" i="2" s="1"/>
  <c r="R22" i="2"/>
  <c r="R23" i="2"/>
  <c r="W24" i="2"/>
  <c r="AJ24" i="2" s="1"/>
  <c r="R24" i="2"/>
  <c r="AW24" i="2"/>
  <c r="R25" i="2"/>
  <c r="AW25" i="2"/>
  <c r="R26" i="2"/>
  <c r="AX29" i="2"/>
  <c r="AW29" i="2"/>
  <c r="R14" i="2"/>
  <c r="AI5" i="2"/>
  <c r="AL36" i="2"/>
  <c r="AL37" i="2" s="1"/>
  <c r="X9" i="2"/>
  <c r="AK9" i="2" s="1"/>
  <c r="AX9" i="2"/>
  <c r="AW9" i="2"/>
  <c r="S11" i="2"/>
  <c r="X11" i="2" s="1"/>
  <c r="P11" i="2"/>
  <c r="S15" i="2"/>
  <c r="T15" i="2" s="1"/>
  <c r="L19" i="2"/>
  <c r="V22" i="2"/>
  <c r="AI22" i="2" s="1"/>
  <c r="AX22" i="2"/>
  <c r="AW22" i="2"/>
  <c r="S23" i="2"/>
  <c r="X23" i="2" s="1"/>
  <c r="AK23" i="2" s="1"/>
  <c r="T24" i="2"/>
  <c r="S26" i="2"/>
  <c r="T26" i="2" s="1"/>
  <c r="U32" i="2"/>
  <c r="Y32" i="2" s="1"/>
  <c r="AH32" i="2"/>
  <c r="T32" i="2"/>
  <c r="S33" i="2"/>
  <c r="X33" i="2" s="1"/>
  <c r="AK33" i="2" s="1"/>
  <c r="U31" i="2"/>
  <c r="V32" i="2"/>
  <c r="AI32" i="2" s="1"/>
  <c r="N36" i="2"/>
  <c r="O38" i="2" s="1"/>
  <c r="P32" i="2"/>
  <c r="AW32" i="2"/>
  <c r="R34" i="2"/>
  <c r="P21" i="2"/>
  <c r="P31" i="2"/>
  <c r="S34" i="2"/>
  <c r="AB37" i="2"/>
  <c r="AC37" i="2" s="1"/>
  <c r="T33" i="2"/>
  <c r="AW8" i="2"/>
  <c r="AW36" i="2" s="1"/>
  <c r="AW38" i="2" s="1"/>
  <c r="R10" i="2"/>
  <c r="AW18" i="2"/>
  <c r="AW28" i="2"/>
  <c r="U33" i="2"/>
  <c r="Y33" i="2" s="1"/>
  <c r="T31" i="2"/>
  <c r="T19" i="1"/>
  <c r="X19" i="1"/>
  <c r="AK19" i="1" s="1"/>
  <c r="Y12" i="1"/>
  <c r="Y14" i="1"/>
  <c r="AK14" i="1"/>
  <c r="Y21" i="1"/>
  <c r="Y22" i="1"/>
  <c r="Y30" i="1"/>
  <c r="Y25" i="1"/>
  <c r="AK25" i="1"/>
  <c r="Y7" i="1"/>
  <c r="X22" i="1"/>
  <c r="AK22" i="1" s="1"/>
  <c r="T22" i="1"/>
  <c r="Y33" i="1"/>
  <c r="X20" i="1"/>
  <c r="AK20" i="1" s="1"/>
  <c r="Y9" i="1"/>
  <c r="Y26" i="1"/>
  <c r="X30" i="1"/>
  <c r="AK30" i="1" s="1"/>
  <c r="X32" i="1"/>
  <c r="AK32" i="1" s="1"/>
  <c r="T32" i="1"/>
  <c r="AL45" i="1"/>
  <c r="Y19" i="1"/>
  <c r="Y5" i="1"/>
  <c r="AK5" i="1"/>
  <c r="Y8" i="1"/>
  <c r="AK8" i="1"/>
  <c r="X15" i="1"/>
  <c r="AK15" i="1" s="1"/>
  <c r="Y23" i="1"/>
  <c r="Y31" i="1"/>
  <c r="L37" i="1"/>
  <c r="Y16" i="1"/>
  <c r="T5" i="1"/>
  <c r="AX36" i="1"/>
  <c r="Y6" i="1"/>
  <c r="X24" i="1"/>
  <c r="X27" i="1"/>
  <c r="AK27" i="1" s="1"/>
  <c r="R23" i="1"/>
  <c r="S24" i="1"/>
  <c r="R33" i="1"/>
  <c r="S34" i="1"/>
  <c r="T34" i="1" s="1"/>
  <c r="K36" i="1"/>
  <c r="U36" i="1"/>
  <c r="W7" i="1"/>
  <c r="AJ7" i="1" s="1"/>
  <c r="P10" i="1"/>
  <c r="AW10" i="1"/>
  <c r="R12" i="1"/>
  <c r="S13" i="1"/>
  <c r="X13" i="1" s="1"/>
  <c r="AK13" i="1" s="1"/>
  <c r="L17" i="1"/>
  <c r="X18" i="1"/>
  <c r="P20" i="1"/>
  <c r="AW20" i="1"/>
  <c r="R22" i="1"/>
  <c r="S23" i="1"/>
  <c r="X23" i="1" s="1"/>
  <c r="AK23" i="1" s="1"/>
  <c r="T24" i="1"/>
  <c r="X28" i="1"/>
  <c r="AK28" i="1" s="1"/>
  <c r="P30" i="1"/>
  <c r="AW30" i="1"/>
  <c r="R32" i="1"/>
  <c r="S33" i="1"/>
  <c r="X33" i="1" s="1"/>
  <c r="AK33" i="1" s="1"/>
  <c r="AH34" i="1"/>
  <c r="AF36" i="1"/>
  <c r="AK44" i="1"/>
  <c r="V5" i="1"/>
  <c r="AJ5" i="1"/>
  <c r="AJ36" i="1" s="1"/>
  <c r="AJ37" i="1" s="1"/>
  <c r="W6" i="1"/>
  <c r="AJ6" i="1" s="1"/>
  <c r="P9" i="1"/>
  <c r="T13" i="1"/>
  <c r="AH13" i="1"/>
  <c r="W16" i="1"/>
  <c r="AJ16" i="1" s="1"/>
  <c r="P19" i="1"/>
  <c r="AH23" i="1"/>
  <c r="W26" i="1"/>
  <c r="AJ26" i="1" s="1"/>
  <c r="P29" i="1"/>
  <c r="AH33" i="1"/>
  <c r="P35" i="1"/>
  <c r="V24" i="1"/>
  <c r="AI24" i="1" s="1"/>
  <c r="V14" i="1"/>
  <c r="AI14" i="1" s="1"/>
  <c r="V34" i="1"/>
  <c r="AI34" i="1" s="1"/>
  <c r="N36" i="1"/>
  <c r="O38" i="1" s="1"/>
  <c r="P7" i="1"/>
  <c r="R9" i="1"/>
  <c r="S10" i="1"/>
  <c r="T10" i="1" s="1"/>
  <c r="T11" i="1"/>
  <c r="V13" i="1"/>
  <c r="AI13" i="1" s="1"/>
  <c r="W14" i="1"/>
  <c r="AJ14" i="1" s="1"/>
  <c r="P17" i="1"/>
  <c r="AW17" i="1"/>
  <c r="R19" i="1"/>
  <c r="S20" i="1"/>
  <c r="T20" i="1" s="1"/>
  <c r="T21" i="1"/>
  <c r="AH21" i="1"/>
  <c r="V23" i="1"/>
  <c r="AI23" i="1" s="1"/>
  <c r="W24" i="1"/>
  <c r="AJ24" i="1" s="1"/>
  <c r="P27" i="1"/>
  <c r="AW27" i="1"/>
  <c r="R29" i="1"/>
  <c r="S30" i="1"/>
  <c r="T30" i="1" s="1"/>
  <c r="V33" i="1"/>
  <c r="AI33" i="1" s="1"/>
  <c r="R35" i="1"/>
  <c r="O36" i="1"/>
  <c r="P16" i="1"/>
  <c r="V22" i="1"/>
  <c r="AI22" i="1" s="1"/>
  <c r="P26" i="1"/>
  <c r="S29" i="1"/>
  <c r="S35" i="1"/>
  <c r="AB37" i="1"/>
  <c r="AC37" i="1" s="1"/>
  <c r="AW5" i="1"/>
  <c r="AH9" i="1"/>
  <c r="Q36" i="1"/>
  <c r="AU36" i="1"/>
  <c r="G38" i="1"/>
  <c r="P5" i="1"/>
  <c r="T9" i="1"/>
  <c r="AH19" i="1"/>
  <c r="R6" i="1"/>
  <c r="AG7" i="1"/>
  <c r="AW14" i="1"/>
  <c r="R16" i="1"/>
  <c r="AW24" i="1"/>
  <c r="AW34" i="1"/>
  <c r="H36" i="1"/>
  <c r="AH7" i="1"/>
  <c r="AH36" i="1" s="1"/>
  <c r="AN38" i="1" s="1"/>
  <c r="AW13" i="1"/>
  <c r="R15" i="1"/>
  <c r="T17" i="1"/>
  <c r="AH17" i="1"/>
  <c r="AW23" i="1"/>
  <c r="T27" i="1"/>
  <c r="AH27" i="1"/>
  <c r="L30" i="1"/>
  <c r="AW33" i="1"/>
  <c r="T6" i="1"/>
  <c r="T16" i="1"/>
  <c r="T26" i="1"/>
  <c r="T10" i="3" l="1"/>
  <c r="X10" i="3"/>
  <c r="Y9" i="3"/>
  <c r="X15" i="3"/>
  <c r="X36" i="3" s="1"/>
  <c r="T9" i="3"/>
  <c r="Q37" i="3"/>
  <c r="R37" i="3" s="1"/>
  <c r="R36" i="3"/>
  <c r="Y11" i="3"/>
  <c r="AG38" i="3"/>
  <c r="AF46" i="3"/>
  <c r="AF47" i="3" s="1"/>
  <c r="AG37" i="3"/>
  <c r="AG47" i="3"/>
  <c r="T30" i="3"/>
  <c r="X30" i="3"/>
  <c r="W36" i="3"/>
  <c r="W37" i="3" s="1"/>
  <c r="Y19" i="3"/>
  <c r="L38" i="3"/>
  <c r="K46" i="3"/>
  <c r="K47" i="3" s="1"/>
  <c r="L47" i="3"/>
  <c r="X25" i="3"/>
  <c r="Y5" i="3"/>
  <c r="AK5" i="3"/>
  <c r="T20" i="3"/>
  <c r="X20" i="3"/>
  <c r="Y24" i="3"/>
  <c r="AI36" i="3"/>
  <c r="AI37" i="3" s="1"/>
  <c r="S36" i="3"/>
  <c r="T5" i="3"/>
  <c r="V36" i="3"/>
  <c r="V37" i="3" s="1"/>
  <c r="T19" i="3"/>
  <c r="O37" i="3"/>
  <c r="P37" i="3" s="1"/>
  <c r="P36" i="3"/>
  <c r="Y18" i="3"/>
  <c r="Y31" i="3"/>
  <c r="AK5" i="2"/>
  <c r="S36" i="2"/>
  <c r="Q37" i="2"/>
  <c r="R37" i="2" s="1"/>
  <c r="R36" i="2"/>
  <c r="Y5" i="2"/>
  <c r="Y11" i="2"/>
  <c r="AK11" i="2"/>
  <c r="T11" i="2"/>
  <c r="U36" i="2"/>
  <c r="AI36" i="2"/>
  <c r="AI37" i="2" s="1"/>
  <c r="AF37" i="2"/>
  <c r="AG36" i="2"/>
  <c r="X29" i="2"/>
  <c r="Y14" i="2"/>
  <c r="AX36" i="2"/>
  <c r="AK24" i="2"/>
  <c r="Y24" i="2"/>
  <c r="AK25" i="2"/>
  <c r="Y25" i="2"/>
  <c r="AM45" i="2"/>
  <c r="AL45" i="2"/>
  <c r="X15" i="2"/>
  <c r="Y31" i="2"/>
  <c r="K37" i="2"/>
  <c r="L36" i="2"/>
  <c r="X17" i="2"/>
  <c r="T17" i="2"/>
  <c r="T13" i="2"/>
  <c r="X34" i="2"/>
  <c r="T34" i="2"/>
  <c r="X19" i="2"/>
  <c r="O37" i="2"/>
  <c r="P37" i="2" s="1"/>
  <c r="P36" i="2"/>
  <c r="X16" i="2"/>
  <c r="X26" i="2"/>
  <c r="Y13" i="2"/>
  <c r="Y7" i="2"/>
  <c r="W36" i="2"/>
  <c r="W37" i="2" s="1"/>
  <c r="V36" i="1"/>
  <c r="V37" i="1" s="1"/>
  <c r="AI5" i="1"/>
  <c r="AI36" i="1" s="1"/>
  <c r="AI37" i="1" s="1"/>
  <c r="K37" i="1"/>
  <c r="L36" i="1"/>
  <c r="Y24" i="1"/>
  <c r="AK24" i="1"/>
  <c r="AF37" i="1"/>
  <c r="AG36" i="1"/>
  <c r="Y18" i="1"/>
  <c r="AK18" i="1"/>
  <c r="X34" i="1"/>
  <c r="Y15" i="1"/>
  <c r="Q37" i="1"/>
  <c r="R37" i="1" s="1"/>
  <c r="R36" i="1"/>
  <c r="T23" i="1"/>
  <c r="O37" i="1"/>
  <c r="P37" i="1" s="1"/>
  <c r="P36" i="1"/>
  <c r="S36" i="1"/>
  <c r="AW36" i="1"/>
  <c r="AW38" i="1" s="1"/>
  <c r="T35" i="1"/>
  <c r="X35" i="1"/>
  <c r="T29" i="1"/>
  <c r="X29" i="1"/>
  <c r="Y13" i="1"/>
  <c r="Y27" i="1"/>
  <c r="Y32" i="1"/>
  <c r="X10" i="1"/>
  <c r="W36" i="1"/>
  <c r="W37" i="1" s="1"/>
  <c r="T33" i="1"/>
  <c r="Y20" i="1"/>
  <c r="Y28" i="1"/>
  <c r="Y36" i="3" l="1"/>
  <c r="X37" i="3"/>
  <c r="Y37" i="3" s="1"/>
  <c r="Y25" i="3"/>
  <c r="AK25" i="3"/>
  <c r="S37" i="3"/>
  <c r="T36" i="3"/>
  <c r="AK20" i="3"/>
  <c r="Y20" i="3"/>
  <c r="Y15" i="3"/>
  <c r="AK15" i="3"/>
  <c r="AK10" i="3"/>
  <c r="AK36" i="3" s="1"/>
  <c r="Y10" i="3"/>
  <c r="AK30" i="3"/>
  <c r="Y30" i="3"/>
  <c r="AK34" i="2"/>
  <c r="Y34" i="2"/>
  <c r="AK17" i="2"/>
  <c r="Y17" i="2"/>
  <c r="AK26" i="2"/>
  <c r="Y26" i="2"/>
  <c r="AK29" i="2"/>
  <c r="Y29" i="2"/>
  <c r="AK15" i="2"/>
  <c r="AK36" i="2" s="1"/>
  <c r="Y15" i="2"/>
  <c r="AG47" i="2"/>
  <c r="AG38" i="2"/>
  <c r="AF46" i="2"/>
  <c r="AF47" i="2" s="1"/>
  <c r="AG37" i="2"/>
  <c r="X36" i="2"/>
  <c r="AK16" i="2"/>
  <c r="Y16" i="2"/>
  <c r="L38" i="2"/>
  <c r="L47" i="2"/>
  <c r="K46" i="2"/>
  <c r="K47" i="2" s="1"/>
  <c r="S37" i="2"/>
  <c r="T36" i="2"/>
  <c r="AK19" i="2"/>
  <c r="Y19" i="2"/>
  <c r="AK10" i="1"/>
  <c r="Y10" i="1"/>
  <c r="X36" i="1"/>
  <c r="S37" i="1"/>
  <c r="T36" i="1"/>
  <c r="AG47" i="1"/>
  <c r="AG38" i="1"/>
  <c r="AG37" i="1"/>
  <c r="AF46" i="1"/>
  <c r="AF47" i="1" s="1"/>
  <c r="AK29" i="1"/>
  <c r="Y29" i="1"/>
  <c r="L38" i="1"/>
  <c r="K46" i="1"/>
  <c r="K47" i="1" s="1"/>
  <c r="L47" i="1"/>
  <c r="AK35" i="1"/>
  <c r="Y35" i="1"/>
  <c r="AK34" i="1"/>
  <c r="Y34" i="1"/>
  <c r="AK40" i="3" l="1"/>
  <c r="AL40" i="3" s="1"/>
  <c r="AK37" i="3"/>
  <c r="T38" i="3"/>
  <c r="T37" i="3"/>
  <c r="S46" i="3"/>
  <c r="S47" i="3" s="1"/>
  <c r="T47" i="3"/>
  <c r="AK37" i="2"/>
  <c r="AK40" i="2"/>
  <c r="AL40" i="2" s="1"/>
  <c r="Y36" i="2"/>
  <c r="X37" i="2"/>
  <c r="Y37" i="2" s="1"/>
  <c r="T38" i="2"/>
  <c r="S46" i="2"/>
  <c r="S47" i="2" s="1"/>
  <c r="T47" i="2"/>
  <c r="T37" i="2"/>
  <c r="T38" i="1"/>
  <c r="S46" i="1"/>
  <c r="S47" i="1" s="1"/>
  <c r="T47" i="1"/>
  <c r="T37" i="1"/>
  <c r="Y36" i="1"/>
  <c r="X37" i="1"/>
  <c r="Y37" i="1" s="1"/>
  <c r="AK36" i="1"/>
  <c r="AK43" i="3" l="1"/>
  <c r="AK41" i="3"/>
  <c r="AL39" i="3"/>
  <c r="AL46" i="3"/>
  <c r="AL38" i="3"/>
  <c r="AK41" i="2"/>
  <c r="AL41" i="2" s="1"/>
  <c r="AL39" i="2"/>
  <c r="AL46" i="2"/>
  <c r="AL38" i="2"/>
  <c r="AK43" i="2"/>
  <c r="AK45" i="2"/>
  <c r="AK46" i="2" s="1"/>
  <c r="AK40" i="1"/>
  <c r="AL40" i="1" s="1"/>
  <c r="AK37" i="1"/>
  <c r="AL41" i="3" l="1"/>
  <c r="AK50" i="3"/>
  <c r="AL50" i="3" s="1"/>
  <c r="AK45" i="3"/>
  <c r="AK46" i="3" s="1"/>
  <c r="AK41" i="1"/>
  <c r="AL41" i="1" s="1"/>
  <c r="AL39" i="1"/>
  <c r="AL46" i="1"/>
  <c r="AL38" i="1"/>
  <c r="AK43" i="1"/>
  <c r="AK45" i="1"/>
  <c r="AK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ジュエルズ</author>
  </authors>
  <commentList>
    <comment ref="AA17" authorId="0" shapeId="0" xr:uid="{1C6959A9-9722-5244-A055-3D9E127B4912}">
      <text>
        <r>
          <rPr>
            <b/>
            <sz val="9"/>
            <color indexed="81"/>
            <rFont val="MS P ゴシック"/>
            <family val="3"/>
            <charset val="128"/>
          </rPr>
          <t>T/O台湾TVクルー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<sst xmlns="http://schemas.openxmlformats.org/spreadsheetml/2006/main" count="361" uniqueCount="82">
  <si>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</si>
  <si>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</si>
  <si>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</si>
  <si>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</si>
  <si>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</si>
  <si>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</si>
  <si>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</si>
  <si>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</si>
  <si>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</si>
  <si>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</si>
  <si>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</si>
  <si>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</si>
  <si>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</si>
  <si>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</si>
  <si>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</si>
  <si>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</si>
  <si>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</si>
  <si>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</si>
  <si>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</si>
  <si>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</si>
  <si>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</si>
  <si>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</si>
  <si>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</si>
  <si>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</si>
  <si>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</si>
  <si>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</si>
  <si>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</si>
  <si>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</si>
  <si>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</si>
  <si>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</si>
  <si>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</si>
  <si>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</si>
  <si>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</si>
  <si>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</si>
  <si>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</si>
  <si>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</si>
  <si>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</si>
  <si>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</si>
  <si>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</si>
  <si>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</si>
  <si>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</si>
  <si>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</si>
  <si>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</si>
  <si>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</si>
  <si>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</si>
  <si>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</si>
  <si>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</si>
  <si>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</si>
  <si>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</si>
  <si>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</si>
  <si>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</si>
  <si>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</si>
  <si>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</si>
  <si>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</si>
  <si>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</si>
  <si>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</si>
  <si>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</t>
    <rPh sb="3" eb="5">
      <t>キュウギョウ</t>
    </rPh>
    <phoneticPr fontId="3"/>
  </si>
  <si>
    <t>ランチ休業</t>
    <phoneticPr fontId="3"/>
  </si>
  <si>
    <t>夜景PT</t>
    <rPh sb="0" eb="2">
      <t>ヤケイ</t>
    </rPh>
    <phoneticPr fontId="3"/>
  </si>
  <si>
    <t>席料予算</t>
    <rPh sb="0" eb="2">
      <t>セキリョウ</t>
    </rPh>
    <rPh sb="2" eb="4">
      <t>ヨサン</t>
    </rPh>
    <phoneticPr fontId="3"/>
  </si>
  <si>
    <t>その他</t>
    <rPh sb="2" eb="3">
      <t>タ</t>
    </rPh>
    <phoneticPr fontId="3"/>
  </si>
  <si>
    <t>レストラン＋T/O（人数は含まず）＋南京錠売上
 +もーりすカレーTOTAL</t>
    <phoneticPr fontId="3"/>
  </si>
  <si>
    <t>席料+南京錠+花</t>
    <phoneticPr fontId="3"/>
  </si>
  <si>
    <t>終日運休</t>
    <rPh sb="0" eb="2">
      <t>シュウジツ</t>
    </rPh>
    <rPh sb="2" eb="4">
      <t>ウンキュウ</t>
    </rPh>
    <phoneticPr fontId="3"/>
  </si>
  <si>
    <t>食品物販</t>
    <rPh sb="0" eb="4">
      <t>ショクヒンブッパン</t>
    </rPh>
    <phoneticPr fontId="3"/>
  </si>
  <si>
    <t>ランチ休業 始発から16:30迄運休</t>
    <rPh sb="3" eb="5">
      <t>キュウギョウ</t>
    </rPh>
    <rPh sb="6" eb="8">
      <t>シハツ</t>
    </rPh>
    <rPh sb="15" eb="18">
      <t>マデウンキュウ</t>
    </rPh>
    <phoneticPr fontId="3"/>
  </si>
  <si>
    <t>ランチ休業　始発－17:00運休</t>
    <rPh sb="3" eb="5">
      <t>キュウギョウ</t>
    </rPh>
    <rPh sb="6" eb="8">
      <t>シハツ</t>
    </rPh>
    <rPh sb="14" eb="16">
      <t>ウンキュウ</t>
    </rPh>
    <phoneticPr fontId="3"/>
  </si>
  <si>
    <t>ランチ婚礼</t>
    <rPh sb="3" eb="5">
      <t>コンレイ</t>
    </rPh>
    <phoneticPr fontId="3"/>
  </si>
  <si>
    <t>19:15最終MC故障</t>
    <rPh sb="5" eb="7">
      <t>サイシュウ</t>
    </rPh>
    <rPh sb="9" eb="11">
      <t>コショウ</t>
    </rPh>
    <phoneticPr fontId="3"/>
  </si>
  <si>
    <t>全館休業</t>
    <rPh sb="0" eb="2">
      <t>ゼンカン</t>
    </rPh>
    <rPh sb="2" eb="4">
      <t>キュウギョウ</t>
    </rPh>
    <phoneticPr fontId="3"/>
  </si>
  <si>
    <t>強風のため21：00最終</t>
    <rPh sb="0" eb="2">
      <t>キョウフウ</t>
    </rPh>
    <rPh sb="10" eb="12">
      <t>サイシュウ</t>
    </rPh>
    <phoneticPr fontId="3"/>
  </si>
  <si>
    <t>ランチ休業 始発-15:00運休</t>
    <rPh sb="3" eb="5">
      <t>キュウギョウ</t>
    </rPh>
    <phoneticPr fontId="3"/>
  </si>
  <si>
    <t>婚礼のためランチクローズ</t>
    <rPh sb="0" eb="2">
      <t>コンレイ</t>
    </rPh>
    <phoneticPr fontId="3"/>
  </si>
  <si>
    <t>始発からRW運休ディナークローズ</t>
    <rPh sb="0" eb="2">
      <t>シハツ</t>
    </rPh>
    <rPh sb="6" eb="8">
      <t>ウンキュウ</t>
    </rPh>
    <phoneticPr fontId="3"/>
  </si>
  <si>
    <t>ランチ休業 終日運休</t>
    <rPh sb="3" eb="5">
      <t>キュウギョウ</t>
    </rPh>
    <rPh sb="6" eb="10">
      <t>シュウジツウンキュウ</t>
    </rPh>
    <phoneticPr fontId="3"/>
  </si>
  <si>
    <t xml:space="preserve">ランチ休業　始発－14：00運休 </t>
    <rPh sb="3" eb="5">
      <t>キュウギョウ</t>
    </rPh>
    <rPh sb="6" eb="8">
      <t>シハツ</t>
    </rPh>
    <rPh sb="14" eb="16">
      <t>ウンキュウ</t>
    </rPh>
    <phoneticPr fontId="3"/>
  </si>
  <si>
    <t>終日運休</t>
    <rPh sb="0" eb="4">
      <t>シュウジツウンキュウ</t>
    </rPh>
    <phoneticPr fontId="3"/>
  </si>
  <si>
    <t>クリスマスランチ営業</t>
    <rPh sb="8" eb="10">
      <t>エイギョウ</t>
    </rPh>
    <phoneticPr fontId="3"/>
  </si>
  <si>
    <t>始発～17時運休</t>
    <rPh sb="0" eb="2">
      <t>シハツ</t>
    </rPh>
    <rPh sb="5" eb="6">
      <t>ジ</t>
    </rPh>
    <rPh sb="6" eb="8">
      <t>ウンキュウ</t>
    </rPh>
    <phoneticPr fontId="3"/>
  </si>
  <si>
    <t>ランチ休業　14時～終日運休</t>
    <rPh sb="3" eb="5">
      <t>キュウギョウ</t>
    </rPh>
    <rPh sb="8" eb="9">
      <t>ジ</t>
    </rPh>
    <rPh sb="10" eb="14">
      <t>シュウジツウンキュウ</t>
    </rPh>
    <phoneticPr fontId="3"/>
  </si>
  <si>
    <t>クローズ</t>
    <phoneticPr fontId="3"/>
  </si>
  <si>
    <t>今月残りオンハンド</t>
    <rPh sb="0" eb="3">
      <t>コンゲツノコ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</si>
</sst>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90" formatCode="0.0_ "/>
  </numFmts>
  <fonts count="2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9"/>
      <color rgb="FFC00000"/>
      <name val="游ゴシック Medium"/>
      <family val="3"/>
      <charset val="128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20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8" fontId="4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176" fontId="4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/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5" xfId="0" applyFont="1" applyBorder="1" applyAlignment="1"/>
    <xf numFmtId="0" fontId="12" fillId="4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/>
    <xf numFmtId="0" fontId="4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8" fontId="4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38" fontId="7" fillId="0" borderId="15" xfId="0" applyNumberFormat="1" applyFont="1" applyBorder="1" applyAlignment="1"/>
    <xf numFmtId="38" fontId="4" fillId="0" borderId="0" xfId="0" applyNumberFormat="1" applyFont="1" applyAlignment="1"/>
    <xf numFmtId="0" fontId="7" fillId="0" borderId="0" xfId="0" applyFont="1" applyAlignment="1"/>
    <xf numFmtId="0" fontId="15" fillId="0" borderId="24" xfId="0" applyFont="1" applyBorder="1" applyAlignment="1"/>
    <xf numFmtId="38" fontId="7" fillId="0" borderId="25" xfId="0" applyNumberFormat="1" applyFont="1" applyBorder="1" applyAlignment="1"/>
    <xf numFmtId="179" fontId="7" fillId="0" borderId="26" xfId="0" applyNumberFormat="1" applyFont="1" applyBorder="1" applyAlignment="1"/>
    <xf numFmtId="180" fontId="7" fillId="0" borderId="25" xfId="0" applyNumberFormat="1" applyFont="1" applyBorder="1" applyAlignment="1"/>
    <xf numFmtId="38" fontId="16" fillId="0" borderId="26" xfId="0" applyNumberFormat="1" applyFont="1" applyBorder="1" applyAlignment="1"/>
    <xf numFmtId="38" fontId="7" fillId="0" borderId="26" xfId="0" applyNumberFormat="1" applyFont="1" applyBorder="1" applyAlignment="1"/>
    <xf numFmtId="38" fontId="7" fillId="0" borderId="24" xfId="0" applyNumberFormat="1" applyFont="1" applyBorder="1" applyAlignment="1"/>
    <xf numFmtId="38" fontId="7" fillId="5" borderId="25" xfId="0" applyNumberFormat="1" applyFont="1" applyFill="1" applyBorder="1" applyAlignment="1"/>
    <xf numFmtId="182" fontId="7" fillId="0" borderId="25" xfId="0" applyNumberFormat="1" applyFont="1" applyBorder="1" applyAlignment="1">
      <alignment shrinkToFit="1"/>
    </xf>
    <xf numFmtId="181" fontId="7" fillId="0" borderId="26" xfId="0" applyNumberFormat="1" applyFont="1" applyBorder="1" applyAlignment="1"/>
    <xf numFmtId="38" fontId="16" fillId="0" borderId="25" xfId="0" applyNumberFormat="1" applyFont="1" applyBorder="1" applyAlignment="1"/>
    <xf numFmtId="38" fontId="12" fillId="5" borderId="25" xfId="0" applyNumberFormat="1" applyFont="1" applyFill="1" applyBorder="1" applyAlignment="1"/>
    <xf numFmtId="182" fontId="17" fillId="0" borderId="26" xfId="0" applyNumberFormat="1" applyFont="1" applyBorder="1" applyAlignment="1">
      <alignment shrinkToFit="1"/>
    </xf>
    <xf numFmtId="38" fontId="17" fillId="0" borderId="25" xfId="0" applyNumberFormat="1" applyFont="1" applyBorder="1" applyAlignment="1"/>
    <xf numFmtId="38" fontId="16" fillId="5" borderId="25" xfId="0" applyNumberFormat="1" applyFont="1" applyFill="1" applyBorder="1" applyAlignment="1"/>
    <xf numFmtId="182" fontId="16" fillId="0" borderId="26" xfId="0" applyNumberFormat="1" applyFont="1" applyBorder="1" applyAlignment="1">
      <alignment shrinkToFit="1"/>
    </xf>
    <xf numFmtId="38" fontId="17" fillId="0" borderId="26" xfId="0" applyNumberFormat="1" applyFont="1" applyBorder="1" applyAlignment="1"/>
    <xf numFmtId="38" fontId="11" fillId="5" borderId="25" xfId="0" applyNumberFormat="1" applyFont="1" applyFill="1" applyBorder="1" applyAlignment="1"/>
    <xf numFmtId="182" fontId="16" fillId="0" borderId="26" xfId="0" applyNumberFormat="1" applyFont="1" applyBorder="1" applyAlignment="1"/>
    <xf numFmtId="38" fontId="7" fillId="5" borderId="15" xfId="0" applyNumberFormat="1" applyFont="1" applyFill="1" applyBorder="1" applyAlignment="1"/>
    <xf numFmtId="38" fontId="7" fillId="8" borderId="15" xfId="0" applyNumberFormat="1" applyFont="1" applyFill="1" applyBorder="1" applyAlignment="1"/>
    <xf numFmtId="0" fontId="15" fillId="0" borderId="0" xfId="0" applyFont="1" applyAlignment="1"/>
    <xf numFmtId="0" fontId="7" fillId="0" borderId="6" xfId="0" applyFont="1" applyBorder="1" applyAlignment="1"/>
    <xf numFmtId="38" fontId="16" fillId="0" borderId="15" xfId="0" applyNumberFormat="1" applyFont="1" applyBorder="1" applyAlignment="1"/>
    <xf numFmtId="38" fontId="12" fillId="5" borderId="15" xfId="0" applyNumberFormat="1" applyFont="1" applyFill="1" applyBorder="1" applyAlignment="1"/>
    <xf numFmtId="182" fontId="7" fillId="0" borderId="0" xfId="0" applyNumberFormat="1" applyFont="1" applyAlignment="1">
      <alignment shrinkToFit="1"/>
    </xf>
    <xf numFmtId="179" fontId="7" fillId="0" borderId="0" xfId="0" applyNumberFormat="1" applyFont="1" applyAlignment="1"/>
    <xf numFmtId="182" fontId="17" fillId="0" borderId="0" xfId="0" applyNumberFormat="1" applyFont="1" applyAlignment="1"/>
    <xf numFmtId="38" fontId="16" fillId="5" borderId="15" xfId="0" applyNumberFormat="1" applyFont="1" applyFill="1" applyBorder="1" applyAlignment="1"/>
    <xf numFmtId="182" fontId="7" fillId="0" borderId="0" xfId="0" applyNumberFormat="1" applyFont="1" applyAlignment="1"/>
    <xf numFmtId="38" fontId="17" fillId="0" borderId="15" xfId="0" applyNumberFormat="1" applyFont="1" applyBorder="1" applyAlignment="1"/>
    <xf numFmtId="38" fontId="7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183" fontId="7" fillId="0" borderId="0" xfId="0" applyNumberFormat="1" applyFont="1" applyAlignment="1"/>
    <xf numFmtId="183" fontId="7" fillId="6" borderId="0" xfId="0" applyNumberFormat="1" applyFont="1" applyFill="1" applyAlignment="1"/>
    <xf numFmtId="183" fontId="18" fillId="0" borderId="0" xfId="0" applyNumberFormat="1" applyFont="1" applyAlignment="1"/>
    <xf numFmtId="183" fontId="7" fillId="0" borderId="0" xfId="0" applyNumberFormat="1" applyFont="1" applyAlignment="1">
      <alignment horizontal="right"/>
    </xf>
    <xf numFmtId="184" fontId="16" fillId="0" borderId="0" xfId="0" applyNumberFormat="1" applyFont="1" applyAlignment="1"/>
    <xf numFmtId="184" fontId="16" fillId="0" borderId="0" xfId="0" applyNumberFormat="1" applyFont="1" applyAlignment="1">
      <alignment shrinkToFit="1"/>
    </xf>
    <xf numFmtId="183" fontId="7" fillId="4" borderId="0" xfId="0" applyNumberFormat="1" applyFont="1" applyFill="1" applyAlignment="1"/>
    <xf numFmtId="184" fontId="7" fillId="0" borderId="0" xfId="0" applyNumberFormat="1" applyFont="1" applyAlignment="1"/>
    <xf numFmtId="3" fontId="4" fillId="0" borderId="0" xfId="0" applyNumberFormat="1" applyFont="1" applyAlignment="1"/>
    <xf numFmtId="0" fontId="4" fillId="0" borderId="18" xfId="0" applyFont="1" applyBorder="1" applyAlignment="1"/>
    <xf numFmtId="0" fontId="4" fillId="0" borderId="23" xfId="0" applyFont="1" applyBorder="1" applyAlignment="1">
      <alignment horizontal="right"/>
    </xf>
    <xf numFmtId="183" fontId="7" fillId="8" borderId="0" xfId="0" applyNumberFormat="1" applyFont="1" applyFill="1" applyAlignment="1"/>
    <xf numFmtId="0" fontId="4" fillId="0" borderId="27" xfId="0" applyFont="1" applyBorder="1" applyAlignment="1"/>
    <xf numFmtId="185" fontId="4" fillId="0" borderId="0" xfId="0" applyNumberFormat="1" applyFont="1" applyAlignment="1"/>
    <xf numFmtId="0" fontId="5" fillId="0" borderId="1" xfId="0" applyFont="1" applyBorder="1" applyAlignment="1">
      <alignment horizontal="left" vertical="top" wrapText="1"/>
    </xf>
    <xf numFmtId="0" fontId="10" fillId="0" borderId="22" xfId="0" applyFont="1" applyBorder="1" applyAlignment="1"/>
    <xf numFmtId="0" fontId="10" fillId="0" borderId="23" xfId="0" applyFont="1" applyBorder="1" applyAlignment="1"/>
    <xf numFmtId="0" fontId="6" fillId="0" borderId="0" xfId="0" applyFont="1" applyAlignment="1"/>
    <xf numFmtId="0" fontId="10" fillId="0" borderId="27" xfId="0" applyFont="1" applyBorder="1" applyAlignme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16" xfId="0" applyFont="1" applyBorder="1" applyAlignment="1"/>
    <xf numFmtId="0" fontId="10" fillId="0" borderId="19" xfId="0" applyFont="1" applyBorder="1" applyAlignment="1"/>
    <xf numFmtId="0" fontId="10" fillId="0" borderId="18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84" fontId="1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84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86" fontId="7" fillId="0" borderId="0" xfId="0" applyNumberFormat="1" applyFont="1" applyAlignment="1"/>
    <xf numFmtId="38" fontId="19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8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21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shrinkToFit="1"/>
    </xf>
    <xf numFmtId="176" fontId="22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177" fontId="4" fillId="0" borderId="28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shrinkToFit="1"/>
    </xf>
    <xf numFmtId="177" fontId="4" fillId="0" borderId="29" xfId="0" applyNumberFormat="1" applyFont="1" applyBorder="1" applyAlignment="1">
      <alignment horizontal="center" vertical="center" wrapText="1"/>
    </xf>
    <xf numFmtId="178" fontId="5" fillId="0" borderId="16" xfId="0" applyNumberFormat="1" applyFont="1" applyBorder="1">
      <alignment vertical="center"/>
    </xf>
    <xf numFmtId="38" fontId="4" fillId="0" borderId="16" xfId="0" applyNumberFormat="1" applyFont="1" applyBorder="1" applyAlignment="1">
      <alignment horizontal="center" vertical="center"/>
    </xf>
    <xf numFmtId="179" fontId="4" fillId="0" borderId="17" xfId="0" applyNumberFormat="1" applyFont="1" applyBorder="1">
      <alignment vertical="center"/>
    </xf>
    <xf numFmtId="180" fontId="4" fillId="2" borderId="17" xfId="0" applyNumberFormat="1" applyFont="1" applyFill="1" applyBorder="1">
      <alignment vertical="center"/>
    </xf>
    <xf numFmtId="38" fontId="4" fillId="6" borderId="17" xfId="0" applyNumberFormat="1" applyFont="1" applyFill="1" applyBorder="1">
      <alignment vertical="center"/>
    </xf>
    <xf numFmtId="38" fontId="7" fillId="0" borderId="18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38" fontId="12" fillId="2" borderId="17" xfId="0" applyNumberFormat="1" applyFont="1" applyFill="1" applyBorder="1">
      <alignment vertical="center"/>
    </xf>
    <xf numFmtId="40" fontId="4" fillId="0" borderId="19" xfId="0" applyNumberFormat="1" applyFont="1" applyBorder="1">
      <alignment vertical="center"/>
    </xf>
    <xf numFmtId="181" fontId="4" fillId="0" borderId="17" xfId="0" applyNumberFormat="1" applyFont="1" applyBorder="1">
      <alignment vertical="center"/>
    </xf>
    <xf numFmtId="180" fontId="4" fillId="3" borderId="17" xfId="0" applyNumberFormat="1" applyFont="1" applyFill="1" applyBorder="1">
      <alignment vertical="center"/>
    </xf>
    <xf numFmtId="38" fontId="4" fillId="0" borderId="17" xfId="0" applyNumberFormat="1" applyFont="1" applyBorder="1">
      <alignment vertical="center"/>
    </xf>
    <xf numFmtId="38" fontId="12" fillId="0" borderId="15" xfId="0" applyNumberFormat="1" applyFont="1" applyBorder="1">
      <alignment vertical="center"/>
    </xf>
    <xf numFmtId="180" fontId="4" fillId="0" borderId="20" xfId="0" applyNumberFormat="1" applyFont="1" applyBorder="1">
      <alignment vertical="center"/>
    </xf>
    <xf numFmtId="38" fontId="4" fillId="7" borderId="16" xfId="0" applyNumberFormat="1" applyFont="1" applyFill="1" applyBorder="1">
      <alignment vertical="center"/>
    </xf>
    <xf numFmtId="179" fontId="4" fillId="4" borderId="17" xfId="0" applyNumberFormat="1" applyFont="1" applyFill="1" applyBorder="1">
      <alignment vertical="center"/>
    </xf>
    <xf numFmtId="180" fontId="4" fillId="0" borderId="17" xfId="0" applyNumberFormat="1" applyFont="1" applyBorder="1">
      <alignment vertical="center"/>
    </xf>
    <xf numFmtId="38" fontId="4" fillId="3" borderId="15" xfId="0" applyNumberFormat="1" applyFont="1" applyFill="1" applyBorder="1">
      <alignment vertical="center"/>
    </xf>
    <xf numFmtId="38" fontId="12" fillId="0" borderId="16" xfId="0" applyNumberFormat="1" applyFont="1" applyBorder="1">
      <alignment vertical="center"/>
    </xf>
    <xf numFmtId="38" fontId="4" fillId="0" borderId="15" xfId="0" applyNumberFormat="1" applyFont="1" applyBorder="1">
      <alignment vertical="center"/>
    </xf>
    <xf numFmtId="38" fontId="7" fillId="0" borderId="15" xfId="0" applyNumberFormat="1" applyFont="1" applyBorder="1">
      <alignment vertical="center"/>
    </xf>
    <xf numFmtId="38" fontId="4" fillId="7" borderId="15" xfId="0" applyNumberFormat="1" applyFont="1" applyFill="1" applyBorder="1">
      <alignment vertical="center"/>
    </xf>
    <xf numFmtId="178" fontId="5" fillId="0" borderId="6" xfId="0" applyNumberFormat="1" applyFont="1" applyBorder="1">
      <alignment vertical="center"/>
    </xf>
    <xf numFmtId="180" fontId="4" fillId="0" borderId="21" xfId="0" applyNumberFormat="1" applyFont="1" applyBorder="1">
      <alignment vertical="center"/>
    </xf>
    <xf numFmtId="38" fontId="12" fillId="8" borderId="16" xfId="0" applyNumberFormat="1" applyFont="1" applyFill="1" applyBorder="1">
      <alignment vertical="center"/>
    </xf>
    <xf numFmtId="178" fontId="14" fillId="0" borderId="6" xfId="0" applyNumberFormat="1" applyFont="1" applyBorder="1">
      <alignment vertical="center"/>
    </xf>
    <xf numFmtId="178" fontId="13" fillId="0" borderId="6" xfId="0" applyNumberFormat="1" applyFont="1" applyBorder="1">
      <alignment vertical="center"/>
    </xf>
    <xf numFmtId="38" fontId="7" fillId="8" borderId="16" xfId="0" applyNumberFormat="1" applyFont="1" applyFill="1" applyBorder="1">
      <alignment vertical="center"/>
    </xf>
    <xf numFmtId="38" fontId="7" fillId="0" borderId="26" xfId="0" applyNumberFormat="1" applyFont="1" applyBorder="1" applyAlignment="1">
      <alignment horizontal="center"/>
    </xf>
    <xf numFmtId="0" fontId="7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0" borderId="27" xfId="0" applyFont="1" applyBorder="1" applyAlignment="1">
      <alignment shrinkToFit="1"/>
    </xf>
    <xf numFmtId="38" fontId="7" fillId="9" borderId="0" xfId="0" applyNumberFormat="1" applyFont="1" applyFill="1" applyAlignment="1">
      <alignment horizontal="right"/>
    </xf>
    <xf numFmtId="38" fontId="7" fillId="9" borderId="0" xfId="0" applyNumberFormat="1" applyFont="1" applyFill="1" applyAlignment="1"/>
    <xf numFmtId="0" fontId="19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/>
    </xf>
    <xf numFmtId="178" fontId="23" fillId="0" borderId="6" xfId="0" applyNumberFormat="1" applyFont="1" applyBorder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38" fontId="13" fillId="0" borderId="6" xfId="0" applyNumberFormat="1" applyFont="1" applyBorder="1" applyAlignment="1">
      <alignment vertical="center" shrinkToFit="1"/>
    </xf>
    <xf numFmtId="38" fontId="7" fillId="0" borderId="30" xfId="0" applyNumberFormat="1" applyFont="1" applyBorder="1" applyAlignment="1"/>
    <xf numFmtId="38" fontId="7" fillId="0" borderId="4" xfId="0" applyNumberFormat="1" applyFont="1" applyBorder="1" applyAlignment="1"/>
    <xf numFmtId="38" fontId="7" fillId="0" borderId="31" xfId="0" applyNumberFormat="1" applyFont="1" applyBorder="1" applyAlignment="1"/>
    <xf numFmtId="38" fontId="5" fillId="0" borderId="6" xfId="0" applyNumberFormat="1" applyFont="1" applyBorder="1" applyAlignment="1">
      <alignment vertical="center" shrinkToFit="1"/>
    </xf>
    <xf numFmtId="38" fontId="6" fillId="0" borderId="0" xfId="0" applyNumberFormat="1" applyFont="1">
      <alignment vertical="center"/>
    </xf>
    <xf numFmtId="190" fontId="7" fillId="5" borderId="0" xfId="0" applyNumberFormat="1" applyFont="1" applyFill="1" applyAlignment="1"/>
    <xf numFmtId="190" fontId="7" fillId="10" borderId="0" xfId="0" applyNumberFormat="1" applyFont="1" applyFill="1" applyAlignment="1"/>
    <xf numFmtId="38" fontId="7" fillId="11" borderId="15" xfId="0" applyNumberFormat="1" applyFont="1" applyFill="1" applyBorder="1">
      <alignment vertical="center"/>
    </xf>
    <xf numFmtId="38" fontId="5" fillId="12" borderId="6" xfId="0" applyNumberFormat="1" applyFont="1" applyFill="1" applyBorder="1" applyAlignment="1">
      <alignment vertical="center" shrinkToFit="1"/>
    </xf>
    <xf numFmtId="178" fontId="23" fillId="11" borderId="6" xfId="0" applyNumberFormat="1" applyFont="1" applyFill="1" applyBorder="1">
      <alignment vertical="center"/>
    </xf>
    <xf numFmtId="180" fontId="4" fillId="13" borderId="17" xfId="0" applyNumberFormat="1" applyFont="1" applyFill="1" applyBorder="1">
      <alignment vertical="center"/>
    </xf>
    <xf numFmtId="178" fontId="14" fillId="11" borderId="6" xfId="0" applyNumberFormat="1" applyFont="1" applyFill="1" applyBorder="1">
      <alignment vertical="center"/>
    </xf>
    <xf numFmtId="178" fontId="13" fillId="11" borderId="6" xfId="0" applyNumberFormat="1" applyFont="1" applyFill="1" applyBorder="1">
      <alignment vertical="center"/>
    </xf>
    <xf numFmtId="178" fontId="5" fillId="11" borderId="6" xfId="0" applyNumberFormat="1" applyFont="1" applyFill="1" applyBorder="1">
      <alignment vertical="center"/>
    </xf>
    <xf numFmtId="0" fontId="13" fillId="0" borderId="0" xfId="0" applyFont="1" applyAlignment="1"/>
    <xf numFmtId="38" fontId="4" fillId="0" borderId="19" xfId="0" applyNumberFormat="1" applyFont="1" applyBorder="1" applyAlignment="1">
      <alignment horizontal="center" vertical="center"/>
    </xf>
    <xf numFmtId="179" fontId="4" fillId="0" borderId="18" xfId="0" applyNumberFormat="1" applyFont="1" applyBorder="1">
      <alignment vertical="center"/>
    </xf>
    <xf numFmtId="38" fontId="4" fillId="6" borderId="18" xfId="0" applyNumberFormat="1" applyFont="1" applyFill="1" applyBorder="1">
      <alignment vertical="center"/>
    </xf>
    <xf numFmtId="38" fontId="7" fillId="0" borderId="19" xfId="0" applyNumberFormat="1" applyFont="1" applyBorder="1">
      <alignment vertical="center"/>
    </xf>
    <xf numFmtId="181" fontId="4" fillId="0" borderId="18" xfId="0" applyNumberFormat="1" applyFont="1" applyBorder="1">
      <alignment vertical="center"/>
    </xf>
    <xf numFmtId="38" fontId="4" fillId="0" borderId="18" xfId="0" applyNumberFormat="1" applyFont="1" applyBorder="1">
      <alignment vertical="center"/>
    </xf>
    <xf numFmtId="178" fontId="14" fillId="0" borderId="16" xfId="0" applyNumberFormat="1" applyFont="1" applyBorder="1">
      <alignment vertical="center"/>
    </xf>
    <xf numFmtId="38" fontId="4" fillId="0" borderId="0" xfId="1" applyFont="1" applyAlignment="1">
      <alignment horizontal="right" vertical="center"/>
    </xf>
    <xf numFmtId="38" fontId="4" fillId="0" borderId="0" xfId="1" applyFont="1" applyAlignment="1">
      <alignment horizontal="center" vertical="center"/>
    </xf>
    <xf numFmtId="178" fontId="26" fillId="0" borderId="6" xfId="0" applyNumberFormat="1" applyFont="1" applyBorder="1">
      <alignment vertical="center"/>
    </xf>
    <xf numFmtId="178" fontId="26" fillId="11" borderId="6" xfId="0" applyNumberFormat="1" applyFont="1" applyFill="1" applyBorder="1">
      <alignment vertical="center"/>
    </xf>
    <xf numFmtId="0" fontId="27" fillId="0" borderId="0" xfId="0" applyFont="1" applyAlignment="1"/>
    <xf numFmtId="1" fontId="4" fillId="0" borderId="0" xfId="0" applyNumberFormat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121324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493376</xdr:colOff>
      <xdr:row>45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X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7" customWidth="1"/>
    <col min="4" max="4" width="4.7109375" style="168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839420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10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61</v>
      </c>
      <c r="AI3" s="170"/>
      <c r="AJ3" s="170"/>
      <c r="AK3" s="170"/>
      <c r="AL3" s="170"/>
      <c r="AM3" s="171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64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19"/>
      <c r="B5" s="131">
        <f>DATE($A$2,$B$2,1)</f>
        <v>45931</v>
      </c>
      <c r="C5" s="176" t="s">
        <v>65</v>
      </c>
      <c r="D5" s="132">
        <v>92</v>
      </c>
      <c r="E5" s="133"/>
      <c r="F5" s="134"/>
      <c r="G5" s="135"/>
      <c r="H5" s="136" t="e">
        <f t="shared" ref="H5:H34" si="0">ROUNDDOWN(G5/1.1,0)/F5</f>
        <v>#DIV/0!</v>
      </c>
      <c r="I5" s="135"/>
      <c r="J5" s="137" t="e">
        <f t="shared" ref="J5:J29" si="1">ROUNDDOWN(I5/1.1,0)/F5</f>
        <v>#DIV/0!</v>
      </c>
      <c r="K5" s="138">
        <f>G5+I5</f>
        <v>0</v>
      </c>
      <c r="L5" s="139" t="str">
        <f t="shared" ref="L5:L34" si="2">IF(F5="","",K5/F5)</f>
        <v/>
      </c>
      <c r="M5" s="140"/>
      <c r="N5" s="141">
        <f>AN5-F5</f>
        <v>36</v>
      </c>
      <c r="O5" s="142">
        <f>AO5-G5</f>
        <v>356290</v>
      </c>
      <c r="P5" s="136">
        <f t="shared" ref="P5:P31" si="3">ROUNDDOWN(O5/1.1,0)/N5</f>
        <v>8997.2222222222226</v>
      </c>
      <c r="Q5" s="142">
        <f>AP5-I5</f>
        <v>53000</v>
      </c>
      <c r="R5" s="137">
        <f t="shared" ref="R5:R31" si="4">ROUNDDOWN(Q5/1.1,0)/N5</f>
        <v>1338.3611111111111</v>
      </c>
      <c r="S5" s="143">
        <f>O5+Q5</f>
        <v>409290</v>
      </c>
      <c r="T5" s="139">
        <f t="shared" ref="T5:T31" si="5">IF(N5="","",S5/N5)</f>
        <v>11369.166666666666</v>
      </c>
      <c r="U5" s="144">
        <f t="shared" ref="U5:V20" si="6">F5+N5</f>
        <v>36</v>
      </c>
      <c r="V5" s="142">
        <f t="shared" si="6"/>
        <v>356290</v>
      </c>
      <c r="W5" s="142">
        <f t="shared" ref="W5:W31" si="7">I5+Q5</f>
        <v>53000</v>
      </c>
      <c r="X5" s="145">
        <f>K5+S5</f>
        <v>409290</v>
      </c>
      <c r="Y5" s="142">
        <f t="shared" ref="Y5:Y31" si="8">IF(U5="","",X5/U5)</f>
        <v>11369.166666666666</v>
      </c>
      <c r="Z5" s="146"/>
      <c r="AA5" s="147">
        <v>32</v>
      </c>
      <c r="AB5" s="135">
        <v>13750</v>
      </c>
      <c r="AC5" s="136">
        <f t="shared" ref="AC5:AC31" si="9">AB5/AA5</f>
        <v>429.6875</v>
      </c>
      <c r="AD5" s="135">
        <v>8320</v>
      </c>
      <c r="AE5" s="137">
        <f t="shared" ref="AE5:AE31" si="10">AD5/AA5</f>
        <v>260</v>
      </c>
      <c r="AF5" s="148">
        <f>AB5+AD5</f>
        <v>22070</v>
      </c>
      <c r="AG5" s="139">
        <f t="shared" ref="AG5:AG31" si="11">IF(AA5="","",AF5/AA5)</f>
        <v>689.6875</v>
      </c>
      <c r="AH5" s="144">
        <f t="shared" ref="AH5:AH31" si="12">SUM(F5,N5)</f>
        <v>36</v>
      </c>
      <c r="AI5" s="142">
        <f t="shared" ref="AI5:AI31" si="13">V5+AB5</f>
        <v>370040</v>
      </c>
      <c r="AJ5" s="142">
        <f>W5+AD5</f>
        <v>61320</v>
      </c>
      <c r="AK5" s="149">
        <f>X5+AF5</f>
        <v>431360</v>
      </c>
      <c r="AL5" s="142">
        <f t="shared" ref="AL5:AL31" si="14">AQ5+AR5+AS5</f>
        <v>42260</v>
      </c>
      <c r="AM5" s="142"/>
      <c r="AN5" s="150">
        <v>36</v>
      </c>
      <c r="AO5" s="150">
        <v>356290</v>
      </c>
      <c r="AP5" s="150">
        <v>53000</v>
      </c>
      <c r="AQ5" s="151">
        <v>40700</v>
      </c>
      <c r="AR5" s="151">
        <v>1560</v>
      </c>
      <c r="AS5" s="151"/>
      <c r="AT5" s="151"/>
      <c r="AU5" s="152">
        <f>SUM(AO5:AS5)</f>
        <v>451550</v>
      </c>
      <c r="AV5" s="119">
        <v>1</v>
      </c>
      <c r="AW5" s="120">
        <f>AT5+AU5</f>
        <v>451550</v>
      </c>
      <c r="AX5" s="177">
        <f t="shared" ref="AX5:AX35" si="15">AU5+AF5+AM5+AT5</f>
        <v>473620</v>
      </c>
    </row>
    <row r="6" spans="1:50" ht="13.5" customHeight="1">
      <c r="A6" s="119"/>
      <c r="B6" s="153">
        <f t="shared" ref="B6:B33" si="16">B5+1</f>
        <v>45932</v>
      </c>
      <c r="C6" s="176" t="s">
        <v>56</v>
      </c>
      <c r="D6" s="132">
        <v>93</v>
      </c>
      <c r="E6" s="133"/>
      <c r="F6" s="134"/>
      <c r="G6" s="135"/>
      <c r="H6" s="136" t="e">
        <f t="shared" si="0"/>
        <v>#DIV/0!</v>
      </c>
      <c r="I6" s="135"/>
      <c r="J6" s="137" t="e">
        <f t="shared" si="1"/>
        <v>#DIV/0!</v>
      </c>
      <c r="K6" s="138">
        <f>G6+I6</f>
        <v>0</v>
      </c>
      <c r="L6" s="139" t="str">
        <f t="shared" si="2"/>
        <v/>
      </c>
      <c r="M6" s="140"/>
      <c r="N6" s="141">
        <f t="shared" ref="N6:O21" si="17">AN6-F6</f>
        <v>29</v>
      </c>
      <c r="O6" s="142">
        <f t="shared" si="17"/>
        <v>287320</v>
      </c>
      <c r="P6" s="136">
        <f t="shared" si="3"/>
        <v>9006.8965517241377</v>
      </c>
      <c r="Q6" s="142">
        <f t="shared" ref="Q6:Q31" si="18">AP6-I6</f>
        <v>37270</v>
      </c>
      <c r="R6" s="137">
        <f t="shared" si="4"/>
        <v>1168.3103448275863</v>
      </c>
      <c r="S6" s="143">
        <f t="shared" ref="S6:S31" si="19">O6+Q6</f>
        <v>324590</v>
      </c>
      <c r="T6" s="139">
        <f t="shared" si="5"/>
        <v>11192.758620689656</v>
      </c>
      <c r="U6" s="144">
        <f t="shared" si="6"/>
        <v>29</v>
      </c>
      <c r="V6" s="142">
        <f t="shared" si="6"/>
        <v>287320</v>
      </c>
      <c r="W6" s="142">
        <f t="shared" si="7"/>
        <v>37270</v>
      </c>
      <c r="X6" s="145">
        <f t="shared" ref="X6:X31" si="20">K6+S6</f>
        <v>324590</v>
      </c>
      <c r="Y6" s="142">
        <f t="shared" si="8"/>
        <v>11192.758620689656</v>
      </c>
      <c r="Z6" s="146"/>
      <c r="AA6" s="147">
        <v>71</v>
      </c>
      <c r="AB6" s="135">
        <v>47250</v>
      </c>
      <c r="AC6" s="136">
        <f t="shared" si="9"/>
        <v>665.49295774647885</v>
      </c>
      <c r="AD6" s="135">
        <v>16340</v>
      </c>
      <c r="AE6" s="137">
        <f t="shared" si="10"/>
        <v>230.14084507042253</v>
      </c>
      <c r="AF6" s="148">
        <f t="shared" ref="AF6:AF31" si="21">AB6+AD6</f>
        <v>63590</v>
      </c>
      <c r="AG6" s="139">
        <f t="shared" si="11"/>
        <v>895.63380281690138</v>
      </c>
      <c r="AH6" s="144">
        <f t="shared" si="12"/>
        <v>29</v>
      </c>
      <c r="AI6" s="142">
        <f t="shared" si="13"/>
        <v>334570</v>
      </c>
      <c r="AJ6" s="142">
        <f t="shared" ref="AJ6:AJ31" si="22">W6+AD6</f>
        <v>53610</v>
      </c>
      <c r="AK6" s="149">
        <f t="shared" ref="AK6:AK31" si="23">X6+AF6</f>
        <v>388180</v>
      </c>
      <c r="AL6" s="142">
        <f t="shared" si="14"/>
        <v>41800</v>
      </c>
      <c r="AM6" s="142"/>
      <c r="AN6" s="150">
        <v>29</v>
      </c>
      <c r="AO6" s="150">
        <v>287320</v>
      </c>
      <c r="AP6" s="150">
        <v>37270</v>
      </c>
      <c r="AQ6" s="180">
        <v>41800</v>
      </c>
      <c r="AR6" s="151"/>
      <c r="AS6" s="151"/>
      <c r="AT6" s="151"/>
      <c r="AU6" s="152">
        <f t="shared" ref="AU6:AU31" si="24">SUM(AO6:AS6)</f>
        <v>366390</v>
      </c>
      <c r="AV6" s="119">
        <v>2</v>
      </c>
      <c r="AW6" s="120">
        <f t="shared" ref="AW6:AW31" si="25">AT6+AU6</f>
        <v>366390</v>
      </c>
      <c r="AX6" s="177">
        <f t="shared" si="15"/>
        <v>429980</v>
      </c>
    </row>
    <row r="7" spans="1:50" ht="13.5" customHeight="1">
      <c r="A7" s="119"/>
      <c r="B7" s="153">
        <f t="shared" si="16"/>
        <v>45933</v>
      </c>
      <c r="C7" s="176" t="s">
        <v>56</v>
      </c>
      <c r="D7" s="132">
        <v>88</v>
      </c>
      <c r="E7" s="133"/>
      <c r="F7" s="134"/>
      <c r="G7" s="135"/>
      <c r="H7" s="136" t="e">
        <f t="shared" si="0"/>
        <v>#DIV/0!</v>
      </c>
      <c r="I7" s="135"/>
      <c r="J7" s="137" t="e">
        <f t="shared" si="1"/>
        <v>#DIV/0!</v>
      </c>
      <c r="K7" s="138">
        <f>G7+I7</f>
        <v>0</v>
      </c>
      <c r="L7" s="139" t="str">
        <f t="shared" si="2"/>
        <v/>
      </c>
      <c r="M7" s="140"/>
      <c r="N7" s="141">
        <f t="shared" si="17"/>
        <v>40</v>
      </c>
      <c r="O7" s="142">
        <f t="shared" si="17"/>
        <v>415360</v>
      </c>
      <c r="P7" s="136">
        <f t="shared" si="3"/>
        <v>9440</v>
      </c>
      <c r="Q7" s="142">
        <f t="shared" si="18"/>
        <v>50770</v>
      </c>
      <c r="R7" s="137">
        <f t="shared" si="4"/>
        <v>1153.8499999999999</v>
      </c>
      <c r="S7" s="143">
        <f t="shared" si="19"/>
        <v>466130</v>
      </c>
      <c r="T7" s="139">
        <f t="shared" si="5"/>
        <v>11653.25</v>
      </c>
      <c r="U7" s="144">
        <f t="shared" si="6"/>
        <v>40</v>
      </c>
      <c r="V7" s="142">
        <f t="shared" si="6"/>
        <v>415360</v>
      </c>
      <c r="W7" s="142">
        <f t="shared" si="7"/>
        <v>50770</v>
      </c>
      <c r="X7" s="145">
        <f t="shared" si="20"/>
        <v>466130</v>
      </c>
      <c r="Y7" s="142">
        <f t="shared" si="8"/>
        <v>11653.25</v>
      </c>
      <c r="Z7" s="146"/>
      <c r="AA7" s="147">
        <v>96</v>
      </c>
      <c r="AB7" s="135">
        <v>61150</v>
      </c>
      <c r="AC7" s="136">
        <f t="shared" si="9"/>
        <v>636.97916666666663</v>
      </c>
      <c r="AD7" s="135">
        <v>16480</v>
      </c>
      <c r="AE7" s="137">
        <f t="shared" si="10"/>
        <v>171.66666666666666</v>
      </c>
      <c r="AF7" s="148">
        <f t="shared" si="21"/>
        <v>77630</v>
      </c>
      <c r="AG7" s="139">
        <f t="shared" si="11"/>
        <v>808.64583333333337</v>
      </c>
      <c r="AH7" s="144">
        <f t="shared" si="12"/>
        <v>40</v>
      </c>
      <c r="AI7" s="142">
        <f t="shared" si="13"/>
        <v>476510</v>
      </c>
      <c r="AJ7" s="142">
        <f t="shared" si="22"/>
        <v>67250</v>
      </c>
      <c r="AK7" s="149">
        <f t="shared" si="23"/>
        <v>543760</v>
      </c>
      <c r="AL7" s="142">
        <f t="shared" si="14"/>
        <v>50600</v>
      </c>
      <c r="AM7" s="142"/>
      <c r="AN7" s="150">
        <v>40</v>
      </c>
      <c r="AO7" s="150">
        <v>415360</v>
      </c>
      <c r="AP7" s="150">
        <v>50770</v>
      </c>
      <c r="AQ7" s="180">
        <v>50600</v>
      </c>
      <c r="AR7" s="151"/>
      <c r="AS7" s="151"/>
      <c r="AT7" s="151"/>
      <c r="AU7" s="152">
        <f t="shared" si="24"/>
        <v>516730</v>
      </c>
      <c r="AV7" s="119">
        <v>3</v>
      </c>
      <c r="AW7" s="120">
        <f t="shared" si="25"/>
        <v>516730</v>
      </c>
      <c r="AX7" s="177">
        <f t="shared" si="15"/>
        <v>594360</v>
      </c>
    </row>
    <row r="8" spans="1:50" ht="13.5" customHeight="1">
      <c r="A8" s="119"/>
      <c r="B8" s="156">
        <f t="shared" si="16"/>
        <v>45934</v>
      </c>
      <c r="C8" s="176"/>
      <c r="D8" s="132">
        <v>94</v>
      </c>
      <c r="E8" s="133"/>
      <c r="F8" s="134">
        <v>33</v>
      </c>
      <c r="G8" s="135">
        <v>123090</v>
      </c>
      <c r="H8" s="136">
        <f t="shared" si="0"/>
        <v>3390.909090909091</v>
      </c>
      <c r="I8" s="135">
        <v>21070</v>
      </c>
      <c r="J8" s="137">
        <f t="shared" si="1"/>
        <v>580.42424242424238</v>
      </c>
      <c r="K8" s="138">
        <f>G8+I8</f>
        <v>144160</v>
      </c>
      <c r="L8" s="139">
        <f t="shared" si="2"/>
        <v>4368.484848484848</v>
      </c>
      <c r="M8" s="140"/>
      <c r="N8" s="141">
        <f t="shared" si="17"/>
        <v>41</v>
      </c>
      <c r="O8" s="142">
        <f t="shared" si="17"/>
        <v>370700</v>
      </c>
      <c r="P8" s="136">
        <f t="shared" si="3"/>
        <v>8219.5121951219517</v>
      </c>
      <c r="Q8" s="142">
        <f t="shared" si="18"/>
        <v>97130</v>
      </c>
      <c r="R8" s="137">
        <f t="shared" si="4"/>
        <v>2153.6585365853657</v>
      </c>
      <c r="S8" s="143">
        <f t="shared" si="19"/>
        <v>467830</v>
      </c>
      <c r="T8" s="139">
        <f t="shared" si="5"/>
        <v>11410.487804878048</v>
      </c>
      <c r="U8" s="144">
        <f t="shared" si="6"/>
        <v>74</v>
      </c>
      <c r="V8" s="142">
        <f t="shared" si="6"/>
        <v>493790</v>
      </c>
      <c r="W8" s="142">
        <f t="shared" si="7"/>
        <v>118200</v>
      </c>
      <c r="X8" s="145">
        <f t="shared" si="20"/>
        <v>611990</v>
      </c>
      <c r="Y8" s="142">
        <f t="shared" si="8"/>
        <v>8270.135135135135</v>
      </c>
      <c r="Z8" s="146"/>
      <c r="AA8" s="147">
        <v>130</v>
      </c>
      <c r="AB8" s="135">
        <v>81400</v>
      </c>
      <c r="AC8" s="136">
        <f t="shared" si="9"/>
        <v>626.15384615384619</v>
      </c>
      <c r="AD8" s="135">
        <v>30530</v>
      </c>
      <c r="AE8" s="137">
        <f t="shared" si="10"/>
        <v>234.84615384615384</v>
      </c>
      <c r="AF8" s="148">
        <f t="shared" si="21"/>
        <v>111930</v>
      </c>
      <c r="AG8" s="139">
        <f t="shared" si="11"/>
        <v>861</v>
      </c>
      <c r="AH8" s="144">
        <f t="shared" si="12"/>
        <v>74</v>
      </c>
      <c r="AI8" s="142">
        <f t="shared" si="13"/>
        <v>575190</v>
      </c>
      <c r="AJ8" s="142">
        <f t="shared" si="22"/>
        <v>148730</v>
      </c>
      <c r="AK8" s="155">
        <f t="shared" si="23"/>
        <v>723920</v>
      </c>
      <c r="AL8" s="142">
        <f t="shared" si="14"/>
        <v>57350</v>
      </c>
      <c r="AM8" s="142"/>
      <c r="AN8" s="150">
        <v>74</v>
      </c>
      <c r="AO8" s="150">
        <v>493790</v>
      </c>
      <c r="AP8" s="150">
        <v>118200</v>
      </c>
      <c r="AQ8" s="151">
        <v>54050</v>
      </c>
      <c r="AR8" s="151">
        <v>3300</v>
      </c>
      <c r="AS8" s="151"/>
      <c r="AT8" s="151">
        <v>89800</v>
      </c>
      <c r="AU8" s="152">
        <f t="shared" si="24"/>
        <v>669340</v>
      </c>
      <c r="AV8" s="119">
        <v>4</v>
      </c>
      <c r="AW8" s="120">
        <f t="shared" si="25"/>
        <v>759140</v>
      </c>
      <c r="AX8" s="177">
        <f t="shared" si="15"/>
        <v>871070</v>
      </c>
    </row>
    <row r="9" spans="1:50" ht="13.5" customHeight="1">
      <c r="A9" s="119"/>
      <c r="B9" s="157">
        <f t="shared" si="16"/>
        <v>45935</v>
      </c>
      <c r="C9" s="176"/>
      <c r="D9" s="132">
        <v>80</v>
      </c>
      <c r="E9" s="133"/>
      <c r="F9" s="134">
        <v>33</v>
      </c>
      <c r="G9" s="135">
        <v>135520</v>
      </c>
      <c r="H9" s="136">
        <f t="shared" si="0"/>
        <v>3733.3333333333335</v>
      </c>
      <c r="I9" s="135">
        <v>29500</v>
      </c>
      <c r="J9" s="137">
        <f t="shared" si="1"/>
        <v>812.66666666666663</v>
      </c>
      <c r="K9" s="138">
        <f>G9+I9</f>
        <v>165020</v>
      </c>
      <c r="L9" s="139">
        <f t="shared" si="2"/>
        <v>5000.606060606061</v>
      </c>
      <c r="M9" s="140"/>
      <c r="N9" s="141">
        <f t="shared" si="17"/>
        <v>35</v>
      </c>
      <c r="O9" s="142">
        <f t="shared" si="17"/>
        <v>308000</v>
      </c>
      <c r="P9" s="136">
        <f t="shared" si="3"/>
        <v>8000</v>
      </c>
      <c r="Q9" s="142">
        <f t="shared" si="18"/>
        <v>61820</v>
      </c>
      <c r="R9" s="137">
        <f t="shared" si="4"/>
        <v>1605.7142857142858</v>
      </c>
      <c r="S9" s="143">
        <f t="shared" si="19"/>
        <v>369820</v>
      </c>
      <c r="T9" s="139">
        <f t="shared" si="5"/>
        <v>10566.285714285714</v>
      </c>
      <c r="U9" s="144">
        <f t="shared" si="6"/>
        <v>68</v>
      </c>
      <c r="V9" s="142">
        <f t="shared" si="6"/>
        <v>443520</v>
      </c>
      <c r="W9" s="142">
        <f t="shared" si="7"/>
        <v>91320</v>
      </c>
      <c r="X9" s="145">
        <f t="shared" si="20"/>
        <v>534840</v>
      </c>
      <c r="Y9" s="142">
        <f t="shared" si="8"/>
        <v>7865.2941176470586</v>
      </c>
      <c r="Z9" s="146"/>
      <c r="AA9" s="147">
        <v>137</v>
      </c>
      <c r="AB9" s="135">
        <v>90000</v>
      </c>
      <c r="AC9" s="136">
        <f t="shared" si="9"/>
        <v>656.93430656934311</v>
      </c>
      <c r="AD9" s="135">
        <v>28610</v>
      </c>
      <c r="AE9" s="137">
        <f t="shared" si="10"/>
        <v>208.83211678832117</v>
      </c>
      <c r="AF9" s="148">
        <f t="shared" si="21"/>
        <v>118610</v>
      </c>
      <c r="AG9" s="139">
        <f t="shared" si="11"/>
        <v>865.76642335766428</v>
      </c>
      <c r="AH9" s="144">
        <f t="shared" si="12"/>
        <v>68</v>
      </c>
      <c r="AI9" s="142">
        <f t="shared" si="13"/>
        <v>533520</v>
      </c>
      <c r="AJ9" s="142">
        <f t="shared" si="22"/>
        <v>119930</v>
      </c>
      <c r="AK9" s="149">
        <f t="shared" si="23"/>
        <v>653450</v>
      </c>
      <c r="AL9" s="142">
        <f t="shared" si="14"/>
        <v>48950</v>
      </c>
      <c r="AM9" s="142"/>
      <c r="AN9" s="150">
        <v>68</v>
      </c>
      <c r="AO9" s="150">
        <v>443520</v>
      </c>
      <c r="AP9" s="150">
        <v>91320</v>
      </c>
      <c r="AQ9" s="151">
        <v>48950</v>
      </c>
      <c r="AR9" s="151"/>
      <c r="AS9" s="151"/>
      <c r="AT9" s="151">
        <v>5500</v>
      </c>
      <c r="AU9" s="152">
        <f t="shared" si="24"/>
        <v>583790</v>
      </c>
      <c r="AV9" s="119">
        <v>5</v>
      </c>
      <c r="AW9" s="120">
        <f t="shared" si="25"/>
        <v>589290</v>
      </c>
      <c r="AX9" s="177">
        <f t="shared" si="15"/>
        <v>707900</v>
      </c>
    </row>
    <row r="10" spans="1:50" ht="13.5" customHeight="1">
      <c r="A10" s="119"/>
      <c r="B10" s="169">
        <f t="shared" si="16"/>
        <v>45936</v>
      </c>
      <c r="C10" s="176" t="s">
        <v>66</v>
      </c>
      <c r="D10" s="132">
        <v>96</v>
      </c>
      <c r="E10" s="133"/>
      <c r="F10" s="134"/>
      <c r="G10" s="135"/>
      <c r="H10" s="136" t="e">
        <f t="shared" si="0"/>
        <v>#DIV/0!</v>
      </c>
      <c r="I10" s="135"/>
      <c r="J10" s="137" t="e">
        <f t="shared" si="1"/>
        <v>#DIV/0!</v>
      </c>
      <c r="K10" s="138">
        <f t="shared" ref="K10:K34" si="26">G10+I10</f>
        <v>0</v>
      </c>
      <c r="L10" s="139" t="str">
        <f t="shared" si="2"/>
        <v/>
      </c>
      <c r="M10" s="140"/>
      <c r="N10" s="141">
        <f t="shared" si="17"/>
        <v>36</v>
      </c>
      <c r="O10" s="142">
        <f t="shared" si="17"/>
        <v>366850</v>
      </c>
      <c r="P10" s="136">
        <f t="shared" si="3"/>
        <v>9263.8888888888887</v>
      </c>
      <c r="Q10" s="142">
        <f t="shared" si="18"/>
        <v>81200</v>
      </c>
      <c r="R10" s="137">
        <f t="shared" si="4"/>
        <v>2050.5</v>
      </c>
      <c r="S10" s="143">
        <f t="shared" si="19"/>
        <v>448050</v>
      </c>
      <c r="T10" s="139">
        <f t="shared" si="5"/>
        <v>12445.833333333334</v>
      </c>
      <c r="U10" s="144">
        <f t="shared" si="6"/>
        <v>36</v>
      </c>
      <c r="V10" s="142">
        <f t="shared" si="6"/>
        <v>366850</v>
      </c>
      <c r="W10" s="142">
        <f t="shared" si="7"/>
        <v>81200</v>
      </c>
      <c r="X10" s="145">
        <f t="shared" si="20"/>
        <v>448050</v>
      </c>
      <c r="Y10" s="142">
        <f t="shared" si="8"/>
        <v>12445.833333333334</v>
      </c>
      <c r="Z10" s="146"/>
      <c r="AA10" s="147">
        <v>68</v>
      </c>
      <c r="AB10" s="135">
        <v>35950</v>
      </c>
      <c r="AC10" s="136">
        <f t="shared" si="9"/>
        <v>528.67647058823525</v>
      </c>
      <c r="AD10" s="135">
        <v>22460</v>
      </c>
      <c r="AE10" s="137">
        <f t="shared" si="10"/>
        <v>330.29411764705884</v>
      </c>
      <c r="AF10" s="148">
        <f t="shared" si="21"/>
        <v>58410</v>
      </c>
      <c r="AG10" s="139">
        <f t="shared" si="11"/>
        <v>858.97058823529414</v>
      </c>
      <c r="AH10" s="154">
        <f t="shared" si="12"/>
        <v>36</v>
      </c>
      <c r="AI10" s="142">
        <f t="shared" si="13"/>
        <v>402800</v>
      </c>
      <c r="AJ10" s="142">
        <f t="shared" si="22"/>
        <v>103660</v>
      </c>
      <c r="AK10" s="149">
        <f t="shared" si="23"/>
        <v>506460</v>
      </c>
      <c r="AL10" s="142">
        <f t="shared" si="14"/>
        <v>45100</v>
      </c>
      <c r="AM10" s="142"/>
      <c r="AN10" s="150">
        <v>36</v>
      </c>
      <c r="AO10" s="150">
        <v>366850</v>
      </c>
      <c r="AP10" s="150">
        <v>81200</v>
      </c>
      <c r="AQ10" s="151">
        <v>45100</v>
      </c>
      <c r="AR10" s="151"/>
      <c r="AS10" s="151"/>
      <c r="AT10" s="151"/>
      <c r="AU10" s="152">
        <f>SUM(AO10:AS10)</f>
        <v>493150</v>
      </c>
      <c r="AV10" s="119">
        <v>6</v>
      </c>
      <c r="AW10" s="120">
        <f>AT10+AU10</f>
        <v>493150</v>
      </c>
      <c r="AX10" s="177">
        <f t="shared" si="15"/>
        <v>551560</v>
      </c>
    </row>
    <row r="11" spans="1:50" ht="13.5" customHeight="1">
      <c r="A11" s="119"/>
      <c r="B11" s="169">
        <f t="shared" si="16"/>
        <v>45937</v>
      </c>
      <c r="C11" s="176" t="s">
        <v>56</v>
      </c>
      <c r="D11" s="132">
        <v>45</v>
      </c>
      <c r="E11" s="133"/>
      <c r="F11" s="134"/>
      <c r="G11" s="135"/>
      <c r="H11" s="136" t="e">
        <f t="shared" si="0"/>
        <v>#DIV/0!</v>
      </c>
      <c r="I11" s="135"/>
      <c r="J11" s="137" t="e">
        <f t="shared" si="1"/>
        <v>#DIV/0!</v>
      </c>
      <c r="K11" s="138">
        <f t="shared" si="26"/>
        <v>0</v>
      </c>
      <c r="L11" s="139" t="str">
        <f t="shared" si="2"/>
        <v/>
      </c>
      <c r="M11" s="140"/>
      <c r="N11" s="141">
        <f t="shared" si="17"/>
        <v>38</v>
      </c>
      <c r="O11" s="142">
        <f t="shared" si="17"/>
        <v>354090</v>
      </c>
      <c r="P11" s="136">
        <f t="shared" si="3"/>
        <v>8471.0526315789466</v>
      </c>
      <c r="Q11" s="142">
        <f t="shared" si="18"/>
        <v>44710</v>
      </c>
      <c r="R11" s="137">
        <f t="shared" si="4"/>
        <v>1069.6052631578948</v>
      </c>
      <c r="S11" s="143">
        <f t="shared" si="19"/>
        <v>398800</v>
      </c>
      <c r="T11" s="139">
        <f t="shared" si="5"/>
        <v>10494.736842105263</v>
      </c>
      <c r="U11" s="144">
        <f t="shared" si="6"/>
        <v>38</v>
      </c>
      <c r="V11" s="142">
        <f t="shared" si="6"/>
        <v>354090</v>
      </c>
      <c r="W11" s="142">
        <f t="shared" si="7"/>
        <v>44710</v>
      </c>
      <c r="X11" s="145">
        <f t="shared" si="20"/>
        <v>398800</v>
      </c>
      <c r="Y11" s="142">
        <f t="shared" si="8"/>
        <v>10494.736842105263</v>
      </c>
      <c r="Z11" s="146"/>
      <c r="AA11" s="147">
        <v>77</v>
      </c>
      <c r="AB11" s="135">
        <v>46600</v>
      </c>
      <c r="AC11" s="136">
        <f t="shared" si="9"/>
        <v>605.19480519480521</v>
      </c>
      <c r="AD11" s="135">
        <v>27390</v>
      </c>
      <c r="AE11" s="137">
        <f t="shared" si="10"/>
        <v>355.71428571428572</v>
      </c>
      <c r="AF11" s="148">
        <f t="shared" si="21"/>
        <v>73990</v>
      </c>
      <c r="AG11" s="139">
        <f t="shared" si="11"/>
        <v>960.90909090909088</v>
      </c>
      <c r="AH11" s="154">
        <f t="shared" si="12"/>
        <v>38</v>
      </c>
      <c r="AI11" s="142">
        <f t="shared" si="13"/>
        <v>400690</v>
      </c>
      <c r="AJ11" s="142">
        <f t="shared" si="22"/>
        <v>72100</v>
      </c>
      <c r="AK11" s="149">
        <f t="shared" si="23"/>
        <v>472790</v>
      </c>
      <c r="AL11" s="142">
        <f t="shared" si="14"/>
        <v>147800</v>
      </c>
      <c r="AM11" s="142"/>
      <c r="AN11" s="150">
        <v>38</v>
      </c>
      <c r="AO11" s="150">
        <v>354090</v>
      </c>
      <c r="AP11" s="150">
        <v>44710</v>
      </c>
      <c r="AQ11" s="151">
        <v>41800</v>
      </c>
      <c r="AR11" s="151">
        <v>106000</v>
      </c>
      <c r="AS11" s="151"/>
      <c r="AT11" s="151">
        <v>3300</v>
      </c>
      <c r="AU11" s="152">
        <f t="shared" si="24"/>
        <v>546600</v>
      </c>
      <c r="AV11" s="119">
        <v>7</v>
      </c>
      <c r="AW11" s="120">
        <f t="shared" si="25"/>
        <v>549900</v>
      </c>
      <c r="AX11" s="177">
        <f t="shared" si="15"/>
        <v>623890</v>
      </c>
    </row>
    <row r="12" spans="1:50" ht="13.5" customHeight="1">
      <c r="A12" s="119"/>
      <c r="B12" s="169">
        <f t="shared" si="16"/>
        <v>45938</v>
      </c>
      <c r="C12" s="176" t="s">
        <v>57</v>
      </c>
      <c r="D12" s="132">
        <v>80</v>
      </c>
      <c r="E12" s="133"/>
      <c r="F12" s="134"/>
      <c r="G12" s="135"/>
      <c r="H12" s="136" t="e">
        <f t="shared" si="0"/>
        <v>#DIV/0!</v>
      </c>
      <c r="I12" s="135"/>
      <c r="J12" s="137" t="e">
        <f t="shared" si="1"/>
        <v>#DIV/0!</v>
      </c>
      <c r="K12" s="138">
        <f t="shared" si="26"/>
        <v>0</v>
      </c>
      <c r="L12" s="139" t="str">
        <f t="shared" si="2"/>
        <v/>
      </c>
      <c r="M12" s="140"/>
      <c r="N12" s="141">
        <f t="shared" si="17"/>
        <v>38</v>
      </c>
      <c r="O12" s="142">
        <f t="shared" si="17"/>
        <v>396770</v>
      </c>
      <c r="P12" s="136">
        <f t="shared" si="3"/>
        <v>9492.105263157895</v>
      </c>
      <c r="Q12" s="142">
        <f t="shared" si="18"/>
        <v>82070</v>
      </c>
      <c r="R12" s="158">
        <f t="shared" si="4"/>
        <v>1963.3947368421052</v>
      </c>
      <c r="S12" s="143">
        <f t="shared" si="19"/>
        <v>478840</v>
      </c>
      <c r="T12" s="139">
        <f t="shared" si="5"/>
        <v>12601.052631578947</v>
      </c>
      <c r="U12" s="144">
        <f t="shared" si="6"/>
        <v>38</v>
      </c>
      <c r="V12" s="142">
        <f t="shared" si="6"/>
        <v>396770</v>
      </c>
      <c r="W12" s="142">
        <f t="shared" si="7"/>
        <v>82070</v>
      </c>
      <c r="X12" s="145">
        <f t="shared" si="20"/>
        <v>478840</v>
      </c>
      <c r="Y12" s="142">
        <f t="shared" si="8"/>
        <v>12601.052631578947</v>
      </c>
      <c r="Z12" s="146"/>
      <c r="AA12" s="147">
        <v>56</v>
      </c>
      <c r="AB12" s="135">
        <v>42550</v>
      </c>
      <c r="AC12" s="136">
        <f t="shared" si="9"/>
        <v>759.82142857142856</v>
      </c>
      <c r="AD12" s="135">
        <v>15610</v>
      </c>
      <c r="AE12" s="137">
        <f t="shared" si="10"/>
        <v>278.75</v>
      </c>
      <c r="AF12" s="148">
        <f t="shared" si="21"/>
        <v>58160</v>
      </c>
      <c r="AG12" s="139">
        <f t="shared" si="11"/>
        <v>1038.5714285714287</v>
      </c>
      <c r="AH12" s="154">
        <f t="shared" si="12"/>
        <v>38</v>
      </c>
      <c r="AI12" s="142">
        <f t="shared" si="13"/>
        <v>439320</v>
      </c>
      <c r="AJ12" s="142">
        <f t="shared" si="22"/>
        <v>97680</v>
      </c>
      <c r="AK12" s="149">
        <f t="shared" si="23"/>
        <v>537000</v>
      </c>
      <c r="AL12" s="142">
        <f t="shared" si="14"/>
        <v>39050</v>
      </c>
      <c r="AM12" s="142"/>
      <c r="AN12" s="150">
        <v>38</v>
      </c>
      <c r="AO12" s="150">
        <v>396770</v>
      </c>
      <c r="AP12" s="150">
        <v>82070</v>
      </c>
      <c r="AQ12" s="151">
        <v>37400</v>
      </c>
      <c r="AR12" s="151">
        <v>1650</v>
      </c>
      <c r="AS12" s="151"/>
      <c r="AT12" s="151">
        <v>73300</v>
      </c>
      <c r="AU12" s="152">
        <f t="shared" si="24"/>
        <v>517890</v>
      </c>
      <c r="AV12" s="119">
        <v>8</v>
      </c>
      <c r="AW12" s="120">
        <f t="shared" si="25"/>
        <v>591190</v>
      </c>
      <c r="AX12" s="177">
        <f t="shared" si="15"/>
        <v>649350</v>
      </c>
    </row>
    <row r="13" spans="1:50" ht="13.5" customHeight="1">
      <c r="A13" s="119"/>
      <c r="B13" s="169">
        <f t="shared" si="16"/>
        <v>45939</v>
      </c>
      <c r="C13" s="176" t="s">
        <v>67</v>
      </c>
      <c r="D13" s="132">
        <v>70</v>
      </c>
      <c r="E13" s="133"/>
      <c r="F13" s="134">
        <v>28</v>
      </c>
      <c r="G13" s="135">
        <v>358800</v>
      </c>
      <c r="H13" s="136">
        <f t="shared" si="0"/>
        <v>11649.321428571429</v>
      </c>
      <c r="I13" s="135">
        <v>92400</v>
      </c>
      <c r="J13" s="137">
        <f t="shared" si="1"/>
        <v>3000</v>
      </c>
      <c r="K13" s="138">
        <f t="shared" si="26"/>
        <v>451200</v>
      </c>
      <c r="L13" s="139">
        <f t="shared" si="2"/>
        <v>16114.285714285714</v>
      </c>
      <c r="M13" s="140"/>
      <c r="N13" s="141">
        <f t="shared" si="17"/>
        <v>0</v>
      </c>
      <c r="O13" s="142">
        <f t="shared" si="17"/>
        <v>0</v>
      </c>
      <c r="P13" s="136" t="e">
        <f t="shared" si="3"/>
        <v>#DIV/0!</v>
      </c>
      <c r="Q13" s="142">
        <f t="shared" si="18"/>
        <v>0</v>
      </c>
      <c r="R13" s="137" t="e">
        <f t="shared" si="4"/>
        <v>#DIV/0!</v>
      </c>
      <c r="S13" s="143">
        <f t="shared" si="19"/>
        <v>0</v>
      </c>
      <c r="T13" s="139" t="e">
        <f t="shared" si="5"/>
        <v>#DIV/0!</v>
      </c>
      <c r="U13" s="144">
        <f t="shared" si="6"/>
        <v>28</v>
      </c>
      <c r="V13" s="142">
        <f t="shared" si="6"/>
        <v>358800</v>
      </c>
      <c r="W13" s="142">
        <f t="shared" si="7"/>
        <v>92400</v>
      </c>
      <c r="X13" s="145">
        <f t="shared" si="20"/>
        <v>451200</v>
      </c>
      <c r="Y13" s="142">
        <f t="shared" si="8"/>
        <v>16114.285714285714</v>
      </c>
      <c r="Z13" s="146"/>
      <c r="AA13" s="147">
        <v>79</v>
      </c>
      <c r="AB13" s="135">
        <v>58000</v>
      </c>
      <c r="AC13" s="136">
        <f t="shared" si="9"/>
        <v>734.17721518987344</v>
      </c>
      <c r="AD13" s="135">
        <v>20350</v>
      </c>
      <c r="AE13" s="137">
        <f t="shared" si="10"/>
        <v>257.59493670886076</v>
      </c>
      <c r="AF13" s="148">
        <f t="shared" si="21"/>
        <v>78350</v>
      </c>
      <c r="AG13" s="139">
        <f t="shared" si="11"/>
        <v>991.77215189873414</v>
      </c>
      <c r="AH13" s="154">
        <f t="shared" si="12"/>
        <v>28</v>
      </c>
      <c r="AI13" s="142">
        <f t="shared" si="13"/>
        <v>416800</v>
      </c>
      <c r="AJ13" s="142">
        <f t="shared" si="22"/>
        <v>112750</v>
      </c>
      <c r="AK13" s="149">
        <f t="shared" si="23"/>
        <v>529550</v>
      </c>
      <c r="AL13" s="142">
        <f t="shared" si="14"/>
        <v>0</v>
      </c>
      <c r="AM13" s="142"/>
      <c r="AN13" s="150">
        <v>28</v>
      </c>
      <c r="AO13" s="150">
        <v>358800</v>
      </c>
      <c r="AP13" s="150">
        <v>92400</v>
      </c>
      <c r="AQ13" s="151"/>
      <c r="AR13" s="151"/>
      <c r="AS13" s="151"/>
      <c r="AT13" s="151"/>
      <c r="AU13" s="152">
        <f t="shared" si="24"/>
        <v>451200</v>
      </c>
      <c r="AV13" s="119">
        <v>9</v>
      </c>
      <c r="AW13" s="120">
        <f t="shared" si="25"/>
        <v>451200</v>
      </c>
      <c r="AX13" s="177">
        <f t="shared" si="15"/>
        <v>529550</v>
      </c>
    </row>
    <row r="14" spans="1:50" ht="13.5" customHeight="1">
      <c r="A14" s="119"/>
      <c r="B14" s="169">
        <f t="shared" si="16"/>
        <v>45940</v>
      </c>
      <c r="C14" s="176" t="s">
        <v>56</v>
      </c>
      <c r="D14" s="132">
        <v>90</v>
      </c>
      <c r="E14" s="133"/>
      <c r="F14" s="134"/>
      <c r="G14" s="135"/>
      <c r="H14" s="136" t="e">
        <f t="shared" si="0"/>
        <v>#DIV/0!</v>
      </c>
      <c r="I14" s="135"/>
      <c r="J14" s="137" t="e">
        <f t="shared" si="1"/>
        <v>#DIV/0!</v>
      </c>
      <c r="K14" s="138">
        <f t="shared" si="26"/>
        <v>0</v>
      </c>
      <c r="L14" s="139" t="str">
        <f t="shared" si="2"/>
        <v/>
      </c>
      <c r="M14" s="140"/>
      <c r="N14" s="141">
        <f t="shared" si="17"/>
        <v>38</v>
      </c>
      <c r="O14" s="142">
        <f t="shared" si="17"/>
        <v>363770</v>
      </c>
      <c r="P14" s="136">
        <f t="shared" si="3"/>
        <v>8702.6315789473683</v>
      </c>
      <c r="Q14" s="142">
        <f t="shared" si="18"/>
        <v>96950</v>
      </c>
      <c r="R14" s="137">
        <f t="shared" si="4"/>
        <v>2319.3684210526317</v>
      </c>
      <c r="S14" s="143">
        <f t="shared" si="19"/>
        <v>460720</v>
      </c>
      <c r="T14" s="139">
        <f t="shared" si="5"/>
        <v>12124.21052631579</v>
      </c>
      <c r="U14" s="144">
        <f t="shared" si="6"/>
        <v>38</v>
      </c>
      <c r="V14" s="142">
        <f t="shared" si="6"/>
        <v>363770</v>
      </c>
      <c r="W14" s="142">
        <f t="shared" si="7"/>
        <v>96950</v>
      </c>
      <c r="X14" s="145">
        <f t="shared" si="20"/>
        <v>460720</v>
      </c>
      <c r="Y14" s="142">
        <f t="shared" si="8"/>
        <v>12124.21052631579</v>
      </c>
      <c r="Z14" s="146"/>
      <c r="AA14" s="147">
        <v>77</v>
      </c>
      <c r="AB14" s="135">
        <v>50000</v>
      </c>
      <c r="AC14" s="136">
        <f t="shared" si="9"/>
        <v>649.35064935064941</v>
      </c>
      <c r="AD14" s="135">
        <v>41680</v>
      </c>
      <c r="AE14" s="137">
        <f t="shared" si="10"/>
        <v>541.2987012987013</v>
      </c>
      <c r="AF14" s="148">
        <f t="shared" si="21"/>
        <v>91680</v>
      </c>
      <c r="AG14" s="139">
        <f t="shared" si="11"/>
        <v>1190.6493506493507</v>
      </c>
      <c r="AH14" s="154">
        <f t="shared" si="12"/>
        <v>38</v>
      </c>
      <c r="AI14" s="142">
        <f t="shared" si="13"/>
        <v>413770</v>
      </c>
      <c r="AJ14" s="142">
        <f t="shared" si="22"/>
        <v>138630</v>
      </c>
      <c r="AK14" s="155">
        <f t="shared" si="23"/>
        <v>552400</v>
      </c>
      <c r="AL14" s="142">
        <f t="shared" si="14"/>
        <v>52440</v>
      </c>
      <c r="AM14" s="142"/>
      <c r="AN14" s="150">
        <v>38</v>
      </c>
      <c r="AO14" s="150">
        <v>363770</v>
      </c>
      <c r="AP14" s="150">
        <v>96950</v>
      </c>
      <c r="AQ14" s="151">
        <v>46200</v>
      </c>
      <c r="AR14" s="151">
        <v>6240</v>
      </c>
      <c r="AS14" s="151"/>
      <c r="AT14" s="151"/>
      <c r="AU14" s="152">
        <f t="shared" si="24"/>
        <v>513160</v>
      </c>
      <c r="AV14" s="119">
        <v>10</v>
      </c>
      <c r="AW14" s="120">
        <f t="shared" si="25"/>
        <v>513160</v>
      </c>
      <c r="AX14" s="177">
        <f t="shared" si="15"/>
        <v>604840</v>
      </c>
    </row>
    <row r="15" spans="1:50" ht="13.5" customHeight="1">
      <c r="A15" s="119"/>
      <c r="B15" s="156">
        <f>B14+1</f>
        <v>45941</v>
      </c>
      <c r="C15" s="176" t="s">
        <v>68</v>
      </c>
      <c r="D15" s="132">
        <v>95</v>
      </c>
      <c r="E15" s="133"/>
      <c r="F15" s="134">
        <v>17</v>
      </c>
      <c r="G15" s="135">
        <v>59180</v>
      </c>
      <c r="H15" s="136">
        <f t="shared" si="0"/>
        <v>3164.705882352941</v>
      </c>
      <c r="I15" s="135">
        <v>9320</v>
      </c>
      <c r="J15" s="137">
        <f t="shared" si="1"/>
        <v>498.35294117647061</v>
      </c>
      <c r="K15" s="138">
        <f t="shared" si="26"/>
        <v>68500</v>
      </c>
      <c r="L15" s="139">
        <f t="shared" si="2"/>
        <v>4029.4117647058824</v>
      </c>
      <c r="M15" s="140"/>
      <c r="N15" s="141">
        <f t="shared" si="17"/>
        <v>38</v>
      </c>
      <c r="O15" s="142">
        <f t="shared" si="17"/>
        <v>317570</v>
      </c>
      <c r="P15" s="136">
        <f t="shared" si="3"/>
        <v>7597.3684210526317</v>
      </c>
      <c r="Q15" s="142">
        <f t="shared" si="18"/>
        <v>47860</v>
      </c>
      <c r="R15" s="137">
        <f t="shared" si="4"/>
        <v>1144.9736842105262</v>
      </c>
      <c r="S15" s="143">
        <f t="shared" si="19"/>
        <v>365430</v>
      </c>
      <c r="T15" s="139">
        <f t="shared" si="5"/>
        <v>9616.5789473684217</v>
      </c>
      <c r="U15" s="144">
        <f t="shared" si="6"/>
        <v>55</v>
      </c>
      <c r="V15" s="142">
        <f t="shared" si="6"/>
        <v>376750</v>
      </c>
      <c r="W15" s="142">
        <f t="shared" si="7"/>
        <v>57180</v>
      </c>
      <c r="X15" s="145">
        <f t="shared" si="20"/>
        <v>433930</v>
      </c>
      <c r="Y15" s="142">
        <f t="shared" si="8"/>
        <v>7889.636363636364</v>
      </c>
      <c r="Z15" s="146"/>
      <c r="AA15" s="147">
        <v>79</v>
      </c>
      <c r="AB15" s="135">
        <v>51550</v>
      </c>
      <c r="AC15" s="136">
        <f t="shared" si="9"/>
        <v>652.53164556962031</v>
      </c>
      <c r="AD15" s="135">
        <v>26800</v>
      </c>
      <c r="AE15" s="137">
        <f t="shared" si="10"/>
        <v>339.24050632911394</v>
      </c>
      <c r="AF15" s="148">
        <f t="shared" si="21"/>
        <v>78350</v>
      </c>
      <c r="AG15" s="139">
        <f t="shared" si="11"/>
        <v>991.77215189873414</v>
      </c>
      <c r="AH15" s="154">
        <f t="shared" si="12"/>
        <v>55</v>
      </c>
      <c r="AI15" s="142">
        <f t="shared" si="13"/>
        <v>428300</v>
      </c>
      <c r="AJ15" s="142">
        <f t="shared" si="22"/>
        <v>83980</v>
      </c>
      <c r="AK15" s="149">
        <f t="shared" si="23"/>
        <v>512280</v>
      </c>
      <c r="AL15" s="142">
        <f t="shared" si="14"/>
        <v>49410</v>
      </c>
      <c r="AM15" s="142"/>
      <c r="AN15" s="150">
        <v>55</v>
      </c>
      <c r="AO15" s="150">
        <v>376750</v>
      </c>
      <c r="AP15" s="150">
        <v>57180</v>
      </c>
      <c r="AQ15" s="151">
        <v>46200</v>
      </c>
      <c r="AR15" s="151">
        <v>3210</v>
      </c>
      <c r="AS15" s="151"/>
      <c r="AT15" s="151">
        <v>3300</v>
      </c>
      <c r="AU15" s="152">
        <f t="shared" si="24"/>
        <v>483340</v>
      </c>
      <c r="AV15" s="119">
        <v>11</v>
      </c>
      <c r="AW15" s="120">
        <f t="shared" si="25"/>
        <v>486640</v>
      </c>
      <c r="AX15" s="177">
        <f t="shared" si="15"/>
        <v>564990</v>
      </c>
    </row>
    <row r="16" spans="1:50" ht="13.5" customHeight="1">
      <c r="A16" s="119"/>
      <c r="B16" s="157">
        <f t="shared" si="16"/>
        <v>45942</v>
      </c>
      <c r="C16" s="181" t="s">
        <v>69</v>
      </c>
      <c r="D16" s="132">
        <v>70</v>
      </c>
      <c r="E16" s="133"/>
      <c r="F16" s="134">
        <v>19</v>
      </c>
      <c r="G16" s="135">
        <v>67870</v>
      </c>
      <c r="H16" s="136">
        <f t="shared" si="0"/>
        <v>3247.3684210526317</v>
      </c>
      <c r="I16" s="135">
        <v>9540</v>
      </c>
      <c r="J16" s="137">
        <f t="shared" si="1"/>
        <v>456.42105263157896</v>
      </c>
      <c r="K16" s="138">
        <f t="shared" si="26"/>
        <v>77410</v>
      </c>
      <c r="L16" s="139">
        <f t="shared" si="2"/>
        <v>4074.2105263157896</v>
      </c>
      <c r="M16" s="140"/>
      <c r="N16" s="141">
        <f t="shared" si="17"/>
        <v>33</v>
      </c>
      <c r="O16" s="142">
        <f t="shared" si="17"/>
        <v>288420</v>
      </c>
      <c r="P16" s="136">
        <f t="shared" si="3"/>
        <v>7945.454545454545</v>
      </c>
      <c r="Q16" s="142">
        <f t="shared" si="18"/>
        <v>52290</v>
      </c>
      <c r="R16" s="137">
        <f t="shared" si="4"/>
        <v>1440.4848484848485</v>
      </c>
      <c r="S16" s="143">
        <f t="shared" si="19"/>
        <v>340710</v>
      </c>
      <c r="T16" s="139">
        <f t="shared" si="5"/>
        <v>10324.545454545454</v>
      </c>
      <c r="U16" s="144">
        <f t="shared" si="6"/>
        <v>52</v>
      </c>
      <c r="V16" s="142">
        <f t="shared" si="6"/>
        <v>356290</v>
      </c>
      <c r="W16" s="142">
        <f t="shared" si="7"/>
        <v>61830</v>
      </c>
      <c r="X16" s="145">
        <f t="shared" si="20"/>
        <v>418120</v>
      </c>
      <c r="Y16" s="142">
        <f t="shared" si="8"/>
        <v>8040.7692307692305</v>
      </c>
      <c r="Z16" s="146"/>
      <c r="AA16" s="147">
        <v>0</v>
      </c>
      <c r="AB16" s="135">
        <v>0</v>
      </c>
      <c r="AC16" s="136" t="e">
        <f>AB16/AA16</f>
        <v>#DIV/0!</v>
      </c>
      <c r="AD16" s="135">
        <v>0</v>
      </c>
      <c r="AE16" s="137" t="e">
        <f t="shared" si="10"/>
        <v>#DIV/0!</v>
      </c>
      <c r="AF16" s="148">
        <f t="shared" si="21"/>
        <v>0</v>
      </c>
      <c r="AG16" s="139" t="e">
        <f t="shared" si="11"/>
        <v>#DIV/0!</v>
      </c>
      <c r="AH16" s="154">
        <f t="shared" si="12"/>
        <v>52</v>
      </c>
      <c r="AI16" s="142">
        <f t="shared" si="13"/>
        <v>356290</v>
      </c>
      <c r="AJ16" s="142">
        <f t="shared" si="22"/>
        <v>61830</v>
      </c>
      <c r="AK16" s="149">
        <f t="shared" si="23"/>
        <v>418120</v>
      </c>
      <c r="AL16" s="142">
        <f t="shared" si="14"/>
        <v>40610</v>
      </c>
      <c r="AM16" s="142"/>
      <c r="AN16" s="150">
        <v>52</v>
      </c>
      <c r="AO16" s="150">
        <v>356290</v>
      </c>
      <c r="AP16" s="150">
        <v>61830</v>
      </c>
      <c r="AQ16" s="151">
        <v>39050</v>
      </c>
      <c r="AR16" s="151">
        <v>1560</v>
      </c>
      <c r="AS16" s="151"/>
      <c r="AT16" s="151"/>
      <c r="AU16" s="152">
        <f t="shared" si="24"/>
        <v>458730</v>
      </c>
      <c r="AV16" s="119">
        <v>12</v>
      </c>
      <c r="AW16" s="120">
        <f t="shared" si="25"/>
        <v>458730</v>
      </c>
      <c r="AX16" s="177">
        <f t="shared" si="15"/>
        <v>458730</v>
      </c>
    </row>
    <row r="17" spans="1:50" ht="13.5" customHeight="1">
      <c r="A17" s="119"/>
      <c r="B17" s="157">
        <f t="shared" si="16"/>
        <v>45943</v>
      </c>
      <c r="C17" s="181" t="s">
        <v>69</v>
      </c>
      <c r="D17" s="132">
        <v>90</v>
      </c>
      <c r="E17" s="133"/>
      <c r="F17" s="134">
        <v>31</v>
      </c>
      <c r="G17" s="135">
        <v>117260</v>
      </c>
      <c r="H17" s="136">
        <f t="shared" si="0"/>
        <v>3438.7096774193546</v>
      </c>
      <c r="I17" s="135">
        <v>30130</v>
      </c>
      <c r="J17" s="137">
        <f t="shared" si="1"/>
        <v>883.54838709677415</v>
      </c>
      <c r="K17" s="138">
        <f t="shared" si="26"/>
        <v>147390</v>
      </c>
      <c r="L17" s="139">
        <f t="shared" si="2"/>
        <v>4754.5161290322585</v>
      </c>
      <c r="M17" s="140"/>
      <c r="N17" s="141">
        <f t="shared" si="17"/>
        <v>38</v>
      </c>
      <c r="O17" s="142">
        <f t="shared" si="17"/>
        <v>375100</v>
      </c>
      <c r="P17" s="136">
        <f t="shared" si="3"/>
        <v>8973.6842105263149</v>
      </c>
      <c r="Q17" s="142">
        <f t="shared" si="18"/>
        <v>68890</v>
      </c>
      <c r="R17" s="137">
        <f t="shared" si="4"/>
        <v>1648.078947368421</v>
      </c>
      <c r="S17" s="143">
        <f t="shared" si="19"/>
        <v>443990</v>
      </c>
      <c r="T17" s="139">
        <f t="shared" si="5"/>
        <v>11683.947368421053</v>
      </c>
      <c r="U17" s="144">
        <f t="shared" si="6"/>
        <v>69</v>
      </c>
      <c r="V17" s="142">
        <f t="shared" si="6"/>
        <v>492360</v>
      </c>
      <c r="W17" s="142">
        <f t="shared" si="7"/>
        <v>99020</v>
      </c>
      <c r="X17" s="145">
        <f t="shared" si="20"/>
        <v>591380</v>
      </c>
      <c r="Y17" s="142">
        <f t="shared" si="8"/>
        <v>8570.7246376811599</v>
      </c>
      <c r="Z17" s="146"/>
      <c r="AA17" s="147">
        <v>3</v>
      </c>
      <c r="AB17" s="135">
        <v>5150</v>
      </c>
      <c r="AC17" s="136">
        <f t="shared" si="9"/>
        <v>1716.6666666666667</v>
      </c>
      <c r="AD17" s="135">
        <v>1500</v>
      </c>
      <c r="AE17" s="137">
        <f t="shared" si="10"/>
        <v>500</v>
      </c>
      <c r="AF17" s="148">
        <f t="shared" si="21"/>
        <v>6650</v>
      </c>
      <c r="AG17" s="139">
        <f t="shared" si="11"/>
        <v>2216.6666666666665</v>
      </c>
      <c r="AH17" s="154">
        <f t="shared" si="12"/>
        <v>69</v>
      </c>
      <c r="AI17" s="142">
        <f t="shared" si="13"/>
        <v>497510</v>
      </c>
      <c r="AJ17" s="142">
        <f t="shared" si="22"/>
        <v>100520</v>
      </c>
      <c r="AK17" s="149">
        <f t="shared" si="23"/>
        <v>598030</v>
      </c>
      <c r="AL17" s="142">
        <f t="shared" si="14"/>
        <v>49650</v>
      </c>
      <c r="AM17" s="142"/>
      <c r="AN17" s="150">
        <v>69</v>
      </c>
      <c r="AO17" s="150">
        <v>492360</v>
      </c>
      <c r="AP17" s="150">
        <v>99020</v>
      </c>
      <c r="AQ17" s="151">
        <v>48000</v>
      </c>
      <c r="AR17" s="151">
        <v>1650</v>
      </c>
      <c r="AS17" s="151"/>
      <c r="AT17" s="151">
        <v>25300</v>
      </c>
      <c r="AU17" s="152">
        <f t="shared" si="24"/>
        <v>641030</v>
      </c>
      <c r="AV17" s="119">
        <v>13</v>
      </c>
      <c r="AW17" s="120">
        <f t="shared" si="25"/>
        <v>666330</v>
      </c>
      <c r="AX17" s="177">
        <f t="shared" si="15"/>
        <v>672980</v>
      </c>
    </row>
    <row r="18" spans="1:50" ht="13.5" customHeight="1">
      <c r="A18" s="119"/>
      <c r="B18" s="169">
        <f t="shared" si="16"/>
        <v>45944</v>
      </c>
      <c r="C18" s="181" t="s">
        <v>69</v>
      </c>
      <c r="D18" s="132">
        <v>95</v>
      </c>
      <c r="E18" s="133"/>
      <c r="F18" s="134"/>
      <c r="G18" s="135"/>
      <c r="H18" s="136" t="e">
        <f t="shared" si="0"/>
        <v>#DIV/0!</v>
      </c>
      <c r="I18" s="135"/>
      <c r="J18" s="137" t="e">
        <f t="shared" si="1"/>
        <v>#DIV/0!</v>
      </c>
      <c r="K18" s="138">
        <f t="shared" si="26"/>
        <v>0</v>
      </c>
      <c r="L18" s="139" t="str">
        <f t="shared" si="2"/>
        <v/>
      </c>
      <c r="M18" s="140"/>
      <c r="N18" s="141">
        <f t="shared" si="17"/>
        <v>37</v>
      </c>
      <c r="O18" s="142">
        <f t="shared" si="17"/>
        <v>372020</v>
      </c>
      <c r="P18" s="136">
        <f t="shared" si="3"/>
        <v>9140.54054054054</v>
      </c>
      <c r="Q18" s="142">
        <f t="shared" si="18"/>
        <v>66720</v>
      </c>
      <c r="R18" s="137">
        <f t="shared" si="4"/>
        <v>1639.2972972972973</v>
      </c>
      <c r="S18" s="143">
        <f t="shared" si="19"/>
        <v>438740</v>
      </c>
      <c r="T18" s="139">
        <f t="shared" si="5"/>
        <v>11857.837837837838</v>
      </c>
      <c r="U18" s="144">
        <f t="shared" si="6"/>
        <v>37</v>
      </c>
      <c r="V18" s="142">
        <f t="shared" si="6"/>
        <v>372020</v>
      </c>
      <c r="W18" s="142">
        <f t="shared" si="7"/>
        <v>66720</v>
      </c>
      <c r="X18" s="145">
        <f t="shared" si="20"/>
        <v>438740</v>
      </c>
      <c r="Y18" s="142">
        <f t="shared" si="8"/>
        <v>11857.837837837838</v>
      </c>
      <c r="Z18" s="146"/>
      <c r="AA18" s="147">
        <v>0</v>
      </c>
      <c r="AB18" s="135">
        <v>0</v>
      </c>
      <c r="AC18" s="136" t="e">
        <f t="shared" si="9"/>
        <v>#DIV/0!</v>
      </c>
      <c r="AD18" s="135">
        <v>0</v>
      </c>
      <c r="AE18" s="137" t="e">
        <f t="shared" si="10"/>
        <v>#DIV/0!</v>
      </c>
      <c r="AF18" s="148">
        <f t="shared" si="21"/>
        <v>0</v>
      </c>
      <c r="AG18" s="139" t="e">
        <f t="shared" si="11"/>
        <v>#DIV/0!</v>
      </c>
      <c r="AH18" s="154">
        <f t="shared" si="12"/>
        <v>37</v>
      </c>
      <c r="AI18" s="142">
        <f t="shared" si="13"/>
        <v>372020</v>
      </c>
      <c r="AJ18" s="142">
        <f t="shared" si="22"/>
        <v>66720</v>
      </c>
      <c r="AK18" s="149">
        <f t="shared" si="23"/>
        <v>438740</v>
      </c>
      <c r="AL18" s="142">
        <f t="shared" si="14"/>
        <v>71300</v>
      </c>
      <c r="AM18" s="142"/>
      <c r="AN18" s="150">
        <v>37</v>
      </c>
      <c r="AO18" s="150">
        <v>372020</v>
      </c>
      <c r="AP18" s="150">
        <v>66720</v>
      </c>
      <c r="AQ18" s="151">
        <v>47300</v>
      </c>
      <c r="AR18" s="151">
        <v>24000</v>
      </c>
      <c r="AS18" s="151"/>
      <c r="AT18" s="151"/>
      <c r="AU18" s="152">
        <f t="shared" si="24"/>
        <v>510040</v>
      </c>
      <c r="AV18" s="119">
        <v>14</v>
      </c>
      <c r="AW18" s="120">
        <f t="shared" si="25"/>
        <v>510040</v>
      </c>
      <c r="AX18" s="177">
        <f t="shared" si="15"/>
        <v>510040</v>
      </c>
    </row>
    <row r="19" spans="1:50" ht="13.5" customHeight="1">
      <c r="A19" s="119"/>
      <c r="B19" s="169">
        <f t="shared" si="16"/>
        <v>45945</v>
      </c>
      <c r="C19" s="181" t="s">
        <v>69</v>
      </c>
      <c r="D19" s="132">
        <v>96</v>
      </c>
      <c r="E19" s="133"/>
      <c r="F19" s="134"/>
      <c r="G19" s="135"/>
      <c r="H19" s="136" t="e">
        <f t="shared" si="0"/>
        <v>#DIV/0!</v>
      </c>
      <c r="I19" s="135"/>
      <c r="J19" s="137" t="e">
        <f t="shared" si="1"/>
        <v>#DIV/0!</v>
      </c>
      <c r="K19" s="138">
        <f t="shared" si="26"/>
        <v>0</v>
      </c>
      <c r="L19" s="139" t="str">
        <f t="shared" si="2"/>
        <v/>
      </c>
      <c r="M19" s="140"/>
      <c r="N19" s="141">
        <f t="shared" si="17"/>
        <v>33</v>
      </c>
      <c r="O19" s="142">
        <f t="shared" si="17"/>
        <v>297220</v>
      </c>
      <c r="P19" s="136">
        <f t="shared" si="3"/>
        <v>8187.878787878788</v>
      </c>
      <c r="Q19" s="142">
        <f t="shared" si="18"/>
        <v>50520</v>
      </c>
      <c r="R19" s="158">
        <f t="shared" si="4"/>
        <v>1391.7272727272727</v>
      </c>
      <c r="S19" s="143">
        <f t="shared" si="19"/>
        <v>347740</v>
      </c>
      <c r="T19" s="139">
        <f t="shared" si="5"/>
        <v>10537.575757575758</v>
      </c>
      <c r="U19" s="144">
        <f t="shared" si="6"/>
        <v>33</v>
      </c>
      <c r="V19" s="142">
        <f t="shared" si="6"/>
        <v>297220</v>
      </c>
      <c r="W19" s="142">
        <f t="shared" si="7"/>
        <v>50520</v>
      </c>
      <c r="X19" s="145">
        <f t="shared" si="20"/>
        <v>347740</v>
      </c>
      <c r="Y19" s="142">
        <f t="shared" si="8"/>
        <v>10537.575757575758</v>
      </c>
      <c r="Z19" s="146"/>
      <c r="AA19" s="147">
        <v>0</v>
      </c>
      <c r="AB19" s="135">
        <v>0</v>
      </c>
      <c r="AC19" s="136" t="e">
        <f t="shared" si="9"/>
        <v>#DIV/0!</v>
      </c>
      <c r="AD19" s="135">
        <v>0</v>
      </c>
      <c r="AE19" s="137" t="e">
        <f t="shared" si="10"/>
        <v>#DIV/0!</v>
      </c>
      <c r="AF19" s="148">
        <f t="shared" si="21"/>
        <v>0</v>
      </c>
      <c r="AG19" s="139" t="e">
        <f t="shared" si="11"/>
        <v>#DIV/0!</v>
      </c>
      <c r="AH19" s="154">
        <f t="shared" si="12"/>
        <v>33</v>
      </c>
      <c r="AI19" s="142">
        <f t="shared" si="13"/>
        <v>297220</v>
      </c>
      <c r="AJ19" s="142">
        <f t="shared" si="22"/>
        <v>50520</v>
      </c>
      <c r="AK19" s="149">
        <f t="shared" si="23"/>
        <v>347740</v>
      </c>
      <c r="AL19" s="142">
        <f t="shared" si="14"/>
        <v>28600</v>
      </c>
      <c r="AM19" s="142"/>
      <c r="AN19" s="150">
        <v>33</v>
      </c>
      <c r="AO19" s="150">
        <v>297220</v>
      </c>
      <c r="AP19" s="150">
        <v>50520</v>
      </c>
      <c r="AQ19" s="151">
        <v>28600</v>
      </c>
      <c r="AR19" s="151"/>
      <c r="AS19" s="151"/>
      <c r="AT19" s="151"/>
      <c r="AU19" s="152">
        <f t="shared" si="24"/>
        <v>376340</v>
      </c>
      <c r="AV19" s="119">
        <v>15</v>
      </c>
      <c r="AW19" s="120">
        <f t="shared" si="25"/>
        <v>376340</v>
      </c>
      <c r="AX19" s="177">
        <f t="shared" si="15"/>
        <v>376340</v>
      </c>
    </row>
    <row r="20" spans="1:50" ht="13.5" customHeight="1">
      <c r="A20" s="119"/>
      <c r="B20" s="169">
        <f t="shared" si="16"/>
        <v>45946</v>
      </c>
      <c r="C20" s="181" t="s">
        <v>69</v>
      </c>
      <c r="D20" s="132">
        <v>80</v>
      </c>
      <c r="E20" s="133"/>
      <c r="F20" s="134"/>
      <c r="G20" s="135"/>
      <c r="H20" s="136" t="e">
        <f t="shared" si="0"/>
        <v>#DIV/0!</v>
      </c>
      <c r="I20" s="135"/>
      <c r="J20" s="136" t="e">
        <f t="shared" si="1"/>
        <v>#DIV/0!</v>
      </c>
      <c r="K20" s="138">
        <f t="shared" si="26"/>
        <v>0</v>
      </c>
      <c r="L20" s="139" t="str">
        <f t="shared" si="2"/>
        <v/>
      </c>
      <c r="M20" s="140"/>
      <c r="N20" s="141">
        <f t="shared" si="17"/>
        <v>38</v>
      </c>
      <c r="O20" s="142">
        <f t="shared" si="17"/>
        <v>369270</v>
      </c>
      <c r="P20" s="136">
        <f t="shared" si="3"/>
        <v>8834.21052631579</v>
      </c>
      <c r="Q20" s="142">
        <f t="shared" si="18"/>
        <v>46490</v>
      </c>
      <c r="R20" s="158">
        <f t="shared" si="4"/>
        <v>1112.1842105263158</v>
      </c>
      <c r="S20" s="143">
        <f t="shared" si="19"/>
        <v>415760</v>
      </c>
      <c r="T20" s="139">
        <f t="shared" si="5"/>
        <v>10941.052631578947</v>
      </c>
      <c r="U20" s="144">
        <f t="shared" si="6"/>
        <v>38</v>
      </c>
      <c r="V20" s="142">
        <f t="shared" si="6"/>
        <v>369270</v>
      </c>
      <c r="W20" s="142">
        <f t="shared" si="7"/>
        <v>46490</v>
      </c>
      <c r="X20" s="145">
        <f t="shared" si="20"/>
        <v>415760</v>
      </c>
      <c r="Y20" s="142">
        <f t="shared" si="8"/>
        <v>10941.052631578947</v>
      </c>
      <c r="Z20" s="146"/>
      <c r="AA20" s="147">
        <v>0</v>
      </c>
      <c r="AB20" s="135">
        <v>0</v>
      </c>
      <c r="AC20" s="136" t="e">
        <f t="shared" si="9"/>
        <v>#DIV/0!</v>
      </c>
      <c r="AD20" s="135">
        <v>0</v>
      </c>
      <c r="AE20" s="137" t="e">
        <f t="shared" si="10"/>
        <v>#DIV/0!</v>
      </c>
      <c r="AF20" s="148">
        <f t="shared" si="21"/>
        <v>0</v>
      </c>
      <c r="AG20" s="139" t="e">
        <f t="shared" si="11"/>
        <v>#DIV/0!</v>
      </c>
      <c r="AH20" s="154">
        <f t="shared" si="12"/>
        <v>38</v>
      </c>
      <c r="AI20" s="150">
        <f t="shared" si="13"/>
        <v>369270</v>
      </c>
      <c r="AJ20" s="150">
        <f t="shared" si="22"/>
        <v>46490</v>
      </c>
      <c r="AK20" s="149">
        <f t="shared" si="23"/>
        <v>415760</v>
      </c>
      <c r="AL20" s="142">
        <f t="shared" si="14"/>
        <v>39600</v>
      </c>
      <c r="AM20" s="142"/>
      <c r="AN20" s="150">
        <v>38</v>
      </c>
      <c r="AO20" s="150">
        <v>369270</v>
      </c>
      <c r="AP20" s="150">
        <v>46490</v>
      </c>
      <c r="AQ20" s="151">
        <v>39600</v>
      </c>
      <c r="AR20" s="151"/>
      <c r="AS20" s="151"/>
      <c r="AT20" s="151"/>
      <c r="AU20" s="152">
        <f t="shared" si="24"/>
        <v>455360</v>
      </c>
      <c r="AV20" s="119">
        <v>16</v>
      </c>
      <c r="AW20" s="120">
        <f>AT20+AU20</f>
        <v>455360</v>
      </c>
      <c r="AX20" s="177">
        <f t="shared" si="15"/>
        <v>455360</v>
      </c>
    </row>
    <row r="21" spans="1:50" ht="15.75" customHeight="1">
      <c r="A21" s="119"/>
      <c r="B21" s="169">
        <f t="shared" si="16"/>
        <v>45947</v>
      </c>
      <c r="C21" s="176" t="s">
        <v>56</v>
      </c>
      <c r="D21" s="132">
        <v>95</v>
      </c>
      <c r="E21" s="133"/>
      <c r="F21" s="134"/>
      <c r="G21" s="135"/>
      <c r="H21" s="136" t="e">
        <f t="shared" si="0"/>
        <v>#DIV/0!</v>
      </c>
      <c r="I21" s="135"/>
      <c r="J21" s="136" t="e">
        <f t="shared" si="1"/>
        <v>#DIV/0!</v>
      </c>
      <c r="K21" s="138">
        <f t="shared" si="26"/>
        <v>0</v>
      </c>
      <c r="L21" s="139" t="str">
        <f t="shared" si="2"/>
        <v/>
      </c>
      <c r="M21" s="140"/>
      <c r="N21" s="141">
        <f t="shared" si="17"/>
        <v>42</v>
      </c>
      <c r="O21" s="142">
        <f t="shared" si="17"/>
        <v>409640</v>
      </c>
      <c r="P21" s="136">
        <f t="shared" si="3"/>
        <v>8866.6666666666661</v>
      </c>
      <c r="Q21" s="142">
        <f t="shared" si="18"/>
        <v>66100</v>
      </c>
      <c r="R21" s="158">
        <f t="shared" si="4"/>
        <v>1430.7142857142858</v>
      </c>
      <c r="S21" s="143">
        <f>O21+Q21</f>
        <v>475740</v>
      </c>
      <c r="T21" s="139">
        <f t="shared" si="5"/>
        <v>11327.142857142857</v>
      </c>
      <c r="U21" s="144">
        <f t="shared" ref="U21:V35" si="27">F21+N21</f>
        <v>42</v>
      </c>
      <c r="V21" s="142">
        <f t="shared" si="27"/>
        <v>409640</v>
      </c>
      <c r="W21" s="142">
        <f t="shared" si="7"/>
        <v>66100</v>
      </c>
      <c r="X21" s="145">
        <f>K21+S21</f>
        <v>475740</v>
      </c>
      <c r="Y21" s="142">
        <f t="shared" si="8"/>
        <v>11327.142857142857</v>
      </c>
      <c r="Z21" s="146"/>
      <c r="AA21" s="147">
        <v>97</v>
      </c>
      <c r="AB21" s="135">
        <v>43300</v>
      </c>
      <c r="AC21" s="136">
        <f t="shared" si="9"/>
        <v>446.39175257731961</v>
      </c>
      <c r="AD21" s="135">
        <v>16920</v>
      </c>
      <c r="AE21" s="137">
        <f t="shared" si="10"/>
        <v>174.43298969072166</v>
      </c>
      <c r="AF21" s="148">
        <f t="shared" si="21"/>
        <v>60220</v>
      </c>
      <c r="AG21" s="139">
        <f t="shared" si="11"/>
        <v>620.82474226804129</v>
      </c>
      <c r="AH21" s="154">
        <f t="shared" si="12"/>
        <v>42</v>
      </c>
      <c r="AI21" s="150">
        <f t="shared" si="13"/>
        <v>452940</v>
      </c>
      <c r="AJ21" s="150">
        <f t="shared" si="22"/>
        <v>83020</v>
      </c>
      <c r="AK21" s="149">
        <f>X21+AF21</f>
        <v>535960</v>
      </c>
      <c r="AL21" s="142">
        <f>AQ21+AR21+AS21</f>
        <v>49610</v>
      </c>
      <c r="AM21" s="142">
        <v>6675</v>
      </c>
      <c r="AN21" s="150">
        <v>42</v>
      </c>
      <c r="AO21" s="150">
        <v>409640</v>
      </c>
      <c r="AP21" s="150">
        <v>66100</v>
      </c>
      <c r="AQ21" s="151">
        <v>48400</v>
      </c>
      <c r="AR21" s="151">
        <v>1210</v>
      </c>
      <c r="AS21" s="151"/>
      <c r="AT21" s="151"/>
      <c r="AU21" s="152">
        <f t="shared" si="24"/>
        <v>525350</v>
      </c>
      <c r="AV21" s="119">
        <v>17</v>
      </c>
      <c r="AW21" s="120">
        <f t="shared" si="25"/>
        <v>525350</v>
      </c>
      <c r="AX21" s="177">
        <f t="shared" si="15"/>
        <v>592245</v>
      </c>
    </row>
    <row r="22" spans="1:50" ht="15.75" customHeight="1">
      <c r="A22" s="119"/>
      <c r="B22" s="156">
        <f t="shared" si="16"/>
        <v>45948</v>
      </c>
      <c r="C22" s="176" t="s">
        <v>70</v>
      </c>
      <c r="D22" s="132">
        <v>45</v>
      </c>
      <c r="E22" s="133"/>
      <c r="F22" s="134">
        <v>22</v>
      </c>
      <c r="G22" s="135">
        <v>75130</v>
      </c>
      <c r="H22" s="136">
        <f t="shared" si="0"/>
        <v>3104.5454545454545</v>
      </c>
      <c r="I22" s="135">
        <v>3070</v>
      </c>
      <c r="J22" s="136">
        <f t="shared" si="1"/>
        <v>126.81818181818181</v>
      </c>
      <c r="K22" s="138">
        <f t="shared" si="26"/>
        <v>78200</v>
      </c>
      <c r="L22" s="139">
        <f t="shared" si="2"/>
        <v>3554.5454545454545</v>
      </c>
      <c r="M22" s="140"/>
      <c r="N22" s="141">
        <f t="shared" ref="N22:O35" si="28">AN22-F22</f>
        <v>33</v>
      </c>
      <c r="O22" s="142">
        <f t="shared" si="28"/>
        <v>267520</v>
      </c>
      <c r="P22" s="136">
        <f t="shared" si="3"/>
        <v>7369.69696969697</v>
      </c>
      <c r="Q22" s="142">
        <f t="shared" si="18"/>
        <v>54630</v>
      </c>
      <c r="R22" s="158">
        <f t="shared" si="4"/>
        <v>1504.939393939394</v>
      </c>
      <c r="S22" s="143">
        <f t="shared" si="19"/>
        <v>322150</v>
      </c>
      <c r="T22" s="139">
        <f t="shared" si="5"/>
        <v>9762.121212121212</v>
      </c>
      <c r="U22" s="144">
        <f t="shared" si="27"/>
        <v>55</v>
      </c>
      <c r="V22" s="142">
        <f t="shared" si="27"/>
        <v>342650</v>
      </c>
      <c r="W22" s="142">
        <f t="shared" si="7"/>
        <v>57700</v>
      </c>
      <c r="X22" s="145">
        <f t="shared" si="20"/>
        <v>400350</v>
      </c>
      <c r="Y22" s="142">
        <f t="shared" si="8"/>
        <v>7279.090909090909</v>
      </c>
      <c r="Z22" s="146"/>
      <c r="AA22" s="147">
        <v>23</v>
      </c>
      <c r="AB22" s="135">
        <v>12350</v>
      </c>
      <c r="AC22" s="136">
        <f t="shared" si="9"/>
        <v>536.95652173913038</v>
      </c>
      <c r="AD22" s="135">
        <v>7150</v>
      </c>
      <c r="AE22" s="137">
        <f t="shared" si="10"/>
        <v>310.86956521739131</v>
      </c>
      <c r="AF22" s="148">
        <f t="shared" si="21"/>
        <v>19500</v>
      </c>
      <c r="AG22" s="139">
        <f t="shared" si="11"/>
        <v>847.82608695652175</v>
      </c>
      <c r="AH22" s="154">
        <f t="shared" si="12"/>
        <v>55</v>
      </c>
      <c r="AI22" s="150">
        <f t="shared" si="13"/>
        <v>355000</v>
      </c>
      <c r="AJ22" s="150">
        <f t="shared" si="22"/>
        <v>64850</v>
      </c>
      <c r="AK22" s="149">
        <f t="shared" si="23"/>
        <v>419850</v>
      </c>
      <c r="AL22" s="142">
        <f t="shared" si="14"/>
        <v>42900</v>
      </c>
      <c r="AM22" s="142">
        <v>2225</v>
      </c>
      <c r="AN22" s="150">
        <v>55</v>
      </c>
      <c r="AO22" s="150">
        <v>342650</v>
      </c>
      <c r="AP22" s="150">
        <v>57700</v>
      </c>
      <c r="AQ22" s="151">
        <v>42900</v>
      </c>
      <c r="AR22" s="151"/>
      <c r="AS22" s="151"/>
      <c r="AT22" s="151"/>
      <c r="AU22" s="152">
        <f t="shared" si="24"/>
        <v>443250</v>
      </c>
      <c r="AV22" s="119">
        <v>18</v>
      </c>
      <c r="AW22" s="120">
        <f t="shared" si="25"/>
        <v>443250</v>
      </c>
      <c r="AX22" s="177">
        <f t="shared" si="15"/>
        <v>464975</v>
      </c>
    </row>
    <row r="23" spans="1:50" ht="15.75" customHeight="1">
      <c r="A23" s="119"/>
      <c r="B23" s="157">
        <f t="shared" si="16"/>
        <v>45949</v>
      </c>
      <c r="C23" s="176"/>
      <c r="D23" s="132">
        <v>95</v>
      </c>
      <c r="E23" s="133"/>
      <c r="F23" s="134">
        <v>30</v>
      </c>
      <c r="G23" s="135">
        <v>123640</v>
      </c>
      <c r="H23" s="136">
        <f t="shared" si="0"/>
        <v>3746.6666666666665</v>
      </c>
      <c r="I23" s="135">
        <v>8830</v>
      </c>
      <c r="J23" s="136">
        <f t="shared" si="1"/>
        <v>267.56666666666666</v>
      </c>
      <c r="K23" s="138">
        <f t="shared" si="26"/>
        <v>132470</v>
      </c>
      <c r="L23" s="139">
        <f t="shared" si="2"/>
        <v>4415.666666666667</v>
      </c>
      <c r="M23" s="140"/>
      <c r="N23" s="141">
        <f t="shared" si="28"/>
        <v>37</v>
      </c>
      <c r="O23" s="142">
        <f t="shared" si="28"/>
        <v>381810</v>
      </c>
      <c r="P23" s="136">
        <f t="shared" si="3"/>
        <v>9381.0810810810817</v>
      </c>
      <c r="Q23" s="142">
        <f t="shared" si="18"/>
        <v>56640</v>
      </c>
      <c r="R23" s="158">
        <f t="shared" si="4"/>
        <v>1391.6216216216217</v>
      </c>
      <c r="S23" s="143">
        <f t="shared" si="19"/>
        <v>438450</v>
      </c>
      <c r="T23" s="139">
        <f t="shared" si="5"/>
        <v>11850</v>
      </c>
      <c r="U23" s="144">
        <f t="shared" si="27"/>
        <v>67</v>
      </c>
      <c r="V23" s="142">
        <f t="shared" si="27"/>
        <v>505450</v>
      </c>
      <c r="W23" s="142">
        <f t="shared" si="7"/>
        <v>65470</v>
      </c>
      <c r="X23" s="145">
        <f t="shared" si="20"/>
        <v>570920</v>
      </c>
      <c r="Y23" s="142">
        <f t="shared" si="8"/>
        <v>8521.194029850747</v>
      </c>
      <c r="Z23" s="146"/>
      <c r="AA23" s="147">
        <v>164</v>
      </c>
      <c r="AB23" s="135">
        <v>110400</v>
      </c>
      <c r="AC23" s="136">
        <f t="shared" si="9"/>
        <v>673.17073170731703</v>
      </c>
      <c r="AD23" s="135">
        <v>42940</v>
      </c>
      <c r="AE23" s="137">
        <f t="shared" si="10"/>
        <v>261.82926829268291</v>
      </c>
      <c r="AF23" s="148">
        <f t="shared" si="21"/>
        <v>153340</v>
      </c>
      <c r="AG23" s="139">
        <f t="shared" si="11"/>
        <v>935</v>
      </c>
      <c r="AH23" s="154">
        <f t="shared" si="12"/>
        <v>67</v>
      </c>
      <c r="AI23" s="150">
        <f t="shared" si="13"/>
        <v>615850</v>
      </c>
      <c r="AJ23" s="150">
        <f t="shared" si="22"/>
        <v>108410</v>
      </c>
      <c r="AK23" s="149">
        <f t="shared" si="23"/>
        <v>724260</v>
      </c>
      <c r="AL23" s="142">
        <f t="shared" si="14"/>
        <v>59310</v>
      </c>
      <c r="AM23" s="142"/>
      <c r="AN23" s="150">
        <v>67</v>
      </c>
      <c r="AO23" s="150">
        <v>505450</v>
      </c>
      <c r="AP23" s="150">
        <v>65470</v>
      </c>
      <c r="AQ23" s="151">
        <v>56100</v>
      </c>
      <c r="AR23" s="151">
        <v>3210</v>
      </c>
      <c r="AS23" s="151"/>
      <c r="AT23" s="151">
        <v>38500</v>
      </c>
      <c r="AU23" s="152">
        <f t="shared" si="24"/>
        <v>630230</v>
      </c>
      <c r="AV23" s="119">
        <v>19</v>
      </c>
      <c r="AW23" s="120">
        <f t="shared" si="25"/>
        <v>668730</v>
      </c>
      <c r="AX23" s="177">
        <f t="shared" si="15"/>
        <v>822070</v>
      </c>
    </row>
    <row r="24" spans="1:50" ht="15.75" customHeight="1">
      <c r="A24" s="119"/>
      <c r="B24" s="169">
        <f t="shared" si="16"/>
        <v>45950</v>
      </c>
      <c r="C24" s="176" t="s">
        <v>71</v>
      </c>
      <c r="D24" s="132">
        <v>96</v>
      </c>
      <c r="E24" s="133"/>
      <c r="F24" s="134"/>
      <c r="G24" s="135"/>
      <c r="H24" s="136" t="e">
        <f t="shared" si="0"/>
        <v>#DIV/0!</v>
      </c>
      <c r="I24" s="135"/>
      <c r="J24" s="136" t="e">
        <f t="shared" si="1"/>
        <v>#DIV/0!</v>
      </c>
      <c r="K24" s="138">
        <f t="shared" si="26"/>
        <v>0</v>
      </c>
      <c r="L24" s="139" t="str">
        <f t="shared" si="2"/>
        <v/>
      </c>
      <c r="M24" s="140"/>
      <c r="N24" s="141">
        <f t="shared" si="28"/>
        <v>35</v>
      </c>
      <c r="O24" s="142">
        <f t="shared" si="28"/>
        <v>303710</v>
      </c>
      <c r="P24" s="136">
        <f t="shared" si="3"/>
        <v>7888.5714285714284</v>
      </c>
      <c r="Q24" s="142">
        <f t="shared" si="18"/>
        <v>41190</v>
      </c>
      <c r="R24" s="158">
        <f t="shared" si="4"/>
        <v>1069.8571428571429</v>
      </c>
      <c r="S24" s="143">
        <f t="shared" si="19"/>
        <v>344900</v>
      </c>
      <c r="T24" s="139">
        <f t="shared" si="5"/>
        <v>9854.2857142857138</v>
      </c>
      <c r="U24" s="144">
        <f t="shared" si="27"/>
        <v>35</v>
      </c>
      <c r="V24" s="142">
        <f t="shared" si="27"/>
        <v>303710</v>
      </c>
      <c r="W24" s="142">
        <f t="shared" si="7"/>
        <v>41190</v>
      </c>
      <c r="X24" s="145">
        <f t="shared" si="20"/>
        <v>344900</v>
      </c>
      <c r="Y24" s="142">
        <f t="shared" si="8"/>
        <v>9854.2857142857138</v>
      </c>
      <c r="Z24" s="146"/>
      <c r="AA24" s="147">
        <v>60</v>
      </c>
      <c r="AB24" s="135">
        <v>33300</v>
      </c>
      <c r="AC24" s="136">
        <f t="shared" si="9"/>
        <v>555</v>
      </c>
      <c r="AD24" s="135">
        <v>16620</v>
      </c>
      <c r="AE24" s="137">
        <f t="shared" si="10"/>
        <v>277</v>
      </c>
      <c r="AF24" s="148">
        <f t="shared" si="21"/>
        <v>49920</v>
      </c>
      <c r="AG24" s="139">
        <f t="shared" si="11"/>
        <v>832</v>
      </c>
      <c r="AH24" s="154">
        <f t="shared" si="12"/>
        <v>35</v>
      </c>
      <c r="AI24" s="150">
        <f t="shared" si="13"/>
        <v>337010</v>
      </c>
      <c r="AJ24" s="150">
        <f t="shared" si="22"/>
        <v>57810</v>
      </c>
      <c r="AK24" s="149">
        <f>X24+AF24</f>
        <v>394820</v>
      </c>
      <c r="AL24" s="142">
        <f t="shared" si="14"/>
        <v>41800</v>
      </c>
      <c r="AM24" s="142"/>
      <c r="AN24" s="150">
        <v>35</v>
      </c>
      <c r="AO24" s="150">
        <v>303710</v>
      </c>
      <c r="AP24" s="150">
        <v>41190</v>
      </c>
      <c r="AQ24" s="151">
        <v>41800</v>
      </c>
      <c r="AR24" s="151"/>
      <c r="AS24" s="151"/>
      <c r="AT24" s="151"/>
      <c r="AU24" s="152">
        <f>SUM(AO24:AS24)</f>
        <v>386700</v>
      </c>
      <c r="AV24" s="119">
        <v>20</v>
      </c>
      <c r="AW24" s="120">
        <f t="shared" si="25"/>
        <v>386700</v>
      </c>
      <c r="AX24" s="177">
        <f t="shared" si="15"/>
        <v>436620</v>
      </c>
    </row>
    <row r="25" spans="1:50" ht="15.75" customHeight="1">
      <c r="A25" s="119"/>
      <c r="B25" s="182">
        <f t="shared" si="16"/>
        <v>45951</v>
      </c>
      <c r="C25" s="176" t="s">
        <v>56</v>
      </c>
      <c r="D25" s="132">
        <v>98</v>
      </c>
      <c r="E25" s="133"/>
      <c r="F25" s="134"/>
      <c r="G25" s="135"/>
      <c r="H25" s="136" t="e">
        <f t="shared" si="0"/>
        <v>#DIV/0!</v>
      </c>
      <c r="I25" s="135"/>
      <c r="J25" s="136" t="e">
        <f t="shared" si="1"/>
        <v>#DIV/0!</v>
      </c>
      <c r="K25" s="138">
        <f t="shared" si="26"/>
        <v>0</v>
      </c>
      <c r="L25" s="139" t="str">
        <f t="shared" si="2"/>
        <v/>
      </c>
      <c r="M25" s="140"/>
      <c r="N25" s="141">
        <f t="shared" si="28"/>
        <v>41</v>
      </c>
      <c r="O25" s="142">
        <f t="shared" si="28"/>
        <v>412170</v>
      </c>
      <c r="P25" s="136">
        <f t="shared" si="3"/>
        <v>9139.0243902439033</v>
      </c>
      <c r="Q25" s="142">
        <f t="shared" si="18"/>
        <v>55520</v>
      </c>
      <c r="R25" s="158">
        <f t="shared" si="4"/>
        <v>1231.0243902439024</v>
      </c>
      <c r="S25" s="143">
        <f t="shared" si="19"/>
        <v>467690</v>
      </c>
      <c r="T25" s="139">
        <f t="shared" si="5"/>
        <v>11407.073170731708</v>
      </c>
      <c r="U25" s="144">
        <f>F25+N25</f>
        <v>41</v>
      </c>
      <c r="V25" s="142">
        <f t="shared" si="27"/>
        <v>412170</v>
      </c>
      <c r="W25" s="142">
        <f t="shared" si="7"/>
        <v>55520</v>
      </c>
      <c r="X25" s="145">
        <f t="shared" si="20"/>
        <v>467690</v>
      </c>
      <c r="Y25" s="142">
        <f t="shared" si="8"/>
        <v>11407.073170731708</v>
      </c>
      <c r="Z25" s="146"/>
      <c r="AA25" s="183">
        <v>104</v>
      </c>
      <c r="AB25" s="135">
        <v>61800</v>
      </c>
      <c r="AC25" s="136">
        <f t="shared" si="9"/>
        <v>594.23076923076928</v>
      </c>
      <c r="AD25" s="135">
        <v>21390</v>
      </c>
      <c r="AE25" s="137">
        <f t="shared" si="10"/>
        <v>205.67307692307693</v>
      </c>
      <c r="AF25" s="148">
        <f t="shared" si="21"/>
        <v>83190</v>
      </c>
      <c r="AG25" s="139">
        <f t="shared" si="11"/>
        <v>799.90384615384619</v>
      </c>
      <c r="AH25" s="154">
        <f t="shared" si="12"/>
        <v>41</v>
      </c>
      <c r="AI25" s="150">
        <f t="shared" si="13"/>
        <v>473970</v>
      </c>
      <c r="AJ25" s="150">
        <f t="shared" si="22"/>
        <v>76910</v>
      </c>
      <c r="AK25" s="149">
        <f>X25+AF25</f>
        <v>550880</v>
      </c>
      <c r="AL25" s="142">
        <f t="shared" si="14"/>
        <v>81600</v>
      </c>
      <c r="AM25" s="142"/>
      <c r="AN25" s="150">
        <v>41</v>
      </c>
      <c r="AO25" s="150">
        <v>412170</v>
      </c>
      <c r="AP25" s="150">
        <v>55520</v>
      </c>
      <c r="AQ25" s="151">
        <v>39600</v>
      </c>
      <c r="AR25" s="151">
        <v>42000</v>
      </c>
      <c r="AS25" s="151"/>
      <c r="AT25" s="151"/>
      <c r="AU25" s="152">
        <f t="shared" si="24"/>
        <v>549290</v>
      </c>
      <c r="AV25" s="119">
        <v>21</v>
      </c>
      <c r="AW25" s="120">
        <f t="shared" si="25"/>
        <v>549290</v>
      </c>
      <c r="AX25" s="177">
        <f t="shared" si="15"/>
        <v>632480</v>
      </c>
    </row>
    <row r="26" spans="1:50" ht="15.75" customHeight="1">
      <c r="A26" s="119"/>
      <c r="B26" s="182">
        <f t="shared" si="16"/>
        <v>45952</v>
      </c>
      <c r="C26" s="176" t="s">
        <v>56</v>
      </c>
      <c r="D26" s="132">
        <v>95</v>
      </c>
      <c r="E26" s="133"/>
      <c r="F26" s="134"/>
      <c r="G26" s="135"/>
      <c r="H26" s="136" t="e">
        <f t="shared" si="0"/>
        <v>#DIV/0!</v>
      </c>
      <c r="I26" s="135"/>
      <c r="J26" s="136" t="e">
        <f t="shared" si="1"/>
        <v>#DIV/0!</v>
      </c>
      <c r="K26" s="138">
        <f t="shared" si="26"/>
        <v>0</v>
      </c>
      <c r="L26" s="139" t="str">
        <f t="shared" si="2"/>
        <v/>
      </c>
      <c r="M26" s="140"/>
      <c r="N26" s="141">
        <f t="shared" si="28"/>
        <v>59</v>
      </c>
      <c r="O26" s="142">
        <f t="shared" si="28"/>
        <v>475640</v>
      </c>
      <c r="P26" s="136">
        <f t="shared" si="3"/>
        <v>7328.8135593220341</v>
      </c>
      <c r="Q26" s="142">
        <f t="shared" si="18"/>
        <v>37100</v>
      </c>
      <c r="R26" s="158">
        <f t="shared" si="4"/>
        <v>571.64406779661022</v>
      </c>
      <c r="S26" s="143">
        <f t="shared" si="19"/>
        <v>512740</v>
      </c>
      <c r="T26" s="139">
        <f t="shared" si="5"/>
        <v>8690.5084745762706</v>
      </c>
      <c r="U26" s="144">
        <f t="shared" si="27"/>
        <v>59</v>
      </c>
      <c r="V26" s="142">
        <f t="shared" si="27"/>
        <v>475640</v>
      </c>
      <c r="W26" s="142">
        <f t="shared" si="7"/>
        <v>37100</v>
      </c>
      <c r="X26" s="145">
        <f t="shared" si="20"/>
        <v>512740</v>
      </c>
      <c r="Y26" s="142">
        <f t="shared" si="8"/>
        <v>8690.5084745762706</v>
      </c>
      <c r="Z26" s="146"/>
      <c r="AA26" s="183">
        <v>121</v>
      </c>
      <c r="AB26" s="135">
        <v>79600</v>
      </c>
      <c r="AC26" s="136">
        <f t="shared" si="9"/>
        <v>657.85123966942149</v>
      </c>
      <c r="AD26" s="135">
        <v>37850</v>
      </c>
      <c r="AE26" s="137">
        <f t="shared" si="10"/>
        <v>312.80991735537191</v>
      </c>
      <c r="AF26" s="148">
        <f t="shared" si="21"/>
        <v>117450</v>
      </c>
      <c r="AG26" s="139">
        <f t="shared" si="11"/>
        <v>970.6611570247934</v>
      </c>
      <c r="AH26" s="154">
        <f t="shared" si="12"/>
        <v>59</v>
      </c>
      <c r="AI26" s="150">
        <f t="shared" si="13"/>
        <v>555240</v>
      </c>
      <c r="AJ26" s="150">
        <f t="shared" si="22"/>
        <v>74950</v>
      </c>
      <c r="AK26" s="149">
        <f>X26+AF26</f>
        <v>630190</v>
      </c>
      <c r="AL26" s="142">
        <f t="shared" si="14"/>
        <v>0</v>
      </c>
      <c r="AM26" s="142"/>
      <c r="AN26" s="150">
        <v>59</v>
      </c>
      <c r="AO26" s="150">
        <v>475640</v>
      </c>
      <c r="AP26" s="150">
        <v>37100</v>
      </c>
      <c r="AQ26" s="151"/>
      <c r="AR26" s="151"/>
      <c r="AS26" s="151"/>
      <c r="AT26" s="151"/>
      <c r="AU26" s="152">
        <f t="shared" si="24"/>
        <v>512740</v>
      </c>
      <c r="AV26" s="119">
        <v>22</v>
      </c>
      <c r="AW26" s="120">
        <f t="shared" si="25"/>
        <v>512740</v>
      </c>
      <c r="AX26" s="177">
        <f t="shared" si="15"/>
        <v>630190</v>
      </c>
    </row>
    <row r="27" spans="1:50" ht="15.75" customHeight="1">
      <c r="A27" s="119"/>
      <c r="B27" s="182">
        <f t="shared" si="16"/>
        <v>45953</v>
      </c>
      <c r="C27" s="176" t="s">
        <v>56</v>
      </c>
      <c r="D27" s="132">
        <v>97</v>
      </c>
      <c r="E27" s="133"/>
      <c r="F27" s="134"/>
      <c r="G27" s="135"/>
      <c r="H27" s="136" t="e">
        <f t="shared" si="0"/>
        <v>#DIV/0!</v>
      </c>
      <c r="I27" s="135"/>
      <c r="J27" s="136" t="e">
        <f t="shared" si="1"/>
        <v>#DIV/0!</v>
      </c>
      <c r="K27" s="138">
        <f t="shared" si="26"/>
        <v>0</v>
      </c>
      <c r="L27" s="139" t="str">
        <f t="shared" si="2"/>
        <v/>
      </c>
      <c r="M27" s="140"/>
      <c r="N27" s="141">
        <f t="shared" si="28"/>
        <v>38</v>
      </c>
      <c r="O27" s="142">
        <f t="shared" si="28"/>
        <v>328410</v>
      </c>
      <c r="P27" s="136">
        <f t="shared" si="3"/>
        <v>7856.6842105263158</v>
      </c>
      <c r="Q27" s="142">
        <f t="shared" si="18"/>
        <v>53290</v>
      </c>
      <c r="R27" s="137">
        <f t="shared" si="4"/>
        <v>1274.8684210526317</v>
      </c>
      <c r="S27" s="143">
        <f t="shared" si="19"/>
        <v>381700</v>
      </c>
      <c r="T27" s="139">
        <f t="shared" si="5"/>
        <v>10044.736842105263</v>
      </c>
      <c r="U27" s="144">
        <f t="shared" si="27"/>
        <v>38</v>
      </c>
      <c r="V27" s="142">
        <f t="shared" si="27"/>
        <v>328410</v>
      </c>
      <c r="W27" s="142">
        <f t="shared" si="7"/>
        <v>53290</v>
      </c>
      <c r="X27" s="145">
        <f t="shared" si="20"/>
        <v>381700</v>
      </c>
      <c r="Y27" s="142">
        <f t="shared" si="8"/>
        <v>10044.736842105263</v>
      </c>
      <c r="Z27" s="146"/>
      <c r="AA27" s="183">
        <v>94</v>
      </c>
      <c r="AB27" s="135">
        <v>39800</v>
      </c>
      <c r="AC27" s="136">
        <f t="shared" si="9"/>
        <v>423.40425531914894</v>
      </c>
      <c r="AD27" s="135">
        <v>41850</v>
      </c>
      <c r="AE27" s="137">
        <f t="shared" si="10"/>
        <v>445.21276595744683</v>
      </c>
      <c r="AF27" s="148">
        <f t="shared" si="21"/>
        <v>81650</v>
      </c>
      <c r="AG27" s="139">
        <f t="shared" si="11"/>
        <v>868.61702127659578</v>
      </c>
      <c r="AH27" s="154">
        <f t="shared" si="12"/>
        <v>38</v>
      </c>
      <c r="AI27" s="150">
        <f t="shared" si="13"/>
        <v>368210</v>
      </c>
      <c r="AJ27" s="150">
        <f t="shared" si="22"/>
        <v>95140</v>
      </c>
      <c r="AK27" s="149">
        <f>X27+AF27</f>
        <v>463350</v>
      </c>
      <c r="AL27" s="142">
        <f t="shared" si="14"/>
        <v>43560</v>
      </c>
      <c r="AM27" s="142"/>
      <c r="AN27" s="150">
        <v>38</v>
      </c>
      <c r="AO27" s="150">
        <v>328410</v>
      </c>
      <c r="AP27" s="150">
        <v>53290</v>
      </c>
      <c r="AQ27" s="151">
        <v>42350</v>
      </c>
      <c r="AR27" s="151">
        <v>1210</v>
      </c>
      <c r="AS27" s="151"/>
      <c r="AT27" s="151"/>
      <c r="AU27" s="152">
        <f t="shared" si="24"/>
        <v>425260</v>
      </c>
      <c r="AV27" s="119">
        <v>23</v>
      </c>
      <c r="AW27" s="120">
        <f t="shared" si="25"/>
        <v>425260</v>
      </c>
      <c r="AX27" s="177">
        <f t="shared" si="15"/>
        <v>506910</v>
      </c>
    </row>
    <row r="28" spans="1:50" ht="15.75" customHeight="1">
      <c r="A28" s="119"/>
      <c r="B28" s="182">
        <f t="shared" si="16"/>
        <v>45954</v>
      </c>
      <c r="C28" s="176" t="s">
        <v>56</v>
      </c>
      <c r="D28" s="132">
        <v>98</v>
      </c>
      <c r="E28" s="133"/>
      <c r="F28" s="134"/>
      <c r="G28" s="135"/>
      <c r="H28" s="136" t="e">
        <f t="shared" si="0"/>
        <v>#DIV/0!</v>
      </c>
      <c r="I28" s="135"/>
      <c r="J28" s="136" t="e">
        <f t="shared" si="1"/>
        <v>#DIV/0!</v>
      </c>
      <c r="K28" s="138">
        <f t="shared" si="26"/>
        <v>0</v>
      </c>
      <c r="L28" s="139" t="str">
        <f t="shared" si="2"/>
        <v/>
      </c>
      <c r="M28" s="140"/>
      <c r="N28" s="141">
        <f t="shared" si="28"/>
        <v>43</v>
      </c>
      <c r="O28" s="142">
        <f t="shared" si="28"/>
        <v>450560</v>
      </c>
      <c r="P28" s="136">
        <f t="shared" si="3"/>
        <v>9525.5813953488378</v>
      </c>
      <c r="Q28" s="142">
        <f t="shared" si="18"/>
        <v>48910</v>
      </c>
      <c r="R28" s="137">
        <f t="shared" si="4"/>
        <v>1034.0232558139535</v>
      </c>
      <c r="S28" s="143">
        <f t="shared" si="19"/>
        <v>499470</v>
      </c>
      <c r="T28" s="139">
        <f t="shared" si="5"/>
        <v>11615.581395348838</v>
      </c>
      <c r="U28" s="144">
        <f t="shared" si="27"/>
        <v>43</v>
      </c>
      <c r="V28" s="142">
        <f t="shared" si="27"/>
        <v>450560</v>
      </c>
      <c r="W28" s="142">
        <f t="shared" si="7"/>
        <v>48910</v>
      </c>
      <c r="X28" s="145">
        <f t="shared" si="20"/>
        <v>499470</v>
      </c>
      <c r="Y28" s="142">
        <f t="shared" si="8"/>
        <v>11615.581395348838</v>
      </c>
      <c r="Z28" s="146"/>
      <c r="AA28" s="183">
        <v>70</v>
      </c>
      <c r="AB28" s="135">
        <v>48200</v>
      </c>
      <c r="AC28" s="136">
        <f t="shared" si="9"/>
        <v>688.57142857142856</v>
      </c>
      <c r="AD28" s="135">
        <v>18930</v>
      </c>
      <c r="AE28" s="137">
        <f t="shared" si="10"/>
        <v>270.42857142857144</v>
      </c>
      <c r="AF28" s="148">
        <f t="shared" si="21"/>
        <v>67130</v>
      </c>
      <c r="AG28" s="139">
        <f t="shared" si="11"/>
        <v>959</v>
      </c>
      <c r="AH28" s="154">
        <f t="shared" si="12"/>
        <v>43</v>
      </c>
      <c r="AI28" s="150">
        <f t="shared" si="13"/>
        <v>498760</v>
      </c>
      <c r="AJ28" s="150">
        <f t="shared" si="22"/>
        <v>67840</v>
      </c>
      <c r="AK28" s="149">
        <f t="shared" si="23"/>
        <v>566600</v>
      </c>
      <c r="AL28" s="142">
        <f t="shared" si="14"/>
        <v>41910</v>
      </c>
      <c r="AM28" s="142"/>
      <c r="AN28" s="150">
        <v>43</v>
      </c>
      <c r="AO28" s="150">
        <v>450560</v>
      </c>
      <c r="AP28" s="150">
        <v>48910</v>
      </c>
      <c r="AQ28" s="151">
        <v>40700</v>
      </c>
      <c r="AR28" s="151">
        <v>1210</v>
      </c>
      <c r="AS28" s="151"/>
      <c r="AT28" s="151"/>
      <c r="AU28" s="152">
        <f>SUM(AO28:AS28)</f>
        <v>541380</v>
      </c>
      <c r="AV28" s="119">
        <v>24</v>
      </c>
      <c r="AW28" s="120">
        <f t="shared" si="25"/>
        <v>541380</v>
      </c>
      <c r="AX28" s="177">
        <f t="shared" si="15"/>
        <v>608510</v>
      </c>
    </row>
    <row r="29" spans="1:50" ht="15.75" customHeight="1">
      <c r="A29" s="119"/>
      <c r="B29" s="184">
        <f t="shared" si="16"/>
        <v>45955</v>
      </c>
      <c r="C29" s="176" t="s">
        <v>72</v>
      </c>
      <c r="D29" s="132">
        <v>100</v>
      </c>
      <c r="E29" s="133"/>
      <c r="F29" s="134"/>
      <c r="G29" s="135"/>
      <c r="H29" s="136" t="e">
        <f t="shared" si="0"/>
        <v>#DIV/0!</v>
      </c>
      <c r="I29" s="135"/>
      <c r="J29" s="136" t="e">
        <f t="shared" si="1"/>
        <v>#DIV/0!</v>
      </c>
      <c r="K29" s="138">
        <f t="shared" si="26"/>
        <v>0</v>
      </c>
      <c r="L29" s="139" t="str">
        <f t="shared" si="2"/>
        <v/>
      </c>
      <c r="M29" s="140"/>
      <c r="N29" s="141">
        <f t="shared" si="28"/>
        <v>39</v>
      </c>
      <c r="O29" s="142">
        <f t="shared" si="28"/>
        <v>556400</v>
      </c>
      <c r="P29" s="136">
        <f t="shared" si="3"/>
        <v>12969.692307692309</v>
      </c>
      <c r="Q29" s="142">
        <f t="shared" si="18"/>
        <v>187200</v>
      </c>
      <c r="R29" s="137">
        <f t="shared" si="4"/>
        <v>4363.6153846153848</v>
      </c>
      <c r="S29" s="143">
        <f t="shared" si="19"/>
        <v>743600</v>
      </c>
      <c r="T29" s="139">
        <f t="shared" si="5"/>
        <v>19066.666666666668</v>
      </c>
      <c r="U29" s="144">
        <f t="shared" si="27"/>
        <v>39</v>
      </c>
      <c r="V29" s="142">
        <f t="shared" si="27"/>
        <v>556400</v>
      </c>
      <c r="W29" s="142">
        <f t="shared" si="7"/>
        <v>187200</v>
      </c>
      <c r="X29" s="145">
        <f t="shared" si="20"/>
        <v>743600</v>
      </c>
      <c r="Y29" s="142">
        <f t="shared" si="8"/>
        <v>19066.666666666668</v>
      </c>
      <c r="Z29" s="146"/>
      <c r="AA29" s="183">
        <v>169</v>
      </c>
      <c r="AB29" s="135">
        <v>105950</v>
      </c>
      <c r="AC29" s="136">
        <f t="shared" si="9"/>
        <v>626.92307692307691</v>
      </c>
      <c r="AD29" s="135">
        <v>51890</v>
      </c>
      <c r="AE29" s="137">
        <f t="shared" si="10"/>
        <v>307.04142011834318</v>
      </c>
      <c r="AF29" s="148">
        <f t="shared" si="21"/>
        <v>157840</v>
      </c>
      <c r="AG29" s="139">
        <f t="shared" si="11"/>
        <v>933.96449704142015</v>
      </c>
      <c r="AH29" s="154">
        <f t="shared" si="12"/>
        <v>39</v>
      </c>
      <c r="AI29" s="150">
        <f t="shared" si="13"/>
        <v>662350</v>
      </c>
      <c r="AJ29" s="150">
        <f t="shared" si="22"/>
        <v>239090</v>
      </c>
      <c r="AK29" s="149">
        <f t="shared" si="23"/>
        <v>901440</v>
      </c>
      <c r="AL29" s="142">
        <f t="shared" si="14"/>
        <v>0</v>
      </c>
      <c r="AM29" s="142"/>
      <c r="AN29" s="150">
        <v>39</v>
      </c>
      <c r="AO29" s="150">
        <v>556400</v>
      </c>
      <c r="AP29" s="150">
        <v>187200</v>
      </c>
      <c r="AQ29" s="151"/>
      <c r="AR29" s="151"/>
      <c r="AS29" s="151"/>
      <c r="AT29" s="151"/>
      <c r="AU29" s="152">
        <f t="shared" si="24"/>
        <v>743600</v>
      </c>
      <c r="AV29" s="119">
        <v>25</v>
      </c>
      <c r="AW29" s="120">
        <f t="shared" si="25"/>
        <v>743600</v>
      </c>
      <c r="AX29" s="177">
        <f t="shared" si="15"/>
        <v>901440</v>
      </c>
    </row>
    <row r="30" spans="1:50" ht="15.75" customHeight="1">
      <c r="A30" s="119"/>
      <c r="B30" s="185">
        <f t="shared" si="16"/>
        <v>45956</v>
      </c>
      <c r="C30" s="176"/>
      <c r="D30" s="132">
        <v>50</v>
      </c>
      <c r="E30" s="133"/>
      <c r="F30" s="134">
        <v>37</v>
      </c>
      <c r="G30" s="135">
        <v>112310</v>
      </c>
      <c r="H30" s="136">
        <f t="shared" si="0"/>
        <v>2759.4594594594596</v>
      </c>
      <c r="I30" s="135">
        <v>15050</v>
      </c>
      <c r="J30" s="136">
        <f>ROUNDDOWN(I30/1.1,0)/F30</f>
        <v>369.75675675675677</v>
      </c>
      <c r="K30" s="138">
        <f t="shared" si="26"/>
        <v>127360</v>
      </c>
      <c r="L30" s="139">
        <f t="shared" si="2"/>
        <v>3442.1621621621621</v>
      </c>
      <c r="M30" s="140"/>
      <c r="N30" s="141">
        <f t="shared" si="28"/>
        <v>40</v>
      </c>
      <c r="O30" s="142">
        <f t="shared" si="28"/>
        <v>394020</v>
      </c>
      <c r="P30" s="136">
        <f t="shared" si="3"/>
        <v>8955</v>
      </c>
      <c r="Q30" s="142">
        <f t="shared" si="18"/>
        <v>65330</v>
      </c>
      <c r="R30" s="136">
        <f t="shared" si="4"/>
        <v>1484.75</v>
      </c>
      <c r="S30" s="143">
        <f t="shared" si="19"/>
        <v>459350</v>
      </c>
      <c r="T30" s="139">
        <f t="shared" si="5"/>
        <v>11483.75</v>
      </c>
      <c r="U30" s="144">
        <f t="shared" si="27"/>
        <v>77</v>
      </c>
      <c r="V30" s="142">
        <f t="shared" si="27"/>
        <v>506330</v>
      </c>
      <c r="W30" s="142">
        <f t="shared" si="7"/>
        <v>80380</v>
      </c>
      <c r="X30" s="145">
        <f t="shared" si="20"/>
        <v>586710</v>
      </c>
      <c r="Y30" s="142">
        <f t="shared" si="8"/>
        <v>7619.6103896103896</v>
      </c>
      <c r="Z30" s="146"/>
      <c r="AA30" s="183">
        <v>60</v>
      </c>
      <c r="AB30" s="135">
        <v>42700</v>
      </c>
      <c r="AC30" s="136">
        <f t="shared" si="9"/>
        <v>711.66666666666663</v>
      </c>
      <c r="AD30" s="135">
        <v>14780</v>
      </c>
      <c r="AE30" s="137">
        <f t="shared" si="10"/>
        <v>246.33333333333334</v>
      </c>
      <c r="AF30" s="148">
        <f t="shared" si="21"/>
        <v>57480</v>
      </c>
      <c r="AG30" s="139">
        <f t="shared" si="11"/>
        <v>958</v>
      </c>
      <c r="AH30" s="154">
        <f t="shared" si="12"/>
        <v>77</v>
      </c>
      <c r="AI30" s="150">
        <f t="shared" si="13"/>
        <v>549030</v>
      </c>
      <c r="AJ30" s="150">
        <f t="shared" si="22"/>
        <v>95160</v>
      </c>
      <c r="AK30" s="149">
        <f t="shared" si="23"/>
        <v>644190</v>
      </c>
      <c r="AL30" s="142">
        <f t="shared" si="14"/>
        <v>50600</v>
      </c>
      <c r="AM30" s="142"/>
      <c r="AN30" s="150">
        <v>77</v>
      </c>
      <c r="AO30" s="150">
        <v>506330</v>
      </c>
      <c r="AP30" s="150">
        <v>80380</v>
      </c>
      <c r="AQ30" s="151">
        <v>48950</v>
      </c>
      <c r="AR30" s="151">
        <v>1650</v>
      </c>
      <c r="AS30" s="151"/>
      <c r="AT30" s="151">
        <v>33000</v>
      </c>
      <c r="AU30" s="152">
        <f>SUM(AO30:AS30)</f>
        <v>637310</v>
      </c>
      <c r="AV30" s="119">
        <v>26</v>
      </c>
      <c r="AW30" s="120">
        <f t="shared" si="25"/>
        <v>670310</v>
      </c>
      <c r="AX30" s="177">
        <f t="shared" si="15"/>
        <v>727790</v>
      </c>
    </row>
    <row r="31" spans="1:50" ht="15.75" customHeight="1">
      <c r="A31" s="119"/>
      <c r="B31" s="182">
        <f t="shared" si="16"/>
        <v>45957</v>
      </c>
      <c r="C31" s="176" t="s">
        <v>56</v>
      </c>
      <c r="D31" s="132">
        <v>76</v>
      </c>
      <c r="E31" s="133"/>
      <c r="F31" s="134"/>
      <c r="G31" s="135"/>
      <c r="H31" s="136" t="e">
        <f t="shared" si="0"/>
        <v>#DIV/0!</v>
      </c>
      <c r="I31" s="135"/>
      <c r="J31" s="136" t="e">
        <f>ROUNDDOWN(I31/1.1,0)/F31</f>
        <v>#DIV/0!</v>
      </c>
      <c r="K31" s="138">
        <f t="shared" si="26"/>
        <v>0</v>
      </c>
      <c r="L31" s="139" t="str">
        <f t="shared" si="2"/>
        <v/>
      </c>
      <c r="M31" s="140"/>
      <c r="N31" s="141">
        <f t="shared" si="28"/>
        <v>33</v>
      </c>
      <c r="O31" s="142">
        <f t="shared" si="28"/>
        <v>331760</v>
      </c>
      <c r="P31" s="136">
        <f t="shared" si="3"/>
        <v>9139.3939393939399</v>
      </c>
      <c r="Q31" s="142">
        <f t="shared" si="18"/>
        <v>53470</v>
      </c>
      <c r="R31" s="136">
        <f t="shared" si="4"/>
        <v>1473</v>
      </c>
      <c r="S31" s="143">
        <f t="shared" si="19"/>
        <v>385230</v>
      </c>
      <c r="T31" s="139">
        <f t="shared" si="5"/>
        <v>11673.636363636364</v>
      </c>
      <c r="U31" s="144">
        <f t="shared" si="27"/>
        <v>33</v>
      </c>
      <c r="V31" s="142">
        <f t="shared" si="27"/>
        <v>331760</v>
      </c>
      <c r="W31" s="142">
        <f t="shared" si="7"/>
        <v>53470</v>
      </c>
      <c r="X31" s="145">
        <f t="shared" si="20"/>
        <v>385230</v>
      </c>
      <c r="Y31" s="142">
        <f t="shared" si="8"/>
        <v>11673.636363636364</v>
      </c>
      <c r="Z31" s="146"/>
      <c r="AA31" s="183">
        <v>96</v>
      </c>
      <c r="AB31" s="135">
        <v>67950</v>
      </c>
      <c r="AC31" s="136">
        <f t="shared" si="9"/>
        <v>707.8125</v>
      </c>
      <c r="AD31" s="135">
        <v>16940</v>
      </c>
      <c r="AE31" s="137">
        <f t="shared" si="10"/>
        <v>176.45833333333334</v>
      </c>
      <c r="AF31" s="148">
        <f t="shared" si="21"/>
        <v>84890</v>
      </c>
      <c r="AG31" s="139">
        <f t="shared" si="11"/>
        <v>884.27083333333337</v>
      </c>
      <c r="AH31" s="154">
        <f t="shared" si="12"/>
        <v>33</v>
      </c>
      <c r="AI31" s="150">
        <f t="shared" si="13"/>
        <v>399710</v>
      </c>
      <c r="AJ31" s="150">
        <f t="shared" si="22"/>
        <v>70410</v>
      </c>
      <c r="AK31" s="149">
        <f t="shared" si="23"/>
        <v>470120</v>
      </c>
      <c r="AL31" s="142">
        <f t="shared" si="14"/>
        <v>94900</v>
      </c>
      <c r="AM31" s="142"/>
      <c r="AN31" s="150">
        <v>33</v>
      </c>
      <c r="AO31" s="150">
        <v>331760</v>
      </c>
      <c r="AP31" s="150">
        <v>53470</v>
      </c>
      <c r="AQ31" s="151">
        <v>42900</v>
      </c>
      <c r="AR31" s="151">
        <v>52000</v>
      </c>
      <c r="AS31" s="151"/>
      <c r="AT31" s="151">
        <v>6600</v>
      </c>
      <c r="AU31" s="152">
        <f t="shared" si="24"/>
        <v>480130</v>
      </c>
      <c r="AV31" s="119">
        <v>27</v>
      </c>
      <c r="AW31" s="120">
        <f t="shared" si="25"/>
        <v>486730</v>
      </c>
      <c r="AX31" s="177">
        <f t="shared" si="15"/>
        <v>571620</v>
      </c>
    </row>
    <row r="32" spans="1:50" ht="15.75" customHeight="1">
      <c r="A32" s="119"/>
      <c r="B32" s="182">
        <f t="shared" si="16"/>
        <v>45958</v>
      </c>
      <c r="C32" s="176" t="s">
        <v>56</v>
      </c>
      <c r="D32" s="132"/>
      <c r="E32" s="133"/>
      <c r="F32" s="134"/>
      <c r="G32" s="135"/>
      <c r="H32" s="136" t="e">
        <f t="shared" si="0"/>
        <v>#DIV/0!</v>
      </c>
      <c r="I32" s="135"/>
      <c r="J32" s="136" t="e">
        <f>ROUNDDOWN(I32/1.1,0)/F32</f>
        <v>#DIV/0!</v>
      </c>
      <c r="K32" s="138">
        <f t="shared" si="26"/>
        <v>0</v>
      </c>
      <c r="L32" s="139" t="str">
        <f t="shared" si="2"/>
        <v/>
      </c>
      <c r="M32" s="140"/>
      <c r="N32" s="141">
        <f t="shared" si="28"/>
        <v>38</v>
      </c>
      <c r="O32" s="142">
        <f t="shared" si="28"/>
        <v>317240</v>
      </c>
      <c r="P32" s="136">
        <f>ROUNDDOWN(O32/1.1,0)/N32</f>
        <v>7589.4736842105267</v>
      </c>
      <c r="Q32" s="142">
        <f>AP32-I32</f>
        <v>74290</v>
      </c>
      <c r="R32" s="136">
        <f>ROUNDDOWN(Q32/1.1,0)/N32</f>
        <v>1777.2631578947369</v>
      </c>
      <c r="S32" s="143">
        <f>O32+Q32</f>
        <v>391530</v>
      </c>
      <c r="T32" s="139">
        <f>IF(N32="","",S32/N32)</f>
        <v>10303.421052631578</v>
      </c>
      <c r="U32" s="144">
        <f t="shared" si="27"/>
        <v>38</v>
      </c>
      <c r="V32" s="142">
        <f>G32+O32</f>
        <v>317240</v>
      </c>
      <c r="W32" s="142">
        <f>I32+Q32</f>
        <v>74290</v>
      </c>
      <c r="X32" s="145">
        <f>K32+S32</f>
        <v>391530</v>
      </c>
      <c r="Y32" s="142">
        <f>IF(U32="","",X32/U32)</f>
        <v>10303.421052631578</v>
      </c>
      <c r="Z32" s="146"/>
      <c r="AA32" s="183">
        <v>39</v>
      </c>
      <c r="AB32" s="135">
        <v>21100</v>
      </c>
      <c r="AC32" s="136">
        <f>AB32/AA32</f>
        <v>541.02564102564099</v>
      </c>
      <c r="AD32" s="135">
        <v>16070</v>
      </c>
      <c r="AE32" s="137">
        <f>AD32/AA32</f>
        <v>412.05128205128204</v>
      </c>
      <c r="AF32" s="148">
        <f>AB32+AD32</f>
        <v>37170</v>
      </c>
      <c r="AG32" s="139">
        <f>IF(AA32="","",AF32/AA32)</f>
        <v>953.07692307692309</v>
      </c>
      <c r="AH32" s="154">
        <f>SUM(F32,N32)</f>
        <v>38</v>
      </c>
      <c r="AI32" s="150">
        <f>V32+AB32</f>
        <v>338340</v>
      </c>
      <c r="AJ32" s="150">
        <f>W32+AD32</f>
        <v>90360</v>
      </c>
      <c r="AK32" s="149">
        <f>X32+AF32</f>
        <v>428700</v>
      </c>
      <c r="AL32" s="142">
        <f>AQ32+AR32+AS32</f>
        <v>44150</v>
      </c>
      <c r="AM32" s="142"/>
      <c r="AN32" s="150">
        <v>38</v>
      </c>
      <c r="AO32" s="150">
        <v>317240</v>
      </c>
      <c r="AP32" s="150">
        <v>74290</v>
      </c>
      <c r="AQ32" s="151">
        <v>42500</v>
      </c>
      <c r="AR32" s="151">
        <v>1650</v>
      </c>
      <c r="AS32" s="151"/>
      <c r="AT32" s="151">
        <v>19800</v>
      </c>
      <c r="AU32" s="152">
        <f>SUM(AO32:AS32)</f>
        <v>435680</v>
      </c>
      <c r="AV32" s="119">
        <v>26</v>
      </c>
      <c r="AW32" s="120">
        <f>AT32+AU32</f>
        <v>455480</v>
      </c>
      <c r="AX32" s="177">
        <f t="shared" si="15"/>
        <v>492650</v>
      </c>
    </row>
    <row r="33" spans="1:50" ht="15.75" customHeight="1">
      <c r="A33" s="119"/>
      <c r="B33" s="182">
        <f t="shared" si="16"/>
        <v>45959</v>
      </c>
      <c r="C33" s="176" t="s">
        <v>56</v>
      </c>
      <c r="D33" s="132"/>
      <c r="E33" s="133"/>
      <c r="F33" s="134"/>
      <c r="G33" s="135"/>
      <c r="H33" s="136" t="e">
        <f t="shared" si="0"/>
        <v>#DIV/0!</v>
      </c>
      <c r="I33" s="135"/>
      <c r="J33" s="136" t="e">
        <f>ROUNDDOWN(I33/1.1,0)/F33</f>
        <v>#DIV/0!</v>
      </c>
      <c r="K33" s="138">
        <f t="shared" si="26"/>
        <v>0</v>
      </c>
      <c r="L33" s="139" t="str">
        <f t="shared" si="2"/>
        <v/>
      </c>
      <c r="M33" s="140"/>
      <c r="N33" s="141">
        <f t="shared" si="28"/>
        <v>33</v>
      </c>
      <c r="O33" s="142">
        <f t="shared" si="28"/>
        <v>353540</v>
      </c>
      <c r="P33" s="136">
        <f>ROUNDDOWN(O33/1.1,0)/N33</f>
        <v>9739.3939393939399</v>
      </c>
      <c r="Q33" s="142">
        <f>AP33-I33</f>
        <v>50420</v>
      </c>
      <c r="R33" s="136">
        <f>ROUNDDOWN(Q33/1.1,0)/N33</f>
        <v>1388.969696969697</v>
      </c>
      <c r="S33" s="143">
        <f>O33+Q33</f>
        <v>403960</v>
      </c>
      <c r="T33" s="139">
        <f>IF(N33="","",S33/N33)</f>
        <v>12241.212121212122</v>
      </c>
      <c r="U33" s="144">
        <f t="shared" si="27"/>
        <v>33</v>
      </c>
      <c r="V33" s="142">
        <f>G33+O33</f>
        <v>353540</v>
      </c>
      <c r="W33" s="142">
        <f>I33+Q33</f>
        <v>50420</v>
      </c>
      <c r="X33" s="145">
        <f>K33+S33</f>
        <v>403960</v>
      </c>
      <c r="Y33" s="142">
        <f>IF(U33="","",X33/U33)</f>
        <v>12241.212121212122</v>
      </c>
      <c r="Z33" s="146"/>
      <c r="AA33" s="183">
        <v>69</v>
      </c>
      <c r="AB33" s="135">
        <v>48450</v>
      </c>
      <c r="AC33" s="136">
        <f>AB33/AA33</f>
        <v>702.17391304347825</v>
      </c>
      <c r="AD33" s="135">
        <v>38010</v>
      </c>
      <c r="AE33" s="137">
        <f>AD33/AA33</f>
        <v>550.86956521739125</v>
      </c>
      <c r="AF33" s="148">
        <f>AB33+AD33</f>
        <v>86460</v>
      </c>
      <c r="AG33" s="139">
        <f>IF(AA33="","",AF33/AA33)</f>
        <v>1253.0434782608695</v>
      </c>
      <c r="AH33" s="154">
        <f>SUM(F33,N33)</f>
        <v>33</v>
      </c>
      <c r="AI33" s="150">
        <f>V33+AB33</f>
        <v>401990</v>
      </c>
      <c r="AJ33" s="150">
        <f>W33+AD33</f>
        <v>88430</v>
      </c>
      <c r="AK33" s="149">
        <f>X33+AF33</f>
        <v>490420</v>
      </c>
      <c r="AL33" s="142">
        <f>AQ33+AR33+AS33</f>
        <v>36760</v>
      </c>
      <c r="AM33" s="142"/>
      <c r="AN33" s="150">
        <v>33</v>
      </c>
      <c r="AO33" s="150">
        <v>353540</v>
      </c>
      <c r="AP33" s="150">
        <v>50420</v>
      </c>
      <c r="AQ33" s="151">
        <v>35200</v>
      </c>
      <c r="AR33" s="151">
        <v>1560</v>
      </c>
      <c r="AS33" s="151"/>
      <c r="AT33" s="151"/>
      <c r="AU33" s="152">
        <f>SUM(AO33:AS33)</f>
        <v>440720</v>
      </c>
      <c r="AV33" s="119">
        <v>27</v>
      </c>
      <c r="AW33" s="120">
        <f>AT33+AU33</f>
        <v>440720</v>
      </c>
      <c r="AX33" s="177">
        <f t="shared" si="15"/>
        <v>527180</v>
      </c>
    </row>
    <row r="34" spans="1:50" ht="15.75" customHeight="1">
      <c r="A34" s="119"/>
      <c r="B34" s="169">
        <f>B33+1</f>
        <v>45960</v>
      </c>
      <c r="C34" s="176" t="s">
        <v>56</v>
      </c>
      <c r="D34" s="132"/>
      <c r="E34" s="133"/>
      <c r="F34" s="134"/>
      <c r="G34" s="135"/>
      <c r="H34" s="136" t="e">
        <f t="shared" si="0"/>
        <v>#DIV/0!</v>
      </c>
      <c r="I34" s="135"/>
      <c r="J34" s="136" t="e">
        <f>ROUNDDOWN(I34/1.1,0)/F34</f>
        <v>#DIV/0!</v>
      </c>
      <c r="K34" s="138">
        <f t="shared" si="26"/>
        <v>0</v>
      </c>
      <c r="L34" s="139" t="str">
        <f t="shared" si="2"/>
        <v/>
      </c>
      <c r="M34" s="140"/>
      <c r="N34" s="141">
        <f t="shared" si="28"/>
        <v>41</v>
      </c>
      <c r="O34" s="142">
        <f t="shared" si="28"/>
        <v>412390</v>
      </c>
      <c r="P34" s="136">
        <f>ROUNDDOWN(O34/1.1,0)/N34</f>
        <v>9143.9024390243903</v>
      </c>
      <c r="Q34" s="142">
        <f>AP34-I34</f>
        <v>59740</v>
      </c>
      <c r="R34" s="136">
        <f>ROUNDDOWN(Q34/1.1,0)/N34</f>
        <v>1324.6097560975609</v>
      </c>
      <c r="S34" s="143">
        <f>O34+Q34</f>
        <v>472130</v>
      </c>
      <c r="T34" s="139">
        <f>IF(N34="","",S34/N34)</f>
        <v>11515.365853658537</v>
      </c>
      <c r="U34" s="144">
        <f t="shared" si="27"/>
        <v>41</v>
      </c>
      <c r="V34" s="142">
        <f>G34+O34</f>
        <v>412390</v>
      </c>
      <c r="W34" s="142">
        <f>I34+Q34</f>
        <v>59740</v>
      </c>
      <c r="X34" s="145">
        <f>K34+S34</f>
        <v>472130</v>
      </c>
      <c r="Y34" s="142">
        <f>IF(U34="","",X34/U34)</f>
        <v>11515.365853658537</v>
      </c>
      <c r="Z34" s="146"/>
      <c r="AA34" s="147">
        <v>100</v>
      </c>
      <c r="AB34" s="135">
        <v>74450</v>
      </c>
      <c r="AC34" s="136">
        <f>AB34/AA34</f>
        <v>744.5</v>
      </c>
      <c r="AD34" s="135">
        <v>26830</v>
      </c>
      <c r="AE34" s="137">
        <f>AD34/AA34</f>
        <v>268.3</v>
      </c>
      <c r="AF34" s="148">
        <f>AB34+AD34</f>
        <v>101280</v>
      </c>
      <c r="AG34" s="139">
        <f>IF(AA34="","",AF34/AA34)</f>
        <v>1012.8</v>
      </c>
      <c r="AH34" s="154">
        <f>SUM(F34,N34)</f>
        <v>41</v>
      </c>
      <c r="AI34" s="150">
        <f>V34+AB34</f>
        <v>486840</v>
      </c>
      <c r="AJ34" s="150">
        <f>W34+AD34</f>
        <v>86570</v>
      </c>
      <c r="AK34" s="149">
        <f>X34+AF34</f>
        <v>573410</v>
      </c>
      <c r="AL34" s="142">
        <f>AQ34+AR34+AS34</f>
        <v>39600</v>
      </c>
      <c r="AM34" s="142"/>
      <c r="AN34" s="150">
        <v>41</v>
      </c>
      <c r="AO34" s="150">
        <v>412390</v>
      </c>
      <c r="AP34" s="150">
        <v>59740</v>
      </c>
      <c r="AQ34" s="151">
        <v>39600</v>
      </c>
      <c r="AR34" s="151"/>
      <c r="AS34" s="151"/>
      <c r="AT34" s="151"/>
      <c r="AU34" s="152">
        <f>SUM(AO34:AS34)</f>
        <v>511730</v>
      </c>
      <c r="AV34" s="119">
        <v>27</v>
      </c>
      <c r="AW34" s="120">
        <f>AT34+AU34</f>
        <v>511730</v>
      </c>
      <c r="AX34" s="177">
        <f t="shared" si="15"/>
        <v>613010</v>
      </c>
    </row>
    <row r="35" spans="1:50" ht="15.75" customHeight="1" thickBot="1">
      <c r="A35" s="119"/>
      <c r="B35" s="169">
        <f>B34+1</f>
        <v>45961</v>
      </c>
      <c r="C35" s="176" t="s">
        <v>56</v>
      </c>
      <c r="D35" s="188"/>
      <c r="E35" s="189"/>
      <c r="F35" s="134"/>
      <c r="G35" s="190"/>
      <c r="H35" s="136"/>
      <c r="I35" s="135"/>
      <c r="J35" s="191"/>
      <c r="K35" s="138"/>
      <c r="L35" s="139"/>
      <c r="M35" s="192"/>
      <c r="N35" s="141">
        <f t="shared" si="28"/>
        <v>41</v>
      </c>
      <c r="O35" s="193">
        <f t="shared" si="28"/>
        <v>422730</v>
      </c>
      <c r="P35" s="136">
        <f>ROUNDDOWN(O35/1.1,0)/N35</f>
        <v>9373.1707317073178</v>
      </c>
      <c r="Q35" s="142">
        <f>AP35-I35</f>
        <v>55100</v>
      </c>
      <c r="R35" s="136">
        <f>ROUNDDOWN(Q35/1.1,0)/N35</f>
        <v>1221.7073170731708</v>
      </c>
      <c r="S35" s="143">
        <f>O35+Q35</f>
        <v>477830</v>
      </c>
      <c r="T35" s="139">
        <f>IF(N35="","",S35/N35)</f>
        <v>11654.390243902439</v>
      </c>
      <c r="U35" s="144">
        <f t="shared" si="27"/>
        <v>41</v>
      </c>
      <c r="V35" s="142">
        <f>G35+O35</f>
        <v>422730</v>
      </c>
      <c r="W35" s="142">
        <f>I35+Q35</f>
        <v>55100</v>
      </c>
      <c r="X35" s="145">
        <f>K35+S35</f>
        <v>477830</v>
      </c>
      <c r="Y35" s="142">
        <f>IF(U35="","",X35/U35)</f>
        <v>11654.390243902439</v>
      </c>
      <c r="Z35" s="146"/>
      <c r="AA35" s="147">
        <v>72</v>
      </c>
      <c r="AB35" s="135">
        <v>40450</v>
      </c>
      <c r="AC35" s="136">
        <f>AB35/AA35</f>
        <v>561.80555555555554</v>
      </c>
      <c r="AD35" s="135">
        <v>27300</v>
      </c>
      <c r="AE35" s="137">
        <f>AD35/AA35</f>
        <v>379.16666666666669</v>
      </c>
      <c r="AF35" s="148">
        <f>AB35+AD35</f>
        <v>67750</v>
      </c>
      <c r="AG35" s="139">
        <f>IF(AA35="","",AF35/AA35)</f>
        <v>940.97222222222217</v>
      </c>
      <c r="AH35" s="154">
        <f>SUM(F35,N35)</f>
        <v>41</v>
      </c>
      <c r="AI35" s="150">
        <f>V35+AB35</f>
        <v>463180</v>
      </c>
      <c r="AJ35" s="150">
        <f>W35+AD35</f>
        <v>82400</v>
      </c>
      <c r="AK35" s="149">
        <f>X35+AF35</f>
        <v>545580</v>
      </c>
      <c r="AL35" s="142">
        <f>AQ35+AR35+AS35</f>
        <v>47410</v>
      </c>
      <c r="AM35" s="142"/>
      <c r="AN35" s="150">
        <v>41</v>
      </c>
      <c r="AO35" s="150">
        <v>422730</v>
      </c>
      <c r="AP35" s="150">
        <v>55100</v>
      </c>
      <c r="AQ35" s="151">
        <v>42900</v>
      </c>
      <c r="AR35" s="151">
        <v>4510</v>
      </c>
      <c r="AS35" s="151"/>
      <c r="AT35" s="151">
        <v>75500</v>
      </c>
      <c r="AU35" s="152">
        <f>SUM(AO35:AS35)</f>
        <v>525240</v>
      </c>
      <c r="AV35" s="119">
        <v>28</v>
      </c>
      <c r="AW35" s="120">
        <f>AT35+AU35</f>
        <v>600740</v>
      </c>
      <c r="AX35" s="177">
        <f t="shared" si="15"/>
        <v>668490</v>
      </c>
    </row>
    <row r="36" spans="1:50" ht="15.75" customHeight="1" thickTop="1" thickBot="1">
      <c r="A36" s="34"/>
      <c r="B36" s="35" t="s">
        <v>25</v>
      </c>
      <c r="C36" s="176"/>
      <c r="D36" s="159"/>
      <c r="E36" s="37">
        <f>SUM(E5:E34)</f>
        <v>0</v>
      </c>
      <c r="F36" s="38">
        <f>SUM(F5:F34)</f>
        <v>250</v>
      </c>
      <c r="G36" s="39">
        <f>SUM(G5:G34)</f>
        <v>1172800</v>
      </c>
      <c r="H36" s="40">
        <f>G36/F36</f>
        <v>4691.2</v>
      </c>
      <c r="I36" s="36">
        <f>SUM(I5:I34)</f>
        <v>218910</v>
      </c>
      <c r="J36" s="41">
        <f>I36/F36</f>
        <v>875.64</v>
      </c>
      <c r="K36" s="42">
        <f>SUM(K5:K34)</f>
        <v>1391710</v>
      </c>
      <c r="L36" s="43">
        <f>K36/F36</f>
        <v>5566.84</v>
      </c>
      <c r="M36" s="44">
        <f>SUM(M5:M34)</f>
        <v>0</v>
      </c>
      <c r="N36" s="38">
        <f>SUM(N5:N35)</f>
        <v>1141</v>
      </c>
      <c r="O36" s="39">
        <f>SUM(O5:O35)</f>
        <v>11056290</v>
      </c>
      <c r="P36" s="40">
        <f>O36/N36</f>
        <v>9690</v>
      </c>
      <c r="Q36" s="45">
        <f>SUM(Q5:Q35)</f>
        <v>1896620</v>
      </c>
      <c r="R36" s="41">
        <f>Q36/N36</f>
        <v>1662.2436459246276</v>
      </c>
      <c r="S36" s="46">
        <f>SUM(S5:S35)</f>
        <v>12952910</v>
      </c>
      <c r="T36" s="47">
        <f>S36/N36</f>
        <v>11352.243645924627</v>
      </c>
      <c r="U36" s="38">
        <f>SUM(U5:U34)</f>
        <v>1350</v>
      </c>
      <c r="V36" s="48">
        <f>SUM(V5:V34)</f>
        <v>11806360</v>
      </c>
      <c r="W36" s="45">
        <f>SUM(W5:W34)</f>
        <v>2060430</v>
      </c>
      <c r="X36" s="49">
        <f>SUM(X5:X34)</f>
        <v>13866790</v>
      </c>
      <c r="Y36" s="50">
        <f>X36/U36</f>
        <v>10271.696296296297</v>
      </c>
      <c r="Z36" s="37">
        <f>SUM(Z5:Z34)</f>
        <v>0</v>
      </c>
      <c r="AA36" s="38">
        <f>SUM(AA5:AA35)</f>
        <v>2243</v>
      </c>
      <c r="AB36" s="51">
        <f>SUM(AB5:AB35)</f>
        <v>1413150</v>
      </c>
      <c r="AC36" s="136">
        <f>AB36/AA36</f>
        <v>630.0267498885421</v>
      </c>
      <c r="AD36" s="36">
        <f>SUM(AD5:AD35)</f>
        <v>651540</v>
      </c>
      <c r="AE36" s="137">
        <f>AD36/AA36</f>
        <v>290.47703967900134</v>
      </c>
      <c r="AF36" s="52">
        <f>SUM(AF5:AF34)</f>
        <v>1996940</v>
      </c>
      <c r="AG36" s="53">
        <f>AF36/AA36</f>
        <v>890.29870708872045</v>
      </c>
      <c r="AH36" s="38">
        <f t="shared" ref="AH36:AU36" si="29">SUM(AH5:AH34)</f>
        <v>1350</v>
      </c>
      <c r="AI36" s="48">
        <f t="shared" si="29"/>
        <v>13179060</v>
      </c>
      <c r="AJ36" s="45">
        <f>SUM(AJ5:AJ35)</f>
        <v>2767070</v>
      </c>
      <c r="AK36" s="46">
        <f t="shared" si="29"/>
        <v>15863730</v>
      </c>
      <c r="AL36" s="36">
        <f t="shared" si="29"/>
        <v>1431220</v>
      </c>
      <c r="AM36" s="173">
        <f t="shared" si="29"/>
        <v>8900</v>
      </c>
      <c r="AN36" s="54">
        <f>SUM(AN5:AN35)</f>
        <v>1391</v>
      </c>
      <c r="AO36" s="54">
        <f>SUM(AO5:AO35)</f>
        <v>12229090</v>
      </c>
      <c r="AP36" s="54">
        <f>SUM(AP5:AP35)</f>
        <v>2115530</v>
      </c>
      <c r="AQ36" s="54">
        <f>SUM(AQ5:AQ35)</f>
        <v>1219250</v>
      </c>
      <c r="AR36" s="54">
        <f>SUM(AR5:AR35)</f>
        <v>259380</v>
      </c>
      <c r="AS36" s="54">
        <f t="shared" si="29"/>
        <v>0</v>
      </c>
      <c r="AT36" s="54">
        <f>SUM(AT5:AT35)</f>
        <v>373900</v>
      </c>
      <c r="AU36" s="54">
        <f t="shared" si="29"/>
        <v>15298010</v>
      </c>
      <c r="AV36" s="34"/>
      <c r="AW36" s="55">
        <f>SUM(AW5:AW34)</f>
        <v>15596410</v>
      </c>
      <c r="AX36" s="55">
        <f>SUM(AX5:AX34)</f>
        <v>17602250</v>
      </c>
    </row>
    <row r="37" spans="1:50" ht="15.75" customHeight="1" thickTop="1">
      <c r="A37" s="34"/>
      <c r="B37" s="56"/>
      <c r="C37" s="160"/>
      <c r="D37" s="88"/>
      <c r="E37" s="34"/>
      <c r="F37" s="57" t="s">
        <v>34</v>
      </c>
      <c r="G37" s="58">
        <f>G36/1.1</f>
        <v>1066181.8181818181</v>
      </c>
      <c r="H37" s="59">
        <f>G37/F36</f>
        <v>4264.7272727272721</v>
      </c>
      <c r="I37" s="32">
        <f>I36/1.1</f>
        <v>199009.09090909088</v>
      </c>
      <c r="J37" s="59">
        <f>I37/F36</f>
        <v>796.03636363636349</v>
      </c>
      <c r="K37" s="54">
        <f>K36/1.1</f>
        <v>1265190.9090909089</v>
      </c>
      <c r="L37" s="60">
        <f>H37+J37</f>
        <v>5060.7636363636357</v>
      </c>
      <c r="M37" s="61"/>
      <c r="N37" s="57" t="s">
        <v>34</v>
      </c>
      <c r="O37" s="58">
        <f>O36/1.1</f>
        <v>10051172.727272727</v>
      </c>
      <c r="P37" s="59">
        <f>O37/N36</f>
        <v>8809.0909090909081</v>
      </c>
      <c r="Q37" s="58">
        <f>Q36/1.1</f>
        <v>1724199.9999999998</v>
      </c>
      <c r="R37" s="59">
        <f>Q37/N36</f>
        <v>1511.1305872042067</v>
      </c>
      <c r="S37" s="59">
        <f>S36/1.1</f>
        <v>11775372.727272727</v>
      </c>
      <c r="T37" s="62">
        <f>S37/N36</f>
        <v>10320.221496295115</v>
      </c>
      <c r="U37" s="57" t="s">
        <v>34</v>
      </c>
      <c r="V37" s="58">
        <f>V36/1.1</f>
        <v>10733054.545454545</v>
      </c>
      <c r="W37" s="58">
        <f>W36/1.1</f>
        <v>1873118.1818181816</v>
      </c>
      <c r="X37" s="63">
        <f>X36/1.1</f>
        <v>12606172.727272727</v>
      </c>
      <c r="Y37" s="50">
        <f>X37/U36</f>
        <v>9337.9057239057238</v>
      </c>
      <c r="Z37" s="61"/>
      <c r="AA37" s="57" t="s">
        <v>34</v>
      </c>
      <c r="AB37" s="58">
        <f>AB36/1.1</f>
        <v>1284681.8181818181</v>
      </c>
      <c r="AC37" s="32">
        <f>AB37/AA36</f>
        <v>572.75159080776552</v>
      </c>
      <c r="AD37" s="32">
        <f>AD36/1.1</f>
        <v>592309.09090909082</v>
      </c>
      <c r="AE37" s="32">
        <f>AD37/AA36</f>
        <v>264.07003607181935</v>
      </c>
      <c r="AF37" s="59">
        <f>AF36/1.1</f>
        <v>1815399.9999999998</v>
      </c>
      <c r="AG37" s="64">
        <f>AF37/AA36</f>
        <v>809.36246098974573</v>
      </c>
      <c r="AH37" s="57" t="s">
        <v>34</v>
      </c>
      <c r="AI37" s="65">
        <f>AI36/1.1</f>
        <v>11980963.636363635</v>
      </c>
      <c r="AJ37" s="58">
        <f>AJ36/1.1</f>
        <v>2515518.1818181816</v>
      </c>
      <c r="AK37" s="59">
        <f>AK36/1.1</f>
        <v>14421572.727272727</v>
      </c>
      <c r="AL37" s="174">
        <f>AL36/1.1</f>
        <v>1301109.0909090908</v>
      </c>
      <c r="AM37" s="175">
        <f>AM36/1.08</f>
        <v>8240.7407407407409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61"/>
      <c r="D38" s="89"/>
      <c r="E38" s="31"/>
      <c r="F38" s="68" t="s">
        <v>35</v>
      </c>
      <c r="G38" s="69">
        <f>F36/H38</f>
        <v>31.25</v>
      </c>
      <c r="H38" s="70">
        <v>8</v>
      </c>
      <c r="I38" s="71" t="s">
        <v>36</v>
      </c>
      <c r="J38" s="69"/>
      <c r="K38" s="72" t="s">
        <v>37</v>
      </c>
      <c r="L38" s="73">
        <f>K37/H38</f>
        <v>158148.86363636362</v>
      </c>
      <c r="M38" s="31"/>
      <c r="N38" s="68" t="s">
        <v>35</v>
      </c>
      <c r="O38" s="69">
        <f>N36/P38</f>
        <v>38.033333333333331</v>
      </c>
      <c r="P38" s="70">
        <v>30</v>
      </c>
      <c r="Q38" s="71" t="s">
        <v>36</v>
      </c>
      <c r="R38" s="69"/>
      <c r="S38" s="72" t="s">
        <v>37</v>
      </c>
      <c r="T38" s="74">
        <f>S37/P38</f>
        <v>392512.4242424242</v>
      </c>
      <c r="U38" s="31"/>
      <c r="V38" s="31"/>
      <c r="W38" s="31"/>
      <c r="X38" s="33"/>
      <c r="Y38" s="33"/>
      <c r="Z38" s="31"/>
      <c r="AA38" s="31"/>
      <c r="AB38" s="75">
        <f>P38</f>
        <v>30</v>
      </c>
      <c r="AC38" s="71" t="s">
        <v>36</v>
      </c>
      <c r="AD38" s="69"/>
      <c r="AE38" s="69"/>
      <c r="AF38" s="72" t="s">
        <v>37</v>
      </c>
      <c r="AG38" s="76">
        <f>AF37/AB38</f>
        <v>60513.333333333328</v>
      </c>
      <c r="AH38" s="31"/>
      <c r="AI38" s="31"/>
      <c r="AJ38" s="31" t="s">
        <v>50</v>
      </c>
      <c r="AK38" s="33"/>
      <c r="AL38" s="33">
        <f>AK37/AN38</f>
        <v>4013.7970295777141</v>
      </c>
      <c r="AM38" s="33"/>
      <c r="AN38" s="77">
        <f>AH36+AA36</f>
        <v>3593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14178554.545454545</v>
      </c>
    </row>
    <row r="39" spans="1:50" ht="15.75" customHeight="1">
      <c r="A39" s="31"/>
      <c r="B39" s="67"/>
      <c r="C39" s="161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52</v>
      </c>
      <c r="AL39" s="82">
        <f>AK37/AB38</f>
        <v>480719.09090909088</v>
      </c>
      <c r="AM39" s="82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62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54</v>
      </c>
      <c r="AK40" s="33">
        <f>AK36+AL36+AM36</f>
        <v>17303850</v>
      </c>
      <c r="AL40" s="82">
        <f>AK40/AB38</f>
        <v>576795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2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55</v>
      </c>
      <c r="AK41" s="66">
        <f>AK37+AL37+AM37</f>
        <v>15730922.558922557</v>
      </c>
      <c r="AL41" s="82">
        <f>AK41/AB38</f>
        <v>524364.08529741853</v>
      </c>
      <c r="AM41" s="82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2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62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15722681.818181816</v>
      </c>
      <c r="AL43" s="89" t="s">
        <v>42</v>
      </c>
      <c r="AM43" s="89" t="s">
        <v>59</v>
      </c>
      <c r="AN43" s="89" t="s">
        <v>60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2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16988193</v>
      </c>
      <c r="AL44" s="163">
        <f>AM44+AN44</f>
        <v>1026273</v>
      </c>
      <c r="AM44" s="34">
        <v>876273</v>
      </c>
      <c r="AN44" s="34">
        <v>150000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61"/>
      <c r="D45" s="89"/>
      <c r="E45" s="31"/>
      <c r="F45" s="31"/>
      <c r="G45" s="31"/>
      <c r="H45" s="31"/>
      <c r="I45" s="93"/>
      <c r="J45" s="94" t="s">
        <v>44</v>
      </c>
      <c r="K45" s="164">
        <v>1344000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64">
        <v>12099170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64">
        <v>2518750</v>
      </c>
      <c r="AG45" s="95" t="s">
        <v>45</v>
      </c>
      <c r="AH45" s="34"/>
      <c r="AI45" s="34"/>
      <c r="AJ45" s="88" t="s">
        <v>48</v>
      </c>
      <c r="AK45" s="66">
        <f>AK44-AK37-AL37</f>
        <v>1265511.1818181826</v>
      </c>
      <c r="AL45" s="66">
        <f>AL44-AL37</f>
        <v>-274836.09090909082</v>
      </c>
      <c r="AM45" s="105">
        <f>AL37/AL44</f>
        <v>1.2678001768623854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61"/>
      <c r="D46" s="89"/>
      <c r="E46" s="31"/>
      <c r="F46" s="31"/>
      <c r="G46" s="31"/>
      <c r="H46" s="31"/>
      <c r="I46" s="93"/>
      <c r="J46" s="93" t="s">
        <v>48</v>
      </c>
      <c r="K46" s="66">
        <f>K45-K37</f>
        <v>78809.090909091057</v>
      </c>
      <c r="L46" s="178">
        <f>9-H38</f>
        <v>1</v>
      </c>
      <c r="M46" s="34"/>
      <c r="N46" s="34"/>
      <c r="O46" s="34"/>
      <c r="P46" s="34"/>
      <c r="Q46" s="34"/>
      <c r="R46" s="93" t="s">
        <v>48</v>
      </c>
      <c r="S46" s="66">
        <f>S45-S37</f>
        <v>323797.2727272734</v>
      </c>
      <c r="T46" s="179">
        <f>31-P38</f>
        <v>1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703350.00000000023</v>
      </c>
      <c r="AG46" s="179">
        <f>31-AB38</f>
        <v>1</v>
      </c>
      <c r="AH46" s="34"/>
      <c r="AI46" s="96"/>
      <c r="AJ46" s="97" t="s">
        <v>49</v>
      </c>
      <c r="AK46" s="98">
        <f>AK45/T46</f>
        <v>1265511.1818181826</v>
      </c>
      <c r="AL46" s="104">
        <f>(AK37+AL37)/AK44</f>
        <v>0.92550642779851966</v>
      </c>
      <c r="AM46" s="104"/>
      <c r="AN46" s="96"/>
      <c r="AO46" s="99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99"/>
      <c r="B47" s="100"/>
      <c r="C47" s="165"/>
      <c r="D47" s="113"/>
      <c r="E47" s="99"/>
      <c r="F47" s="99"/>
      <c r="G47" s="99"/>
      <c r="H47" s="99"/>
      <c r="I47" s="101"/>
      <c r="J47" s="97" t="s">
        <v>49</v>
      </c>
      <c r="K47" s="102">
        <f>K46/L46</f>
        <v>78809.090909091057</v>
      </c>
      <c r="L47" s="103">
        <f>K37/K45</f>
        <v>0.94136228354978346</v>
      </c>
      <c r="M47" s="96"/>
      <c r="N47" s="96"/>
      <c r="O47" s="96"/>
      <c r="P47" s="96"/>
      <c r="Q47" s="96"/>
      <c r="R47" s="97" t="s">
        <v>49</v>
      </c>
      <c r="S47" s="98">
        <f>S46/T46</f>
        <v>323797.2727272734</v>
      </c>
      <c r="T47" s="103">
        <f>S37/S45</f>
        <v>0.97323805907948446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7" t="s">
        <v>49</v>
      </c>
      <c r="AF47" s="102">
        <f>AF46/AG46</f>
        <v>703350.00000000023</v>
      </c>
      <c r="AG47" s="103">
        <f>AF37/AF45</f>
        <v>0.72075434243176173</v>
      </c>
      <c r="AH47" s="96"/>
      <c r="AI47" s="31"/>
      <c r="AJ47" s="31"/>
      <c r="AK47" s="33"/>
      <c r="AL47" s="31"/>
      <c r="AM47" s="31"/>
      <c r="AN47" s="31"/>
      <c r="AO47" s="31"/>
      <c r="AP47" s="99"/>
      <c r="AQ47" s="99"/>
      <c r="AR47" s="99"/>
      <c r="AS47" s="106"/>
      <c r="AT47" s="99"/>
      <c r="AU47" s="106"/>
      <c r="AV47" s="99"/>
      <c r="AW47" s="99"/>
    </row>
    <row r="48" spans="1:50" ht="15.75" customHeight="1">
      <c r="A48" s="31"/>
      <c r="B48" s="67"/>
      <c r="C48" s="161"/>
      <c r="D48" s="89"/>
      <c r="E48" s="31"/>
      <c r="F48" s="31"/>
      <c r="G48" s="31"/>
      <c r="H48" s="31"/>
      <c r="I48" s="31"/>
      <c r="J48" s="31"/>
      <c r="K48" s="31"/>
      <c r="L48" s="187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7"/>
      <c r="AJ48" s="107"/>
      <c r="AK48" s="107"/>
      <c r="AL48" s="107"/>
      <c r="AM48" s="107"/>
      <c r="AN48" s="107"/>
      <c r="AO48" s="107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7"/>
      <c r="B49" s="108"/>
      <c r="C49" s="166"/>
      <c r="D49" s="1"/>
      <c r="E49" s="107"/>
      <c r="F49" s="107"/>
      <c r="G49" s="107"/>
      <c r="H49" s="107"/>
      <c r="I49" s="107"/>
      <c r="J49" s="107"/>
      <c r="K49" s="107"/>
      <c r="L49" s="107"/>
      <c r="M49" s="109"/>
      <c r="N49" s="31"/>
      <c r="O49" s="31"/>
      <c r="P49" s="31"/>
      <c r="Q49" s="31"/>
      <c r="R49" s="31"/>
      <c r="S49" s="109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"/>
      <c r="AJ49" s="1"/>
      <c r="AK49" s="1"/>
      <c r="AL49" s="1"/>
      <c r="AM49" s="1"/>
      <c r="AN49" s="1"/>
      <c r="AO49" s="1"/>
      <c r="AP49" s="107"/>
      <c r="AQ49" s="107"/>
      <c r="AR49" s="107"/>
      <c r="AS49" s="110"/>
      <c r="AT49" s="107"/>
      <c r="AU49" s="110"/>
      <c r="AV49" s="107"/>
      <c r="AW49" s="107"/>
    </row>
    <row r="50" spans="1:49" ht="36" customHeight="1">
      <c r="A50" s="1"/>
      <c r="B50" s="111"/>
      <c r="C50" s="121"/>
      <c r="D50" s="1"/>
      <c r="E50" s="1"/>
      <c r="F50" s="1"/>
      <c r="G50" s="1"/>
      <c r="H50" s="1"/>
      <c r="I50" s="1"/>
      <c r="J50" s="1"/>
      <c r="K50" s="1"/>
      <c r="L50" s="1"/>
      <c r="M50" s="112"/>
      <c r="N50" s="31"/>
      <c r="O50" s="31"/>
      <c r="P50" s="31"/>
      <c r="Q50" s="31"/>
      <c r="R50" s="31"/>
      <c r="S50" s="112"/>
      <c r="T50" s="112"/>
      <c r="U50" s="1"/>
      <c r="V50" s="1"/>
      <c r="W50" s="1"/>
      <c r="X50" s="1"/>
      <c r="Y50" s="1"/>
      <c r="Z50" s="1"/>
      <c r="AA50" s="113"/>
      <c r="AB50" s="1"/>
      <c r="AC50" s="1"/>
      <c r="AD50" s="1"/>
      <c r="AE50" s="1"/>
      <c r="AF50" s="1"/>
      <c r="AG50" s="1"/>
      <c r="AH50" s="1"/>
      <c r="AI50" s="107"/>
      <c r="AJ50" s="107"/>
      <c r="AK50" s="107"/>
      <c r="AL50" s="107"/>
      <c r="AM50" s="107"/>
      <c r="AN50" s="107"/>
      <c r="AO50" s="107"/>
      <c r="AP50" s="1"/>
      <c r="AQ50" s="1"/>
      <c r="AR50" s="1"/>
      <c r="AS50" s="114"/>
      <c r="AT50" s="1"/>
      <c r="AU50" s="114"/>
      <c r="AV50" s="1"/>
      <c r="AW50" s="1"/>
    </row>
    <row r="51" spans="1:49" ht="36" customHeight="1">
      <c r="A51" s="107"/>
      <c r="B51" s="108"/>
      <c r="C51" s="166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5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6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6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6"/>
      <c r="D54" s="1"/>
      <c r="E54" s="107"/>
      <c r="F54" s="107"/>
      <c r="G54" s="107"/>
      <c r="H54" s="107"/>
      <c r="I54" s="107"/>
      <c r="J54" s="107"/>
      <c r="K54" s="107"/>
      <c r="L54" s="1"/>
      <c r="M54" s="112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7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10"/>
      <c r="AT54" s="107"/>
      <c r="AU54" s="110"/>
      <c r="AV54" s="107"/>
      <c r="AW54" s="107"/>
    </row>
    <row r="55" spans="1:49" ht="36" customHeight="1">
      <c r="A55" s="107"/>
      <c r="B55" s="108"/>
      <c r="C55" s="166"/>
      <c r="D55" s="1"/>
      <c r="E55" s="107"/>
      <c r="F55" s="107"/>
      <c r="G55" s="107"/>
      <c r="H55" s="107"/>
      <c r="I55" s="107"/>
      <c r="J55" s="107"/>
      <c r="K55" s="107"/>
      <c r="L55" s="107"/>
      <c r="M55" s="109"/>
      <c r="N55" s="31"/>
      <c r="O55" s="31"/>
      <c r="P55" s="31"/>
      <c r="Q55" s="31"/>
      <c r="R55" s="31"/>
      <c r="S55" s="117"/>
      <c r="T55" s="116"/>
      <c r="U55" s="116"/>
      <c r="V55" s="116"/>
      <c r="W55" s="116"/>
      <c r="X55" s="118"/>
      <c r="Y55" s="118"/>
      <c r="Z55" s="119"/>
      <c r="AA55" s="120"/>
      <c r="AB55" s="107"/>
      <c r="AC55" s="107"/>
      <c r="AD55" s="107"/>
      <c r="AE55" s="107"/>
      <c r="AF55" s="107"/>
      <c r="AG55" s="107"/>
      <c r="AH55" s="107"/>
      <c r="AI55" s="31"/>
      <c r="AJ55" s="31"/>
      <c r="AK55" s="31"/>
      <c r="AL55" s="31"/>
      <c r="AM55" s="31"/>
      <c r="AN55" s="31"/>
      <c r="AO55" s="31"/>
      <c r="AP55" s="107"/>
      <c r="AQ55" s="107"/>
      <c r="AR55" s="107"/>
      <c r="AS55" s="110"/>
      <c r="AT55" s="107"/>
      <c r="AU55" s="110"/>
      <c r="AV55" s="107"/>
      <c r="AW55" s="107"/>
    </row>
    <row r="56" spans="1:49" ht="15.75" customHeight="1">
      <c r="A56" s="31"/>
      <c r="B56" s="67"/>
      <c r="C56" s="161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19"/>
      <c r="AA56" s="11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1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7"/>
      <c r="AA57" s="107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1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1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1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1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1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1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1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1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1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1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1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1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1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1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1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1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1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1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1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1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1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1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1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1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1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1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1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1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1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1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1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1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1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1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1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1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1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1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1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1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1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1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1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1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1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1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1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1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1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1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1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1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1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1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1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1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1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1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1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1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1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1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1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1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1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1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1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1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1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1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1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1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1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1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1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1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1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1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1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1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1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1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1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1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1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1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1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1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1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1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1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1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1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1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1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1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1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1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1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1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1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1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1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1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1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1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1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1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1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1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1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1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1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1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1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1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1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1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1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1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1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1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1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1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1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1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1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1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1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1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1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1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1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1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1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1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1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1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1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1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1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1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1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1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1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1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1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1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1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1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1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1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1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1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1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1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1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1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1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1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1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1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1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1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1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1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1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1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1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1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1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1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1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1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1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1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1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1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1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1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1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1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1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1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1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1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1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1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1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61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40:L44"/>
    <mergeCell ref="M40:T44"/>
    <mergeCell ref="Z40:AG44"/>
    <mergeCell ref="AH3:AM3"/>
    <mergeCell ref="AN3:AU3"/>
    <mergeCell ref="B3:B4"/>
    <mergeCell ref="E3:L3"/>
    <mergeCell ref="M3:T3"/>
    <mergeCell ref="U3:Y3"/>
    <mergeCell ref="Z3:AG3"/>
  </mergeCells>
  <phoneticPr fontId="1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1000"/>
  <sheetViews>
    <sheetView zoomScale="94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7" customWidth="1"/>
    <col min="4" max="4" width="4.7109375" style="168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893890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11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61</v>
      </c>
      <c r="AI3" s="170"/>
      <c r="AJ3" s="170"/>
      <c r="AK3" s="170"/>
      <c r="AL3" s="170"/>
      <c r="AM3" s="171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64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19"/>
      <c r="B5" s="194">
        <f>DATE($A$2,$B$2,1)</f>
        <v>45962</v>
      </c>
      <c r="C5" s="176" t="s">
        <v>73</v>
      </c>
      <c r="D5" s="132">
        <v>0</v>
      </c>
      <c r="E5" s="133"/>
      <c r="F5" s="134">
        <v>16</v>
      </c>
      <c r="G5" s="135">
        <v>70730</v>
      </c>
      <c r="H5" s="136">
        <f t="shared" ref="H5:H34" si="0">ROUNDDOWN(G5/1.1,0)/F5</f>
        <v>4018.75</v>
      </c>
      <c r="I5" s="135">
        <v>12060</v>
      </c>
      <c r="J5" s="137">
        <f t="shared" ref="J5:J29" si="1">ROUNDDOWN(I5/1.1,0)/F5</f>
        <v>685.1875</v>
      </c>
      <c r="K5" s="138">
        <f>G5+I5</f>
        <v>82790</v>
      </c>
      <c r="L5" s="139">
        <f t="shared" ref="L5:L34" si="2">IF(F5="","",K5/F5)</f>
        <v>5174.375</v>
      </c>
      <c r="M5" s="140"/>
      <c r="N5" s="141">
        <f>AN5-F5</f>
        <v>0</v>
      </c>
      <c r="O5" s="142">
        <f>AO5-G5</f>
        <v>0</v>
      </c>
      <c r="P5" s="136" t="e">
        <f t="shared" ref="P5:P31" si="3">ROUNDDOWN(O5/1.1,0)/N5</f>
        <v>#DIV/0!</v>
      </c>
      <c r="Q5" s="142">
        <f>AP5-I5</f>
        <v>0</v>
      </c>
      <c r="R5" s="137" t="e">
        <f t="shared" ref="R5:R31" si="4">ROUNDDOWN(Q5/1.1,0)/N5</f>
        <v>#DIV/0!</v>
      </c>
      <c r="S5" s="143">
        <f>O5+Q5</f>
        <v>0</v>
      </c>
      <c r="T5" s="139" t="e">
        <f t="shared" ref="T5:T31" si="5">IF(N5="","",S5/N5)</f>
        <v>#DIV/0!</v>
      </c>
      <c r="U5" s="144">
        <f t="shared" ref="U5:V20" si="6">F5+N5</f>
        <v>16</v>
      </c>
      <c r="V5" s="142">
        <f t="shared" si="6"/>
        <v>70730</v>
      </c>
      <c r="W5" s="142">
        <f t="shared" ref="W5:W31" si="7">I5+Q5</f>
        <v>12060</v>
      </c>
      <c r="X5" s="145">
        <f>K5+S5</f>
        <v>82790</v>
      </c>
      <c r="Y5" s="142">
        <f t="shared" ref="Y5:Y31" si="8">IF(U5="","",X5/U5)</f>
        <v>5174.375</v>
      </c>
      <c r="Z5" s="146"/>
      <c r="AA5" s="147"/>
      <c r="AB5" s="135"/>
      <c r="AC5" s="136" t="e">
        <f t="shared" ref="AC5:AC31" si="9">AB5/AA5</f>
        <v>#DIV/0!</v>
      </c>
      <c r="AD5" s="135"/>
      <c r="AE5" s="137" t="e">
        <f t="shared" ref="AE5:AE31" si="10">AD5/AA5</f>
        <v>#DIV/0!</v>
      </c>
      <c r="AF5" s="148">
        <f>AB5+AD5</f>
        <v>0</v>
      </c>
      <c r="AG5" s="139" t="str">
        <f t="shared" ref="AG5:AG31" si="11">IF(AA5="","",AF5/AA5)</f>
        <v/>
      </c>
      <c r="AH5" s="144">
        <f t="shared" ref="AH5:AH31" si="12">SUM(F5,N5)</f>
        <v>16</v>
      </c>
      <c r="AI5" s="142">
        <f t="shared" ref="AI5:AI31" si="13">V5+AB5</f>
        <v>70730</v>
      </c>
      <c r="AJ5" s="142">
        <f t="shared" ref="AJ5:AJ31" si="14">W5+AD5</f>
        <v>12060</v>
      </c>
      <c r="AK5" s="149">
        <f>X5+AF5</f>
        <v>82790</v>
      </c>
      <c r="AL5" s="142">
        <f t="shared" ref="AL5:AL31" si="15">AQ5+AR5+AS5</f>
        <v>4400</v>
      </c>
      <c r="AM5" s="142"/>
      <c r="AN5" s="150">
        <v>16</v>
      </c>
      <c r="AO5" s="150">
        <v>70730</v>
      </c>
      <c r="AP5" s="150">
        <v>12060</v>
      </c>
      <c r="AQ5" s="151">
        <v>4400</v>
      </c>
      <c r="AR5" s="151"/>
      <c r="AS5" s="151"/>
      <c r="AT5" s="151"/>
      <c r="AU5" s="152">
        <f>SUM(AO5:AS5)</f>
        <v>87190</v>
      </c>
      <c r="AV5" s="119">
        <v>1</v>
      </c>
      <c r="AW5" s="120">
        <f>AT5+AU5</f>
        <v>87190</v>
      </c>
      <c r="AX5" s="177">
        <f t="shared" ref="AX5:AX34" si="16">AU5+AF5+AM5+AT5</f>
        <v>87190</v>
      </c>
    </row>
    <row r="6" spans="1:50" ht="13.5" customHeight="1">
      <c r="A6" s="119"/>
      <c r="B6" s="157">
        <f t="shared" ref="B6:B33" si="17">B5+1</f>
        <v>45963</v>
      </c>
      <c r="C6" s="176"/>
      <c r="D6" s="132">
        <v>98</v>
      </c>
      <c r="E6" s="133"/>
      <c r="F6" s="134">
        <v>29</v>
      </c>
      <c r="G6" s="135">
        <v>92400</v>
      </c>
      <c r="H6" s="136">
        <f t="shared" si="0"/>
        <v>2896.5517241379312</v>
      </c>
      <c r="I6" s="135">
        <v>10880</v>
      </c>
      <c r="J6" s="137">
        <f t="shared" si="1"/>
        <v>341.0344827586207</v>
      </c>
      <c r="K6" s="138">
        <f>G6+I6</f>
        <v>103280</v>
      </c>
      <c r="L6" s="139">
        <f t="shared" si="2"/>
        <v>3561.3793103448274</v>
      </c>
      <c r="M6" s="140"/>
      <c r="N6" s="141">
        <f t="shared" ref="N6:O21" si="18">AN6-F6</f>
        <v>41</v>
      </c>
      <c r="O6" s="142">
        <f t="shared" si="18"/>
        <v>411070</v>
      </c>
      <c r="P6" s="136">
        <f t="shared" si="3"/>
        <v>9114.6341463414628</v>
      </c>
      <c r="Q6" s="142">
        <f t="shared" ref="Q6:Q31" si="19">AP6-I6</f>
        <v>71330</v>
      </c>
      <c r="R6" s="137">
        <f t="shared" si="4"/>
        <v>1581.5853658536585</v>
      </c>
      <c r="S6" s="143">
        <f t="shared" ref="S6:S31" si="20">O6+Q6</f>
        <v>482400</v>
      </c>
      <c r="T6" s="139">
        <f t="shared" si="5"/>
        <v>11765.853658536585</v>
      </c>
      <c r="U6" s="144">
        <f t="shared" si="6"/>
        <v>70</v>
      </c>
      <c r="V6" s="142">
        <f t="shared" si="6"/>
        <v>503470</v>
      </c>
      <c r="W6" s="142">
        <f t="shared" si="7"/>
        <v>82210</v>
      </c>
      <c r="X6" s="145">
        <f t="shared" ref="X6:X31" si="21">K6+S6</f>
        <v>585680</v>
      </c>
      <c r="Y6" s="142">
        <f t="shared" si="8"/>
        <v>8366.8571428571431</v>
      </c>
      <c r="Z6" s="146"/>
      <c r="AA6" s="147">
        <v>79</v>
      </c>
      <c r="AB6" s="135">
        <v>57450</v>
      </c>
      <c r="AC6" s="136">
        <f t="shared" si="9"/>
        <v>727.21518987341767</v>
      </c>
      <c r="AD6" s="135">
        <v>23750</v>
      </c>
      <c r="AE6" s="137">
        <f t="shared" si="10"/>
        <v>300.63291139240505</v>
      </c>
      <c r="AF6" s="148">
        <f t="shared" ref="AF6:AF31" si="22">AB6+AD6</f>
        <v>81200</v>
      </c>
      <c r="AG6" s="139">
        <f t="shared" si="11"/>
        <v>1027.8481012658228</v>
      </c>
      <c r="AH6" s="144">
        <f t="shared" si="12"/>
        <v>70</v>
      </c>
      <c r="AI6" s="142">
        <f t="shared" si="13"/>
        <v>560920</v>
      </c>
      <c r="AJ6" s="142">
        <f t="shared" si="14"/>
        <v>105960</v>
      </c>
      <c r="AK6" s="149">
        <f t="shared" ref="AK6:AK31" si="23">X6+AF6</f>
        <v>666880</v>
      </c>
      <c r="AL6" s="142">
        <f t="shared" si="15"/>
        <v>56100</v>
      </c>
      <c r="AM6" s="142"/>
      <c r="AN6" s="150">
        <v>70</v>
      </c>
      <c r="AO6" s="150">
        <v>503470</v>
      </c>
      <c r="AP6" s="150">
        <v>82210</v>
      </c>
      <c r="AQ6" s="180">
        <v>56100</v>
      </c>
      <c r="AR6" s="151"/>
      <c r="AS6" s="151"/>
      <c r="AT6" s="151"/>
      <c r="AU6" s="152">
        <f t="shared" ref="AU6:AU31" si="24">SUM(AO6:AS6)</f>
        <v>641780</v>
      </c>
      <c r="AV6" s="119">
        <v>2</v>
      </c>
      <c r="AW6" s="120">
        <f t="shared" ref="AW6:AW31" si="25">AT6+AU6</f>
        <v>641780</v>
      </c>
      <c r="AX6" s="177">
        <f t="shared" si="16"/>
        <v>722980</v>
      </c>
    </row>
    <row r="7" spans="1:50" ht="13.5" customHeight="1">
      <c r="A7" s="119"/>
      <c r="B7" s="157">
        <f t="shared" si="17"/>
        <v>45964</v>
      </c>
      <c r="C7" s="176"/>
      <c r="D7" s="132">
        <v>95</v>
      </c>
      <c r="E7" s="133"/>
      <c r="F7" s="134">
        <v>31</v>
      </c>
      <c r="G7" s="135">
        <v>109330</v>
      </c>
      <c r="H7" s="136">
        <f t="shared" si="0"/>
        <v>3206.1290322580644</v>
      </c>
      <c r="I7" s="135">
        <v>18270</v>
      </c>
      <c r="J7" s="137">
        <f t="shared" si="1"/>
        <v>535.77419354838707</v>
      </c>
      <c r="K7" s="138">
        <f>G7+I7</f>
        <v>127600</v>
      </c>
      <c r="L7" s="139">
        <f t="shared" si="2"/>
        <v>4116.1290322580644</v>
      </c>
      <c r="M7" s="140"/>
      <c r="N7" s="141">
        <f t="shared" si="18"/>
        <v>31</v>
      </c>
      <c r="O7" s="142">
        <f t="shared" si="18"/>
        <v>273130</v>
      </c>
      <c r="P7" s="136">
        <f t="shared" si="3"/>
        <v>8009.677419354839</v>
      </c>
      <c r="Q7" s="142">
        <f t="shared" si="19"/>
        <v>51990</v>
      </c>
      <c r="R7" s="137">
        <f t="shared" si="4"/>
        <v>1524.6129032258063</v>
      </c>
      <c r="S7" s="143">
        <f t="shared" si="20"/>
        <v>325120</v>
      </c>
      <c r="T7" s="139">
        <f t="shared" si="5"/>
        <v>10487.741935483871</v>
      </c>
      <c r="U7" s="144">
        <f t="shared" si="6"/>
        <v>62</v>
      </c>
      <c r="V7" s="142">
        <f t="shared" si="6"/>
        <v>382460</v>
      </c>
      <c r="W7" s="142">
        <f t="shared" si="7"/>
        <v>70260</v>
      </c>
      <c r="X7" s="145">
        <f t="shared" si="21"/>
        <v>452720</v>
      </c>
      <c r="Y7" s="142">
        <f t="shared" si="8"/>
        <v>7301.9354838709678</v>
      </c>
      <c r="Z7" s="146"/>
      <c r="AA7" s="147">
        <v>135</v>
      </c>
      <c r="AB7" s="135">
        <v>89850</v>
      </c>
      <c r="AC7" s="136">
        <f t="shared" si="9"/>
        <v>665.55555555555554</v>
      </c>
      <c r="AD7" s="135">
        <v>41970</v>
      </c>
      <c r="AE7" s="137">
        <f t="shared" si="10"/>
        <v>310.88888888888891</v>
      </c>
      <c r="AF7" s="148">
        <f t="shared" si="22"/>
        <v>131820</v>
      </c>
      <c r="AG7" s="139">
        <f t="shared" si="11"/>
        <v>976.44444444444446</v>
      </c>
      <c r="AH7" s="144">
        <f t="shared" si="12"/>
        <v>62</v>
      </c>
      <c r="AI7" s="142">
        <f t="shared" si="13"/>
        <v>472310</v>
      </c>
      <c r="AJ7" s="142">
        <f t="shared" si="14"/>
        <v>112230</v>
      </c>
      <c r="AK7" s="149">
        <f t="shared" si="23"/>
        <v>584540</v>
      </c>
      <c r="AL7" s="142">
        <f t="shared" si="15"/>
        <v>88000</v>
      </c>
      <c r="AM7" s="142"/>
      <c r="AN7" s="150">
        <v>62</v>
      </c>
      <c r="AO7" s="150">
        <v>382460</v>
      </c>
      <c r="AP7" s="150">
        <v>70260</v>
      </c>
      <c r="AQ7" s="180">
        <v>44000</v>
      </c>
      <c r="AR7" s="151">
        <v>44000</v>
      </c>
      <c r="AS7" s="151"/>
      <c r="AT7" s="151"/>
      <c r="AU7" s="152">
        <f t="shared" si="24"/>
        <v>540720</v>
      </c>
      <c r="AV7" s="119">
        <v>3</v>
      </c>
      <c r="AW7" s="120">
        <f t="shared" si="25"/>
        <v>540720</v>
      </c>
      <c r="AX7" s="177">
        <f t="shared" si="16"/>
        <v>672540</v>
      </c>
    </row>
    <row r="8" spans="1:50" ht="13.5" customHeight="1">
      <c r="A8" s="119"/>
      <c r="B8" s="153">
        <f t="shared" si="17"/>
        <v>45965</v>
      </c>
      <c r="C8" s="176" t="s">
        <v>56</v>
      </c>
      <c r="D8" s="132">
        <v>95</v>
      </c>
      <c r="E8" s="133"/>
      <c r="F8" s="134"/>
      <c r="G8" s="135"/>
      <c r="H8" s="136" t="e">
        <f t="shared" si="0"/>
        <v>#DIV/0!</v>
      </c>
      <c r="I8" s="135"/>
      <c r="J8" s="137" t="e">
        <f t="shared" si="1"/>
        <v>#DIV/0!</v>
      </c>
      <c r="K8" s="138">
        <f>G8+I8</f>
        <v>0</v>
      </c>
      <c r="L8" s="139" t="str">
        <f t="shared" si="2"/>
        <v/>
      </c>
      <c r="M8" s="140"/>
      <c r="N8" s="141">
        <f t="shared" si="18"/>
        <v>24</v>
      </c>
      <c r="O8" s="142">
        <f t="shared" si="18"/>
        <v>252450</v>
      </c>
      <c r="P8" s="136">
        <f t="shared" si="3"/>
        <v>9562.5</v>
      </c>
      <c r="Q8" s="142">
        <f t="shared" si="19"/>
        <v>34020</v>
      </c>
      <c r="R8" s="137">
        <f t="shared" si="4"/>
        <v>1288.625</v>
      </c>
      <c r="S8" s="143">
        <f t="shared" si="20"/>
        <v>286470</v>
      </c>
      <c r="T8" s="139">
        <f t="shared" si="5"/>
        <v>11936.25</v>
      </c>
      <c r="U8" s="144">
        <f t="shared" si="6"/>
        <v>24</v>
      </c>
      <c r="V8" s="142">
        <f t="shared" si="6"/>
        <v>252450</v>
      </c>
      <c r="W8" s="142">
        <f t="shared" si="7"/>
        <v>34020</v>
      </c>
      <c r="X8" s="145">
        <f t="shared" si="21"/>
        <v>286470</v>
      </c>
      <c r="Y8" s="142">
        <f t="shared" si="8"/>
        <v>11936.25</v>
      </c>
      <c r="Z8" s="146"/>
      <c r="AA8" s="147">
        <v>108</v>
      </c>
      <c r="AB8" s="135">
        <v>61500</v>
      </c>
      <c r="AC8" s="136">
        <f t="shared" si="9"/>
        <v>569.44444444444446</v>
      </c>
      <c r="AD8" s="135">
        <v>33050</v>
      </c>
      <c r="AE8" s="137">
        <f t="shared" si="10"/>
        <v>306.01851851851853</v>
      </c>
      <c r="AF8" s="148">
        <f t="shared" si="22"/>
        <v>94550</v>
      </c>
      <c r="AG8" s="139">
        <f t="shared" si="11"/>
        <v>875.46296296296293</v>
      </c>
      <c r="AH8" s="144">
        <f t="shared" si="12"/>
        <v>24</v>
      </c>
      <c r="AI8" s="142">
        <f t="shared" si="13"/>
        <v>313950</v>
      </c>
      <c r="AJ8" s="142">
        <f t="shared" si="14"/>
        <v>67070</v>
      </c>
      <c r="AK8" s="155">
        <f t="shared" si="23"/>
        <v>381020</v>
      </c>
      <c r="AL8" s="142">
        <f t="shared" si="15"/>
        <v>34100</v>
      </c>
      <c r="AM8" s="142"/>
      <c r="AN8" s="150">
        <v>24</v>
      </c>
      <c r="AO8" s="150">
        <v>252450</v>
      </c>
      <c r="AP8" s="150">
        <v>34020</v>
      </c>
      <c r="AQ8" s="151">
        <v>34100</v>
      </c>
      <c r="AR8" s="151"/>
      <c r="AS8" s="151"/>
      <c r="AT8" s="151"/>
      <c r="AU8" s="152">
        <f t="shared" si="24"/>
        <v>320570</v>
      </c>
      <c r="AV8" s="119">
        <v>4</v>
      </c>
      <c r="AW8" s="120">
        <f t="shared" si="25"/>
        <v>320570</v>
      </c>
      <c r="AX8" s="177">
        <f t="shared" si="16"/>
        <v>415120</v>
      </c>
    </row>
    <row r="9" spans="1:50" ht="13.5" customHeight="1">
      <c r="A9" s="119"/>
      <c r="B9" s="153">
        <f t="shared" si="17"/>
        <v>45966</v>
      </c>
      <c r="C9" s="176" t="s">
        <v>56</v>
      </c>
      <c r="D9" s="132">
        <v>97</v>
      </c>
      <c r="E9" s="133"/>
      <c r="F9" s="134"/>
      <c r="G9" s="135"/>
      <c r="H9" s="136" t="e">
        <f t="shared" si="0"/>
        <v>#DIV/0!</v>
      </c>
      <c r="I9" s="135"/>
      <c r="J9" s="137" t="e">
        <f t="shared" si="1"/>
        <v>#DIV/0!</v>
      </c>
      <c r="K9" s="138">
        <f>G9+I9</f>
        <v>0</v>
      </c>
      <c r="L9" s="139" t="str">
        <f t="shared" si="2"/>
        <v/>
      </c>
      <c r="M9" s="140"/>
      <c r="N9" s="141">
        <f t="shared" si="18"/>
        <v>35</v>
      </c>
      <c r="O9" s="142">
        <f t="shared" si="18"/>
        <v>396220</v>
      </c>
      <c r="P9" s="136">
        <f t="shared" si="3"/>
        <v>10291.428571428571</v>
      </c>
      <c r="Q9" s="142">
        <f t="shared" si="19"/>
        <v>82840</v>
      </c>
      <c r="R9" s="137">
        <f t="shared" si="4"/>
        <v>2151.6857142857143</v>
      </c>
      <c r="S9" s="143">
        <f t="shared" si="20"/>
        <v>479060</v>
      </c>
      <c r="T9" s="139">
        <f t="shared" si="5"/>
        <v>13687.428571428571</v>
      </c>
      <c r="U9" s="144">
        <f t="shared" si="6"/>
        <v>35</v>
      </c>
      <c r="V9" s="142">
        <f t="shared" si="6"/>
        <v>396220</v>
      </c>
      <c r="W9" s="142">
        <f t="shared" si="7"/>
        <v>82840</v>
      </c>
      <c r="X9" s="145">
        <f t="shared" si="21"/>
        <v>479060</v>
      </c>
      <c r="Y9" s="142">
        <f t="shared" si="8"/>
        <v>13687.428571428571</v>
      </c>
      <c r="Z9" s="146"/>
      <c r="AA9" s="147">
        <v>98</v>
      </c>
      <c r="AB9" s="135">
        <v>59000</v>
      </c>
      <c r="AC9" s="136">
        <f t="shared" si="9"/>
        <v>602.0408163265306</v>
      </c>
      <c r="AD9" s="135">
        <v>25760</v>
      </c>
      <c r="AE9" s="137">
        <f t="shared" si="10"/>
        <v>262.85714285714283</v>
      </c>
      <c r="AF9" s="148">
        <f t="shared" si="22"/>
        <v>84760</v>
      </c>
      <c r="AG9" s="139">
        <f t="shared" si="11"/>
        <v>864.89795918367349</v>
      </c>
      <c r="AH9" s="144">
        <f t="shared" si="12"/>
        <v>35</v>
      </c>
      <c r="AI9" s="142">
        <f t="shared" si="13"/>
        <v>455220</v>
      </c>
      <c r="AJ9" s="142">
        <f t="shared" si="14"/>
        <v>108600</v>
      </c>
      <c r="AK9" s="149">
        <f t="shared" si="23"/>
        <v>563820</v>
      </c>
      <c r="AL9" s="142">
        <f t="shared" si="15"/>
        <v>39600</v>
      </c>
      <c r="AM9" s="142"/>
      <c r="AN9" s="150">
        <v>35</v>
      </c>
      <c r="AO9" s="150">
        <v>396220</v>
      </c>
      <c r="AP9" s="150">
        <v>82840</v>
      </c>
      <c r="AQ9" s="151">
        <v>39600</v>
      </c>
      <c r="AR9" s="151"/>
      <c r="AS9" s="151"/>
      <c r="AT9" s="151"/>
      <c r="AU9" s="152">
        <f t="shared" si="24"/>
        <v>518660</v>
      </c>
      <c r="AV9" s="119">
        <v>5</v>
      </c>
      <c r="AW9" s="120">
        <f t="shared" si="25"/>
        <v>518660</v>
      </c>
      <c r="AX9" s="177">
        <f t="shared" si="16"/>
        <v>603420</v>
      </c>
    </row>
    <row r="10" spans="1:50" ht="13.5" customHeight="1">
      <c r="A10" s="119"/>
      <c r="B10" s="153">
        <f t="shared" si="17"/>
        <v>45967</v>
      </c>
      <c r="C10" s="176" t="s">
        <v>56</v>
      </c>
      <c r="D10" s="132">
        <v>90</v>
      </c>
      <c r="E10" s="133"/>
      <c r="F10" s="134"/>
      <c r="G10" s="135"/>
      <c r="H10" s="136" t="e">
        <f t="shared" si="0"/>
        <v>#DIV/0!</v>
      </c>
      <c r="I10" s="135"/>
      <c r="J10" s="137" t="e">
        <f t="shared" si="1"/>
        <v>#DIV/0!</v>
      </c>
      <c r="K10" s="138">
        <f t="shared" ref="K10:K34" si="26">G10+I10</f>
        <v>0</v>
      </c>
      <c r="L10" s="139" t="str">
        <f t="shared" si="2"/>
        <v/>
      </c>
      <c r="M10" s="140"/>
      <c r="N10" s="141">
        <f t="shared" si="18"/>
        <v>28</v>
      </c>
      <c r="O10" s="142">
        <f t="shared" si="18"/>
        <v>271480</v>
      </c>
      <c r="P10" s="136">
        <f t="shared" si="3"/>
        <v>8814.2857142857138</v>
      </c>
      <c r="Q10" s="142">
        <f t="shared" si="19"/>
        <v>46450</v>
      </c>
      <c r="R10" s="137">
        <f t="shared" si="4"/>
        <v>1508.1071428571429</v>
      </c>
      <c r="S10" s="143">
        <f t="shared" si="20"/>
        <v>317930</v>
      </c>
      <c r="T10" s="139">
        <f t="shared" si="5"/>
        <v>11354.642857142857</v>
      </c>
      <c r="U10" s="144">
        <f t="shared" si="6"/>
        <v>28</v>
      </c>
      <c r="V10" s="142">
        <f t="shared" si="6"/>
        <v>271480</v>
      </c>
      <c r="W10" s="142">
        <f t="shared" si="7"/>
        <v>46450</v>
      </c>
      <c r="X10" s="145">
        <f t="shared" si="21"/>
        <v>317930</v>
      </c>
      <c r="Y10" s="142">
        <f t="shared" si="8"/>
        <v>11354.642857142857</v>
      </c>
      <c r="Z10" s="146"/>
      <c r="AA10" s="147">
        <v>62</v>
      </c>
      <c r="AB10" s="135">
        <v>34550</v>
      </c>
      <c r="AC10" s="136">
        <f t="shared" si="9"/>
        <v>557.25806451612902</v>
      </c>
      <c r="AD10" s="135">
        <v>15170</v>
      </c>
      <c r="AE10" s="137">
        <f t="shared" si="10"/>
        <v>244.67741935483872</v>
      </c>
      <c r="AF10" s="148">
        <f t="shared" si="22"/>
        <v>49720</v>
      </c>
      <c r="AG10" s="139">
        <f t="shared" si="11"/>
        <v>801.93548387096769</v>
      </c>
      <c r="AH10" s="154">
        <f t="shared" si="12"/>
        <v>28</v>
      </c>
      <c r="AI10" s="142">
        <f t="shared" si="13"/>
        <v>306030</v>
      </c>
      <c r="AJ10" s="142">
        <f t="shared" si="14"/>
        <v>61620</v>
      </c>
      <c r="AK10" s="149">
        <f t="shared" si="23"/>
        <v>367650</v>
      </c>
      <c r="AL10" s="142">
        <f t="shared" si="15"/>
        <v>40810</v>
      </c>
      <c r="AM10" s="142"/>
      <c r="AN10" s="150">
        <v>28</v>
      </c>
      <c r="AO10" s="150">
        <v>271480</v>
      </c>
      <c r="AP10" s="150">
        <v>46450</v>
      </c>
      <c r="AQ10" s="151">
        <v>39600</v>
      </c>
      <c r="AR10" s="151">
        <v>1210</v>
      </c>
      <c r="AS10" s="151"/>
      <c r="AT10" s="151"/>
      <c r="AU10" s="152">
        <f>SUM(AO10:AS10)</f>
        <v>358740</v>
      </c>
      <c r="AV10" s="119">
        <v>6</v>
      </c>
      <c r="AW10" s="120">
        <f>AT10+AU10</f>
        <v>358740</v>
      </c>
      <c r="AX10" s="177">
        <f t="shared" si="16"/>
        <v>408460</v>
      </c>
    </row>
    <row r="11" spans="1:50" ht="13.5" customHeight="1">
      <c r="A11" s="119"/>
      <c r="B11" s="153">
        <f t="shared" si="17"/>
        <v>45968</v>
      </c>
      <c r="C11" s="176" t="s">
        <v>63</v>
      </c>
      <c r="D11" s="132"/>
      <c r="E11" s="133"/>
      <c r="F11" s="134"/>
      <c r="G11" s="135"/>
      <c r="H11" s="136" t="e">
        <f t="shared" si="0"/>
        <v>#DIV/0!</v>
      </c>
      <c r="I11" s="135"/>
      <c r="J11" s="137" t="e">
        <f t="shared" si="1"/>
        <v>#DIV/0!</v>
      </c>
      <c r="K11" s="138">
        <f t="shared" si="26"/>
        <v>0</v>
      </c>
      <c r="L11" s="139" t="str">
        <f t="shared" si="2"/>
        <v/>
      </c>
      <c r="M11" s="140"/>
      <c r="N11" s="141">
        <f t="shared" si="18"/>
        <v>0</v>
      </c>
      <c r="O11" s="142">
        <f t="shared" si="18"/>
        <v>0</v>
      </c>
      <c r="P11" s="136" t="e">
        <f t="shared" si="3"/>
        <v>#DIV/0!</v>
      </c>
      <c r="Q11" s="142">
        <f t="shared" si="19"/>
        <v>0</v>
      </c>
      <c r="R11" s="137" t="e">
        <f t="shared" si="4"/>
        <v>#DIV/0!</v>
      </c>
      <c r="S11" s="143">
        <f t="shared" si="20"/>
        <v>0</v>
      </c>
      <c r="T11" s="139" t="e">
        <f t="shared" si="5"/>
        <v>#DIV/0!</v>
      </c>
      <c r="U11" s="144">
        <f t="shared" si="6"/>
        <v>0</v>
      </c>
      <c r="V11" s="142">
        <f t="shared" si="6"/>
        <v>0</v>
      </c>
      <c r="W11" s="142">
        <f t="shared" si="7"/>
        <v>0</v>
      </c>
      <c r="X11" s="145">
        <f t="shared" si="21"/>
        <v>0</v>
      </c>
      <c r="Y11" s="142" t="e">
        <f t="shared" si="8"/>
        <v>#DIV/0!</v>
      </c>
      <c r="Z11" s="146"/>
      <c r="AA11" s="147"/>
      <c r="AB11" s="135"/>
      <c r="AC11" s="136" t="e">
        <f t="shared" si="9"/>
        <v>#DIV/0!</v>
      </c>
      <c r="AD11" s="135"/>
      <c r="AE11" s="137" t="e">
        <f t="shared" si="10"/>
        <v>#DIV/0!</v>
      </c>
      <c r="AF11" s="148">
        <f t="shared" si="22"/>
        <v>0</v>
      </c>
      <c r="AG11" s="139" t="str">
        <f t="shared" si="11"/>
        <v/>
      </c>
      <c r="AH11" s="154">
        <f t="shared" si="12"/>
        <v>0</v>
      </c>
      <c r="AI11" s="142">
        <f t="shared" si="13"/>
        <v>0</v>
      </c>
      <c r="AJ11" s="142">
        <f t="shared" si="14"/>
        <v>0</v>
      </c>
      <c r="AK11" s="149">
        <f t="shared" si="23"/>
        <v>0</v>
      </c>
      <c r="AL11" s="142">
        <f t="shared" si="15"/>
        <v>0</v>
      </c>
      <c r="AM11" s="142"/>
      <c r="AN11" s="150"/>
      <c r="AO11" s="150"/>
      <c r="AP11" s="150"/>
      <c r="AQ11" s="151"/>
      <c r="AR11" s="151"/>
      <c r="AS11" s="151"/>
      <c r="AT11" s="151"/>
      <c r="AU11" s="152">
        <f t="shared" si="24"/>
        <v>0</v>
      </c>
      <c r="AV11" s="119">
        <v>7</v>
      </c>
      <c r="AW11" s="120">
        <f t="shared" si="25"/>
        <v>0</v>
      </c>
      <c r="AX11" s="177">
        <f t="shared" si="16"/>
        <v>0</v>
      </c>
    </row>
    <row r="12" spans="1:50" ht="13.5" customHeight="1">
      <c r="A12" s="119"/>
      <c r="B12" s="156">
        <f t="shared" si="17"/>
        <v>45969</v>
      </c>
      <c r="C12" s="176"/>
      <c r="D12" s="132">
        <v>96</v>
      </c>
      <c r="E12" s="133"/>
      <c r="F12" s="134">
        <v>22</v>
      </c>
      <c r="G12" s="135">
        <v>81730</v>
      </c>
      <c r="H12" s="136">
        <f t="shared" si="0"/>
        <v>3377.2727272727275</v>
      </c>
      <c r="I12" s="135">
        <v>15700</v>
      </c>
      <c r="J12" s="137">
        <f t="shared" si="1"/>
        <v>648.72727272727275</v>
      </c>
      <c r="K12" s="138">
        <f t="shared" si="26"/>
        <v>97430</v>
      </c>
      <c r="L12" s="139">
        <f t="shared" si="2"/>
        <v>4428.636363636364</v>
      </c>
      <c r="M12" s="140"/>
      <c r="N12" s="141">
        <f t="shared" si="18"/>
        <v>35</v>
      </c>
      <c r="O12" s="142">
        <f t="shared" si="18"/>
        <v>361900</v>
      </c>
      <c r="P12" s="136">
        <f t="shared" si="3"/>
        <v>9400</v>
      </c>
      <c r="Q12" s="142">
        <f t="shared" si="19"/>
        <v>49420</v>
      </c>
      <c r="R12" s="158">
        <f t="shared" si="4"/>
        <v>1283.6285714285714</v>
      </c>
      <c r="S12" s="143">
        <f t="shared" si="20"/>
        <v>411320</v>
      </c>
      <c r="T12" s="139">
        <f t="shared" si="5"/>
        <v>11752</v>
      </c>
      <c r="U12" s="144">
        <f t="shared" si="6"/>
        <v>57</v>
      </c>
      <c r="V12" s="142">
        <f t="shared" si="6"/>
        <v>443630</v>
      </c>
      <c r="W12" s="142">
        <f t="shared" si="7"/>
        <v>65120</v>
      </c>
      <c r="X12" s="145">
        <f t="shared" si="21"/>
        <v>508750</v>
      </c>
      <c r="Y12" s="142">
        <f t="shared" si="8"/>
        <v>8925.438596491229</v>
      </c>
      <c r="Z12" s="146"/>
      <c r="AA12" s="147">
        <v>65</v>
      </c>
      <c r="AB12" s="135">
        <v>76150</v>
      </c>
      <c r="AC12" s="136">
        <f t="shared" si="9"/>
        <v>1171.5384615384614</v>
      </c>
      <c r="AD12" s="135">
        <v>35770</v>
      </c>
      <c r="AE12" s="137">
        <f t="shared" si="10"/>
        <v>550.30769230769226</v>
      </c>
      <c r="AF12" s="148">
        <f t="shared" si="22"/>
        <v>111920</v>
      </c>
      <c r="AG12" s="139">
        <f t="shared" si="11"/>
        <v>1721.8461538461538</v>
      </c>
      <c r="AH12" s="154">
        <f t="shared" si="12"/>
        <v>57</v>
      </c>
      <c r="AI12" s="142">
        <f t="shared" si="13"/>
        <v>519780</v>
      </c>
      <c r="AJ12" s="142">
        <f t="shared" si="14"/>
        <v>100890</v>
      </c>
      <c r="AK12" s="149">
        <f t="shared" si="23"/>
        <v>620670</v>
      </c>
      <c r="AL12" s="142">
        <f t="shared" si="15"/>
        <v>44550</v>
      </c>
      <c r="AM12" s="142"/>
      <c r="AN12" s="150">
        <v>57</v>
      </c>
      <c r="AO12" s="150">
        <v>443630</v>
      </c>
      <c r="AP12" s="150">
        <v>65120</v>
      </c>
      <c r="AQ12" s="151">
        <v>44550</v>
      </c>
      <c r="AR12" s="151"/>
      <c r="AS12" s="151"/>
      <c r="AT12" s="151"/>
      <c r="AU12" s="152">
        <f t="shared" si="24"/>
        <v>553300</v>
      </c>
      <c r="AV12" s="119">
        <v>8</v>
      </c>
      <c r="AW12" s="120">
        <f t="shared" si="25"/>
        <v>553300</v>
      </c>
      <c r="AX12" s="177">
        <f t="shared" si="16"/>
        <v>665220</v>
      </c>
    </row>
    <row r="13" spans="1:50" ht="13.5" customHeight="1">
      <c r="A13" s="119"/>
      <c r="B13" s="157">
        <f t="shared" si="17"/>
        <v>45970</v>
      </c>
      <c r="C13" s="176"/>
      <c r="D13" s="132">
        <v>78</v>
      </c>
      <c r="E13" s="133"/>
      <c r="F13" s="134">
        <v>24</v>
      </c>
      <c r="G13" s="135">
        <v>95260</v>
      </c>
      <c r="H13" s="136">
        <f t="shared" si="0"/>
        <v>3608.3333333333335</v>
      </c>
      <c r="I13" s="135">
        <v>15800</v>
      </c>
      <c r="J13" s="137">
        <f t="shared" si="1"/>
        <v>598.45833333333337</v>
      </c>
      <c r="K13" s="138">
        <f t="shared" si="26"/>
        <v>111060</v>
      </c>
      <c r="L13" s="139">
        <f t="shared" si="2"/>
        <v>4627.5</v>
      </c>
      <c r="M13" s="140"/>
      <c r="N13" s="141">
        <f t="shared" si="18"/>
        <v>34</v>
      </c>
      <c r="O13" s="142">
        <f t="shared" si="18"/>
        <v>342980</v>
      </c>
      <c r="P13" s="136">
        <f t="shared" si="3"/>
        <v>9170.5882352941171</v>
      </c>
      <c r="Q13" s="142">
        <f t="shared" si="19"/>
        <v>79910</v>
      </c>
      <c r="R13" s="137">
        <f t="shared" si="4"/>
        <v>2136.6176470588234</v>
      </c>
      <c r="S13" s="143">
        <f t="shared" si="20"/>
        <v>422890</v>
      </c>
      <c r="T13" s="139">
        <f t="shared" si="5"/>
        <v>12437.941176470587</v>
      </c>
      <c r="U13" s="144">
        <f t="shared" si="6"/>
        <v>58</v>
      </c>
      <c r="V13" s="142">
        <f t="shared" si="6"/>
        <v>438240</v>
      </c>
      <c r="W13" s="142">
        <f t="shared" si="7"/>
        <v>95710</v>
      </c>
      <c r="X13" s="145">
        <f t="shared" si="21"/>
        <v>533950</v>
      </c>
      <c r="Y13" s="142">
        <f t="shared" si="8"/>
        <v>9206.0344827586214</v>
      </c>
      <c r="Z13" s="146"/>
      <c r="AA13" s="147">
        <v>85</v>
      </c>
      <c r="AB13" s="135">
        <v>45650</v>
      </c>
      <c r="AC13" s="136">
        <f>AB13/AA13</f>
        <v>537.05882352941171</v>
      </c>
      <c r="AD13" s="135">
        <v>29900</v>
      </c>
      <c r="AE13" s="137">
        <f t="shared" si="10"/>
        <v>351.76470588235293</v>
      </c>
      <c r="AF13" s="148">
        <f t="shared" si="22"/>
        <v>75550</v>
      </c>
      <c r="AG13" s="139">
        <f t="shared" si="11"/>
        <v>888.82352941176475</v>
      </c>
      <c r="AH13" s="154">
        <f t="shared" si="12"/>
        <v>58</v>
      </c>
      <c r="AI13" s="142">
        <f t="shared" si="13"/>
        <v>483890</v>
      </c>
      <c r="AJ13" s="142">
        <f t="shared" si="14"/>
        <v>125610</v>
      </c>
      <c r="AK13" s="149">
        <f t="shared" si="23"/>
        <v>609500</v>
      </c>
      <c r="AL13" s="142">
        <f t="shared" si="15"/>
        <v>48950</v>
      </c>
      <c r="AM13" s="142"/>
      <c r="AN13" s="150">
        <v>58</v>
      </c>
      <c r="AO13" s="150">
        <v>438240</v>
      </c>
      <c r="AP13" s="150">
        <v>95710</v>
      </c>
      <c r="AQ13" s="151">
        <v>48950</v>
      </c>
      <c r="AR13" s="151"/>
      <c r="AS13" s="151"/>
      <c r="AT13" s="151"/>
      <c r="AU13" s="152">
        <f t="shared" si="24"/>
        <v>582900</v>
      </c>
      <c r="AV13" s="119">
        <v>9</v>
      </c>
      <c r="AW13" s="120">
        <f t="shared" si="25"/>
        <v>582900</v>
      </c>
      <c r="AX13" s="177">
        <f t="shared" si="16"/>
        <v>658450</v>
      </c>
    </row>
    <row r="14" spans="1:50" ht="13.5" customHeight="1">
      <c r="A14" s="119"/>
      <c r="B14" s="153">
        <f t="shared" si="17"/>
        <v>45971</v>
      </c>
      <c r="C14" s="176" t="s">
        <v>74</v>
      </c>
      <c r="D14" s="132"/>
      <c r="E14" s="133"/>
      <c r="F14" s="134"/>
      <c r="G14" s="135"/>
      <c r="H14" s="136" t="e">
        <f t="shared" si="0"/>
        <v>#DIV/0!</v>
      </c>
      <c r="I14" s="135"/>
      <c r="J14" s="137" t="e">
        <f t="shared" si="1"/>
        <v>#DIV/0!</v>
      </c>
      <c r="K14" s="138">
        <f t="shared" si="26"/>
        <v>0</v>
      </c>
      <c r="L14" s="139" t="str">
        <f t="shared" si="2"/>
        <v/>
      </c>
      <c r="M14" s="140"/>
      <c r="N14" s="141">
        <f t="shared" si="18"/>
        <v>0</v>
      </c>
      <c r="O14" s="142">
        <f t="shared" si="18"/>
        <v>0</v>
      </c>
      <c r="P14" s="136" t="e">
        <f t="shared" si="3"/>
        <v>#DIV/0!</v>
      </c>
      <c r="Q14" s="142">
        <f t="shared" si="19"/>
        <v>0</v>
      </c>
      <c r="R14" s="137" t="e">
        <f t="shared" si="4"/>
        <v>#DIV/0!</v>
      </c>
      <c r="S14" s="143">
        <f t="shared" si="20"/>
        <v>0</v>
      </c>
      <c r="T14" s="139" t="e">
        <f t="shared" si="5"/>
        <v>#DIV/0!</v>
      </c>
      <c r="U14" s="144">
        <f t="shared" si="6"/>
        <v>0</v>
      </c>
      <c r="V14" s="142">
        <f t="shared" si="6"/>
        <v>0</v>
      </c>
      <c r="W14" s="142">
        <f t="shared" si="7"/>
        <v>0</v>
      </c>
      <c r="X14" s="145">
        <f t="shared" si="21"/>
        <v>0</v>
      </c>
      <c r="Y14" s="142" t="e">
        <f t="shared" si="8"/>
        <v>#DIV/0!</v>
      </c>
      <c r="Z14" s="146"/>
      <c r="AA14" s="147">
        <v>2</v>
      </c>
      <c r="AB14" s="135"/>
      <c r="AC14" s="136">
        <f t="shared" si="9"/>
        <v>0</v>
      </c>
      <c r="AD14" s="135">
        <v>1700</v>
      </c>
      <c r="AE14" s="137">
        <f t="shared" si="10"/>
        <v>850</v>
      </c>
      <c r="AF14" s="148">
        <f t="shared" si="22"/>
        <v>1700</v>
      </c>
      <c r="AG14" s="139">
        <f t="shared" si="11"/>
        <v>850</v>
      </c>
      <c r="AH14" s="154">
        <f t="shared" si="12"/>
        <v>0</v>
      </c>
      <c r="AI14" s="142">
        <f t="shared" si="13"/>
        <v>0</v>
      </c>
      <c r="AJ14" s="142">
        <f t="shared" si="14"/>
        <v>1700</v>
      </c>
      <c r="AK14" s="155">
        <f t="shared" si="23"/>
        <v>1700</v>
      </c>
      <c r="AL14" s="142">
        <f t="shared" si="15"/>
        <v>0</v>
      </c>
      <c r="AM14" s="142"/>
      <c r="AN14" s="150"/>
      <c r="AO14" s="150"/>
      <c r="AP14" s="150"/>
      <c r="AQ14" s="151"/>
      <c r="AR14" s="151"/>
      <c r="AS14" s="151"/>
      <c r="AT14" s="151"/>
      <c r="AU14" s="152">
        <f t="shared" si="24"/>
        <v>0</v>
      </c>
      <c r="AV14" s="119">
        <v>10</v>
      </c>
      <c r="AW14" s="120">
        <f t="shared" si="25"/>
        <v>0</v>
      </c>
      <c r="AX14" s="177">
        <f t="shared" si="16"/>
        <v>1700</v>
      </c>
    </row>
    <row r="15" spans="1:50" ht="13.5" customHeight="1">
      <c r="A15" s="119"/>
      <c r="B15" s="153">
        <f>B14+1</f>
        <v>45972</v>
      </c>
      <c r="C15" s="176" t="s">
        <v>56</v>
      </c>
      <c r="D15" s="132">
        <v>25</v>
      </c>
      <c r="E15" s="133"/>
      <c r="F15" s="134"/>
      <c r="G15" s="135"/>
      <c r="H15" s="136" t="e">
        <f t="shared" si="0"/>
        <v>#DIV/0!</v>
      </c>
      <c r="I15" s="135"/>
      <c r="J15" s="137" t="e">
        <f t="shared" si="1"/>
        <v>#DIV/0!</v>
      </c>
      <c r="K15" s="138">
        <f t="shared" si="26"/>
        <v>0</v>
      </c>
      <c r="L15" s="139" t="str">
        <f t="shared" si="2"/>
        <v/>
      </c>
      <c r="M15" s="140"/>
      <c r="N15" s="141">
        <f t="shared" si="18"/>
        <v>29</v>
      </c>
      <c r="O15" s="142">
        <f t="shared" si="18"/>
        <v>289080</v>
      </c>
      <c r="P15" s="136">
        <f t="shared" si="3"/>
        <v>9062.0689655172409</v>
      </c>
      <c r="Q15" s="142">
        <f t="shared" si="19"/>
        <v>69440</v>
      </c>
      <c r="R15" s="137">
        <f t="shared" si="4"/>
        <v>2176.7931034482758</v>
      </c>
      <c r="S15" s="143">
        <f t="shared" si="20"/>
        <v>358520</v>
      </c>
      <c r="T15" s="139">
        <f t="shared" si="5"/>
        <v>12362.758620689656</v>
      </c>
      <c r="U15" s="144">
        <f t="shared" si="6"/>
        <v>29</v>
      </c>
      <c r="V15" s="142">
        <f t="shared" si="6"/>
        <v>289080</v>
      </c>
      <c r="W15" s="142">
        <f t="shared" si="7"/>
        <v>69440</v>
      </c>
      <c r="X15" s="145">
        <f t="shared" si="21"/>
        <v>358520</v>
      </c>
      <c r="Y15" s="142">
        <f t="shared" si="8"/>
        <v>12362.758620689656</v>
      </c>
      <c r="Z15" s="146"/>
      <c r="AA15" s="147">
        <v>47</v>
      </c>
      <c r="AB15" s="135">
        <v>27050</v>
      </c>
      <c r="AC15" s="136">
        <f t="shared" si="9"/>
        <v>575.531914893617</v>
      </c>
      <c r="AD15" s="135">
        <v>13690</v>
      </c>
      <c r="AE15" s="137">
        <f t="shared" si="10"/>
        <v>291.27659574468083</v>
      </c>
      <c r="AF15" s="148">
        <f t="shared" si="22"/>
        <v>40740</v>
      </c>
      <c r="AG15" s="139">
        <f t="shared" si="11"/>
        <v>866.80851063829789</v>
      </c>
      <c r="AH15" s="154">
        <f t="shared" si="12"/>
        <v>29</v>
      </c>
      <c r="AI15" s="142">
        <f t="shared" si="13"/>
        <v>316130</v>
      </c>
      <c r="AJ15" s="142">
        <f t="shared" si="14"/>
        <v>83130</v>
      </c>
      <c r="AK15" s="149">
        <f t="shared" si="23"/>
        <v>399260</v>
      </c>
      <c r="AL15" s="142">
        <f t="shared" si="15"/>
        <v>85970</v>
      </c>
      <c r="AM15" s="142"/>
      <c r="AN15" s="150">
        <v>29</v>
      </c>
      <c r="AO15" s="150">
        <v>289080</v>
      </c>
      <c r="AP15" s="150">
        <v>69440</v>
      </c>
      <c r="AQ15" s="151">
        <v>35200</v>
      </c>
      <c r="AR15" s="151">
        <v>50770</v>
      </c>
      <c r="AS15" s="151"/>
      <c r="AT15" s="151">
        <v>5500</v>
      </c>
      <c r="AU15" s="152">
        <f t="shared" si="24"/>
        <v>444490</v>
      </c>
      <c r="AV15" s="119">
        <v>11</v>
      </c>
      <c r="AW15" s="120">
        <f t="shared" si="25"/>
        <v>449990</v>
      </c>
      <c r="AX15" s="177">
        <f t="shared" si="16"/>
        <v>490730</v>
      </c>
    </row>
    <row r="16" spans="1:50" ht="13.5" customHeight="1">
      <c r="A16" s="119"/>
      <c r="B16" s="153">
        <f t="shared" si="17"/>
        <v>45973</v>
      </c>
      <c r="C16" s="176" t="s">
        <v>56</v>
      </c>
      <c r="D16" s="132">
        <v>90</v>
      </c>
      <c r="E16" s="133"/>
      <c r="F16" s="134"/>
      <c r="G16" s="135"/>
      <c r="H16" s="136" t="e">
        <f t="shared" si="0"/>
        <v>#DIV/0!</v>
      </c>
      <c r="I16" s="135"/>
      <c r="J16" s="137" t="e">
        <f t="shared" si="1"/>
        <v>#DIV/0!</v>
      </c>
      <c r="K16" s="138">
        <f t="shared" si="26"/>
        <v>0</v>
      </c>
      <c r="L16" s="139" t="str">
        <f t="shared" si="2"/>
        <v/>
      </c>
      <c r="M16" s="140"/>
      <c r="N16" s="141">
        <f t="shared" si="18"/>
        <v>26</v>
      </c>
      <c r="O16" s="142">
        <f t="shared" si="18"/>
        <v>272580</v>
      </c>
      <c r="P16" s="136">
        <f t="shared" si="3"/>
        <v>9530.7692307692305</v>
      </c>
      <c r="Q16" s="142">
        <f t="shared" si="19"/>
        <v>49940</v>
      </c>
      <c r="R16" s="137">
        <f t="shared" si="4"/>
        <v>1746.1538461538462</v>
      </c>
      <c r="S16" s="143">
        <f t="shared" si="20"/>
        <v>322520</v>
      </c>
      <c r="T16" s="139">
        <f t="shared" si="5"/>
        <v>12404.615384615385</v>
      </c>
      <c r="U16" s="144">
        <f t="shared" si="6"/>
        <v>26</v>
      </c>
      <c r="V16" s="142">
        <f t="shared" si="6"/>
        <v>272580</v>
      </c>
      <c r="W16" s="142">
        <f t="shared" si="7"/>
        <v>49940</v>
      </c>
      <c r="X16" s="145">
        <f t="shared" si="21"/>
        <v>322520</v>
      </c>
      <c r="Y16" s="142">
        <f t="shared" si="8"/>
        <v>12404.615384615385</v>
      </c>
      <c r="Z16" s="146"/>
      <c r="AA16" s="147">
        <v>89</v>
      </c>
      <c r="AB16" s="135">
        <v>50100</v>
      </c>
      <c r="AC16" s="136">
        <f>AB16/AA16</f>
        <v>562.92134831460669</v>
      </c>
      <c r="AD16" s="135">
        <v>32510</v>
      </c>
      <c r="AE16" s="137">
        <f t="shared" si="10"/>
        <v>365.28089887640448</v>
      </c>
      <c r="AF16" s="148">
        <f t="shared" si="22"/>
        <v>82610</v>
      </c>
      <c r="AG16" s="139">
        <f t="shared" si="11"/>
        <v>928.20224719101122</v>
      </c>
      <c r="AH16" s="154">
        <f t="shared" si="12"/>
        <v>26</v>
      </c>
      <c r="AI16" s="142">
        <f t="shared" si="13"/>
        <v>322680</v>
      </c>
      <c r="AJ16" s="142">
        <f t="shared" si="14"/>
        <v>82450</v>
      </c>
      <c r="AK16" s="149">
        <f t="shared" si="23"/>
        <v>405130</v>
      </c>
      <c r="AL16" s="142">
        <f t="shared" si="15"/>
        <v>42900</v>
      </c>
      <c r="AM16" s="142"/>
      <c r="AN16" s="150">
        <v>26</v>
      </c>
      <c r="AO16" s="150">
        <v>272580</v>
      </c>
      <c r="AP16" s="150">
        <v>49940</v>
      </c>
      <c r="AQ16" s="151">
        <v>42900</v>
      </c>
      <c r="AR16" s="151"/>
      <c r="AS16" s="151"/>
      <c r="AT16" s="151"/>
      <c r="AU16" s="152">
        <f t="shared" si="24"/>
        <v>365420</v>
      </c>
      <c r="AV16" s="119">
        <v>12</v>
      </c>
      <c r="AW16" s="120">
        <f t="shared" si="25"/>
        <v>365420</v>
      </c>
      <c r="AX16" s="177">
        <f t="shared" si="16"/>
        <v>448030</v>
      </c>
    </row>
    <row r="17" spans="1:50" ht="13.5" customHeight="1">
      <c r="A17" s="119"/>
      <c r="B17" s="153">
        <f t="shared" si="17"/>
        <v>45974</v>
      </c>
      <c r="C17" s="176" t="s">
        <v>56</v>
      </c>
      <c r="D17" s="132">
        <v>90</v>
      </c>
      <c r="E17" s="133"/>
      <c r="F17" s="134"/>
      <c r="G17" s="135"/>
      <c r="H17" s="136" t="e">
        <f t="shared" si="0"/>
        <v>#DIV/0!</v>
      </c>
      <c r="I17" s="135"/>
      <c r="J17" s="137" t="e">
        <f t="shared" si="1"/>
        <v>#DIV/0!</v>
      </c>
      <c r="K17" s="138">
        <f t="shared" si="26"/>
        <v>0</v>
      </c>
      <c r="L17" s="139" t="str">
        <f t="shared" si="2"/>
        <v/>
      </c>
      <c r="M17" s="140"/>
      <c r="N17" s="141">
        <f t="shared" si="18"/>
        <v>26</v>
      </c>
      <c r="O17" s="142">
        <f t="shared" si="18"/>
        <v>254870</v>
      </c>
      <c r="P17" s="136">
        <f t="shared" si="3"/>
        <v>8911.538461538461</v>
      </c>
      <c r="Q17" s="142">
        <f t="shared" si="19"/>
        <v>37360</v>
      </c>
      <c r="R17" s="137">
        <f t="shared" si="4"/>
        <v>1306.2692307692307</v>
      </c>
      <c r="S17" s="143">
        <f t="shared" si="20"/>
        <v>292230</v>
      </c>
      <c r="T17" s="139">
        <f t="shared" si="5"/>
        <v>11239.615384615385</v>
      </c>
      <c r="U17" s="144">
        <f t="shared" si="6"/>
        <v>26</v>
      </c>
      <c r="V17" s="142">
        <f t="shared" si="6"/>
        <v>254870</v>
      </c>
      <c r="W17" s="142">
        <f t="shared" si="7"/>
        <v>37360</v>
      </c>
      <c r="X17" s="145">
        <f t="shared" si="21"/>
        <v>292230</v>
      </c>
      <c r="Y17" s="142">
        <f t="shared" si="8"/>
        <v>11239.615384615385</v>
      </c>
      <c r="Z17" s="146"/>
      <c r="AA17" s="147">
        <v>64</v>
      </c>
      <c r="AB17" s="135">
        <v>45850</v>
      </c>
      <c r="AC17" s="136">
        <f t="shared" si="9"/>
        <v>716.40625</v>
      </c>
      <c r="AD17" s="135">
        <v>15920</v>
      </c>
      <c r="AE17" s="137">
        <f t="shared" si="10"/>
        <v>248.75</v>
      </c>
      <c r="AF17" s="148">
        <f t="shared" si="22"/>
        <v>61770</v>
      </c>
      <c r="AG17" s="139">
        <f t="shared" si="11"/>
        <v>965.15625</v>
      </c>
      <c r="AH17" s="154">
        <f t="shared" si="12"/>
        <v>26</v>
      </c>
      <c r="AI17" s="142">
        <f t="shared" si="13"/>
        <v>300720</v>
      </c>
      <c r="AJ17" s="142">
        <f t="shared" si="14"/>
        <v>53280</v>
      </c>
      <c r="AK17" s="149">
        <f t="shared" si="23"/>
        <v>354000</v>
      </c>
      <c r="AL17" s="142">
        <f t="shared" si="15"/>
        <v>25210</v>
      </c>
      <c r="AM17" s="142"/>
      <c r="AN17" s="150">
        <v>26</v>
      </c>
      <c r="AO17" s="150">
        <v>254870</v>
      </c>
      <c r="AP17" s="150">
        <v>37360</v>
      </c>
      <c r="AQ17" s="151">
        <v>22000</v>
      </c>
      <c r="AR17" s="151">
        <v>3210</v>
      </c>
      <c r="AS17" s="151"/>
      <c r="AT17" s="151"/>
      <c r="AU17" s="152">
        <f t="shared" si="24"/>
        <v>317440</v>
      </c>
      <c r="AV17" s="119">
        <v>13</v>
      </c>
      <c r="AW17" s="120">
        <f t="shared" si="25"/>
        <v>317440</v>
      </c>
      <c r="AX17" s="177">
        <f t="shared" si="16"/>
        <v>379210</v>
      </c>
    </row>
    <row r="18" spans="1:50" ht="13.5" customHeight="1">
      <c r="A18" s="119"/>
      <c r="B18" s="153">
        <f t="shared" si="17"/>
        <v>45975</v>
      </c>
      <c r="C18" s="176" t="s">
        <v>56</v>
      </c>
      <c r="D18" s="132">
        <v>90</v>
      </c>
      <c r="E18" s="133"/>
      <c r="F18" s="134"/>
      <c r="G18" s="135"/>
      <c r="H18" s="136" t="e">
        <f t="shared" si="0"/>
        <v>#DIV/0!</v>
      </c>
      <c r="I18" s="135"/>
      <c r="J18" s="137" t="e">
        <f t="shared" si="1"/>
        <v>#DIV/0!</v>
      </c>
      <c r="K18" s="138">
        <f t="shared" si="26"/>
        <v>0</v>
      </c>
      <c r="L18" s="139" t="str">
        <f t="shared" si="2"/>
        <v/>
      </c>
      <c r="M18" s="140"/>
      <c r="N18" s="141">
        <f t="shared" si="18"/>
        <v>36</v>
      </c>
      <c r="O18" s="142">
        <f t="shared" si="18"/>
        <v>358600</v>
      </c>
      <c r="P18" s="136">
        <f t="shared" si="3"/>
        <v>9055.5555555555547</v>
      </c>
      <c r="Q18" s="142">
        <f t="shared" si="19"/>
        <v>72030</v>
      </c>
      <c r="R18" s="137">
        <f t="shared" si="4"/>
        <v>1818.9166666666667</v>
      </c>
      <c r="S18" s="143">
        <f t="shared" si="20"/>
        <v>430630</v>
      </c>
      <c r="T18" s="139">
        <f t="shared" si="5"/>
        <v>11961.944444444445</v>
      </c>
      <c r="U18" s="144">
        <f t="shared" si="6"/>
        <v>36</v>
      </c>
      <c r="V18" s="142">
        <f t="shared" si="6"/>
        <v>358600</v>
      </c>
      <c r="W18" s="142">
        <f t="shared" si="7"/>
        <v>72030</v>
      </c>
      <c r="X18" s="145">
        <f t="shared" si="21"/>
        <v>430630</v>
      </c>
      <c r="Y18" s="142">
        <f t="shared" si="8"/>
        <v>11961.944444444445</v>
      </c>
      <c r="Z18" s="146"/>
      <c r="AA18" s="147">
        <v>23</v>
      </c>
      <c r="AB18" s="135">
        <v>9000</v>
      </c>
      <c r="AC18" s="136">
        <f t="shared" si="9"/>
        <v>391.30434782608694</v>
      </c>
      <c r="AD18" s="135">
        <v>4300</v>
      </c>
      <c r="AE18" s="137">
        <f t="shared" si="10"/>
        <v>186.95652173913044</v>
      </c>
      <c r="AF18" s="148">
        <f t="shared" si="22"/>
        <v>13300</v>
      </c>
      <c r="AG18" s="139">
        <f t="shared" si="11"/>
        <v>578.26086956521738</v>
      </c>
      <c r="AH18" s="154">
        <f t="shared" si="12"/>
        <v>36</v>
      </c>
      <c r="AI18" s="142">
        <f t="shared" si="13"/>
        <v>367600</v>
      </c>
      <c r="AJ18" s="142">
        <f t="shared" si="14"/>
        <v>76330</v>
      </c>
      <c r="AK18" s="149">
        <f t="shared" si="23"/>
        <v>443930</v>
      </c>
      <c r="AL18" s="142">
        <f t="shared" si="15"/>
        <v>34100</v>
      </c>
      <c r="AM18" s="142"/>
      <c r="AN18" s="150">
        <v>36</v>
      </c>
      <c r="AO18" s="150">
        <v>358600</v>
      </c>
      <c r="AP18" s="150">
        <v>72030</v>
      </c>
      <c r="AQ18" s="151">
        <v>34100</v>
      </c>
      <c r="AR18" s="151"/>
      <c r="AS18" s="151"/>
      <c r="AT18" s="151"/>
      <c r="AU18" s="152">
        <f t="shared" si="24"/>
        <v>464730</v>
      </c>
      <c r="AV18" s="119">
        <v>14</v>
      </c>
      <c r="AW18" s="120">
        <f t="shared" si="25"/>
        <v>464730</v>
      </c>
      <c r="AX18" s="177">
        <f t="shared" si="16"/>
        <v>478030</v>
      </c>
    </row>
    <row r="19" spans="1:50" ht="13.5" customHeight="1">
      <c r="A19" s="119"/>
      <c r="B19" s="156">
        <f t="shared" si="17"/>
        <v>45976</v>
      </c>
      <c r="C19" s="176"/>
      <c r="D19" s="132">
        <v>97</v>
      </c>
      <c r="E19" s="133"/>
      <c r="F19" s="134">
        <v>27</v>
      </c>
      <c r="G19" s="135">
        <v>69520</v>
      </c>
      <c r="H19" s="136">
        <f t="shared" si="0"/>
        <v>2340.7407407407409</v>
      </c>
      <c r="I19" s="135">
        <v>6550</v>
      </c>
      <c r="J19" s="137">
        <f t="shared" si="1"/>
        <v>220.5185185185185</v>
      </c>
      <c r="K19" s="138">
        <f t="shared" si="26"/>
        <v>76070</v>
      </c>
      <c r="L19" s="139">
        <f t="shared" si="2"/>
        <v>2817.4074074074074</v>
      </c>
      <c r="M19" s="140"/>
      <c r="N19" s="141">
        <f t="shared" si="18"/>
        <v>34</v>
      </c>
      <c r="O19" s="142">
        <f t="shared" si="18"/>
        <v>349580</v>
      </c>
      <c r="P19" s="136">
        <f t="shared" si="3"/>
        <v>9347.0588235294126</v>
      </c>
      <c r="Q19" s="142">
        <f t="shared" si="19"/>
        <v>60680</v>
      </c>
      <c r="R19" s="158">
        <f t="shared" si="4"/>
        <v>1622.4411764705883</v>
      </c>
      <c r="S19" s="143">
        <f t="shared" si="20"/>
        <v>410260</v>
      </c>
      <c r="T19" s="139">
        <f t="shared" si="5"/>
        <v>12066.470588235294</v>
      </c>
      <c r="U19" s="144">
        <f t="shared" si="6"/>
        <v>61</v>
      </c>
      <c r="V19" s="142">
        <f t="shared" si="6"/>
        <v>419100</v>
      </c>
      <c r="W19" s="142">
        <f t="shared" si="7"/>
        <v>67230</v>
      </c>
      <c r="X19" s="145">
        <f t="shared" si="21"/>
        <v>486330</v>
      </c>
      <c r="Y19" s="142">
        <f t="shared" si="8"/>
        <v>7972.622950819672</v>
      </c>
      <c r="Z19" s="146"/>
      <c r="AA19" s="147">
        <v>69</v>
      </c>
      <c r="AB19" s="135">
        <v>47800</v>
      </c>
      <c r="AC19" s="136">
        <f t="shared" si="9"/>
        <v>692.75362318840575</v>
      </c>
      <c r="AD19" s="135">
        <v>16450</v>
      </c>
      <c r="AE19" s="137">
        <f t="shared" si="10"/>
        <v>238.40579710144928</v>
      </c>
      <c r="AF19" s="148">
        <f t="shared" si="22"/>
        <v>64250</v>
      </c>
      <c r="AG19" s="139">
        <f t="shared" si="11"/>
        <v>931.15942028985512</v>
      </c>
      <c r="AH19" s="154">
        <f t="shared" si="12"/>
        <v>61</v>
      </c>
      <c r="AI19" s="142">
        <f t="shared" si="13"/>
        <v>466900</v>
      </c>
      <c r="AJ19" s="142">
        <f t="shared" si="14"/>
        <v>83680</v>
      </c>
      <c r="AK19" s="149">
        <f t="shared" si="23"/>
        <v>550580</v>
      </c>
      <c r="AL19" s="142">
        <f t="shared" si="15"/>
        <v>52800</v>
      </c>
      <c r="AM19" s="142"/>
      <c r="AN19" s="150">
        <v>61</v>
      </c>
      <c r="AO19" s="150">
        <v>419100</v>
      </c>
      <c r="AP19" s="150">
        <v>67230</v>
      </c>
      <c r="AQ19" s="151">
        <v>52800</v>
      </c>
      <c r="AR19" s="151"/>
      <c r="AS19" s="151"/>
      <c r="AT19" s="151"/>
      <c r="AU19" s="152">
        <f t="shared" si="24"/>
        <v>539130</v>
      </c>
      <c r="AV19" s="119">
        <v>15</v>
      </c>
      <c r="AW19" s="120">
        <f t="shared" si="25"/>
        <v>539130</v>
      </c>
      <c r="AX19" s="177">
        <f t="shared" si="16"/>
        <v>603380</v>
      </c>
    </row>
    <row r="20" spans="1:50" ht="13.5" customHeight="1">
      <c r="A20" s="119"/>
      <c r="B20" s="157">
        <f t="shared" si="17"/>
        <v>45977</v>
      </c>
      <c r="C20" s="176"/>
      <c r="D20" s="132">
        <v>98</v>
      </c>
      <c r="E20" s="133"/>
      <c r="F20" s="134">
        <v>27</v>
      </c>
      <c r="G20" s="135">
        <v>87032</v>
      </c>
      <c r="H20" s="136">
        <f t="shared" si="0"/>
        <v>2930.3703703703704</v>
      </c>
      <c r="I20" s="135">
        <v>19160</v>
      </c>
      <c r="J20" s="136">
        <f t="shared" si="1"/>
        <v>645.11111111111109</v>
      </c>
      <c r="K20" s="138">
        <f t="shared" si="26"/>
        <v>106192</v>
      </c>
      <c r="L20" s="139">
        <f t="shared" si="2"/>
        <v>3933.037037037037</v>
      </c>
      <c r="M20" s="140"/>
      <c r="N20" s="141">
        <f t="shared" si="18"/>
        <v>29</v>
      </c>
      <c r="O20" s="142">
        <f t="shared" si="18"/>
        <v>283470</v>
      </c>
      <c r="P20" s="136">
        <f t="shared" si="3"/>
        <v>8886.2068965517246</v>
      </c>
      <c r="Q20" s="142">
        <f t="shared" si="19"/>
        <v>40390</v>
      </c>
      <c r="R20" s="158">
        <f t="shared" si="4"/>
        <v>1266.1379310344828</v>
      </c>
      <c r="S20" s="143">
        <f t="shared" si="20"/>
        <v>323860</v>
      </c>
      <c r="T20" s="139">
        <f t="shared" si="5"/>
        <v>11167.586206896553</v>
      </c>
      <c r="U20" s="144">
        <f t="shared" si="6"/>
        <v>56</v>
      </c>
      <c r="V20" s="142">
        <f t="shared" si="6"/>
        <v>370502</v>
      </c>
      <c r="W20" s="142">
        <f t="shared" si="7"/>
        <v>59550</v>
      </c>
      <c r="X20" s="145">
        <f t="shared" si="21"/>
        <v>430052</v>
      </c>
      <c r="Y20" s="142">
        <f t="shared" si="8"/>
        <v>7679.5</v>
      </c>
      <c r="Z20" s="146"/>
      <c r="AA20" s="147">
        <v>91</v>
      </c>
      <c r="AB20" s="135">
        <v>66400</v>
      </c>
      <c r="AC20" s="136">
        <f t="shared" si="9"/>
        <v>729.67032967032969</v>
      </c>
      <c r="AD20" s="135">
        <v>23240</v>
      </c>
      <c r="AE20" s="137">
        <f t="shared" si="10"/>
        <v>255.38461538461539</v>
      </c>
      <c r="AF20" s="148">
        <f t="shared" si="22"/>
        <v>89640</v>
      </c>
      <c r="AG20" s="139">
        <f t="shared" si="11"/>
        <v>985.05494505494505</v>
      </c>
      <c r="AH20" s="154">
        <f t="shared" si="12"/>
        <v>56</v>
      </c>
      <c r="AI20" s="150">
        <f t="shared" si="13"/>
        <v>436902</v>
      </c>
      <c r="AJ20" s="150">
        <f t="shared" si="14"/>
        <v>82790</v>
      </c>
      <c r="AK20" s="149">
        <f t="shared" si="23"/>
        <v>519692</v>
      </c>
      <c r="AL20" s="142">
        <f t="shared" si="15"/>
        <v>51610</v>
      </c>
      <c r="AM20" s="142"/>
      <c r="AN20" s="150">
        <v>56</v>
      </c>
      <c r="AO20" s="150">
        <v>370502</v>
      </c>
      <c r="AP20" s="150">
        <v>59550</v>
      </c>
      <c r="AQ20" s="151">
        <v>50050</v>
      </c>
      <c r="AR20" s="151">
        <v>1560</v>
      </c>
      <c r="AS20" s="151"/>
      <c r="AT20" s="151"/>
      <c r="AU20" s="152">
        <f t="shared" si="24"/>
        <v>481662</v>
      </c>
      <c r="AV20" s="119">
        <v>16</v>
      </c>
      <c r="AW20" s="120">
        <f>AT20+AU20</f>
        <v>481662</v>
      </c>
      <c r="AX20" s="177">
        <f t="shared" si="16"/>
        <v>571302</v>
      </c>
    </row>
    <row r="21" spans="1:50" ht="15.75" customHeight="1">
      <c r="A21" s="119"/>
      <c r="B21" s="153">
        <f t="shared" si="17"/>
        <v>45978</v>
      </c>
      <c r="C21" s="176" t="s">
        <v>75</v>
      </c>
      <c r="D21" s="132">
        <v>70</v>
      </c>
      <c r="E21" s="133"/>
      <c r="F21" s="134"/>
      <c r="G21" s="135"/>
      <c r="H21" s="136" t="e">
        <f t="shared" si="0"/>
        <v>#DIV/0!</v>
      </c>
      <c r="I21" s="135"/>
      <c r="J21" s="136" t="e">
        <f t="shared" si="1"/>
        <v>#DIV/0!</v>
      </c>
      <c r="K21" s="138">
        <f t="shared" si="26"/>
        <v>0</v>
      </c>
      <c r="L21" s="139" t="str">
        <f t="shared" si="2"/>
        <v/>
      </c>
      <c r="M21" s="140"/>
      <c r="N21" s="141">
        <f t="shared" si="18"/>
        <v>27</v>
      </c>
      <c r="O21" s="142">
        <f t="shared" si="18"/>
        <v>268510</v>
      </c>
      <c r="P21" s="136">
        <f t="shared" si="3"/>
        <v>9040.7407407407409</v>
      </c>
      <c r="Q21" s="142">
        <f t="shared" si="19"/>
        <v>59440</v>
      </c>
      <c r="R21" s="158">
        <f t="shared" si="4"/>
        <v>2001.3333333333333</v>
      </c>
      <c r="S21" s="143">
        <f>O21+Q21</f>
        <v>327950</v>
      </c>
      <c r="T21" s="139">
        <f t="shared" si="5"/>
        <v>12146.296296296296</v>
      </c>
      <c r="U21" s="144">
        <f t="shared" ref="U21:V34" si="27">F21+N21</f>
        <v>27</v>
      </c>
      <c r="V21" s="142">
        <f t="shared" si="27"/>
        <v>268510</v>
      </c>
      <c r="W21" s="142">
        <f t="shared" si="7"/>
        <v>59440</v>
      </c>
      <c r="X21" s="145">
        <f>K21+S21</f>
        <v>327950</v>
      </c>
      <c r="Y21" s="142">
        <f t="shared" si="8"/>
        <v>12146.296296296296</v>
      </c>
      <c r="Z21" s="146"/>
      <c r="AA21" s="147">
        <v>35</v>
      </c>
      <c r="AB21" s="135">
        <v>22150</v>
      </c>
      <c r="AC21" s="136">
        <f t="shared" si="9"/>
        <v>632.85714285714289</v>
      </c>
      <c r="AD21" s="135">
        <v>9100</v>
      </c>
      <c r="AE21" s="137">
        <f t="shared" si="10"/>
        <v>260</v>
      </c>
      <c r="AF21" s="148">
        <f t="shared" si="22"/>
        <v>31250</v>
      </c>
      <c r="AG21" s="139">
        <f t="shared" si="11"/>
        <v>892.85714285714289</v>
      </c>
      <c r="AH21" s="154">
        <f t="shared" si="12"/>
        <v>27</v>
      </c>
      <c r="AI21" s="150">
        <f t="shared" si="13"/>
        <v>290660</v>
      </c>
      <c r="AJ21" s="150">
        <f t="shared" si="14"/>
        <v>68540</v>
      </c>
      <c r="AK21" s="149">
        <f>X21+AF21</f>
        <v>359200</v>
      </c>
      <c r="AL21" s="142">
        <f>AQ21+AR21+AS21</f>
        <v>97400</v>
      </c>
      <c r="AM21" s="142"/>
      <c r="AN21" s="150">
        <v>27</v>
      </c>
      <c r="AO21" s="150">
        <v>268510</v>
      </c>
      <c r="AP21" s="150">
        <v>59440</v>
      </c>
      <c r="AQ21" s="151">
        <v>37400</v>
      </c>
      <c r="AR21" s="151">
        <v>60000</v>
      </c>
      <c r="AS21" s="151"/>
      <c r="AT21" s="151"/>
      <c r="AU21" s="152">
        <f t="shared" si="24"/>
        <v>425350</v>
      </c>
      <c r="AV21" s="119">
        <v>17</v>
      </c>
      <c r="AW21" s="120">
        <f t="shared" si="25"/>
        <v>425350</v>
      </c>
      <c r="AX21" s="177">
        <f t="shared" si="16"/>
        <v>456600</v>
      </c>
    </row>
    <row r="22" spans="1:50" ht="15.75" customHeight="1">
      <c r="A22" s="119"/>
      <c r="B22" s="153">
        <f t="shared" si="17"/>
        <v>45979</v>
      </c>
      <c r="C22" s="176" t="s">
        <v>56</v>
      </c>
      <c r="D22" s="132">
        <v>60</v>
      </c>
      <c r="E22" s="133"/>
      <c r="F22" s="134"/>
      <c r="G22" s="135"/>
      <c r="H22" s="136" t="e">
        <f t="shared" si="0"/>
        <v>#DIV/0!</v>
      </c>
      <c r="I22" s="135"/>
      <c r="J22" s="136" t="e">
        <f t="shared" si="1"/>
        <v>#DIV/0!</v>
      </c>
      <c r="K22" s="138">
        <f t="shared" si="26"/>
        <v>0</v>
      </c>
      <c r="L22" s="139" t="str">
        <f t="shared" si="2"/>
        <v/>
      </c>
      <c r="M22" s="140"/>
      <c r="N22" s="141">
        <f t="shared" ref="N22:O34" si="28">AN22-F22</f>
        <v>16</v>
      </c>
      <c r="O22" s="142">
        <f t="shared" si="28"/>
        <v>139260</v>
      </c>
      <c r="P22" s="136">
        <f t="shared" si="3"/>
        <v>7912.5</v>
      </c>
      <c r="Q22" s="142">
        <f t="shared" si="19"/>
        <v>14720</v>
      </c>
      <c r="R22" s="158">
        <f t="shared" si="4"/>
        <v>836.3125</v>
      </c>
      <c r="S22" s="143">
        <f t="shared" si="20"/>
        <v>153980</v>
      </c>
      <c r="T22" s="139">
        <f t="shared" si="5"/>
        <v>9623.75</v>
      </c>
      <c r="U22" s="144">
        <f t="shared" si="27"/>
        <v>16</v>
      </c>
      <c r="V22" s="142">
        <f t="shared" si="27"/>
        <v>139260</v>
      </c>
      <c r="W22" s="142">
        <f t="shared" si="7"/>
        <v>14720</v>
      </c>
      <c r="X22" s="145">
        <f t="shared" si="21"/>
        <v>153980</v>
      </c>
      <c r="Y22" s="142">
        <f t="shared" si="8"/>
        <v>9623.75</v>
      </c>
      <c r="Z22" s="146"/>
      <c r="AA22" s="147">
        <v>28</v>
      </c>
      <c r="AB22" s="135">
        <v>21500</v>
      </c>
      <c r="AC22" s="136">
        <f t="shared" si="9"/>
        <v>767.85714285714289</v>
      </c>
      <c r="AD22" s="135">
        <v>13670</v>
      </c>
      <c r="AE22" s="137">
        <f t="shared" si="10"/>
        <v>488.21428571428572</v>
      </c>
      <c r="AF22" s="148">
        <f t="shared" si="22"/>
        <v>35170</v>
      </c>
      <c r="AG22" s="139">
        <f t="shared" si="11"/>
        <v>1256.0714285714287</v>
      </c>
      <c r="AH22" s="154">
        <f t="shared" si="12"/>
        <v>16</v>
      </c>
      <c r="AI22" s="150">
        <f t="shared" si="13"/>
        <v>160760</v>
      </c>
      <c r="AJ22" s="150">
        <f t="shared" si="14"/>
        <v>28390</v>
      </c>
      <c r="AK22" s="149">
        <f t="shared" si="23"/>
        <v>189150</v>
      </c>
      <c r="AL22" s="142">
        <f t="shared" si="15"/>
        <v>24200</v>
      </c>
      <c r="AM22" s="142"/>
      <c r="AN22" s="150">
        <v>16</v>
      </c>
      <c r="AO22" s="150">
        <v>139260</v>
      </c>
      <c r="AP22" s="150">
        <v>14720</v>
      </c>
      <c r="AQ22" s="151">
        <v>24200</v>
      </c>
      <c r="AR22" s="151"/>
      <c r="AS22" s="151"/>
      <c r="AT22" s="151"/>
      <c r="AU22" s="152">
        <f t="shared" si="24"/>
        <v>178180</v>
      </c>
      <c r="AV22" s="119">
        <v>18</v>
      </c>
      <c r="AW22" s="120">
        <f t="shared" si="25"/>
        <v>178180</v>
      </c>
      <c r="AX22" s="177">
        <f t="shared" si="16"/>
        <v>213350</v>
      </c>
    </row>
    <row r="23" spans="1:50" ht="15.75" customHeight="1">
      <c r="A23" s="119"/>
      <c r="B23" s="153">
        <f t="shared" si="17"/>
        <v>45980</v>
      </c>
      <c r="C23" s="176" t="s">
        <v>56</v>
      </c>
      <c r="D23" s="132">
        <v>98</v>
      </c>
      <c r="E23" s="133"/>
      <c r="F23" s="134"/>
      <c r="G23" s="135"/>
      <c r="H23" s="136" t="e">
        <f t="shared" si="0"/>
        <v>#DIV/0!</v>
      </c>
      <c r="I23" s="135"/>
      <c r="J23" s="136" t="e">
        <f t="shared" si="1"/>
        <v>#DIV/0!</v>
      </c>
      <c r="K23" s="138">
        <f t="shared" si="26"/>
        <v>0</v>
      </c>
      <c r="L23" s="139" t="str">
        <f t="shared" si="2"/>
        <v/>
      </c>
      <c r="M23" s="140"/>
      <c r="N23" s="141">
        <f t="shared" si="28"/>
        <v>20</v>
      </c>
      <c r="O23" s="142">
        <f t="shared" si="28"/>
        <v>185680</v>
      </c>
      <c r="P23" s="136">
        <f t="shared" si="3"/>
        <v>8440</v>
      </c>
      <c r="Q23" s="142">
        <f t="shared" si="19"/>
        <v>29750</v>
      </c>
      <c r="R23" s="158">
        <f t="shared" si="4"/>
        <v>1352.25</v>
      </c>
      <c r="S23" s="143">
        <f t="shared" si="20"/>
        <v>215430</v>
      </c>
      <c r="T23" s="139">
        <f t="shared" si="5"/>
        <v>10771.5</v>
      </c>
      <c r="U23" s="144">
        <f t="shared" si="27"/>
        <v>20</v>
      </c>
      <c r="V23" s="142">
        <f t="shared" si="27"/>
        <v>185680</v>
      </c>
      <c r="W23" s="142">
        <f t="shared" si="7"/>
        <v>29750</v>
      </c>
      <c r="X23" s="145">
        <f t="shared" si="21"/>
        <v>215430</v>
      </c>
      <c r="Y23" s="142">
        <f t="shared" si="8"/>
        <v>10771.5</v>
      </c>
      <c r="Z23" s="146"/>
      <c r="AA23" s="147">
        <v>68</v>
      </c>
      <c r="AB23" s="135">
        <v>35850</v>
      </c>
      <c r="AC23" s="136">
        <f t="shared" si="9"/>
        <v>527.20588235294122</v>
      </c>
      <c r="AD23" s="135">
        <v>24130</v>
      </c>
      <c r="AE23" s="137">
        <f t="shared" si="10"/>
        <v>354.85294117647061</v>
      </c>
      <c r="AF23" s="148">
        <f t="shared" si="22"/>
        <v>59980</v>
      </c>
      <c r="AG23" s="139">
        <f t="shared" si="11"/>
        <v>882.05882352941171</v>
      </c>
      <c r="AH23" s="154">
        <f t="shared" si="12"/>
        <v>20</v>
      </c>
      <c r="AI23" s="150">
        <f t="shared" si="13"/>
        <v>221530</v>
      </c>
      <c r="AJ23" s="150">
        <f t="shared" si="14"/>
        <v>53880</v>
      </c>
      <c r="AK23" s="149">
        <f t="shared" si="23"/>
        <v>275410</v>
      </c>
      <c r="AL23" s="142">
        <f t="shared" si="15"/>
        <v>21450</v>
      </c>
      <c r="AM23" s="142"/>
      <c r="AN23" s="150">
        <v>20</v>
      </c>
      <c r="AO23" s="150">
        <v>185680</v>
      </c>
      <c r="AP23" s="150">
        <v>29750</v>
      </c>
      <c r="AQ23" s="151">
        <v>19800</v>
      </c>
      <c r="AR23" s="151">
        <v>1650</v>
      </c>
      <c r="AS23" s="151"/>
      <c r="AT23" s="151"/>
      <c r="AU23" s="152">
        <f t="shared" si="24"/>
        <v>236880</v>
      </c>
      <c r="AV23" s="119">
        <v>19</v>
      </c>
      <c r="AW23" s="120">
        <f t="shared" si="25"/>
        <v>236880</v>
      </c>
      <c r="AX23" s="177">
        <f t="shared" si="16"/>
        <v>296860</v>
      </c>
    </row>
    <row r="24" spans="1:50" ht="15.75" customHeight="1">
      <c r="A24" s="119"/>
      <c r="B24" s="153">
        <f t="shared" si="17"/>
        <v>45981</v>
      </c>
      <c r="C24" s="176" t="s">
        <v>56</v>
      </c>
      <c r="D24" s="132">
        <v>96</v>
      </c>
      <c r="E24" s="133"/>
      <c r="F24" s="134"/>
      <c r="G24" s="135"/>
      <c r="H24" s="136" t="e">
        <f t="shared" si="0"/>
        <v>#DIV/0!</v>
      </c>
      <c r="I24" s="135"/>
      <c r="J24" s="136" t="e">
        <f t="shared" si="1"/>
        <v>#DIV/0!</v>
      </c>
      <c r="K24" s="138">
        <f t="shared" si="26"/>
        <v>0</v>
      </c>
      <c r="L24" s="139" t="str">
        <f t="shared" si="2"/>
        <v/>
      </c>
      <c r="M24" s="140"/>
      <c r="N24" s="141">
        <f t="shared" si="28"/>
        <v>21</v>
      </c>
      <c r="O24" s="142">
        <f t="shared" si="28"/>
        <v>235510</v>
      </c>
      <c r="P24" s="136">
        <f t="shared" si="3"/>
        <v>10195.238095238095</v>
      </c>
      <c r="Q24" s="142">
        <f t="shared" si="19"/>
        <v>27350</v>
      </c>
      <c r="R24" s="158">
        <f t="shared" si="4"/>
        <v>1183.952380952381</v>
      </c>
      <c r="S24" s="143">
        <f t="shared" si="20"/>
        <v>262860</v>
      </c>
      <c r="T24" s="139">
        <f t="shared" si="5"/>
        <v>12517.142857142857</v>
      </c>
      <c r="U24" s="144">
        <f t="shared" si="27"/>
        <v>21</v>
      </c>
      <c r="V24" s="142">
        <f t="shared" si="27"/>
        <v>235510</v>
      </c>
      <c r="W24" s="142">
        <f t="shared" si="7"/>
        <v>27350</v>
      </c>
      <c r="X24" s="145">
        <f t="shared" si="21"/>
        <v>262860</v>
      </c>
      <c r="Y24" s="142">
        <f t="shared" si="8"/>
        <v>12517.142857142857</v>
      </c>
      <c r="Z24" s="146"/>
      <c r="AA24" s="147">
        <v>64</v>
      </c>
      <c r="AB24" s="135">
        <v>37750</v>
      </c>
      <c r="AC24" s="136">
        <f t="shared" si="9"/>
        <v>589.84375</v>
      </c>
      <c r="AD24" s="135">
        <v>19040</v>
      </c>
      <c r="AE24" s="137">
        <f t="shared" si="10"/>
        <v>297.5</v>
      </c>
      <c r="AF24" s="148">
        <f t="shared" si="22"/>
        <v>56790</v>
      </c>
      <c r="AG24" s="139">
        <f t="shared" si="11"/>
        <v>887.34375</v>
      </c>
      <c r="AH24" s="154">
        <f t="shared" si="12"/>
        <v>21</v>
      </c>
      <c r="AI24" s="150">
        <f t="shared" si="13"/>
        <v>273260</v>
      </c>
      <c r="AJ24" s="150">
        <f t="shared" si="14"/>
        <v>46390</v>
      </c>
      <c r="AK24" s="149">
        <f>X24+AF24</f>
        <v>319650</v>
      </c>
      <c r="AL24" s="142">
        <f t="shared" si="15"/>
        <v>15400</v>
      </c>
      <c r="AM24" s="142"/>
      <c r="AN24" s="150">
        <v>21</v>
      </c>
      <c r="AO24" s="150">
        <v>235510</v>
      </c>
      <c r="AP24" s="150">
        <v>27350</v>
      </c>
      <c r="AQ24" s="151">
        <v>15400</v>
      </c>
      <c r="AR24" s="151"/>
      <c r="AS24" s="151"/>
      <c r="AT24" s="151"/>
      <c r="AU24" s="152">
        <f>SUM(AO24:AS24)</f>
        <v>278260</v>
      </c>
      <c r="AV24" s="119">
        <v>20</v>
      </c>
      <c r="AW24" s="120">
        <f t="shared" si="25"/>
        <v>278260</v>
      </c>
      <c r="AX24" s="177">
        <f t="shared" si="16"/>
        <v>335050</v>
      </c>
    </row>
    <row r="25" spans="1:50" ht="15.75" customHeight="1">
      <c r="A25" s="119"/>
      <c r="B25" s="186">
        <f t="shared" si="17"/>
        <v>45982</v>
      </c>
      <c r="C25" s="176" t="s">
        <v>56</v>
      </c>
      <c r="D25" s="132">
        <v>82</v>
      </c>
      <c r="E25" s="133"/>
      <c r="F25" s="134"/>
      <c r="G25" s="135"/>
      <c r="H25" s="136" t="e">
        <f t="shared" si="0"/>
        <v>#DIV/0!</v>
      </c>
      <c r="I25" s="135"/>
      <c r="J25" s="136" t="e">
        <f t="shared" si="1"/>
        <v>#DIV/0!</v>
      </c>
      <c r="K25" s="138">
        <f t="shared" si="26"/>
        <v>0</v>
      </c>
      <c r="L25" s="139" t="str">
        <f t="shared" si="2"/>
        <v/>
      </c>
      <c r="M25" s="140"/>
      <c r="N25" s="141">
        <f t="shared" si="28"/>
        <v>38</v>
      </c>
      <c r="O25" s="142">
        <f t="shared" si="28"/>
        <v>356730</v>
      </c>
      <c r="P25" s="136">
        <f t="shared" si="3"/>
        <v>8534.21052631579</v>
      </c>
      <c r="Q25" s="142">
        <f t="shared" si="19"/>
        <v>59730</v>
      </c>
      <c r="R25" s="158">
        <f t="shared" si="4"/>
        <v>1428.9473684210527</v>
      </c>
      <c r="S25" s="143">
        <f t="shared" si="20"/>
        <v>416460</v>
      </c>
      <c r="T25" s="139">
        <f t="shared" si="5"/>
        <v>10959.473684210527</v>
      </c>
      <c r="U25" s="144">
        <f>F25+N25</f>
        <v>38</v>
      </c>
      <c r="V25" s="142">
        <f t="shared" si="27"/>
        <v>356730</v>
      </c>
      <c r="W25" s="142">
        <f t="shared" si="7"/>
        <v>59730</v>
      </c>
      <c r="X25" s="145">
        <f t="shared" si="21"/>
        <v>416460</v>
      </c>
      <c r="Y25" s="142">
        <f t="shared" si="8"/>
        <v>10959.473684210527</v>
      </c>
      <c r="Z25" s="146"/>
      <c r="AA25" s="183">
        <v>81</v>
      </c>
      <c r="AB25" s="135">
        <v>44800</v>
      </c>
      <c r="AC25" s="136">
        <f t="shared" si="9"/>
        <v>553.08641975308637</v>
      </c>
      <c r="AD25" s="135">
        <v>38770</v>
      </c>
      <c r="AE25" s="137">
        <f t="shared" si="10"/>
        <v>478.64197530864197</v>
      </c>
      <c r="AF25" s="148">
        <f t="shared" si="22"/>
        <v>83570</v>
      </c>
      <c r="AG25" s="139">
        <f t="shared" si="11"/>
        <v>1031.7283950617284</v>
      </c>
      <c r="AH25" s="154">
        <f t="shared" si="12"/>
        <v>38</v>
      </c>
      <c r="AI25" s="150">
        <f t="shared" si="13"/>
        <v>401530</v>
      </c>
      <c r="AJ25" s="150">
        <f t="shared" si="14"/>
        <v>98500</v>
      </c>
      <c r="AK25" s="149">
        <f>X25+AF25</f>
        <v>500030</v>
      </c>
      <c r="AL25" s="142">
        <f t="shared" si="15"/>
        <v>47760</v>
      </c>
      <c r="AM25" s="142"/>
      <c r="AN25" s="150">
        <v>38</v>
      </c>
      <c r="AO25" s="150">
        <v>356730</v>
      </c>
      <c r="AP25" s="150">
        <v>59730</v>
      </c>
      <c r="AQ25" s="151">
        <v>46200</v>
      </c>
      <c r="AR25" s="151">
        <v>1560</v>
      </c>
      <c r="AS25" s="151"/>
      <c r="AT25" s="151">
        <v>3300</v>
      </c>
      <c r="AU25" s="152">
        <f t="shared" si="24"/>
        <v>464220</v>
      </c>
      <c r="AV25" s="119">
        <v>21</v>
      </c>
      <c r="AW25" s="120">
        <f t="shared" si="25"/>
        <v>467520</v>
      </c>
      <c r="AX25" s="177">
        <f t="shared" si="16"/>
        <v>551090</v>
      </c>
    </row>
    <row r="26" spans="1:50" ht="15.75" customHeight="1">
      <c r="A26" s="119"/>
      <c r="B26" s="184">
        <f t="shared" si="17"/>
        <v>45983</v>
      </c>
      <c r="C26" s="176"/>
      <c r="D26" s="132">
        <v>94</v>
      </c>
      <c r="E26" s="133"/>
      <c r="F26" s="134">
        <v>19</v>
      </c>
      <c r="G26" s="135">
        <v>73810</v>
      </c>
      <c r="H26" s="136">
        <f t="shared" si="0"/>
        <v>3531.5789473684213</v>
      </c>
      <c r="I26" s="135">
        <v>10140</v>
      </c>
      <c r="J26" s="136">
        <f t="shared" si="1"/>
        <v>485.15789473684208</v>
      </c>
      <c r="K26" s="138">
        <f t="shared" si="26"/>
        <v>83950</v>
      </c>
      <c r="L26" s="139">
        <f t="shared" si="2"/>
        <v>4418.4210526315792</v>
      </c>
      <c r="M26" s="140"/>
      <c r="N26" s="141">
        <f t="shared" si="28"/>
        <v>35</v>
      </c>
      <c r="O26" s="142">
        <f t="shared" si="28"/>
        <v>346720</v>
      </c>
      <c r="P26" s="136">
        <f t="shared" si="3"/>
        <v>9005.7142857142862</v>
      </c>
      <c r="Q26" s="142">
        <f t="shared" si="19"/>
        <v>76990</v>
      </c>
      <c r="R26" s="158">
        <f t="shared" si="4"/>
        <v>1999.7142857142858</v>
      </c>
      <c r="S26" s="143">
        <f t="shared" si="20"/>
        <v>423710</v>
      </c>
      <c r="T26" s="139">
        <f t="shared" si="5"/>
        <v>12106</v>
      </c>
      <c r="U26" s="144">
        <f t="shared" si="27"/>
        <v>54</v>
      </c>
      <c r="V26" s="142">
        <f t="shared" si="27"/>
        <v>420530</v>
      </c>
      <c r="W26" s="142">
        <f t="shared" si="7"/>
        <v>87130</v>
      </c>
      <c r="X26" s="145">
        <f t="shared" si="21"/>
        <v>507660</v>
      </c>
      <c r="Y26" s="142">
        <f t="shared" si="8"/>
        <v>9401.1111111111113</v>
      </c>
      <c r="Z26" s="146"/>
      <c r="AA26" s="183">
        <v>133</v>
      </c>
      <c r="AB26" s="135">
        <v>77500</v>
      </c>
      <c r="AC26" s="136">
        <f t="shared" si="9"/>
        <v>582.70676691729318</v>
      </c>
      <c r="AD26" s="135">
        <v>34870</v>
      </c>
      <c r="AE26" s="137">
        <f t="shared" si="10"/>
        <v>262.18045112781954</v>
      </c>
      <c r="AF26" s="148">
        <f t="shared" si="22"/>
        <v>112370</v>
      </c>
      <c r="AG26" s="139">
        <f t="shared" si="11"/>
        <v>844.88721804511283</v>
      </c>
      <c r="AH26" s="154">
        <f t="shared" si="12"/>
        <v>54</v>
      </c>
      <c r="AI26" s="150">
        <f t="shared" si="13"/>
        <v>498030</v>
      </c>
      <c r="AJ26" s="150">
        <f t="shared" si="14"/>
        <v>122000</v>
      </c>
      <c r="AK26" s="149">
        <f>X26+AF26</f>
        <v>620030</v>
      </c>
      <c r="AL26" s="142">
        <f t="shared" si="15"/>
        <v>53810</v>
      </c>
      <c r="AM26" s="142"/>
      <c r="AN26" s="150">
        <v>54</v>
      </c>
      <c r="AO26" s="150">
        <v>420530</v>
      </c>
      <c r="AP26" s="150">
        <v>87130</v>
      </c>
      <c r="AQ26" s="151">
        <v>52250</v>
      </c>
      <c r="AR26" s="151">
        <v>1560</v>
      </c>
      <c r="AS26" s="151"/>
      <c r="AT26" s="151"/>
      <c r="AU26" s="152">
        <f t="shared" si="24"/>
        <v>561470</v>
      </c>
      <c r="AV26" s="119">
        <v>22</v>
      </c>
      <c r="AW26" s="120">
        <f t="shared" si="25"/>
        <v>561470</v>
      </c>
      <c r="AX26" s="177">
        <f t="shared" si="16"/>
        <v>673840</v>
      </c>
    </row>
    <row r="27" spans="1:50" ht="15.75" customHeight="1">
      <c r="A27" s="119"/>
      <c r="B27" s="185">
        <f t="shared" si="17"/>
        <v>45984</v>
      </c>
      <c r="C27" s="176"/>
      <c r="D27" s="132">
        <v>98</v>
      </c>
      <c r="E27" s="133"/>
      <c r="F27" s="134">
        <v>24</v>
      </c>
      <c r="G27" s="135">
        <v>88770</v>
      </c>
      <c r="H27" s="136">
        <f t="shared" si="0"/>
        <v>3362.5</v>
      </c>
      <c r="I27" s="135">
        <v>15540</v>
      </c>
      <c r="J27" s="136">
        <f t="shared" si="1"/>
        <v>588.625</v>
      </c>
      <c r="K27" s="138">
        <f t="shared" si="26"/>
        <v>104310</v>
      </c>
      <c r="L27" s="139">
        <f t="shared" si="2"/>
        <v>4346.25</v>
      </c>
      <c r="M27" s="140"/>
      <c r="N27" s="141">
        <f t="shared" si="28"/>
        <v>36</v>
      </c>
      <c r="O27" s="142">
        <f t="shared" si="28"/>
        <v>382360</v>
      </c>
      <c r="P27" s="136">
        <f t="shared" si="3"/>
        <v>9655.5555555555547</v>
      </c>
      <c r="Q27" s="142">
        <f t="shared" si="19"/>
        <v>71070</v>
      </c>
      <c r="R27" s="137">
        <f t="shared" si="4"/>
        <v>1794.6944444444443</v>
      </c>
      <c r="S27" s="143">
        <f t="shared" si="20"/>
        <v>453430</v>
      </c>
      <c r="T27" s="139">
        <f t="shared" si="5"/>
        <v>12595.277777777777</v>
      </c>
      <c r="U27" s="144">
        <f t="shared" si="27"/>
        <v>60</v>
      </c>
      <c r="V27" s="142">
        <f t="shared" si="27"/>
        <v>471130</v>
      </c>
      <c r="W27" s="142">
        <f t="shared" si="7"/>
        <v>86610</v>
      </c>
      <c r="X27" s="145">
        <f t="shared" si="21"/>
        <v>557740</v>
      </c>
      <c r="Y27" s="142">
        <f t="shared" si="8"/>
        <v>9295.6666666666661</v>
      </c>
      <c r="Z27" s="146"/>
      <c r="AA27" s="183">
        <v>127</v>
      </c>
      <c r="AB27" s="135">
        <v>86750</v>
      </c>
      <c r="AC27" s="136">
        <f t="shared" si="9"/>
        <v>683.07086614173227</v>
      </c>
      <c r="AD27" s="135">
        <v>34560</v>
      </c>
      <c r="AE27" s="137">
        <f t="shared" si="10"/>
        <v>272.12598425196853</v>
      </c>
      <c r="AF27" s="148">
        <f t="shared" si="22"/>
        <v>121310</v>
      </c>
      <c r="AG27" s="139">
        <f t="shared" si="11"/>
        <v>955.19685039370074</v>
      </c>
      <c r="AH27" s="154">
        <f t="shared" si="12"/>
        <v>60</v>
      </c>
      <c r="AI27" s="150">
        <f t="shared" si="13"/>
        <v>557880</v>
      </c>
      <c r="AJ27" s="150">
        <f t="shared" si="14"/>
        <v>121170</v>
      </c>
      <c r="AK27" s="149">
        <f>X27+AF27</f>
        <v>679050</v>
      </c>
      <c r="AL27" s="142">
        <f t="shared" si="15"/>
        <v>48950</v>
      </c>
      <c r="AM27" s="142"/>
      <c r="AN27" s="150">
        <v>60</v>
      </c>
      <c r="AO27" s="150">
        <v>471130</v>
      </c>
      <c r="AP27" s="150">
        <v>86610</v>
      </c>
      <c r="AQ27" s="151">
        <v>47300</v>
      </c>
      <c r="AR27" s="151">
        <v>1650</v>
      </c>
      <c r="AS27" s="151"/>
      <c r="AT27" s="151"/>
      <c r="AU27" s="152">
        <f t="shared" si="24"/>
        <v>606690</v>
      </c>
      <c r="AV27" s="119">
        <v>23</v>
      </c>
      <c r="AW27" s="120">
        <f t="shared" si="25"/>
        <v>606690</v>
      </c>
      <c r="AX27" s="177">
        <f t="shared" si="16"/>
        <v>728000</v>
      </c>
    </row>
    <row r="28" spans="1:50" ht="15.75" customHeight="1">
      <c r="A28" s="119"/>
      <c r="B28" s="185">
        <f t="shared" si="17"/>
        <v>45985</v>
      </c>
      <c r="C28" s="176"/>
      <c r="D28" s="132">
        <v>99</v>
      </c>
      <c r="E28" s="133"/>
      <c r="F28" s="134">
        <v>36</v>
      </c>
      <c r="G28" s="135">
        <v>121210</v>
      </c>
      <c r="H28" s="136">
        <f t="shared" si="0"/>
        <v>3060.8333333333335</v>
      </c>
      <c r="I28" s="135">
        <v>26330</v>
      </c>
      <c r="J28" s="136">
        <f t="shared" si="1"/>
        <v>664.88888888888891</v>
      </c>
      <c r="K28" s="138">
        <f t="shared" si="26"/>
        <v>147540</v>
      </c>
      <c r="L28" s="139">
        <f t="shared" si="2"/>
        <v>4098.333333333333</v>
      </c>
      <c r="M28" s="140"/>
      <c r="N28" s="141">
        <f t="shared" si="28"/>
        <v>40</v>
      </c>
      <c r="O28" s="142">
        <f t="shared" si="28"/>
        <v>398860</v>
      </c>
      <c r="P28" s="136">
        <f t="shared" si="3"/>
        <v>9065</v>
      </c>
      <c r="Q28" s="142">
        <f t="shared" si="19"/>
        <v>98680</v>
      </c>
      <c r="R28" s="137">
        <f t="shared" si="4"/>
        <v>2242.7249999999999</v>
      </c>
      <c r="S28" s="143">
        <f t="shared" si="20"/>
        <v>497540</v>
      </c>
      <c r="T28" s="139">
        <f t="shared" si="5"/>
        <v>12438.5</v>
      </c>
      <c r="U28" s="144">
        <f t="shared" si="27"/>
        <v>76</v>
      </c>
      <c r="V28" s="142">
        <f t="shared" si="27"/>
        <v>520070</v>
      </c>
      <c r="W28" s="142">
        <f t="shared" si="7"/>
        <v>125010</v>
      </c>
      <c r="X28" s="145">
        <f t="shared" si="21"/>
        <v>645080</v>
      </c>
      <c r="Y28" s="142">
        <f t="shared" si="8"/>
        <v>8487.894736842105</v>
      </c>
      <c r="Z28" s="146"/>
      <c r="AA28" s="183">
        <v>74</v>
      </c>
      <c r="AB28" s="135">
        <v>67700</v>
      </c>
      <c r="AC28" s="136">
        <f t="shared" si="9"/>
        <v>914.8648648648649</v>
      </c>
      <c r="AD28" s="135">
        <v>10370</v>
      </c>
      <c r="AE28" s="137">
        <f t="shared" si="10"/>
        <v>140.13513513513513</v>
      </c>
      <c r="AF28" s="148">
        <f t="shared" si="22"/>
        <v>78070</v>
      </c>
      <c r="AG28" s="139">
        <f t="shared" si="11"/>
        <v>1055</v>
      </c>
      <c r="AH28" s="154">
        <f t="shared" si="12"/>
        <v>76</v>
      </c>
      <c r="AI28" s="150">
        <f t="shared" si="13"/>
        <v>587770</v>
      </c>
      <c r="AJ28" s="150">
        <f t="shared" si="14"/>
        <v>135380</v>
      </c>
      <c r="AK28" s="149">
        <f t="shared" si="23"/>
        <v>723150</v>
      </c>
      <c r="AL28" s="142">
        <f t="shared" si="15"/>
        <v>102750</v>
      </c>
      <c r="AM28" s="142"/>
      <c r="AN28" s="150">
        <v>76</v>
      </c>
      <c r="AO28" s="150">
        <v>520070</v>
      </c>
      <c r="AP28" s="150">
        <v>125010</v>
      </c>
      <c r="AQ28" s="151">
        <v>56100</v>
      </c>
      <c r="AR28" s="151">
        <v>46650</v>
      </c>
      <c r="AS28" s="151"/>
      <c r="AT28" s="151">
        <v>73300</v>
      </c>
      <c r="AU28" s="152">
        <f>SUM(AO28:AS28)</f>
        <v>747830</v>
      </c>
      <c r="AV28" s="119">
        <v>24</v>
      </c>
      <c r="AW28" s="120">
        <f t="shared" si="25"/>
        <v>821130</v>
      </c>
      <c r="AX28" s="177">
        <f t="shared" si="16"/>
        <v>899200</v>
      </c>
    </row>
    <row r="29" spans="1:50" ht="15.75" customHeight="1">
      <c r="A29" s="119"/>
      <c r="B29" s="186">
        <f t="shared" si="17"/>
        <v>45986</v>
      </c>
      <c r="C29" s="176" t="s">
        <v>56</v>
      </c>
      <c r="D29" s="132">
        <v>78</v>
      </c>
      <c r="E29" s="133"/>
      <c r="F29" s="134"/>
      <c r="G29" s="135"/>
      <c r="H29" s="136" t="e">
        <f t="shared" si="0"/>
        <v>#DIV/0!</v>
      </c>
      <c r="I29" s="135"/>
      <c r="J29" s="136" t="e">
        <f t="shared" si="1"/>
        <v>#DIV/0!</v>
      </c>
      <c r="K29" s="138">
        <f t="shared" si="26"/>
        <v>0</v>
      </c>
      <c r="L29" s="139" t="str">
        <f t="shared" si="2"/>
        <v/>
      </c>
      <c r="M29" s="140"/>
      <c r="N29" s="141">
        <f t="shared" si="28"/>
        <v>22</v>
      </c>
      <c r="O29" s="142">
        <f t="shared" si="28"/>
        <v>194700</v>
      </c>
      <c r="P29" s="136">
        <f t="shared" si="3"/>
        <v>8045.454545454545</v>
      </c>
      <c r="Q29" s="142">
        <f t="shared" si="19"/>
        <v>24450</v>
      </c>
      <c r="R29" s="137">
        <f t="shared" si="4"/>
        <v>1010.3181818181819</v>
      </c>
      <c r="S29" s="143">
        <f t="shared" si="20"/>
        <v>219150</v>
      </c>
      <c r="T29" s="139">
        <f t="shared" si="5"/>
        <v>9961.363636363636</v>
      </c>
      <c r="U29" s="144">
        <f t="shared" si="27"/>
        <v>22</v>
      </c>
      <c r="V29" s="142">
        <f t="shared" si="27"/>
        <v>194700</v>
      </c>
      <c r="W29" s="142">
        <f t="shared" si="7"/>
        <v>24450</v>
      </c>
      <c r="X29" s="145">
        <f t="shared" si="21"/>
        <v>219150</v>
      </c>
      <c r="Y29" s="142">
        <f t="shared" si="8"/>
        <v>9961.363636363636</v>
      </c>
      <c r="Z29" s="146"/>
      <c r="AA29" s="183">
        <v>74</v>
      </c>
      <c r="AB29" s="135">
        <v>58550</v>
      </c>
      <c r="AC29" s="136">
        <f t="shared" si="9"/>
        <v>791.21621621621625</v>
      </c>
      <c r="AD29" s="135">
        <v>23450</v>
      </c>
      <c r="AE29" s="137">
        <f t="shared" si="10"/>
        <v>316.89189189189187</v>
      </c>
      <c r="AF29" s="148">
        <f t="shared" si="22"/>
        <v>82000</v>
      </c>
      <c r="AG29" s="139">
        <f t="shared" si="11"/>
        <v>1108.1081081081081</v>
      </c>
      <c r="AH29" s="154">
        <f t="shared" si="12"/>
        <v>22</v>
      </c>
      <c r="AI29" s="150">
        <f t="shared" si="13"/>
        <v>253250</v>
      </c>
      <c r="AJ29" s="150">
        <f t="shared" si="14"/>
        <v>47900</v>
      </c>
      <c r="AK29" s="149">
        <f t="shared" si="23"/>
        <v>301150</v>
      </c>
      <c r="AL29" s="142">
        <f t="shared" si="15"/>
        <v>36300</v>
      </c>
      <c r="AM29" s="142"/>
      <c r="AN29" s="150">
        <v>22</v>
      </c>
      <c r="AO29" s="150">
        <v>194700</v>
      </c>
      <c r="AP29" s="150">
        <v>24450</v>
      </c>
      <c r="AQ29" s="151">
        <v>36300</v>
      </c>
      <c r="AR29" s="151"/>
      <c r="AS29" s="151"/>
      <c r="AT29" s="151"/>
      <c r="AU29" s="152">
        <f t="shared" si="24"/>
        <v>255450</v>
      </c>
      <c r="AV29" s="119">
        <v>25</v>
      </c>
      <c r="AW29" s="120">
        <f t="shared" si="25"/>
        <v>255450</v>
      </c>
      <c r="AX29" s="177">
        <f t="shared" si="16"/>
        <v>337450</v>
      </c>
    </row>
    <row r="30" spans="1:50" ht="15.75" customHeight="1">
      <c r="A30" s="119"/>
      <c r="B30" s="186">
        <f t="shared" si="17"/>
        <v>45987</v>
      </c>
      <c r="C30" s="176" t="s">
        <v>56</v>
      </c>
      <c r="D30" s="132">
        <v>84</v>
      </c>
      <c r="E30" s="133"/>
      <c r="F30" s="134"/>
      <c r="G30" s="135"/>
      <c r="H30" s="136" t="e">
        <f t="shared" si="0"/>
        <v>#DIV/0!</v>
      </c>
      <c r="I30" s="135"/>
      <c r="J30" s="136" t="e">
        <f>ROUNDDOWN(I30/1.1,0)/F30</f>
        <v>#DIV/0!</v>
      </c>
      <c r="K30" s="138">
        <f t="shared" si="26"/>
        <v>0</v>
      </c>
      <c r="L30" s="139" t="str">
        <f t="shared" si="2"/>
        <v/>
      </c>
      <c r="M30" s="140"/>
      <c r="N30" s="141">
        <f t="shared" si="28"/>
        <v>30</v>
      </c>
      <c r="O30" s="142">
        <f t="shared" si="28"/>
        <v>321530</v>
      </c>
      <c r="P30" s="136">
        <f t="shared" si="3"/>
        <v>9743.3333333333339</v>
      </c>
      <c r="Q30" s="142">
        <f t="shared" si="19"/>
        <v>71630</v>
      </c>
      <c r="R30" s="136">
        <f t="shared" si="4"/>
        <v>2170.6</v>
      </c>
      <c r="S30" s="143">
        <f t="shared" si="20"/>
        <v>393160</v>
      </c>
      <c r="T30" s="139">
        <f t="shared" si="5"/>
        <v>13105.333333333334</v>
      </c>
      <c r="U30" s="144">
        <f t="shared" si="27"/>
        <v>30</v>
      </c>
      <c r="V30" s="142">
        <f t="shared" si="27"/>
        <v>321530</v>
      </c>
      <c r="W30" s="142">
        <f t="shared" si="7"/>
        <v>71630</v>
      </c>
      <c r="X30" s="145">
        <f t="shared" si="21"/>
        <v>393160</v>
      </c>
      <c r="Y30" s="142">
        <f t="shared" si="8"/>
        <v>13105.333333333334</v>
      </c>
      <c r="Z30" s="146"/>
      <c r="AA30" s="183">
        <v>52</v>
      </c>
      <c r="AB30" s="135">
        <v>32850</v>
      </c>
      <c r="AC30" s="136">
        <f t="shared" si="9"/>
        <v>631.73076923076928</v>
      </c>
      <c r="AD30" s="135">
        <v>21420</v>
      </c>
      <c r="AE30" s="137">
        <f t="shared" si="10"/>
        <v>411.92307692307691</v>
      </c>
      <c r="AF30" s="148">
        <f t="shared" si="22"/>
        <v>54270</v>
      </c>
      <c r="AG30" s="139">
        <f t="shared" si="11"/>
        <v>1043.6538461538462</v>
      </c>
      <c r="AH30" s="154">
        <f t="shared" si="12"/>
        <v>30</v>
      </c>
      <c r="AI30" s="150">
        <f t="shared" si="13"/>
        <v>354380</v>
      </c>
      <c r="AJ30" s="150">
        <f t="shared" si="14"/>
        <v>93050</v>
      </c>
      <c r="AK30" s="149">
        <f t="shared" si="23"/>
        <v>447430</v>
      </c>
      <c r="AL30" s="142">
        <f t="shared" si="15"/>
        <v>37550</v>
      </c>
      <c r="AM30" s="142"/>
      <c r="AN30" s="150">
        <v>30</v>
      </c>
      <c r="AO30" s="150">
        <v>321530</v>
      </c>
      <c r="AP30" s="150">
        <v>71630</v>
      </c>
      <c r="AQ30" s="151">
        <v>35900</v>
      </c>
      <c r="AR30" s="151">
        <v>1650</v>
      </c>
      <c r="AS30" s="151"/>
      <c r="AT30" s="151">
        <v>19800</v>
      </c>
      <c r="AU30" s="152">
        <f>SUM(AO30:AS30)</f>
        <v>430710</v>
      </c>
      <c r="AV30" s="119">
        <v>26</v>
      </c>
      <c r="AW30" s="120">
        <f t="shared" si="25"/>
        <v>450510</v>
      </c>
      <c r="AX30" s="177">
        <f t="shared" si="16"/>
        <v>504780</v>
      </c>
    </row>
    <row r="31" spans="1:50" ht="15.75" customHeight="1">
      <c r="A31" s="119"/>
      <c r="B31" s="186">
        <f t="shared" si="17"/>
        <v>45988</v>
      </c>
      <c r="C31" s="176" t="s">
        <v>56</v>
      </c>
      <c r="D31" s="132">
        <v>85</v>
      </c>
      <c r="E31" s="133"/>
      <c r="F31" s="134"/>
      <c r="G31" s="135"/>
      <c r="H31" s="136" t="e">
        <f t="shared" si="0"/>
        <v>#DIV/0!</v>
      </c>
      <c r="I31" s="135"/>
      <c r="J31" s="136" t="e">
        <f>ROUNDDOWN(I31/1.1,0)/F31</f>
        <v>#DIV/0!</v>
      </c>
      <c r="K31" s="138">
        <f t="shared" si="26"/>
        <v>0</v>
      </c>
      <c r="L31" s="139" t="str">
        <f t="shared" si="2"/>
        <v/>
      </c>
      <c r="M31" s="140"/>
      <c r="N31" s="141">
        <f t="shared" si="28"/>
        <v>25</v>
      </c>
      <c r="O31" s="142">
        <f t="shared" si="28"/>
        <v>235620</v>
      </c>
      <c r="P31" s="136">
        <f t="shared" si="3"/>
        <v>8568</v>
      </c>
      <c r="Q31" s="142">
        <f t="shared" si="19"/>
        <v>51480</v>
      </c>
      <c r="R31" s="136">
        <f t="shared" si="4"/>
        <v>1872</v>
      </c>
      <c r="S31" s="143">
        <f t="shared" si="20"/>
        <v>287100</v>
      </c>
      <c r="T31" s="139">
        <f t="shared" si="5"/>
        <v>11484</v>
      </c>
      <c r="U31" s="144">
        <f t="shared" si="27"/>
        <v>25</v>
      </c>
      <c r="V31" s="142">
        <f t="shared" si="27"/>
        <v>235620</v>
      </c>
      <c r="W31" s="142">
        <f t="shared" si="7"/>
        <v>51480</v>
      </c>
      <c r="X31" s="145">
        <f t="shared" si="21"/>
        <v>287100</v>
      </c>
      <c r="Y31" s="142">
        <f t="shared" si="8"/>
        <v>11484</v>
      </c>
      <c r="Z31" s="146"/>
      <c r="AA31" s="183">
        <v>72</v>
      </c>
      <c r="AB31" s="135">
        <v>49400</v>
      </c>
      <c r="AC31" s="136">
        <f t="shared" si="9"/>
        <v>686.11111111111109</v>
      </c>
      <c r="AD31" s="135">
        <v>23600</v>
      </c>
      <c r="AE31" s="137">
        <f t="shared" si="10"/>
        <v>327.77777777777777</v>
      </c>
      <c r="AF31" s="148">
        <f t="shared" si="22"/>
        <v>73000</v>
      </c>
      <c r="AG31" s="139">
        <f t="shared" si="11"/>
        <v>1013.8888888888889</v>
      </c>
      <c r="AH31" s="154">
        <f t="shared" si="12"/>
        <v>25</v>
      </c>
      <c r="AI31" s="150">
        <f t="shared" si="13"/>
        <v>285020</v>
      </c>
      <c r="AJ31" s="150">
        <f t="shared" si="14"/>
        <v>75080</v>
      </c>
      <c r="AK31" s="149">
        <f t="shared" si="23"/>
        <v>360100</v>
      </c>
      <c r="AL31" s="142">
        <f t="shared" si="15"/>
        <v>26450</v>
      </c>
      <c r="AM31" s="142"/>
      <c r="AN31" s="150">
        <v>25</v>
      </c>
      <c r="AO31" s="150">
        <v>235620</v>
      </c>
      <c r="AP31" s="150">
        <v>51480</v>
      </c>
      <c r="AQ31" s="151">
        <v>23800</v>
      </c>
      <c r="AR31" s="151">
        <v>2650</v>
      </c>
      <c r="AS31" s="151"/>
      <c r="AT31" s="151">
        <v>19800</v>
      </c>
      <c r="AU31" s="152">
        <f t="shared" si="24"/>
        <v>313550</v>
      </c>
      <c r="AV31" s="119">
        <v>27</v>
      </c>
      <c r="AW31" s="120">
        <f t="shared" si="25"/>
        <v>333350</v>
      </c>
      <c r="AX31" s="177">
        <f t="shared" si="16"/>
        <v>406350</v>
      </c>
    </row>
    <row r="32" spans="1:50" ht="15.75" customHeight="1">
      <c r="A32" s="119"/>
      <c r="B32" s="186">
        <f t="shared" si="17"/>
        <v>45989</v>
      </c>
      <c r="C32" s="176" t="s">
        <v>56</v>
      </c>
      <c r="D32" s="132">
        <v>93</v>
      </c>
      <c r="E32" s="133"/>
      <c r="F32" s="134"/>
      <c r="G32" s="135"/>
      <c r="H32" s="136" t="e">
        <f t="shared" si="0"/>
        <v>#DIV/0!</v>
      </c>
      <c r="I32" s="135"/>
      <c r="J32" s="136" t="e">
        <f>ROUNDDOWN(I32/1.1,0)/F32</f>
        <v>#DIV/0!</v>
      </c>
      <c r="K32" s="138">
        <f t="shared" si="26"/>
        <v>0</v>
      </c>
      <c r="L32" s="139" t="str">
        <f t="shared" si="2"/>
        <v/>
      </c>
      <c r="M32" s="140"/>
      <c r="N32" s="141">
        <f t="shared" si="28"/>
        <v>20</v>
      </c>
      <c r="O32" s="142">
        <f t="shared" si="28"/>
        <v>227590</v>
      </c>
      <c r="P32" s="136">
        <f>ROUNDDOWN(O32/1.1,0)/N32</f>
        <v>10345</v>
      </c>
      <c r="Q32" s="142">
        <f>AP32-I32</f>
        <v>37170</v>
      </c>
      <c r="R32" s="136">
        <f>ROUNDDOWN(Q32/1.1,0)/N32</f>
        <v>1689.5</v>
      </c>
      <c r="S32" s="143">
        <f>O32+Q32</f>
        <v>264760</v>
      </c>
      <c r="T32" s="139">
        <f>IF(N32="","",S32/N32)</f>
        <v>13238</v>
      </c>
      <c r="U32" s="144">
        <f t="shared" si="27"/>
        <v>20</v>
      </c>
      <c r="V32" s="142">
        <f>G32+O32</f>
        <v>227590</v>
      </c>
      <c r="W32" s="142">
        <f>I32+Q32</f>
        <v>37170</v>
      </c>
      <c r="X32" s="145">
        <f>K32+S32</f>
        <v>264760</v>
      </c>
      <c r="Y32" s="142">
        <f>IF(U32="","",X32/U32)</f>
        <v>13238</v>
      </c>
      <c r="Z32" s="146"/>
      <c r="AA32" s="183">
        <v>52</v>
      </c>
      <c r="AB32" s="135">
        <v>30800</v>
      </c>
      <c r="AC32" s="136">
        <f>AB32/AA32</f>
        <v>592.30769230769226</v>
      </c>
      <c r="AD32" s="135">
        <v>18780</v>
      </c>
      <c r="AE32" s="137">
        <f>AD32/AA32</f>
        <v>361.15384615384613</v>
      </c>
      <c r="AF32" s="148">
        <f>AB32+AD32</f>
        <v>49580</v>
      </c>
      <c r="AG32" s="139">
        <f>IF(AA32="","",AF32/AA32)</f>
        <v>953.46153846153845</v>
      </c>
      <c r="AH32" s="154">
        <f>SUM(F32,N32)</f>
        <v>20</v>
      </c>
      <c r="AI32" s="150">
        <f>V32+AB32</f>
        <v>258390</v>
      </c>
      <c r="AJ32" s="150">
        <f>W32+AD32</f>
        <v>55950</v>
      </c>
      <c r="AK32" s="149">
        <f>X32+AF32</f>
        <v>314340</v>
      </c>
      <c r="AL32" s="142">
        <f>AQ32+AR32+AS32</f>
        <v>24200</v>
      </c>
      <c r="AM32" s="142"/>
      <c r="AN32" s="150">
        <v>20</v>
      </c>
      <c r="AO32" s="150">
        <v>227590</v>
      </c>
      <c r="AP32" s="150">
        <v>37170</v>
      </c>
      <c r="AQ32" s="151">
        <v>24200</v>
      </c>
      <c r="AR32" s="151"/>
      <c r="AS32" s="151"/>
      <c r="AT32" s="151">
        <v>5500</v>
      </c>
      <c r="AU32" s="152">
        <f>SUM(AO32:AS32)</f>
        <v>288960</v>
      </c>
      <c r="AV32" s="119">
        <v>26</v>
      </c>
      <c r="AW32" s="120">
        <f>AT32+AU32</f>
        <v>294460</v>
      </c>
      <c r="AX32" s="177">
        <f t="shared" si="16"/>
        <v>344040</v>
      </c>
    </row>
    <row r="33" spans="1:50" ht="15.75" customHeight="1">
      <c r="A33" s="119"/>
      <c r="B33" s="184">
        <f t="shared" si="17"/>
        <v>45990</v>
      </c>
      <c r="C33" s="176"/>
      <c r="D33" s="132">
        <v>98</v>
      </c>
      <c r="E33" s="133"/>
      <c r="F33" s="134">
        <v>37</v>
      </c>
      <c r="G33" s="135">
        <v>123200</v>
      </c>
      <c r="H33" s="136">
        <f t="shared" si="0"/>
        <v>3027.0270270270271</v>
      </c>
      <c r="I33" s="135">
        <v>32470</v>
      </c>
      <c r="J33" s="136">
        <f>ROUNDDOWN(I33/1.1,0)/F33</f>
        <v>797.78378378378375</v>
      </c>
      <c r="K33" s="138">
        <f t="shared" si="26"/>
        <v>155670</v>
      </c>
      <c r="L33" s="139">
        <f t="shared" si="2"/>
        <v>4207.2972972972975</v>
      </c>
      <c r="M33" s="140"/>
      <c r="N33" s="141">
        <f t="shared" si="28"/>
        <v>40</v>
      </c>
      <c r="O33" s="142">
        <f t="shared" si="28"/>
        <v>415140</v>
      </c>
      <c r="P33" s="136">
        <f>ROUNDDOWN(O33/1.1,0)/N33</f>
        <v>9435</v>
      </c>
      <c r="Q33" s="142">
        <f>AP33-I33</f>
        <v>94170</v>
      </c>
      <c r="R33" s="136">
        <f>ROUNDDOWN(Q33/1.1,0)/N33</f>
        <v>2140.2249999999999</v>
      </c>
      <c r="S33" s="143">
        <f>O33+Q33</f>
        <v>509310</v>
      </c>
      <c r="T33" s="139">
        <f>IF(N33="","",S33/N33)</f>
        <v>12732.75</v>
      </c>
      <c r="U33" s="144">
        <f t="shared" si="27"/>
        <v>77</v>
      </c>
      <c r="V33" s="142">
        <f>G33+O33</f>
        <v>538340</v>
      </c>
      <c r="W33" s="142">
        <f>I33+Q33</f>
        <v>126640</v>
      </c>
      <c r="X33" s="145">
        <f>K33+S33</f>
        <v>664980</v>
      </c>
      <c r="Y33" s="142">
        <f>IF(U33="","",X33/U33)</f>
        <v>8636.1038961038957</v>
      </c>
      <c r="Z33" s="146"/>
      <c r="AA33" s="183">
        <v>85</v>
      </c>
      <c r="AB33" s="135">
        <v>64750</v>
      </c>
      <c r="AC33" s="136">
        <f>AB33/AA33</f>
        <v>761.76470588235293</v>
      </c>
      <c r="AD33" s="135">
        <v>23970</v>
      </c>
      <c r="AE33" s="137">
        <f>AD33/AA33</f>
        <v>282</v>
      </c>
      <c r="AF33" s="148">
        <f>AB33+AD33</f>
        <v>88720</v>
      </c>
      <c r="AG33" s="139">
        <f>IF(AA33="","",AF33/AA33)</f>
        <v>1043.7647058823529</v>
      </c>
      <c r="AH33" s="154">
        <f>SUM(F33,N33)</f>
        <v>77</v>
      </c>
      <c r="AI33" s="150">
        <f>V33+AB33</f>
        <v>603090</v>
      </c>
      <c r="AJ33" s="150">
        <f>W33+AD33</f>
        <v>150610</v>
      </c>
      <c r="AK33" s="149">
        <f>X33+AF33</f>
        <v>753700</v>
      </c>
      <c r="AL33" s="142">
        <f>AQ33+AR33+AS33</f>
        <v>54450</v>
      </c>
      <c r="AM33" s="142"/>
      <c r="AN33" s="150">
        <v>77</v>
      </c>
      <c r="AO33" s="150">
        <v>538340</v>
      </c>
      <c r="AP33" s="150">
        <v>126640</v>
      </c>
      <c r="AQ33" s="151">
        <v>51150</v>
      </c>
      <c r="AR33" s="151">
        <v>3300</v>
      </c>
      <c r="AS33" s="151"/>
      <c r="AT33" s="151">
        <v>33000</v>
      </c>
      <c r="AU33" s="152">
        <f>SUM(AO33:AS33)</f>
        <v>719430</v>
      </c>
      <c r="AV33" s="119">
        <v>27</v>
      </c>
      <c r="AW33" s="120">
        <f>AT33+AU33</f>
        <v>752430</v>
      </c>
      <c r="AX33" s="177">
        <f t="shared" si="16"/>
        <v>841150</v>
      </c>
    </row>
    <row r="34" spans="1:50" ht="15.75" customHeight="1">
      <c r="A34" s="119"/>
      <c r="B34" s="157">
        <f>B33+1</f>
        <v>45991</v>
      </c>
      <c r="C34" s="176"/>
      <c r="D34" s="132">
        <v>98</v>
      </c>
      <c r="E34" s="133"/>
      <c r="F34" s="134">
        <v>22</v>
      </c>
      <c r="G34" s="135">
        <v>62920</v>
      </c>
      <c r="H34" s="136">
        <f t="shared" si="0"/>
        <v>2600</v>
      </c>
      <c r="I34" s="135">
        <v>10410</v>
      </c>
      <c r="J34" s="136">
        <f>ROUNDDOWN(I34/1.1,0)/F34</f>
        <v>430.13636363636363</v>
      </c>
      <c r="K34" s="138">
        <f t="shared" si="26"/>
        <v>73330</v>
      </c>
      <c r="L34" s="139">
        <f t="shared" si="2"/>
        <v>3333.181818181818</v>
      </c>
      <c r="M34" s="140"/>
      <c r="N34" s="141">
        <f t="shared" si="28"/>
        <v>34</v>
      </c>
      <c r="O34" s="142">
        <f t="shared" si="28"/>
        <v>300520</v>
      </c>
      <c r="P34" s="136">
        <f>ROUNDDOWN(O34/1.1,0)/N34</f>
        <v>8035.2941176470586</v>
      </c>
      <c r="Q34" s="142">
        <f>AP34-I34</f>
        <v>43040</v>
      </c>
      <c r="R34" s="136">
        <f>ROUNDDOWN(Q34/1.1,0)/N34</f>
        <v>1150.7941176470588</v>
      </c>
      <c r="S34" s="143">
        <f>O34+Q34</f>
        <v>343560</v>
      </c>
      <c r="T34" s="139">
        <f>IF(N34="","",S34/N34)</f>
        <v>10104.705882352941</v>
      </c>
      <c r="U34" s="144">
        <f t="shared" si="27"/>
        <v>56</v>
      </c>
      <c r="V34" s="142">
        <f>G34+O34</f>
        <v>363440</v>
      </c>
      <c r="W34" s="142">
        <f>I34+Q34</f>
        <v>53450</v>
      </c>
      <c r="X34" s="145">
        <f>K34+S34</f>
        <v>416890</v>
      </c>
      <c r="Y34" s="142">
        <f>IF(U34="","",X34/U34)</f>
        <v>7444.4642857142853</v>
      </c>
      <c r="Z34" s="146"/>
      <c r="AA34" s="147">
        <v>117</v>
      </c>
      <c r="AB34" s="135">
        <v>81600</v>
      </c>
      <c r="AC34" s="136">
        <f>AB34/AA34</f>
        <v>697.43589743589746</v>
      </c>
      <c r="AD34" s="135">
        <v>26300</v>
      </c>
      <c r="AE34" s="137">
        <f>AD34/AA34</f>
        <v>224.7863247863248</v>
      </c>
      <c r="AF34" s="148">
        <f>AB34+AD34</f>
        <v>107900</v>
      </c>
      <c r="AG34" s="139">
        <f>IF(AA34="","",AF34/AA34)</f>
        <v>922.22222222222217</v>
      </c>
      <c r="AH34" s="154">
        <f>SUM(F34,N34)</f>
        <v>56</v>
      </c>
      <c r="AI34" s="150">
        <f>V34+AB34</f>
        <v>445040</v>
      </c>
      <c r="AJ34" s="150">
        <f>W34+AD34</f>
        <v>79750</v>
      </c>
      <c r="AK34" s="149">
        <f>X34+AF34</f>
        <v>524790</v>
      </c>
      <c r="AL34" s="142">
        <f>AQ34+AR34+AS34</f>
        <v>50050</v>
      </c>
      <c r="AM34" s="142"/>
      <c r="AN34" s="150">
        <v>56</v>
      </c>
      <c r="AO34" s="150">
        <v>363440</v>
      </c>
      <c r="AP34" s="150">
        <v>53450</v>
      </c>
      <c r="AQ34" s="151">
        <v>50050</v>
      </c>
      <c r="AR34" s="151"/>
      <c r="AS34" s="151"/>
      <c r="AT34" s="151"/>
      <c r="AU34" s="152">
        <f>SUM(AO34:AS34)</f>
        <v>466940</v>
      </c>
      <c r="AV34" s="119">
        <v>27</v>
      </c>
      <c r="AW34" s="120">
        <f>AT34+AU34</f>
        <v>466940</v>
      </c>
      <c r="AX34" s="177">
        <f t="shared" si="16"/>
        <v>574840</v>
      </c>
    </row>
    <row r="35" spans="1:50" ht="15.75" customHeight="1" thickBot="1">
      <c r="A35" s="119"/>
      <c r="B35" s="153"/>
      <c r="C35" s="176"/>
      <c r="D35" s="188"/>
      <c r="E35" s="189"/>
      <c r="F35" s="134"/>
      <c r="G35" s="190"/>
      <c r="H35" s="136"/>
      <c r="I35" s="135"/>
      <c r="J35" s="191"/>
      <c r="K35" s="138"/>
      <c r="L35" s="139"/>
      <c r="M35" s="192"/>
      <c r="N35" s="141"/>
      <c r="O35" s="193"/>
      <c r="P35" s="136"/>
      <c r="Q35" s="142"/>
      <c r="R35" s="136"/>
      <c r="S35" s="143"/>
      <c r="T35" s="139"/>
      <c r="U35" s="144"/>
      <c r="V35" s="142"/>
      <c r="W35" s="142"/>
      <c r="X35" s="145"/>
      <c r="Y35" s="142"/>
      <c r="Z35" s="146"/>
      <c r="AA35" s="147"/>
      <c r="AB35" s="135"/>
      <c r="AC35" s="136"/>
      <c r="AD35" s="135"/>
      <c r="AE35" s="137"/>
      <c r="AF35" s="148"/>
      <c r="AG35" s="139"/>
      <c r="AH35" s="154"/>
      <c r="AI35" s="150"/>
      <c r="AJ35" s="150"/>
      <c r="AK35" s="149"/>
      <c r="AL35" s="142"/>
      <c r="AM35" s="142"/>
      <c r="AN35" s="150"/>
      <c r="AO35" s="150"/>
      <c r="AP35" s="150"/>
      <c r="AQ35" s="151"/>
      <c r="AR35" s="151"/>
      <c r="AS35" s="151"/>
      <c r="AT35" s="151"/>
      <c r="AU35" s="152"/>
      <c r="AV35" s="119"/>
      <c r="AW35" s="120"/>
      <c r="AX35" s="177"/>
    </row>
    <row r="36" spans="1:50" ht="15.75" customHeight="1" thickTop="1" thickBot="1">
      <c r="A36" s="34"/>
      <c r="B36" s="35" t="s">
        <v>25</v>
      </c>
      <c r="C36" s="176"/>
      <c r="D36" s="159"/>
      <c r="E36" s="37">
        <f>SUM(E5:E34)</f>
        <v>0</v>
      </c>
      <c r="F36" s="38">
        <f>SUM(F5:F34)</f>
        <v>314</v>
      </c>
      <c r="G36" s="39">
        <f>SUM(G5:G34)</f>
        <v>1075912</v>
      </c>
      <c r="H36" s="40">
        <f>G36/F36</f>
        <v>3426.4713375796177</v>
      </c>
      <c r="I36" s="36">
        <f>SUM(I5:I34)</f>
        <v>193310</v>
      </c>
      <c r="J36" s="41">
        <f>I36/F36</f>
        <v>615.63694267515928</v>
      </c>
      <c r="K36" s="42">
        <f>SUM(K5:K34)</f>
        <v>1269222</v>
      </c>
      <c r="L36" s="43">
        <f>K36/F36</f>
        <v>4042.1082802547771</v>
      </c>
      <c r="M36" s="44">
        <f>SUM(M5:M34)</f>
        <v>0</v>
      </c>
      <c r="N36" s="38">
        <f>SUM(N5:N35)</f>
        <v>812</v>
      </c>
      <c r="O36" s="39">
        <f>SUM(O5:O35)</f>
        <v>8126140</v>
      </c>
      <c r="P36" s="40">
        <f>O36/N36</f>
        <v>10007.561576354679</v>
      </c>
      <c r="Q36" s="45">
        <f>SUM(Q5:Q35)</f>
        <v>1505470</v>
      </c>
      <c r="R36" s="41">
        <f>Q36/N36</f>
        <v>1854.0270935960591</v>
      </c>
      <c r="S36" s="46">
        <f>SUM(S5:S34)</f>
        <v>9631610</v>
      </c>
      <c r="T36" s="47">
        <f>S36/N36</f>
        <v>11861.588669950739</v>
      </c>
      <c r="U36" s="38">
        <f>SUM(U5:U34)</f>
        <v>1126</v>
      </c>
      <c r="V36" s="48">
        <f>SUM(V5:V34)</f>
        <v>9202052</v>
      </c>
      <c r="W36" s="45">
        <f>SUM(W5:W34)</f>
        <v>1698780</v>
      </c>
      <c r="X36" s="49">
        <f>SUM(X5:X34)</f>
        <v>10900832</v>
      </c>
      <c r="Y36" s="50">
        <f>X36/U36</f>
        <v>9681.0230905861463</v>
      </c>
      <c r="Z36" s="37">
        <f>SUM(Z5:Z34)</f>
        <v>0</v>
      </c>
      <c r="AA36" s="38">
        <f>SUM(AA5:AA35)</f>
        <v>2079</v>
      </c>
      <c r="AB36" s="51">
        <f>SUM(AB5:AB35)</f>
        <v>1382300</v>
      </c>
      <c r="AC36" s="136">
        <f>AB36/AA36</f>
        <v>664.88696488696485</v>
      </c>
      <c r="AD36" s="36">
        <f>SUM(AD5:AD35)</f>
        <v>635210</v>
      </c>
      <c r="AE36" s="137">
        <f>AD36/AA36</f>
        <v>305.53631553631556</v>
      </c>
      <c r="AF36" s="52">
        <f>SUM(AF5:AF34)</f>
        <v>2017510</v>
      </c>
      <c r="AG36" s="53">
        <f>AF36/AA36</f>
        <v>970.4232804232804</v>
      </c>
      <c r="AH36" s="38">
        <f t="shared" ref="AH36:AU36" si="29">SUM(AH5:AH34)</f>
        <v>1126</v>
      </c>
      <c r="AI36" s="48">
        <f t="shared" si="29"/>
        <v>10584352</v>
      </c>
      <c r="AJ36" s="45">
        <f t="shared" si="29"/>
        <v>2333990</v>
      </c>
      <c r="AK36" s="46">
        <f t="shared" si="29"/>
        <v>12918342</v>
      </c>
      <c r="AL36" s="36">
        <f t="shared" si="29"/>
        <v>1289820</v>
      </c>
      <c r="AM36" s="173">
        <f t="shared" si="29"/>
        <v>0</v>
      </c>
      <c r="AN36" s="54">
        <f>SUM(AN5:AN35)</f>
        <v>1126</v>
      </c>
      <c r="AO36" s="54">
        <f>SUM(AO5:AO35)</f>
        <v>9202052</v>
      </c>
      <c r="AP36" s="54">
        <f>SUM(AP5:AP35)</f>
        <v>1698780</v>
      </c>
      <c r="AQ36" s="54">
        <f>SUM(AQ5:AQ35)</f>
        <v>1068400</v>
      </c>
      <c r="AR36" s="54">
        <f>SUM(AR5:AR35)</f>
        <v>221420</v>
      </c>
      <c r="AS36" s="54">
        <f t="shared" si="29"/>
        <v>0</v>
      </c>
      <c r="AT36" s="54">
        <f>SUM(AT5:AT35)</f>
        <v>160200</v>
      </c>
      <c r="AU36" s="54">
        <f t="shared" si="29"/>
        <v>12190652</v>
      </c>
      <c r="AV36" s="34"/>
      <c r="AW36" s="55">
        <f>SUM(AW5:AW34)</f>
        <v>12350852</v>
      </c>
      <c r="AX36" s="55">
        <f>SUM(AX5:AX34)</f>
        <v>14368362</v>
      </c>
    </row>
    <row r="37" spans="1:50" ht="15.75" customHeight="1" thickTop="1">
      <c r="A37" s="34"/>
      <c r="B37" s="56"/>
      <c r="C37" s="160"/>
      <c r="D37" s="88"/>
      <c r="E37" s="34"/>
      <c r="F37" s="57" t="s">
        <v>34</v>
      </c>
      <c r="G37" s="58">
        <f>G36/1.1</f>
        <v>978101.81818181812</v>
      </c>
      <c r="H37" s="59">
        <f>G37/F36</f>
        <v>3114.9739432541978</v>
      </c>
      <c r="I37" s="32">
        <f>I36/1.1</f>
        <v>175736.36363636362</v>
      </c>
      <c r="J37" s="59">
        <f>I37/F36</f>
        <v>559.66994788650834</v>
      </c>
      <c r="K37" s="54">
        <f>K36/1.1</f>
        <v>1153838.1818181816</v>
      </c>
      <c r="L37" s="60">
        <f>H37+J37</f>
        <v>3674.6438911407063</v>
      </c>
      <c r="M37" s="61"/>
      <c r="N37" s="57" t="s">
        <v>34</v>
      </c>
      <c r="O37" s="58">
        <f>O36/1.1</f>
        <v>7387399.9999999991</v>
      </c>
      <c r="P37" s="59">
        <f>O37/N36</f>
        <v>9097.7832512315254</v>
      </c>
      <c r="Q37" s="58">
        <f>Q36/1.1</f>
        <v>1368609.0909090908</v>
      </c>
      <c r="R37" s="59">
        <f>Q37/N36</f>
        <v>1685.4791759964173</v>
      </c>
      <c r="S37" s="59">
        <f>S36/1.1</f>
        <v>8756009.0909090899</v>
      </c>
      <c r="T37" s="62">
        <f>S37/N36</f>
        <v>10783.262427227943</v>
      </c>
      <c r="U37" s="57" t="s">
        <v>34</v>
      </c>
      <c r="V37" s="58">
        <f>V36/1.1</f>
        <v>8365501.8181818174</v>
      </c>
      <c r="W37" s="58">
        <f>W36/1.1</f>
        <v>1544345.4545454544</v>
      </c>
      <c r="X37" s="63">
        <f>X36/1.1</f>
        <v>9909847.2727272715</v>
      </c>
      <c r="Y37" s="50">
        <f>X37/U36</f>
        <v>8800.9300823510403</v>
      </c>
      <c r="Z37" s="61"/>
      <c r="AA37" s="57" t="s">
        <v>34</v>
      </c>
      <c r="AB37" s="58">
        <f>AB36/1.1</f>
        <v>1256636.3636363635</v>
      </c>
      <c r="AC37" s="32">
        <f>AB37/AA36</f>
        <v>604.44269535178626</v>
      </c>
      <c r="AD37" s="32">
        <f>AD36/1.1</f>
        <v>577463.63636363635</v>
      </c>
      <c r="AE37" s="32">
        <f>AD37/AA36</f>
        <v>277.76028685119593</v>
      </c>
      <c r="AF37" s="59">
        <f>AF36/1.1</f>
        <v>1834099.9999999998</v>
      </c>
      <c r="AG37" s="64">
        <f>AF37/AA36</f>
        <v>882.20298220298207</v>
      </c>
      <c r="AH37" s="57" t="s">
        <v>34</v>
      </c>
      <c r="AI37" s="65">
        <f>AI36/1.1</f>
        <v>9622138.1818181816</v>
      </c>
      <c r="AJ37" s="58">
        <f>AJ36/1.1</f>
        <v>2121809.0909090908</v>
      </c>
      <c r="AK37" s="59">
        <f>AK36/1.1</f>
        <v>11743947.272727272</v>
      </c>
      <c r="AL37" s="174">
        <f>AL36/1.1</f>
        <v>1172563.6363636362</v>
      </c>
      <c r="AM37" s="175">
        <f>AM36/1.08</f>
        <v>0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61"/>
      <c r="D38" s="89"/>
      <c r="E38" s="31"/>
      <c r="F38" s="68" t="s">
        <v>35</v>
      </c>
      <c r="G38" s="69">
        <f>F36/H38</f>
        <v>28.545454545454547</v>
      </c>
      <c r="H38" s="70">
        <v>11</v>
      </c>
      <c r="I38" s="71" t="s">
        <v>36</v>
      </c>
      <c r="J38" s="69"/>
      <c r="K38" s="72" t="s">
        <v>37</v>
      </c>
      <c r="L38" s="73">
        <f>K37/H38</f>
        <v>104894.38016528924</v>
      </c>
      <c r="M38" s="31"/>
      <c r="N38" s="68" t="s">
        <v>35</v>
      </c>
      <c r="O38" s="69">
        <f>N36/P38</f>
        <v>28</v>
      </c>
      <c r="P38" s="70">
        <v>29</v>
      </c>
      <c r="Q38" s="71" t="s">
        <v>36</v>
      </c>
      <c r="R38" s="69"/>
      <c r="S38" s="72" t="s">
        <v>37</v>
      </c>
      <c r="T38" s="74">
        <f>S37/P38</f>
        <v>301931.34796238242</v>
      </c>
      <c r="U38" s="31"/>
      <c r="V38" s="31"/>
      <c r="W38" s="31"/>
      <c r="X38" s="33"/>
      <c r="Y38" s="33"/>
      <c r="Z38" s="31"/>
      <c r="AA38" s="31"/>
      <c r="AB38" s="75">
        <f>P38</f>
        <v>29</v>
      </c>
      <c r="AC38" s="71" t="s">
        <v>36</v>
      </c>
      <c r="AD38" s="69"/>
      <c r="AE38" s="69"/>
      <c r="AF38" s="72" t="s">
        <v>37</v>
      </c>
      <c r="AG38" s="76">
        <f>AF37/AB38</f>
        <v>63244.827586206891</v>
      </c>
      <c r="AH38" s="31"/>
      <c r="AI38" s="31"/>
      <c r="AJ38" s="31" t="s">
        <v>50</v>
      </c>
      <c r="AK38" s="33"/>
      <c r="AL38" s="33">
        <f>AK37/AN38</f>
        <v>3664.2581194156855</v>
      </c>
      <c r="AM38" s="33"/>
      <c r="AN38" s="77">
        <f>AH36+AA36</f>
        <v>3205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11228047.272727272</v>
      </c>
    </row>
    <row r="39" spans="1:50" ht="15.75" customHeight="1">
      <c r="A39" s="31"/>
      <c r="B39" s="67"/>
      <c r="C39" s="161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52</v>
      </c>
      <c r="AL39" s="82">
        <f>AK37/AB38</f>
        <v>404963.69905956107</v>
      </c>
      <c r="AM39" s="82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62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54</v>
      </c>
      <c r="AK40" s="33">
        <f>AK36+AL36+AM36</f>
        <v>14208162</v>
      </c>
      <c r="AL40" s="82">
        <f>AK40/AB38</f>
        <v>489936.62068965519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2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55</v>
      </c>
      <c r="AK41" s="66">
        <f>AK37+AL37+AM37</f>
        <v>12916510.909090908</v>
      </c>
      <c r="AL41" s="82">
        <f>AK41/AB38</f>
        <v>445396.9278996865</v>
      </c>
      <c r="AM41" s="82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2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62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12916510.909090908</v>
      </c>
      <c r="AL43" s="89" t="s">
        <v>42</v>
      </c>
      <c r="AM43" s="89" t="s">
        <v>59</v>
      </c>
      <c r="AN43" s="89" t="s">
        <v>60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2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13023411</v>
      </c>
      <c r="AL44" s="163">
        <f>AM44+AN44</f>
        <v>982490</v>
      </c>
      <c r="AM44" s="34">
        <v>832490</v>
      </c>
      <c r="AN44" s="34">
        <v>150000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61"/>
      <c r="D45" s="89"/>
      <c r="E45" s="31"/>
      <c r="F45" s="31"/>
      <c r="G45" s="31"/>
      <c r="H45" s="31"/>
      <c r="I45" s="93"/>
      <c r="J45" s="94" t="s">
        <v>44</v>
      </c>
      <c r="K45" s="164">
        <v>1176000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64">
        <v>9434921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64">
        <v>1430000</v>
      </c>
      <c r="AG45" s="95" t="s">
        <v>45</v>
      </c>
      <c r="AH45" s="34"/>
      <c r="AI45" s="34"/>
      <c r="AJ45" s="88" t="s">
        <v>48</v>
      </c>
      <c r="AK45" s="66">
        <f>AK44-AK37-AL37</f>
        <v>106900.09090909222</v>
      </c>
      <c r="AL45" s="66">
        <f>AL44-AL37</f>
        <v>-190073.63636363624</v>
      </c>
      <c r="AM45" s="105">
        <f>AL37/AL44</f>
        <v>1.1934611409415223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61"/>
      <c r="D46" s="89"/>
      <c r="E46" s="31"/>
      <c r="F46" s="31"/>
      <c r="G46" s="31"/>
      <c r="H46" s="31"/>
      <c r="I46" s="93"/>
      <c r="J46" s="93" t="s">
        <v>48</v>
      </c>
      <c r="K46" s="66">
        <f>K45-K37</f>
        <v>22161.818181818351</v>
      </c>
      <c r="L46" s="178">
        <f>12-H38</f>
        <v>1</v>
      </c>
      <c r="M46" s="34"/>
      <c r="N46" s="34"/>
      <c r="O46" s="34"/>
      <c r="P46" s="34"/>
      <c r="Q46" s="34"/>
      <c r="R46" s="93" t="s">
        <v>48</v>
      </c>
      <c r="S46" s="66">
        <f>S45-S37</f>
        <v>678911.90909091011</v>
      </c>
      <c r="T46" s="179">
        <f>30-P38</f>
        <v>1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-404099.99999999977</v>
      </c>
      <c r="AG46" s="179">
        <f>30-AB38</f>
        <v>1</v>
      </c>
      <c r="AH46" s="34"/>
      <c r="AI46" s="96"/>
      <c r="AJ46" s="97" t="s">
        <v>49</v>
      </c>
      <c r="AK46" s="98">
        <f>AK45/T46</f>
        <v>106900.09090909222</v>
      </c>
      <c r="AL46" s="104">
        <f>(AK37+AL37)/AK44</f>
        <v>0.99179169797305089</v>
      </c>
      <c r="AM46" s="104"/>
      <c r="AN46" s="96"/>
      <c r="AO46" s="99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99"/>
      <c r="B47" s="100"/>
      <c r="C47" s="165"/>
      <c r="D47" s="113"/>
      <c r="E47" s="99"/>
      <c r="F47" s="99"/>
      <c r="G47" s="99"/>
      <c r="H47" s="99"/>
      <c r="I47" s="101"/>
      <c r="J47" s="97" t="s">
        <v>49</v>
      </c>
      <c r="K47" s="102">
        <f>K46/L46</f>
        <v>22161.818181818351</v>
      </c>
      <c r="L47" s="103">
        <f>K37/K45</f>
        <v>0.98115491651205922</v>
      </c>
      <c r="M47" s="96"/>
      <c r="N47" s="96"/>
      <c r="O47" s="96"/>
      <c r="P47" s="96"/>
      <c r="Q47" s="96"/>
      <c r="R47" s="97" t="s">
        <v>49</v>
      </c>
      <c r="S47" s="98">
        <f>S46/T46</f>
        <v>678911.90909091011</v>
      </c>
      <c r="T47" s="103">
        <f>S37/S45</f>
        <v>0.9280426503739766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7" t="s">
        <v>49</v>
      </c>
      <c r="AF47" s="102">
        <f>AF46/AG46</f>
        <v>-404099.99999999977</v>
      </c>
      <c r="AG47" s="103">
        <f>AF37/AF45</f>
        <v>1.2825874125874124</v>
      </c>
      <c r="AH47" s="96"/>
      <c r="AI47" s="31"/>
      <c r="AJ47" s="31"/>
      <c r="AK47" s="33"/>
      <c r="AL47" s="31"/>
      <c r="AM47" s="31"/>
      <c r="AN47" s="31"/>
      <c r="AO47" s="31"/>
      <c r="AP47" s="99"/>
      <c r="AQ47" s="99"/>
      <c r="AR47" s="99"/>
      <c r="AS47" s="106"/>
      <c r="AT47" s="99"/>
      <c r="AU47" s="106"/>
      <c r="AV47" s="99"/>
      <c r="AW47" s="99"/>
    </row>
    <row r="48" spans="1:50" ht="15.75" customHeight="1">
      <c r="A48" s="31"/>
      <c r="B48" s="67"/>
      <c r="C48" s="161"/>
      <c r="D48" s="89"/>
      <c r="E48" s="31"/>
      <c r="F48" s="31"/>
      <c r="G48" s="31"/>
      <c r="H48" s="31"/>
      <c r="I48" s="31"/>
      <c r="J48" s="31"/>
      <c r="K48" s="31"/>
      <c r="L48" s="187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7"/>
      <c r="AJ48" s="107"/>
      <c r="AK48" s="195"/>
      <c r="AL48" s="107"/>
      <c r="AM48" s="107"/>
      <c r="AN48" s="107"/>
      <c r="AO48" s="107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7"/>
      <c r="B49" s="108"/>
      <c r="C49" s="166"/>
      <c r="D49" s="1"/>
      <c r="E49" s="107"/>
      <c r="F49" s="107"/>
      <c r="G49" s="107"/>
      <c r="H49" s="107"/>
      <c r="I49" s="107"/>
      <c r="J49" s="107"/>
      <c r="K49" s="107"/>
      <c r="L49" s="107"/>
      <c r="M49" s="109"/>
      <c r="N49" s="31"/>
      <c r="O49" s="31"/>
      <c r="P49" s="31"/>
      <c r="Q49" s="31"/>
      <c r="R49" s="31"/>
      <c r="S49" s="109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"/>
      <c r="AJ49" s="1"/>
      <c r="AK49" s="114"/>
      <c r="AL49" s="196"/>
      <c r="AM49" s="1"/>
      <c r="AN49" s="1"/>
      <c r="AO49" s="1"/>
      <c r="AP49" s="107"/>
      <c r="AQ49" s="107"/>
      <c r="AR49" s="107"/>
      <c r="AS49" s="110"/>
      <c r="AT49" s="107"/>
      <c r="AU49" s="110"/>
      <c r="AV49" s="107"/>
      <c r="AW49" s="107"/>
    </row>
    <row r="50" spans="1:49" ht="36" customHeight="1">
      <c r="A50" s="1"/>
      <c r="B50" s="111"/>
      <c r="C50" s="121"/>
      <c r="D50" s="1"/>
      <c r="E50" s="1"/>
      <c r="F50" s="1"/>
      <c r="G50" s="1"/>
      <c r="H50" s="1"/>
      <c r="I50" s="1"/>
      <c r="J50" s="1"/>
      <c r="K50" s="1"/>
      <c r="L50" s="1"/>
      <c r="M50" s="112"/>
      <c r="N50" s="31"/>
      <c r="O50" s="31"/>
      <c r="P50" s="31"/>
      <c r="Q50" s="31"/>
      <c r="R50" s="31"/>
      <c r="S50" s="112"/>
      <c r="T50" s="112"/>
      <c r="U50" s="1"/>
      <c r="V50" s="1"/>
      <c r="W50" s="1"/>
      <c r="X50" s="1"/>
      <c r="Y50" s="1"/>
      <c r="Z50" s="1"/>
      <c r="AA50" s="113"/>
      <c r="AB50" s="1"/>
      <c r="AC50" s="1"/>
      <c r="AD50" s="1"/>
      <c r="AE50" s="1"/>
      <c r="AF50" s="1"/>
      <c r="AG50" s="1"/>
      <c r="AH50" s="1"/>
      <c r="AI50" s="107"/>
      <c r="AJ50" s="107"/>
      <c r="AK50" s="107"/>
      <c r="AL50" s="107"/>
      <c r="AM50" s="107"/>
      <c r="AN50" s="107"/>
      <c r="AO50" s="107"/>
      <c r="AP50" s="1"/>
      <c r="AQ50" s="1"/>
      <c r="AR50" s="1"/>
      <c r="AS50" s="114"/>
      <c r="AT50" s="1"/>
      <c r="AU50" s="114"/>
      <c r="AV50" s="1"/>
      <c r="AW50" s="1"/>
    </row>
    <row r="51" spans="1:49" ht="36" customHeight="1">
      <c r="A51" s="107"/>
      <c r="B51" s="108"/>
      <c r="C51" s="166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5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6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6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6"/>
      <c r="D54" s="1"/>
      <c r="E54" s="107"/>
      <c r="F54" s="107"/>
      <c r="G54" s="107"/>
      <c r="H54" s="107"/>
      <c r="I54" s="107"/>
      <c r="J54" s="107"/>
      <c r="K54" s="107"/>
      <c r="L54" s="1"/>
      <c r="M54" s="112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7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10"/>
      <c r="AT54" s="107"/>
      <c r="AU54" s="110"/>
      <c r="AV54" s="107"/>
      <c r="AW54" s="107"/>
    </row>
    <row r="55" spans="1:49" ht="36" customHeight="1">
      <c r="A55" s="107"/>
      <c r="B55" s="108"/>
      <c r="C55" s="166"/>
      <c r="D55" s="1"/>
      <c r="E55" s="107"/>
      <c r="F55" s="107"/>
      <c r="G55" s="107"/>
      <c r="H55" s="107"/>
      <c r="I55" s="107"/>
      <c r="J55" s="107"/>
      <c r="K55" s="107"/>
      <c r="L55" s="107"/>
      <c r="M55" s="109"/>
      <c r="N55" s="31"/>
      <c r="O55" s="31"/>
      <c r="P55" s="31"/>
      <c r="Q55" s="31"/>
      <c r="R55" s="31"/>
      <c r="S55" s="117"/>
      <c r="T55" s="116"/>
      <c r="U55" s="116"/>
      <c r="V55" s="116"/>
      <c r="W55" s="116"/>
      <c r="X55" s="118"/>
      <c r="Y55" s="118"/>
      <c r="Z55" s="119"/>
      <c r="AA55" s="120"/>
      <c r="AB55" s="107"/>
      <c r="AC55" s="107"/>
      <c r="AD55" s="107"/>
      <c r="AE55" s="107"/>
      <c r="AF55" s="107"/>
      <c r="AG55" s="107"/>
      <c r="AH55" s="107"/>
      <c r="AI55" s="31"/>
      <c r="AJ55" s="31"/>
      <c r="AK55" s="31"/>
      <c r="AL55" s="31"/>
      <c r="AM55" s="31"/>
      <c r="AN55" s="31"/>
      <c r="AO55" s="31"/>
      <c r="AP55" s="107"/>
      <c r="AQ55" s="107"/>
      <c r="AR55" s="107"/>
      <c r="AS55" s="110"/>
      <c r="AT55" s="107"/>
      <c r="AU55" s="110"/>
      <c r="AV55" s="107"/>
      <c r="AW55" s="107"/>
    </row>
    <row r="56" spans="1:49" ht="15.75" customHeight="1">
      <c r="A56" s="31"/>
      <c r="B56" s="67"/>
      <c r="C56" s="161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19"/>
      <c r="AA56" s="11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1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7"/>
      <c r="AA57" s="107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1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1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1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1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1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1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1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1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1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1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1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1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1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1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1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1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1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1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1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1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1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1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1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1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1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1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1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1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1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1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1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1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1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1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1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1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1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1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1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1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1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1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1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1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1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1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1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1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1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1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1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1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1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1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1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1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1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1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1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1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1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1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1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1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1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1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1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1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1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1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1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1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1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1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1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1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1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1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1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1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1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1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1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1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1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1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1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1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1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1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1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1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1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1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1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1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1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1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1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1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1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1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1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1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1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1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1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1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1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1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1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1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1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1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1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1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1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1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1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1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1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1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1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1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1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1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1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1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1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1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1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1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1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1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1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1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1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1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1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1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1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1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1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1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1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1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1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1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1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1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1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1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1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1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1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1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1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1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1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1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1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1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1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1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1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1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1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1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1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1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1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1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1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1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1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1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1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1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1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1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1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1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1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1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1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1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1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1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1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61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E40:L44"/>
    <mergeCell ref="M40:T44"/>
    <mergeCell ref="Z40:AG44"/>
    <mergeCell ref="AH3:AM3"/>
    <mergeCell ref="AN3:AU3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7" customWidth="1"/>
    <col min="4" max="4" width="4.7109375" style="168" customWidth="1"/>
    <col min="5" max="5" width="3.42578125" style="5" customWidth="1"/>
    <col min="6" max="7" width="6.28515625" style="5" customWidth="1"/>
    <col min="8" max="8" width="9.7109375" style="5" customWidth="1"/>
    <col min="9" max="9" width="6.710937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4" width="6.28515625" style="5" customWidth="1"/>
    <col min="35" max="35" width="6.85546875" style="5" customWidth="1"/>
    <col min="36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994280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12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61</v>
      </c>
      <c r="AI3" s="170"/>
      <c r="AJ3" s="170"/>
      <c r="AK3" s="170"/>
      <c r="AL3" s="170"/>
      <c r="AM3" s="171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64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19"/>
      <c r="B5" s="131">
        <f>DATE($A$2,$B$2,1)</f>
        <v>45992</v>
      </c>
      <c r="C5" s="176" t="s">
        <v>56</v>
      </c>
      <c r="D5" s="132">
        <v>92</v>
      </c>
      <c r="E5" s="133"/>
      <c r="F5" s="134"/>
      <c r="G5" s="135"/>
      <c r="H5" s="136" t="e">
        <f t="shared" ref="H5:H34" si="0">ROUNDDOWN(G5/1.1,0)/F5</f>
        <v>#DIV/0!</v>
      </c>
      <c r="I5" s="135"/>
      <c r="J5" s="137" t="e">
        <f t="shared" ref="J5:J29" si="1">ROUNDDOWN(I5/1.1,0)/F5</f>
        <v>#DIV/0!</v>
      </c>
      <c r="K5" s="138">
        <f>G5+I5</f>
        <v>0</v>
      </c>
      <c r="L5" s="139" t="str">
        <f t="shared" ref="L5:L34" si="2">IF(F5="","",K5/F5)</f>
        <v/>
      </c>
      <c r="M5" s="140"/>
      <c r="N5" s="141">
        <f>AN5-F5</f>
        <v>22</v>
      </c>
      <c r="O5" s="142">
        <f>AO5-G5</f>
        <v>269500</v>
      </c>
      <c r="P5" s="136">
        <f t="shared" ref="P5:P31" si="3">ROUNDDOWN(O5/1.1,0)/N5</f>
        <v>11136.363636363636</v>
      </c>
      <c r="Q5" s="142">
        <f>AP5-I5</f>
        <v>55230</v>
      </c>
      <c r="R5" s="137">
        <f t="shared" ref="R5:R31" si="4">ROUNDDOWN(Q5/1.1,0)/N5</f>
        <v>2282.2272727272725</v>
      </c>
      <c r="S5" s="143">
        <f>O5+Q5</f>
        <v>324730</v>
      </c>
      <c r="T5" s="139">
        <f t="shared" ref="T5:T31" si="5">IF(N5="","",S5/N5)</f>
        <v>14760.454545454546</v>
      </c>
      <c r="U5" s="144">
        <f t="shared" ref="U5:V20" si="6">F5+N5</f>
        <v>22</v>
      </c>
      <c r="V5" s="142">
        <f t="shared" si="6"/>
        <v>269500</v>
      </c>
      <c r="W5" s="142">
        <f t="shared" ref="W5:W31" si="7">I5+Q5</f>
        <v>55230</v>
      </c>
      <c r="X5" s="145">
        <f>K5+S5</f>
        <v>324730</v>
      </c>
      <c r="Y5" s="142">
        <f t="shared" ref="Y5:Y31" si="8">IF(U5="","",X5/U5)</f>
        <v>14760.454545454546</v>
      </c>
      <c r="Z5" s="146"/>
      <c r="AA5" s="147">
        <v>43</v>
      </c>
      <c r="AB5" s="135">
        <v>20400</v>
      </c>
      <c r="AC5" s="136">
        <f t="shared" ref="AC5:AC31" si="9">AB5/AA5</f>
        <v>474.41860465116281</v>
      </c>
      <c r="AD5" s="135">
        <v>9470</v>
      </c>
      <c r="AE5" s="137">
        <f t="shared" ref="AE5:AE31" si="10">AD5/AA5</f>
        <v>220.23255813953489</v>
      </c>
      <c r="AF5" s="148">
        <f>AB5+AD5</f>
        <v>29870</v>
      </c>
      <c r="AG5" s="139">
        <f t="shared" ref="AG5:AG31" si="11">IF(AA5="","",AF5/AA5)</f>
        <v>694.65116279069764</v>
      </c>
      <c r="AH5" s="144">
        <f t="shared" ref="AH5:AH31" si="12">SUM(F5,N5)</f>
        <v>22</v>
      </c>
      <c r="AI5" s="142">
        <f t="shared" ref="AI5:AI31" si="13">V5+AB5</f>
        <v>289900</v>
      </c>
      <c r="AJ5" s="142">
        <f t="shared" ref="AJ5:AJ31" si="14">W5+AD5</f>
        <v>64700</v>
      </c>
      <c r="AK5" s="149">
        <f>X5+AF5</f>
        <v>354600</v>
      </c>
      <c r="AL5" s="142">
        <f t="shared" ref="AL5:AL31" si="15">AQ5+AR5+AS5</f>
        <v>40060</v>
      </c>
      <c r="AM5" s="142"/>
      <c r="AN5" s="150">
        <v>22</v>
      </c>
      <c r="AO5" s="150">
        <v>269500</v>
      </c>
      <c r="AP5" s="150">
        <v>55230</v>
      </c>
      <c r="AQ5" s="151">
        <v>38500</v>
      </c>
      <c r="AR5" s="151">
        <v>1560</v>
      </c>
      <c r="AS5" s="151"/>
      <c r="AT5" s="151"/>
      <c r="AU5" s="152">
        <f>SUM(AO5:AS5)</f>
        <v>364790</v>
      </c>
      <c r="AV5" s="119">
        <v>1</v>
      </c>
      <c r="AW5" s="120">
        <f>AT5+AU5</f>
        <v>364790</v>
      </c>
      <c r="AX5" s="177">
        <f t="shared" ref="AX5:AX34" si="16">AU5+AF5+AM5+AT5</f>
        <v>394660</v>
      </c>
    </row>
    <row r="6" spans="1:50" ht="13.5" customHeight="1">
      <c r="A6" s="119"/>
      <c r="B6" s="153">
        <f t="shared" ref="B6:B33" si="17">B5+1</f>
        <v>45993</v>
      </c>
      <c r="C6" s="176" t="s">
        <v>56</v>
      </c>
      <c r="D6" s="132">
        <v>55</v>
      </c>
      <c r="E6" s="133"/>
      <c r="F6" s="134"/>
      <c r="G6" s="135"/>
      <c r="H6" s="136" t="e">
        <f t="shared" si="0"/>
        <v>#DIV/0!</v>
      </c>
      <c r="I6" s="135"/>
      <c r="J6" s="137" t="e">
        <f t="shared" si="1"/>
        <v>#DIV/0!</v>
      </c>
      <c r="K6" s="138">
        <f>G6+I6</f>
        <v>0</v>
      </c>
      <c r="L6" s="139" t="str">
        <f t="shared" si="2"/>
        <v/>
      </c>
      <c r="M6" s="140"/>
      <c r="N6" s="141">
        <f t="shared" ref="N6:O21" si="18">AN6-F6</f>
        <v>33</v>
      </c>
      <c r="O6" s="142">
        <f t="shared" si="18"/>
        <v>374330</v>
      </c>
      <c r="P6" s="136">
        <f t="shared" si="3"/>
        <v>10312.121212121212</v>
      </c>
      <c r="Q6" s="142">
        <f t="shared" ref="Q6:Q31" si="19">AP6-I6</f>
        <v>50670</v>
      </c>
      <c r="R6" s="137">
        <f t="shared" si="4"/>
        <v>1395.8484848484848</v>
      </c>
      <c r="S6" s="143">
        <f t="shared" ref="S6:S31" si="20">O6+Q6</f>
        <v>425000</v>
      </c>
      <c r="T6" s="139">
        <f t="shared" si="5"/>
        <v>12878.787878787878</v>
      </c>
      <c r="U6" s="144">
        <f t="shared" si="6"/>
        <v>33</v>
      </c>
      <c r="V6" s="142">
        <f t="shared" si="6"/>
        <v>374330</v>
      </c>
      <c r="W6" s="142">
        <f t="shared" si="7"/>
        <v>50670</v>
      </c>
      <c r="X6" s="145">
        <f t="shared" ref="X6:X31" si="21">K6+S6</f>
        <v>425000</v>
      </c>
      <c r="Y6" s="142">
        <f t="shared" si="8"/>
        <v>12878.787878787878</v>
      </c>
      <c r="Z6" s="146"/>
      <c r="AA6" s="147">
        <v>77</v>
      </c>
      <c r="AB6" s="135">
        <v>45400</v>
      </c>
      <c r="AC6" s="136">
        <f t="shared" si="9"/>
        <v>589.61038961038957</v>
      </c>
      <c r="AD6" s="135">
        <v>35010</v>
      </c>
      <c r="AE6" s="137">
        <f t="shared" si="10"/>
        <v>454.6753246753247</v>
      </c>
      <c r="AF6" s="148">
        <f t="shared" ref="AF6:AF31" si="22">AB6+AD6</f>
        <v>80410</v>
      </c>
      <c r="AG6" s="139">
        <f t="shared" si="11"/>
        <v>1044.2857142857142</v>
      </c>
      <c r="AH6" s="144">
        <f t="shared" si="12"/>
        <v>33</v>
      </c>
      <c r="AI6" s="142">
        <f t="shared" si="13"/>
        <v>419730</v>
      </c>
      <c r="AJ6" s="142">
        <f t="shared" si="14"/>
        <v>85680</v>
      </c>
      <c r="AK6" s="149">
        <f t="shared" ref="AK6:AK31" si="23">X6+AF6</f>
        <v>505410</v>
      </c>
      <c r="AL6" s="142">
        <f t="shared" si="15"/>
        <v>78560</v>
      </c>
      <c r="AM6" s="142"/>
      <c r="AN6" s="150">
        <v>33</v>
      </c>
      <c r="AO6" s="150">
        <v>374330</v>
      </c>
      <c r="AP6" s="150">
        <v>50670</v>
      </c>
      <c r="AQ6" s="180">
        <v>42350</v>
      </c>
      <c r="AR6" s="151">
        <v>36210</v>
      </c>
      <c r="AS6" s="151"/>
      <c r="AT6" s="151"/>
      <c r="AU6" s="152">
        <f t="shared" ref="AU6:AU31" si="24">SUM(AO6:AS6)</f>
        <v>503560</v>
      </c>
      <c r="AV6" s="119">
        <v>2</v>
      </c>
      <c r="AW6" s="120">
        <f t="shared" ref="AW6:AW31" si="25">AT6+AU6</f>
        <v>503560</v>
      </c>
      <c r="AX6" s="177">
        <f t="shared" si="16"/>
        <v>583970</v>
      </c>
    </row>
    <row r="7" spans="1:50" ht="13.5" customHeight="1">
      <c r="A7" s="119"/>
      <c r="B7" s="153">
        <f t="shared" si="17"/>
        <v>45994</v>
      </c>
      <c r="C7" s="176" t="s">
        <v>56</v>
      </c>
      <c r="D7" s="132">
        <v>60</v>
      </c>
      <c r="E7" s="133"/>
      <c r="F7" s="134"/>
      <c r="G7" s="135"/>
      <c r="H7" s="136" t="e">
        <f t="shared" si="0"/>
        <v>#DIV/0!</v>
      </c>
      <c r="I7" s="135"/>
      <c r="J7" s="137" t="e">
        <f t="shared" si="1"/>
        <v>#DIV/0!</v>
      </c>
      <c r="K7" s="138">
        <f>G7+I7</f>
        <v>0</v>
      </c>
      <c r="L7" s="139" t="str">
        <f t="shared" si="2"/>
        <v/>
      </c>
      <c r="M7" s="140"/>
      <c r="N7" s="141">
        <f t="shared" si="18"/>
        <v>29</v>
      </c>
      <c r="O7" s="142">
        <f t="shared" si="18"/>
        <v>306680</v>
      </c>
      <c r="P7" s="136">
        <f t="shared" si="3"/>
        <v>9613.7931034482754</v>
      </c>
      <c r="Q7" s="142">
        <f t="shared" si="19"/>
        <v>63360</v>
      </c>
      <c r="R7" s="137">
        <f t="shared" si="4"/>
        <v>1986.2068965517242</v>
      </c>
      <c r="S7" s="143">
        <f t="shared" si="20"/>
        <v>370040</v>
      </c>
      <c r="T7" s="139">
        <f t="shared" si="5"/>
        <v>12760</v>
      </c>
      <c r="U7" s="144">
        <f t="shared" si="6"/>
        <v>29</v>
      </c>
      <c r="V7" s="142">
        <f t="shared" si="6"/>
        <v>306680</v>
      </c>
      <c r="W7" s="142">
        <f t="shared" si="7"/>
        <v>63360</v>
      </c>
      <c r="X7" s="145">
        <f t="shared" si="21"/>
        <v>370040</v>
      </c>
      <c r="Y7" s="142">
        <f t="shared" si="8"/>
        <v>12760</v>
      </c>
      <c r="Z7" s="146"/>
      <c r="AA7" s="147">
        <v>72</v>
      </c>
      <c r="AB7" s="135">
        <v>38050</v>
      </c>
      <c r="AC7" s="136">
        <f t="shared" si="9"/>
        <v>528.47222222222217</v>
      </c>
      <c r="AD7" s="135">
        <v>25690</v>
      </c>
      <c r="AE7" s="137">
        <f t="shared" si="10"/>
        <v>356.80555555555554</v>
      </c>
      <c r="AF7" s="148">
        <f t="shared" si="22"/>
        <v>63740</v>
      </c>
      <c r="AG7" s="139">
        <f t="shared" si="11"/>
        <v>885.27777777777783</v>
      </c>
      <c r="AH7" s="144">
        <f t="shared" si="12"/>
        <v>29</v>
      </c>
      <c r="AI7" s="142">
        <f t="shared" si="13"/>
        <v>344730</v>
      </c>
      <c r="AJ7" s="142">
        <f t="shared" si="14"/>
        <v>89050</v>
      </c>
      <c r="AK7" s="149">
        <f t="shared" si="23"/>
        <v>433780</v>
      </c>
      <c r="AL7" s="142">
        <f t="shared" si="15"/>
        <v>42900</v>
      </c>
      <c r="AM7" s="142"/>
      <c r="AN7" s="150">
        <v>29</v>
      </c>
      <c r="AO7" s="150">
        <v>306680</v>
      </c>
      <c r="AP7" s="150">
        <v>63360</v>
      </c>
      <c r="AQ7" s="180">
        <v>42900</v>
      </c>
      <c r="AR7" s="151"/>
      <c r="AS7" s="151"/>
      <c r="AT7" s="151"/>
      <c r="AU7" s="152">
        <f t="shared" si="24"/>
        <v>412940</v>
      </c>
      <c r="AV7" s="119">
        <v>3</v>
      </c>
      <c r="AW7" s="120">
        <f t="shared" si="25"/>
        <v>412940</v>
      </c>
      <c r="AX7" s="177">
        <f t="shared" si="16"/>
        <v>476680</v>
      </c>
    </row>
    <row r="8" spans="1:50" ht="13.5" customHeight="1">
      <c r="A8" s="119"/>
      <c r="B8" s="153">
        <f t="shared" si="17"/>
        <v>45995</v>
      </c>
      <c r="C8" s="176" t="s">
        <v>56</v>
      </c>
      <c r="D8" s="132">
        <v>81</v>
      </c>
      <c r="E8" s="133"/>
      <c r="F8" s="134"/>
      <c r="G8" s="135"/>
      <c r="H8" s="136" t="e">
        <f t="shared" si="0"/>
        <v>#DIV/0!</v>
      </c>
      <c r="I8" s="135"/>
      <c r="J8" s="137" t="e">
        <f t="shared" si="1"/>
        <v>#DIV/0!</v>
      </c>
      <c r="K8" s="138">
        <f>G8+I8</f>
        <v>0</v>
      </c>
      <c r="L8" s="139" t="str">
        <f t="shared" si="2"/>
        <v/>
      </c>
      <c r="M8" s="140"/>
      <c r="N8" s="141">
        <f t="shared" si="18"/>
        <v>30</v>
      </c>
      <c r="O8" s="142">
        <f t="shared" si="18"/>
        <v>279180</v>
      </c>
      <c r="P8" s="136">
        <f t="shared" si="3"/>
        <v>8460</v>
      </c>
      <c r="Q8" s="142">
        <f t="shared" si="19"/>
        <v>44570</v>
      </c>
      <c r="R8" s="137">
        <f t="shared" si="4"/>
        <v>1350.6</v>
      </c>
      <c r="S8" s="143">
        <f t="shared" si="20"/>
        <v>323750</v>
      </c>
      <c r="T8" s="139">
        <f t="shared" si="5"/>
        <v>10791.666666666666</v>
      </c>
      <c r="U8" s="144">
        <f t="shared" si="6"/>
        <v>30</v>
      </c>
      <c r="V8" s="142">
        <f t="shared" si="6"/>
        <v>279180</v>
      </c>
      <c r="W8" s="142">
        <f t="shared" si="7"/>
        <v>44570</v>
      </c>
      <c r="X8" s="145">
        <f t="shared" si="21"/>
        <v>323750</v>
      </c>
      <c r="Y8" s="142">
        <f t="shared" si="8"/>
        <v>10791.666666666666</v>
      </c>
      <c r="Z8" s="146"/>
      <c r="AA8" s="147">
        <v>110</v>
      </c>
      <c r="AB8" s="135">
        <v>78100</v>
      </c>
      <c r="AC8" s="136">
        <f t="shared" si="9"/>
        <v>710</v>
      </c>
      <c r="AD8" s="135">
        <v>40040</v>
      </c>
      <c r="AE8" s="137">
        <f t="shared" si="10"/>
        <v>364</v>
      </c>
      <c r="AF8" s="148">
        <f t="shared" si="22"/>
        <v>118140</v>
      </c>
      <c r="AG8" s="139">
        <f t="shared" si="11"/>
        <v>1074</v>
      </c>
      <c r="AH8" s="144">
        <f t="shared" si="12"/>
        <v>30</v>
      </c>
      <c r="AI8" s="142">
        <f t="shared" si="13"/>
        <v>357280</v>
      </c>
      <c r="AJ8" s="142">
        <f t="shared" si="14"/>
        <v>84610</v>
      </c>
      <c r="AK8" s="155">
        <f t="shared" si="23"/>
        <v>441890</v>
      </c>
      <c r="AL8" s="142">
        <f t="shared" si="15"/>
        <v>42900</v>
      </c>
      <c r="AM8" s="142"/>
      <c r="AN8" s="150">
        <v>30</v>
      </c>
      <c r="AO8" s="150">
        <v>279180</v>
      </c>
      <c r="AP8" s="150">
        <v>44570</v>
      </c>
      <c r="AQ8" s="151">
        <v>42900</v>
      </c>
      <c r="AR8" s="151"/>
      <c r="AS8" s="151"/>
      <c r="AT8" s="151"/>
      <c r="AU8" s="152">
        <f t="shared" si="24"/>
        <v>366650</v>
      </c>
      <c r="AV8" s="119">
        <v>4</v>
      </c>
      <c r="AW8" s="120">
        <f t="shared" si="25"/>
        <v>366650</v>
      </c>
      <c r="AX8" s="177">
        <f t="shared" si="16"/>
        <v>484790</v>
      </c>
    </row>
    <row r="9" spans="1:50" ht="13.5" customHeight="1">
      <c r="A9" s="119"/>
      <c r="B9" s="153">
        <f t="shared" si="17"/>
        <v>45996</v>
      </c>
      <c r="C9" s="176" t="s">
        <v>56</v>
      </c>
      <c r="D9" s="132">
        <v>72</v>
      </c>
      <c r="E9" s="133"/>
      <c r="F9" s="134"/>
      <c r="G9" s="135"/>
      <c r="H9" s="136" t="e">
        <f t="shared" si="0"/>
        <v>#DIV/0!</v>
      </c>
      <c r="I9" s="135"/>
      <c r="J9" s="137" t="e">
        <f t="shared" si="1"/>
        <v>#DIV/0!</v>
      </c>
      <c r="K9" s="138">
        <f>G9+I9</f>
        <v>0</v>
      </c>
      <c r="L9" s="139" t="str">
        <f t="shared" si="2"/>
        <v/>
      </c>
      <c r="M9" s="140"/>
      <c r="N9" s="141">
        <f t="shared" si="18"/>
        <v>39</v>
      </c>
      <c r="O9" s="142">
        <f t="shared" si="18"/>
        <v>295900</v>
      </c>
      <c r="P9" s="136">
        <f t="shared" si="3"/>
        <v>6897.4358974358975</v>
      </c>
      <c r="Q9" s="142">
        <f t="shared" si="19"/>
        <v>60450</v>
      </c>
      <c r="R9" s="137">
        <f t="shared" si="4"/>
        <v>1409.0769230769231</v>
      </c>
      <c r="S9" s="143">
        <f t="shared" si="20"/>
        <v>356350</v>
      </c>
      <c r="T9" s="139">
        <f t="shared" si="5"/>
        <v>9137.1794871794864</v>
      </c>
      <c r="U9" s="144">
        <f t="shared" si="6"/>
        <v>39</v>
      </c>
      <c r="V9" s="142">
        <f t="shared" si="6"/>
        <v>295900</v>
      </c>
      <c r="W9" s="142">
        <f t="shared" si="7"/>
        <v>60450</v>
      </c>
      <c r="X9" s="145">
        <f t="shared" si="21"/>
        <v>356350</v>
      </c>
      <c r="Y9" s="142">
        <f t="shared" si="8"/>
        <v>9137.1794871794864</v>
      </c>
      <c r="Z9" s="146"/>
      <c r="AA9" s="147">
        <v>82</v>
      </c>
      <c r="AB9" s="135">
        <v>54500</v>
      </c>
      <c r="AC9" s="136">
        <f>AB9/AA9</f>
        <v>664.63414634146341</v>
      </c>
      <c r="AD9" s="135">
        <v>26800</v>
      </c>
      <c r="AE9" s="137">
        <f t="shared" si="10"/>
        <v>326.82926829268291</v>
      </c>
      <c r="AF9" s="148">
        <f t="shared" si="22"/>
        <v>81300</v>
      </c>
      <c r="AG9" s="139">
        <f t="shared" si="11"/>
        <v>991.46341463414637</v>
      </c>
      <c r="AH9" s="144">
        <f t="shared" si="12"/>
        <v>39</v>
      </c>
      <c r="AI9" s="142">
        <f t="shared" si="13"/>
        <v>350400</v>
      </c>
      <c r="AJ9" s="142">
        <f t="shared" si="14"/>
        <v>87250</v>
      </c>
      <c r="AK9" s="149">
        <f t="shared" si="23"/>
        <v>437650</v>
      </c>
      <c r="AL9" s="142">
        <f t="shared" si="15"/>
        <v>44000</v>
      </c>
      <c r="AM9" s="142"/>
      <c r="AN9" s="150">
        <v>39</v>
      </c>
      <c r="AO9" s="150">
        <v>295900</v>
      </c>
      <c r="AP9" s="150">
        <v>60450</v>
      </c>
      <c r="AQ9" s="151">
        <v>44000</v>
      </c>
      <c r="AR9" s="151"/>
      <c r="AS9" s="151"/>
      <c r="AT9" s="151"/>
      <c r="AU9" s="152">
        <f t="shared" si="24"/>
        <v>400350</v>
      </c>
      <c r="AV9" s="119">
        <v>5</v>
      </c>
      <c r="AW9" s="120">
        <f t="shared" si="25"/>
        <v>400350</v>
      </c>
      <c r="AX9" s="177">
        <f t="shared" si="16"/>
        <v>481650</v>
      </c>
    </row>
    <row r="10" spans="1:50" ht="13.5" customHeight="1">
      <c r="A10" s="119"/>
      <c r="B10" s="156">
        <f t="shared" si="17"/>
        <v>45997</v>
      </c>
      <c r="C10" s="176"/>
      <c r="D10" s="132">
        <v>98</v>
      </c>
      <c r="E10" s="133"/>
      <c r="F10" s="134">
        <v>12</v>
      </c>
      <c r="G10" s="135">
        <v>37180</v>
      </c>
      <c r="H10" s="136">
        <f t="shared" si="0"/>
        <v>2816.6666666666665</v>
      </c>
      <c r="I10" s="135">
        <v>7500</v>
      </c>
      <c r="J10" s="137">
        <f t="shared" si="1"/>
        <v>568.16666666666663</v>
      </c>
      <c r="K10" s="138">
        <f t="shared" ref="K10:K34" si="26">G10+I10</f>
        <v>44680</v>
      </c>
      <c r="L10" s="139">
        <f t="shared" si="2"/>
        <v>3723.3333333333335</v>
      </c>
      <c r="M10" s="140"/>
      <c r="N10" s="141">
        <f t="shared" si="18"/>
        <v>35</v>
      </c>
      <c r="O10" s="142">
        <f t="shared" si="18"/>
        <v>388630</v>
      </c>
      <c r="P10" s="136">
        <f t="shared" si="3"/>
        <v>10094.285714285714</v>
      </c>
      <c r="Q10" s="142">
        <f t="shared" si="19"/>
        <v>67740</v>
      </c>
      <c r="R10" s="137">
        <f t="shared" si="4"/>
        <v>1759.4571428571428</v>
      </c>
      <c r="S10" s="143">
        <f t="shared" si="20"/>
        <v>456370</v>
      </c>
      <c r="T10" s="139">
        <f t="shared" si="5"/>
        <v>13039.142857142857</v>
      </c>
      <c r="U10" s="144">
        <f t="shared" si="6"/>
        <v>47</v>
      </c>
      <c r="V10" s="142">
        <f t="shared" si="6"/>
        <v>425810</v>
      </c>
      <c r="W10" s="142">
        <f t="shared" si="7"/>
        <v>75240</v>
      </c>
      <c r="X10" s="145">
        <f t="shared" si="21"/>
        <v>501050</v>
      </c>
      <c r="Y10" s="142">
        <f t="shared" si="8"/>
        <v>10660.63829787234</v>
      </c>
      <c r="Z10" s="146"/>
      <c r="AA10" s="147">
        <v>106</v>
      </c>
      <c r="AB10" s="135">
        <v>74650</v>
      </c>
      <c r="AC10" s="136">
        <f t="shared" si="9"/>
        <v>704.24528301886789</v>
      </c>
      <c r="AD10" s="135">
        <v>27260</v>
      </c>
      <c r="AE10" s="137">
        <f t="shared" si="10"/>
        <v>257.16981132075472</v>
      </c>
      <c r="AF10" s="148">
        <f t="shared" si="22"/>
        <v>101910</v>
      </c>
      <c r="AG10" s="139">
        <f t="shared" si="11"/>
        <v>961.41509433962267</v>
      </c>
      <c r="AH10" s="154">
        <f t="shared" si="12"/>
        <v>47</v>
      </c>
      <c r="AI10" s="142">
        <f t="shared" si="13"/>
        <v>500460</v>
      </c>
      <c r="AJ10" s="142">
        <f t="shared" si="14"/>
        <v>102500</v>
      </c>
      <c r="AK10" s="149">
        <f t="shared" si="23"/>
        <v>602960</v>
      </c>
      <c r="AL10" s="142">
        <f t="shared" si="15"/>
        <v>48400</v>
      </c>
      <c r="AM10" s="142"/>
      <c r="AN10" s="150">
        <v>47</v>
      </c>
      <c r="AO10" s="150">
        <v>425810</v>
      </c>
      <c r="AP10" s="150">
        <v>75240</v>
      </c>
      <c r="AQ10" s="151">
        <v>48400</v>
      </c>
      <c r="AR10" s="151"/>
      <c r="AS10" s="151"/>
      <c r="AT10" s="151"/>
      <c r="AU10" s="152">
        <f>SUM(AO10:AS10)</f>
        <v>549450</v>
      </c>
      <c r="AV10" s="119">
        <v>6</v>
      </c>
      <c r="AW10" s="120">
        <f>AT10+AU10</f>
        <v>549450</v>
      </c>
      <c r="AX10" s="177">
        <f t="shared" si="16"/>
        <v>651360</v>
      </c>
    </row>
    <row r="11" spans="1:50" ht="13.5" customHeight="1">
      <c r="A11" s="119"/>
      <c r="B11" s="197">
        <f t="shared" si="17"/>
        <v>45998</v>
      </c>
      <c r="C11" s="176"/>
      <c r="D11" s="132">
        <v>95</v>
      </c>
      <c r="E11" s="133"/>
      <c r="F11" s="134">
        <v>26</v>
      </c>
      <c r="G11" s="135">
        <v>90750</v>
      </c>
      <c r="H11" s="136">
        <f t="shared" si="0"/>
        <v>3173.0769230769229</v>
      </c>
      <c r="I11" s="135">
        <v>16990</v>
      </c>
      <c r="J11" s="137">
        <f t="shared" si="1"/>
        <v>594.03846153846155</v>
      </c>
      <c r="K11" s="138">
        <f t="shared" si="26"/>
        <v>107740</v>
      </c>
      <c r="L11" s="139">
        <f t="shared" si="2"/>
        <v>4143.8461538461543</v>
      </c>
      <c r="M11" s="140"/>
      <c r="N11" s="141">
        <f t="shared" si="18"/>
        <v>41</v>
      </c>
      <c r="O11" s="142">
        <f t="shared" si="18"/>
        <v>409090</v>
      </c>
      <c r="P11" s="136">
        <f t="shared" si="3"/>
        <v>9070.7317073170725</v>
      </c>
      <c r="Q11" s="142">
        <f t="shared" si="19"/>
        <v>76920</v>
      </c>
      <c r="R11" s="137">
        <f t="shared" si="4"/>
        <v>1705.5365853658536</v>
      </c>
      <c r="S11" s="143">
        <f t="shared" si="20"/>
        <v>486010</v>
      </c>
      <c r="T11" s="139">
        <f t="shared" si="5"/>
        <v>11853.90243902439</v>
      </c>
      <c r="U11" s="144">
        <f t="shared" si="6"/>
        <v>67</v>
      </c>
      <c r="V11" s="142">
        <f t="shared" si="6"/>
        <v>499840</v>
      </c>
      <c r="W11" s="142">
        <f t="shared" si="7"/>
        <v>93910</v>
      </c>
      <c r="X11" s="145">
        <f t="shared" si="21"/>
        <v>593750</v>
      </c>
      <c r="Y11" s="142">
        <f t="shared" si="8"/>
        <v>8861.940298507463</v>
      </c>
      <c r="Z11" s="146"/>
      <c r="AA11" s="147">
        <v>97</v>
      </c>
      <c r="AB11" s="135">
        <v>61350</v>
      </c>
      <c r="AC11" s="136">
        <f t="shared" si="9"/>
        <v>632.47422680412376</v>
      </c>
      <c r="AD11" s="135">
        <v>21100</v>
      </c>
      <c r="AE11" s="137">
        <f t="shared" si="10"/>
        <v>217.5257731958763</v>
      </c>
      <c r="AF11" s="148">
        <f t="shared" si="22"/>
        <v>82450</v>
      </c>
      <c r="AG11" s="139">
        <f t="shared" si="11"/>
        <v>850</v>
      </c>
      <c r="AH11" s="154">
        <f t="shared" si="12"/>
        <v>67</v>
      </c>
      <c r="AI11" s="142">
        <f t="shared" si="13"/>
        <v>561190</v>
      </c>
      <c r="AJ11" s="142">
        <f t="shared" si="14"/>
        <v>115010</v>
      </c>
      <c r="AK11" s="149">
        <f t="shared" si="23"/>
        <v>676200</v>
      </c>
      <c r="AL11" s="142">
        <f t="shared" si="15"/>
        <v>58520</v>
      </c>
      <c r="AM11" s="142"/>
      <c r="AN11" s="150">
        <v>67</v>
      </c>
      <c r="AO11" s="150">
        <v>499840</v>
      </c>
      <c r="AP11" s="150">
        <v>93910</v>
      </c>
      <c r="AQ11" s="151">
        <v>56100</v>
      </c>
      <c r="AR11" s="151">
        <v>2420</v>
      </c>
      <c r="AS11" s="151"/>
      <c r="AT11" s="151"/>
      <c r="AU11" s="152">
        <f t="shared" si="24"/>
        <v>652270</v>
      </c>
      <c r="AV11" s="119">
        <v>7</v>
      </c>
      <c r="AW11" s="120">
        <f t="shared" si="25"/>
        <v>652270</v>
      </c>
      <c r="AX11" s="177">
        <f t="shared" si="16"/>
        <v>734720</v>
      </c>
    </row>
    <row r="12" spans="1:50" ht="13.5" customHeight="1">
      <c r="A12" s="119"/>
      <c r="B12" s="153">
        <f t="shared" si="17"/>
        <v>45999</v>
      </c>
      <c r="C12" s="176" t="s">
        <v>56</v>
      </c>
      <c r="D12" s="132">
        <v>70</v>
      </c>
      <c r="E12" s="133"/>
      <c r="F12" s="134"/>
      <c r="G12" s="135"/>
      <c r="H12" s="136" t="e">
        <f t="shared" si="0"/>
        <v>#DIV/0!</v>
      </c>
      <c r="I12" s="135"/>
      <c r="J12" s="137" t="e">
        <f t="shared" si="1"/>
        <v>#DIV/0!</v>
      </c>
      <c r="K12" s="138">
        <f t="shared" si="26"/>
        <v>0</v>
      </c>
      <c r="L12" s="139" t="str">
        <f t="shared" si="2"/>
        <v/>
      </c>
      <c r="M12" s="140"/>
      <c r="N12" s="141">
        <f t="shared" si="18"/>
        <v>29</v>
      </c>
      <c r="O12" s="142">
        <f t="shared" si="18"/>
        <v>391820</v>
      </c>
      <c r="P12" s="136">
        <f t="shared" si="3"/>
        <v>12282.758620689656</v>
      </c>
      <c r="Q12" s="142">
        <f t="shared" si="19"/>
        <v>50030</v>
      </c>
      <c r="R12" s="158">
        <f t="shared" si="4"/>
        <v>1568.3103448275863</v>
      </c>
      <c r="S12" s="143">
        <f t="shared" si="20"/>
        <v>441850</v>
      </c>
      <c r="T12" s="139">
        <f t="shared" si="5"/>
        <v>15236.206896551725</v>
      </c>
      <c r="U12" s="144">
        <f t="shared" si="6"/>
        <v>29</v>
      </c>
      <c r="V12" s="142">
        <f t="shared" si="6"/>
        <v>391820</v>
      </c>
      <c r="W12" s="142">
        <f t="shared" si="7"/>
        <v>50030</v>
      </c>
      <c r="X12" s="145">
        <f t="shared" si="21"/>
        <v>441850</v>
      </c>
      <c r="Y12" s="142">
        <f t="shared" si="8"/>
        <v>15236.206896551725</v>
      </c>
      <c r="Z12" s="146"/>
      <c r="AA12" s="147">
        <v>44</v>
      </c>
      <c r="AB12" s="135">
        <v>27150</v>
      </c>
      <c r="AC12" s="136">
        <f t="shared" si="9"/>
        <v>617.0454545454545</v>
      </c>
      <c r="AD12" s="135">
        <v>13420</v>
      </c>
      <c r="AE12" s="137">
        <f t="shared" si="10"/>
        <v>305</v>
      </c>
      <c r="AF12" s="148">
        <f t="shared" si="22"/>
        <v>40570</v>
      </c>
      <c r="AG12" s="139">
        <f t="shared" si="11"/>
        <v>922.0454545454545</v>
      </c>
      <c r="AH12" s="154">
        <f t="shared" si="12"/>
        <v>29</v>
      </c>
      <c r="AI12" s="142">
        <f t="shared" si="13"/>
        <v>418970</v>
      </c>
      <c r="AJ12" s="142">
        <f t="shared" si="14"/>
        <v>63450</v>
      </c>
      <c r="AK12" s="149">
        <f t="shared" si="23"/>
        <v>482420</v>
      </c>
      <c r="AL12" s="142">
        <f t="shared" si="15"/>
        <v>45100</v>
      </c>
      <c r="AM12" s="142"/>
      <c r="AN12" s="150">
        <v>29</v>
      </c>
      <c r="AO12" s="150">
        <v>391820</v>
      </c>
      <c r="AP12" s="150">
        <v>50030</v>
      </c>
      <c r="AQ12" s="151">
        <v>45100</v>
      </c>
      <c r="AR12" s="151"/>
      <c r="AS12" s="151"/>
      <c r="AT12" s="151"/>
      <c r="AU12" s="152">
        <f t="shared" si="24"/>
        <v>486950</v>
      </c>
      <c r="AV12" s="119">
        <v>8</v>
      </c>
      <c r="AW12" s="120">
        <f t="shared" si="25"/>
        <v>486950</v>
      </c>
      <c r="AX12" s="177">
        <f t="shared" si="16"/>
        <v>527520</v>
      </c>
    </row>
    <row r="13" spans="1:50" ht="13.5" customHeight="1">
      <c r="A13" s="119"/>
      <c r="B13" s="153">
        <f t="shared" si="17"/>
        <v>46000</v>
      </c>
      <c r="C13" s="176" t="s">
        <v>56</v>
      </c>
      <c r="D13" s="132">
        <v>45</v>
      </c>
      <c r="E13" s="133"/>
      <c r="F13" s="134"/>
      <c r="G13" s="135"/>
      <c r="H13" s="136" t="e">
        <f t="shared" si="0"/>
        <v>#DIV/0!</v>
      </c>
      <c r="I13" s="135"/>
      <c r="J13" s="137" t="e">
        <f t="shared" si="1"/>
        <v>#DIV/0!</v>
      </c>
      <c r="K13" s="138">
        <f t="shared" si="26"/>
        <v>0</v>
      </c>
      <c r="L13" s="139" t="str">
        <f t="shared" si="2"/>
        <v/>
      </c>
      <c r="M13" s="140"/>
      <c r="N13" s="141">
        <f t="shared" si="18"/>
        <v>32</v>
      </c>
      <c r="O13" s="142">
        <f t="shared" si="18"/>
        <v>378860</v>
      </c>
      <c r="P13" s="136">
        <f t="shared" si="3"/>
        <v>10763.0625</v>
      </c>
      <c r="Q13" s="142">
        <f t="shared" si="19"/>
        <v>52870</v>
      </c>
      <c r="R13" s="137">
        <f t="shared" si="4"/>
        <v>1501.96875</v>
      </c>
      <c r="S13" s="143">
        <f t="shared" si="20"/>
        <v>431730</v>
      </c>
      <c r="T13" s="139">
        <f t="shared" si="5"/>
        <v>13491.5625</v>
      </c>
      <c r="U13" s="144">
        <f t="shared" si="6"/>
        <v>32</v>
      </c>
      <c r="V13" s="142">
        <f t="shared" si="6"/>
        <v>378860</v>
      </c>
      <c r="W13" s="142">
        <f t="shared" si="7"/>
        <v>52870</v>
      </c>
      <c r="X13" s="145">
        <f t="shared" si="21"/>
        <v>431730</v>
      </c>
      <c r="Y13" s="142">
        <f t="shared" si="8"/>
        <v>13491.5625</v>
      </c>
      <c r="Z13" s="146"/>
      <c r="AA13" s="147">
        <v>94</v>
      </c>
      <c r="AB13" s="135">
        <v>54200</v>
      </c>
      <c r="AC13" s="136">
        <f>AB13/AA13</f>
        <v>576.59574468085111</v>
      </c>
      <c r="AD13" s="135">
        <v>19500</v>
      </c>
      <c r="AE13" s="137">
        <f t="shared" si="10"/>
        <v>207.44680851063831</v>
      </c>
      <c r="AF13" s="148">
        <f t="shared" si="22"/>
        <v>73700</v>
      </c>
      <c r="AG13" s="139">
        <f t="shared" si="11"/>
        <v>784.04255319148933</v>
      </c>
      <c r="AH13" s="154">
        <f t="shared" si="12"/>
        <v>32</v>
      </c>
      <c r="AI13" s="142">
        <f t="shared" si="13"/>
        <v>433060</v>
      </c>
      <c r="AJ13" s="142">
        <f t="shared" si="14"/>
        <v>72370</v>
      </c>
      <c r="AK13" s="149">
        <f t="shared" si="23"/>
        <v>505430</v>
      </c>
      <c r="AL13" s="142">
        <f t="shared" si="15"/>
        <v>70100</v>
      </c>
      <c r="AM13" s="142"/>
      <c r="AN13" s="150">
        <v>32</v>
      </c>
      <c r="AO13" s="150">
        <v>378860</v>
      </c>
      <c r="AP13" s="150">
        <v>52870</v>
      </c>
      <c r="AQ13" s="151">
        <v>45100</v>
      </c>
      <c r="AR13" s="151">
        <v>25000</v>
      </c>
      <c r="AS13" s="151"/>
      <c r="AT13" s="151"/>
      <c r="AU13" s="152">
        <f t="shared" si="24"/>
        <v>501830</v>
      </c>
      <c r="AV13" s="119">
        <v>9</v>
      </c>
      <c r="AW13" s="120">
        <f t="shared" si="25"/>
        <v>501830</v>
      </c>
      <c r="AX13" s="177">
        <f t="shared" si="16"/>
        <v>575530</v>
      </c>
    </row>
    <row r="14" spans="1:50" ht="13.5" customHeight="1">
      <c r="A14" s="119"/>
      <c r="B14" s="153">
        <f t="shared" si="17"/>
        <v>46001</v>
      </c>
      <c r="C14" s="176" t="s">
        <v>56</v>
      </c>
      <c r="D14" s="132">
        <v>89</v>
      </c>
      <c r="E14" s="133"/>
      <c r="F14" s="134"/>
      <c r="G14" s="135"/>
      <c r="H14" s="136" t="e">
        <f t="shared" si="0"/>
        <v>#DIV/0!</v>
      </c>
      <c r="I14" s="135"/>
      <c r="J14" s="137" t="e">
        <f t="shared" si="1"/>
        <v>#DIV/0!</v>
      </c>
      <c r="K14" s="138">
        <f t="shared" si="26"/>
        <v>0</v>
      </c>
      <c r="L14" s="139" t="str">
        <f t="shared" si="2"/>
        <v/>
      </c>
      <c r="M14" s="140"/>
      <c r="N14" s="141">
        <f t="shared" si="18"/>
        <v>39</v>
      </c>
      <c r="O14" s="142">
        <f t="shared" si="18"/>
        <v>472560</v>
      </c>
      <c r="P14" s="136">
        <f t="shared" si="3"/>
        <v>11015.384615384615</v>
      </c>
      <c r="Q14" s="142">
        <f t="shared" si="19"/>
        <v>92510</v>
      </c>
      <c r="R14" s="137">
        <f t="shared" si="4"/>
        <v>2156.4102564102564</v>
      </c>
      <c r="S14" s="143">
        <f t="shared" si="20"/>
        <v>565070</v>
      </c>
      <c r="T14" s="139">
        <f t="shared" si="5"/>
        <v>14488.974358974359</v>
      </c>
      <c r="U14" s="144">
        <f t="shared" si="6"/>
        <v>39</v>
      </c>
      <c r="V14" s="142">
        <f t="shared" si="6"/>
        <v>472560</v>
      </c>
      <c r="W14" s="142">
        <f t="shared" si="7"/>
        <v>92510</v>
      </c>
      <c r="X14" s="145">
        <f t="shared" si="21"/>
        <v>565070</v>
      </c>
      <c r="Y14" s="142">
        <f t="shared" si="8"/>
        <v>14488.974358974359</v>
      </c>
      <c r="Z14" s="146"/>
      <c r="AA14" s="147">
        <v>100</v>
      </c>
      <c r="AB14" s="135">
        <v>56000</v>
      </c>
      <c r="AC14" s="136">
        <f t="shared" si="9"/>
        <v>560</v>
      </c>
      <c r="AD14" s="135">
        <v>43370</v>
      </c>
      <c r="AE14" s="137">
        <f t="shared" si="10"/>
        <v>433.7</v>
      </c>
      <c r="AF14" s="148">
        <f t="shared" si="22"/>
        <v>99370</v>
      </c>
      <c r="AG14" s="139">
        <f t="shared" si="11"/>
        <v>993.7</v>
      </c>
      <c r="AH14" s="154">
        <f t="shared" si="12"/>
        <v>39</v>
      </c>
      <c r="AI14" s="142">
        <f t="shared" si="13"/>
        <v>528560</v>
      </c>
      <c r="AJ14" s="142">
        <f t="shared" si="14"/>
        <v>135880</v>
      </c>
      <c r="AK14" s="155">
        <f t="shared" si="23"/>
        <v>664440</v>
      </c>
      <c r="AL14" s="142">
        <f t="shared" si="15"/>
        <v>46770</v>
      </c>
      <c r="AM14" s="142"/>
      <c r="AN14" s="150">
        <v>39</v>
      </c>
      <c r="AO14" s="150">
        <v>472560</v>
      </c>
      <c r="AP14" s="150">
        <v>92510</v>
      </c>
      <c r="AQ14" s="151">
        <v>44000</v>
      </c>
      <c r="AR14" s="151">
        <v>2770</v>
      </c>
      <c r="AS14" s="151"/>
      <c r="AT14" s="151">
        <v>15500</v>
      </c>
      <c r="AU14" s="152">
        <f t="shared" si="24"/>
        <v>611840</v>
      </c>
      <c r="AV14" s="119">
        <v>10</v>
      </c>
      <c r="AW14" s="120">
        <f t="shared" si="25"/>
        <v>627340</v>
      </c>
      <c r="AX14" s="177">
        <f t="shared" si="16"/>
        <v>726710</v>
      </c>
    </row>
    <row r="15" spans="1:50" ht="13.5" customHeight="1">
      <c r="A15" s="119"/>
      <c r="B15" s="153">
        <f>B14+1</f>
        <v>46002</v>
      </c>
      <c r="C15" s="176" t="s">
        <v>56</v>
      </c>
      <c r="D15" s="132">
        <v>92</v>
      </c>
      <c r="E15" s="133"/>
      <c r="F15" s="134"/>
      <c r="G15" s="135"/>
      <c r="H15" s="136" t="e">
        <f t="shared" si="0"/>
        <v>#DIV/0!</v>
      </c>
      <c r="I15" s="135"/>
      <c r="J15" s="137" t="e">
        <f t="shared" si="1"/>
        <v>#DIV/0!</v>
      </c>
      <c r="K15" s="138">
        <f t="shared" si="26"/>
        <v>0</v>
      </c>
      <c r="L15" s="139" t="str">
        <f t="shared" si="2"/>
        <v/>
      </c>
      <c r="M15" s="140"/>
      <c r="N15" s="141">
        <f t="shared" si="18"/>
        <v>29</v>
      </c>
      <c r="O15" s="142">
        <f t="shared" si="18"/>
        <v>319660</v>
      </c>
      <c r="P15" s="136">
        <f t="shared" si="3"/>
        <v>10020.689655172413</v>
      </c>
      <c r="Q15" s="142">
        <f t="shared" si="19"/>
        <v>46830</v>
      </c>
      <c r="R15" s="137">
        <f t="shared" si="4"/>
        <v>1468</v>
      </c>
      <c r="S15" s="143">
        <f t="shared" si="20"/>
        <v>366490</v>
      </c>
      <c r="T15" s="139">
        <f t="shared" si="5"/>
        <v>12637.586206896553</v>
      </c>
      <c r="U15" s="144">
        <f t="shared" si="6"/>
        <v>29</v>
      </c>
      <c r="V15" s="142">
        <f t="shared" si="6"/>
        <v>319660</v>
      </c>
      <c r="W15" s="142">
        <f t="shared" si="7"/>
        <v>46830</v>
      </c>
      <c r="X15" s="145">
        <f t="shared" si="21"/>
        <v>366490</v>
      </c>
      <c r="Y15" s="142">
        <f t="shared" si="8"/>
        <v>12637.586206896553</v>
      </c>
      <c r="Z15" s="146"/>
      <c r="AA15" s="147">
        <v>12</v>
      </c>
      <c r="AB15" s="135">
        <v>10400</v>
      </c>
      <c r="AC15" s="136">
        <f t="shared" si="9"/>
        <v>866.66666666666663</v>
      </c>
      <c r="AD15" s="135">
        <v>2950</v>
      </c>
      <c r="AE15" s="137">
        <f t="shared" si="10"/>
        <v>245.83333333333334</v>
      </c>
      <c r="AF15" s="148">
        <f t="shared" si="22"/>
        <v>13350</v>
      </c>
      <c r="AG15" s="139">
        <f t="shared" si="11"/>
        <v>1112.5</v>
      </c>
      <c r="AH15" s="154">
        <f t="shared" si="12"/>
        <v>29</v>
      </c>
      <c r="AI15" s="142">
        <f t="shared" si="13"/>
        <v>330060</v>
      </c>
      <c r="AJ15" s="142">
        <f t="shared" si="14"/>
        <v>49780</v>
      </c>
      <c r="AK15" s="149">
        <f t="shared" si="23"/>
        <v>379840</v>
      </c>
      <c r="AL15" s="142">
        <f t="shared" si="15"/>
        <v>43450</v>
      </c>
      <c r="AM15" s="142"/>
      <c r="AN15" s="150">
        <v>29</v>
      </c>
      <c r="AO15" s="150">
        <v>319660</v>
      </c>
      <c r="AP15" s="150">
        <v>46830</v>
      </c>
      <c r="AQ15" s="151">
        <v>41800</v>
      </c>
      <c r="AR15" s="151">
        <v>1650</v>
      </c>
      <c r="AS15" s="151"/>
      <c r="AT15" s="151"/>
      <c r="AU15" s="152">
        <f t="shared" si="24"/>
        <v>409940</v>
      </c>
      <c r="AV15" s="119">
        <v>11</v>
      </c>
      <c r="AW15" s="120">
        <f t="shared" si="25"/>
        <v>409940</v>
      </c>
      <c r="AX15" s="177">
        <f t="shared" si="16"/>
        <v>423290</v>
      </c>
    </row>
    <row r="16" spans="1:50" ht="13.5" customHeight="1">
      <c r="A16" s="119"/>
      <c r="B16" s="153">
        <f t="shared" si="17"/>
        <v>46003</v>
      </c>
      <c r="C16" s="172" t="s">
        <v>76</v>
      </c>
      <c r="D16" s="132"/>
      <c r="E16" s="133"/>
      <c r="F16" s="134"/>
      <c r="G16" s="135"/>
      <c r="H16" s="136" t="e">
        <f t="shared" si="0"/>
        <v>#DIV/0!</v>
      </c>
      <c r="I16" s="135"/>
      <c r="J16" s="137" t="e">
        <f t="shared" si="1"/>
        <v>#DIV/0!</v>
      </c>
      <c r="K16" s="138">
        <f t="shared" si="26"/>
        <v>0</v>
      </c>
      <c r="L16" s="139" t="str">
        <f t="shared" si="2"/>
        <v/>
      </c>
      <c r="M16" s="140"/>
      <c r="N16" s="141">
        <f t="shared" si="18"/>
        <v>0</v>
      </c>
      <c r="O16" s="142">
        <f t="shared" si="18"/>
        <v>0</v>
      </c>
      <c r="P16" s="136" t="e">
        <f t="shared" si="3"/>
        <v>#DIV/0!</v>
      </c>
      <c r="Q16" s="142">
        <f t="shared" si="19"/>
        <v>0</v>
      </c>
      <c r="R16" s="137" t="e">
        <f t="shared" si="4"/>
        <v>#DIV/0!</v>
      </c>
      <c r="S16" s="143">
        <f t="shared" si="20"/>
        <v>0</v>
      </c>
      <c r="T16" s="139" t="e">
        <f t="shared" si="5"/>
        <v>#DIV/0!</v>
      </c>
      <c r="U16" s="144">
        <f t="shared" si="6"/>
        <v>0</v>
      </c>
      <c r="V16" s="142">
        <f t="shared" si="6"/>
        <v>0</v>
      </c>
      <c r="W16" s="142">
        <f t="shared" si="7"/>
        <v>0</v>
      </c>
      <c r="X16" s="145">
        <f t="shared" si="21"/>
        <v>0</v>
      </c>
      <c r="Y16" s="142" t="e">
        <f t="shared" si="8"/>
        <v>#DIV/0!</v>
      </c>
      <c r="Z16" s="146"/>
      <c r="AA16" s="147"/>
      <c r="AB16" s="135"/>
      <c r="AC16" s="136" t="e">
        <f>AB16/AA16</f>
        <v>#DIV/0!</v>
      </c>
      <c r="AD16" s="135"/>
      <c r="AE16" s="137" t="e">
        <f t="shared" si="10"/>
        <v>#DIV/0!</v>
      </c>
      <c r="AF16" s="148">
        <f t="shared" si="22"/>
        <v>0</v>
      </c>
      <c r="AG16" s="139" t="str">
        <f t="shared" si="11"/>
        <v/>
      </c>
      <c r="AH16" s="154">
        <f t="shared" si="12"/>
        <v>0</v>
      </c>
      <c r="AI16" s="142">
        <f t="shared" si="13"/>
        <v>0</v>
      </c>
      <c r="AJ16" s="142">
        <f t="shared" si="14"/>
        <v>0</v>
      </c>
      <c r="AK16" s="149">
        <f t="shared" si="23"/>
        <v>0</v>
      </c>
      <c r="AL16" s="142">
        <f t="shared" si="15"/>
        <v>0</v>
      </c>
      <c r="AM16" s="142"/>
      <c r="AN16" s="150"/>
      <c r="AO16" s="150"/>
      <c r="AP16" s="150"/>
      <c r="AQ16" s="151"/>
      <c r="AR16" s="151"/>
      <c r="AS16" s="151"/>
      <c r="AT16" s="151"/>
      <c r="AU16" s="152">
        <f t="shared" si="24"/>
        <v>0</v>
      </c>
      <c r="AV16" s="119">
        <v>12</v>
      </c>
      <c r="AW16" s="120">
        <f t="shared" si="25"/>
        <v>0</v>
      </c>
      <c r="AX16" s="177">
        <f t="shared" si="16"/>
        <v>0</v>
      </c>
    </row>
    <row r="17" spans="1:50" ht="13.5" customHeight="1">
      <c r="A17" s="119"/>
      <c r="B17" s="156">
        <f t="shared" si="17"/>
        <v>46004</v>
      </c>
      <c r="C17" s="176"/>
      <c r="D17" s="132">
        <v>98</v>
      </c>
      <c r="E17" s="133"/>
      <c r="F17" s="134">
        <v>23</v>
      </c>
      <c r="G17" s="135">
        <v>79200</v>
      </c>
      <c r="H17" s="136">
        <f t="shared" si="0"/>
        <v>3130.4347826086955</v>
      </c>
      <c r="I17" s="135">
        <v>13830</v>
      </c>
      <c r="J17" s="137">
        <f t="shared" si="1"/>
        <v>546.60869565217388</v>
      </c>
      <c r="K17" s="138">
        <f t="shared" si="26"/>
        <v>93030</v>
      </c>
      <c r="L17" s="139">
        <f t="shared" si="2"/>
        <v>4044.782608695652</v>
      </c>
      <c r="M17" s="140"/>
      <c r="N17" s="141">
        <f t="shared" si="18"/>
        <v>40</v>
      </c>
      <c r="O17" s="142">
        <f t="shared" si="18"/>
        <v>376240</v>
      </c>
      <c r="P17" s="136">
        <f t="shared" si="3"/>
        <v>8550.9</v>
      </c>
      <c r="Q17" s="142">
        <f t="shared" si="19"/>
        <v>81420</v>
      </c>
      <c r="R17" s="137">
        <f t="shared" si="4"/>
        <v>1850.45</v>
      </c>
      <c r="S17" s="143">
        <f t="shared" si="20"/>
        <v>457660</v>
      </c>
      <c r="T17" s="139">
        <f t="shared" si="5"/>
        <v>11441.5</v>
      </c>
      <c r="U17" s="144">
        <f t="shared" si="6"/>
        <v>63</v>
      </c>
      <c r="V17" s="142">
        <f t="shared" si="6"/>
        <v>455440</v>
      </c>
      <c r="W17" s="142">
        <f t="shared" si="7"/>
        <v>95250</v>
      </c>
      <c r="X17" s="145">
        <f t="shared" si="21"/>
        <v>550690</v>
      </c>
      <c r="Y17" s="142">
        <f t="shared" si="8"/>
        <v>8741.1111111111113</v>
      </c>
      <c r="Z17" s="146"/>
      <c r="AA17" s="147">
        <v>119</v>
      </c>
      <c r="AB17" s="135">
        <v>75450</v>
      </c>
      <c r="AC17" s="136">
        <f t="shared" si="9"/>
        <v>634.03361344537814</v>
      </c>
      <c r="AD17" s="135">
        <v>39450</v>
      </c>
      <c r="AE17" s="137">
        <f t="shared" si="10"/>
        <v>331.51260504201679</v>
      </c>
      <c r="AF17" s="148">
        <f t="shared" si="22"/>
        <v>114900</v>
      </c>
      <c r="AG17" s="139">
        <f t="shared" si="11"/>
        <v>965.54621848739498</v>
      </c>
      <c r="AH17" s="154">
        <f t="shared" si="12"/>
        <v>63</v>
      </c>
      <c r="AI17" s="142">
        <f t="shared" si="13"/>
        <v>530890</v>
      </c>
      <c r="AJ17" s="142">
        <f t="shared" si="14"/>
        <v>134700</v>
      </c>
      <c r="AK17" s="149">
        <f t="shared" si="23"/>
        <v>665590</v>
      </c>
      <c r="AL17" s="142">
        <f t="shared" si="15"/>
        <v>55370</v>
      </c>
      <c r="AM17" s="142"/>
      <c r="AN17" s="150">
        <v>63</v>
      </c>
      <c r="AO17" s="150">
        <v>455440</v>
      </c>
      <c r="AP17" s="150">
        <v>95250</v>
      </c>
      <c r="AQ17" s="151">
        <v>48950</v>
      </c>
      <c r="AR17" s="151">
        <v>6420</v>
      </c>
      <c r="AS17" s="151"/>
      <c r="AT17" s="151"/>
      <c r="AU17" s="152">
        <f t="shared" si="24"/>
        <v>606060</v>
      </c>
      <c r="AV17" s="119">
        <v>13</v>
      </c>
      <c r="AW17" s="120">
        <f t="shared" si="25"/>
        <v>606060</v>
      </c>
      <c r="AX17" s="177">
        <f t="shared" si="16"/>
        <v>720960</v>
      </c>
    </row>
    <row r="18" spans="1:50" ht="13.5" customHeight="1">
      <c r="A18" s="119"/>
      <c r="B18" s="197">
        <f t="shared" si="17"/>
        <v>46005</v>
      </c>
      <c r="C18" s="176"/>
      <c r="D18" s="132">
        <v>0</v>
      </c>
      <c r="E18" s="133"/>
      <c r="F18" s="134">
        <v>23</v>
      </c>
      <c r="G18" s="135">
        <v>95370</v>
      </c>
      <c r="H18" s="136">
        <f t="shared" si="0"/>
        <v>3769.5652173913045</v>
      </c>
      <c r="I18" s="135">
        <v>11820</v>
      </c>
      <c r="J18" s="137">
        <f t="shared" si="1"/>
        <v>467.17391304347825</v>
      </c>
      <c r="K18" s="138">
        <f t="shared" si="26"/>
        <v>107190</v>
      </c>
      <c r="L18" s="139">
        <f t="shared" si="2"/>
        <v>4660.434782608696</v>
      </c>
      <c r="M18" s="140"/>
      <c r="N18" s="141">
        <f t="shared" si="18"/>
        <v>33</v>
      </c>
      <c r="O18" s="142">
        <f t="shared" si="18"/>
        <v>411180</v>
      </c>
      <c r="P18" s="136">
        <f t="shared" si="3"/>
        <v>11327.272727272728</v>
      </c>
      <c r="Q18" s="142">
        <f t="shared" si="19"/>
        <v>49930</v>
      </c>
      <c r="R18" s="137">
        <f t="shared" si="4"/>
        <v>1375.4545454545455</v>
      </c>
      <c r="S18" s="143">
        <f t="shared" si="20"/>
        <v>461110</v>
      </c>
      <c r="T18" s="139">
        <f t="shared" si="5"/>
        <v>13973.030303030304</v>
      </c>
      <c r="U18" s="144">
        <f t="shared" si="6"/>
        <v>56</v>
      </c>
      <c r="V18" s="142">
        <f t="shared" si="6"/>
        <v>506550</v>
      </c>
      <c r="W18" s="142">
        <f t="shared" si="7"/>
        <v>61750</v>
      </c>
      <c r="X18" s="145">
        <f t="shared" si="21"/>
        <v>568300</v>
      </c>
      <c r="Y18" s="142">
        <f t="shared" si="8"/>
        <v>10148.214285714286</v>
      </c>
      <c r="Z18" s="146"/>
      <c r="AA18" s="147">
        <v>84</v>
      </c>
      <c r="AB18" s="135">
        <v>66000</v>
      </c>
      <c r="AC18" s="136">
        <f t="shared" si="9"/>
        <v>785.71428571428567</v>
      </c>
      <c r="AD18" s="135">
        <v>28570</v>
      </c>
      <c r="AE18" s="137">
        <f t="shared" si="10"/>
        <v>340.11904761904759</v>
      </c>
      <c r="AF18" s="148">
        <f t="shared" si="22"/>
        <v>94570</v>
      </c>
      <c r="AG18" s="139">
        <f t="shared" si="11"/>
        <v>1125.8333333333333</v>
      </c>
      <c r="AH18" s="154">
        <f t="shared" si="12"/>
        <v>56</v>
      </c>
      <c r="AI18" s="142">
        <f t="shared" si="13"/>
        <v>572550</v>
      </c>
      <c r="AJ18" s="142">
        <f t="shared" si="14"/>
        <v>90320</v>
      </c>
      <c r="AK18" s="149">
        <f t="shared" si="23"/>
        <v>662870</v>
      </c>
      <c r="AL18" s="142">
        <f t="shared" si="15"/>
        <v>30710</v>
      </c>
      <c r="AM18" s="142"/>
      <c r="AN18" s="150">
        <v>56</v>
      </c>
      <c r="AO18" s="150">
        <v>506550</v>
      </c>
      <c r="AP18" s="150">
        <v>61750</v>
      </c>
      <c r="AQ18" s="151">
        <v>29150</v>
      </c>
      <c r="AR18" s="151">
        <v>1560</v>
      </c>
      <c r="AS18" s="151"/>
      <c r="AT18" s="151"/>
      <c r="AU18" s="152">
        <f t="shared" si="24"/>
        <v>599010</v>
      </c>
      <c r="AV18" s="119">
        <v>14</v>
      </c>
      <c r="AW18" s="120">
        <f t="shared" si="25"/>
        <v>599010</v>
      </c>
      <c r="AX18" s="177">
        <f t="shared" si="16"/>
        <v>693580</v>
      </c>
    </row>
    <row r="19" spans="1:50" ht="13.5" customHeight="1">
      <c r="A19" s="119"/>
      <c r="B19" s="153">
        <f t="shared" si="17"/>
        <v>46006</v>
      </c>
      <c r="C19" s="172" t="s">
        <v>76</v>
      </c>
      <c r="D19" s="132"/>
      <c r="E19" s="133"/>
      <c r="F19" s="134"/>
      <c r="G19" s="135"/>
      <c r="H19" s="136" t="e">
        <f t="shared" si="0"/>
        <v>#DIV/0!</v>
      </c>
      <c r="I19" s="135"/>
      <c r="J19" s="137" t="e">
        <f t="shared" si="1"/>
        <v>#DIV/0!</v>
      </c>
      <c r="K19" s="138">
        <f t="shared" si="26"/>
        <v>0</v>
      </c>
      <c r="L19" s="139" t="str">
        <f t="shared" si="2"/>
        <v/>
      </c>
      <c r="M19" s="140"/>
      <c r="N19" s="141">
        <f t="shared" si="18"/>
        <v>0</v>
      </c>
      <c r="O19" s="142">
        <f t="shared" si="18"/>
        <v>0</v>
      </c>
      <c r="P19" s="136" t="e">
        <f t="shared" si="3"/>
        <v>#DIV/0!</v>
      </c>
      <c r="Q19" s="142">
        <f t="shared" si="19"/>
        <v>0</v>
      </c>
      <c r="R19" s="158" t="e">
        <f t="shared" si="4"/>
        <v>#DIV/0!</v>
      </c>
      <c r="S19" s="143">
        <f t="shared" si="20"/>
        <v>0</v>
      </c>
      <c r="T19" s="139" t="e">
        <f t="shared" si="5"/>
        <v>#DIV/0!</v>
      </c>
      <c r="U19" s="144">
        <f t="shared" si="6"/>
        <v>0</v>
      </c>
      <c r="V19" s="142">
        <f t="shared" si="6"/>
        <v>0</v>
      </c>
      <c r="W19" s="142">
        <f t="shared" si="7"/>
        <v>0</v>
      </c>
      <c r="X19" s="145">
        <f t="shared" si="21"/>
        <v>0</v>
      </c>
      <c r="Y19" s="142" t="e">
        <f t="shared" si="8"/>
        <v>#DIV/0!</v>
      </c>
      <c r="Z19" s="146"/>
      <c r="AA19" s="147"/>
      <c r="AB19" s="135"/>
      <c r="AC19" s="136" t="e">
        <f t="shared" si="9"/>
        <v>#DIV/0!</v>
      </c>
      <c r="AD19" s="135"/>
      <c r="AE19" s="137" t="e">
        <f t="shared" si="10"/>
        <v>#DIV/0!</v>
      </c>
      <c r="AF19" s="148">
        <f t="shared" si="22"/>
        <v>0</v>
      </c>
      <c r="AG19" s="139" t="str">
        <f t="shared" si="11"/>
        <v/>
      </c>
      <c r="AH19" s="154">
        <f t="shared" si="12"/>
        <v>0</v>
      </c>
      <c r="AI19" s="142">
        <f t="shared" si="13"/>
        <v>0</v>
      </c>
      <c r="AJ19" s="142">
        <f t="shared" si="14"/>
        <v>0</v>
      </c>
      <c r="AK19" s="149">
        <f t="shared" si="23"/>
        <v>0</v>
      </c>
      <c r="AL19" s="142">
        <f t="shared" si="15"/>
        <v>0</v>
      </c>
      <c r="AM19" s="142"/>
      <c r="AN19" s="150"/>
      <c r="AO19" s="150"/>
      <c r="AP19" s="150"/>
      <c r="AQ19" s="151"/>
      <c r="AR19" s="151"/>
      <c r="AS19" s="151"/>
      <c r="AT19" s="151"/>
      <c r="AU19" s="152">
        <f t="shared" si="24"/>
        <v>0</v>
      </c>
      <c r="AV19" s="119">
        <v>15</v>
      </c>
      <c r="AW19" s="120">
        <f t="shared" si="25"/>
        <v>0</v>
      </c>
      <c r="AX19" s="177">
        <f t="shared" si="16"/>
        <v>0</v>
      </c>
    </row>
    <row r="20" spans="1:50" ht="13.5" customHeight="1">
      <c r="A20" s="119"/>
      <c r="B20" s="153">
        <f t="shared" si="17"/>
        <v>46007</v>
      </c>
      <c r="C20" s="176" t="s">
        <v>56</v>
      </c>
      <c r="D20" s="132">
        <v>89</v>
      </c>
      <c r="E20" s="133"/>
      <c r="F20" s="134"/>
      <c r="G20" s="135"/>
      <c r="H20" s="136" t="e">
        <f t="shared" si="0"/>
        <v>#DIV/0!</v>
      </c>
      <c r="I20" s="135"/>
      <c r="J20" s="136" t="e">
        <f t="shared" si="1"/>
        <v>#DIV/0!</v>
      </c>
      <c r="K20" s="138">
        <f t="shared" si="26"/>
        <v>0</v>
      </c>
      <c r="L20" s="139" t="str">
        <f t="shared" si="2"/>
        <v/>
      </c>
      <c r="M20" s="140"/>
      <c r="N20" s="141">
        <f t="shared" si="18"/>
        <v>26</v>
      </c>
      <c r="O20" s="142">
        <f t="shared" si="18"/>
        <v>282590</v>
      </c>
      <c r="P20" s="136">
        <f t="shared" si="3"/>
        <v>9880.7692307692305</v>
      </c>
      <c r="Q20" s="142">
        <f t="shared" si="19"/>
        <v>66190</v>
      </c>
      <c r="R20" s="158">
        <f t="shared" si="4"/>
        <v>2314.3076923076924</v>
      </c>
      <c r="S20" s="143">
        <f t="shared" si="20"/>
        <v>348780</v>
      </c>
      <c r="T20" s="139">
        <f t="shared" si="5"/>
        <v>13414.615384615385</v>
      </c>
      <c r="U20" s="144">
        <f t="shared" si="6"/>
        <v>26</v>
      </c>
      <c r="V20" s="142">
        <f t="shared" si="6"/>
        <v>282590</v>
      </c>
      <c r="W20" s="142">
        <f t="shared" si="7"/>
        <v>66190</v>
      </c>
      <c r="X20" s="145">
        <f t="shared" si="21"/>
        <v>348780</v>
      </c>
      <c r="Y20" s="142">
        <f t="shared" si="8"/>
        <v>13414.615384615385</v>
      </c>
      <c r="Z20" s="146"/>
      <c r="AA20" s="147">
        <v>151</v>
      </c>
      <c r="AB20" s="135">
        <v>89400</v>
      </c>
      <c r="AC20" s="136">
        <f t="shared" si="9"/>
        <v>592.05298013245033</v>
      </c>
      <c r="AD20" s="135">
        <v>59330</v>
      </c>
      <c r="AE20" s="137">
        <f t="shared" si="10"/>
        <v>392.91390728476819</v>
      </c>
      <c r="AF20" s="148">
        <f t="shared" si="22"/>
        <v>148730</v>
      </c>
      <c r="AG20" s="139">
        <f t="shared" si="11"/>
        <v>984.96688741721857</v>
      </c>
      <c r="AH20" s="154">
        <f t="shared" si="12"/>
        <v>26</v>
      </c>
      <c r="AI20" s="150">
        <f t="shared" si="13"/>
        <v>371990</v>
      </c>
      <c r="AJ20" s="150">
        <f t="shared" si="14"/>
        <v>125520</v>
      </c>
      <c r="AK20" s="149">
        <f t="shared" si="23"/>
        <v>497510</v>
      </c>
      <c r="AL20" s="142">
        <f>AQ20+AR20+AS20</f>
        <v>80850</v>
      </c>
      <c r="AM20" s="142"/>
      <c r="AN20" s="150">
        <v>26</v>
      </c>
      <c r="AO20" s="150">
        <v>282590</v>
      </c>
      <c r="AP20" s="150">
        <v>66190</v>
      </c>
      <c r="AQ20" s="151">
        <v>25850</v>
      </c>
      <c r="AR20" s="151">
        <v>55000</v>
      </c>
      <c r="AS20" s="151"/>
      <c r="AT20" s="151"/>
      <c r="AU20" s="152">
        <f t="shared" si="24"/>
        <v>429630</v>
      </c>
      <c r="AV20" s="119">
        <v>16</v>
      </c>
      <c r="AW20" s="120">
        <f>AT20+AU20</f>
        <v>429630</v>
      </c>
      <c r="AX20" s="177">
        <f t="shared" si="16"/>
        <v>578360</v>
      </c>
    </row>
    <row r="21" spans="1:50" ht="15.75" customHeight="1">
      <c r="A21" s="119"/>
      <c r="B21" s="153">
        <f t="shared" si="17"/>
        <v>46008</v>
      </c>
      <c r="C21" s="176" t="s">
        <v>56</v>
      </c>
      <c r="D21" s="132">
        <v>82</v>
      </c>
      <c r="E21" s="133"/>
      <c r="F21" s="134"/>
      <c r="G21" s="135"/>
      <c r="H21" s="136" t="e">
        <f t="shared" si="0"/>
        <v>#DIV/0!</v>
      </c>
      <c r="I21" s="135"/>
      <c r="J21" s="136" t="e">
        <f t="shared" si="1"/>
        <v>#DIV/0!</v>
      </c>
      <c r="K21" s="138">
        <f t="shared" si="26"/>
        <v>0</v>
      </c>
      <c r="L21" s="139" t="str">
        <f t="shared" si="2"/>
        <v/>
      </c>
      <c r="M21" s="140"/>
      <c r="N21" s="141">
        <f t="shared" si="18"/>
        <v>40</v>
      </c>
      <c r="O21" s="142">
        <f t="shared" si="18"/>
        <v>429440</v>
      </c>
      <c r="P21" s="136">
        <f t="shared" si="3"/>
        <v>9760</v>
      </c>
      <c r="Q21" s="142">
        <f t="shared" si="19"/>
        <v>47010</v>
      </c>
      <c r="R21" s="158">
        <f t="shared" si="4"/>
        <v>1068.4000000000001</v>
      </c>
      <c r="S21" s="143">
        <f>O21+Q21</f>
        <v>476450</v>
      </c>
      <c r="T21" s="139">
        <f t="shared" si="5"/>
        <v>11911.25</v>
      </c>
      <c r="U21" s="144">
        <f t="shared" ref="U21:V34" si="27">F21+N21</f>
        <v>40</v>
      </c>
      <c r="V21" s="142">
        <f t="shared" si="27"/>
        <v>429440</v>
      </c>
      <c r="W21" s="142">
        <f t="shared" si="7"/>
        <v>47010</v>
      </c>
      <c r="X21" s="145">
        <f>K21+S21</f>
        <v>476450</v>
      </c>
      <c r="Y21" s="142">
        <f t="shared" si="8"/>
        <v>11911.25</v>
      </c>
      <c r="Z21" s="146"/>
      <c r="AA21" s="147">
        <v>107</v>
      </c>
      <c r="AB21" s="135">
        <v>81550</v>
      </c>
      <c r="AC21" s="136">
        <f t="shared" si="9"/>
        <v>762.14953271028037</v>
      </c>
      <c r="AD21" s="135">
        <v>28340</v>
      </c>
      <c r="AE21" s="137">
        <f t="shared" si="10"/>
        <v>264.85981308411215</v>
      </c>
      <c r="AF21" s="148">
        <f t="shared" si="22"/>
        <v>109890</v>
      </c>
      <c r="AG21" s="139">
        <f t="shared" si="11"/>
        <v>1027.0093457943926</v>
      </c>
      <c r="AH21" s="154">
        <f t="shared" si="12"/>
        <v>40</v>
      </c>
      <c r="AI21" s="150">
        <f t="shared" si="13"/>
        <v>510990</v>
      </c>
      <c r="AJ21" s="150">
        <f t="shared" si="14"/>
        <v>75350</v>
      </c>
      <c r="AK21" s="149">
        <f>X21+AF21</f>
        <v>586340</v>
      </c>
      <c r="AL21" s="142">
        <f>AQ21+AR21+AS21</f>
        <v>47000</v>
      </c>
      <c r="AM21" s="142"/>
      <c r="AN21" s="150">
        <v>40</v>
      </c>
      <c r="AO21" s="150">
        <v>429440</v>
      </c>
      <c r="AP21" s="150">
        <v>47010</v>
      </c>
      <c r="AQ21" s="151">
        <v>44000</v>
      </c>
      <c r="AR21" s="151">
        <v>3000</v>
      </c>
      <c r="AS21" s="151"/>
      <c r="AT21" s="151"/>
      <c r="AU21" s="152">
        <f t="shared" si="24"/>
        <v>523450</v>
      </c>
      <c r="AV21" s="119">
        <v>17</v>
      </c>
      <c r="AW21" s="120">
        <f t="shared" si="25"/>
        <v>523450</v>
      </c>
      <c r="AX21" s="177">
        <f t="shared" si="16"/>
        <v>633340</v>
      </c>
    </row>
    <row r="22" spans="1:50" ht="15.75" customHeight="1">
      <c r="A22" s="119"/>
      <c r="B22" s="153">
        <f t="shared" si="17"/>
        <v>46009</v>
      </c>
      <c r="C22" s="176" t="s">
        <v>56</v>
      </c>
      <c r="D22" s="132">
        <v>86</v>
      </c>
      <c r="E22" s="133"/>
      <c r="F22" s="134"/>
      <c r="G22" s="135"/>
      <c r="H22" s="136" t="e">
        <f t="shared" si="0"/>
        <v>#DIV/0!</v>
      </c>
      <c r="I22" s="135"/>
      <c r="J22" s="136" t="e">
        <f t="shared" si="1"/>
        <v>#DIV/0!</v>
      </c>
      <c r="K22" s="138">
        <f t="shared" si="26"/>
        <v>0</v>
      </c>
      <c r="L22" s="139" t="str">
        <f t="shared" si="2"/>
        <v/>
      </c>
      <c r="M22" s="140"/>
      <c r="N22" s="141">
        <f t="shared" ref="N22:O34" si="28">AN22-F22</f>
        <v>39</v>
      </c>
      <c r="O22" s="142">
        <f t="shared" si="28"/>
        <v>492470</v>
      </c>
      <c r="P22" s="136">
        <f t="shared" si="3"/>
        <v>11479.48717948718</v>
      </c>
      <c r="Q22" s="142">
        <f t="shared" si="19"/>
        <v>68900</v>
      </c>
      <c r="R22" s="158">
        <f t="shared" si="4"/>
        <v>1606.051282051282</v>
      </c>
      <c r="S22" s="143">
        <f t="shared" si="20"/>
        <v>561370</v>
      </c>
      <c r="T22" s="139">
        <f t="shared" si="5"/>
        <v>14394.102564102564</v>
      </c>
      <c r="U22" s="144">
        <f t="shared" si="27"/>
        <v>39</v>
      </c>
      <c r="V22" s="142">
        <f t="shared" si="27"/>
        <v>492470</v>
      </c>
      <c r="W22" s="142">
        <f t="shared" si="7"/>
        <v>68900</v>
      </c>
      <c r="X22" s="145">
        <f t="shared" si="21"/>
        <v>561370</v>
      </c>
      <c r="Y22" s="142">
        <f t="shared" si="8"/>
        <v>14394.102564102564</v>
      </c>
      <c r="Z22" s="146"/>
      <c r="AA22" s="147">
        <v>102</v>
      </c>
      <c r="AB22" s="135">
        <v>74100</v>
      </c>
      <c r="AC22" s="136">
        <f t="shared" si="9"/>
        <v>726.47058823529414</v>
      </c>
      <c r="AD22" s="135">
        <v>24810</v>
      </c>
      <c r="AE22" s="137">
        <f t="shared" si="10"/>
        <v>243.23529411764707</v>
      </c>
      <c r="AF22" s="148">
        <f t="shared" si="22"/>
        <v>98910</v>
      </c>
      <c r="AG22" s="139">
        <f t="shared" si="11"/>
        <v>969.70588235294122</v>
      </c>
      <c r="AH22" s="154">
        <f t="shared" si="12"/>
        <v>39</v>
      </c>
      <c r="AI22" s="150">
        <f t="shared" si="13"/>
        <v>566570</v>
      </c>
      <c r="AJ22" s="150">
        <f t="shared" si="14"/>
        <v>93710</v>
      </c>
      <c r="AK22" s="149">
        <f t="shared" si="23"/>
        <v>660280</v>
      </c>
      <c r="AL22" s="142">
        <f t="shared" si="15"/>
        <v>53500</v>
      </c>
      <c r="AM22" s="142"/>
      <c r="AN22" s="150">
        <v>39</v>
      </c>
      <c r="AO22" s="150">
        <v>492470</v>
      </c>
      <c r="AP22" s="150">
        <v>68900</v>
      </c>
      <c r="AQ22" s="151">
        <v>49500</v>
      </c>
      <c r="AR22" s="151">
        <v>4000</v>
      </c>
      <c r="AS22" s="151"/>
      <c r="AT22" s="151">
        <v>27720</v>
      </c>
      <c r="AU22" s="152">
        <f t="shared" si="24"/>
        <v>614870</v>
      </c>
      <c r="AV22" s="119">
        <v>18</v>
      </c>
      <c r="AW22" s="120">
        <f t="shared" si="25"/>
        <v>642590</v>
      </c>
      <c r="AX22" s="177">
        <f t="shared" si="16"/>
        <v>741500</v>
      </c>
    </row>
    <row r="23" spans="1:50" ht="15.75" customHeight="1">
      <c r="A23" s="119"/>
      <c r="B23" s="153">
        <f t="shared" si="17"/>
        <v>46010</v>
      </c>
      <c r="C23" s="176" t="s">
        <v>56</v>
      </c>
      <c r="D23" s="132">
        <v>81</v>
      </c>
      <c r="E23" s="133"/>
      <c r="F23" s="134"/>
      <c r="G23" s="135"/>
      <c r="H23" s="136" t="e">
        <f t="shared" si="0"/>
        <v>#DIV/0!</v>
      </c>
      <c r="I23" s="135"/>
      <c r="J23" s="136" t="e">
        <f t="shared" si="1"/>
        <v>#DIV/0!</v>
      </c>
      <c r="K23" s="138">
        <f t="shared" si="26"/>
        <v>0</v>
      </c>
      <c r="L23" s="139" t="str">
        <f t="shared" si="2"/>
        <v/>
      </c>
      <c r="M23" s="140"/>
      <c r="N23" s="141">
        <f t="shared" si="28"/>
        <v>38</v>
      </c>
      <c r="O23" s="142">
        <f t="shared" si="28"/>
        <v>364650</v>
      </c>
      <c r="P23" s="136">
        <f t="shared" si="3"/>
        <v>8723.6842105263149</v>
      </c>
      <c r="Q23" s="142">
        <f t="shared" si="19"/>
        <v>46810</v>
      </c>
      <c r="R23" s="158">
        <f t="shared" si="4"/>
        <v>1119.8421052631579</v>
      </c>
      <c r="S23" s="143">
        <f t="shared" si="20"/>
        <v>411460</v>
      </c>
      <c r="T23" s="139">
        <f t="shared" si="5"/>
        <v>10827.894736842105</v>
      </c>
      <c r="U23" s="144">
        <f t="shared" si="27"/>
        <v>38</v>
      </c>
      <c r="V23" s="142">
        <f t="shared" si="27"/>
        <v>364650</v>
      </c>
      <c r="W23" s="142">
        <f t="shared" si="7"/>
        <v>46810</v>
      </c>
      <c r="X23" s="145">
        <f t="shared" si="21"/>
        <v>411460</v>
      </c>
      <c r="Y23" s="142">
        <f t="shared" si="8"/>
        <v>10827.894736842105</v>
      </c>
      <c r="Z23" s="146"/>
      <c r="AA23" s="147">
        <v>131</v>
      </c>
      <c r="AB23" s="135">
        <v>90900</v>
      </c>
      <c r="AC23" s="136">
        <f t="shared" si="9"/>
        <v>693.89312977099235</v>
      </c>
      <c r="AD23" s="135">
        <v>39170</v>
      </c>
      <c r="AE23" s="137">
        <f t="shared" si="10"/>
        <v>299.00763358778624</v>
      </c>
      <c r="AF23" s="148">
        <f t="shared" si="22"/>
        <v>130070</v>
      </c>
      <c r="AG23" s="139">
        <f t="shared" si="11"/>
        <v>992.90076335877859</v>
      </c>
      <c r="AH23" s="154">
        <f t="shared" si="12"/>
        <v>38</v>
      </c>
      <c r="AI23" s="150">
        <f t="shared" si="13"/>
        <v>455550</v>
      </c>
      <c r="AJ23" s="150">
        <f t="shared" si="14"/>
        <v>85980</v>
      </c>
      <c r="AK23" s="149">
        <f t="shared" si="23"/>
        <v>541530</v>
      </c>
      <c r="AL23" s="142">
        <f t="shared" si="15"/>
        <v>56880</v>
      </c>
      <c r="AM23" s="142"/>
      <c r="AN23" s="150">
        <v>38</v>
      </c>
      <c r="AO23" s="150">
        <v>364650</v>
      </c>
      <c r="AP23" s="150">
        <v>46810</v>
      </c>
      <c r="AQ23" s="151">
        <v>46200</v>
      </c>
      <c r="AR23" s="151">
        <v>10680</v>
      </c>
      <c r="AS23" s="151"/>
      <c r="AT23" s="151"/>
      <c r="AU23" s="152">
        <f t="shared" si="24"/>
        <v>468340</v>
      </c>
      <c r="AV23" s="119">
        <v>19</v>
      </c>
      <c r="AW23" s="120">
        <f t="shared" si="25"/>
        <v>468340</v>
      </c>
      <c r="AX23" s="177">
        <f t="shared" si="16"/>
        <v>598410</v>
      </c>
    </row>
    <row r="24" spans="1:50" ht="15.75" customHeight="1">
      <c r="A24" s="119"/>
      <c r="B24" s="156">
        <f t="shared" si="17"/>
        <v>46011</v>
      </c>
      <c r="C24" s="176"/>
      <c r="D24" s="132">
        <v>0</v>
      </c>
      <c r="E24" s="133"/>
      <c r="F24" s="134">
        <v>21</v>
      </c>
      <c r="G24" s="135">
        <v>85360</v>
      </c>
      <c r="H24" s="136">
        <f t="shared" si="0"/>
        <v>3695.2380952380954</v>
      </c>
      <c r="I24" s="135">
        <v>12020</v>
      </c>
      <c r="J24" s="136">
        <f t="shared" si="1"/>
        <v>520.33333333333337</v>
      </c>
      <c r="K24" s="138">
        <f t="shared" si="26"/>
        <v>97380</v>
      </c>
      <c r="L24" s="139">
        <f t="shared" si="2"/>
        <v>4637.1428571428569</v>
      </c>
      <c r="M24" s="140"/>
      <c r="N24" s="141">
        <f t="shared" si="28"/>
        <v>35</v>
      </c>
      <c r="O24" s="142">
        <f t="shared" si="28"/>
        <v>490490</v>
      </c>
      <c r="P24" s="136">
        <f t="shared" si="3"/>
        <v>12740</v>
      </c>
      <c r="Q24" s="142">
        <f t="shared" si="19"/>
        <v>74200</v>
      </c>
      <c r="R24" s="158">
        <f t="shared" si="4"/>
        <v>1927.2571428571428</v>
      </c>
      <c r="S24" s="143">
        <f t="shared" si="20"/>
        <v>564690</v>
      </c>
      <c r="T24" s="139">
        <f t="shared" si="5"/>
        <v>16134</v>
      </c>
      <c r="U24" s="144">
        <f t="shared" si="27"/>
        <v>56</v>
      </c>
      <c r="V24" s="142">
        <f t="shared" si="27"/>
        <v>575850</v>
      </c>
      <c r="W24" s="142">
        <f t="shared" si="7"/>
        <v>86220</v>
      </c>
      <c r="X24" s="145">
        <f t="shared" si="21"/>
        <v>662070</v>
      </c>
      <c r="Y24" s="142">
        <f t="shared" si="8"/>
        <v>11822.678571428571</v>
      </c>
      <c r="Z24" s="146"/>
      <c r="AA24" s="147">
        <v>112</v>
      </c>
      <c r="AB24" s="135">
        <v>92000</v>
      </c>
      <c r="AC24" s="136">
        <f t="shared" si="9"/>
        <v>821.42857142857144</v>
      </c>
      <c r="AD24" s="135">
        <v>39040</v>
      </c>
      <c r="AE24" s="137">
        <f t="shared" si="10"/>
        <v>348.57142857142856</v>
      </c>
      <c r="AF24" s="148">
        <f t="shared" si="22"/>
        <v>131040</v>
      </c>
      <c r="AG24" s="139">
        <f t="shared" si="11"/>
        <v>1170</v>
      </c>
      <c r="AH24" s="154">
        <f t="shared" si="12"/>
        <v>56</v>
      </c>
      <c r="AI24" s="150">
        <f t="shared" si="13"/>
        <v>667850</v>
      </c>
      <c r="AJ24" s="150">
        <f t="shared" si="14"/>
        <v>125260</v>
      </c>
      <c r="AK24" s="149">
        <f>X24+AF24</f>
        <v>793110</v>
      </c>
      <c r="AL24" s="142">
        <f t="shared" si="15"/>
        <v>50950</v>
      </c>
      <c r="AM24" s="142"/>
      <c r="AN24" s="150">
        <v>56</v>
      </c>
      <c r="AO24" s="150">
        <v>575850</v>
      </c>
      <c r="AP24" s="150">
        <v>86220</v>
      </c>
      <c r="AQ24" s="151">
        <v>48950</v>
      </c>
      <c r="AR24" s="151">
        <v>2000</v>
      </c>
      <c r="AS24" s="151"/>
      <c r="AT24" s="151"/>
      <c r="AU24" s="152">
        <f>SUM(AO24:AS24)</f>
        <v>713020</v>
      </c>
      <c r="AV24" s="119">
        <v>20</v>
      </c>
      <c r="AW24" s="120">
        <f t="shared" si="25"/>
        <v>713020</v>
      </c>
      <c r="AX24" s="177">
        <f t="shared" si="16"/>
        <v>844060</v>
      </c>
    </row>
    <row r="25" spans="1:50" ht="15.75" customHeight="1">
      <c r="A25" s="119"/>
      <c r="B25" s="198">
        <f t="shared" si="17"/>
        <v>46012</v>
      </c>
      <c r="C25" s="176"/>
      <c r="D25" s="132">
        <v>93</v>
      </c>
      <c r="E25" s="133"/>
      <c r="F25" s="134">
        <v>30</v>
      </c>
      <c r="G25" s="135">
        <v>151250</v>
      </c>
      <c r="H25" s="136">
        <f t="shared" si="0"/>
        <v>4583.333333333333</v>
      </c>
      <c r="I25" s="135">
        <v>26980</v>
      </c>
      <c r="J25" s="136">
        <f t="shared" si="1"/>
        <v>817.56666666666672</v>
      </c>
      <c r="K25" s="138">
        <f t="shared" si="26"/>
        <v>178230</v>
      </c>
      <c r="L25" s="139">
        <f t="shared" si="2"/>
        <v>5941</v>
      </c>
      <c r="M25" s="140"/>
      <c r="N25" s="141">
        <f t="shared" si="28"/>
        <v>37</v>
      </c>
      <c r="O25" s="142">
        <f t="shared" si="28"/>
        <v>507980</v>
      </c>
      <c r="P25" s="136">
        <f t="shared" si="3"/>
        <v>12481.081081081082</v>
      </c>
      <c r="Q25" s="142">
        <f t="shared" si="19"/>
        <v>90450</v>
      </c>
      <c r="R25" s="158">
        <f t="shared" si="4"/>
        <v>2222.3513513513512</v>
      </c>
      <c r="S25" s="143">
        <f t="shared" si="20"/>
        <v>598430</v>
      </c>
      <c r="T25" s="139">
        <f t="shared" si="5"/>
        <v>16173.783783783783</v>
      </c>
      <c r="U25" s="144">
        <f>F25+N25</f>
        <v>67</v>
      </c>
      <c r="V25" s="142">
        <f t="shared" si="27"/>
        <v>659230</v>
      </c>
      <c r="W25" s="142">
        <f t="shared" si="7"/>
        <v>117430</v>
      </c>
      <c r="X25" s="145">
        <f t="shared" si="21"/>
        <v>776660</v>
      </c>
      <c r="Y25" s="142">
        <f t="shared" si="8"/>
        <v>11591.940298507463</v>
      </c>
      <c r="Z25" s="146"/>
      <c r="AA25" s="183">
        <v>84</v>
      </c>
      <c r="AB25" s="135">
        <v>68200</v>
      </c>
      <c r="AC25" s="136">
        <f t="shared" si="9"/>
        <v>811.90476190476193</v>
      </c>
      <c r="AD25" s="135">
        <v>32060</v>
      </c>
      <c r="AE25" s="137">
        <f t="shared" si="10"/>
        <v>381.66666666666669</v>
      </c>
      <c r="AF25" s="148">
        <f t="shared" si="22"/>
        <v>100260</v>
      </c>
      <c r="AG25" s="139">
        <f t="shared" si="11"/>
        <v>1193.5714285714287</v>
      </c>
      <c r="AH25" s="154">
        <f t="shared" si="12"/>
        <v>67</v>
      </c>
      <c r="AI25" s="150">
        <f t="shared" si="13"/>
        <v>727430</v>
      </c>
      <c r="AJ25" s="150">
        <f t="shared" si="14"/>
        <v>149490</v>
      </c>
      <c r="AK25" s="149">
        <f>X25+AF25</f>
        <v>876920</v>
      </c>
      <c r="AL25" s="142">
        <f t="shared" si="15"/>
        <v>59300</v>
      </c>
      <c r="AM25" s="142"/>
      <c r="AN25" s="150">
        <v>67</v>
      </c>
      <c r="AO25" s="150">
        <v>659230</v>
      </c>
      <c r="AP25" s="150">
        <v>117430</v>
      </c>
      <c r="AQ25" s="151">
        <v>58300</v>
      </c>
      <c r="AR25" s="151">
        <v>1000</v>
      </c>
      <c r="AS25" s="151"/>
      <c r="AT25" s="151"/>
      <c r="AU25" s="152">
        <f t="shared" si="24"/>
        <v>835960</v>
      </c>
      <c r="AV25" s="119">
        <v>21</v>
      </c>
      <c r="AW25" s="120">
        <f t="shared" si="25"/>
        <v>835960</v>
      </c>
      <c r="AX25" s="177">
        <f t="shared" si="16"/>
        <v>936220</v>
      </c>
    </row>
    <row r="26" spans="1:50" ht="15.75" customHeight="1">
      <c r="A26" s="119"/>
      <c r="B26" s="186">
        <f t="shared" si="17"/>
        <v>46013</v>
      </c>
      <c r="C26" s="176" t="s">
        <v>56</v>
      </c>
      <c r="D26" s="132">
        <v>94</v>
      </c>
      <c r="E26" s="133"/>
      <c r="F26" s="134"/>
      <c r="G26" s="135"/>
      <c r="H26" s="136" t="e">
        <f t="shared" si="0"/>
        <v>#DIV/0!</v>
      </c>
      <c r="I26" s="135"/>
      <c r="J26" s="136" t="e">
        <f t="shared" si="1"/>
        <v>#DIV/0!</v>
      </c>
      <c r="K26" s="138">
        <f t="shared" si="26"/>
        <v>0</v>
      </c>
      <c r="L26" s="139" t="str">
        <f t="shared" si="2"/>
        <v/>
      </c>
      <c r="M26" s="140"/>
      <c r="N26" s="141">
        <f t="shared" si="28"/>
        <v>38</v>
      </c>
      <c r="O26" s="142">
        <f t="shared" si="28"/>
        <v>463540</v>
      </c>
      <c r="P26" s="136">
        <f t="shared" si="3"/>
        <v>11089.473684210527</v>
      </c>
      <c r="Q26" s="142">
        <f t="shared" si="19"/>
        <v>77070</v>
      </c>
      <c r="R26" s="158">
        <f t="shared" si="4"/>
        <v>1843.7631578947369</v>
      </c>
      <c r="S26" s="143">
        <f t="shared" si="20"/>
        <v>540610</v>
      </c>
      <c r="T26" s="139">
        <f t="shared" si="5"/>
        <v>14226.578947368422</v>
      </c>
      <c r="U26" s="144">
        <f t="shared" si="27"/>
        <v>38</v>
      </c>
      <c r="V26" s="142">
        <f t="shared" si="27"/>
        <v>463540</v>
      </c>
      <c r="W26" s="142">
        <f t="shared" si="7"/>
        <v>77070</v>
      </c>
      <c r="X26" s="145">
        <f t="shared" si="21"/>
        <v>540610</v>
      </c>
      <c r="Y26" s="142">
        <f t="shared" si="8"/>
        <v>14226.578947368422</v>
      </c>
      <c r="Z26" s="146"/>
      <c r="AA26" s="183">
        <v>131</v>
      </c>
      <c r="AB26" s="135">
        <v>102500</v>
      </c>
      <c r="AC26" s="136">
        <f t="shared" si="9"/>
        <v>782.44274809160311</v>
      </c>
      <c r="AD26" s="135">
        <v>46300</v>
      </c>
      <c r="AE26" s="137">
        <f t="shared" si="10"/>
        <v>353.43511450381681</v>
      </c>
      <c r="AF26" s="148">
        <f t="shared" si="22"/>
        <v>148800</v>
      </c>
      <c r="AG26" s="139">
        <f t="shared" si="11"/>
        <v>1135.8778625954199</v>
      </c>
      <c r="AH26" s="154">
        <f t="shared" si="12"/>
        <v>38</v>
      </c>
      <c r="AI26" s="150">
        <f t="shared" si="13"/>
        <v>566040</v>
      </c>
      <c r="AJ26" s="150">
        <f t="shared" si="14"/>
        <v>123370</v>
      </c>
      <c r="AK26" s="149">
        <f>X26+AF26</f>
        <v>689410</v>
      </c>
      <c r="AL26" s="142">
        <f t="shared" si="15"/>
        <v>47800</v>
      </c>
      <c r="AM26" s="142"/>
      <c r="AN26" s="150">
        <v>38</v>
      </c>
      <c r="AO26" s="150">
        <v>463540</v>
      </c>
      <c r="AP26" s="150">
        <v>77070</v>
      </c>
      <c r="AQ26" s="151">
        <v>41800</v>
      </c>
      <c r="AR26" s="151">
        <v>6000</v>
      </c>
      <c r="AS26" s="151"/>
      <c r="AT26" s="151">
        <v>48400</v>
      </c>
      <c r="AU26" s="152">
        <f t="shared" si="24"/>
        <v>588410</v>
      </c>
      <c r="AV26" s="119">
        <v>22</v>
      </c>
      <c r="AW26" s="120">
        <f t="shared" si="25"/>
        <v>636810</v>
      </c>
      <c r="AX26" s="177">
        <f t="shared" si="16"/>
        <v>785610</v>
      </c>
    </row>
    <row r="27" spans="1:50" ht="15.75" customHeight="1">
      <c r="A27" s="119"/>
      <c r="B27" s="186">
        <f t="shared" si="17"/>
        <v>46014</v>
      </c>
      <c r="C27" s="176" t="s">
        <v>77</v>
      </c>
      <c r="D27" s="132">
        <v>98</v>
      </c>
      <c r="E27" s="133"/>
      <c r="F27" s="134">
        <v>16</v>
      </c>
      <c r="G27" s="135">
        <v>105050</v>
      </c>
      <c r="H27" s="136">
        <f t="shared" si="0"/>
        <v>5968.75</v>
      </c>
      <c r="I27" s="135">
        <v>15170</v>
      </c>
      <c r="J27" s="136">
        <f t="shared" si="1"/>
        <v>861.875</v>
      </c>
      <c r="K27" s="138">
        <f t="shared" si="26"/>
        <v>120220</v>
      </c>
      <c r="L27" s="139">
        <f t="shared" si="2"/>
        <v>7513.75</v>
      </c>
      <c r="M27" s="140"/>
      <c r="N27" s="141">
        <f t="shared" si="28"/>
        <v>38</v>
      </c>
      <c r="O27" s="142">
        <f t="shared" si="28"/>
        <v>638880</v>
      </c>
      <c r="P27" s="136">
        <f t="shared" si="3"/>
        <v>15284.21052631579</v>
      </c>
      <c r="Q27" s="142">
        <f t="shared" si="19"/>
        <v>79500</v>
      </c>
      <c r="R27" s="137">
        <f t="shared" si="4"/>
        <v>1901.8947368421052</v>
      </c>
      <c r="S27" s="143">
        <f t="shared" si="20"/>
        <v>718380</v>
      </c>
      <c r="T27" s="139">
        <f t="shared" si="5"/>
        <v>18904.736842105263</v>
      </c>
      <c r="U27" s="144">
        <f t="shared" si="27"/>
        <v>54</v>
      </c>
      <c r="V27" s="142">
        <f t="shared" si="27"/>
        <v>743930</v>
      </c>
      <c r="W27" s="142">
        <f t="shared" si="7"/>
        <v>94670</v>
      </c>
      <c r="X27" s="145">
        <f t="shared" si="21"/>
        <v>838600</v>
      </c>
      <c r="Y27" s="142">
        <f t="shared" si="8"/>
        <v>15529.62962962963</v>
      </c>
      <c r="Z27" s="146"/>
      <c r="AA27" s="183">
        <v>141</v>
      </c>
      <c r="AB27" s="135">
        <v>124950</v>
      </c>
      <c r="AC27" s="136">
        <f t="shared" si="9"/>
        <v>886.17021276595744</v>
      </c>
      <c r="AD27" s="135">
        <v>50360</v>
      </c>
      <c r="AE27" s="137">
        <f t="shared" si="10"/>
        <v>357.16312056737587</v>
      </c>
      <c r="AF27" s="148">
        <f t="shared" si="22"/>
        <v>175310</v>
      </c>
      <c r="AG27" s="139">
        <f t="shared" si="11"/>
        <v>1243.3333333333333</v>
      </c>
      <c r="AH27" s="154">
        <f t="shared" si="12"/>
        <v>54</v>
      </c>
      <c r="AI27" s="150">
        <f t="shared" si="13"/>
        <v>868880</v>
      </c>
      <c r="AJ27" s="150">
        <f t="shared" si="14"/>
        <v>145030</v>
      </c>
      <c r="AK27" s="149">
        <f>X27+AF27</f>
        <v>1013910</v>
      </c>
      <c r="AL27" s="142">
        <f t="shared" si="15"/>
        <v>73100</v>
      </c>
      <c r="AM27" s="142"/>
      <c r="AN27" s="150">
        <v>54</v>
      </c>
      <c r="AO27" s="150">
        <v>743930</v>
      </c>
      <c r="AP27" s="150">
        <v>94670</v>
      </c>
      <c r="AQ27" s="151">
        <v>67100</v>
      </c>
      <c r="AR27" s="151">
        <v>6000</v>
      </c>
      <c r="AS27" s="151"/>
      <c r="AT27" s="151"/>
      <c r="AU27" s="152">
        <f t="shared" si="24"/>
        <v>911700</v>
      </c>
      <c r="AV27" s="119">
        <v>23</v>
      </c>
      <c r="AW27" s="120">
        <f t="shared" si="25"/>
        <v>911700</v>
      </c>
      <c r="AX27" s="177">
        <f t="shared" si="16"/>
        <v>1087010</v>
      </c>
    </row>
    <row r="28" spans="1:50" ht="15.75" customHeight="1">
      <c r="A28" s="119"/>
      <c r="B28" s="186">
        <f t="shared" si="17"/>
        <v>46015</v>
      </c>
      <c r="C28" s="176" t="s">
        <v>77</v>
      </c>
      <c r="D28" s="132">
        <v>30</v>
      </c>
      <c r="E28" s="133"/>
      <c r="F28" s="134">
        <v>10</v>
      </c>
      <c r="G28" s="135">
        <v>63800</v>
      </c>
      <c r="H28" s="136">
        <f t="shared" si="0"/>
        <v>5800</v>
      </c>
      <c r="I28" s="135">
        <v>10270</v>
      </c>
      <c r="J28" s="136">
        <f t="shared" si="1"/>
        <v>933.6</v>
      </c>
      <c r="K28" s="138">
        <f t="shared" si="26"/>
        <v>74070</v>
      </c>
      <c r="L28" s="139">
        <f t="shared" si="2"/>
        <v>7407</v>
      </c>
      <c r="M28" s="140"/>
      <c r="N28" s="141">
        <f t="shared" si="28"/>
        <v>36</v>
      </c>
      <c r="O28" s="142">
        <f t="shared" si="28"/>
        <v>599940</v>
      </c>
      <c r="P28" s="136">
        <f t="shared" si="3"/>
        <v>15150</v>
      </c>
      <c r="Q28" s="142">
        <f t="shared" si="19"/>
        <v>106090</v>
      </c>
      <c r="R28" s="137">
        <f t="shared" si="4"/>
        <v>2679.0277777777778</v>
      </c>
      <c r="S28" s="143">
        <f t="shared" si="20"/>
        <v>706030</v>
      </c>
      <c r="T28" s="139">
        <f t="shared" si="5"/>
        <v>19611.944444444445</v>
      </c>
      <c r="U28" s="144">
        <f t="shared" si="27"/>
        <v>46</v>
      </c>
      <c r="V28" s="142">
        <f t="shared" si="27"/>
        <v>663740</v>
      </c>
      <c r="W28" s="142">
        <f t="shared" si="7"/>
        <v>116360</v>
      </c>
      <c r="X28" s="145">
        <f t="shared" si="21"/>
        <v>780100</v>
      </c>
      <c r="Y28" s="142">
        <f t="shared" si="8"/>
        <v>16958.695652173912</v>
      </c>
      <c r="Z28" s="146"/>
      <c r="AA28" s="183">
        <v>121</v>
      </c>
      <c r="AB28" s="135">
        <v>106700</v>
      </c>
      <c r="AC28" s="136">
        <f t="shared" si="9"/>
        <v>881.81818181818187</v>
      </c>
      <c r="AD28" s="135">
        <v>53190</v>
      </c>
      <c r="AE28" s="137">
        <f t="shared" si="10"/>
        <v>439.58677685950414</v>
      </c>
      <c r="AF28" s="148">
        <f t="shared" si="22"/>
        <v>159890</v>
      </c>
      <c r="AG28" s="139">
        <f t="shared" si="11"/>
        <v>1321.404958677686</v>
      </c>
      <c r="AH28" s="154">
        <f t="shared" si="12"/>
        <v>46</v>
      </c>
      <c r="AI28" s="150">
        <f t="shared" si="13"/>
        <v>770440</v>
      </c>
      <c r="AJ28" s="150">
        <f t="shared" si="14"/>
        <v>169550</v>
      </c>
      <c r="AK28" s="149">
        <f t="shared" si="23"/>
        <v>939990</v>
      </c>
      <c r="AL28" s="142">
        <f t="shared" si="15"/>
        <v>60310</v>
      </c>
      <c r="AM28" s="142"/>
      <c r="AN28" s="150">
        <v>46</v>
      </c>
      <c r="AO28" s="150">
        <v>663740</v>
      </c>
      <c r="AP28" s="150">
        <v>116360</v>
      </c>
      <c r="AQ28" s="151">
        <v>56100</v>
      </c>
      <c r="AR28" s="151">
        <v>4210</v>
      </c>
      <c r="AS28" s="151"/>
      <c r="AT28" s="151"/>
      <c r="AU28" s="152">
        <f>SUM(AO28:AS28)</f>
        <v>840410</v>
      </c>
      <c r="AV28" s="119">
        <v>24</v>
      </c>
      <c r="AW28" s="120">
        <f t="shared" si="25"/>
        <v>840410</v>
      </c>
      <c r="AX28" s="177">
        <f t="shared" si="16"/>
        <v>1000300</v>
      </c>
    </row>
    <row r="29" spans="1:50" ht="15.75" customHeight="1">
      <c r="A29" s="119"/>
      <c r="B29" s="186">
        <f t="shared" si="17"/>
        <v>46016</v>
      </c>
      <c r="C29" s="176" t="s">
        <v>78</v>
      </c>
      <c r="D29" s="132">
        <v>45</v>
      </c>
      <c r="E29" s="133"/>
      <c r="F29" s="134">
        <v>0</v>
      </c>
      <c r="G29" s="135">
        <v>0</v>
      </c>
      <c r="H29" s="136" t="e">
        <f t="shared" si="0"/>
        <v>#DIV/0!</v>
      </c>
      <c r="I29" s="135">
        <v>0</v>
      </c>
      <c r="J29" s="136" t="e">
        <f t="shared" si="1"/>
        <v>#DIV/0!</v>
      </c>
      <c r="K29" s="138">
        <f t="shared" si="26"/>
        <v>0</v>
      </c>
      <c r="L29" s="139" t="e">
        <f t="shared" si="2"/>
        <v>#DIV/0!</v>
      </c>
      <c r="M29" s="140"/>
      <c r="N29" s="141">
        <f>AN29-F29</f>
        <v>36</v>
      </c>
      <c r="O29" s="142">
        <f t="shared" si="28"/>
        <v>605880</v>
      </c>
      <c r="P29" s="136">
        <f t="shared" si="3"/>
        <v>15300</v>
      </c>
      <c r="Q29" s="142">
        <f t="shared" si="19"/>
        <v>96900</v>
      </c>
      <c r="R29" s="137">
        <f t="shared" si="4"/>
        <v>2446.9444444444443</v>
      </c>
      <c r="S29" s="143">
        <f t="shared" si="20"/>
        <v>702780</v>
      </c>
      <c r="T29" s="139">
        <f t="shared" si="5"/>
        <v>19521.666666666668</v>
      </c>
      <c r="U29" s="144">
        <f t="shared" si="27"/>
        <v>36</v>
      </c>
      <c r="V29" s="142">
        <f t="shared" si="27"/>
        <v>605880</v>
      </c>
      <c r="W29" s="142">
        <f t="shared" si="7"/>
        <v>96900</v>
      </c>
      <c r="X29" s="145">
        <f t="shared" si="21"/>
        <v>702780</v>
      </c>
      <c r="Y29" s="142">
        <f t="shared" si="8"/>
        <v>19521.666666666668</v>
      </c>
      <c r="Z29" s="146"/>
      <c r="AA29" s="183">
        <v>49</v>
      </c>
      <c r="AB29" s="135">
        <v>29100</v>
      </c>
      <c r="AC29" s="136">
        <f t="shared" si="9"/>
        <v>593.87755102040819</v>
      </c>
      <c r="AD29" s="135">
        <v>10800</v>
      </c>
      <c r="AE29" s="137">
        <f t="shared" si="10"/>
        <v>220.40816326530611</v>
      </c>
      <c r="AF29" s="148">
        <f t="shared" si="22"/>
        <v>39900</v>
      </c>
      <c r="AG29" s="139">
        <f t="shared" si="11"/>
        <v>814.28571428571433</v>
      </c>
      <c r="AH29" s="154">
        <f t="shared" si="12"/>
        <v>36</v>
      </c>
      <c r="AI29" s="150">
        <f t="shared" si="13"/>
        <v>634980</v>
      </c>
      <c r="AJ29" s="150">
        <f t="shared" si="14"/>
        <v>107700</v>
      </c>
      <c r="AK29" s="149">
        <f t="shared" si="23"/>
        <v>742680</v>
      </c>
      <c r="AL29" s="142">
        <f t="shared" si="15"/>
        <v>57000</v>
      </c>
      <c r="AM29" s="142"/>
      <c r="AN29" s="150">
        <v>36</v>
      </c>
      <c r="AO29" s="150">
        <v>605880</v>
      </c>
      <c r="AP29" s="150">
        <v>96900</v>
      </c>
      <c r="AQ29" s="151">
        <v>55000</v>
      </c>
      <c r="AR29" s="151">
        <v>2000</v>
      </c>
      <c r="AS29" s="151"/>
      <c r="AT29" s="151"/>
      <c r="AU29" s="152">
        <f t="shared" si="24"/>
        <v>759780</v>
      </c>
      <c r="AV29" s="119">
        <v>25</v>
      </c>
      <c r="AW29" s="120">
        <f t="shared" si="25"/>
        <v>759780</v>
      </c>
      <c r="AX29" s="177">
        <f t="shared" si="16"/>
        <v>799680</v>
      </c>
    </row>
    <row r="30" spans="1:50" ht="15.75" customHeight="1">
      <c r="A30" s="119"/>
      <c r="B30" s="186">
        <f t="shared" si="17"/>
        <v>46017</v>
      </c>
      <c r="C30" s="176" t="s">
        <v>79</v>
      </c>
      <c r="D30" s="132"/>
      <c r="E30" s="133"/>
      <c r="F30" s="134"/>
      <c r="G30" s="135"/>
      <c r="H30" s="136" t="e">
        <f t="shared" si="0"/>
        <v>#DIV/0!</v>
      </c>
      <c r="I30" s="135"/>
      <c r="J30" s="136" t="e">
        <f>ROUNDDOWN(I30/1.1,0)/F30</f>
        <v>#DIV/0!</v>
      </c>
      <c r="K30" s="138">
        <f t="shared" si="26"/>
        <v>0</v>
      </c>
      <c r="L30" s="139" t="str">
        <f t="shared" si="2"/>
        <v/>
      </c>
      <c r="M30" s="140"/>
      <c r="N30" s="141">
        <f t="shared" si="28"/>
        <v>0</v>
      </c>
      <c r="O30" s="142">
        <f t="shared" si="28"/>
        <v>0</v>
      </c>
      <c r="P30" s="136" t="e">
        <f t="shared" si="3"/>
        <v>#DIV/0!</v>
      </c>
      <c r="Q30" s="142">
        <f t="shared" si="19"/>
        <v>0</v>
      </c>
      <c r="R30" s="136" t="e">
        <f t="shared" si="4"/>
        <v>#DIV/0!</v>
      </c>
      <c r="S30" s="143">
        <f t="shared" si="20"/>
        <v>0</v>
      </c>
      <c r="T30" s="139" t="e">
        <f t="shared" si="5"/>
        <v>#DIV/0!</v>
      </c>
      <c r="U30" s="144">
        <f t="shared" si="27"/>
        <v>0</v>
      </c>
      <c r="V30" s="142">
        <f t="shared" si="27"/>
        <v>0</v>
      </c>
      <c r="W30" s="142">
        <f t="shared" si="7"/>
        <v>0</v>
      </c>
      <c r="X30" s="145">
        <f t="shared" si="21"/>
        <v>0</v>
      </c>
      <c r="Y30" s="142" t="e">
        <f t="shared" si="8"/>
        <v>#DIV/0!</v>
      </c>
      <c r="Z30" s="146"/>
      <c r="AA30" s="183">
        <v>50</v>
      </c>
      <c r="AB30" s="135">
        <v>62700</v>
      </c>
      <c r="AC30" s="136">
        <f t="shared" si="9"/>
        <v>1254</v>
      </c>
      <c r="AD30" s="135">
        <v>25930</v>
      </c>
      <c r="AE30" s="137">
        <f t="shared" si="10"/>
        <v>518.6</v>
      </c>
      <c r="AF30" s="148">
        <f t="shared" si="22"/>
        <v>88630</v>
      </c>
      <c r="AG30" s="139">
        <f t="shared" si="11"/>
        <v>1772.6</v>
      </c>
      <c r="AH30" s="154">
        <f t="shared" si="12"/>
        <v>0</v>
      </c>
      <c r="AI30" s="150">
        <f t="shared" si="13"/>
        <v>62700</v>
      </c>
      <c r="AJ30" s="150">
        <f t="shared" si="14"/>
        <v>25930</v>
      </c>
      <c r="AK30" s="149">
        <f t="shared" si="23"/>
        <v>88630</v>
      </c>
      <c r="AL30" s="142">
        <f t="shared" si="15"/>
        <v>3000</v>
      </c>
      <c r="AM30" s="142"/>
      <c r="AN30" s="150"/>
      <c r="AO30" s="150"/>
      <c r="AP30" s="150"/>
      <c r="AQ30" s="151"/>
      <c r="AR30" s="151">
        <v>3000</v>
      </c>
      <c r="AS30" s="151"/>
      <c r="AT30" s="151"/>
      <c r="AU30" s="152">
        <f>SUM(AO30:AS30)</f>
        <v>3000</v>
      </c>
      <c r="AV30" s="119">
        <v>26</v>
      </c>
      <c r="AW30" s="120">
        <f t="shared" si="25"/>
        <v>3000</v>
      </c>
      <c r="AX30" s="177">
        <f t="shared" si="16"/>
        <v>91630</v>
      </c>
    </row>
    <row r="31" spans="1:50" ht="15.75" customHeight="1">
      <c r="A31" s="119"/>
      <c r="B31" s="184">
        <f t="shared" si="17"/>
        <v>46018</v>
      </c>
      <c r="C31" s="176"/>
      <c r="D31" s="132">
        <v>90</v>
      </c>
      <c r="E31" s="133"/>
      <c r="F31" s="134">
        <v>34</v>
      </c>
      <c r="G31" s="135">
        <v>134530</v>
      </c>
      <c r="H31" s="136">
        <f t="shared" si="0"/>
        <v>3597.0588235294117</v>
      </c>
      <c r="I31" s="135">
        <v>38350</v>
      </c>
      <c r="J31" s="136">
        <f>ROUNDDOWN(I31/1.1,0)/F31</f>
        <v>1025.3823529411766</v>
      </c>
      <c r="K31" s="138">
        <f t="shared" si="26"/>
        <v>172880</v>
      </c>
      <c r="L31" s="139">
        <f t="shared" si="2"/>
        <v>5084.7058823529414</v>
      </c>
      <c r="M31" s="140"/>
      <c r="N31" s="141">
        <f t="shared" si="28"/>
        <v>39</v>
      </c>
      <c r="O31" s="142">
        <f t="shared" si="28"/>
        <v>348150</v>
      </c>
      <c r="P31" s="136">
        <f t="shared" si="3"/>
        <v>8115.3846153846152</v>
      </c>
      <c r="Q31" s="142">
        <f t="shared" si="19"/>
        <v>78380</v>
      </c>
      <c r="R31" s="136">
        <f t="shared" si="4"/>
        <v>1827.0256410256411</v>
      </c>
      <c r="S31" s="143">
        <f t="shared" si="20"/>
        <v>426530</v>
      </c>
      <c r="T31" s="139">
        <f t="shared" si="5"/>
        <v>10936.666666666666</v>
      </c>
      <c r="U31" s="144">
        <f t="shared" si="27"/>
        <v>73</v>
      </c>
      <c r="V31" s="142">
        <f t="shared" si="27"/>
        <v>482680</v>
      </c>
      <c r="W31" s="142">
        <f t="shared" si="7"/>
        <v>116730</v>
      </c>
      <c r="X31" s="145">
        <f t="shared" si="21"/>
        <v>599410</v>
      </c>
      <c r="Y31" s="142">
        <f t="shared" si="8"/>
        <v>8211.0958904109593</v>
      </c>
      <c r="Z31" s="146"/>
      <c r="AA31" s="183">
        <v>172</v>
      </c>
      <c r="AB31" s="135">
        <v>136450</v>
      </c>
      <c r="AC31" s="136">
        <f t="shared" si="9"/>
        <v>793.31395348837214</v>
      </c>
      <c r="AD31" s="135">
        <v>58020</v>
      </c>
      <c r="AE31" s="137">
        <f t="shared" si="10"/>
        <v>337.32558139534882</v>
      </c>
      <c r="AF31" s="148">
        <f t="shared" si="22"/>
        <v>194470</v>
      </c>
      <c r="AG31" s="139">
        <f t="shared" si="11"/>
        <v>1130.6395348837209</v>
      </c>
      <c r="AH31" s="154">
        <f t="shared" si="12"/>
        <v>73</v>
      </c>
      <c r="AI31" s="150">
        <f t="shared" si="13"/>
        <v>619130</v>
      </c>
      <c r="AJ31" s="150">
        <f t="shared" si="14"/>
        <v>174750</v>
      </c>
      <c r="AK31" s="149">
        <f t="shared" si="23"/>
        <v>793880</v>
      </c>
      <c r="AL31" s="142">
        <f t="shared" si="15"/>
        <v>59120</v>
      </c>
      <c r="AM31" s="142"/>
      <c r="AN31" s="150">
        <v>73</v>
      </c>
      <c r="AO31" s="150">
        <v>482680</v>
      </c>
      <c r="AP31" s="150">
        <v>116730</v>
      </c>
      <c r="AQ31" s="151">
        <v>55000</v>
      </c>
      <c r="AR31" s="151">
        <v>4120</v>
      </c>
      <c r="AS31" s="151"/>
      <c r="AT31" s="151"/>
      <c r="AU31" s="152">
        <f t="shared" si="24"/>
        <v>658530</v>
      </c>
      <c r="AV31" s="119">
        <v>27</v>
      </c>
      <c r="AW31" s="120">
        <f t="shared" si="25"/>
        <v>658530</v>
      </c>
      <c r="AX31" s="177">
        <f t="shared" si="16"/>
        <v>853000</v>
      </c>
    </row>
    <row r="32" spans="1:50" ht="15.75" customHeight="1">
      <c r="A32" s="119"/>
      <c r="B32" s="198">
        <f t="shared" si="17"/>
        <v>46019</v>
      </c>
      <c r="C32" s="176"/>
      <c r="D32" s="132">
        <v>98</v>
      </c>
      <c r="E32" s="133"/>
      <c r="F32" s="134">
        <v>30</v>
      </c>
      <c r="G32" s="135">
        <v>116270</v>
      </c>
      <c r="H32" s="136">
        <f t="shared" si="0"/>
        <v>3523.3333333333335</v>
      </c>
      <c r="I32" s="135">
        <v>15820</v>
      </c>
      <c r="J32" s="136">
        <f>ROUNDDOWN(I32/1.1,0)/F32</f>
        <v>479.36666666666667</v>
      </c>
      <c r="K32" s="138">
        <f t="shared" si="26"/>
        <v>132090</v>
      </c>
      <c r="L32" s="139">
        <f t="shared" si="2"/>
        <v>4403</v>
      </c>
      <c r="M32" s="140"/>
      <c r="N32" s="141">
        <f t="shared" si="28"/>
        <v>41</v>
      </c>
      <c r="O32" s="142">
        <f t="shared" si="28"/>
        <v>418330</v>
      </c>
      <c r="P32" s="136">
        <f>ROUNDDOWN(O32/1.1,0)/N32</f>
        <v>9275.6097560975613</v>
      </c>
      <c r="Q32" s="142">
        <f>AP32-I32</f>
        <v>64370</v>
      </c>
      <c r="R32" s="136">
        <f>ROUNDDOWN(Q32/1.1,0)/N32</f>
        <v>1427.2682926829268</v>
      </c>
      <c r="S32" s="143">
        <f>O32+Q32</f>
        <v>482700</v>
      </c>
      <c r="T32" s="139">
        <f>IF(N32="","",S32/N32)</f>
        <v>11773.170731707318</v>
      </c>
      <c r="U32" s="144">
        <f t="shared" si="27"/>
        <v>71</v>
      </c>
      <c r="V32" s="142">
        <f>G32+O32</f>
        <v>534600</v>
      </c>
      <c r="W32" s="142">
        <f>I32+Q32</f>
        <v>80190</v>
      </c>
      <c r="X32" s="145">
        <f>K32+S32</f>
        <v>614790</v>
      </c>
      <c r="Y32" s="142">
        <f>IF(U32="","",X32/U32)</f>
        <v>8659.0140845070418</v>
      </c>
      <c r="Z32" s="146"/>
      <c r="AA32" s="183">
        <v>164</v>
      </c>
      <c r="AB32" s="135">
        <v>194500</v>
      </c>
      <c r="AC32" s="136">
        <f>AB32/AA32</f>
        <v>1185.9756097560976</v>
      </c>
      <c r="AD32" s="135">
        <v>72840</v>
      </c>
      <c r="AE32" s="137">
        <f>AD32/AA32</f>
        <v>444.14634146341461</v>
      </c>
      <c r="AF32" s="148">
        <f>AB32+AD32</f>
        <v>267340</v>
      </c>
      <c r="AG32" s="139">
        <f>IF(AA32="","",AF32/AA32)</f>
        <v>1630.1219512195121</v>
      </c>
      <c r="AH32" s="154">
        <f>SUM(F32,N32)</f>
        <v>71</v>
      </c>
      <c r="AI32" s="150">
        <f>V32+AB32</f>
        <v>729100</v>
      </c>
      <c r="AJ32" s="150">
        <f>W32+AD32</f>
        <v>153030</v>
      </c>
      <c r="AK32" s="149">
        <f>X32+AF32</f>
        <v>882130</v>
      </c>
      <c r="AL32" s="142">
        <f>AQ32+AR32+AS32</f>
        <v>47360</v>
      </c>
      <c r="AM32" s="142"/>
      <c r="AN32" s="150">
        <v>71</v>
      </c>
      <c r="AO32" s="150">
        <v>534600</v>
      </c>
      <c r="AP32" s="150">
        <v>80190</v>
      </c>
      <c r="AQ32" s="151">
        <v>41800</v>
      </c>
      <c r="AR32" s="151">
        <v>5560</v>
      </c>
      <c r="AS32" s="151"/>
      <c r="AT32" s="151"/>
      <c r="AU32" s="152">
        <f>SUM(AO32:AS32)</f>
        <v>662150</v>
      </c>
      <c r="AV32" s="119">
        <v>26</v>
      </c>
      <c r="AW32" s="120">
        <f>AT32+AU32</f>
        <v>662150</v>
      </c>
      <c r="AX32" s="177">
        <f t="shared" si="16"/>
        <v>929490</v>
      </c>
    </row>
    <row r="33" spans="1:50" ht="15.75" customHeight="1">
      <c r="A33" s="119"/>
      <c r="B33" s="186">
        <f t="shared" si="17"/>
        <v>46020</v>
      </c>
      <c r="C33" s="176" t="s">
        <v>56</v>
      </c>
      <c r="D33" s="132">
        <v>91</v>
      </c>
      <c r="E33" s="133"/>
      <c r="F33" s="134"/>
      <c r="G33" s="135"/>
      <c r="H33" s="136" t="e">
        <f t="shared" si="0"/>
        <v>#DIV/0!</v>
      </c>
      <c r="I33" s="135"/>
      <c r="J33" s="136" t="e">
        <f>ROUNDDOWN(I33/1.1,0)/F33</f>
        <v>#DIV/0!</v>
      </c>
      <c r="K33" s="138">
        <f t="shared" si="26"/>
        <v>0</v>
      </c>
      <c r="L33" s="139" t="str">
        <f t="shared" si="2"/>
        <v/>
      </c>
      <c r="M33" s="140"/>
      <c r="N33" s="141">
        <f t="shared" si="28"/>
        <v>40</v>
      </c>
      <c r="O33" s="142">
        <f t="shared" si="28"/>
        <v>349580</v>
      </c>
      <c r="P33" s="136">
        <f>ROUNDDOWN(O33/1.1,0)/N33</f>
        <v>7945</v>
      </c>
      <c r="Q33" s="142">
        <f>AP33-I33</f>
        <v>51560</v>
      </c>
      <c r="R33" s="136">
        <f>ROUNDDOWN(Q33/1.1,0)/N33</f>
        <v>1171.8</v>
      </c>
      <c r="S33" s="143">
        <f>O33+Q33</f>
        <v>401140</v>
      </c>
      <c r="T33" s="139">
        <f>IF(N33="","",S33/N33)</f>
        <v>10028.5</v>
      </c>
      <c r="U33" s="144">
        <f t="shared" si="27"/>
        <v>40</v>
      </c>
      <c r="V33" s="142">
        <f>G33+O33</f>
        <v>349580</v>
      </c>
      <c r="W33" s="142">
        <f>I33+Q33</f>
        <v>51560</v>
      </c>
      <c r="X33" s="145">
        <f>K33+S33</f>
        <v>401140</v>
      </c>
      <c r="Y33" s="142">
        <f>IF(U33="","",X33/U33)</f>
        <v>10028.5</v>
      </c>
      <c r="Z33" s="146"/>
      <c r="AA33" s="183">
        <v>167</v>
      </c>
      <c r="AB33" s="135">
        <v>123850</v>
      </c>
      <c r="AC33" s="136">
        <f>AB33/AA33</f>
        <v>741.61676646706587</v>
      </c>
      <c r="AD33" s="135">
        <v>63590</v>
      </c>
      <c r="AE33" s="137">
        <f>AD33/AA33</f>
        <v>380.77844311377248</v>
      </c>
      <c r="AF33" s="148">
        <f>AB33+AD33</f>
        <v>187440</v>
      </c>
      <c r="AG33" s="139">
        <f>IF(AA33="","",AF33/AA33)</f>
        <v>1122.3952095808384</v>
      </c>
      <c r="AH33" s="154">
        <f>SUM(F33,N33)</f>
        <v>40</v>
      </c>
      <c r="AI33" s="150">
        <f>V33+AB33</f>
        <v>473430</v>
      </c>
      <c r="AJ33" s="150">
        <f>W33+AD33</f>
        <v>115150</v>
      </c>
      <c r="AK33" s="149">
        <f>X33+AF33</f>
        <v>588580</v>
      </c>
      <c r="AL33" s="142">
        <f>AQ33+AR33+AS33</f>
        <v>51100</v>
      </c>
      <c r="AM33" s="142"/>
      <c r="AN33" s="150">
        <v>40</v>
      </c>
      <c r="AO33" s="150">
        <v>349580</v>
      </c>
      <c r="AP33" s="150">
        <v>51560</v>
      </c>
      <c r="AQ33" s="151">
        <v>45100</v>
      </c>
      <c r="AR33" s="151">
        <v>6000</v>
      </c>
      <c r="AS33" s="151"/>
      <c r="AT33" s="151"/>
      <c r="AU33" s="152">
        <f>SUM(AO33:AS33)</f>
        <v>452240</v>
      </c>
      <c r="AV33" s="119">
        <v>27</v>
      </c>
      <c r="AW33" s="120">
        <f>AT33+AU33</f>
        <v>452240</v>
      </c>
      <c r="AX33" s="177">
        <f t="shared" si="16"/>
        <v>639680</v>
      </c>
    </row>
    <row r="34" spans="1:50" ht="15.75" customHeight="1">
      <c r="A34" s="119"/>
      <c r="B34" s="153">
        <f>B33+1</f>
        <v>46021</v>
      </c>
      <c r="C34" s="176" t="s">
        <v>56</v>
      </c>
      <c r="D34" s="132">
        <v>71</v>
      </c>
      <c r="E34" s="133"/>
      <c r="F34" s="134"/>
      <c r="G34" s="135"/>
      <c r="H34" s="136" t="e">
        <f t="shared" si="0"/>
        <v>#DIV/0!</v>
      </c>
      <c r="I34" s="135"/>
      <c r="J34" s="136" t="e">
        <f>ROUNDDOWN(I34/1.1,0)/F34</f>
        <v>#DIV/0!</v>
      </c>
      <c r="K34" s="138">
        <f t="shared" si="26"/>
        <v>0</v>
      </c>
      <c r="L34" s="139" t="str">
        <f t="shared" si="2"/>
        <v/>
      </c>
      <c r="M34" s="140"/>
      <c r="N34" s="141">
        <f t="shared" si="28"/>
        <v>38</v>
      </c>
      <c r="O34" s="142">
        <f t="shared" si="28"/>
        <v>368500</v>
      </c>
      <c r="P34" s="136">
        <f>ROUNDDOWN(O34/1.1,0)/N34</f>
        <v>8815.78947368421</v>
      </c>
      <c r="Q34" s="142">
        <f>AP34-I34</f>
        <v>69390</v>
      </c>
      <c r="R34" s="136">
        <f>ROUNDDOWN(Q34/1.1,0)/N34</f>
        <v>1660.0263157894738</v>
      </c>
      <c r="S34" s="143">
        <f>O34+Q34</f>
        <v>437890</v>
      </c>
      <c r="T34" s="139">
        <f>IF(N34="","",S34/N34)</f>
        <v>11523.421052631578</v>
      </c>
      <c r="U34" s="144">
        <f t="shared" si="27"/>
        <v>38</v>
      </c>
      <c r="V34" s="142">
        <f>G34+O34</f>
        <v>368500</v>
      </c>
      <c r="W34" s="142">
        <f>I34+Q34</f>
        <v>69390</v>
      </c>
      <c r="X34" s="145">
        <f>K34+S34</f>
        <v>437890</v>
      </c>
      <c r="Y34" s="142">
        <f>IF(U34="","",X34/U34)</f>
        <v>11523.421052631578</v>
      </c>
      <c r="Z34" s="146"/>
      <c r="AA34" s="147">
        <v>149</v>
      </c>
      <c r="AB34" s="135">
        <v>114050</v>
      </c>
      <c r="AC34" s="136">
        <f>AB34/AA34</f>
        <v>765.43624161073831</v>
      </c>
      <c r="AD34" s="135">
        <v>55050</v>
      </c>
      <c r="AE34" s="137">
        <f>AD34/AA34</f>
        <v>369.46308724832215</v>
      </c>
      <c r="AF34" s="148">
        <f>AB34+AD34</f>
        <v>169100</v>
      </c>
      <c r="AG34" s="139">
        <f>IF(AA34="","",AF34/AA34)</f>
        <v>1134.8993288590605</v>
      </c>
      <c r="AH34" s="154">
        <f>SUM(F34,N34)</f>
        <v>38</v>
      </c>
      <c r="AI34" s="150">
        <f>V34+AB34</f>
        <v>482550</v>
      </c>
      <c r="AJ34" s="150">
        <f>W34+AD34</f>
        <v>124440</v>
      </c>
      <c r="AK34" s="149">
        <f>X34+AF34</f>
        <v>606990</v>
      </c>
      <c r="AL34" s="142">
        <f>AQ34+AR34+AS34</f>
        <v>229410</v>
      </c>
      <c r="AM34" s="142"/>
      <c r="AN34" s="150">
        <v>38</v>
      </c>
      <c r="AO34" s="150">
        <v>368500</v>
      </c>
      <c r="AP34" s="150">
        <v>69390</v>
      </c>
      <c r="AQ34" s="151">
        <v>47850</v>
      </c>
      <c r="AR34" s="151">
        <v>181560</v>
      </c>
      <c r="AS34" s="151"/>
      <c r="AT34" s="151"/>
      <c r="AU34" s="152">
        <f>SUM(AO34:AS34)</f>
        <v>667300</v>
      </c>
      <c r="AV34" s="119">
        <v>27</v>
      </c>
      <c r="AW34" s="120">
        <f>AT34+AU34</f>
        <v>667300</v>
      </c>
      <c r="AX34" s="177">
        <f t="shared" si="16"/>
        <v>836400</v>
      </c>
    </row>
    <row r="35" spans="1:50" ht="15.75" customHeight="1" thickBot="1">
      <c r="A35" s="119"/>
      <c r="B35" s="153">
        <f>B34+1</f>
        <v>46022</v>
      </c>
      <c r="C35" s="176" t="s">
        <v>80</v>
      </c>
      <c r="D35" s="188"/>
      <c r="E35" s="189"/>
      <c r="F35" s="134"/>
      <c r="G35" s="190"/>
      <c r="H35" s="136"/>
      <c r="I35" s="135"/>
      <c r="J35" s="191"/>
      <c r="K35" s="138"/>
      <c r="L35" s="139"/>
      <c r="M35" s="192"/>
      <c r="N35" s="141"/>
      <c r="O35" s="193"/>
      <c r="P35" s="136"/>
      <c r="Q35" s="142"/>
      <c r="R35" s="136"/>
      <c r="S35" s="143"/>
      <c r="T35" s="139"/>
      <c r="U35" s="144"/>
      <c r="V35" s="142"/>
      <c r="W35" s="142"/>
      <c r="X35" s="145"/>
      <c r="Y35" s="142"/>
      <c r="Z35" s="146"/>
      <c r="AA35" s="147"/>
      <c r="AB35" s="135"/>
      <c r="AC35" s="136"/>
      <c r="AD35" s="135"/>
      <c r="AE35" s="137"/>
      <c r="AF35" s="148"/>
      <c r="AG35" s="139"/>
      <c r="AH35" s="154"/>
      <c r="AI35" s="150"/>
      <c r="AJ35" s="150"/>
      <c r="AK35" s="149"/>
      <c r="AL35" s="142"/>
      <c r="AM35" s="142"/>
      <c r="AN35" s="150"/>
      <c r="AO35" s="150"/>
      <c r="AP35" s="150"/>
      <c r="AQ35" s="151"/>
      <c r="AR35" s="151"/>
      <c r="AS35" s="151"/>
      <c r="AT35" s="151"/>
      <c r="AU35" s="152"/>
      <c r="AV35" s="119"/>
      <c r="AW35" s="120"/>
      <c r="AX35" s="177"/>
    </row>
    <row r="36" spans="1:50" ht="15.75" customHeight="1" thickTop="1" thickBot="1">
      <c r="A36" s="34"/>
      <c r="B36" s="35" t="s">
        <v>25</v>
      </c>
      <c r="C36" s="176"/>
      <c r="D36" s="159"/>
      <c r="E36" s="37">
        <f>SUM(E5:E34)</f>
        <v>0</v>
      </c>
      <c r="F36" s="38">
        <f>SUM(F5:F34)</f>
        <v>225</v>
      </c>
      <c r="G36" s="39">
        <f>SUM(G5:G34)</f>
        <v>958760</v>
      </c>
      <c r="H36" s="40">
        <f>G36/F36</f>
        <v>4261.1555555555551</v>
      </c>
      <c r="I36" s="36">
        <f>SUM(I5:I34)</f>
        <v>168750</v>
      </c>
      <c r="J36" s="41">
        <f>I36/F36</f>
        <v>750</v>
      </c>
      <c r="K36" s="42">
        <f>SUM(K5:K34)</f>
        <v>1127510</v>
      </c>
      <c r="L36" s="43">
        <f>K36/F36</f>
        <v>5011.1555555555551</v>
      </c>
      <c r="M36" s="44">
        <f>SUM(M5:M34)</f>
        <v>0</v>
      </c>
      <c r="N36" s="38">
        <f>SUM(N5:N35)</f>
        <v>952</v>
      </c>
      <c r="O36" s="39">
        <f>SUM(O5:O35)</f>
        <v>11034050</v>
      </c>
      <c r="P36" s="40">
        <f>O36/N36</f>
        <v>11590.388655462184</v>
      </c>
      <c r="Q36" s="45">
        <f>SUM(Q5:Q35)</f>
        <v>1809350</v>
      </c>
      <c r="R36" s="41">
        <f>Q36/N36</f>
        <v>1900.577731092437</v>
      </c>
      <c r="S36" s="46">
        <f>SUM(S5:S34)</f>
        <v>12843400</v>
      </c>
      <c r="T36" s="47">
        <f>S36/N36</f>
        <v>13490.966386554623</v>
      </c>
      <c r="U36" s="38">
        <f>SUM(U5:U34)</f>
        <v>1177</v>
      </c>
      <c r="V36" s="48">
        <f>SUM(V5:V34)</f>
        <v>11992810</v>
      </c>
      <c r="W36" s="45">
        <f>SUM(W5:W34)</f>
        <v>1978100</v>
      </c>
      <c r="X36" s="49">
        <f>SUM(X5:X34)</f>
        <v>13970910</v>
      </c>
      <c r="Y36" s="50">
        <f>X36/U36</f>
        <v>11869.932030586237</v>
      </c>
      <c r="Z36" s="37">
        <f>SUM(Z5:Z34)</f>
        <v>0</v>
      </c>
      <c r="AA36" s="38">
        <f>SUM(AA5:AA35)</f>
        <v>2871</v>
      </c>
      <c r="AB36" s="51">
        <f>SUM(AB5:AB35)</f>
        <v>2152600</v>
      </c>
      <c r="AC36" s="136">
        <f>AB36/AA36</f>
        <v>749.77359804946013</v>
      </c>
      <c r="AD36" s="36">
        <f>SUM(AD5:AD35)</f>
        <v>991460</v>
      </c>
      <c r="AE36" s="137">
        <f>AD36/AA36</f>
        <v>345.33611981887844</v>
      </c>
      <c r="AF36" s="52">
        <f>SUM(AF5:AF34)</f>
        <v>3144060</v>
      </c>
      <c r="AG36" s="53">
        <f>AF36/AA36</f>
        <v>1095.1097178683385</v>
      </c>
      <c r="AH36" s="38">
        <f t="shared" ref="AH36:AU36" si="29">SUM(AH5:AH34)</f>
        <v>1177</v>
      </c>
      <c r="AI36" s="48">
        <f t="shared" si="29"/>
        <v>14145410</v>
      </c>
      <c r="AJ36" s="45">
        <f t="shared" si="29"/>
        <v>2969560</v>
      </c>
      <c r="AK36" s="46">
        <f t="shared" si="29"/>
        <v>17114970</v>
      </c>
      <c r="AL36" s="36">
        <f t="shared" si="29"/>
        <v>1623520</v>
      </c>
      <c r="AM36" s="173">
        <f t="shared" si="29"/>
        <v>0</v>
      </c>
      <c r="AN36" s="54">
        <f>SUM(AN5:AN35)</f>
        <v>1177</v>
      </c>
      <c r="AO36" s="54">
        <f>SUM(AO5:AO35)</f>
        <v>11992810</v>
      </c>
      <c r="AP36" s="54">
        <f>SUM(AP5:AP35)</f>
        <v>1978100</v>
      </c>
      <c r="AQ36" s="54">
        <f>SUM(AQ5:AQ35)</f>
        <v>1251800</v>
      </c>
      <c r="AR36" s="54">
        <f>SUM(AR5:AR35)</f>
        <v>371720</v>
      </c>
      <c r="AS36" s="54">
        <f t="shared" si="29"/>
        <v>0</v>
      </c>
      <c r="AT36" s="54">
        <f>SUM(AT5:AT35)</f>
        <v>91620</v>
      </c>
      <c r="AU36" s="54">
        <f t="shared" si="29"/>
        <v>15594430</v>
      </c>
      <c r="AV36" s="34"/>
      <c r="AW36" s="55">
        <f>SUM(AW5:AW34)</f>
        <v>15686050</v>
      </c>
      <c r="AX36" s="55">
        <f>SUM(AX5:AX34)</f>
        <v>18830110</v>
      </c>
    </row>
    <row r="37" spans="1:50" ht="15.75" customHeight="1" thickTop="1">
      <c r="A37" s="34"/>
      <c r="B37" s="56"/>
      <c r="C37" s="160"/>
      <c r="D37" s="88"/>
      <c r="E37" s="34"/>
      <c r="F37" s="57" t="s">
        <v>34</v>
      </c>
      <c r="G37" s="58">
        <f>G36/1.1</f>
        <v>871599.99999999988</v>
      </c>
      <c r="H37" s="59">
        <f>G37/F36</f>
        <v>3873.7777777777774</v>
      </c>
      <c r="I37" s="32">
        <f>I36/1.1</f>
        <v>153409.09090909088</v>
      </c>
      <c r="J37" s="59">
        <f>I37/F36</f>
        <v>681.81818181818176</v>
      </c>
      <c r="K37" s="54">
        <f>K36/1.1</f>
        <v>1025009.0909090908</v>
      </c>
      <c r="L37" s="60">
        <f>H37+J37</f>
        <v>4555.5959595959594</v>
      </c>
      <c r="M37" s="61"/>
      <c r="N37" s="57" t="s">
        <v>34</v>
      </c>
      <c r="O37" s="58">
        <f>O36/1.1</f>
        <v>10030954.545454545</v>
      </c>
      <c r="P37" s="59">
        <f>O37/N36</f>
        <v>10536.716959511077</v>
      </c>
      <c r="Q37" s="58">
        <f>Q36/1.1</f>
        <v>1644863.6363636362</v>
      </c>
      <c r="R37" s="59">
        <f>Q37/N36</f>
        <v>1727.7979373567607</v>
      </c>
      <c r="S37" s="59">
        <f>S36/1.1</f>
        <v>11675818.181818182</v>
      </c>
      <c r="T37" s="62">
        <f>S37/N36</f>
        <v>12264.514896867839</v>
      </c>
      <c r="U37" s="57" t="s">
        <v>34</v>
      </c>
      <c r="V37" s="58">
        <f>V36/1.1</f>
        <v>10902554.545454545</v>
      </c>
      <c r="W37" s="58">
        <f>W36/1.1</f>
        <v>1798272.7272727271</v>
      </c>
      <c r="X37" s="63">
        <f>X36/1.1</f>
        <v>12700827.272727272</v>
      </c>
      <c r="Y37" s="50">
        <f>X37/U36</f>
        <v>10790.847300532942</v>
      </c>
      <c r="Z37" s="61"/>
      <c r="AA37" s="57" t="s">
        <v>34</v>
      </c>
      <c r="AB37" s="58">
        <f>AB36/1.1</f>
        <v>1956909.0909090908</v>
      </c>
      <c r="AC37" s="32">
        <f>AB37/AA36</f>
        <v>681.61236186314557</v>
      </c>
      <c r="AD37" s="32">
        <f>AD36/1.1</f>
        <v>901327.27272727271</v>
      </c>
      <c r="AE37" s="32">
        <f>AD37/AA36</f>
        <v>313.9419271080713</v>
      </c>
      <c r="AF37" s="59">
        <f>AF36/1.1</f>
        <v>2858236.3636363633</v>
      </c>
      <c r="AG37" s="64">
        <f>AF37/AA36</f>
        <v>995.55428897121681</v>
      </c>
      <c r="AH37" s="57" t="s">
        <v>34</v>
      </c>
      <c r="AI37" s="65">
        <f>AI36/1.1</f>
        <v>12859463.636363635</v>
      </c>
      <c r="AJ37" s="58">
        <f>AJ36/1.1</f>
        <v>2699600</v>
      </c>
      <c r="AK37" s="59">
        <f>AK36/1.1</f>
        <v>15559063.636363635</v>
      </c>
      <c r="AL37" s="174">
        <f>AL36/1.1</f>
        <v>1475927.2727272727</v>
      </c>
      <c r="AM37" s="175">
        <f>AM36/1.08</f>
        <v>0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61"/>
      <c r="D38" s="89"/>
      <c r="E38" s="31"/>
      <c r="F38" s="68" t="s">
        <v>35</v>
      </c>
      <c r="G38" s="69">
        <f>F36/H38</f>
        <v>22.5</v>
      </c>
      <c r="H38" s="70">
        <v>10</v>
      </c>
      <c r="I38" s="71" t="s">
        <v>36</v>
      </c>
      <c r="J38" s="69"/>
      <c r="K38" s="72" t="s">
        <v>37</v>
      </c>
      <c r="L38" s="73">
        <f>K37/H38</f>
        <v>102500.90909090909</v>
      </c>
      <c r="M38" s="31"/>
      <c r="N38" s="68" t="s">
        <v>35</v>
      </c>
      <c r="O38" s="69">
        <f>N36/P38</f>
        <v>35.25925925925926</v>
      </c>
      <c r="P38" s="70">
        <v>27</v>
      </c>
      <c r="Q38" s="71" t="s">
        <v>36</v>
      </c>
      <c r="R38" s="69"/>
      <c r="S38" s="72" t="s">
        <v>37</v>
      </c>
      <c r="T38" s="74">
        <f>S37/P38</f>
        <v>432437.71043771046</v>
      </c>
      <c r="U38" s="31"/>
      <c r="V38" s="31"/>
      <c r="W38" s="31"/>
      <c r="X38" s="33"/>
      <c r="Y38" s="33"/>
      <c r="Z38" s="31"/>
      <c r="AA38" s="31"/>
      <c r="AB38" s="75">
        <f>P38</f>
        <v>27</v>
      </c>
      <c r="AC38" s="71" t="s">
        <v>36</v>
      </c>
      <c r="AD38" s="69"/>
      <c r="AE38" s="69"/>
      <c r="AF38" s="72" t="s">
        <v>37</v>
      </c>
      <c r="AG38" s="76">
        <f>AF37/AB38</f>
        <v>105860.60606060605</v>
      </c>
      <c r="AH38" s="31"/>
      <c r="AI38" s="31"/>
      <c r="AJ38" s="31" t="s">
        <v>50</v>
      </c>
      <c r="AK38" s="33"/>
      <c r="AL38" s="33">
        <f>AK37/AN38</f>
        <v>3843.6422026590008</v>
      </c>
      <c r="AM38" s="33"/>
      <c r="AN38" s="77">
        <f>AH36+AA36</f>
        <v>4048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14260045.454545453</v>
      </c>
    </row>
    <row r="39" spans="1:50" ht="15.75" customHeight="1">
      <c r="A39" s="31"/>
      <c r="B39" s="67"/>
      <c r="C39" s="161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52</v>
      </c>
      <c r="AL39" s="82">
        <f>AK37/AB38</f>
        <v>576261.61616161605</v>
      </c>
      <c r="AM39" s="82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62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54</v>
      </c>
      <c r="AK40" s="33">
        <f>AK36+AL36+AM36</f>
        <v>18738490</v>
      </c>
      <c r="AL40" s="82">
        <f>AK40/AB38</f>
        <v>694018.1481481482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2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55</v>
      </c>
      <c r="AK41" s="66">
        <f>AK37+AL37+AM37</f>
        <v>17034990.909090906</v>
      </c>
      <c r="AL41" s="82">
        <f>AK41/AB38</f>
        <v>630925.58922558918</v>
      </c>
      <c r="AM41" s="82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2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62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17034990.909090906</v>
      </c>
      <c r="AL43" s="89" t="s">
        <v>42</v>
      </c>
      <c r="AM43" s="89" t="s">
        <v>59</v>
      </c>
      <c r="AN43" s="89" t="s">
        <v>60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2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17540909</v>
      </c>
      <c r="AL44" s="163">
        <f>AM44+AN44</f>
        <v>1212700</v>
      </c>
      <c r="AM44" s="34">
        <v>1092700</v>
      </c>
      <c r="AN44" s="34">
        <v>120000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61"/>
      <c r="D45" s="89"/>
      <c r="E45" s="31"/>
      <c r="F45" s="31"/>
      <c r="G45" s="31"/>
      <c r="H45" s="31"/>
      <c r="I45" s="93"/>
      <c r="J45" s="94" t="s">
        <v>44</v>
      </c>
      <c r="K45" s="164">
        <v>1115500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64">
        <v>11956709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64">
        <v>3256000</v>
      </c>
      <c r="AG45" s="95" t="s">
        <v>45</v>
      </c>
      <c r="AH45" s="34"/>
      <c r="AI45" s="34"/>
      <c r="AJ45" s="88" t="s">
        <v>48</v>
      </c>
      <c r="AK45" s="66">
        <f>AK44-AK41</f>
        <v>505918.09090909362</v>
      </c>
      <c r="AL45" s="66">
        <f>AL44-AL37</f>
        <v>-263227.27272727271</v>
      </c>
      <c r="AM45" s="105">
        <f>AL37/AL44</f>
        <v>1.2170588543970253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61"/>
      <c r="D46" s="89"/>
      <c r="E46" s="31"/>
      <c r="F46" s="31"/>
      <c r="G46" s="31"/>
      <c r="H46" s="31"/>
      <c r="I46" s="93"/>
      <c r="J46" s="93" t="s">
        <v>48</v>
      </c>
      <c r="K46" s="66">
        <f>K45-K37</f>
        <v>90490.909090909176</v>
      </c>
      <c r="L46" s="178">
        <f>11-H38</f>
        <v>1</v>
      </c>
      <c r="M46" s="34"/>
      <c r="N46" s="34"/>
      <c r="O46" s="34"/>
      <c r="P46" s="34"/>
      <c r="Q46" s="34"/>
      <c r="R46" s="93" t="s">
        <v>48</v>
      </c>
      <c r="S46" s="66">
        <f>S45-S37</f>
        <v>280890.81818181835</v>
      </c>
      <c r="T46" s="179">
        <f>30-P38</f>
        <v>3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397763.6363636367</v>
      </c>
      <c r="AG46" s="179">
        <f>30-AB38</f>
        <v>3</v>
      </c>
      <c r="AH46" s="34"/>
      <c r="AI46" s="96"/>
      <c r="AJ46" s="97" t="s">
        <v>49</v>
      </c>
      <c r="AK46" s="98">
        <f>AK45/T46</f>
        <v>168639.36363636455</v>
      </c>
      <c r="AL46" s="104">
        <f>(AK37+AL37)/AK44</f>
        <v>0.97115781793810718</v>
      </c>
      <c r="AM46" s="104"/>
      <c r="AN46" s="96"/>
      <c r="AO46" s="99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99"/>
      <c r="B47" s="100"/>
      <c r="C47" s="165"/>
      <c r="D47" s="113"/>
      <c r="E47" s="99"/>
      <c r="F47" s="99"/>
      <c r="G47" s="99"/>
      <c r="H47" s="99"/>
      <c r="I47" s="101"/>
      <c r="J47" s="97" t="s">
        <v>49</v>
      </c>
      <c r="K47" s="102">
        <f>K46/L46</f>
        <v>90490.909090909176</v>
      </c>
      <c r="L47" s="103">
        <f>K37/K45</f>
        <v>0.91887861130353277</v>
      </c>
      <c r="M47" s="96"/>
      <c r="N47" s="96"/>
      <c r="O47" s="96"/>
      <c r="P47" s="96"/>
      <c r="Q47" s="96"/>
      <c r="R47" s="97" t="s">
        <v>49</v>
      </c>
      <c r="S47" s="98">
        <f>S46/T46</f>
        <v>93630.272727272779</v>
      </c>
      <c r="T47" s="103">
        <f>S37/S45</f>
        <v>0.97650768132085353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7" t="s">
        <v>49</v>
      </c>
      <c r="AF47" s="102">
        <f>AF46/AG46</f>
        <v>132587.8787878789</v>
      </c>
      <c r="AG47" s="103">
        <f>AF37/AF45</f>
        <v>0.87783672101853905</v>
      </c>
      <c r="AH47" s="96"/>
      <c r="AI47" s="31"/>
      <c r="AJ47" s="31"/>
      <c r="AK47" s="33"/>
      <c r="AL47" s="31"/>
      <c r="AM47" s="31"/>
      <c r="AN47" s="31"/>
      <c r="AO47" s="31"/>
      <c r="AP47" s="99"/>
      <c r="AQ47" s="99"/>
      <c r="AR47" s="99"/>
      <c r="AS47" s="106"/>
      <c r="AT47" s="99"/>
      <c r="AU47" s="106"/>
      <c r="AV47" s="99"/>
      <c r="AW47" s="99"/>
    </row>
    <row r="48" spans="1:50" ht="15.75" customHeight="1">
      <c r="A48" s="31"/>
      <c r="B48" s="67"/>
      <c r="C48" s="161"/>
      <c r="D48" s="89"/>
      <c r="E48" s="31"/>
      <c r="F48" s="31"/>
      <c r="G48" s="31"/>
      <c r="H48" s="31"/>
      <c r="I48" s="31"/>
      <c r="J48" s="31"/>
      <c r="K48" s="31"/>
      <c r="L48" s="187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7"/>
      <c r="AJ48" s="107"/>
      <c r="AK48" s="107"/>
      <c r="AL48" s="107"/>
      <c r="AM48" s="107"/>
      <c r="AN48" s="107"/>
      <c r="AO48" s="107"/>
      <c r="AP48" s="31"/>
      <c r="AQ48" s="31"/>
      <c r="AR48" s="31"/>
      <c r="AS48" s="33"/>
      <c r="AT48" s="31"/>
      <c r="AU48" s="33"/>
      <c r="AV48" s="31"/>
      <c r="AW48" s="31"/>
    </row>
    <row r="49" spans="1:49" ht="21.5" customHeight="1">
      <c r="A49" s="107"/>
      <c r="B49" s="108"/>
      <c r="C49" s="166"/>
      <c r="D49" s="1"/>
      <c r="E49" s="107"/>
      <c r="F49" s="107"/>
      <c r="G49" s="107"/>
      <c r="H49" s="107"/>
      <c r="I49" s="107"/>
      <c r="J49" s="107"/>
      <c r="K49" s="107"/>
      <c r="L49" s="107"/>
      <c r="M49" s="109"/>
      <c r="N49" s="31"/>
      <c r="O49" s="31"/>
      <c r="P49" s="31"/>
      <c r="Q49" s="31"/>
      <c r="R49" s="31"/>
      <c r="S49" s="109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" t="s">
        <v>81</v>
      </c>
      <c r="AJ49" s="1"/>
      <c r="AK49" s="199">
        <v>2397960</v>
      </c>
      <c r="AL49" s="196"/>
      <c r="AM49" s="1"/>
      <c r="AN49" s="1"/>
      <c r="AO49" s="1"/>
      <c r="AP49" s="107"/>
      <c r="AQ49" s="107"/>
      <c r="AR49" s="107"/>
      <c r="AS49" s="110"/>
      <c r="AT49" s="107"/>
      <c r="AU49" s="110"/>
      <c r="AV49" s="107"/>
      <c r="AW49" s="107"/>
    </row>
    <row r="50" spans="1:49" ht="19.75" customHeight="1">
      <c r="A50" s="1"/>
      <c r="B50" s="111"/>
      <c r="C50" s="121"/>
      <c r="D50" s="1"/>
      <c r="E50" s="1"/>
      <c r="F50" s="1"/>
      <c r="G50" s="1"/>
      <c r="H50" s="1"/>
      <c r="I50" s="1"/>
      <c r="J50" s="1"/>
      <c r="K50" s="1"/>
      <c r="L50" s="1"/>
      <c r="M50" s="112"/>
      <c r="N50" s="31"/>
      <c r="O50" s="31"/>
      <c r="P50" s="31"/>
      <c r="Q50" s="31"/>
      <c r="R50" s="31"/>
      <c r="S50" s="112"/>
      <c r="T50" s="112"/>
      <c r="U50" s="1"/>
      <c r="V50" s="1"/>
      <c r="W50" s="1"/>
      <c r="X50" s="1"/>
      <c r="Y50" s="1"/>
      <c r="Z50" s="1"/>
      <c r="AA50" s="113"/>
      <c r="AB50" s="1"/>
      <c r="AC50" s="1"/>
      <c r="AD50" s="1"/>
      <c r="AE50" s="1"/>
      <c r="AF50" s="1"/>
      <c r="AG50" s="1"/>
      <c r="AH50" s="1"/>
      <c r="AI50" s="107"/>
      <c r="AJ50" s="107"/>
      <c r="AK50" s="195">
        <f>AK44-AK41-(AK49/1.1)</f>
        <v>-1674045.5454545426</v>
      </c>
      <c r="AL50" s="200">
        <f>AK50/AG46</f>
        <v>-558015.18181818083</v>
      </c>
      <c r="AM50" s="107"/>
      <c r="AN50" s="107"/>
      <c r="AO50" s="107"/>
      <c r="AP50" s="1"/>
      <c r="AQ50" s="1"/>
      <c r="AR50" s="1"/>
      <c r="AS50" s="114"/>
      <c r="AT50" s="1"/>
      <c r="AU50" s="114"/>
      <c r="AV50" s="1"/>
      <c r="AW50" s="1"/>
    </row>
    <row r="51" spans="1:49" ht="36" customHeight="1">
      <c r="A51" s="107"/>
      <c r="B51" s="108"/>
      <c r="C51" s="166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5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6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6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6"/>
      <c r="D54" s="1"/>
      <c r="E54" s="107"/>
      <c r="F54" s="107"/>
      <c r="G54" s="107"/>
      <c r="H54" s="107"/>
      <c r="I54" s="107"/>
      <c r="J54" s="107"/>
      <c r="K54" s="107"/>
      <c r="L54" s="1"/>
      <c r="M54" s="112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7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10"/>
      <c r="AT54" s="107"/>
      <c r="AU54" s="110"/>
      <c r="AV54" s="107"/>
      <c r="AW54" s="107"/>
    </row>
    <row r="55" spans="1:49" ht="36" customHeight="1">
      <c r="A55" s="107"/>
      <c r="B55" s="108"/>
      <c r="C55" s="166"/>
      <c r="D55" s="1"/>
      <c r="E55" s="107"/>
      <c r="F55" s="107"/>
      <c r="G55" s="107"/>
      <c r="H55" s="107"/>
      <c r="I55" s="107"/>
      <c r="J55" s="107"/>
      <c r="K55" s="107"/>
      <c r="L55" s="107"/>
      <c r="M55" s="109"/>
      <c r="N55" s="31"/>
      <c r="O55" s="31"/>
      <c r="P55" s="31"/>
      <c r="Q55" s="31"/>
      <c r="R55" s="31"/>
      <c r="S55" s="117"/>
      <c r="T55" s="116"/>
      <c r="U55" s="116"/>
      <c r="V55" s="116"/>
      <c r="W55" s="116"/>
      <c r="X55" s="118"/>
      <c r="Y55" s="118"/>
      <c r="Z55" s="119"/>
      <c r="AA55" s="120"/>
      <c r="AB55" s="107"/>
      <c r="AC55" s="107"/>
      <c r="AD55" s="107"/>
      <c r="AE55" s="107"/>
      <c r="AF55" s="107"/>
      <c r="AG55" s="107"/>
      <c r="AH55" s="107"/>
      <c r="AI55" s="31"/>
      <c r="AJ55" s="31"/>
      <c r="AK55" s="31"/>
      <c r="AL55" s="31"/>
      <c r="AM55" s="31"/>
      <c r="AN55" s="31"/>
      <c r="AO55" s="31"/>
      <c r="AP55" s="107"/>
      <c r="AQ55" s="107"/>
      <c r="AR55" s="107"/>
      <c r="AS55" s="110"/>
      <c r="AT55" s="107"/>
      <c r="AU55" s="110"/>
      <c r="AV55" s="107"/>
      <c r="AW55" s="107"/>
    </row>
    <row r="56" spans="1:49" ht="15.75" customHeight="1">
      <c r="A56" s="31"/>
      <c r="B56" s="67"/>
      <c r="C56" s="161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19"/>
      <c r="AA56" s="11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1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7"/>
      <c r="AA57" s="107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1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1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1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1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1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1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1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1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1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1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1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1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1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1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1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1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1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1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1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1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1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1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1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1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1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1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1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1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1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1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1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1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1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1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1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1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1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1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1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1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1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1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1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1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1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1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1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1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1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1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1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1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1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1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1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1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1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1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1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1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1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1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1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1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1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1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1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1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1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1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1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1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1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1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1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1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1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1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1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1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1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1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1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1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1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1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1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1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1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1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1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1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1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1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1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1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1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1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1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1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1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1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1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1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1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1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1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1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1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1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1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1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1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1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1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1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1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1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1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1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1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1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1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1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1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1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1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1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1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1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1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1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1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1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1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1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1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1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1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1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1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1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1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1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1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1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1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1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1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1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1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1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1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1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1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1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1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1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1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1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1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1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1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1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1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1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1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1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1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1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1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1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1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1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1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1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1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1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1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1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1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1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1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1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1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1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1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1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1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61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AH3:AM3"/>
    <mergeCell ref="AN3:AU3"/>
    <mergeCell ref="E40:L44"/>
    <mergeCell ref="M40:T44"/>
    <mergeCell ref="Z40:AG44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２０２5.10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2026-02-11T10:54:48Z</dcterms:modified>
</cp:coreProperties>
</file>