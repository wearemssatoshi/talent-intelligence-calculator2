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D37F59B3-E530-F642-BD4E-1A93396E58B4}" xr6:coauthVersionLast="47" xr6:coauthVersionMax="47" xr10:uidLastSave="{00000000-0000-0000-0000-000000000000}"/>
  <bookViews>
    <workbookView xWindow="0" yWindow="660" windowWidth="30240" windowHeight="18980" activeTab="1" xr2:uid="{7F9D5D59-A1FC-3B48-93F3-6D616DF54B86}"/>
  </bookViews>
  <sheets>
    <sheet name="２０２6.01" sheetId="1" r:id="rId1"/>
    <sheet name="2026.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7" i="2" l="1"/>
  <c r="T43" i="2"/>
  <c r="AG43" i="2" s="1"/>
  <c r="L43" i="2"/>
  <c r="AL41" i="2"/>
  <c r="AK41" i="2"/>
  <c r="AB35" i="2"/>
  <c r="G35" i="2"/>
  <c r="AM34" i="2"/>
  <c r="AD34" i="2"/>
  <c r="AE34" i="2" s="1"/>
  <c r="AB34" i="2"/>
  <c r="AC34" i="2" s="1"/>
  <c r="AT33" i="2"/>
  <c r="AS33" i="2"/>
  <c r="AR33" i="2"/>
  <c r="AQ33" i="2"/>
  <c r="AP33" i="2"/>
  <c r="AO33" i="2"/>
  <c r="AN33" i="2"/>
  <c r="AM33" i="2"/>
  <c r="AD33" i="2"/>
  <c r="AB33" i="2"/>
  <c r="AA33" i="2"/>
  <c r="Z33" i="2"/>
  <c r="M33" i="2"/>
  <c r="I33" i="2"/>
  <c r="J33" i="2" s="1"/>
  <c r="G33" i="2"/>
  <c r="H33" i="2" s="1"/>
  <c r="F33" i="2"/>
  <c r="E33" i="2"/>
  <c r="C33" i="2"/>
  <c r="AU32" i="2"/>
  <c r="AX32" i="2" s="1"/>
  <c r="AL32" i="2"/>
  <c r="AH32" i="2"/>
  <c r="AG32" i="2"/>
  <c r="AF32" i="2"/>
  <c r="AE32" i="2"/>
  <c r="AC32" i="2"/>
  <c r="U32" i="2"/>
  <c r="Q32" i="2"/>
  <c r="W32" i="2" s="1"/>
  <c r="AJ32" i="2" s="1"/>
  <c r="O32" i="2"/>
  <c r="P32" i="2" s="1"/>
  <c r="N32" i="2"/>
  <c r="L32" i="2"/>
  <c r="K32" i="2"/>
  <c r="J32" i="2"/>
  <c r="H32" i="2"/>
  <c r="AU31" i="2"/>
  <c r="AL31" i="2"/>
  <c r="AG31" i="2"/>
  <c r="AF31" i="2"/>
  <c r="AE31" i="2"/>
  <c r="AC31" i="2"/>
  <c r="Q31" i="2"/>
  <c r="W31" i="2" s="1"/>
  <c r="AJ31" i="2" s="1"/>
  <c r="O31" i="2"/>
  <c r="N31" i="2"/>
  <c r="L31" i="2"/>
  <c r="K31" i="2"/>
  <c r="J31" i="2"/>
  <c r="H31" i="2"/>
  <c r="AU30" i="2"/>
  <c r="AX30" i="2" s="1"/>
  <c r="AL30" i="2"/>
  <c r="AG30" i="2"/>
  <c r="AF30" i="2"/>
  <c r="AE30" i="2"/>
  <c r="AC30" i="2"/>
  <c r="W30" i="2"/>
  <c r="AJ30" i="2" s="1"/>
  <c r="Q30" i="2"/>
  <c r="R30" i="2" s="1"/>
  <c r="O30" i="2"/>
  <c r="V30" i="2" s="1"/>
  <c r="AI30" i="2" s="1"/>
  <c r="N30" i="2"/>
  <c r="L30" i="2"/>
  <c r="K30" i="2"/>
  <c r="J30" i="2"/>
  <c r="H30" i="2"/>
  <c r="AW29" i="2"/>
  <c r="AU29" i="2"/>
  <c r="AX29" i="2" s="1"/>
  <c r="AL29" i="2"/>
  <c r="AG29" i="2"/>
  <c r="AF29" i="2"/>
  <c r="AE29" i="2"/>
  <c r="AC29" i="2"/>
  <c r="W29" i="2"/>
  <c r="AJ29" i="2" s="1"/>
  <c r="V29" i="2"/>
  <c r="AI29" i="2" s="1"/>
  <c r="Q29" i="2"/>
  <c r="R29" i="2" s="1"/>
  <c r="O29" i="2"/>
  <c r="S29" i="2" s="1"/>
  <c r="N29" i="2"/>
  <c r="U29" i="2" s="1"/>
  <c r="L29" i="2"/>
  <c r="K29" i="2"/>
  <c r="J29" i="2"/>
  <c r="H29" i="2"/>
  <c r="AU28" i="2"/>
  <c r="AX28" i="2" s="1"/>
  <c r="AL28" i="2"/>
  <c r="AJ28" i="2"/>
  <c r="AI28" i="2"/>
  <c r="AG28" i="2"/>
  <c r="AF28" i="2"/>
  <c r="AE28" i="2"/>
  <c r="AC28" i="2"/>
  <c r="W28" i="2"/>
  <c r="V28" i="2"/>
  <c r="U28" i="2"/>
  <c r="Q28" i="2"/>
  <c r="R28" i="2" s="1"/>
  <c r="O28" i="2"/>
  <c r="S28" i="2" s="1"/>
  <c r="N28" i="2"/>
  <c r="AH28" i="2" s="1"/>
  <c r="L28" i="2"/>
  <c r="K28" i="2"/>
  <c r="X28" i="2" s="1"/>
  <c r="AK28" i="2" s="1"/>
  <c r="J28" i="2"/>
  <c r="H28" i="2"/>
  <c r="AU27" i="2"/>
  <c r="AX27" i="2" s="1"/>
  <c r="AL27" i="2"/>
  <c r="AJ27" i="2"/>
  <c r="AI27" i="2"/>
  <c r="AH27" i="2"/>
  <c r="AG27" i="2"/>
  <c r="AF27" i="2"/>
  <c r="AE27" i="2"/>
  <c r="AC27" i="2"/>
  <c r="W27" i="2"/>
  <c r="V27" i="2"/>
  <c r="U27" i="2"/>
  <c r="Q27" i="2"/>
  <c r="R27" i="2" s="1"/>
  <c r="O27" i="2"/>
  <c r="S27" i="2" s="1"/>
  <c r="T27" i="2" s="1"/>
  <c r="N27" i="2"/>
  <c r="L27" i="2"/>
  <c r="K27" i="2"/>
  <c r="X27" i="2" s="1"/>
  <c r="AK27" i="2" s="1"/>
  <c r="J27" i="2"/>
  <c r="H27" i="2"/>
  <c r="AU26" i="2"/>
  <c r="AX26" i="2" s="1"/>
  <c r="AL26" i="2"/>
  <c r="AI26" i="2"/>
  <c r="AH26" i="2"/>
  <c r="AG26" i="2"/>
  <c r="AF26" i="2"/>
  <c r="AE26" i="2"/>
  <c r="AC26" i="2"/>
  <c r="W26" i="2"/>
  <c r="AJ26" i="2" s="1"/>
  <c r="V26" i="2"/>
  <c r="U26" i="2"/>
  <c r="S26" i="2"/>
  <c r="T26" i="2" s="1"/>
  <c r="Q26" i="2"/>
  <c r="R26" i="2" s="1"/>
  <c r="O26" i="2"/>
  <c r="P26" i="2" s="1"/>
  <c r="N26" i="2"/>
  <c r="L26" i="2"/>
  <c r="K26" i="2"/>
  <c r="X26" i="2" s="1"/>
  <c r="AK26" i="2" s="1"/>
  <c r="J26" i="2"/>
  <c r="H26" i="2"/>
  <c r="AU25" i="2"/>
  <c r="AL25" i="2"/>
  <c r="AJ25" i="2"/>
  <c r="AH25" i="2"/>
  <c r="AG25" i="2"/>
  <c r="AF25" i="2"/>
  <c r="AE25" i="2"/>
  <c r="AC25" i="2"/>
  <c r="W25" i="2"/>
  <c r="V25" i="2"/>
  <c r="AI25" i="2" s="1"/>
  <c r="U25" i="2"/>
  <c r="S25" i="2"/>
  <c r="T25" i="2" s="1"/>
  <c r="R25" i="2"/>
  <c r="Q25" i="2"/>
  <c r="O25" i="2"/>
  <c r="P25" i="2" s="1"/>
  <c r="N25" i="2"/>
  <c r="L25" i="2"/>
  <c r="K25" i="2"/>
  <c r="J25" i="2"/>
  <c r="H25" i="2"/>
  <c r="AX24" i="2"/>
  <c r="AW24" i="2"/>
  <c r="AU24" i="2"/>
  <c r="AL24" i="2"/>
  <c r="AI24" i="2"/>
  <c r="AH24" i="2"/>
  <c r="AG24" i="2"/>
  <c r="AF24" i="2"/>
  <c r="AE24" i="2"/>
  <c r="AC24" i="2"/>
  <c r="V24" i="2"/>
  <c r="U24" i="2"/>
  <c r="Q24" i="2"/>
  <c r="W24" i="2" s="1"/>
  <c r="AJ24" i="2" s="1"/>
  <c r="O24" i="2"/>
  <c r="N24" i="2"/>
  <c r="P24" i="2" s="1"/>
  <c r="L24" i="2"/>
  <c r="K24" i="2"/>
  <c r="J24" i="2"/>
  <c r="H24" i="2"/>
  <c r="AX23" i="2"/>
  <c r="AW23" i="2"/>
  <c r="AU23" i="2"/>
  <c r="AL23" i="2"/>
  <c r="AI23" i="2"/>
  <c r="AH23" i="2"/>
  <c r="AG23" i="2"/>
  <c r="AF23" i="2"/>
  <c r="AE23" i="2"/>
  <c r="AC23" i="2"/>
  <c r="V23" i="2"/>
  <c r="U23" i="2"/>
  <c r="R23" i="2"/>
  <c r="Q23" i="2"/>
  <c r="P23" i="2"/>
  <c r="O23" i="2"/>
  <c r="N23" i="2"/>
  <c r="L23" i="2"/>
  <c r="K23" i="2"/>
  <c r="J23" i="2"/>
  <c r="H23" i="2"/>
  <c r="AX22" i="2"/>
  <c r="AW22" i="2"/>
  <c r="AU22" i="2"/>
  <c r="AL22" i="2"/>
  <c r="AH22" i="2"/>
  <c r="AG22" i="2"/>
  <c r="AF22" i="2"/>
  <c r="AE22" i="2"/>
  <c r="AC22" i="2"/>
  <c r="U22" i="2"/>
  <c r="Q22" i="2"/>
  <c r="O22" i="2"/>
  <c r="N22" i="2"/>
  <c r="L22" i="2"/>
  <c r="K22" i="2"/>
  <c r="J22" i="2"/>
  <c r="H22" i="2"/>
  <c r="AU21" i="2"/>
  <c r="AX21" i="2" s="1"/>
  <c r="AL21" i="2"/>
  <c r="AG21" i="2"/>
  <c r="AF21" i="2"/>
  <c r="AE21" i="2"/>
  <c r="AC21" i="2"/>
  <c r="Q21" i="2"/>
  <c r="W21" i="2" s="1"/>
  <c r="AJ21" i="2" s="1"/>
  <c r="O21" i="2"/>
  <c r="P21" i="2" s="1"/>
  <c r="N21" i="2"/>
  <c r="L21" i="2"/>
  <c r="K21" i="2"/>
  <c r="J21" i="2"/>
  <c r="H21" i="2"/>
  <c r="AU20" i="2"/>
  <c r="AL20" i="2"/>
  <c r="AG20" i="2"/>
  <c r="AF20" i="2"/>
  <c r="AE20" i="2"/>
  <c r="AC20" i="2"/>
  <c r="W20" i="2"/>
  <c r="AJ20" i="2" s="1"/>
  <c r="Q20" i="2"/>
  <c r="O20" i="2"/>
  <c r="N20" i="2"/>
  <c r="L20" i="2"/>
  <c r="K20" i="2"/>
  <c r="J20" i="2"/>
  <c r="H20" i="2"/>
  <c r="AU19" i="2"/>
  <c r="AX19" i="2" s="1"/>
  <c r="AL19" i="2"/>
  <c r="AJ19" i="2"/>
  <c r="AG19" i="2"/>
  <c r="AF19" i="2"/>
  <c r="AE19" i="2"/>
  <c r="AC19" i="2"/>
  <c r="X19" i="2"/>
  <c r="AK19" i="2" s="1"/>
  <c r="W19" i="2"/>
  <c r="V19" i="2"/>
  <c r="AI19" i="2" s="1"/>
  <c r="Q19" i="2"/>
  <c r="O19" i="2"/>
  <c r="S19" i="2" s="1"/>
  <c r="N19" i="2"/>
  <c r="L19" i="2"/>
  <c r="K19" i="2"/>
  <c r="J19" i="2"/>
  <c r="H19" i="2"/>
  <c r="AU18" i="2"/>
  <c r="AW18" i="2" s="1"/>
  <c r="AL18" i="2"/>
  <c r="AG18" i="2"/>
  <c r="AF18" i="2"/>
  <c r="AE18" i="2"/>
  <c r="AC18" i="2"/>
  <c r="W18" i="2"/>
  <c r="AJ18" i="2" s="1"/>
  <c r="V18" i="2"/>
  <c r="AI18" i="2" s="1"/>
  <c r="U18" i="2"/>
  <c r="Q18" i="2"/>
  <c r="R18" i="2" s="1"/>
  <c r="O18" i="2"/>
  <c r="S18" i="2" s="1"/>
  <c r="N18" i="2"/>
  <c r="AH18" i="2" s="1"/>
  <c r="L18" i="2"/>
  <c r="K18" i="2"/>
  <c r="X18" i="2" s="1"/>
  <c r="AK18" i="2" s="1"/>
  <c r="J18" i="2"/>
  <c r="H18" i="2"/>
  <c r="AU17" i="2"/>
  <c r="AX17" i="2" s="1"/>
  <c r="AL17" i="2"/>
  <c r="AJ17" i="2"/>
  <c r="AH17" i="2"/>
  <c r="AG17" i="2"/>
  <c r="AF17" i="2"/>
  <c r="AE17" i="2"/>
  <c r="AC17" i="2"/>
  <c r="W17" i="2"/>
  <c r="V17" i="2"/>
  <c r="AI17" i="2" s="1"/>
  <c r="U17" i="2"/>
  <c r="Y17" i="2" s="1"/>
  <c r="Q17" i="2"/>
  <c r="R17" i="2" s="1"/>
  <c r="O17" i="2"/>
  <c r="S17" i="2" s="1"/>
  <c r="T17" i="2" s="1"/>
  <c r="N17" i="2"/>
  <c r="L17" i="2"/>
  <c r="K17" i="2"/>
  <c r="X17" i="2" s="1"/>
  <c r="AK17" i="2" s="1"/>
  <c r="J17" i="2"/>
  <c r="H17" i="2"/>
  <c r="AU16" i="2"/>
  <c r="AX16" i="2" s="1"/>
  <c r="AL16" i="2"/>
  <c r="AJ16" i="2"/>
  <c r="AI16" i="2"/>
  <c r="AH16" i="2"/>
  <c r="AG16" i="2"/>
  <c r="AF16" i="2"/>
  <c r="AE16" i="2"/>
  <c r="AC16" i="2"/>
  <c r="W16" i="2"/>
  <c r="V16" i="2"/>
  <c r="U16" i="2"/>
  <c r="Y16" i="2" s="1"/>
  <c r="S16" i="2"/>
  <c r="T16" i="2" s="1"/>
  <c r="Q16" i="2"/>
  <c r="O16" i="2"/>
  <c r="P16" i="2" s="1"/>
  <c r="N16" i="2"/>
  <c r="R16" i="2" s="1"/>
  <c r="L16" i="2"/>
  <c r="K16" i="2"/>
  <c r="X16" i="2" s="1"/>
  <c r="AK16" i="2" s="1"/>
  <c r="J16" i="2"/>
  <c r="H16" i="2"/>
  <c r="AU15" i="2"/>
  <c r="AL15" i="2"/>
  <c r="AJ15" i="2"/>
  <c r="AH15" i="2"/>
  <c r="AG15" i="2"/>
  <c r="AF15" i="2"/>
  <c r="AE15" i="2"/>
  <c r="AC15" i="2"/>
  <c r="W15" i="2"/>
  <c r="V15" i="2"/>
  <c r="AI15" i="2" s="1"/>
  <c r="U15" i="2"/>
  <c r="S15" i="2"/>
  <c r="T15" i="2" s="1"/>
  <c r="R15" i="2"/>
  <c r="Q15" i="2"/>
  <c r="O15" i="2"/>
  <c r="P15" i="2" s="1"/>
  <c r="N15" i="2"/>
  <c r="L15" i="2"/>
  <c r="K15" i="2"/>
  <c r="X15" i="2" s="1"/>
  <c r="AK15" i="2" s="1"/>
  <c r="J15" i="2"/>
  <c r="H15" i="2"/>
  <c r="AW14" i="2"/>
  <c r="AU14" i="2"/>
  <c r="AL14" i="2"/>
  <c r="AI14" i="2"/>
  <c r="AH14" i="2"/>
  <c r="AF14" i="2"/>
  <c r="AG14" i="2" s="1"/>
  <c r="AE14" i="2"/>
  <c r="AC14" i="2"/>
  <c r="V14" i="2"/>
  <c r="U14" i="2"/>
  <c r="R14" i="2"/>
  <c r="Q14" i="2"/>
  <c r="W14" i="2" s="1"/>
  <c r="AJ14" i="2" s="1"/>
  <c r="O14" i="2"/>
  <c r="N14" i="2"/>
  <c r="P14" i="2" s="1"/>
  <c r="L14" i="2"/>
  <c r="K14" i="2"/>
  <c r="J14" i="2"/>
  <c r="H14" i="2"/>
  <c r="AX13" i="2"/>
  <c r="AW13" i="2"/>
  <c r="AU13" i="2"/>
  <c r="AL13" i="2"/>
  <c r="AI13" i="2"/>
  <c r="AH13" i="2"/>
  <c r="AF13" i="2"/>
  <c r="AG13" i="2" s="1"/>
  <c r="AE13" i="2"/>
  <c r="AC13" i="2"/>
  <c r="V13" i="2"/>
  <c r="U13" i="2"/>
  <c r="R13" i="2"/>
  <c r="Q13" i="2"/>
  <c r="P13" i="2"/>
  <c r="O13" i="2"/>
  <c r="N13" i="2"/>
  <c r="L13" i="2"/>
  <c r="K13" i="2"/>
  <c r="J13" i="2"/>
  <c r="H13" i="2"/>
  <c r="AW12" i="2"/>
  <c r="AU12" i="2"/>
  <c r="AX12" i="2" s="1"/>
  <c r="AL12" i="2"/>
  <c r="AH12" i="2"/>
  <c r="AF12" i="2"/>
  <c r="AG12" i="2" s="1"/>
  <c r="AE12" i="2"/>
  <c r="AC12" i="2"/>
  <c r="U12" i="2"/>
  <c r="Q12" i="2"/>
  <c r="P12" i="2"/>
  <c r="O12" i="2"/>
  <c r="N12" i="2"/>
  <c r="K12" i="2"/>
  <c r="J12" i="2"/>
  <c r="H12" i="2"/>
  <c r="AU11" i="2"/>
  <c r="AX11" i="2" s="1"/>
  <c r="AL11" i="2"/>
  <c r="AF11" i="2"/>
  <c r="AG11" i="2" s="1"/>
  <c r="AE11" i="2"/>
  <c r="AC11" i="2"/>
  <c r="Q11" i="2"/>
  <c r="W11" i="2" s="1"/>
  <c r="AJ11" i="2" s="1"/>
  <c r="O11" i="2"/>
  <c r="N11" i="2"/>
  <c r="L11" i="2"/>
  <c r="K11" i="2"/>
  <c r="J11" i="2"/>
  <c r="H11" i="2"/>
  <c r="AU10" i="2"/>
  <c r="AL10" i="2"/>
  <c r="AF10" i="2"/>
  <c r="AG10" i="2" s="1"/>
  <c r="AE10" i="2"/>
  <c r="AC10" i="2"/>
  <c r="W10" i="2"/>
  <c r="AJ10" i="2" s="1"/>
  <c r="Q10" i="2"/>
  <c r="O10" i="2"/>
  <c r="N10" i="2"/>
  <c r="L10" i="2"/>
  <c r="K10" i="2"/>
  <c r="J10" i="2"/>
  <c r="H10" i="2"/>
  <c r="AU9" i="2"/>
  <c r="AX9" i="2" s="1"/>
  <c r="AL9" i="2"/>
  <c r="AJ9" i="2"/>
  <c r="AF9" i="2"/>
  <c r="AG9" i="2" s="1"/>
  <c r="AE9" i="2"/>
  <c r="AC9" i="2"/>
  <c r="W9" i="2"/>
  <c r="V9" i="2"/>
  <c r="AI9" i="2" s="1"/>
  <c r="Q9" i="2"/>
  <c r="O9" i="2"/>
  <c r="S9" i="2" s="1"/>
  <c r="N9" i="2"/>
  <c r="L9" i="2"/>
  <c r="K9" i="2"/>
  <c r="X9" i="2" s="1"/>
  <c r="AK9" i="2" s="1"/>
  <c r="J9" i="2"/>
  <c r="H9" i="2"/>
  <c r="AU8" i="2"/>
  <c r="AX8" i="2" s="1"/>
  <c r="AL8" i="2"/>
  <c r="AF8" i="2"/>
  <c r="AG8" i="2" s="1"/>
  <c r="AE8" i="2"/>
  <c r="AC8" i="2"/>
  <c r="W8" i="2"/>
  <c r="AJ8" i="2" s="1"/>
  <c r="V8" i="2"/>
  <c r="AI8" i="2" s="1"/>
  <c r="U8" i="2"/>
  <c r="Q8" i="2"/>
  <c r="R8" i="2" s="1"/>
  <c r="O8" i="2"/>
  <c r="P8" i="2" s="1"/>
  <c r="N8" i="2"/>
  <c r="AH8" i="2" s="1"/>
  <c r="L8" i="2"/>
  <c r="K8" i="2"/>
  <c r="J8" i="2"/>
  <c r="H8" i="2"/>
  <c r="AU7" i="2"/>
  <c r="AX7" i="2" s="1"/>
  <c r="AL7" i="2"/>
  <c r="AJ7" i="2"/>
  <c r="AH7" i="2"/>
  <c r="AG7" i="2"/>
  <c r="AF7" i="2"/>
  <c r="AE7" i="2"/>
  <c r="AC7" i="2"/>
  <c r="W7" i="2"/>
  <c r="V7" i="2"/>
  <c r="AI7" i="2" s="1"/>
  <c r="U7" i="2"/>
  <c r="Y7" i="2" s="1"/>
  <c r="Q7" i="2"/>
  <c r="R7" i="2" s="1"/>
  <c r="O7" i="2"/>
  <c r="S7" i="2" s="1"/>
  <c r="T7" i="2" s="1"/>
  <c r="N7" i="2"/>
  <c r="L7" i="2"/>
  <c r="K7" i="2"/>
  <c r="X7" i="2" s="1"/>
  <c r="AK7" i="2" s="1"/>
  <c r="J7" i="2"/>
  <c r="H7" i="2"/>
  <c r="AU6" i="2"/>
  <c r="AX6" i="2" s="1"/>
  <c r="AL6" i="2"/>
  <c r="AJ6" i="2"/>
  <c r="AI6" i="2"/>
  <c r="AH6" i="2"/>
  <c r="AG6" i="2"/>
  <c r="AF6" i="2"/>
  <c r="AE6" i="2"/>
  <c r="AC6" i="2"/>
  <c r="W6" i="2"/>
  <c r="V6" i="2"/>
  <c r="U6" i="2"/>
  <c r="Y6" i="2" s="1"/>
  <c r="S6" i="2"/>
  <c r="T6" i="2" s="1"/>
  <c r="Q6" i="2"/>
  <c r="R6" i="2" s="1"/>
  <c r="O6" i="2"/>
  <c r="P6" i="2" s="1"/>
  <c r="N6" i="2"/>
  <c r="L6" i="2"/>
  <c r="K6" i="2"/>
  <c r="X6" i="2" s="1"/>
  <c r="AK6" i="2" s="1"/>
  <c r="J6" i="2"/>
  <c r="H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U5" i="2"/>
  <c r="AL5" i="2"/>
  <c r="AJ5" i="2"/>
  <c r="AI5" i="2"/>
  <c r="AH5" i="2"/>
  <c r="AG5" i="2"/>
  <c r="AF5" i="2"/>
  <c r="AE5" i="2"/>
  <c r="AC5" i="2"/>
  <c r="W5" i="2"/>
  <c r="V5" i="2"/>
  <c r="U5" i="2"/>
  <c r="S5" i="2"/>
  <c r="R5" i="2"/>
  <c r="Q5" i="2"/>
  <c r="O5" i="2"/>
  <c r="P5" i="2" s="1"/>
  <c r="N5" i="2"/>
  <c r="K5" i="2"/>
  <c r="X5" i="2" s="1"/>
  <c r="J5" i="2"/>
  <c r="H5" i="2"/>
  <c r="B5" i="2"/>
  <c r="AG46" i="1"/>
  <c r="T46" i="1"/>
  <c r="L46" i="1"/>
  <c r="AL44" i="1"/>
  <c r="AK44" i="1"/>
  <c r="AB38" i="1"/>
  <c r="AM37" i="1"/>
  <c r="AD37" i="1"/>
  <c r="AE37" i="1" s="1"/>
  <c r="AB37" i="1"/>
  <c r="AC37" i="1" s="1"/>
  <c r="I37" i="1"/>
  <c r="J37" i="1" s="1"/>
  <c r="AT36" i="1"/>
  <c r="AS36" i="1"/>
  <c r="AR36" i="1"/>
  <c r="AQ36" i="1"/>
  <c r="AP36" i="1"/>
  <c r="AO36" i="1"/>
  <c r="AN36" i="1"/>
  <c r="AM36" i="1"/>
  <c r="AE36" i="1"/>
  <c r="AD36" i="1"/>
  <c r="AB36" i="1"/>
  <c r="AC36" i="1" s="1"/>
  <c r="AA36" i="1"/>
  <c r="Z36" i="1"/>
  <c r="M36" i="1"/>
  <c r="I36" i="1"/>
  <c r="J36" i="1" s="1"/>
  <c r="G36" i="1"/>
  <c r="G37" i="1" s="1"/>
  <c r="H37" i="1" s="1"/>
  <c r="L37" i="1" s="1"/>
  <c r="F36" i="1"/>
  <c r="G38" i="1" s="1"/>
  <c r="E36" i="1"/>
  <c r="AU35" i="1"/>
  <c r="AL35" i="1"/>
  <c r="AF35" i="1"/>
  <c r="AG35" i="1" s="1"/>
  <c r="AE35" i="1"/>
  <c r="AC35" i="1"/>
  <c r="Q35" i="1"/>
  <c r="P35" i="1"/>
  <c r="O35" i="1"/>
  <c r="V35" i="1" s="1"/>
  <c r="AI35" i="1" s="1"/>
  <c r="N35" i="1"/>
  <c r="L35" i="1"/>
  <c r="K35" i="1"/>
  <c r="AU34" i="1"/>
  <c r="AX34" i="1" s="1"/>
  <c r="AL34" i="1"/>
  <c r="AJ34" i="1"/>
  <c r="AI34" i="1"/>
  <c r="AF34" i="1"/>
  <c r="AG34" i="1" s="1"/>
  <c r="AE34" i="1"/>
  <c r="AC34" i="1"/>
  <c r="W34" i="1"/>
  <c r="V34" i="1"/>
  <c r="Q34" i="1"/>
  <c r="R34" i="1" s="1"/>
  <c r="P34" i="1"/>
  <c r="O34" i="1"/>
  <c r="S34" i="1" s="1"/>
  <c r="N34" i="1"/>
  <c r="L34" i="1"/>
  <c r="K34" i="1"/>
  <c r="X34" i="1" s="1"/>
  <c r="AK34" i="1" s="1"/>
  <c r="J34" i="1"/>
  <c r="H34" i="1"/>
  <c r="AU33" i="1"/>
  <c r="AL33" i="1"/>
  <c r="AH33" i="1"/>
  <c r="AG33" i="1"/>
  <c r="AF33" i="1"/>
  <c r="AE33" i="1"/>
  <c r="AC33" i="1"/>
  <c r="W33" i="1"/>
  <c r="AJ33" i="1" s="1"/>
  <c r="V33" i="1"/>
  <c r="AI33" i="1" s="1"/>
  <c r="U33" i="1"/>
  <c r="Q33" i="1"/>
  <c r="R33" i="1" s="1"/>
  <c r="O33" i="1"/>
  <c r="N33" i="1"/>
  <c r="L33" i="1"/>
  <c r="K33" i="1"/>
  <c r="J33" i="1"/>
  <c r="H33" i="1"/>
  <c r="AU32" i="1"/>
  <c r="AX32" i="1" s="1"/>
  <c r="AL32" i="1"/>
  <c r="AJ32" i="1"/>
  <c r="AI32" i="1"/>
  <c r="AG32" i="1"/>
  <c r="AF32" i="1"/>
  <c r="AE32" i="1"/>
  <c r="AC32" i="1"/>
  <c r="W32" i="1"/>
  <c r="V32" i="1"/>
  <c r="U32" i="1"/>
  <c r="T32" i="1"/>
  <c r="S32" i="1"/>
  <c r="Q32" i="1"/>
  <c r="O32" i="1"/>
  <c r="N32" i="1"/>
  <c r="R32" i="1" s="1"/>
  <c r="L32" i="1"/>
  <c r="K32" i="1"/>
  <c r="X32" i="1" s="1"/>
  <c r="AK32" i="1" s="1"/>
  <c r="J32" i="1"/>
  <c r="H32" i="1"/>
  <c r="AU31" i="1"/>
  <c r="AX31" i="1" s="1"/>
  <c r="AL31" i="1"/>
  <c r="AI31" i="1"/>
  <c r="AH31" i="1"/>
  <c r="AG31" i="1"/>
  <c r="AF31" i="1"/>
  <c r="AE31" i="1"/>
  <c r="AC31" i="1"/>
  <c r="W31" i="1"/>
  <c r="AJ31" i="1" s="1"/>
  <c r="V31" i="1"/>
  <c r="U31" i="1"/>
  <c r="S31" i="1"/>
  <c r="T31" i="1" s="1"/>
  <c r="R31" i="1"/>
  <c r="Q31" i="1"/>
  <c r="O31" i="1"/>
  <c r="P31" i="1" s="1"/>
  <c r="N31" i="1"/>
  <c r="L31" i="1"/>
  <c r="K31" i="1"/>
  <c r="X31" i="1" s="1"/>
  <c r="AK31" i="1" s="1"/>
  <c r="J31" i="1"/>
  <c r="H31" i="1"/>
  <c r="AX30" i="1"/>
  <c r="AW30" i="1"/>
  <c r="AU30" i="1"/>
  <c r="AL30" i="1"/>
  <c r="AH30" i="1"/>
  <c r="AF30" i="1"/>
  <c r="AG30" i="1" s="1"/>
  <c r="AE30" i="1"/>
  <c r="AC30" i="1"/>
  <c r="V30" i="1"/>
  <c r="AI30" i="1" s="1"/>
  <c r="U30" i="1"/>
  <c r="Q30" i="1"/>
  <c r="O30" i="1"/>
  <c r="N30" i="1"/>
  <c r="P30" i="1" s="1"/>
  <c r="L30" i="1"/>
  <c r="K30" i="1"/>
  <c r="J30" i="1"/>
  <c r="H30" i="1"/>
  <c r="AW29" i="1"/>
  <c r="AU29" i="1"/>
  <c r="AL29" i="1"/>
  <c r="AI29" i="1"/>
  <c r="AH29" i="1"/>
  <c r="AF29" i="1"/>
  <c r="AE29" i="1"/>
  <c r="AC29" i="1"/>
  <c r="V29" i="1"/>
  <c r="U29" i="1"/>
  <c r="Q29" i="1"/>
  <c r="W29" i="1" s="1"/>
  <c r="AJ29" i="1" s="1"/>
  <c r="P29" i="1"/>
  <c r="O29" i="1"/>
  <c r="N29" i="1"/>
  <c r="K29" i="1"/>
  <c r="J29" i="1"/>
  <c r="H29" i="1"/>
  <c r="AU28" i="1"/>
  <c r="AX28" i="1" s="1"/>
  <c r="AL28" i="1"/>
  <c r="AH28" i="1"/>
  <c r="AG28" i="1"/>
  <c r="AF28" i="1"/>
  <c r="AE28" i="1"/>
  <c r="AC28" i="1"/>
  <c r="U28" i="1"/>
  <c r="Q28" i="1"/>
  <c r="P28" i="1"/>
  <c r="O28" i="1"/>
  <c r="V28" i="1" s="1"/>
  <c r="AI28" i="1" s="1"/>
  <c r="N28" i="1"/>
  <c r="K28" i="1"/>
  <c r="J28" i="1"/>
  <c r="H28" i="1"/>
  <c r="AU27" i="1"/>
  <c r="AL27" i="1"/>
  <c r="AF27" i="1"/>
  <c r="AG27" i="1" s="1"/>
  <c r="AE27" i="1"/>
  <c r="AC27" i="1"/>
  <c r="Q27" i="1"/>
  <c r="P27" i="1"/>
  <c r="O27" i="1"/>
  <c r="V27" i="1" s="1"/>
  <c r="AI27" i="1" s="1"/>
  <c r="N27" i="1"/>
  <c r="L27" i="1"/>
  <c r="K27" i="1"/>
  <c r="J27" i="1"/>
  <c r="H27" i="1"/>
  <c r="AW26" i="1"/>
  <c r="AU26" i="1"/>
  <c r="AX26" i="1" s="1"/>
  <c r="AL26" i="1"/>
  <c r="AF26" i="1"/>
  <c r="AG26" i="1" s="1"/>
  <c r="AE26" i="1"/>
  <c r="AC26" i="1"/>
  <c r="Q26" i="1"/>
  <c r="W26" i="1" s="1"/>
  <c r="AJ26" i="1" s="1"/>
  <c r="O26" i="1"/>
  <c r="N26" i="1"/>
  <c r="L26" i="1"/>
  <c r="K26" i="1"/>
  <c r="J26" i="1"/>
  <c r="H26" i="1"/>
  <c r="AU25" i="1"/>
  <c r="AX25" i="1" s="1"/>
  <c r="AL25" i="1"/>
  <c r="AF25" i="1"/>
  <c r="AG25" i="1" s="1"/>
  <c r="AE25" i="1"/>
  <c r="AC25" i="1"/>
  <c r="W25" i="1"/>
  <c r="AJ25" i="1" s="1"/>
  <c r="V25" i="1"/>
  <c r="AI25" i="1" s="1"/>
  <c r="Q25" i="1"/>
  <c r="O25" i="1"/>
  <c r="S25" i="1" s="1"/>
  <c r="X25" i="1" s="1"/>
  <c r="AK25" i="1" s="1"/>
  <c r="N25" i="1"/>
  <c r="L25" i="1"/>
  <c r="K25" i="1"/>
  <c r="J25" i="1"/>
  <c r="H25" i="1"/>
  <c r="AU24" i="1"/>
  <c r="AX24" i="1" s="1"/>
  <c r="AL24" i="1"/>
  <c r="AI24" i="1"/>
  <c r="AF24" i="1"/>
  <c r="AG24" i="1" s="1"/>
  <c r="AE24" i="1"/>
  <c r="AC24" i="1"/>
  <c r="V24" i="1"/>
  <c r="U24" i="1"/>
  <c r="Q24" i="1"/>
  <c r="R24" i="1" s="1"/>
  <c r="P24" i="1"/>
  <c r="O24" i="1"/>
  <c r="N24" i="1"/>
  <c r="L24" i="1"/>
  <c r="K24" i="1"/>
  <c r="J24" i="1"/>
  <c r="H24" i="1"/>
  <c r="AU23" i="1"/>
  <c r="AX23" i="1" s="1"/>
  <c r="AL23" i="1"/>
  <c r="AH23" i="1"/>
  <c r="AG23" i="1"/>
  <c r="AF23" i="1"/>
  <c r="AE23" i="1"/>
  <c r="AC23" i="1"/>
  <c r="W23" i="1"/>
  <c r="AJ23" i="1" s="1"/>
  <c r="Q23" i="1"/>
  <c r="R23" i="1" s="1"/>
  <c r="O23" i="1"/>
  <c r="P23" i="1" s="1"/>
  <c r="N23" i="1"/>
  <c r="U23" i="1" s="1"/>
  <c r="L23" i="1"/>
  <c r="K23" i="1"/>
  <c r="J23" i="1"/>
  <c r="H23" i="1"/>
  <c r="AU22" i="1"/>
  <c r="AL22" i="1"/>
  <c r="AJ22" i="1"/>
  <c r="AH22" i="1"/>
  <c r="AG22" i="1"/>
  <c r="AF22" i="1"/>
  <c r="AE22" i="1"/>
  <c r="AC22" i="1"/>
  <c r="W22" i="1"/>
  <c r="U22" i="1"/>
  <c r="Q22" i="1"/>
  <c r="O22" i="1"/>
  <c r="N22" i="1"/>
  <c r="R22" i="1" s="1"/>
  <c r="K22" i="1"/>
  <c r="L22" i="1" s="1"/>
  <c r="J22" i="1"/>
  <c r="H22" i="1"/>
  <c r="AU21" i="1"/>
  <c r="AL21" i="1"/>
  <c r="AJ21" i="1"/>
  <c r="AF21" i="1"/>
  <c r="AG21" i="1" s="1"/>
  <c r="AE21" i="1"/>
  <c r="AC21" i="1"/>
  <c r="W21" i="1"/>
  <c r="V21" i="1"/>
  <c r="AI21" i="1" s="1"/>
  <c r="U21" i="1"/>
  <c r="Y21" i="1" s="1"/>
  <c r="S21" i="1"/>
  <c r="Q21" i="1"/>
  <c r="O21" i="1"/>
  <c r="N21" i="1"/>
  <c r="K21" i="1"/>
  <c r="X21" i="1" s="1"/>
  <c r="AK21" i="1" s="1"/>
  <c r="J21" i="1"/>
  <c r="H21" i="1"/>
  <c r="AX20" i="1"/>
  <c r="AW20" i="1"/>
  <c r="AU20" i="1"/>
  <c r="AL20" i="1"/>
  <c r="AH20" i="1"/>
  <c r="AG20" i="1"/>
  <c r="AF20" i="1"/>
  <c r="AE20" i="1"/>
  <c r="AC20" i="1"/>
  <c r="V20" i="1"/>
  <c r="AI20" i="1" s="1"/>
  <c r="U20" i="1"/>
  <c r="Q20" i="1"/>
  <c r="R20" i="1" s="1"/>
  <c r="O20" i="1"/>
  <c r="N20" i="1"/>
  <c r="P20" i="1" s="1"/>
  <c r="L20" i="1"/>
  <c r="K20" i="1"/>
  <c r="J20" i="1"/>
  <c r="H20" i="1"/>
  <c r="AW19" i="1"/>
  <c r="AU19" i="1"/>
  <c r="AL19" i="1"/>
  <c r="AH19" i="1"/>
  <c r="AF19" i="1"/>
  <c r="AX19" i="1" s="1"/>
  <c r="AE19" i="1"/>
  <c r="AC19" i="1"/>
  <c r="V19" i="1"/>
  <c r="AI19" i="1" s="1"/>
  <c r="U19" i="1"/>
  <c r="Q19" i="1"/>
  <c r="W19" i="1" s="1"/>
  <c r="AJ19" i="1" s="1"/>
  <c r="P19" i="1"/>
  <c r="O19" i="1"/>
  <c r="N19" i="1"/>
  <c r="L19" i="1"/>
  <c r="K19" i="1"/>
  <c r="J19" i="1"/>
  <c r="H19" i="1"/>
  <c r="AU18" i="1"/>
  <c r="AL18" i="1"/>
  <c r="AH18" i="1"/>
  <c r="AF18" i="1"/>
  <c r="AG18" i="1" s="1"/>
  <c r="AE18" i="1"/>
  <c r="AC18" i="1"/>
  <c r="U18" i="1"/>
  <c r="Q18" i="1"/>
  <c r="W18" i="1" s="1"/>
  <c r="AJ18" i="1" s="1"/>
  <c r="O18" i="1"/>
  <c r="V18" i="1" s="1"/>
  <c r="AI18" i="1" s="1"/>
  <c r="N18" i="1"/>
  <c r="L18" i="1"/>
  <c r="K18" i="1"/>
  <c r="J18" i="1"/>
  <c r="H18" i="1"/>
  <c r="AU17" i="1"/>
  <c r="AL17" i="1"/>
  <c r="AF17" i="1"/>
  <c r="AG17" i="1" s="1"/>
  <c r="AE17" i="1"/>
  <c r="AC17" i="1"/>
  <c r="S17" i="1"/>
  <c r="X17" i="1" s="1"/>
  <c r="AK17" i="1" s="1"/>
  <c r="R17" i="1"/>
  <c r="Q17" i="1"/>
  <c r="W17" i="1" s="1"/>
  <c r="AJ17" i="1" s="1"/>
  <c r="O17" i="1"/>
  <c r="V17" i="1" s="1"/>
  <c r="AI17" i="1" s="1"/>
  <c r="N17" i="1"/>
  <c r="U17" i="1" s="1"/>
  <c r="L17" i="1"/>
  <c r="K17" i="1"/>
  <c r="J17" i="1"/>
  <c r="H17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X16" i="1"/>
  <c r="AU16" i="1"/>
  <c r="AW16" i="1" s="1"/>
  <c r="AL16" i="1"/>
  <c r="AF16" i="1"/>
  <c r="AG16" i="1" s="1"/>
  <c r="AE16" i="1"/>
  <c r="AC16" i="1"/>
  <c r="Q16" i="1"/>
  <c r="W16" i="1" s="1"/>
  <c r="AJ16" i="1" s="1"/>
  <c r="P16" i="1"/>
  <c r="O16" i="1"/>
  <c r="N16" i="1"/>
  <c r="L16" i="1"/>
  <c r="K16" i="1"/>
  <c r="J16" i="1"/>
  <c r="H16" i="1"/>
  <c r="AU15" i="1"/>
  <c r="AL15" i="1"/>
  <c r="AF15" i="1"/>
  <c r="AG15" i="1" s="1"/>
  <c r="AE15" i="1"/>
  <c r="AC15" i="1"/>
  <c r="W15" i="1"/>
  <c r="AJ15" i="1" s="1"/>
  <c r="V15" i="1"/>
  <c r="AI15" i="1" s="1"/>
  <c r="Q15" i="1"/>
  <c r="O15" i="1"/>
  <c r="N15" i="1"/>
  <c r="K15" i="1"/>
  <c r="L15" i="1" s="1"/>
  <c r="J15" i="1"/>
  <c r="H15" i="1"/>
  <c r="AX14" i="1"/>
  <c r="AW14" i="1"/>
  <c r="AU14" i="1"/>
  <c r="AL14" i="1"/>
  <c r="AF14" i="1"/>
  <c r="AG14" i="1" s="1"/>
  <c r="AE14" i="1"/>
  <c r="AC14" i="1"/>
  <c r="V14" i="1"/>
  <c r="AI14" i="1" s="1"/>
  <c r="U14" i="1"/>
  <c r="Q14" i="1"/>
  <c r="O14" i="1"/>
  <c r="N14" i="1"/>
  <c r="K14" i="1"/>
  <c r="L14" i="1" s="1"/>
  <c r="J14" i="1"/>
  <c r="H14" i="1"/>
  <c r="AU13" i="1"/>
  <c r="AL13" i="1"/>
  <c r="AJ13" i="1"/>
  <c r="AH13" i="1"/>
  <c r="AG13" i="1"/>
  <c r="AF13" i="1"/>
  <c r="AE13" i="1"/>
  <c r="AC13" i="1"/>
  <c r="X13" i="1"/>
  <c r="AK13" i="1" s="1"/>
  <c r="W13" i="1"/>
  <c r="T13" i="1"/>
  <c r="Q13" i="1"/>
  <c r="R13" i="1" s="1"/>
  <c r="P13" i="1"/>
  <c r="O13" i="1"/>
  <c r="S13" i="1" s="1"/>
  <c r="N13" i="1"/>
  <c r="U13" i="1" s="1"/>
  <c r="L13" i="1"/>
  <c r="K13" i="1"/>
  <c r="J13" i="1"/>
  <c r="H13" i="1"/>
  <c r="AU12" i="1"/>
  <c r="AL12" i="1"/>
  <c r="AH12" i="1"/>
  <c r="AG12" i="1"/>
  <c r="AF12" i="1"/>
  <c r="AE12" i="1"/>
  <c r="AC12" i="1"/>
  <c r="W12" i="1"/>
  <c r="AJ12" i="1" s="1"/>
  <c r="V12" i="1"/>
  <c r="AI12" i="1" s="1"/>
  <c r="U12" i="1"/>
  <c r="S12" i="1"/>
  <c r="T12" i="1" s="1"/>
  <c r="Q12" i="1"/>
  <c r="O12" i="1"/>
  <c r="N12" i="1"/>
  <c r="R12" i="1" s="1"/>
  <c r="L12" i="1"/>
  <c r="K12" i="1"/>
  <c r="X12" i="1" s="1"/>
  <c r="Y12" i="1" s="1"/>
  <c r="J12" i="1"/>
  <c r="H12" i="1"/>
  <c r="AU11" i="1"/>
  <c r="AL11" i="1"/>
  <c r="AH11" i="1"/>
  <c r="AF11" i="1"/>
  <c r="AG11" i="1" s="1"/>
  <c r="AE11" i="1"/>
  <c r="AC11" i="1"/>
  <c r="W11" i="1"/>
  <c r="AJ11" i="1" s="1"/>
  <c r="V11" i="1"/>
  <c r="AI11" i="1" s="1"/>
  <c r="S11" i="1"/>
  <c r="R11" i="1"/>
  <c r="Q11" i="1"/>
  <c r="O11" i="1"/>
  <c r="P11" i="1" s="1"/>
  <c r="N11" i="1"/>
  <c r="U11" i="1" s="1"/>
  <c r="L11" i="1"/>
  <c r="K11" i="1"/>
  <c r="X11" i="1" s="1"/>
  <c r="AK11" i="1" s="1"/>
  <c r="J11" i="1"/>
  <c r="H11" i="1"/>
  <c r="AX10" i="1"/>
  <c r="AW10" i="1"/>
  <c r="AU10" i="1"/>
  <c r="AL10" i="1"/>
  <c r="AH10" i="1"/>
  <c r="AF10" i="1"/>
  <c r="AG10" i="1" s="1"/>
  <c r="AE10" i="1"/>
  <c r="AC10" i="1"/>
  <c r="W10" i="1"/>
  <c r="AJ10" i="1" s="1"/>
  <c r="V10" i="1"/>
  <c r="AI10" i="1" s="1"/>
  <c r="U10" i="1"/>
  <c r="S10" i="1"/>
  <c r="T10" i="1" s="1"/>
  <c r="R10" i="1"/>
  <c r="Q10" i="1"/>
  <c r="O10" i="1"/>
  <c r="N10" i="1"/>
  <c r="P10" i="1" s="1"/>
  <c r="L10" i="1"/>
  <c r="K10" i="1"/>
  <c r="J10" i="1"/>
  <c r="H10" i="1"/>
  <c r="AX9" i="1"/>
  <c r="AW9" i="1"/>
  <c r="AU9" i="1"/>
  <c r="AL9" i="1"/>
  <c r="AH9" i="1"/>
  <c r="AG9" i="1"/>
  <c r="AF9" i="1"/>
  <c r="AE9" i="1"/>
  <c r="AC9" i="1"/>
  <c r="V9" i="1"/>
  <c r="AI9" i="1" s="1"/>
  <c r="U9" i="1"/>
  <c r="Q9" i="1"/>
  <c r="P9" i="1"/>
  <c r="O9" i="1"/>
  <c r="N9" i="1"/>
  <c r="L9" i="1"/>
  <c r="K9" i="1"/>
  <c r="J9" i="1"/>
  <c r="H9" i="1"/>
  <c r="AU8" i="1"/>
  <c r="AX8" i="1" s="1"/>
  <c r="AL8" i="1"/>
  <c r="AI8" i="1"/>
  <c r="AH8" i="1"/>
  <c r="AG8" i="1"/>
  <c r="AF8" i="1"/>
  <c r="AE8" i="1"/>
  <c r="AC8" i="1"/>
  <c r="U8" i="1"/>
  <c r="Q8" i="1"/>
  <c r="P8" i="1"/>
  <c r="O8" i="1"/>
  <c r="V8" i="1" s="1"/>
  <c r="N8" i="1"/>
  <c r="K8" i="1"/>
  <c r="J8" i="1"/>
  <c r="H8" i="1"/>
  <c r="B8" i="1"/>
  <c r="B9" i="1" s="1"/>
  <c r="B10" i="1" s="1"/>
  <c r="B11" i="1" s="1"/>
  <c r="B12" i="1" s="1"/>
  <c r="B13" i="1" s="1"/>
  <c r="B14" i="1" s="1"/>
  <c r="B15" i="1" s="1"/>
  <c r="B16" i="1" s="1"/>
  <c r="AU7" i="1"/>
  <c r="AL7" i="1"/>
  <c r="AF7" i="1"/>
  <c r="AG7" i="1" s="1"/>
  <c r="AE7" i="1"/>
  <c r="AC7" i="1"/>
  <c r="S7" i="1"/>
  <c r="X7" i="1" s="1"/>
  <c r="AK7" i="1" s="1"/>
  <c r="R7" i="1"/>
  <c r="Q7" i="1"/>
  <c r="W7" i="1" s="1"/>
  <c r="AJ7" i="1" s="1"/>
  <c r="O7" i="1"/>
  <c r="V7" i="1" s="1"/>
  <c r="AI7" i="1" s="1"/>
  <c r="N7" i="1"/>
  <c r="U7" i="1" s="1"/>
  <c r="Y7" i="1" s="1"/>
  <c r="L7" i="1"/>
  <c r="K7" i="1"/>
  <c r="J7" i="1"/>
  <c r="H7" i="1"/>
  <c r="B7" i="1"/>
  <c r="AU6" i="1"/>
  <c r="AW6" i="1" s="1"/>
  <c r="AL6" i="1"/>
  <c r="AF6" i="1"/>
  <c r="AX6" i="1" s="1"/>
  <c r="AE6" i="1"/>
  <c r="AC6" i="1"/>
  <c r="Q6" i="1"/>
  <c r="P6" i="1"/>
  <c r="O6" i="1"/>
  <c r="N6" i="1"/>
  <c r="L6" i="1"/>
  <c r="K6" i="1"/>
  <c r="J6" i="1"/>
  <c r="H6" i="1"/>
  <c r="B6" i="1"/>
  <c r="AU5" i="1"/>
  <c r="AL5" i="1"/>
  <c r="AG5" i="1"/>
  <c r="AF5" i="1"/>
  <c r="AE5" i="1"/>
  <c r="AC5" i="1"/>
  <c r="W5" i="1"/>
  <c r="AJ5" i="1" s="1"/>
  <c r="Q5" i="1"/>
  <c r="O5" i="1"/>
  <c r="P5" i="1" s="1"/>
  <c r="N5" i="1"/>
  <c r="L5" i="1"/>
  <c r="K5" i="1"/>
  <c r="K36" i="1" s="1"/>
  <c r="L36" i="1" s="1"/>
  <c r="J5" i="1"/>
  <c r="H5" i="1"/>
  <c r="B5" i="1"/>
  <c r="AH21" i="2" l="1"/>
  <c r="U21" i="2"/>
  <c r="AW21" i="2"/>
  <c r="S24" i="2"/>
  <c r="T24" i="2" s="1"/>
  <c r="AF33" i="2"/>
  <c r="R10" i="2"/>
  <c r="S12" i="2"/>
  <c r="T12" i="2" s="1"/>
  <c r="V12" i="2"/>
  <c r="AI12" i="2" s="1"/>
  <c r="W13" i="2"/>
  <c r="AJ13" i="2" s="1"/>
  <c r="S13" i="2"/>
  <c r="T13" i="2" s="1"/>
  <c r="U20" i="2"/>
  <c r="AH20" i="2"/>
  <c r="T20" i="2"/>
  <c r="X8" i="2"/>
  <c r="AK8" i="2" s="1"/>
  <c r="U9" i="2"/>
  <c r="Y9" i="2" s="1"/>
  <c r="AH9" i="2"/>
  <c r="AH33" i="2" s="1"/>
  <c r="AN35" i="2" s="1"/>
  <c r="T9" i="2"/>
  <c r="V20" i="2"/>
  <c r="AI20" i="2" s="1"/>
  <c r="S20" i="2"/>
  <c r="X20" i="2" s="1"/>
  <c r="AK20" i="2" s="1"/>
  <c r="P20" i="2"/>
  <c r="X23" i="2"/>
  <c r="AK23" i="2" s="1"/>
  <c r="U31" i="2"/>
  <c r="AH31" i="2"/>
  <c r="R31" i="2"/>
  <c r="AW31" i="2"/>
  <c r="AX31" i="2"/>
  <c r="V32" i="2"/>
  <c r="AI32" i="2" s="1"/>
  <c r="S32" i="2"/>
  <c r="T32" i="2" s="1"/>
  <c r="AK5" i="2"/>
  <c r="N33" i="2"/>
  <c r="O35" i="2" s="1"/>
  <c r="W12" i="2"/>
  <c r="AJ12" i="2" s="1"/>
  <c r="AJ33" i="2" s="1"/>
  <c r="AJ34" i="2" s="1"/>
  <c r="R12" i="2"/>
  <c r="Y13" i="2"/>
  <c r="S14" i="2"/>
  <c r="T14" i="2" s="1"/>
  <c r="U19" i="2"/>
  <c r="Y19" i="2" s="1"/>
  <c r="AH19" i="2"/>
  <c r="T19" i="2"/>
  <c r="R20" i="2"/>
  <c r="AX20" i="2"/>
  <c r="AW20" i="2"/>
  <c r="X22" i="2"/>
  <c r="Y28" i="2"/>
  <c r="S31" i="2"/>
  <c r="X31" i="2" s="1"/>
  <c r="AK31" i="2" s="1"/>
  <c r="P31" i="2"/>
  <c r="V31" i="2"/>
  <c r="AI31" i="2" s="1"/>
  <c r="W22" i="2"/>
  <c r="AJ22" i="2" s="1"/>
  <c r="R22" i="2"/>
  <c r="R9" i="2"/>
  <c r="Y14" i="2"/>
  <c r="X24" i="2"/>
  <c r="AK24" i="2" s="1"/>
  <c r="Y25" i="2"/>
  <c r="AX25" i="2"/>
  <c r="Y27" i="2"/>
  <c r="AX14" i="2"/>
  <c r="R19" i="2"/>
  <c r="Y26" i="2"/>
  <c r="X32" i="2"/>
  <c r="U10" i="2"/>
  <c r="Y10" i="2" s="1"/>
  <c r="AH10" i="2"/>
  <c r="T10" i="2"/>
  <c r="R24" i="2"/>
  <c r="AX10" i="2"/>
  <c r="AW10" i="2"/>
  <c r="AW32" i="2"/>
  <c r="T5" i="2"/>
  <c r="Y5" i="2"/>
  <c r="AL33" i="2"/>
  <c r="AL34" i="2" s="1"/>
  <c r="V11" i="2"/>
  <c r="AI11" i="2" s="1"/>
  <c r="S11" i="2"/>
  <c r="X11" i="2" s="1"/>
  <c r="AK11" i="2" s="1"/>
  <c r="AW11" i="2"/>
  <c r="X13" i="2"/>
  <c r="AK13" i="2" s="1"/>
  <c r="V22" i="2"/>
  <c r="AI22" i="2" s="1"/>
  <c r="S22" i="2"/>
  <c r="T22" i="2" s="1"/>
  <c r="X25" i="2"/>
  <c r="AK25" i="2" s="1"/>
  <c r="X29" i="2"/>
  <c r="AK29" i="2" s="1"/>
  <c r="U30" i="2"/>
  <c r="Y30" i="2" s="1"/>
  <c r="AH30" i="2"/>
  <c r="T30" i="2"/>
  <c r="K33" i="2"/>
  <c r="V21" i="2"/>
  <c r="AI21" i="2" s="1"/>
  <c r="S21" i="2"/>
  <c r="X21" i="2" s="1"/>
  <c r="AK21" i="2" s="1"/>
  <c r="Y23" i="2"/>
  <c r="V10" i="2"/>
  <c r="AI10" i="2" s="1"/>
  <c r="AI33" i="2" s="1"/>
  <c r="AI34" i="2" s="1"/>
  <c r="S10" i="2"/>
  <c r="X10" i="2" s="1"/>
  <c r="AK10" i="2" s="1"/>
  <c r="P10" i="2"/>
  <c r="AH11" i="2"/>
  <c r="U11" i="2"/>
  <c r="T11" i="2"/>
  <c r="AX5" i="2"/>
  <c r="P11" i="2"/>
  <c r="X14" i="2"/>
  <c r="AK14" i="2" s="1"/>
  <c r="Y15" i="2"/>
  <c r="AX15" i="2"/>
  <c r="Y18" i="2"/>
  <c r="P22" i="2"/>
  <c r="W23" i="2"/>
  <c r="AJ23" i="2" s="1"/>
  <c r="S23" i="2"/>
  <c r="T23" i="2" s="1"/>
  <c r="P30" i="2"/>
  <c r="AW30" i="2"/>
  <c r="R32" i="2"/>
  <c r="P9" i="2"/>
  <c r="P19" i="2"/>
  <c r="AW19" i="2"/>
  <c r="R21" i="2"/>
  <c r="P29" i="2"/>
  <c r="O33" i="2"/>
  <c r="AU33" i="2"/>
  <c r="AW28" i="2"/>
  <c r="P27" i="2"/>
  <c r="G34" i="2"/>
  <c r="H34" i="2" s="1"/>
  <c r="P28" i="2"/>
  <c r="P7" i="2"/>
  <c r="AW7" i="2"/>
  <c r="P17" i="2"/>
  <c r="AW17" i="2"/>
  <c r="AX18" i="2"/>
  <c r="AW27" i="2"/>
  <c r="S30" i="2"/>
  <c r="X30" i="2" s="1"/>
  <c r="AK30" i="2" s="1"/>
  <c r="Q33" i="2"/>
  <c r="AW6" i="2"/>
  <c r="AW16" i="2"/>
  <c r="AW26" i="2"/>
  <c r="AW9" i="2"/>
  <c r="R11" i="2"/>
  <c r="L5" i="2"/>
  <c r="P18" i="2"/>
  <c r="AW5" i="2"/>
  <c r="S8" i="2"/>
  <c r="L12" i="2"/>
  <c r="AW15" i="2"/>
  <c r="AW25" i="2"/>
  <c r="T29" i="2"/>
  <c r="AH29" i="2"/>
  <c r="I34" i="2"/>
  <c r="J34" i="2" s="1"/>
  <c r="AW8" i="2"/>
  <c r="T8" i="2"/>
  <c r="T18" i="2"/>
  <c r="T28" i="2"/>
  <c r="K37" i="1"/>
  <c r="AF36" i="1"/>
  <c r="AF1" i="1"/>
  <c r="U15" i="1"/>
  <c r="AH15" i="1"/>
  <c r="W9" i="1"/>
  <c r="AJ9" i="1" s="1"/>
  <c r="S9" i="1"/>
  <c r="T9" i="1" s="1"/>
  <c r="R9" i="1"/>
  <c r="W20" i="1"/>
  <c r="AJ20" i="1" s="1"/>
  <c r="S20" i="1"/>
  <c r="T20" i="1" s="1"/>
  <c r="W30" i="1"/>
  <c r="AJ30" i="1" s="1"/>
  <c r="S30" i="1"/>
  <c r="T30" i="1" s="1"/>
  <c r="R30" i="1"/>
  <c r="AW25" i="1"/>
  <c r="AX15" i="1"/>
  <c r="AW15" i="1"/>
  <c r="W27" i="1"/>
  <c r="AJ27" i="1" s="1"/>
  <c r="S27" i="1"/>
  <c r="X27" i="1" s="1"/>
  <c r="AK27" i="1" s="1"/>
  <c r="R27" i="1"/>
  <c r="V6" i="1"/>
  <c r="AI6" i="1" s="1"/>
  <c r="S6" i="1"/>
  <c r="X6" i="1" s="1"/>
  <c r="AK6" i="1" s="1"/>
  <c r="X10" i="1"/>
  <c r="AK10" i="1" s="1"/>
  <c r="S15" i="1"/>
  <c r="X15" i="1" s="1"/>
  <c r="AK15" i="1" s="1"/>
  <c r="P15" i="1"/>
  <c r="P18" i="1"/>
  <c r="W35" i="1"/>
  <c r="AJ35" i="1" s="1"/>
  <c r="S35" i="1"/>
  <c r="X35" i="1" s="1"/>
  <c r="AK35" i="1" s="1"/>
  <c r="R35" i="1"/>
  <c r="AX13" i="1"/>
  <c r="AW13" i="1"/>
  <c r="AG6" i="1"/>
  <c r="AW18" i="1"/>
  <c r="AX18" i="1"/>
  <c r="W28" i="1"/>
  <c r="AJ28" i="1" s="1"/>
  <c r="S28" i="1"/>
  <c r="T28" i="1" s="1"/>
  <c r="R28" i="1"/>
  <c r="N36" i="1"/>
  <c r="O38" i="1" s="1"/>
  <c r="AL36" i="1"/>
  <c r="AL37" i="1" s="1"/>
  <c r="R15" i="1"/>
  <c r="S18" i="1"/>
  <c r="T18" i="1" s="1"/>
  <c r="AW24" i="1"/>
  <c r="S5" i="1"/>
  <c r="O36" i="1"/>
  <c r="X9" i="1"/>
  <c r="AK9" i="1" s="1"/>
  <c r="W6" i="1"/>
  <c r="R6" i="1"/>
  <c r="AX17" i="1"/>
  <c r="AW17" i="1"/>
  <c r="Y11" i="1"/>
  <c r="W8" i="1"/>
  <c r="AJ8" i="1" s="1"/>
  <c r="S8" i="1"/>
  <c r="T8" i="1" s="1"/>
  <c r="R8" i="1"/>
  <c r="AW8" i="1"/>
  <c r="Y17" i="1"/>
  <c r="U25" i="1"/>
  <c r="Y25" i="1" s="1"/>
  <c r="AH25" i="1"/>
  <c r="T25" i="1"/>
  <c r="AX7" i="1"/>
  <c r="AW7" i="1"/>
  <c r="Y13" i="1"/>
  <c r="S23" i="1"/>
  <c r="T23" i="1" s="1"/>
  <c r="V23" i="1"/>
  <c r="AI23" i="1" s="1"/>
  <c r="R14" i="1"/>
  <c r="W14" i="1"/>
  <c r="AJ14" i="1" s="1"/>
  <c r="P22" i="1"/>
  <c r="S22" i="1"/>
  <c r="T22" i="1" s="1"/>
  <c r="AK12" i="1"/>
  <c r="W24" i="1"/>
  <c r="AJ24" i="1" s="1"/>
  <c r="AX27" i="1"/>
  <c r="AW27" i="1"/>
  <c r="AG29" i="1"/>
  <c r="AX29" i="1"/>
  <c r="AU36" i="1"/>
  <c r="AX5" i="1"/>
  <c r="AW5" i="1"/>
  <c r="T21" i="1"/>
  <c r="R21" i="1"/>
  <c r="AH21" i="1"/>
  <c r="S33" i="1"/>
  <c r="P33" i="1"/>
  <c r="V5" i="1"/>
  <c r="P21" i="1"/>
  <c r="X14" i="1"/>
  <c r="V16" i="1"/>
  <c r="AI16" i="1" s="1"/>
  <c r="S16" i="1"/>
  <c r="X16" i="1" s="1"/>
  <c r="AK16" i="1" s="1"/>
  <c r="AG19" i="1"/>
  <c r="V22" i="1"/>
  <c r="AI22" i="1" s="1"/>
  <c r="R26" i="1"/>
  <c r="AX35" i="1"/>
  <c r="AW35" i="1"/>
  <c r="U26" i="1"/>
  <c r="AH26" i="1"/>
  <c r="X28" i="1"/>
  <c r="Y32" i="1"/>
  <c r="Q36" i="1"/>
  <c r="T7" i="1"/>
  <c r="AX11" i="1"/>
  <c r="T17" i="1"/>
  <c r="P25" i="1"/>
  <c r="V26" i="1"/>
  <c r="AI26" i="1" s="1"/>
  <c r="S26" i="1"/>
  <c r="X26" i="1" s="1"/>
  <c r="AK26" i="1" s="1"/>
  <c r="AH27" i="1"/>
  <c r="U27" i="1"/>
  <c r="Y27" i="1" s="1"/>
  <c r="T27" i="1"/>
  <c r="AH34" i="1"/>
  <c r="T34" i="1"/>
  <c r="U35" i="1"/>
  <c r="AH35" i="1"/>
  <c r="R5" i="1"/>
  <c r="U6" i="1"/>
  <c r="Y6" i="1" s="1"/>
  <c r="AH6" i="1"/>
  <c r="T6" i="1"/>
  <c r="Y10" i="1"/>
  <c r="U16" i="1"/>
  <c r="Y16" i="1" s="1"/>
  <c r="AH16" i="1"/>
  <c r="R18" i="1"/>
  <c r="L21" i="1"/>
  <c r="AX21" i="1"/>
  <c r="AW23" i="1"/>
  <c r="R25" i="1"/>
  <c r="P26" i="1"/>
  <c r="X29" i="1"/>
  <c r="AK29" i="1" s="1"/>
  <c r="X20" i="1"/>
  <c r="AK20" i="1" s="1"/>
  <c r="X30" i="1"/>
  <c r="AK30" i="1" s="1"/>
  <c r="U34" i="1"/>
  <c r="Y34" i="1" s="1"/>
  <c r="AX12" i="1"/>
  <c r="AW12" i="1"/>
  <c r="AH14" i="1"/>
  <c r="R16" i="1"/>
  <c r="X18" i="1"/>
  <c r="AK18" i="1" s="1"/>
  <c r="R19" i="1"/>
  <c r="X22" i="1"/>
  <c r="AK22" i="1" s="1"/>
  <c r="AX33" i="1"/>
  <c r="AW33" i="1"/>
  <c r="P7" i="1"/>
  <c r="T11" i="1"/>
  <c r="V13" i="1"/>
  <c r="AI13" i="1" s="1"/>
  <c r="S14" i="1"/>
  <c r="T14" i="1" s="1"/>
  <c r="P17" i="1"/>
  <c r="S19" i="1"/>
  <c r="T19" i="1" s="1"/>
  <c r="AX22" i="1"/>
  <c r="AW22" i="1"/>
  <c r="AH24" i="1"/>
  <c r="AW28" i="1"/>
  <c r="R29" i="1"/>
  <c r="Y31" i="1"/>
  <c r="P32" i="1"/>
  <c r="U5" i="1"/>
  <c r="AH5" i="1"/>
  <c r="AH7" i="1"/>
  <c r="Y9" i="1"/>
  <c r="P12" i="1"/>
  <c r="P14" i="1"/>
  <c r="AH17" i="1"/>
  <c r="S24" i="1"/>
  <c r="X24" i="1" s="1"/>
  <c r="S29" i="1"/>
  <c r="T29" i="1" s="1"/>
  <c r="AH32" i="1"/>
  <c r="AW34" i="1"/>
  <c r="L29" i="1"/>
  <c r="AW32" i="1"/>
  <c r="H36" i="1"/>
  <c r="L8" i="1"/>
  <c r="AW11" i="1"/>
  <c r="AW21" i="1"/>
  <c r="L28" i="1"/>
  <c r="AW31" i="1"/>
  <c r="Y11" i="2" l="1"/>
  <c r="AK22" i="2"/>
  <c r="Y22" i="2"/>
  <c r="AF34" i="2"/>
  <c r="AG33" i="2"/>
  <c r="W33" i="2"/>
  <c r="W34" i="2" s="1"/>
  <c r="Y24" i="2"/>
  <c r="V33" i="2"/>
  <c r="V34" i="2" s="1"/>
  <c r="Y29" i="2"/>
  <c r="U33" i="2"/>
  <c r="Y31" i="2"/>
  <c r="L33" i="2"/>
  <c r="K34" i="2"/>
  <c r="AK32" i="2"/>
  <c r="Y32" i="2"/>
  <c r="S33" i="2"/>
  <c r="X33" i="2"/>
  <c r="L34" i="2"/>
  <c r="Y20" i="2"/>
  <c r="Y21" i="2"/>
  <c r="R33" i="2"/>
  <c r="Q34" i="2"/>
  <c r="R34" i="2" s="1"/>
  <c r="Y8" i="2"/>
  <c r="P33" i="2"/>
  <c r="O34" i="2"/>
  <c r="P34" i="2" s="1"/>
  <c r="AM42" i="2"/>
  <c r="AL42" i="2"/>
  <c r="T21" i="2"/>
  <c r="T31" i="2"/>
  <c r="AW33" i="2"/>
  <c r="AW35" i="2" s="1"/>
  <c r="X12" i="2"/>
  <c r="Q37" i="1"/>
  <c r="R37" i="1" s="1"/>
  <c r="R36" i="1"/>
  <c r="T15" i="1"/>
  <c r="U36" i="1"/>
  <c r="Y29" i="1"/>
  <c r="Y22" i="1"/>
  <c r="AK28" i="1"/>
  <c r="Y28" i="1"/>
  <c r="Y18" i="1"/>
  <c r="AM45" i="1"/>
  <c r="AL45" i="1"/>
  <c r="Y15" i="1"/>
  <c r="AH36" i="1"/>
  <c r="AN38" i="1" s="1"/>
  <c r="AX36" i="1"/>
  <c r="AF37" i="1"/>
  <c r="AG36" i="1"/>
  <c r="S36" i="1"/>
  <c r="X5" i="1"/>
  <c r="T35" i="1"/>
  <c r="Y26" i="1"/>
  <c r="AJ6" i="1"/>
  <c r="AJ36" i="1" s="1"/>
  <c r="AJ37" i="1" s="1"/>
  <c r="W36" i="1"/>
  <c r="W37" i="1" s="1"/>
  <c r="L38" i="1"/>
  <c r="K46" i="1"/>
  <c r="K47" i="1" s="1"/>
  <c r="L47" i="1"/>
  <c r="T5" i="1"/>
  <c r="AW36" i="1"/>
  <c r="AW38" i="1" s="1"/>
  <c r="T24" i="1"/>
  <c r="X8" i="1"/>
  <c r="X19" i="1"/>
  <c r="Y20" i="1"/>
  <c r="X33" i="1"/>
  <c r="T33" i="1"/>
  <c r="Y30" i="1"/>
  <c r="Y24" i="1"/>
  <c r="AK24" i="1"/>
  <c r="T26" i="1"/>
  <c r="AK14" i="1"/>
  <c r="Y14" i="1"/>
  <c r="T16" i="1"/>
  <c r="Y35" i="1"/>
  <c r="AI5" i="1"/>
  <c r="AI36" i="1" s="1"/>
  <c r="AI37" i="1" s="1"/>
  <c r="V36" i="1"/>
  <c r="V37" i="1" s="1"/>
  <c r="P36" i="1"/>
  <c r="O37" i="1"/>
  <c r="P37" i="1" s="1"/>
  <c r="X23" i="1"/>
  <c r="Y33" i="2" l="1"/>
  <c r="X34" i="2"/>
  <c r="Y34" i="2" s="1"/>
  <c r="T33" i="2"/>
  <c r="S34" i="2"/>
  <c r="AG35" i="2"/>
  <c r="AF43" i="2"/>
  <c r="AF44" i="2" s="1"/>
  <c r="AG34" i="2"/>
  <c r="AG44" i="2"/>
  <c r="L44" i="2"/>
  <c r="L35" i="2"/>
  <c r="K43" i="2"/>
  <c r="K44" i="2" s="1"/>
  <c r="AK12" i="2"/>
  <c r="AK33" i="2" s="1"/>
  <c r="Y12" i="2"/>
  <c r="AK8" i="1"/>
  <c r="Y8" i="1"/>
  <c r="AK5" i="1"/>
  <c r="X36" i="1"/>
  <c r="S37" i="1"/>
  <c r="T36" i="1"/>
  <c r="AK23" i="1"/>
  <c r="Y23" i="1"/>
  <c r="AG47" i="1"/>
  <c r="AG38" i="1"/>
  <c r="AF46" i="1"/>
  <c r="AF47" i="1" s="1"/>
  <c r="AG37" i="1"/>
  <c r="Y5" i="1"/>
  <c r="Y33" i="1"/>
  <c r="AK33" i="1"/>
  <c r="AK19" i="1"/>
  <c r="Y19" i="1"/>
  <c r="AK37" i="2" l="1"/>
  <c r="AL37" i="2" s="1"/>
  <c r="AK34" i="2"/>
  <c r="T34" i="2"/>
  <c r="T35" i="2"/>
  <c r="S43" i="2"/>
  <c r="S44" i="2" s="1"/>
  <c r="T44" i="2"/>
  <c r="T38" i="1"/>
  <c r="S46" i="1"/>
  <c r="S47" i="1" s="1"/>
  <c r="T47" i="1"/>
  <c r="T37" i="1"/>
  <c r="Y36" i="1"/>
  <c r="X37" i="1"/>
  <c r="Y37" i="1" s="1"/>
  <c r="AK36" i="1"/>
  <c r="AL35" i="2" l="1"/>
  <c r="AL36" i="2"/>
  <c r="AK40" i="2"/>
  <c r="AK38" i="2"/>
  <c r="AL38" i="2" s="1"/>
  <c r="AL43" i="2"/>
  <c r="AK42" i="2"/>
  <c r="AK40" i="1"/>
  <c r="AL40" i="1" s="1"/>
  <c r="AK37" i="1"/>
  <c r="AK43" i="2" l="1"/>
  <c r="AK48" i="2"/>
  <c r="AK49" i="2" s="1"/>
  <c r="AK41" i="1"/>
  <c r="AL46" i="1"/>
  <c r="AK43" i="1"/>
  <c r="AL38" i="1"/>
  <c r="AL39" i="1"/>
  <c r="AL41" i="1" l="1"/>
  <c r="AK45" i="1"/>
  <c r="AK46" i="1" s="1"/>
</calcChain>
</file>

<file path=xl/sharedStrings.xml><?xml version="1.0" encoding="utf-8"?>
<sst xmlns="http://schemas.openxmlformats.org/spreadsheetml/2006/main" count="240" uniqueCount="71">
  <si>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</si>
  <si>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</si>
  <si>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</si>
  <si>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</si>
  <si>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</si>
  <si>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</si>
  <si>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</si>
  <si>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</si>
  <si>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</si>
  <si>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</si>
  <si>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</si>
  <si>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</si>
  <si>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</si>
  <si>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</si>
  <si>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</si>
  <si>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</si>
  <si>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</si>
  <si>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</si>
  <si>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</si>
  <si>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</si>
  <si>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</si>
  <si>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</si>
  <si>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</si>
  <si>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</si>
  <si>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</si>
  <si>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</si>
  <si>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</si>
  <si>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</si>
  <si>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</si>
  <si>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</si>
  <si>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</si>
  <si>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</si>
  <si>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</si>
  <si>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</si>
  <si>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</si>
  <si>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</si>
  <si>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</si>
  <si>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</si>
  <si>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</si>
  <si>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</si>
  <si>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</si>
  <si>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</si>
  <si>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</si>
  <si>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</si>
  <si>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</si>
  <si>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</si>
  <si>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</si>
  <si>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</si>
  <si>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</si>
  <si>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</si>
  <si>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</si>
  <si>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</si>
  <si>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</si>
  <si>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</si>
  <si>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</si>
  <si>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</si>
  <si>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</t>
    <rPh sb="3" eb="5">
      <t>キュウギョウ</t>
    </rPh>
    <phoneticPr fontId="3"/>
  </si>
  <si>
    <t>夜景PT</t>
    <rPh sb="0" eb="2">
      <t>ヤケイ</t>
    </rPh>
    <phoneticPr fontId="3"/>
  </si>
  <si>
    <t>席料予算</t>
    <rPh sb="0" eb="2">
      <t>セキリョウ</t>
    </rPh>
    <rPh sb="2" eb="4">
      <t>ヨサン</t>
    </rPh>
    <phoneticPr fontId="3"/>
  </si>
  <si>
    <t>その他</t>
    <rPh sb="2" eb="3">
      <t>タ</t>
    </rPh>
    <phoneticPr fontId="3"/>
  </si>
  <si>
    <t>レストラン＋T/O（人数は含まず）＋南京錠売上
 +もーりすカレーTOTAL</t>
    <phoneticPr fontId="3"/>
  </si>
  <si>
    <t>席料+南京錠+花</t>
    <phoneticPr fontId="3"/>
  </si>
  <si>
    <t>食品物販</t>
    <rPh sb="0" eb="4">
      <t>ショクヒンブッパン</t>
    </rPh>
    <phoneticPr fontId="3"/>
  </si>
  <si>
    <t>休業</t>
    <rPh sb="0" eb="2">
      <t>キュウギョウ</t>
    </rPh>
    <phoneticPr fontId="3"/>
  </si>
  <si>
    <t>ランチ休業  18:00終日運休</t>
    <rPh sb="3" eb="5">
      <t>キュウギョウ</t>
    </rPh>
    <rPh sb="12" eb="16">
      <t>シュウジツウンキュウ</t>
    </rPh>
    <phoneticPr fontId="3"/>
  </si>
  <si>
    <t>大雪による除雪作業で始発から一時運休。15:30再開</t>
  </si>
  <si>
    <t>ランチ休業</t>
  </si>
  <si>
    <t>オンハンド</t>
    <phoneticPr fontId="3"/>
  </si>
  <si>
    <t>税抜</t>
    <rPh sb="0" eb="2">
      <t>ゼ</t>
    </rPh>
    <phoneticPr fontId="3"/>
  </si>
  <si>
    <t>残り</t>
    <rPh sb="0" eb="1">
      <t>ノコ</t>
    </rPh>
    <phoneticPr fontId="3"/>
  </si>
  <si>
    <t>1日当たり</t>
    <rPh sb="1" eb="2">
      <t>ニチ</t>
    </rPh>
    <rPh sb="2" eb="3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</si>
</sst>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&quot;¥&quot;#,##0_);[Red]\(&quot;¥&quot;#,##0\)"/>
  </numFmts>
  <fonts count="2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8" fontId="4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176" fontId="4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8" fontId="4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38" fontId="7" fillId="0" borderId="15" xfId="0" applyNumberFormat="1" applyFont="1" applyBorder="1" applyAlignment="1"/>
    <xf numFmtId="38" fontId="4" fillId="0" borderId="0" xfId="0" applyNumberFormat="1" applyFont="1" applyAlignment="1"/>
    <xf numFmtId="0" fontId="7" fillId="0" borderId="0" xfId="0" applyFont="1" applyAlignment="1"/>
    <xf numFmtId="0" fontId="15" fillId="0" borderId="24" xfId="0" applyFont="1" applyBorder="1" applyAlignment="1"/>
    <xf numFmtId="38" fontId="7" fillId="0" borderId="25" xfId="0" applyNumberFormat="1" applyFont="1" applyBorder="1" applyAlignment="1"/>
    <xf numFmtId="179" fontId="7" fillId="0" borderId="26" xfId="0" applyNumberFormat="1" applyFont="1" applyBorder="1" applyAlignment="1"/>
    <xf numFmtId="180" fontId="7" fillId="0" borderId="25" xfId="0" applyNumberFormat="1" applyFont="1" applyBorder="1" applyAlignment="1"/>
    <xf numFmtId="38" fontId="16" fillId="0" borderId="26" xfId="0" applyNumberFormat="1" applyFont="1" applyBorder="1" applyAlignment="1"/>
    <xf numFmtId="38" fontId="7" fillId="0" borderId="26" xfId="0" applyNumberFormat="1" applyFont="1" applyBorder="1" applyAlignment="1"/>
    <xf numFmtId="38" fontId="7" fillId="0" borderId="24" xfId="0" applyNumberFormat="1" applyFont="1" applyBorder="1" applyAlignment="1"/>
    <xf numFmtId="38" fontId="7" fillId="5" borderId="25" xfId="0" applyNumberFormat="1" applyFont="1" applyFill="1" applyBorder="1" applyAlignment="1"/>
    <xf numFmtId="182" fontId="7" fillId="0" borderId="25" xfId="0" applyNumberFormat="1" applyFont="1" applyBorder="1" applyAlignment="1">
      <alignment shrinkToFit="1"/>
    </xf>
    <xf numFmtId="181" fontId="7" fillId="0" borderId="26" xfId="0" applyNumberFormat="1" applyFont="1" applyBorder="1" applyAlignment="1"/>
    <xf numFmtId="38" fontId="16" fillId="0" borderId="25" xfId="0" applyNumberFormat="1" applyFont="1" applyBorder="1" applyAlignment="1"/>
    <xf numFmtId="38" fontId="12" fillId="5" borderId="25" xfId="0" applyNumberFormat="1" applyFont="1" applyFill="1" applyBorder="1" applyAlignment="1"/>
    <xf numFmtId="182" fontId="17" fillId="0" borderId="26" xfId="0" applyNumberFormat="1" applyFont="1" applyBorder="1" applyAlignment="1">
      <alignment shrinkToFit="1"/>
    </xf>
    <xf numFmtId="38" fontId="17" fillId="0" borderId="25" xfId="0" applyNumberFormat="1" applyFont="1" applyBorder="1" applyAlignment="1"/>
    <xf numFmtId="38" fontId="16" fillId="5" borderId="25" xfId="0" applyNumberFormat="1" applyFont="1" applyFill="1" applyBorder="1" applyAlignment="1"/>
    <xf numFmtId="182" fontId="16" fillId="0" borderId="26" xfId="0" applyNumberFormat="1" applyFont="1" applyBorder="1" applyAlignment="1">
      <alignment shrinkToFit="1"/>
    </xf>
    <xf numFmtId="38" fontId="17" fillId="0" borderId="26" xfId="0" applyNumberFormat="1" applyFont="1" applyBorder="1" applyAlignment="1"/>
    <xf numFmtId="38" fontId="11" fillId="5" borderId="25" xfId="0" applyNumberFormat="1" applyFont="1" applyFill="1" applyBorder="1" applyAlignment="1"/>
    <xf numFmtId="182" fontId="16" fillId="0" borderId="26" xfId="0" applyNumberFormat="1" applyFont="1" applyBorder="1" applyAlignment="1"/>
    <xf numFmtId="38" fontId="7" fillId="5" borderId="15" xfId="0" applyNumberFormat="1" applyFont="1" applyFill="1" applyBorder="1" applyAlignment="1"/>
    <xf numFmtId="38" fontId="7" fillId="8" borderId="15" xfId="0" applyNumberFormat="1" applyFont="1" applyFill="1" applyBorder="1" applyAlignment="1"/>
    <xf numFmtId="0" fontId="15" fillId="0" borderId="0" xfId="0" applyFont="1" applyAlignment="1"/>
    <xf numFmtId="0" fontId="7" fillId="0" borderId="6" xfId="0" applyFont="1" applyBorder="1" applyAlignment="1"/>
    <xf numFmtId="38" fontId="16" fillId="0" borderId="15" xfId="0" applyNumberFormat="1" applyFont="1" applyBorder="1" applyAlignment="1"/>
    <xf numFmtId="38" fontId="12" fillId="5" borderId="15" xfId="0" applyNumberFormat="1" applyFont="1" applyFill="1" applyBorder="1" applyAlignment="1"/>
    <xf numFmtId="182" fontId="7" fillId="0" borderId="0" xfId="0" applyNumberFormat="1" applyFont="1" applyAlignment="1">
      <alignment shrinkToFit="1"/>
    </xf>
    <xf numFmtId="179" fontId="7" fillId="0" borderId="0" xfId="0" applyNumberFormat="1" applyFont="1" applyAlignment="1"/>
    <xf numFmtId="182" fontId="17" fillId="0" borderId="0" xfId="0" applyNumberFormat="1" applyFont="1" applyAlignment="1"/>
    <xf numFmtId="38" fontId="16" fillId="5" borderId="15" xfId="0" applyNumberFormat="1" applyFont="1" applyFill="1" applyBorder="1" applyAlignment="1"/>
    <xf numFmtId="182" fontId="7" fillId="0" borderId="0" xfId="0" applyNumberFormat="1" applyFont="1" applyAlignment="1"/>
    <xf numFmtId="38" fontId="17" fillId="0" borderId="15" xfId="0" applyNumberFormat="1" applyFont="1" applyBorder="1" applyAlignment="1"/>
    <xf numFmtId="38" fontId="7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183" fontId="7" fillId="0" borderId="0" xfId="0" applyNumberFormat="1" applyFont="1" applyAlignment="1"/>
    <xf numFmtId="183" fontId="7" fillId="6" borderId="0" xfId="0" applyNumberFormat="1" applyFont="1" applyFill="1" applyAlignment="1"/>
    <xf numFmtId="183" fontId="18" fillId="0" borderId="0" xfId="0" applyNumberFormat="1" applyFont="1" applyAlignment="1"/>
    <xf numFmtId="183" fontId="7" fillId="0" borderId="0" xfId="0" applyNumberFormat="1" applyFont="1" applyAlignment="1">
      <alignment horizontal="right"/>
    </xf>
    <xf numFmtId="184" fontId="16" fillId="0" borderId="0" xfId="0" applyNumberFormat="1" applyFont="1" applyAlignment="1"/>
    <xf numFmtId="184" fontId="16" fillId="0" borderId="0" xfId="0" applyNumberFormat="1" applyFont="1" applyAlignment="1">
      <alignment shrinkToFit="1"/>
    </xf>
    <xf numFmtId="183" fontId="7" fillId="4" borderId="0" xfId="0" applyNumberFormat="1" applyFont="1" applyFill="1" applyAlignment="1"/>
    <xf numFmtId="184" fontId="7" fillId="0" borderId="0" xfId="0" applyNumberFormat="1" applyFont="1" applyAlignment="1"/>
    <xf numFmtId="3" fontId="4" fillId="0" borderId="0" xfId="0" applyNumberFormat="1" applyFont="1" applyAlignment="1"/>
    <xf numFmtId="0" fontId="4" fillId="0" borderId="18" xfId="0" applyFont="1" applyBorder="1" applyAlignment="1"/>
    <xf numFmtId="0" fontId="4" fillId="0" borderId="23" xfId="0" applyFont="1" applyBorder="1" applyAlignment="1">
      <alignment horizontal="right"/>
    </xf>
    <xf numFmtId="183" fontId="7" fillId="8" borderId="0" xfId="0" applyNumberFormat="1" applyFont="1" applyFill="1" applyAlignment="1"/>
    <xf numFmtId="0" fontId="4" fillId="0" borderId="27" xfId="0" applyFont="1" applyBorder="1" applyAlignment="1"/>
    <xf numFmtId="185" fontId="4" fillId="0" borderId="0" xfId="0" applyNumberFormat="1" applyFont="1" applyAlignme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84" fontId="1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84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86" fontId="7" fillId="0" borderId="0" xfId="0" applyNumberFormat="1" applyFont="1" applyAlignment="1"/>
    <xf numFmtId="38" fontId="19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8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21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shrinkToFit="1"/>
    </xf>
    <xf numFmtId="176" fontId="22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shrinkToFit="1"/>
    </xf>
    <xf numFmtId="177" fontId="4" fillId="0" borderId="29" xfId="0" applyNumberFormat="1" applyFont="1" applyBorder="1" applyAlignment="1">
      <alignment horizontal="center" vertical="center" wrapText="1"/>
    </xf>
    <xf numFmtId="178" fontId="5" fillId="0" borderId="16" xfId="0" applyNumberFormat="1" applyFont="1" applyBorder="1">
      <alignment vertical="center"/>
    </xf>
    <xf numFmtId="38" fontId="4" fillId="0" borderId="16" xfId="0" applyNumberFormat="1" applyFont="1" applyBorder="1" applyAlignment="1">
      <alignment horizontal="center" vertical="center"/>
    </xf>
    <xf numFmtId="179" fontId="4" fillId="0" borderId="17" xfId="0" applyNumberFormat="1" applyFont="1" applyBorder="1">
      <alignment vertical="center"/>
    </xf>
    <xf numFmtId="180" fontId="4" fillId="2" borderId="17" xfId="0" applyNumberFormat="1" applyFont="1" applyFill="1" applyBorder="1">
      <alignment vertical="center"/>
    </xf>
    <xf numFmtId="38" fontId="4" fillId="6" borderId="17" xfId="0" applyNumberFormat="1" applyFont="1" applyFill="1" applyBorder="1">
      <alignment vertical="center"/>
    </xf>
    <xf numFmtId="38" fontId="7" fillId="0" borderId="18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38" fontId="12" fillId="2" borderId="17" xfId="0" applyNumberFormat="1" applyFont="1" applyFill="1" applyBorder="1">
      <alignment vertical="center"/>
    </xf>
    <xf numFmtId="40" fontId="4" fillId="0" borderId="19" xfId="0" applyNumberFormat="1" applyFont="1" applyBorder="1">
      <alignment vertical="center"/>
    </xf>
    <xf numFmtId="181" fontId="4" fillId="0" borderId="17" xfId="0" applyNumberFormat="1" applyFont="1" applyBorder="1">
      <alignment vertical="center"/>
    </xf>
    <xf numFmtId="180" fontId="4" fillId="3" borderId="17" xfId="0" applyNumberFormat="1" applyFont="1" applyFill="1" applyBorder="1">
      <alignment vertical="center"/>
    </xf>
    <xf numFmtId="38" fontId="4" fillId="0" borderId="17" xfId="0" applyNumberFormat="1" applyFont="1" applyBorder="1">
      <alignment vertical="center"/>
    </xf>
    <xf numFmtId="38" fontId="12" fillId="0" borderId="15" xfId="0" applyNumberFormat="1" applyFont="1" applyBorder="1">
      <alignment vertical="center"/>
    </xf>
    <xf numFmtId="180" fontId="4" fillId="0" borderId="20" xfId="0" applyNumberFormat="1" applyFont="1" applyBorder="1">
      <alignment vertical="center"/>
    </xf>
    <xf numFmtId="38" fontId="4" fillId="7" borderId="16" xfId="0" applyNumberFormat="1" applyFont="1" applyFill="1" applyBorder="1">
      <alignment vertical="center"/>
    </xf>
    <xf numFmtId="179" fontId="4" fillId="4" borderId="17" xfId="0" applyNumberFormat="1" applyFont="1" applyFill="1" applyBorder="1">
      <alignment vertical="center"/>
    </xf>
    <xf numFmtId="180" fontId="4" fillId="0" borderId="17" xfId="0" applyNumberFormat="1" applyFont="1" applyBorder="1">
      <alignment vertical="center"/>
    </xf>
    <xf numFmtId="38" fontId="4" fillId="3" borderId="15" xfId="0" applyNumberFormat="1" applyFont="1" applyFill="1" applyBorder="1">
      <alignment vertical="center"/>
    </xf>
    <xf numFmtId="38" fontId="12" fillId="0" borderId="16" xfId="0" applyNumberFormat="1" applyFont="1" applyBorder="1">
      <alignment vertical="center"/>
    </xf>
    <xf numFmtId="38" fontId="4" fillId="0" borderId="15" xfId="0" applyNumberFormat="1" applyFont="1" applyBorder="1">
      <alignment vertical="center"/>
    </xf>
    <xf numFmtId="38" fontId="7" fillId="0" borderId="15" xfId="0" applyNumberFormat="1" applyFont="1" applyBorder="1">
      <alignment vertical="center"/>
    </xf>
    <xf numFmtId="38" fontId="4" fillId="7" borderId="15" xfId="0" applyNumberFormat="1" applyFont="1" applyFill="1" applyBorder="1">
      <alignment vertical="center"/>
    </xf>
    <xf numFmtId="178" fontId="5" fillId="0" borderId="6" xfId="0" applyNumberFormat="1" applyFont="1" applyBorder="1">
      <alignment vertical="center"/>
    </xf>
    <xf numFmtId="180" fontId="4" fillId="0" borderId="21" xfId="0" applyNumberFormat="1" applyFont="1" applyBorder="1">
      <alignment vertical="center"/>
    </xf>
    <xf numFmtId="38" fontId="12" fillId="8" borderId="16" xfId="0" applyNumberFormat="1" applyFont="1" applyFill="1" applyBorder="1">
      <alignment vertical="center"/>
    </xf>
    <xf numFmtId="178" fontId="14" fillId="0" borderId="6" xfId="0" applyNumberFormat="1" applyFont="1" applyBorder="1">
      <alignment vertical="center"/>
    </xf>
    <xf numFmtId="178" fontId="13" fillId="0" borderId="6" xfId="0" applyNumberFormat="1" applyFont="1" applyBorder="1">
      <alignment vertical="center"/>
    </xf>
    <xf numFmtId="38" fontId="7" fillId="8" borderId="16" xfId="0" applyNumberFormat="1" applyFont="1" applyFill="1" applyBorder="1">
      <alignment vertical="center"/>
    </xf>
    <xf numFmtId="38" fontId="7" fillId="0" borderId="26" xfId="0" applyNumberFormat="1" applyFont="1" applyBorder="1" applyAlignment="1">
      <alignment horizontal="center"/>
    </xf>
    <xf numFmtId="0" fontId="7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0" borderId="27" xfId="0" applyFont="1" applyBorder="1" applyAlignment="1">
      <alignment shrinkToFit="1"/>
    </xf>
    <xf numFmtId="38" fontId="7" fillId="9" borderId="0" xfId="0" applyNumberFormat="1" applyFont="1" applyFill="1" applyAlignment="1">
      <alignment horizontal="right"/>
    </xf>
    <xf numFmtId="38" fontId="7" fillId="9" borderId="0" xfId="0" applyNumberFormat="1" applyFont="1" applyFill="1" applyAlignment="1"/>
    <xf numFmtId="0" fontId="19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/>
    </xf>
    <xf numFmtId="178" fontId="23" fillId="0" borderId="6" xfId="0" applyNumberFormat="1" applyFont="1" applyBorder="1">
      <alignment vertical="center"/>
    </xf>
    <xf numFmtId="38" fontId="7" fillId="0" borderId="30" xfId="0" applyNumberFormat="1" applyFont="1" applyBorder="1" applyAlignment="1"/>
    <xf numFmtId="38" fontId="7" fillId="0" borderId="4" xfId="0" applyNumberFormat="1" applyFont="1" applyBorder="1" applyAlignment="1"/>
    <xf numFmtId="38" fontId="7" fillId="0" borderId="31" xfId="0" applyNumberFormat="1" applyFont="1" applyBorder="1" applyAlignment="1"/>
    <xf numFmtId="38" fontId="5" fillId="0" borderId="6" xfId="0" applyNumberFormat="1" applyFont="1" applyBorder="1" applyAlignment="1">
      <alignment vertical="center" shrinkToFit="1"/>
    </xf>
    <xf numFmtId="38" fontId="6" fillId="0" borderId="0" xfId="0" applyNumberFormat="1" applyFont="1">
      <alignment vertical="center"/>
    </xf>
    <xf numFmtId="187" fontId="7" fillId="5" borderId="0" xfId="0" applyNumberFormat="1" applyFont="1" applyFill="1" applyAlignment="1"/>
    <xf numFmtId="187" fontId="7" fillId="10" borderId="0" xfId="0" applyNumberFormat="1" applyFont="1" applyFill="1" applyAlignment="1"/>
    <xf numFmtId="38" fontId="7" fillId="11" borderId="15" xfId="0" applyNumberFormat="1" applyFont="1" applyFill="1" applyBorder="1">
      <alignment vertical="center"/>
    </xf>
    <xf numFmtId="178" fontId="23" fillId="11" borderId="6" xfId="0" applyNumberFormat="1" applyFont="1" applyFill="1" applyBorder="1">
      <alignment vertical="center"/>
    </xf>
    <xf numFmtId="180" fontId="4" fillId="12" borderId="17" xfId="0" applyNumberFormat="1" applyFont="1" applyFill="1" applyBorder="1">
      <alignment vertical="center"/>
    </xf>
    <xf numFmtId="178" fontId="14" fillId="11" borderId="6" xfId="0" applyNumberFormat="1" applyFont="1" applyFill="1" applyBorder="1">
      <alignment vertical="center"/>
    </xf>
    <xf numFmtId="178" fontId="13" fillId="11" borderId="6" xfId="0" applyNumberFormat="1" applyFont="1" applyFill="1" applyBorder="1">
      <alignment vertical="center"/>
    </xf>
    <xf numFmtId="178" fontId="5" fillId="11" borderId="6" xfId="0" applyNumberFormat="1" applyFont="1" applyFill="1" applyBorder="1">
      <alignment vertical="center"/>
    </xf>
    <xf numFmtId="0" fontId="13" fillId="0" borderId="0" xfId="0" applyFont="1" applyAlignment="1"/>
    <xf numFmtId="38" fontId="4" fillId="0" borderId="19" xfId="0" applyNumberFormat="1" applyFont="1" applyBorder="1" applyAlignment="1">
      <alignment horizontal="center" vertical="center"/>
    </xf>
    <xf numFmtId="179" fontId="4" fillId="0" borderId="18" xfId="0" applyNumberFormat="1" applyFont="1" applyBorder="1">
      <alignment vertical="center"/>
    </xf>
    <xf numFmtId="38" fontId="4" fillId="6" borderId="18" xfId="0" applyNumberFormat="1" applyFont="1" applyFill="1" applyBorder="1">
      <alignment vertical="center"/>
    </xf>
    <xf numFmtId="38" fontId="7" fillId="0" borderId="19" xfId="0" applyNumberFormat="1" applyFont="1" applyBorder="1">
      <alignment vertical="center"/>
    </xf>
    <xf numFmtId="38" fontId="4" fillId="0" borderId="0" xfId="1" applyFont="1" applyAlignment="1">
      <alignment horizontal="right" vertical="center"/>
    </xf>
    <xf numFmtId="38" fontId="4" fillId="0" borderId="0" xfId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horizontal="left" vertical="top" wrapText="1"/>
    </xf>
    <xf numFmtId="0" fontId="10" fillId="0" borderId="2" xfId="0" applyFont="1" applyBorder="1" applyAlignment="1"/>
    <xf numFmtId="0" fontId="10" fillId="0" borderId="22" xfId="0" applyFont="1" applyBorder="1" applyAlignment="1"/>
    <xf numFmtId="0" fontId="10" fillId="0" borderId="23" xfId="0" applyFont="1" applyBorder="1" applyAlignment="1"/>
    <xf numFmtId="0" fontId="6" fillId="0" borderId="0" xfId="0" applyFont="1" applyAlignment="1"/>
    <xf numFmtId="0" fontId="10" fillId="0" borderId="27" xfId="0" applyFont="1" applyBorder="1" applyAlignment="1"/>
    <xf numFmtId="0" fontId="10" fillId="0" borderId="16" xfId="0" applyFont="1" applyBorder="1" applyAlignment="1"/>
    <xf numFmtId="0" fontId="10" fillId="0" borderId="19" xfId="0" applyFont="1" applyBorder="1" applyAlignment="1"/>
    <xf numFmtId="0" fontId="10" fillId="0" borderId="18" xfId="0" applyFont="1" applyBorder="1" applyAlignme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5" xfId="0" applyFont="1" applyBorder="1" applyAlignment="1"/>
    <xf numFmtId="177" fontId="8" fillId="0" borderId="1" xfId="0" applyNumberFormat="1" applyFont="1" applyBorder="1" applyAlignment="1">
      <alignment horizontal="center" vertical="center" wrapText="1"/>
    </xf>
    <xf numFmtId="0" fontId="10" fillId="0" borderId="7" xfId="0" applyFont="1" applyBorder="1" applyAlignment="1"/>
    <xf numFmtId="0" fontId="9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88" fontId="24" fillId="0" borderId="0" xfId="0" applyNumberFormat="1" applyFont="1" applyAlignment="1"/>
    <xf numFmtId="178" fontId="13" fillId="0" borderId="16" xfId="0" applyNumberFormat="1" applyFont="1" applyBorder="1">
      <alignment vertical="center"/>
    </xf>
    <xf numFmtId="38" fontId="4" fillId="0" borderId="6" xfId="0" applyNumberFormat="1" applyFont="1" applyBorder="1" applyAlignment="1">
      <alignment vertical="center" shrinkToFit="1"/>
    </xf>
    <xf numFmtId="38" fontId="7" fillId="0" borderId="25" xfId="0" applyNumberFormat="1" applyFont="1" applyBorder="1" applyAlignment="1">
      <alignment shrinkToFit="1"/>
    </xf>
    <xf numFmtId="38" fontId="7" fillId="0" borderId="0" xfId="1" applyFont="1" applyAlignment="1"/>
    <xf numFmtId="1" fontId="4" fillId="0" borderId="0" xfId="0" applyNumberFormat="1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78990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493377</xdr:colOff>
      <xdr:row>45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X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49" customWidth="1"/>
    <col min="4" max="4" width="4.7109375" style="150" customWidth="1"/>
    <col min="5" max="5" width="3.42578125" style="5" customWidth="1"/>
    <col min="6" max="7" width="6.28515625" style="5" customWidth="1"/>
    <col min="8" max="8" width="9.7109375" style="5" customWidth="1"/>
    <col min="9" max="9" width="6.710937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7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4" width="6.28515625" style="5" customWidth="1"/>
    <col min="35" max="35" width="6.85546875" style="5" customWidth="1"/>
    <col min="36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0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1541820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06">
        <v>2026</v>
      </c>
      <c r="B2" s="107">
        <v>1</v>
      </c>
      <c r="C2" s="108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188" t="s">
        <v>2</v>
      </c>
      <c r="C3" s="109"/>
      <c r="D3" s="110"/>
      <c r="E3" s="190" t="s">
        <v>3</v>
      </c>
      <c r="F3" s="174"/>
      <c r="G3" s="174"/>
      <c r="H3" s="174"/>
      <c r="I3" s="174"/>
      <c r="J3" s="174"/>
      <c r="K3" s="174"/>
      <c r="L3" s="174"/>
      <c r="M3" s="191" t="s">
        <v>4</v>
      </c>
      <c r="N3" s="174"/>
      <c r="O3" s="174"/>
      <c r="P3" s="174"/>
      <c r="Q3" s="174"/>
      <c r="R3" s="174"/>
      <c r="S3" s="174"/>
      <c r="T3" s="174"/>
      <c r="U3" s="182" t="s">
        <v>5</v>
      </c>
      <c r="V3" s="186"/>
      <c r="W3" s="186"/>
      <c r="X3" s="186"/>
      <c r="Y3" s="187"/>
      <c r="Z3" s="192" t="s">
        <v>6</v>
      </c>
      <c r="AA3" s="174"/>
      <c r="AB3" s="174"/>
      <c r="AC3" s="174"/>
      <c r="AD3" s="174"/>
      <c r="AE3" s="174"/>
      <c r="AF3" s="174"/>
      <c r="AG3" s="174"/>
      <c r="AH3" s="182" t="s">
        <v>60</v>
      </c>
      <c r="AI3" s="183"/>
      <c r="AJ3" s="183"/>
      <c r="AK3" s="183"/>
      <c r="AL3" s="183"/>
      <c r="AM3" s="184"/>
      <c r="AN3" s="185" t="s">
        <v>7</v>
      </c>
      <c r="AO3" s="186"/>
      <c r="AP3" s="186"/>
      <c r="AQ3" s="186"/>
      <c r="AR3" s="186"/>
      <c r="AS3" s="186"/>
      <c r="AT3" s="186"/>
      <c r="AU3" s="187"/>
      <c r="AV3" s="3"/>
      <c r="AW3" s="4"/>
    </row>
    <row r="4" spans="1:50" ht="53.25" customHeight="1" thickBot="1">
      <c r="A4" s="6"/>
      <c r="B4" s="189"/>
      <c r="C4" s="111" t="s">
        <v>8</v>
      </c>
      <c r="D4" s="112" t="s">
        <v>57</v>
      </c>
      <c r="E4" s="11" t="s">
        <v>9</v>
      </c>
      <c r="F4" s="10" t="s">
        <v>10</v>
      </c>
      <c r="G4" s="9" t="s">
        <v>11</v>
      </c>
      <c r="H4" s="11" t="s">
        <v>12</v>
      </c>
      <c r="I4" s="9" t="s">
        <v>13</v>
      </c>
      <c r="J4" s="12" t="s">
        <v>14</v>
      </c>
      <c r="K4" s="10" t="s">
        <v>15</v>
      </c>
      <c r="L4" s="9" t="s">
        <v>16</v>
      </c>
      <c r="M4" s="9" t="s">
        <v>17</v>
      </c>
      <c r="N4" s="13" t="s">
        <v>10</v>
      </c>
      <c r="O4" s="9" t="s">
        <v>11</v>
      </c>
      <c r="P4" s="11" t="s">
        <v>12</v>
      </c>
      <c r="Q4" s="9" t="s">
        <v>13</v>
      </c>
      <c r="R4" s="12" t="s">
        <v>14</v>
      </c>
      <c r="S4" s="10" t="s">
        <v>15</v>
      </c>
      <c r="T4" s="14" t="s">
        <v>16</v>
      </c>
      <c r="U4" s="15" t="s">
        <v>18</v>
      </c>
      <c r="V4" s="16" t="s">
        <v>19</v>
      </c>
      <c r="W4" s="16" t="s">
        <v>20</v>
      </c>
      <c r="X4" s="17" t="s">
        <v>21</v>
      </c>
      <c r="Y4" s="16"/>
      <c r="Z4" s="18" t="s">
        <v>22</v>
      </c>
      <c r="AA4" s="19" t="s">
        <v>10</v>
      </c>
      <c r="AB4" s="9" t="s">
        <v>19</v>
      </c>
      <c r="AC4" s="11" t="s">
        <v>23</v>
      </c>
      <c r="AD4" s="9" t="s">
        <v>20</v>
      </c>
      <c r="AE4" s="12" t="s">
        <v>24</v>
      </c>
      <c r="AF4" s="13" t="s">
        <v>25</v>
      </c>
      <c r="AG4" s="20" t="s">
        <v>16</v>
      </c>
      <c r="AH4" s="15" t="s">
        <v>18</v>
      </c>
      <c r="AI4" s="16" t="s">
        <v>19</v>
      </c>
      <c r="AJ4" s="16" t="s">
        <v>20</v>
      </c>
      <c r="AK4" s="17" t="s">
        <v>21</v>
      </c>
      <c r="AL4" s="16" t="s">
        <v>61</v>
      </c>
      <c r="AM4" s="16" t="s">
        <v>62</v>
      </c>
      <c r="AN4" s="21" t="s">
        <v>26</v>
      </c>
      <c r="AO4" s="21" t="s">
        <v>27</v>
      </c>
      <c r="AP4" s="21" t="s">
        <v>28</v>
      </c>
      <c r="AQ4" s="21" t="s">
        <v>29</v>
      </c>
      <c r="AR4" s="21" t="s">
        <v>30</v>
      </c>
      <c r="AS4" s="21" t="s">
        <v>31</v>
      </c>
      <c r="AT4" s="21" t="s">
        <v>32</v>
      </c>
      <c r="AU4" s="22" t="s">
        <v>33</v>
      </c>
      <c r="AV4" s="3"/>
      <c r="AW4" s="4"/>
    </row>
    <row r="5" spans="1:50" ht="13.5" customHeight="1" thickTop="1">
      <c r="A5" s="103"/>
      <c r="B5" s="113">
        <f>DATE($A$2,$B$2,1)</f>
        <v>46023</v>
      </c>
      <c r="C5" s="155" t="s">
        <v>63</v>
      </c>
      <c r="D5" s="114"/>
      <c r="E5" s="115"/>
      <c r="F5" s="116"/>
      <c r="G5" s="117"/>
      <c r="H5" s="118" t="e">
        <f t="shared" ref="H5:H34" si="0">ROUNDDOWN(G5/1.1,0)/F5</f>
        <v>#DIV/0!</v>
      </c>
      <c r="I5" s="117"/>
      <c r="J5" s="119" t="e">
        <f t="shared" ref="J5:J29" si="1">ROUNDDOWN(I5/1.1,0)/F5</f>
        <v>#DIV/0!</v>
      </c>
      <c r="K5" s="120">
        <f>G5+I5</f>
        <v>0</v>
      </c>
      <c r="L5" s="121" t="str">
        <f t="shared" ref="L5:L35" si="2">IF(F5="","",K5/F5)</f>
        <v/>
      </c>
      <c r="M5" s="122"/>
      <c r="N5" s="123">
        <f>AN5-F5</f>
        <v>0</v>
      </c>
      <c r="O5" s="124">
        <f>AO5-G5</f>
        <v>0</v>
      </c>
      <c r="P5" s="118" t="e">
        <f t="shared" ref="P5:P31" si="3">ROUNDDOWN(O5/1.1,0)/N5</f>
        <v>#DIV/0!</v>
      </c>
      <c r="Q5" s="124">
        <f>AP5-I5</f>
        <v>0</v>
      </c>
      <c r="R5" s="119" t="e">
        <f t="shared" ref="R5:R31" si="4">ROUNDDOWN(Q5/1.1,0)/N5</f>
        <v>#DIV/0!</v>
      </c>
      <c r="S5" s="125">
        <f>O5+Q5</f>
        <v>0</v>
      </c>
      <c r="T5" s="121" t="e">
        <f t="shared" ref="T5:T31" si="5">IF(N5="","",S5/N5)</f>
        <v>#DIV/0!</v>
      </c>
      <c r="U5" s="126">
        <f t="shared" ref="U5:V20" si="6">F5+N5</f>
        <v>0</v>
      </c>
      <c r="V5" s="124">
        <f t="shared" si="6"/>
        <v>0</v>
      </c>
      <c r="W5" s="124">
        <f t="shared" ref="W5:W31" si="7">I5+Q5</f>
        <v>0</v>
      </c>
      <c r="X5" s="127">
        <f>K5+S5</f>
        <v>0</v>
      </c>
      <c r="Y5" s="124" t="e">
        <f t="shared" ref="Y5:Y31" si="8">IF(U5="","",X5/U5)</f>
        <v>#DIV/0!</v>
      </c>
      <c r="Z5" s="128"/>
      <c r="AA5" s="129"/>
      <c r="AB5" s="117"/>
      <c r="AC5" s="118" t="e">
        <f t="shared" ref="AC5:AC31" si="9">AB5/AA5</f>
        <v>#DIV/0!</v>
      </c>
      <c r="AD5" s="117"/>
      <c r="AE5" s="119" t="e">
        <f t="shared" ref="AE5:AE31" si="10">AD5/AA5</f>
        <v>#DIV/0!</v>
      </c>
      <c r="AF5" s="130">
        <f>AB5+AD5</f>
        <v>0</v>
      </c>
      <c r="AG5" s="121" t="str">
        <f t="shared" ref="AG5:AG31" si="11">IF(AA5="","",AF5/AA5)</f>
        <v/>
      </c>
      <c r="AH5" s="126">
        <f t="shared" ref="AH5:AH31" si="12">SUM(F5,N5)</f>
        <v>0</v>
      </c>
      <c r="AI5" s="124">
        <f t="shared" ref="AI5:AI31" si="13">V5+AB5</f>
        <v>0</v>
      </c>
      <c r="AJ5" s="124">
        <f t="shared" ref="AJ5:AJ31" si="14">W5+AD5</f>
        <v>0</v>
      </c>
      <c r="AK5" s="131">
        <f>X5+AF5</f>
        <v>0</v>
      </c>
      <c r="AL5" s="124">
        <f t="shared" ref="AL5:AL31" si="15">AQ5+AR5+AS5</f>
        <v>0</v>
      </c>
      <c r="AM5" s="124"/>
      <c r="AN5" s="132"/>
      <c r="AO5" s="132"/>
      <c r="AP5" s="132"/>
      <c r="AQ5" s="133"/>
      <c r="AR5" s="133"/>
      <c r="AS5" s="133"/>
      <c r="AT5" s="133"/>
      <c r="AU5" s="134">
        <f>SUM(AO5:AS5)</f>
        <v>0</v>
      </c>
      <c r="AV5" s="103">
        <v>1</v>
      </c>
      <c r="AW5" s="104">
        <f>AT5+AU5</f>
        <v>0</v>
      </c>
      <c r="AX5" s="156">
        <f t="shared" ref="AX5:AX35" si="16">AU5+AF5+AM5+AT5</f>
        <v>0</v>
      </c>
    </row>
    <row r="6" spans="1:50" ht="13.5" customHeight="1">
      <c r="A6" s="103"/>
      <c r="B6" s="135">
        <f t="shared" ref="B6:B33" si="17">B5+1</f>
        <v>46024</v>
      </c>
      <c r="C6" s="155" t="s">
        <v>56</v>
      </c>
      <c r="D6" s="114">
        <v>45</v>
      </c>
      <c r="E6" s="115"/>
      <c r="F6" s="116"/>
      <c r="G6" s="117"/>
      <c r="H6" s="118" t="e">
        <f t="shared" si="0"/>
        <v>#DIV/0!</v>
      </c>
      <c r="I6" s="117"/>
      <c r="J6" s="119" t="e">
        <f t="shared" si="1"/>
        <v>#DIV/0!</v>
      </c>
      <c r="K6" s="120">
        <f>G6+I6</f>
        <v>0</v>
      </c>
      <c r="L6" s="121" t="str">
        <f t="shared" si="2"/>
        <v/>
      </c>
      <c r="M6" s="122"/>
      <c r="N6" s="123">
        <f t="shared" ref="N6:O21" si="18">AN6-F6</f>
        <v>42</v>
      </c>
      <c r="O6" s="124">
        <f t="shared" si="18"/>
        <v>487850</v>
      </c>
      <c r="P6" s="118">
        <f t="shared" si="3"/>
        <v>10559.523809523809</v>
      </c>
      <c r="Q6" s="124">
        <f t="shared" ref="Q6:Q31" si="19">AP6-I6</f>
        <v>104020</v>
      </c>
      <c r="R6" s="119">
        <f t="shared" si="4"/>
        <v>2251.5</v>
      </c>
      <c r="S6" s="125">
        <f t="shared" ref="S6:S31" si="20">O6+Q6</f>
        <v>591870</v>
      </c>
      <c r="T6" s="121">
        <f t="shared" si="5"/>
        <v>14092.142857142857</v>
      </c>
      <c r="U6" s="126">
        <f t="shared" si="6"/>
        <v>42</v>
      </c>
      <c r="V6" s="124">
        <f t="shared" si="6"/>
        <v>487850</v>
      </c>
      <c r="W6" s="124">
        <f t="shared" si="7"/>
        <v>104020</v>
      </c>
      <c r="X6" s="127">
        <f t="shared" ref="X6:X31" si="21">K6+S6</f>
        <v>591870</v>
      </c>
      <c r="Y6" s="124">
        <f t="shared" si="8"/>
        <v>14092.142857142857</v>
      </c>
      <c r="Z6" s="128"/>
      <c r="AA6" s="129">
        <v>189</v>
      </c>
      <c r="AB6" s="117">
        <v>148400</v>
      </c>
      <c r="AC6" s="118">
        <f t="shared" si="9"/>
        <v>785.18518518518522</v>
      </c>
      <c r="AD6" s="117">
        <v>52640</v>
      </c>
      <c r="AE6" s="119">
        <f t="shared" si="10"/>
        <v>278.51851851851853</v>
      </c>
      <c r="AF6" s="130">
        <f t="shared" ref="AF6:AF31" si="22">AB6+AD6</f>
        <v>201040</v>
      </c>
      <c r="AG6" s="121">
        <f t="shared" si="11"/>
        <v>1063.7037037037037</v>
      </c>
      <c r="AH6" s="126">
        <f t="shared" si="12"/>
        <v>42</v>
      </c>
      <c r="AI6" s="124">
        <f t="shared" si="13"/>
        <v>636250</v>
      </c>
      <c r="AJ6" s="124">
        <f t="shared" si="14"/>
        <v>156660</v>
      </c>
      <c r="AK6" s="131">
        <f t="shared" ref="AK6:AK31" si="23">X6+AF6</f>
        <v>792910</v>
      </c>
      <c r="AL6" s="124">
        <f t="shared" si="15"/>
        <v>47800</v>
      </c>
      <c r="AM6" s="124"/>
      <c r="AN6" s="132">
        <v>42</v>
      </c>
      <c r="AO6" s="132">
        <v>487850</v>
      </c>
      <c r="AP6" s="132">
        <v>104020</v>
      </c>
      <c r="AQ6" s="159">
        <v>41800</v>
      </c>
      <c r="AR6" s="133">
        <v>6000</v>
      </c>
      <c r="AS6" s="133"/>
      <c r="AT6" s="133"/>
      <c r="AU6" s="134">
        <f t="shared" ref="AU6:AU31" si="24">SUM(AO6:AS6)</f>
        <v>639670</v>
      </c>
      <c r="AV6" s="103">
        <v>2</v>
      </c>
      <c r="AW6" s="104">
        <f t="shared" ref="AW6:AW31" si="25">AT6+AU6</f>
        <v>639670</v>
      </c>
      <c r="AX6" s="156">
        <f t="shared" si="16"/>
        <v>840710</v>
      </c>
    </row>
    <row r="7" spans="1:50" ht="13.5" customHeight="1">
      <c r="A7" s="103"/>
      <c r="B7" s="138">
        <f t="shared" si="17"/>
        <v>46025</v>
      </c>
      <c r="C7" s="155"/>
      <c r="D7" s="114">
        <v>96</v>
      </c>
      <c r="E7" s="115"/>
      <c r="F7" s="116">
        <v>28</v>
      </c>
      <c r="G7" s="117">
        <v>68640</v>
      </c>
      <c r="H7" s="118">
        <f t="shared" si="0"/>
        <v>2228.5714285714284</v>
      </c>
      <c r="I7" s="117">
        <v>7890</v>
      </c>
      <c r="J7" s="119">
        <f t="shared" si="1"/>
        <v>256.14285714285717</v>
      </c>
      <c r="K7" s="120">
        <f>G7+I7</f>
        <v>76530</v>
      </c>
      <c r="L7" s="121">
        <f t="shared" si="2"/>
        <v>2733.2142857142858</v>
      </c>
      <c r="M7" s="122"/>
      <c r="N7" s="123">
        <f t="shared" si="18"/>
        <v>39</v>
      </c>
      <c r="O7" s="124">
        <f t="shared" si="18"/>
        <v>385330</v>
      </c>
      <c r="P7" s="118">
        <f t="shared" si="3"/>
        <v>8982.0512820512813</v>
      </c>
      <c r="Q7" s="124">
        <f t="shared" si="19"/>
        <v>51740</v>
      </c>
      <c r="R7" s="119">
        <f t="shared" si="4"/>
        <v>1206.051282051282</v>
      </c>
      <c r="S7" s="125">
        <f t="shared" si="20"/>
        <v>437070</v>
      </c>
      <c r="T7" s="121">
        <f t="shared" si="5"/>
        <v>11206.923076923076</v>
      </c>
      <c r="U7" s="126">
        <f t="shared" si="6"/>
        <v>67</v>
      </c>
      <c r="V7" s="124">
        <f t="shared" si="6"/>
        <v>453970</v>
      </c>
      <c r="W7" s="124">
        <f t="shared" si="7"/>
        <v>59630</v>
      </c>
      <c r="X7" s="127">
        <f t="shared" si="21"/>
        <v>513600</v>
      </c>
      <c r="Y7" s="124">
        <f t="shared" si="8"/>
        <v>7665.6716417910447</v>
      </c>
      <c r="Z7" s="128"/>
      <c r="AA7" s="129">
        <v>138</v>
      </c>
      <c r="AB7" s="117">
        <v>119050</v>
      </c>
      <c r="AC7" s="118">
        <f t="shared" si="9"/>
        <v>862.68115942028987</v>
      </c>
      <c r="AD7" s="117">
        <v>71480</v>
      </c>
      <c r="AE7" s="119">
        <f t="shared" si="10"/>
        <v>517.97101449275362</v>
      </c>
      <c r="AF7" s="130">
        <f t="shared" si="22"/>
        <v>190530</v>
      </c>
      <c r="AG7" s="121">
        <f t="shared" si="11"/>
        <v>1380.6521739130435</v>
      </c>
      <c r="AH7" s="126">
        <f t="shared" si="12"/>
        <v>67</v>
      </c>
      <c r="AI7" s="124">
        <f t="shared" si="13"/>
        <v>573020</v>
      </c>
      <c r="AJ7" s="124">
        <f t="shared" si="14"/>
        <v>131110</v>
      </c>
      <c r="AK7" s="131">
        <f t="shared" si="23"/>
        <v>704130</v>
      </c>
      <c r="AL7" s="124">
        <f t="shared" si="15"/>
        <v>58700</v>
      </c>
      <c r="AM7" s="124"/>
      <c r="AN7" s="132">
        <v>67</v>
      </c>
      <c r="AO7" s="132">
        <v>453970</v>
      </c>
      <c r="AP7" s="132">
        <v>59630</v>
      </c>
      <c r="AQ7" s="159">
        <v>51700</v>
      </c>
      <c r="AR7" s="133">
        <v>7000</v>
      </c>
      <c r="AS7" s="133"/>
      <c r="AT7" s="133"/>
      <c r="AU7" s="134">
        <f t="shared" si="24"/>
        <v>572300</v>
      </c>
      <c r="AV7" s="103">
        <v>3</v>
      </c>
      <c r="AW7" s="104">
        <f t="shared" si="25"/>
        <v>572300</v>
      </c>
      <c r="AX7" s="156">
        <f t="shared" si="16"/>
        <v>762830</v>
      </c>
    </row>
    <row r="8" spans="1:50" ht="13.5" customHeight="1">
      <c r="A8" s="103"/>
      <c r="B8" s="139">
        <f t="shared" si="17"/>
        <v>46026</v>
      </c>
      <c r="C8" s="155"/>
      <c r="D8" s="114">
        <v>85</v>
      </c>
      <c r="E8" s="115"/>
      <c r="F8" s="116">
        <v>24</v>
      </c>
      <c r="G8" s="117">
        <v>79860</v>
      </c>
      <c r="H8" s="118">
        <f t="shared" si="0"/>
        <v>3025</v>
      </c>
      <c r="I8" s="117">
        <v>20950</v>
      </c>
      <c r="J8" s="119">
        <f t="shared" si="1"/>
        <v>793.54166666666663</v>
      </c>
      <c r="K8" s="120">
        <f>G8+I8</f>
        <v>100810</v>
      </c>
      <c r="L8" s="121">
        <f t="shared" si="2"/>
        <v>4200.416666666667</v>
      </c>
      <c r="M8" s="122"/>
      <c r="N8" s="123">
        <f t="shared" si="18"/>
        <v>38</v>
      </c>
      <c r="O8" s="124">
        <f t="shared" si="18"/>
        <v>409090</v>
      </c>
      <c r="P8" s="118">
        <f t="shared" si="3"/>
        <v>9786.8421052631584</v>
      </c>
      <c r="Q8" s="124">
        <f t="shared" si="19"/>
        <v>76860</v>
      </c>
      <c r="R8" s="119">
        <f t="shared" si="4"/>
        <v>1838.7368421052631</v>
      </c>
      <c r="S8" s="125">
        <f t="shared" si="20"/>
        <v>485950</v>
      </c>
      <c r="T8" s="121">
        <f t="shared" si="5"/>
        <v>12788.157894736842</v>
      </c>
      <c r="U8" s="126">
        <f t="shared" si="6"/>
        <v>62</v>
      </c>
      <c r="V8" s="124">
        <f t="shared" si="6"/>
        <v>488950</v>
      </c>
      <c r="W8" s="124">
        <f t="shared" si="7"/>
        <v>97810</v>
      </c>
      <c r="X8" s="127">
        <f t="shared" si="21"/>
        <v>586760</v>
      </c>
      <c r="Y8" s="124">
        <f t="shared" si="8"/>
        <v>9463.8709677419356</v>
      </c>
      <c r="Z8" s="128"/>
      <c r="AA8" s="129">
        <v>141</v>
      </c>
      <c r="AB8" s="117">
        <v>106150</v>
      </c>
      <c r="AC8" s="118">
        <f t="shared" si="9"/>
        <v>752.83687943262407</v>
      </c>
      <c r="AD8" s="117">
        <v>47710</v>
      </c>
      <c r="AE8" s="119">
        <f t="shared" si="10"/>
        <v>338.36879432624113</v>
      </c>
      <c r="AF8" s="130">
        <f t="shared" si="22"/>
        <v>153860</v>
      </c>
      <c r="AG8" s="121">
        <f t="shared" si="11"/>
        <v>1091.2056737588653</v>
      </c>
      <c r="AH8" s="126">
        <f t="shared" si="12"/>
        <v>62</v>
      </c>
      <c r="AI8" s="124">
        <f t="shared" si="13"/>
        <v>595100</v>
      </c>
      <c r="AJ8" s="124">
        <f t="shared" si="14"/>
        <v>145520</v>
      </c>
      <c r="AK8" s="137">
        <f t="shared" si="23"/>
        <v>740620</v>
      </c>
      <c r="AL8" s="124">
        <f t="shared" si="15"/>
        <v>57160</v>
      </c>
      <c r="AM8" s="124">
        <v>800</v>
      </c>
      <c r="AN8" s="132">
        <v>62</v>
      </c>
      <c r="AO8" s="132">
        <v>488950</v>
      </c>
      <c r="AP8" s="132">
        <v>97810</v>
      </c>
      <c r="AQ8" s="133">
        <v>50600</v>
      </c>
      <c r="AR8" s="133">
        <v>6560</v>
      </c>
      <c r="AS8" s="133"/>
      <c r="AT8" s="133"/>
      <c r="AU8" s="134">
        <f t="shared" si="24"/>
        <v>643920</v>
      </c>
      <c r="AV8" s="103">
        <v>4</v>
      </c>
      <c r="AW8" s="104">
        <f t="shared" si="25"/>
        <v>643920</v>
      </c>
      <c r="AX8" s="156">
        <f t="shared" si="16"/>
        <v>798580</v>
      </c>
    </row>
    <row r="9" spans="1:50" ht="13.5" customHeight="1">
      <c r="A9" s="103"/>
      <c r="B9" s="135">
        <f t="shared" si="17"/>
        <v>46027</v>
      </c>
      <c r="C9" s="155" t="s">
        <v>56</v>
      </c>
      <c r="D9" s="114">
        <v>96</v>
      </c>
      <c r="E9" s="115"/>
      <c r="F9" s="116"/>
      <c r="G9" s="117"/>
      <c r="H9" s="118" t="e">
        <f t="shared" si="0"/>
        <v>#DIV/0!</v>
      </c>
      <c r="I9" s="117"/>
      <c r="J9" s="119" t="e">
        <f t="shared" si="1"/>
        <v>#DIV/0!</v>
      </c>
      <c r="K9" s="120">
        <f>G9+I9</f>
        <v>0</v>
      </c>
      <c r="L9" s="121" t="str">
        <f t="shared" si="2"/>
        <v/>
      </c>
      <c r="M9" s="122"/>
      <c r="N9" s="123">
        <f t="shared" si="18"/>
        <v>37</v>
      </c>
      <c r="O9" s="124">
        <f t="shared" si="18"/>
        <v>400510</v>
      </c>
      <c r="P9" s="118">
        <f t="shared" si="3"/>
        <v>9840.54054054054</v>
      </c>
      <c r="Q9" s="124">
        <f t="shared" si="19"/>
        <v>94230</v>
      </c>
      <c r="R9" s="119">
        <f t="shared" si="4"/>
        <v>2315.2162162162163</v>
      </c>
      <c r="S9" s="125">
        <f t="shared" si="20"/>
        <v>494740</v>
      </c>
      <c r="T9" s="121">
        <f t="shared" si="5"/>
        <v>13371.351351351352</v>
      </c>
      <c r="U9" s="126">
        <f t="shared" si="6"/>
        <v>37</v>
      </c>
      <c r="V9" s="124">
        <f t="shared" si="6"/>
        <v>400510</v>
      </c>
      <c r="W9" s="124">
        <f t="shared" si="7"/>
        <v>94230</v>
      </c>
      <c r="X9" s="127">
        <f t="shared" si="21"/>
        <v>494740</v>
      </c>
      <c r="Y9" s="124">
        <f t="shared" si="8"/>
        <v>13371.351351351352</v>
      </c>
      <c r="Z9" s="128"/>
      <c r="AA9" s="129">
        <v>127</v>
      </c>
      <c r="AB9" s="117">
        <v>97100</v>
      </c>
      <c r="AC9" s="118">
        <f>AB9/AA9</f>
        <v>764.56692913385825</v>
      </c>
      <c r="AD9" s="117">
        <v>42330</v>
      </c>
      <c r="AE9" s="119">
        <f t="shared" si="10"/>
        <v>333.30708661417322</v>
      </c>
      <c r="AF9" s="130">
        <f t="shared" si="22"/>
        <v>139430</v>
      </c>
      <c r="AG9" s="121">
        <f t="shared" si="11"/>
        <v>1097.8740157480315</v>
      </c>
      <c r="AH9" s="126">
        <f t="shared" si="12"/>
        <v>37</v>
      </c>
      <c r="AI9" s="124">
        <f t="shared" si="13"/>
        <v>497610</v>
      </c>
      <c r="AJ9" s="124">
        <f t="shared" si="14"/>
        <v>136560</v>
      </c>
      <c r="AK9" s="131">
        <f t="shared" si="23"/>
        <v>634170</v>
      </c>
      <c r="AL9" s="124">
        <f t="shared" si="15"/>
        <v>46460</v>
      </c>
      <c r="AM9" s="124"/>
      <c r="AN9" s="132">
        <v>37</v>
      </c>
      <c r="AO9" s="132">
        <v>400510</v>
      </c>
      <c r="AP9" s="132">
        <v>94230</v>
      </c>
      <c r="AQ9" s="133">
        <v>42900</v>
      </c>
      <c r="AR9" s="133">
        <v>3560</v>
      </c>
      <c r="AS9" s="133"/>
      <c r="AT9" s="133"/>
      <c r="AU9" s="134">
        <f t="shared" si="24"/>
        <v>541200</v>
      </c>
      <c r="AV9" s="103">
        <v>5</v>
      </c>
      <c r="AW9" s="104">
        <f t="shared" si="25"/>
        <v>541200</v>
      </c>
      <c r="AX9" s="156">
        <f t="shared" si="16"/>
        <v>680630</v>
      </c>
    </row>
    <row r="10" spans="1:50" ht="13.5" customHeight="1">
      <c r="A10" s="103"/>
      <c r="B10" s="151">
        <f t="shared" si="17"/>
        <v>46028</v>
      </c>
      <c r="C10" s="155" t="s">
        <v>56</v>
      </c>
      <c r="D10" s="114">
        <v>98</v>
      </c>
      <c r="E10" s="115"/>
      <c r="F10" s="116"/>
      <c r="G10" s="117"/>
      <c r="H10" s="118" t="e">
        <f t="shared" si="0"/>
        <v>#DIV/0!</v>
      </c>
      <c r="I10" s="117"/>
      <c r="J10" s="119" t="e">
        <f t="shared" si="1"/>
        <v>#DIV/0!</v>
      </c>
      <c r="K10" s="120">
        <f t="shared" ref="K10:K35" si="26">G10+I10</f>
        <v>0</v>
      </c>
      <c r="L10" s="121" t="str">
        <f t="shared" si="2"/>
        <v/>
      </c>
      <c r="M10" s="122"/>
      <c r="N10" s="123">
        <f t="shared" si="18"/>
        <v>31</v>
      </c>
      <c r="O10" s="124">
        <f t="shared" si="18"/>
        <v>305910</v>
      </c>
      <c r="P10" s="118">
        <f t="shared" si="3"/>
        <v>8970.967741935483</v>
      </c>
      <c r="Q10" s="124">
        <f t="shared" si="19"/>
        <v>64670</v>
      </c>
      <c r="R10" s="119">
        <f t="shared" si="4"/>
        <v>1896.4516129032259</v>
      </c>
      <c r="S10" s="125">
        <f t="shared" si="20"/>
        <v>370580</v>
      </c>
      <c r="T10" s="121">
        <f t="shared" si="5"/>
        <v>11954.193548387097</v>
      </c>
      <c r="U10" s="126">
        <f t="shared" si="6"/>
        <v>31</v>
      </c>
      <c r="V10" s="124">
        <f t="shared" si="6"/>
        <v>305910</v>
      </c>
      <c r="W10" s="124">
        <f t="shared" si="7"/>
        <v>64670</v>
      </c>
      <c r="X10" s="127">
        <f t="shared" si="21"/>
        <v>370580</v>
      </c>
      <c r="Y10" s="124">
        <f t="shared" si="8"/>
        <v>11954.193548387097</v>
      </c>
      <c r="Z10" s="128"/>
      <c r="AA10" s="129">
        <v>113</v>
      </c>
      <c r="AB10" s="117">
        <v>77400</v>
      </c>
      <c r="AC10" s="118">
        <f t="shared" si="9"/>
        <v>684.95575221238937</v>
      </c>
      <c r="AD10" s="117">
        <v>44130</v>
      </c>
      <c r="AE10" s="119">
        <f t="shared" si="10"/>
        <v>390.53097345132744</v>
      </c>
      <c r="AF10" s="130">
        <f t="shared" si="22"/>
        <v>121530</v>
      </c>
      <c r="AG10" s="121">
        <f t="shared" si="11"/>
        <v>1075.4867256637169</v>
      </c>
      <c r="AH10" s="136">
        <f t="shared" si="12"/>
        <v>31</v>
      </c>
      <c r="AI10" s="124">
        <f t="shared" si="13"/>
        <v>383310</v>
      </c>
      <c r="AJ10" s="124">
        <f t="shared" si="14"/>
        <v>108800</v>
      </c>
      <c r="AK10" s="131">
        <f t="shared" si="23"/>
        <v>492110</v>
      </c>
      <c r="AL10" s="124">
        <f t="shared" si="15"/>
        <v>38100</v>
      </c>
      <c r="AM10" s="124"/>
      <c r="AN10" s="132">
        <v>31</v>
      </c>
      <c r="AO10" s="132">
        <v>305910</v>
      </c>
      <c r="AP10" s="132">
        <v>64670</v>
      </c>
      <c r="AQ10" s="133">
        <v>34100</v>
      </c>
      <c r="AR10" s="133">
        <v>4000</v>
      </c>
      <c r="AS10" s="133"/>
      <c r="AT10" s="133"/>
      <c r="AU10" s="134">
        <f>SUM(AO10:AS10)</f>
        <v>408680</v>
      </c>
      <c r="AV10" s="103">
        <v>6</v>
      </c>
      <c r="AW10" s="104">
        <f>AT10+AU10</f>
        <v>408680</v>
      </c>
      <c r="AX10" s="156">
        <f t="shared" si="16"/>
        <v>530210</v>
      </c>
    </row>
    <row r="11" spans="1:50" ht="13.5" customHeight="1">
      <c r="A11" s="103"/>
      <c r="B11" s="151">
        <f t="shared" si="17"/>
        <v>46029</v>
      </c>
      <c r="C11" s="155" t="s">
        <v>56</v>
      </c>
      <c r="D11" s="114">
        <v>30</v>
      </c>
      <c r="E11" s="115"/>
      <c r="F11" s="116"/>
      <c r="G11" s="117"/>
      <c r="H11" s="118" t="e">
        <f t="shared" si="0"/>
        <v>#DIV/0!</v>
      </c>
      <c r="I11" s="117"/>
      <c r="J11" s="119" t="e">
        <f t="shared" si="1"/>
        <v>#DIV/0!</v>
      </c>
      <c r="K11" s="120">
        <f t="shared" si="26"/>
        <v>0</v>
      </c>
      <c r="L11" s="121" t="str">
        <f t="shared" si="2"/>
        <v/>
      </c>
      <c r="M11" s="122"/>
      <c r="N11" s="123">
        <f t="shared" si="18"/>
        <v>31</v>
      </c>
      <c r="O11" s="124">
        <f t="shared" si="18"/>
        <v>371910</v>
      </c>
      <c r="P11" s="118">
        <f t="shared" si="3"/>
        <v>10906.451612903225</v>
      </c>
      <c r="Q11" s="124">
        <f t="shared" si="19"/>
        <v>46250</v>
      </c>
      <c r="R11" s="119">
        <f t="shared" si="4"/>
        <v>1356.2903225806451</v>
      </c>
      <c r="S11" s="125">
        <f t="shared" si="20"/>
        <v>418160</v>
      </c>
      <c r="T11" s="121">
        <f t="shared" si="5"/>
        <v>13489.032258064517</v>
      </c>
      <c r="U11" s="126">
        <f t="shared" si="6"/>
        <v>31</v>
      </c>
      <c r="V11" s="124">
        <f t="shared" si="6"/>
        <v>371910</v>
      </c>
      <c r="W11" s="124">
        <f t="shared" si="7"/>
        <v>46250</v>
      </c>
      <c r="X11" s="127">
        <f t="shared" si="21"/>
        <v>418160</v>
      </c>
      <c r="Y11" s="124">
        <f t="shared" si="8"/>
        <v>13489.032258064517</v>
      </c>
      <c r="Z11" s="128"/>
      <c r="AA11" s="129">
        <v>87</v>
      </c>
      <c r="AB11" s="117">
        <v>80950</v>
      </c>
      <c r="AC11" s="118">
        <f t="shared" si="9"/>
        <v>930.45977011494256</v>
      </c>
      <c r="AD11" s="117">
        <v>37880</v>
      </c>
      <c r="AE11" s="119">
        <f t="shared" si="10"/>
        <v>435.40229885057471</v>
      </c>
      <c r="AF11" s="130">
        <f t="shared" si="22"/>
        <v>118830</v>
      </c>
      <c r="AG11" s="121">
        <f t="shared" si="11"/>
        <v>1365.8620689655172</v>
      </c>
      <c r="AH11" s="136">
        <f t="shared" si="12"/>
        <v>31</v>
      </c>
      <c r="AI11" s="124">
        <f t="shared" si="13"/>
        <v>452860</v>
      </c>
      <c r="AJ11" s="124">
        <f t="shared" si="14"/>
        <v>84130</v>
      </c>
      <c r="AK11" s="131">
        <f t="shared" si="23"/>
        <v>536990</v>
      </c>
      <c r="AL11" s="124">
        <f t="shared" si="15"/>
        <v>44900</v>
      </c>
      <c r="AM11" s="124"/>
      <c r="AN11" s="132">
        <v>31</v>
      </c>
      <c r="AO11" s="132">
        <v>371910</v>
      </c>
      <c r="AP11" s="132">
        <v>46250</v>
      </c>
      <c r="AQ11" s="133">
        <v>42900</v>
      </c>
      <c r="AR11" s="133">
        <v>2000</v>
      </c>
      <c r="AS11" s="133"/>
      <c r="AT11" s="133"/>
      <c r="AU11" s="134">
        <f t="shared" si="24"/>
        <v>463060</v>
      </c>
      <c r="AV11" s="103">
        <v>7</v>
      </c>
      <c r="AW11" s="104">
        <f t="shared" si="25"/>
        <v>463060</v>
      </c>
      <c r="AX11" s="156">
        <f t="shared" si="16"/>
        <v>581890</v>
      </c>
    </row>
    <row r="12" spans="1:50" ht="13.5" customHeight="1">
      <c r="A12" s="103"/>
      <c r="B12" s="151">
        <f t="shared" si="17"/>
        <v>46030</v>
      </c>
      <c r="C12" s="155" t="s">
        <v>56</v>
      </c>
      <c r="D12" s="114">
        <v>30</v>
      </c>
      <c r="E12" s="115"/>
      <c r="F12" s="116"/>
      <c r="G12" s="117"/>
      <c r="H12" s="118" t="e">
        <f t="shared" si="0"/>
        <v>#DIV/0!</v>
      </c>
      <c r="I12" s="117"/>
      <c r="J12" s="119" t="e">
        <f t="shared" si="1"/>
        <v>#DIV/0!</v>
      </c>
      <c r="K12" s="120">
        <f t="shared" si="26"/>
        <v>0</v>
      </c>
      <c r="L12" s="121" t="str">
        <f t="shared" si="2"/>
        <v/>
      </c>
      <c r="M12" s="122"/>
      <c r="N12" s="123">
        <f t="shared" si="18"/>
        <v>22</v>
      </c>
      <c r="O12" s="124">
        <f t="shared" si="18"/>
        <v>209440</v>
      </c>
      <c r="P12" s="118">
        <f t="shared" si="3"/>
        <v>8654.545454545454</v>
      </c>
      <c r="Q12" s="124">
        <f t="shared" si="19"/>
        <v>35960</v>
      </c>
      <c r="R12" s="140">
        <f t="shared" si="4"/>
        <v>1485.909090909091</v>
      </c>
      <c r="S12" s="125">
        <f t="shared" si="20"/>
        <v>245400</v>
      </c>
      <c r="T12" s="121">
        <f t="shared" si="5"/>
        <v>11154.545454545454</v>
      </c>
      <c r="U12" s="126">
        <f t="shared" si="6"/>
        <v>22</v>
      </c>
      <c r="V12" s="124">
        <f t="shared" si="6"/>
        <v>209440</v>
      </c>
      <c r="W12" s="124">
        <f t="shared" si="7"/>
        <v>35960</v>
      </c>
      <c r="X12" s="127">
        <f t="shared" si="21"/>
        <v>245400</v>
      </c>
      <c r="Y12" s="124">
        <f t="shared" si="8"/>
        <v>11154.545454545454</v>
      </c>
      <c r="Z12" s="128"/>
      <c r="AA12" s="129">
        <v>40</v>
      </c>
      <c r="AB12" s="117">
        <v>37950</v>
      </c>
      <c r="AC12" s="118">
        <f t="shared" si="9"/>
        <v>948.75</v>
      </c>
      <c r="AD12" s="117">
        <v>15200</v>
      </c>
      <c r="AE12" s="119">
        <f t="shared" si="10"/>
        <v>380</v>
      </c>
      <c r="AF12" s="130">
        <f t="shared" si="22"/>
        <v>53150</v>
      </c>
      <c r="AG12" s="121">
        <f t="shared" si="11"/>
        <v>1328.75</v>
      </c>
      <c r="AH12" s="136">
        <f t="shared" si="12"/>
        <v>22</v>
      </c>
      <c r="AI12" s="124">
        <f t="shared" si="13"/>
        <v>247390</v>
      </c>
      <c r="AJ12" s="124">
        <f t="shared" si="14"/>
        <v>51160</v>
      </c>
      <c r="AK12" s="131">
        <f t="shared" si="23"/>
        <v>298550</v>
      </c>
      <c r="AL12" s="124">
        <f t="shared" si="15"/>
        <v>27500</v>
      </c>
      <c r="AM12" s="124"/>
      <c r="AN12" s="132">
        <v>22</v>
      </c>
      <c r="AO12" s="132">
        <v>209440</v>
      </c>
      <c r="AP12" s="132">
        <v>35960</v>
      </c>
      <c r="AQ12" s="133">
        <v>27500</v>
      </c>
      <c r="AR12" s="133"/>
      <c r="AS12" s="133"/>
      <c r="AT12" s="133"/>
      <c r="AU12" s="134">
        <f t="shared" si="24"/>
        <v>272900</v>
      </c>
      <c r="AV12" s="103">
        <v>8</v>
      </c>
      <c r="AW12" s="104">
        <f t="shared" si="25"/>
        <v>272900</v>
      </c>
      <c r="AX12" s="156">
        <f t="shared" si="16"/>
        <v>326050</v>
      </c>
    </row>
    <row r="13" spans="1:50" ht="13.5" customHeight="1">
      <c r="A13" s="103"/>
      <c r="B13" s="151">
        <f t="shared" si="17"/>
        <v>46031</v>
      </c>
      <c r="C13" s="155" t="s">
        <v>56</v>
      </c>
      <c r="D13" s="114">
        <v>91</v>
      </c>
      <c r="E13" s="115"/>
      <c r="F13" s="116"/>
      <c r="G13" s="117"/>
      <c r="H13" s="118" t="e">
        <f t="shared" si="0"/>
        <v>#DIV/0!</v>
      </c>
      <c r="I13" s="117"/>
      <c r="J13" s="119" t="e">
        <f t="shared" si="1"/>
        <v>#DIV/0!</v>
      </c>
      <c r="K13" s="120">
        <f t="shared" si="26"/>
        <v>0</v>
      </c>
      <c r="L13" s="121" t="str">
        <f t="shared" si="2"/>
        <v/>
      </c>
      <c r="M13" s="122"/>
      <c r="N13" s="123">
        <f t="shared" si="18"/>
        <v>30</v>
      </c>
      <c r="O13" s="124">
        <f t="shared" si="18"/>
        <v>281160</v>
      </c>
      <c r="P13" s="118">
        <f t="shared" si="3"/>
        <v>8520</v>
      </c>
      <c r="Q13" s="124">
        <f t="shared" si="19"/>
        <v>38000</v>
      </c>
      <c r="R13" s="119">
        <f t="shared" si="4"/>
        <v>1151.5</v>
      </c>
      <c r="S13" s="125">
        <f t="shared" si="20"/>
        <v>319160</v>
      </c>
      <c r="T13" s="121">
        <f t="shared" si="5"/>
        <v>10638.666666666666</v>
      </c>
      <c r="U13" s="126">
        <f t="shared" si="6"/>
        <v>30</v>
      </c>
      <c r="V13" s="124">
        <f t="shared" si="6"/>
        <v>281160</v>
      </c>
      <c r="W13" s="124">
        <f t="shared" si="7"/>
        <v>38000</v>
      </c>
      <c r="X13" s="127">
        <f t="shared" si="21"/>
        <v>319160</v>
      </c>
      <c r="Y13" s="124">
        <f t="shared" si="8"/>
        <v>10638.666666666666</v>
      </c>
      <c r="Z13" s="128"/>
      <c r="AA13" s="129">
        <v>103</v>
      </c>
      <c r="AB13" s="117">
        <v>71000</v>
      </c>
      <c r="AC13" s="118">
        <f>AB13/AA13</f>
        <v>689.32038834951459</v>
      </c>
      <c r="AD13" s="117">
        <v>30330</v>
      </c>
      <c r="AE13" s="119">
        <f t="shared" si="10"/>
        <v>294.46601941747571</v>
      </c>
      <c r="AF13" s="130">
        <f t="shared" si="22"/>
        <v>101330</v>
      </c>
      <c r="AG13" s="121">
        <f t="shared" si="11"/>
        <v>983.78640776699024</v>
      </c>
      <c r="AH13" s="136">
        <f t="shared" si="12"/>
        <v>30</v>
      </c>
      <c r="AI13" s="124">
        <f t="shared" si="13"/>
        <v>352160</v>
      </c>
      <c r="AJ13" s="124">
        <f t="shared" si="14"/>
        <v>68330</v>
      </c>
      <c r="AK13" s="131">
        <f t="shared" si="23"/>
        <v>420490</v>
      </c>
      <c r="AL13" s="124">
        <f t="shared" si="15"/>
        <v>43400</v>
      </c>
      <c r="AM13" s="124"/>
      <c r="AN13" s="132">
        <v>30</v>
      </c>
      <c r="AO13" s="132">
        <v>281160</v>
      </c>
      <c r="AP13" s="132">
        <v>38000</v>
      </c>
      <c r="AQ13" s="133">
        <v>37400</v>
      </c>
      <c r="AR13" s="133">
        <v>6000</v>
      </c>
      <c r="AS13" s="133"/>
      <c r="AT13" s="133"/>
      <c r="AU13" s="134">
        <f t="shared" si="24"/>
        <v>362560</v>
      </c>
      <c r="AV13" s="103">
        <v>9</v>
      </c>
      <c r="AW13" s="104">
        <f t="shared" si="25"/>
        <v>362560</v>
      </c>
      <c r="AX13" s="156">
        <f t="shared" si="16"/>
        <v>463890</v>
      </c>
    </row>
    <row r="14" spans="1:50" ht="13.5" customHeight="1">
      <c r="A14" s="103"/>
      <c r="B14" s="138">
        <f t="shared" si="17"/>
        <v>46032</v>
      </c>
      <c r="C14" s="155"/>
      <c r="D14" s="114">
        <v>45</v>
      </c>
      <c r="E14" s="115"/>
      <c r="F14" s="116">
        <v>21</v>
      </c>
      <c r="G14" s="117">
        <v>54340</v>
      </c>
      <c r="H14" s="118">
        <f t="shared" si="0"/>
        <v>2352.3809523809523</v>
      </c>
      <c r="I14" s="117">
        <v>19020</v>
      </c>
      <c r="J14" s="119">
        <f t="shared" si="1"/>
        <v>823.33333333333337</v>
      </c>
      <c r="K14" s="120">
        <f t="shared" si="26"/>
        <v>73360</v>
      </c>
      <c r="L14" s="121">
        <f t="shared" si="2"/>
        <v>3493.3333333333335</v>
      </c>
      <c r="M14" s="122"/>
      <c r="N14" s="123">
        <f t="shared" si="18"/>
        <v>30</v>
      </c>
      <c r="O14" s="124">
        <f t="shared" si="18"/>
        <v>329560</v>
      </c>
      <c r="P14" s="118">
        <f t="shared" si="3"/>
        <v>9986.6666666666661</v>
      </c>
      <c r="Q14" s="124">
        <f t="shared" si="19"/>
        <v>44990</v>
      </c>
      <c r="R14" s="119">
        <f t="shared" si="4"/>
        <v>1363.3333333333333</v>
      </c>
      <c r="S14" s="125">
        <f t="shared" si="20"/>
        <v>374550</v>
      </c>
      <c r="T14" s="121">
        <f t="shared" si="5"/>
        <v>12485</v>
      </c>
      <c r="U14" s="126">
        <f t="shared" si="6"/>
        <v>51</v>
      </c>
      <c r="V14" s="124">
        <f t="shared" si="6"/>
        <v>383900</v>
      </c>
      <c r="W14" s="124">
        <f t="shared" si="7"/>
        <v>64010</v>
      </c>
      <c r="X14" s="127">
        <f t="shared" si="21"/>
        <v>447910</v>
      </c>
      <c r="Y14" s="124">
        <f t="shared" si="8"/>
        <v>8782.5490196078426</v>
      </c>
      <c r="Z14" s="128"/>
      <c r="AA14" s="129">
        <v>60</v>
      </c>
      <c r="AB14" s="117">
        <v>37350</v>
      </c>
      <c r="AC14" s="118">
        <f t="shared" si="9"/>
        <v>622.5</v>
      </c>
      <c r="AD14" s="117">
        <v>21190</v>
      </c>
      <c r="AE14" s="119">
        <f t="shared" si="10"/>
        <v>353.16666666666669</v>
      </c>
      <c r="AF14" s="130">
        <f t="shared" si="22"/>
        <v>58540</v>
      </c>
      <c r="AG14" s="121">
        <f t="shared" si="11"/>
        <v>975.66666666666663</v>
      </c>
      <c r="AH14" s="136">
        <f t="shared" si="12"/>
        <v>51</v>
      </c>
      <c r="AI14" s="124">
        <f t="shared" si="13"/>
        <v>421250</v>
      </c>
      <c r="AJ14" s="124">
        <f t="shared" si="14"/>
        <v>85200</v>
      </c>
      <c r="AK14" s="137">
        <f t="shared" si="23"/>
        <v>506450</v>
      </c>
      <c r="AL14" s="124">
        <f t="shared" si="15"/>
        <v>41800</v>
      </c>
      <c r="AM14" s="124"/>
      <c r="AN14" s="132">
        <v>51</v>
      </c>
      <c r="AO14" s="132">
        <v>383900</v>
      </c>
      <c r="AP14" s="132">
        <v>64010</v>
      </c>
      <c r="AQ14" s="133">
        <v>41800</v>
      </c>
      <c r="AR14" s="133"/>
      <c r="AS14" s="133"/>
      <c r="AT14" s="133"/>
      <c r="AU14" s="134">
        <f t="shared" si="24"/>
        <v>489710</v>
      </c>
      <c r="AV14" s="103">
        <v>10</v>
      </c>
      <c r="AW14" s="104">
        <f t="shared" si="25"/>
        <v>489710</v>
      </c>
      <c r="AX14" s="156">
        <f t="shared" si="16"/>
        <v>548250</v>
      </c>
    </row>
    <row r="15" spans="1:50" ht="13.5" customHeight="1">
      <c r="A15" s="103"/>
      <c r="B15" s="139">
        <f>B14+1</f>
        <v>46033</v>
      </c>
      <c r="C15" s="155"/>
      <c r="D15" s="114">
        <v>20</v>
      </c>
      <c r="E15" s="115"/>
      <c r="F15" s="116">
        <v>17</v>
      </c>
      <c r="G15" s="117">
        <v>57750</v>
      </c>
      <c r="H15" s="118">
        <f t="shared" si="0"/>
        <v>3088.2352941176468</v>
      </c>
      <c r="I15" s="117">
        <v>17000</v>
      </c>
      <c r="J15" s="119">
        <f t="shared" si="1"/>
        <v>909.05882352941171</v>
      </c>
      <c r="K15" s="120">
        <f t="shared" si="26"/>
        <v>74750</v>
      </c>
      <c r="L15" s="121">
        <f t="shared" si="2"/>
        <v>4397.0588235294117</v>
      </c>
      <c r="M15" s="122"/>
      <c r="N15" s="123">
        <f t="shared" si="18"/>
        <v>33</v>
      </c>
      <c r="O15" s="124">
        <f t="shared" si="18"/>
        <v>324830</v>
      </c>
      <c r="P15" s="118">
        <f t="shared" si="3"/>
        <v>8948.484848484848</v>
      </c>
      <c r="Q15" s="124">
        <f t="shared" si="19"/>
        <v>42350</v>
      </c>
      <c r="R15" s="119">
        <f t="shared" si="4"/>
        <v>1166.6666666666667</v>
      </c>
      <c r="S15" s="125">
        <f t="shared" si="20"/>
        <v>367180</v>
      </c>
      <c r="T15" s="121">
        <f t="shared" si="5"/>
        <v>11126.666666666666</v>
      </c>
      <c r="U15" s="126">
        <f t="shared" si="6"/>
        <v>50</v>
      </c>
      <c r="V15" s="124">
        <f t="shared" si="6"/>
        <v>382580</v>
      </c>
      <c r="W15" s="124">
        <f t="shared" si="7"/>
        <v>59350</v>
      </c>
      <c r="X15" s="127">
        <f t="shared" si="21"/>
        <v>441930</v>
      </c>
      <c r="Y15" s="124">
        <f t="shared" si="8"/>
        <v>8838.6</v>
      </c>
      <c r="Z15" s="128"/>
      <c r="AA15" s="129">
        <v>105</v>
      </c>
      <c r="AB15" s="117">
        <v>66150</v>
      </c>
      <c r="AC15" s="118">
        <f t="shared" si="9"/>
        <v>630</v>
      </c>
      <c r="AD15" s="117">
        <v>29370</v>
      </c>
      <c r="AE15" s="119">
        <f t="shared" si="10"/>
        <v>279.71428571428572</v>
      </c>
      <c r="AF15" s="130">
        <f t="shared" si="22"/>
        <v>95520</v>
      </c>
      <c r="AG15" s="121">
        <f t="shared" si="11"/>
        <v>909.71428571428567</v>
      </c>
      <c r="AH15" s="136">
        <f t="shared" si="12"/>
        <v>50</v>
      </c>
      <c r="AI15" s="124">
        <f t="shared" si="13"/>
        <v>448730</v>
      </c>
      <c r="AJ15" s="124">
        <f t="shared" si="14"/>
        <v>88720</v>
      </c>
      <c r="AK15" s="131">
        <f t="shared" si="23"/>
        <v>537450</v>
      </c>
      <c r="AL15" s="124">
        <f t="shared" si="15"/>
        <v>41960</v>
      </c>
      <c r="AM15" s="124"/>
      <c r="AN15" s="132">
        <v>50</v>
      </c>
      <c r="AO15" s="132">
        <v>382580</v>
      </c>
      <c r="AP15" s="132">
        <v>59350</v>
      </c>
      <c r="AQ15" s="133">
        <v>37400</v>
      </c>
      <c r="AR15" s="133">
        <v>4560</v>
      </c>
      <c r="AS15" s="133"/>
      <c r="AT15" s="133"/>
      <c r="AU15" s="134">
        <f t="shared" si="24"/>
        <v>483890</v>
      </c>
      <c r="AV15" s="103">
        <v>11</v>
      </c>
      <c r="AW15" s="104">
        <f t="shared" si="25"/>
        <v>483890</v>
      </c>
      <c r="AX15" s="156">
        <f t="shared" si="16"/>
        <v>579410</v>
      </c>
    </row>
    <row r="16" spans="1:50" ht="13.5" customHeight="1">
      <c r="A16" s="103"/>
      <c r="B16" s="139">
        <f t="shared" si="17"/>
        <v>46034</v>
      </c>
      <c r="C16" s="155"/>
      <c r="D16" s="114">
        <v>45</v>
      </c>
      <c r="E16" s="115"/>
      <c r="F16" s="116">
        <v>15</v>
      </c>
      <c r="G16" s="117">
        <v>41690</v>
      </c>
      <c r="H16" s="118">
        <f t="shared" si="0"/>
        <v>2526.6666666666665</v>
      </c>
      <c r="I16" s="117">
        <v>12090</v>
      </c>
      <c r="J16" s="119">
        <f t="shared" si="1"/>
        <v>732.66666666666663</v>
      </c>
      <c r="K16" s="120">
        <f t="shared" si="26"/>
        <v>53780</v>
      </c>
      <c r="L16" s="121">
        <f t="shared" si="2"/>
        <v>3585.3333333333335</v>
      </c>
      <c r="M16" s="122"/>
      <c r="N16" s="123">
        <f t="shared" si="18"/>
        <v>34</v>
      </c>
      <c r="O16" s="124">
        <f t="shared" si="18"/>
        <v>340780</v>
      </c>
      <c r="P16" s="118">
        <f t="shared" si="3"/>
        <v>9111.7647058823532</v>
      </c>
      <c r="Q16" s="124">
        <f t="shared" si="19"/>
        <v>49860</v>
      </c>
      <c r="R16" s="119">
        <f t="shared" si="4"/>
        <v>1333.1470588235295</v>
      </c>
      <c r="S16" s="125">
        <f t="shared" si="20"/>
        <v>390640</v>
      </c>
      <c r="T16" s="121">
        <f t="shared" si="5"/>
        <v>11489.411764705883</v>
      </c>
      <c r="U16" s="126">
        <f t="shared" si="6"/>
        <v>49</v>
      </c>
      <c r="V16" s="124">
        <f t="shared" si="6"/>
        <v>382470</v>
      </c>
      <c r="W16" s="124">
        <f t="shared" si="7"/>
        <v>61950</v>
      </c>
      <c r="X16" s="127">
        <f t="shared" si="21"/>
        <v>444420</v>
      </c>
      <c r="Y16" s="124">
        <f t="shared" si="8"/>
        <v>9069.7959183673465</v>
      </c>
      <c r="Z16" s="128"/>
      <c r="AA16" s="129">
        <v>104</v>
      </c>
      <c r="AB16" s="117">
        <v>67900</v>
      </c>
      <c r="AC16" s="118">
        <f>AB16/AA16</f>
        <v>652.88461538461536</v>
      </c>
      <c r="AD16" s="117">
        <v>24980</v>
      </c>
      <c r="AE16" s="119">
        <f t="shared" si="10"/>
        <v>240.19230769230768</v>
      </c>
      <c r="AF16" s="130">
        <f t="shared" si="22"/>
        <v>92880</v>
      </c>
      <c r="AG16" s="121">
        <f t="shared" si="11"/>
        <v>893.07692307692309</v>
      </c>
      <c r="AH16" s="136">
        <f t="shared" si="12"/>
        <v>49</v>
      </c>
      <c r="AI16" s="124">
        <f t="shared" si="13"/>
        <v>450370</v>
      </c>
      <c r="AJ16" s="124">
        <f t="shared" si="14"/>
        <v>86930</v>
      </c>
      <c r="AK16" s="131">
        <f t="shared" si="23"/>
        <v>537300</v>
      </c>
      <c r="AL16" s="124">
        <f t="shared" si="15"/>
        <v>52710</v>
      </c>
      <c r="AM16" s="124"/>
      <c r="AN16" s="132">
        <v>49</v>
      </c>
      <c r="AO16" s="132">
        <v>382470</v>
      </c>
      <c r="AP16" s="132">
        <v>61950</v>
      </c>
      <c r="AQ16" s="133">
        <v>49500</v>
      </c>
      <c r="AR16" s="133">
        <v>3210</v>
      </c>
      <c r="AS16" s="133"/>
      <c r="AT16" s="133">
        <v>15400</v>
      </c>
      <c r="AU16" s="134">
        <f t="shared" si="24"/>
        <v>497130</v>
      </c>
      <c r="AV16" s="103">
        <v>12</v>
      </c>
      <c r="AW16" s="104">
        <f t="shared" si="25"/>
        <v>512530</v>
      </c>
      <c r="AX16" s="156">
        <f t="shared" si="16"/>
        <v>605410</v>
      </c>
    </row>
    <row r="17" spans="1:50" ht="13.5" customHeight="1">
      <c r="A17" s="103"/>
      <c r="B17" s="151">
        <f t="shared" si="17"/>
        <v>46035</v>
      </c>
      <c r="C17" s="155" t="s">
        <v>64</v>
      </c>
      <c r="D17" s="114"/>
      <c r="E17" s="115"/>
      <c r="F17" s="116"/>
      <c r="G17" s="117"/>
      <c r="H17" s="118" t="e">
        <f t="shared" si="0"/>
        <v>#DIV/0!</v>
      </c>
      <c r="I17" s="117"/>
      <c r="J17" s="119" t="e">
        <f t="shared" si="1"/>
        <v>#DIV/0!</v>
      </c>
      <c r="K17" s="120">
        <f t="shared" si="26"/>
        <v>0</v>
      </c>
      <c r="L17" s="121" t="str">
        <f t="shared" si="2"/>
        <v/>
      </c>
      <c r="M17" s="122"/>
      <c r="N17" s="123">
        <f t="shared" si="18"/>
        <v>0</v>
      </c>
      <c r="O17" s="124">
        <f t="shared" si="18"/>
        <v>0</v>
      </c>
      <c r="P17" s="118" t="e">
        <f t="shared" si="3"/>
        <v>#DIV/0!</v>
      </c>
      <c r="Q17" s="124">
        <f t="shared" si="19"/>
        <v>0</v>
      </c>
      <c r="R17" s="119" t="e">
        <f t="shared" si="4"/>
        <v>#DIV/0!</v>
      </c>
      <c r="S17" s="125">
        <f t="shared" si="20"/>
        <v>0</v>
      </c>
      <c r="T17" s="121" t="e">
        <f t="shared" si="5"/>
        <v>#DIV/0!</v>
      </c>
      <c r="U17" s="126">
        <f t="shared" si="6"/>
        <v>0</v>
      </c>
      <c r="V17" s="124">
        <f t="shared" si="6"/>
        <v>0</v>
      </c>
      <c r="W17" s="124">
        <f t="shared" si="7"/>
        <v>0</v>
      </c>
      <c r="X17" s="127">
        <f t="shared" si="21"/>
        <v>0</v>
      </c>
      <c r="Y17" s="124" t="e">
        <f t="shared" si="8"/>
        <v>#DIV/0!</v>
      </c>
      <c r="Z17" s="128"/>
      <c r="AA17" s="129">
        <v>62</v>
      </c>
      <c r="AB17" s="117">
        <v>30600</v>
      </c>
      <c r="AC17" s="118">
        <f t="shared" si="9"/>
        <v>493.54838709677421</v>
      </c>
      <c r="AD17" s="117">
        <v>26800</v>
      </c>
      <c r="AE17" s="119">
        <f t="shared" si="10"/>
        <v>432.25806451612902</v>
      </c>
      <c r="AF17" s="130">
        <f t="shared" si="22"/>
        <v>57400</v>
      </c>
      <c r="AG17" s="121">
        <f t="shared" si="11"/>
        <v>925.80645161290317</v>
      </c>
      <c r="AH17" s="136">
        <f t="shared" si="12"/>
        <v>0</v>
      </c>
      <c r="AI17" s="124">
        <f t="shared" si="13"/>
        <v>30600</v>
      </c>
      <c r="AJ17" s="124">
        <f t="shared" si="14"/>
        <v>26800</v>
      </c>
      <c r="AK17" s="131">
        <f t="shared" si="23"/>
        <v>57400</v>
      </c>
      <c r="AL17" s="124">
        <f t="shared" si="15"/>
        <v>0</v>
      </c>
      <c r="AM17" s="124"/>
      <c r="AN17" s="132">
        <v>0</v>
      </c>
      <c r="AO17" s="132">
        <v>0</v>
      </c>
      <c r="AP17" s="132">
        <v>0</v>
      </c>
      <c r="AQ17" s="133"/>
      <c r="AR17" s="133"/>
      <c r="AS17" s="133"/>
      <c r="AT17" s="133"/>
      <c r="AU17" s="134">
        <f t="shared" si="24"/>
        <v>0</v>
      </c>
      <c r="AV17" s="103">
        <v>13</v>
      </c>
      <c r="AW17" s="104">
        <f t="shared" si="25"/>
        <v>0</v>
      </c>
      <c r="AX17" s="156">
        <f t="shared" si="16"/>
        <v>57400</v>
      </c>
    </row>
    <row r="18" spans="1:50" ht="13.5" customHeight="1">
      <c r="A18" s="103"/>
      <c r="B18" s="151">
        <f t="shared" si="17"/>
        <v>46036</v>
      </c>
      <c r="C18" s="155" t="s">
        <v>56</v>
      </c>
      <c r="D18" s="114">
        <v>35</v>
      </c>
      <c r="E18" s="115"/>
      <c r="F18" s="116"/>
      <c r="G18" s="117"/>
      <c r="H18" s="118" t="e">
        <f t="shared" si="0"/>
        <v>#DIV/0!</v>
      </c>
      <c r="I18" s="117"/>
      <c r="J18" s="119" t="e">
        <f t="shared" si="1"/>
        <v>#DIV/0!</v>
      </c>
      <c r="K18" s="120">
        <f t="shared" si="26"/>
        <v>0</v>
      </c>
      <c r="L18" s="121" t="str">
        <f t="shared" si="2"/>
        <v/>
      </c>
      <c r="M18" s="122"/>
      <c r="N18" s="123">
        <f t="shared" si="18"/>
        <v>32</v>
      </c>
      <c r="O18" s="124">
        <f t="shared" si="18"/>
        <v>333960</v>
      </c>
      <c r="P18" s="118">
        <f t="shared" si="3"/>
        <v>9487.5</v>
      </c>
      <c r="Q18" s="124">
        <f t="shared" si="19"/>
        <v>41750</v>
      </c>
      <c r="R18" s="119">
        <f t="shared" si="4"/>
        <v>1186.0625</v>
      </c>
      <c r="S18" s="125">
        <f t="shared" si="20"/>
        <v>375710</v>
      </c>
      <c r="T18" s="121">
        <f t="shared" si="5"/>
        <v>11740.9375</v>
      </c>
      <c r="U18" s="126">
        <f t="shared" si="6"/>
        <v>32</v>
      </c>
      <c r="V18" s="124">
        <f t="shared" si="6"/>
        <v>333960</v>
      </c>
      <c r="W18" s="124">
        <f t="shared" si="7"/>
        <v>41750</v>
      </c>
      <c r="X18" s="127">
        <f t="shared" si="21"/>
        <v>375710</v>
      </c>
      <c r="Y18" s="124">
        <f t="shared" si="8"/>
        <v>11740.9375</v>
      </c>
      <c r="Z18" s="128"/>
      <c r="AA18" s="129">
        <v>80</v>
      </c>
      <c r="AB18" s="117">
        <v>44750</v>
      </c>
      <c r="AC18" s="118">
        <f t="shared" si="9"/>
        <v>559.375</v>
      </c>
      <c r="AD18" s="117">
        <v>26840</v>
      </c>
      <c r="AE18" s="119">
        <f t="shared" si="10"/>
        <v>335.5</v>
      </c>
      <c r="AF18" s="130">
        <f t="shared" si="22"/>
        <v>71590</v>
      </c>
      <c r="AG18" s="121">
        <f t="shared" si="11"/>
        <v>894.875</v>
      </c>
      <c r="AH18" s="136">
        <f t="shared" si="12"/>
        <v>32</v>
      </c>
      <c r="AI18" s="124">
        <f t="shared" si="13"/>
        <v>378710</v>
      </c>
      <c r="AJ18" s="124">
        <f t="shared" si="14"/>
        <v>68590</v>
      </c>
      <c r="AK18" s="131">
        <f t="shared" si="23"/>
        <v>447300</v>
      </c>
      <c r="AL18" s="124">
        <f t="shared" si="15"/>
        <v>34100</v>
      </c>
      <c r="AM18" s="124"/>
      <c r="AN18" s="132">
        <v>32</v>
      </c>
      <c r="AO18" s="132">
        <v>333960</v>
      </c>
      <c r="AP18" s="132">
        <v>41750</v>
      </c>
      <c r="AQ18" s="133">
        <v>34100</v>
      </c>
      <c r="AR18" s="133"/>
      <c r="AS18" s="133"/>
      <c r="AT18" s="133"/>
      <c r="AU18" s="134">
        <f t="shared" si="24"/>
        <v>409810</v>
      </c>
      <c r="AV18" s="103">
        <v>14</v>
      </c>
      <c r="AW18" s="104">
        <f t="shared" si="25"/>
        <v>409810</v>
      </c>
      <c r="AX18" s="156">
        <f t="shared" si="16"/>
        <v>481400</v>
      </c>
    </row>
    <row r="19" spans="1:50" ht="13.5" customHeight="1">
      <c r="A19" s="103"/>
      <c r="B19" s="151">
        <f t="shared" si="17"/>
        <v>46037</v>
      </c>
      <c r="C19" s="155" t="s">
        <v>56</v>
      </c>
      <c r="D19" s="114">
        <v>96</v>
      </c>
      <c r="E19" s="115"/>
      <c r="F19" s="116"/>
      <c r="G19" s="117"/>
      <c r="H19" s="118" t="e">
        <f t="shared" si="0"/>
        <v>#DIV/0!</v>
      </c>
      <c r="I19" s="117"/>
      <c r="J19" s="119" t="e">
        <f t="shared" si="1"/>
        <v>#DIV/0!</v>
      </c>
      <c r="K19" s="120">
        <f t="shared" si="26"/>
        <v>0</v>
      </c>
      <c r="L19" s="121" t="str">
        <f t="shared" si="2"/>
        <v/>
      </c>
      <c r="M19" s="122"/>
      <c r="N19" s="123">
        <f t="shared" si="18"/>
        <v>29</v>
      </c>
      <c r="O19" s="124">
        <f t="shared" si="18"/>
        <v>306570</v>
      </c>
      <c r="P19" s="118">
        <f t="shared" si="3"/>
        <v>9610.3448275862065</v>
      </c>
      <c r="Q19" s="124">
        <f t="shared" si="19"/>
        <v>41080</v>
      </c>
      <c r="R19" s="140">
        <f t="shared" si="4"/>
        <v>1287.7586206896551</v>
      </c>
      <c r="S19" s="125">
        <f t="shared" si="20"/>
        <v>347650</v>
      </c>
      <c r="T19" s="121">
        <f t="shared" si="5"/>
        <v>11987.931034482759</v>
      </c>
      <c r="U19" s="126">
        <f t="shared" si="6"/>
        <v>29</v>
      </c>
      <c r="V19" s="124">
        <f t="shared" si="6"/>
        <v>306570</v>
      </c>
      <c r="W19" s="124">
        <f t="shared" si="7"/>
        <v>41080</v>
      </c>
      <c r="X19" s="127">
        <f t="shared" si="21"/>
        <v>347650</v>
      </c>
      <c r="Y19" s="124">
        <f t="shared" si="8"/>
        <v>11987.931034482759</v>
      </c>
      <c r="Z19" s="128"/>
      <c r="AA19" s="129">
        <v>98</v>
      </c>
      <c r="AB19" s="117">
        <v>55000</v>
      </c>
      <c r="AC19" s="118">
        <f t="shared" si="9"/>
        <v>561.22448979591832</v>
      </c>
      <c r="AD19" s="117">
        <v>31190</v>
      </c>
      <c r="AE19" s="119">
        <f t="shared" si="10"/>
        <v>318.26530612244898</v>
      </c>
      <c r="AF19" s="130">
        <f t="shared" si="22"/>
        <v>86190</v>
      </c>
      <c r="AG19" s="121">
        <f t="shared" si="11"/>
        <v>879.48979591836735</v>
      </c>
      <c r="AH19" s="136">
        <f t="shared" si="12"/>
        <v>29</v>
      </c>
      <c r="AI19" s="124">
        <f t="shared" si="13"/>
        <v>361570</v>
      </c>
      <c r="AJ19" s="124">
        <f t="shared" si="14"/>
        <v>72270</v>
      </c>
      <c r="AK19" s="131">
        <f t="shared" si="23"/>
        <v>433840</v>
      </c>
      <c r="AL19" s="124">
        <f t="shared" si="15"/>
        <v>41700</v>
      </c>
      <c r="AM19" s="124"/>
      <c r="AN19" s="132">
        <v>29</v>
      </c>
      <c r="AO19" s="132">
        <v>306570</v>
      </c>
      <c r="AP19" s="132">
        <v>41080</v>
      </c>
      <c r="AQ19" s="133">
        <v>40700</v>
      </c>
      <c r="AR19" s="133">
        <v>1000</v>
      </c>
      <c r="AS19" s="133"/>
      <c r="AT19" s="133"/>
      <c r="AU19" s="134">
        <f t="shared" si="24"/>
        <v>389350</v>
      </c>
      <c r="AV19" s="103">
        <v>15</v>
      </c>
      <c r="AW19" s="104">
        <f t="shared" si="25"/>
        <v>389350</v>
      </c>
      <c r="AX19" s="156">
        <f t="shared" si="16"/>
        <v>475540</v>
      </c>
    </row>
    <row r="20" spans="1:50" ht="13.5" customHeight="1">
      <c r="A20" s="103"/>
      <c r="B20" s="151">
        <f t="shared" si="17"/>
        <v>46038</v>
      </c>
      <c r="C20" s="155" t="s">
        <v>56</v>
      </c>
      <c r="D20" s="114">
        <v>96</v>
      </c>
      <c r="E20" s="115"/>
      <c r="F20" s="116"/>
      <c r="G20" s="117"/>
      <c r="H20" s="118" t="e">
        <f t="shared" si="0"/>
        <v>#DIV/0!</v>
      </c>
      <c r="I20" s="117"/>
      <c r="J20" s="118" t="e">
        <f t="shared" si="1"/>
        <v>#DIV/0!</v>
      </c>
      <c r="K20" s="120">
        <f t="shared" si="26"/>
        <v>0</v>
      </c>
      <c r="L20" s="121" t="str">
        <f t="shared" si="2"/>
        <v/>
      </c>
      <c r="M20" s="122"/>
      <c r="N20" s="123">
        <f t="shared" si="18"/>
        <v>34</v>
      </c>
      <c r="O20" s="124">
        <f t="shared" si="18"/>
        <v>311410</v>
      </c>
      <c r="P20" s="118">
        <f t="shared" si="3"/>
        <v>8326.4705882352937</v>
      </c>
      <c r="Q20" s="124">
        <f t="shared" si="19"/>
        <v>40790</v>
      </c>
      <c r="R20" s="140">
        <f t="shared" si="4"/>
        <v>1090.6176470588234</v>
      </c>
      <c r="S20" s="125">
        <f t="shared" si="20"/>
        <v>352200</v>
      </c>
      <c r="T20" s="121">
        <f t="shared" si="5"/>
        <v>10358.823529411764</v>
      </c>
      <c r="U20" s="126">
        <f t="shared" si="6"/>
        <v>34</v>
      </c>
      <c r="V20" s="124">
        <f t="shared" si="6"/>
        <v>311410</v>
      </c>
      <c r="W20" s="124">
        <f t="shared" si="7"/>
        <v>40790</v>
      </c>
      <c r="X20" s="127">
        <f t="shared" si="21"/>
        <v>352200</v>
      </c>
      <c r="Y20" s="124">
        <f t="shared" si="8"/>
        <v>10358.823529411764</v>
      </c>
      <c r="Z20" s="128"/>
      <c r="AA20" s="129">
        <v>81</v>
      </c>
      <c r="AB20" s="117">
        <v>58650</v>
      </c>
      <c r="AC20" s="118">
        <f t="shared" si="9"/>
        <v>724.07407407407402</v>
      </c>
      <c r="AD20" s="117">
        <v>22560</v>
      </c>
      <c r="AE20" s="119">
        <f t="shared" si="10"/>
        <v>278.51851851851853</v>
      </c>
      <c r="AF20" s="130">
        <f t="shared" si="22"/>
        <v>81210</v>
      </c>
      <c r="AG20" s="121">
        <f t="shared" si="11"/>
        <v>1002.5925925925926</v>
      </c>
      <c r="AH20" s="136">
        <f t="shared" si="12"/>
        <v>34</v>
      </c>
      <c r="AI20" s="132">
        <f t="shared" si="13"/>
        <v>370060</v>
      </c>
      <c r="AJ20" s="132">
        <f t="shared" si="14"/>
        <v>63350</v>
      </c>
      <c r="AK20" s="131">
        <f t="shared" si="23"/>
        <v>433410</v>
      </c>
      <c r="AL20" s="124">
        <f t="shared" si="15"/>
        <v>43600</v>
      </c>
      <c r="AM20" s="124"/>
      <c r="AN20" s="132">
        <v>34</v>
      </c>
      <c r="AO20" s="132">
        <v>311410</v>
      </c>
      <c r="AP20" s="132">
        <v>40790</v>
      </c>
      <c r="AQ20" s="133">
        <v>39600</v>
      </c>
      <c r="AR20" s="133">
        <v>4000</v>
      </c>
      <c r="AS20" s="133"/>
      <c r="AT20" s="133">
        <v>14080</v>
      </c>
      <c r="AU20" s="134">
        <f t="shared" si="24"/>
        <v>395800</v>
      </c>
      <c r="AV20" s="103">
        <v>16</v>
      </c>
      <c r="AW20" s="104">
        <f>AT20+AU20</f>
        <v>409880</v>
      </c>
      <c r="AX20" s="156">
        <f t="shared" si="16"/>
        <v>491090</v>
      </c>
    </row>
    <row r="21" spans="1:50" ht="15.75" customHeight="1">
      <c r="A21" s="103"/>
      <c r="B21" s="138">
        <f t="shared" si="17"/>
        <v>46039</v>
      </c>
      <c r="C21" s="155"/>
      <c r="D21" s="114">
        <v>88</v>
      </c>
      <c r="E21" s="115"/>
      <c r="F21" s="116">
        <v>17</v>
      </c>
      <c r="G21" s="117">
        <v>42460</v>
      </c>
      <c r="H21" s="118">
        <f t="shared" si="0"/>
        <v>2270.5882352941176</v>
      </c>
      <c r="I21" s="117">
        <v>8250</v>
      </c>
      <c r="J21" s="118">
        <f t="shared" si="1"/>
        <v>441.1764705882353</v>
      </c>
      <c r="K21" s="120">
        <f t="shared" si="26"/>
        <v>50710</v>
      </c>
      <c r="L21" s="121">
        <f t="shared" si="2"/>
        <v>2982.9411764705883</v>
      </c>
      <c r="M21" s="122"/>
      <c r="N21" s="123">
        <f>AN21-F21</f>
        <v>36</v>
      </c>
      <c r="O21" s="124">
        <f t="shared" si="18"/>
        <v>319770</v>
      </c>
      <c r="P21" s="118">
        <f t="shared" si="3"/>
        <v>8075</v>
      </c>
      <c r="Q21" s="124">
        <f t="shared" si="19"/>
        <v>68510</v>
      </c>
      <c r="R21" s="140">
        <f t="shared" si="4"/>
        <v>1730.0277777777778</v>
      </c>
      <c r="S21" s="125">
        <f>O21+Q21</f>
        <v>388280</v>
      </c>
      <c r="T21" s="121">
        <f t="shared" si="5"/>
        <v>10785.555555555555</v>
      </c>
      <c r="U21" s="126">
        <f t="shared" ref="U21:V35" si="27">F21+N21</f>
        <v>53</v>
      </c>
      <c r="V21" s="124">
        <f t="shared" si="27"/>
        <v>362230</v>
      </c>
      <c r="W21" s="124">
        <f t="shared" si="7"/>
        <v>76760</v>
      </c>
      <c r="X21" s="127">
        <f>K21+S21</f>
        <v>438990</v>
      </c>
      <c r="Y21" s="124">
        <f t="shared" si="8"/>
        <v>8282.8301886792451</v>
      </c>
      <c r="Z21" s="128"/>
      <c r="AA21" s="129">
        <v>123</v>
      </c>
      <c r="AB21" s="117">
        <v>95650</v>
      </c>
      <c r="AC21" s="118">
        <f t="shared" si="9"/>
        <v>777.64227642276421</v>
      </c>
      <c r="AD21" s="117">
        <v>32300</v>
      </c>
      <c r="AE21" s="119">
        <f t="shared" si="10"/>
        <v>262.60162601626018</v>
      </c>
      <c r="AF21" s="130">
        <f t="shared" si="22"/>
        <v>127950</v>
      </c>
      <c r="AG21" s="121">
        <f t="shared" si="11"/>
        <v>1040.2439024390244</v>
      </c>
      <c r="AH21" s="136">
        <f t="shared" si="12"/>
        <v>53</v>
      </c>
      <c r="AI21" s="132">
        <f t="shared" si="13"/>
        <v>457880</v>
      </c>
      <c r="AJ21" s="132">
        <f t="shared" si="14"/>
        <v>109060</v>
      </c>
      <c r="AK21" s="131">
        <f>X21+AF21</f>
        <v>566940</v>
      </c>
      <c r="AL21" s="124">
        <f>AQ21+AR21+AS21</f>
        <v>58360</v>
      </c>
      <c r="AM21" s="124">
        <v>800</v>
      </c>
      <c r="AN21" s="132">
        <v>53</v>
      </c>
      <c r="AO21" s="132">
        <v>362230</v>
      </c>
      <c r="AP21" s="132">
        <v>76760</v>
      </c>
      <c r="AQ21" s="133">
        <v>51150</v>
      </c>
      <c r="AR21" s="133">
        <v>7210</v>
      </c>
      <c r="AS21" s="133"/>
      <c r="AT21" s="133"/>
      <c r="AU21" s="134">
        <f t="shared" si="24"/>
        <v>497350</v>
      </c>
      <c r="AV21" s="103">
        <v>17</v>
      </c>
      <c r="AW21" s="104">
        <f t="shared" si="25"/>
        <v>497350</v>
      </c>
      <c r="AX21" s="156">
        <f t="shared" si="16"/>
        <v>626100</v>
      </c>
    </row>
    <row r="22" spans="1:50" ht="15.75" customHeight="1">
      <c r="A22" s="103"/>
      <c r="B22" s="139">
        <f t="shared" si="17"/>
        <v>46040</v>
      </c>
      <c r="C22" s="155"/>
      <c r="D22" s="114">
        <v>92</v>
      </c>
      <c r="E22" s="115"/>
      <c r="F22" s="116">
        <v>16</v>
      </c>
      <c r="G22" s="117">
        <v>41910</v>
      </c>
      <c r="H22" s="118">
        <f t="shared" si="0"/>
        <v>2381.25</v>
      </c>
      <c r="I22" s="117">
        <v>3360</v>
      </c>
      <c r="J22" s="118">
        <f t="shared" si="1"/>
        <v>190.875</v>
      </c>
      <c r="K22" s="120">
        <f t="shared" si="26"/>
        <v>45270</v>
      </c>
      <c r="L22" s="121">
        <f t="shared" si="2"/>
        <v>2829.375</v>
      </c>
      <c r="M22" s="122"/>
      <c r="N22" s="123">
        <f t="shared" ref="N22:O35" si="28">AN22-F22</f>
        <v>30</v>
      </c>
      <c r="O22" s="124">
        <f t="shared" si="28"/>
        <v>267190</v>
      </c>
      <c r="P22" s="118">
        <f t="shared" si="3"/>
        <v>8096.666666666667</v>
      </c>
      <c r="Q22" s="124">
        <f t="shared" si="19"/>
        <v>42090</v>
      </c>
      <c r="R22" s="140">
        <f t="shared" si="4"/>
        <v>1275.4333333333334</v>
      </c>
      <c r="S22" s="125">
        <f t="shared" si="20"/>
        <v>309280</v>
      </c>
      <c r="T22" s="121">
        <f t="shared" si="5"/>
        <v>10309.333333333334</v>
      </c>
      <c r="U22" s="126">
        <f t="shared" si="27"/>
        <v>46</v>
      </c>
      <c r="V22" s="124">
        <f t="shared" si="27"/>
        <v>309100</v>
      </c>
      <c r="W22" s="124">
        <f t="shared" si="7"/>
        <v>45450</v>
      </c>
      <c r="X22" s="127">
        <f t="shared" si="21"/>
        <v>354550</v>
      </c>
      <c r="Y22" s="124">
        <f t="shared" si="8"/>
        <v>7707.608695652174</v>
      </c>
      <c r="Z22" s="128"/>
      <c r="AA22" s="129">
        <v>155</v>
      </c>
      <c r="AB22" s="117">
        <v>112550</v>
      </c>
      <c r="AC22" s="118">
        <f t="shared" si="9"/>
        <v>726.12903225806451</v>
      </c>
      <c r="AD22" s="117">
        <v>54570</v>
      </c>
      <c r="AE22" s="119">
        <f t="shared" si="10"/>
        <v>352.06451612903226</v>
      </c>
      <c r="AF22" s="130">
        <f t="shared" si="22"/>
        <v>167120</v>
      </c>
      <c r="AG22" s="121">
        <f t="shared" si="11"/>
        <v>1078.1935483870968</v>
      </c>
      <c r="AH22" s="136">
        <f t="shared" si="12"/>
        <v>46</v>
      </c>
      <c r="AI22" s="132">
        <f t="shared" si="13"/>
        <v>421650</v>
      </c>
      <c r="AJ22" s="132">
        <f t="shared" si="14"/>
        <v>100020</v>
      </c>
      <c r="AK22" s="131">
        <f t="shared" si="23"/>
        <v>521670</v>
      </c>
      <c r="AL22" s="124">
        <f t="shared" si="15"/>
        <v>40500</v>
      </c>
      <c r="AM22" s="124">
        <v>400</v>
      </c>
      <c r="AN22" s="132">
        <v>46</v>
      </c>
      <c r="AO22" s="132">
        <v>309100</v>
      </c>
      <c r="AP22" s="132">
        <v>45450</v>
      </c>
      <c r="AQ22" s="133">
        <v>38500</v>
      </c>
      <c r="AR22" s="133">
        <v>2000</v>
      </c>
      <c r="AS22" s="133"/>
      <c r="AT22" s="133"/>
      <c r="AU22" s="134">
        <f t="shared" si="24"/>
        <v>395050</v>
      </c>
      <c r="AV22" s="103">
        <v>18</v>
      </c>
      <c r="AW22" s="104">
        <f t="shared" si="25"/>
        <v>395050</v>
      </c>
      <c r="AX22" s="156">
        <f t="shared" si="16"/>
        <v>562570</v>
      </c>
    </row>
    <row r="23" spans="1:50" ht="15.75" customHeight="1">
      <c r="A23" s="103"/>
      <c r="B23" s="151">
        <f t="shared" si="17"/>
        <v>46041</v>
      </c>
      <c r="C23" s="155" t="s">
        <v>56</v>
      </c>
      <c r="D23" s="114">
        <v>55</v>
      </c>
      <c r="E23" s="115"/>
      <c r="F23" s="116"/>
      <c r="G23" s="117"/>
      <c r="H23" s="118" t="e">
        <f t="shared" si="0"/>
        <v>#DIV/0!</v>
      </c>
      <c r="I23" s="117"/>
      <c r="J23" s="118" t="e">
        <f t="shared" si="1"/>
        <v>#DIV/0!</v>
      </c>
      <c r="K23" s="120">
        <f t="shared" si="26"/>
        <v>0</v>
      </c>
      <c r="L23" s="121" t="str">
        <f t="shared" si="2"/>
        <v/>
      </c>
      <c r="M23" s="122"/>
      <c r="N23" s="123">
        <f t="shared" si="28"/>
        <v>34</v>
      </c>
      <c r="O23" s="124">
        <f t="shared" si="28"/>
        <v>327360</v>
      </c>
      <c r="P23" s="118">
        <f t="shared" si="3"/>
        <v>8752.9411764705874</v>
      </c>
      <c r="Q23" s="124">
        <f t="shared" si="19"/>
        <v>51630</v>
      </c>
      <c r="R23" s="140">
        <f t="shared" si="4"/>
        <v>1380.4705882352941</v>
      </c>
      <c r="S23" s="125">
        <f t="shared" si="20"/>
        <v>378990</v>
      </c>
      <c r="T23" s="121">
        <f t="shared" si="5"/>
        <v>11146.764705882353</v>
      </c>
      <c r="U23" s="126">
        <f t="shared" si="27"/>
        <v>34</v>
      </c>
      <c r="V23" s="124">
        <f t="shared" si="27"/>
        <v>327360</v>
      </c>
      <c r="W23" s="124">
        <f t="shared" si="7"/>
        <v>51630</v>
      </c>
      <c r="X23" s="127">
        <f t="shared" si="21"/>
        <v>378990</v>
      </c>
      <c r="Y23" s="124">
        <f t="shared" si="8"/>
        <v>11146.764705882353</v>
      </c>
      <c r="Z23" s="128"/>
      <c r="AA23" s="129">
        <v>108</v>
      </c>
      <c r="AB23" s="117">
        <v>76900</v>
      </c>
      <c r="AC23" s="118">
        <f t="shared" si="9"/>
        <v>712.03703703703707</v>
      </c>
      <c r="AD23" s="117">
        <v>29710</v>
      </c>
      <c r="AE23" s="119">
        <f t="shared" si="10"/>
        <v>275.09259259259261</v>
      </c>
      <c r="AF23" s="130">
        <f t="shared" si="22"/>
        <v>106610</v>
      </c>
      <c r="AG23" s="121">
        <f t="shared" si="11"/>
        <v>987.12962962962968</v>
      </c>
      <c r="AH23" s="136">
        <f t="shared" si="12"/>
        <v>34</v>
      </c>
      <c r="AI23" s="132">
        <f t="shared" si="13"/>
        <v>404260</v>
      </c>
      <c r="AJ23" s="132">
        <f t="shared" si="14"/>
        <v>81340</v>
      </c>
      <c r="AK23" s="131">
        <f t="shared" si="23"/>
        <v>485600</v>
      </c>
      <c r="AL23" s="124">
        <f t="shared" si="15"/>
        <v>43900</v>
      </c>
      <c r="AM23" s="124"/>
      <c r="AN23" s="132">
        <v>34</v>
      </c>
      <c r="AO23" s="132">
        <v>327360</v>
      </c>
      <c r="AP23" s="132">
        <v>51630</v>
      </c>
      <c r="AQ23" s="133">
        <v>42900</v>
      </c>
      <c r="AR23" s="133">
        <v>1000</v>
      </c>
      <c r="AS23" s="133"/>
      <c r="AT23" s="133"/>
      <c r="AU23" s="134">
        <f t="shared" si="24"/>
        <v>422890</v>
      </c>
      <c r="AV23" s="103">
        <v>19</v>
      </c>
      <c r="AW23" s="104">
        <f t="shared" si="25"/>
        <v>422890</v>
      </c>
      <c r="AX23" s="156">
        <f t="shared" si="16"/>
        <v>529500</v>
      </c>
    </row>
    <row r="24" spans="1:50" ht="15.75" customHeight="1">
      <c r="A24" s="103"/>
      <c r="B24" s="151">
        <f t="shared" si="17"/>
        <v>46042</v>
      </c>
      <c r="C24" s="155" t="s">
        <v>56</v>
      </c>
      <c r="D24" s="114">
        <v>45</v>
      </c>
      <c r="E24" s="115"/>
      <c r="F24" s="116"/>
      <c r="G24" s="117"/>
      <c r="H24" s="118" t="e">
        <f t="shared" si="0"/>
        <v>#DIV/0!</v>
      </c>
      <c r="I24" s="117"/>
      <c r="J24" s="118" t="e">
        <f t="shared" si="1"/>
        <v>#DIV/0!</v>
      </c>
      <c r="K24" s="120">
        <f t="shared" si="26"/>
        <v>0</v>
      </c>
      <c r="L24" s="121" t="str">
        <f t="shared" si="2"/>
        <v/>
      </c>
      <c r="M24" s="122"/>
      <c r="N24" s="123">
        <f t="shared" si="28"/>
        <v>21</v>
      </c>
      <c r="O24" s="124">
        <f t="shared" si="28"/>
        <v>198440</v>
      </c>
      <c r="P24" s="118">
        <f t="shared" si="3"/>
        <v>8590.4761904761908</v>
      </c>
      <c r="Q24" s="124">
        <f t="shared" si="19"/>
        <v>53310</v>
      </c>
      <c r="R24" s="140">
        <f t="shared" si="4"/>
        <v>2307.7619047619046</v>
      </c>
      <c r="S24" s="125">
        <f t="shared" si="20"/>
        <v>251750</v>
      </c>
      <c r="T24" s="121">
        <f t="shared" si="5"/>
        <v>11988.095238095239</v>
      </c>
      <c r="U24" s="126">
        <f t="shared" si="27"/>
        <v>21</v>
      </c>
      <c r="V24" s="124">
        <f t="shared" si="27"/>
        <v>198440</v>
      </c>
      <c r="W24" s="124">
        <f t="shared" si="7"/>
        <v>53310</v>
      </c>
      <c r="X24" s="127">
        <f t="shared" si="21"/>
        <v>251750</v>
      </c>
      <c r="Y24" s="124">
        <f t="shared" si="8"/>
        <v>11988.095238095239</v>
      </c>
      <c r="Z24" s="128"/>
      <c r="AA24" s="129">
        <v>72</v>
      </c>
      <c r="AB24" s="117">
        <v>49950</v>
      </c>
      <c r="AC24" s="118">
        <f t="shared" si="9"/>
        <v>693.75</v>
      </c>
      <c r="AD24" s="117">
        <v>24510</v>
      </c>
      <c r="AE24" s="119">
        <f t="shared" si="10"/>
        <v>340.41666666666669</v>
      </c>
      <c r="AF24" s="130">
        <f t="shared" si="22"/>
        <v>74460</v>
      </c>
      <c r="AG24" s="121">
        <f t="shared" si="11"/>
        <v>1034.1666666666667</v>
      </c>
      <c r="AH24" s="136">
        <f t="shared" si="12"/>
        <v>21</v>
      </c>
      <c r="AI24" s="132">
        <f t="shared" si="13"/>
        <v>248390</v>
      </c>
      <c r="AJ24" s="132">
        <f t="shared" si="14"/>
        <v>77820</v>
      </c>
      <c r="AK24" s="131">
        <f>X24+AF24</f>
        <v>326210</v>
      </c>
      <c r="AL24" s="124">
        <f t="shared" si="15"/>
        <v>38610</v>
      </c>
      <c r="AM24" s="124"/>
      <c r="AN24" s="132">
        <v>21</v>
      </c>
      <c r="AO24" s="132">
        <v>198440</v>
      </c>
      <c r="AP24" s="132">
        <v>53310</v>
      </c>
      <c r="AQ24" s="133">
        <v>37400</v>
      </c>
      <c r="AR24" s="133">
        <v>1210</v>
      </c>
      <c r="AS24" s="133"/>
      <c r="AT24" s="133"/>
      <c r="AU24" s="134">
        <f>SUM(AO24:AS24)</f>
        <v>290360</v>
      </c>
      <c r="AV24" s="103">
        <v>20</v>
      </c>
      <c r="AW24" s="104">
        <f t="shared" si="25"/>
        <v>290360</v>
      </c>
      <c r="AX24" s="156">
        <f t="shared" si="16"/>
        <v>364820</v>
      </c>
    </row>
    <row r="25" spans="1:50" ht="15.75" customHeight="1">
      <c r="A25" s="103"/>
      <c r="B25" s="160">
        <f t="shared" si="17"/>
        <v>46043</v>
      </c>
      <c r="C25" s="155" t="s">
        <v>56</v>
      </c>
      <c r="D25" s="114">
        <v>97</v>
      </c>
      <c r="E25" s="115"/>
      <c r="F25" s="116"/>
      <c r="G25" s="117"/>
      <c r="H25" s="118" t="e">
        <f t="shared" si="0"/>
        <v>#DIV/0!</v>
      </c>
      <c r="I25" s="117"/>
      <c r="J25" s="118" t="e">
        <f t="shared" si="1"/>
        <v>#DIV/0!</v>
      </c>
      <c r="K25" s="120">
        <f t="shared" si="26"/>
        <v>0</v>
      </c>
      <c r="L25" s="121" t="str">
        <f t="shared" si="2"/>
        <v/>
      </c>
      <c r="M25" s="122"/>
      <c r="N25" s="123">
        <f t="shared" si="28"/>
        <v>24</v>
      </c>
      <c r="O25" s="124">
        <f t="shared" si="28"/>
        <v>231660</v>
      </c>
      <c r="P25" s="118">
        <f t="shared" si="3"/>
        <v>8775</v>
      </c>
      <c r="Q25" s="124">
        <f t="shared" si="19"/>
        <v>27440</v>
      </c>
      <c r="R25" s="140">
        <f t="shared" si="4"/>
        <v>1039.375</v>
      </c>
      <c r="S25" s="125">
        <f t="shared" si="20"/>
        <v>259100</v>
      </c>
      <c r="T25" s="121">
        <f t="shared" si="5"/>
        <v>10795.833333333334</v>
      </c>
      <c r="U25" s="126">
        <f>F25+N25</f>
        <v>24</v>
      </c>
      <c r="V25" s="124">
        <f t="shared" si="27"/>
        <v>231660</v>
      </c>
      <c r="W25" s="124">
        <f t="shared" si="7"/>
        <v>27440</v>
      </c>
      <c r="X25" s="127">
        <f t="shared" si="21"/>
        <v>259100</v>
      </c>
      <c r="Y25" s="124">
        <f t="shared" si="8"/>
        <v>10795.833333333334</v>
      </c>
      <c r="Z25" s="128"/>
      <c r="AA25" s="161">
        <v>57</v>
      </c>
      <c r="AB25" s="117">
        <v>40850</v>
      </c>
      <c r="AC25" s="118">
        <f t="shared" si="9"/>
        <v>716.66666666666663</v>
      </c>
      <c r="AD25" s="117">
        <v>14870</v>
      </c>
      <c r="AE25" s="119">
        <f t="shared" si="10"/>
        <v>260.87719298245617</v>
      </c>
      <c r="AF25" s="130">
        <f t="shared" si="22"/>
        <v>55720</v>
      </c>
      <c r="AG25" s="121">
        <f t="shared" si="11"/>
        <v>977.54385964912285</v>
      </c>
      <c r="AH25" s="136">
        <f t="shared" si="12"/>
        <v>24</v>
      </c>
      <c r="AI25" s="132">
        <f t="shared" si="13"/>
        <v>272510</v>
      </c>
      <c r="AJ25" s="132">
        <f t="shared" si="14"/>
        <v>42310</v>
      </c>
      <c r="AK25" s="131">
        <f>X25+AF25</f>
        <v>314820</v>
      </c>
      <c r="AL25" s="124">
        <f t="shared" si="15"/>
        <v>41520</v>
      </c>
      <c r="AM25" s="124"/>
      <c r="AN25" s="132">
        <v>24</v>
      </c>
      <c r="AO25" s="132">
        <v>231660</v>
      </c>
      <c r="AP25" s="132">
        <v>27440</v>
      </c>
      <c r="AQ25" s="133">
        <v>37400</v>
      </c>
      <c r="AR25" s="133">
        <v>4120</v>
      </c>
      <c r="AS25" s="133"/>
      <c r="AT25" s="133">
        <v>13200</v>
      </c>
      <c r="AU25" s="134">
        <f t="shared" si="24"/>
        <v>300620</v>
      </c>
      <c r="AV25" s="103">
        <v>21</v>
      </c>
      <c r="AW25" s="104">
        <f t="shared" si="25"/>
        <v>313820</v>
      </c>
      <c r="AX25" s="156">
        <f t="shared" si="16"/>
        <v>369540</v>
      </c>
    </row>
    <row r="26" spans="1:50" ht="15.75" customHeight="1">
      <c r="A26" s="103"/>
      <c r="B26" s="160">
        <f t="shared" si="17"/>
        <v>46044</v>
      </c>
      <c r="C26" s="155" t="s">
        <v>56</v>
      </c>
      <c r="D26" s="114">
        <v>98</v>
      </c>
      <c r="E26" s="115"/>
      <c r="F26" s="116"/>
      <c r="G26" s="117"/>
      <c r="H26" s="118" t="e">
        <f t="shared" si="0"/>
        <v>#DIV/0!</v>
      </c>
      <c r="I26" s="117"/>
      <c r="J26" s="118" t="e">
        <f t="shared" si="1"/>
        <v>#DIV/0!</v>
      </c>
      <c r="K26" s="120">
        <f t="shared" si="26"/>
        <v>0</v>
      </c>
      <c r="L26" s="121" t="str">
        <f t="shared" si="2"/>
        <v/>
      </c>
      <c r="M26" s="122"/>
      <c r="N26" s="123">
        <f t="shared" si="28"/>
        <v>29</v>
      </c>
      <c r="O26" s="124">
        <f t="shared" si="28"/>
        <v>294470</v>
      </c>
      <c r="P26" s="118">
        <f t="shared" si="3"/>
        <v>9231.0344827586214</v>
      </c>
      <c r="Q26" s="124">
        <f t="shared" si="19"/>
        <v>50530</v>
      </c>
      <c r="R26" s="140">
        <f t="shared" si="4"/>
        <v>1584</v>
      </c>
      <c r="S26" s="125">
        <f t="shared" si="20"/>
        <v>345000</v>
      </c>
      <c r="T26" s="121">
        <f t="shared" si="5"/>
        <v>11896.551724137931</v>
      </c>
      <c r="U26" s="126">
        <f t="shared" si="27"/>
        <v>29</v>
      </c>
      <c r="V26" s="124">
        <f t="shared" si="27"/>
        <v>294470</v>
      </c>
      <c r="W26" s="124">
        <f t="shared" si="7"/>
        <v>50530</v>
      </c>
      <c r="X26" s="127">
        <f t="shared" si="21"/>
        <v>345000</v>
      </c>
      <c r="Y26" s="124">
        <f t="shared" si="8"/>
        <v>11896.551724137931</v>
      </c>
      <c r="Z26" s="128"/>
      <c r="AA26" s="161">
        <v>109</v>
      </c>
      <c r="AB26" s="117">
        <v>67650</v>
      </c>
      <c r="AC26" s="118">
        <f t="shared" si="9"/>
        <v>620.64220183486236</v>
      </c>
      <c r="AD26" s="117">
        <v>46680</v>
      </c>
      <c r="AE26" s="119">
        <f t="shared" si="10"/>
        <v>428.25688073394497</v>
      </c>
      <c r="AF26" s="130">
        <f t="shared" si="22"/>
        <v>114330</v>
      </c>
      <c r="AG26" s="121">
        <f t="shared" si="11"/>
        <v>1048.8990825688074</v>
      </c>
      <c r="AH26" s="136">
        <f t="shared" si="12"/>
        <v>29</v>
      </c>
      <c r="AI26" s="132">
        <f t="shared" si="13"/>
        <v>362120</v>
      </c>
      <c r="AJ26" s="132">
        <f t="shared" si="14"/>
        <v>97210</v>
      </c>
      <c r="AK26" s="131">
        <f>X26+AF26</f>
        <v>459330</v>
      </c>
      <c r="AL26" s="124">
        <f t="shared" si="15"/>
        <v>44260</v>
      </c>
      <c r="AM26" s="124"/>
      <c r="AN26" s="132">
        <v>29</v>
      </c>
      <c r="AO26" s="132">
        <v>294470</v>
      </c>
      <c r="AP26" s="132">
        <v>50530</v>
      </c>
      <c r="AQ26" s="133">
        <v>40700</v>
      </c>
      <c r="AR26" s="133">
        <v>3560</v>
      </c>
      <c r="AS26" s="133"/>
      <c r="AT26" s="133"/>
      <c r="AU26" s="134">
        <f t="shared" si="24"/>
        <v>389260</v>
      </c>
      <c r="AV26" s="103">
        <v>22</v>
      </c>
      <c r="AW26" s="104">
        <f t="shared" si="25"/>
        <v>389260</v>
      </c>
      <c r="AX26" s="156">
        <f t="shared" si="16"/>
        <v>503590</v>
      </c>
    </row>
    <row r="27" spans="1:50" ht="15.75" customHeight="1">
      <c r="A27" s="103"/>
      <c r="B27" s="160">
        <f t="shared" si="17"/>
        <v>46045</v>
      </c>
      <c r="C27" s="155" t="s">
        <v>56</v>
      </c>
      <c r="D27" s="114">
        <v>100</v>
      </c>
      <c r="E27" s="115"/>
      <c r="F27" s="116"/>
      <c r="G27" s="117"/>
      <c r="H27" s="118" t="e">
        <f t="shared" si="0"/>
        <v>#DIV/0!</v>
      </c>
      <c r="I27" s="117"/>
      <c r="J27" s="118" t="e">
        <f t="shared" si="1"/>
        <v>#DIV/0!</v>
      </c>
      <c r="K27" s="120">
        <f t="shared" si="26"/>
        <v>0</v>
      </c>
      <c r="L27" s="121" t="str">
        <f t="shared" si="2"/>
        <v/>
      </c>
      <c r="M27" s="122"/>
      <c r="N27" s="123">
        <f t="shared" si="28"/>
        <v>31</v>
      </c>
      <c r="O27" s="124">
        <f t="shared" si="28"/>
        <v>312070</v>
      </c>
      <c r="P27" s="118">
        <f t="shared" si="3"/>
        <v>9151.6129032258068</v>
      </c>
      <c r="Q27" s="124">
        <f t="shared" si="19"/>
        <v>36100</v>
      </c>
      <c r="R27" s="119">
        <f t="shared" si="4"/>
        <v>1058.6451612903227</v>
      </c>
      <c r="S27" s="125">
        <f t="shared" si="20"/>
        <v>348170</v>
      </c>
      <c r="T27" s="121">
        <f t="shared" si="5"/>
        <v>11231.290322580646</v>
      </c>
      <c r="U27" s="126">
        <f t="shared" si="27"/>
        <v>31</v>
      </c>
      <c r="V27" s="124">
        <f t="shared" si="27"/>
        <v>312070</v>
      </c>
      <c r="W27" s="124">
        <f t="shared" si="7"/>
        <v>36100</v>
      </c>
      <c r="X27" s="127">
        <f t="shared" si="21"/>
        <v>348170</v>
      </c>
      <c r="Y27" s="124">
        <f t="shared" si="8"/>
        <v>11231.290322580646</v>
      </c>
      <c r="Z27" s="128"/>
      <c r="AA27" s="161">
        <v>99</v>
      </c>
      <c r="AB27" s="117">
        <v>68950</v>
      </c>
      <c r="AC27" s="118">
        <f t="shared" si="9"/>
        <v>696.46464646464642</v>
      </c>
      <c r="AD27" s="117">
        <v>29090</v>
      </c>
      <c r="AE27" s="119">
        <f t="shared" si="10"/>
        <v>293.83838383838383</v>
      </c>
      <c r="AF27" s="130">
        <f t="shared" si="22"/>
        <v>98040</v>
      </c>
      <c r="AG27" s="121">
        <f t="shared" si="11"/>
        <v>990.30303030303025</v>
      </c>
      <c r="AH27" s="136">
        <f t="shared" si="12"/>
        <v>31</v>
      </c>
      <c r="AI27" s="132">
        <f t="shared" si="13"/>
        <v>381020</v>
      </c>
      <c r="AJ27" s="132">
        <f t="shared" si="14"/>
        <v>65190</v>
      </c>
      <c r="AK27" s="131">
        <f>X27+AF27</f>
        <v>446210</v>
      </c>
      <c r="AL27" s="124">
        <f t="shared" si="15"/>
        <v>41800</v>
      </c>
      <c r="AM27" s="124"/>
      <c r="AN27" s="132">
        <v>31</v>
      </c>
      <c r="AO27" s="132">
        <v>312070</v>
      </c>
      <c r="AP27" s="132">
        <v>36100</v>
      </c>
      <c r="AQ27" s="133">
        <v>41800</v>
      </c>
      <c r="AR27" s="133"/>
      <c r="AS27" s="133"/>
      <c r="AT27" s="133"/>
      <c r="AU27" s="134">
        <f t="shared" si="24"/>
        <v>389970</v>
      </c>
      <c r="AV27" s="103">
        <v>23</v>
      </c>
      <c r="AW27" s="104">
        <f t="shared" si="25"/>
        <v>389970</v>
      </c>
      <c r="AX27" s="156">
        <f t="shared" si="16"/>
        <v>488010</v>
      </c>
    </row>
    <row r="28" spans="1:50" ht="15.75" customHeight="1">
      <c r="A28" s="103"/>
      <c r="B28" s="162">
        <f t="shared" si="17"/>
        <v>46046</v>
      </c>
      <c r="C28" s="155"/>
      <c r="D28" s="114">
        <v>93</v>
      </c>
      <c r="E28" s="115"/>
      <c r="F28" s="116">
        <v>13</v>
      </c>
      <c r="G28" s="117">
        <v>33440</v>
      </c>
      <c r="H28" s="118">
        <f t="shared" si="0"/>
        <v>2338.4615384615386</v>
      </c>
      <c r="I28" s="117">
        <v>8200</v>
      </c>
      <c r="J28" s="118">
        <f t="shared" si="1"/>
        <v>573.38461538461536</v>
      </c>
      <c r="K28" s="120">
        <f t="shared" si="26"/>
        <v>41640</v>
      </c>
      <c r="L28" s="121">
        <f t="shared" si="2"/>
        <v>3203.0769230769229</v>
      </c>
      <c r="M28" s="122"/>
      <c r="N28" s="123">
        <f t="shared" si="28"/>
        <v>40</v>
      </c>
      <c r="O28" s="124">
        <f t="shared" si="28"/>
        <v>415030</v>
      </c>
      <c r="P28" s="118">
        <f t="shared" si="3"/>
        <v>9432.5</v>
      </c>
      <c r="Q28" s="124">
        <f t="shared" si="19"/>
        <v>79670</v>
      </c>
      <c r="R28" s="119">
        <f t="shared" si="4"/>
        <v>1810.675</v>
      </c>
      <c r="S28" s="125">
        <f t="shared" si="20"/>
        <v>494700</v>
      </c>
      <c r="T28" s="121">
        <f t="shared" si="5"/>
        <v>12367.5</v>
      </c>
      <c r="U28" s="126">
        <f t="shared" si="27"/>
        <v>53</v>
      </c>
      <c r="V28" s="124">
        <f t="shared" si="27"/>
        <v>448470</v>
      </c>
      <c r="W28" s="124">
        <f t="shared" si="7"/>
        <v>87870</v>
      </c>
      <c r="X28" s="127">
        <f t="shared" si="21"/>
        <v>536340</v>
      </c>
      <c r="Y28" s="124">
        <f t="shared" si="8"/>
        <v>10119.622641509433</v>
      </c>
      <c r="Z28" s="128"/>
      <c r="AA28" s="161">
        <v>106</v>
      </c>
      <c r="AB28" s="117">
        <v>63800</v>
      </c>
      <c r="AC28" s="118">
        <f t="shared" si="9"/>
        <v>601.88679245283015</v>
      </c>
      <c r="AD28" s="117">
        <v>33940</v>
      </c>
      <c r="AE28" s="119">
        <f t="shared" si="10"/>
        <v>320.18867924528303</v>
      </c>
      <c r="AF28" s="130">
        <f t="shared" si="22"/>
        <v>97740</v>
      </c>
      <c r="AG28" s="121">
        <f t="shared" si="11"/>
        <v>922.07547169811323</v>
      </c>
      <c r="AH28" s="136">
        <f t="shared" si="12"/>
        <v>53</v>
      </c>
      <c r="AI28" s="132">
        <f t="shared" si="13"/>
        <v>512270</v>
      </c>
      <c r="AJ28" s="132">
        <f t="shared" si="14"/>
        <v>121810</v>
      </c>
      <c r="AK28" s="131">
        <f t="shared" si="23"/>
        <v>634080</v>
      </c>
      <c r="AL28" s="124">
        <f t="shared" si="15"/>
        <v>50600</v>
      </c>
      <c r="AM28" s="124"/>
      <c r="AN28" s="132">
        <v>53</v>
      </c>
      <c r="AO28" s="132">
        <v>448470</v>
      </c>
      <c r="AP28" s="132">
        <v>87870</v>
      </c>
      <c r="AQ28" s="133">
        <v>50600</v>
      </c>
      <c r="AR28" s="133"/>
      <c r="AS28" s="133"/>
      <c r="AT28" s="133"/>
      <c r="AU28" s="134">
        <f>SUM(AO28:AS28)</f>
        <v>586940</v>
      </c>
      <c r="AV28" s="103">
        <v>24</v>
      </c>
      <c r="AW28" s="104">
        <f t="shared" si="25"/>
        <v>586940</v>
      </c>
      <c r="AX28" s="156">
        <f t="shared" si="16"/>
        <v>684680</v>
      </c>
    </row>
    <row r="29" spans="1:50" ht="15.75" customHeight="1">
      <c r="A29" s="103"/>
      <c r="B29" s="163">
        <f t="shared" si="17"/>
        <v>46047</v>
      </c>
      <c r="C29" s="155" t="s">
        <v>65</v>
      </c>
      <c r="D29" s="114">
        <v>65</v>
      </c>
      <c r="E29" s="115"/>
      <c r="F29" s="116">
        <v>3</v>
      </c>
      <c r="G29" s="117">
        <v>14850</v>
      </c>
      <c r="H29" s="118">
        <f t="shared" si="0"/>
        <v>4500</v>
      </c>
      <c r="I29" s="117">
        <v>1600</v>
      </c>
      <c r="J29" s="118">
        <f t="shared" si="1"/>
        <v>484.66666666666669</v>
      </c>
      <c r="K29" s="120">
        <f t="shared" si="26"/>
        <v>16450</v>
      </c>
      <c r="L29" s="121">
        <f t="shared" si="2"/>
        <v>5483.333333333333</v>
      </c>
      <c r="M29" s="122"/>
      <c r="N29" s="123">
        <f>AN29-F29</f>
        <v>24</v>
      </c>
      <c r="O29" s="124">
        <f t="shared" si="28"/>
        <v>175450</v>
      </c>
      <c r="P29" s="118">
        <f t="shared" si="3"/>
        <v>6645.833333333333</v>
      </c>
      <c r="Q29" s="124">
        <f t="shared" si="19"/>
        <v>42130</v>
      </c>
      <c r="R29" s="119">
        <f t="shared" si="4"/>
        <v>1595.8333333333333</v>
      </c>
      <c r="S29" s="125">
        <f t="shared" si="20"/>
        <v>217580</v>
      </c>
      <c r="T29" s="121">
        <f t="shared" si="5"/>
        <v>9065.8333333333339</v>
      </c>
      <c r="U29" s="126">
        <f t="shared" si="27"/>
        <v>27</v>
      </c>
      <c r="V29" s="124">
        <f t="shared" si="27"/>
        <v>190300</v>
      </c>
      <c r="W29" s="124">
        <f t="shared" si="7"/>
        <v>43730</v>
      </c>
      <c r="X29" s="127">
        <f t="shared" si="21"/>
        <v>234030</v>
      </c>
      <c r="Y29" s="124">
        <f t="shared" si="8"/>
        <v>8667.7777777777774</v>
      </c>
      <c r="Z29" s="128"/>
      <c r="AA29" s="161">
        <v>11</v>
      </c>
      <c r="AB29" s="117">
        <v>7850</v>
      </c>
      <c r="AC29" s="118">
        <f t="shared" si="9"/>
        <v>713.63636363636363</v>
      </c>
      <c r="AD29" s="117">
        <v>3800</v>
      </c>
      <c r="AE29" s="119">
        <f t="shared" si="10"/>
        <v>345.45454545454544</v>
      </c>
      <c r="AF29" s="130">
        <f t="shared" si="22"/>
        <v>11650</v>
      </c>
      <c r="AG29" s="121">
        <f t="shared" si="11"/>
        <v>1059.090909090909</v>
      </c>
      <c r="AH29" s="136">
        <f t="shared" si="12"/>
        <v>27</v>
      </c>
      <c r="AI29" s="132">
        <f t="shared" si="13"/>
        <v>198150</v>
      </c>
      <c r="AJ29" s="132">
        <f t="shared" si="14"/>
        <v>47530</v>
      </c>
      <c r="AK29" s="131">
        <f t="shared" si="23"/>
        <v>245680</v>
      </c>
      <c r="AL29" s="124">
        <f t="shared" si="15"/>
        <v>31900</v>
      </c>
      <c r="AM29" s="124"/>
      <c r="AN29" s="132">
        <v>27</v>
      </c>
      <c r="AO29" s="132">
        <v>190300</v>
      </c>
      <c r="AP29" s="132">
        <v>43730</v>
      </c>
      <c r="AQ29" s="133">
        <v>31900</v>
      </c>
      <c r="AR29" s="133"/>
      <c r="AS29" s="133"/>
      <c r="AT29" s="133"/>
      <c r="AU29" s="134">
        <f t="shared" si="24"/>
        <v>265930</v>
      </c>
      <c r="AV29" s="103">
        <v>25</v>
      </c>
      <c r="AW29" s="104">
        <f t="shared" si="25"/>
        <v>265930</v>
      </c>
      <c r="AX29" s="156">
        <f t="shared" si="16"/>
        <v>277580</v>
      </c>
    </row>
    <row r="30" spans="1:50" ht="15.75" customHeight="1">
      <c r="A30" s="103"/>
      <c r="B30" s="160">
        <f t="shared" si="17"/>
        <v>46048</v>
      </c>
      <c r="C30" s="155" t="s">
        <v>56</v>
      </c>
      <c r="D30" s="114">
        <v>97</v>
      </c>
      <c r="E30" s="115"/>
      <c r="F30" s="116"/>
      <c r="G30" s="117"/>
      <c r="H30" s="118" t="e">
        <f t="shared" si="0"/>
        <v>#DIV/0!</v>
      </c>
      <c r="I30" s="117"/>
      <c r="J30" s="118" t="e">
        <f>ROUNDDOWN(I30/1.1,0)/F30</f>
        <v>#DIV/0!</v>
      </c>
      <c r="K30" s="120">
        <f t="shared" si="26"/>
        <v>0</v>
      </c>
      <c r="L30" s="121" t="str">
        <f t="shared" si="2"/>
        <v/>
      </c>
      <c r="M30" s="122"/>
      <c r="N30" s="123">
        <f t="shared" si="28"/>
        <v>27</v>
      </c>
      <c r="O30" s="124">
        <f t="shared" si="28"/>
        <v>195250</v>
      </c>
      <c r="P30" s="118">
        <f t="shared" si="3"/>
        <v>6574.0740740740739</v>
      </c>
      <c r="Q30" s="124">
        <f t="shared" si="19"/>
        <v>47030</v>
      </c>
      <c r="R30" s="118">
        <f t="shared" si="4"/>
        <v>1583.4814814814815</v>
      </c>
      <c r="S30" s="125">
        <f t="shared" si="20"/>
        <v>242280</v>
      </c>
      <c r="T30" s="121">
        <f t="shared" si="5"/>
        <v>8973.3333333333339</v>
      </c>
      <c r="U30" s="126">
        <f t="shared" si="27"/>
        <v>27</v>
      </c>
      <c r="V30" s="124">
        <f t="shared" si="27"/>
        <v>195250</v>
      </c>
      <c r="W30" s="124">
        <f t="shared" si="7"/>
        <v>47030</v>
      </c>
      <c r="X30" s="127">
        <f t="shared" si="21"/>
        <v>242280</v>
      </c>
      <c r="Y30" s="124">
        <f t="shared" si="8"/>
        <v>8973.3333333333339</v>
      </c>
      <c r="Z30" s="128"/>
      <c r="AA30" s="161">
        <v>79</v>
      </c>
      <c r="AB30" s="117">
        <v>64350</v>
      </c>
      <c r="AC30" s="118">
        <f t="shared" si="9"/>
        <v>814.55696202531647</v>
      </c>
      <c r="AD30" s="117">
        <v>24430</v>
      </c>
      <c r="AE30" s="119">
        <f t="shared" si="10"/>
        <v>309.24050632911394</v>
      </c>
      <c r="AF30" s="130">
        <f t="shared" si="22"/>
        <v>88780</v>
      </c>
      <c r="AG30" s="121">
        <f t="shared" si="11"/>
        <v>1123.7974683544303</v>
      </c>
      <c r="AH30" s="136">
        <f t="shared" si="12"/>
        <v>27</v>
      </c>
      <c r="AI30" s="132">
        <f t="shared" si="13"/>
        <v>259600</v>
      </c>
      <c r="AJ30" s="132">
        <f t="shared" si="14"/>
        <v>71460</v>
      </c>
      <c r="AK30" s="131">
        <f t="shared" si="23"/>
        <v>331060</v>
      </c>
      <c r="AL30" s="124">
        <f t="shared" si="15"/>
        <v>23220</v>
      </c>
      <c r="AM30" s="124"/>
      <c r="AN30" s="132">
        <v>27</v>
      </c>
      <c r="AO30" s="132">
        <v>195250</v>
      </c>
      <c r="AP30" s="132">
        <v>47030</v>
      </c>
      <c r="AQ30" s="133">
        <v>19800</v>
      </c>
      <c r="AR30" s="133">
        <v>3420</v>
      </c>
      <c r="AS30" s="133"/>
      <c r="AT30" s="133"/>
      <c r="AU30" s="134">
        <f>SUM(AO30:AS30)</f>
        <v>265500</v>
      </c>
      <c r="AV30" s="103">
        <v>26</v>
      </c>
      <c r="AW30" s="104">
        <f t="shared" si="25"/>
        <v>265500</v>
      </c>
      <c r="AX30" s="156">
        <f t="shared" si="16"/>
        <v>354280</v>
      </c>
    </row>
    <row r="31" spans="1:50" ht="15.75" customHeight="1">
      <c r="A31" s="103"/>
      <c r="B31" s="160">
        <f t="shared" si="17"/>
        <v>46049</v>
      </c>
      <c r="C31" s="155" t="s">
        <v>56</v>
      </c>
      <c r="D31" s="114">
        <v>56</v>
      </c>
      <c r="E31" s="115"/>
      <c r="F31" s="116"/>
      <c r="G31" s="117"/>
      <c r="H31" s="118" t="e">
        <f t="shared" si="0"/>
        <v>#DIV/0!</v>
      </c>
      <c r="I31" s="117"/>
      <c r="J31" s="118" t="e">
        <f>ROUNDDOWN(I31/1.1,0)/F31</f>
        <v>#DIV/0!</v>
      </c>
      <c r="K31" s="120">
        <f t="shared" si="26"/>
        <v>0</v>
      </c>
      <c r="L31" s="121" t="str">
        <f t="shared" si="2"/>
        <v/>
      </c>
      <c r="M31" s="122"/>
      <c r="N31" s="123">
        <f t="shared" si="28"/>
        <v>34</v>
      </c>
      <c r="O31" s="124">
        <f t="shared" si="28"/>
        <v>293370</v>
      </c>
      <c r="P31" s="118">
        <f t="shared" si="3"/>
        <v>7844.1176470588234</v>
      </c>
      <c r="Q31" s="124">
        <f t="shared" si="19"/>
        <v>55400</v>
      </c>
      <c r="R31" s="118">
        <f t="shared" si="4"/>
        <v>1481.2647058823529</v>
      </c>
      <c r="S31" s="125">
        <f t="shared" si="20"/>
        <v>348770</v>
      </c>
      <c r="T31" s="121">
        <f t="shared" si="5"/>
        <v>10257.941176470587</v>
      </c>
      <c r="U31" s="126">
        <f t="shared" si="27"/>
        <v>34</v>
      </c>
      <c r="V31" s="124">
        <f t="shared" si="27"/>
        <v>293370</v>
      </c>
      <c r="W31" s="124">
        <f t="shared" si="7"/>
        <v>55400</v>
      </c>
      <c r="X31" s="127">
        <f t="shared" si="21"/>
        <v>348770</v>
      </c>
      <c r="Y31" s="124">
        <f t="shared" si="8"/>
        <v>10257.941176470587</v>
      </c>
      <c r="Z31" s="128"/>
      <c r="AA31" s="161">
        <v>111</v>
      </c>
      <c r="AB31" s="117">
        <v>73650</v>
      </c>
      <c r="AC31" s="118">
        <f t="shared" si="9"/>
        <v>663.51351351351354</v>
      </c>
      <c r="AD31" s="117">
        <v>34290</v>
      </c>
      <c r="AE31" s="119">
        <f t="shared" si="10"/>
        <v>308.91891891891891</v>
      </c>
      <c r="AF31" s="130">
        <f t="shared" si="22"/>
        <v>107940</v>
      </c>
      <c r="AG31" s="121">
        <f t="shared" si="11"/>
        <v>972.43243243243239</v>
      </c>
      <c r="AH31" s="136">
        <f t="shared" si="12"/>
        <v>34</v>
      </c>
      <c r="AI31" s="132">
        <f t="shared" si="13"/>
        <v>367020</v>
      </c>
      <c r="AJ31" s="132">
        <f t="shared" si="14"/>
        <v>89690</v>
      </c>
      <c r="AK31" s="131">
        <f t="shared" si="23"/>
        <v>456710</v>
      </c>
      <c r="AL31" s="124">
        <f t="shared" si="15"/>
        <v>44000</v>
      </c>
      <c r="AM31" s="124"/>
      <c r="AN31" s="132">
        <v>34</v>
      </c>
      <c r="AO31" s="132">
        <v>293370</v>
      </c>
      <c r="AP31" s="132">
        <v>55400</v>
      </c>
      <c r="AQ31" s="133">
        <v>44000</v>
      </c>
      <c r="AR31" s="133"/>
      <c r="AS31" s="133"/>
      <c r="AT31" s="133">
        <v>13200</v>
      </c>
      <c r="AU31" s="134">
        <f t="shared" si="24"/>
        <v>392770</v>
      </c>
      <c r="AV31" s="103">
        <v>27</v>
      </c>
      <c r="AW31" s="104">
        <f t="shared" si="25"/>
        <v>405970</v>
      </c>
      <c r="AX31" s="156">
        <f t="shared" si="16"/>
        <v>513910</v>
      </c>
    </row>
    <row r="32" spans="1:50" ht="15.75" customHeight="1">
      <c r="A32" s="103"/>
      <c r="B32" s="160">
        <f t="shared" si="17"/>
        <v>46050</v>
      </c>
      <c r="C32" s="155" t="s">
        <v>56</v>
      </c>
      <c r="D32" s="114">
        <v>98</v>
      </c>
      <c r="E32" s="115"/>
      <c r="F32" s="116"/>
      <c r="G32" s="117"/>
      <c r="H32" s="118" t="e">
        <f t="shared" si="0"/>
        <v>#DIV/0!</v>
      </c>
      <c r="I32" s="117"/>
      <c r="J32" s="118" t="e">
        <f>ROUNDDOWN(I32/1.1,0)/F32</f>
        <v>#DIV/0!</v>
      </c>
      <c r="K32" s="120">
        <f t="shared" si="26"/>
        <v>0</v>
      </c>
      <c r="L32" s="121" t="str">
        <f t="shared" si="2"/>
        <v/>
      </c>
      <c r="M32" s="122"/>
      <c r="N32" s="123">
        <f t="shared" si="28"/>
        <v>21</v>
      </c>
      <c r="O32" s="124">
        <f t="shared" si="28"/>
        <v>209330</v>
      </c>
      <c r="P32" s="118">
        <f>ROUNDDOWN(O32/1.1,0)/N32</f>
        <v>9061.9047619047615</v>
      </c>
      <c r="Q32" s="124">
        <f>AP32-I32</f>
        <v>39460</v>
      </c>
      <c r="R32" s="118">
        <f>ROUNDDOWN(Q32/1.1,0)/N32</f>
        <v>1708.1904761904761</v>
      </c>
      <c r="S32" s="125">
        <f>O32+Q32</f>
        <v>248790</v>
      </c>
      <c r="T32" s="121">
        <f>IF(N32="","",S32/N32)</f>
        <v>11847.142857142857</v>
      </c>
      <c r="U32" s="126">
        <f t="shared" si="27"/>
        <v>21</v>
      </c>
      <c r="V32" s="124">
        <f>G32+O32</f>
        <v>209330</v>
      </c>
      <c r="W32" s="124">
        <f>I32+Q32</f>
        <v>39460</v>
      </c>
      <c r="X32" s="127">
        <f>K32+S32</f>
        <v>248790</v>
      </c>
      <c r="Y32" s="124">
        <f>IF(U32="","",X32/U32)</f>
        <v>11847.142857142857</v>
      </c>
      <c r="Z32" s="128"/>
      <c r="AA32" s="161">
        <v>97</v>
      </c>
      <c r="AB32" s="117">
        <v>60950</v>
      </c>
      <c r="AC32" s="118">
        <f>AB32/AA32</f>
        <v>628.35051546391753</v>
      </c>
      <c r="AD32" s="117">
        <v>26570</v>
      </c>
      <c r="AE32" s="119">
        <f>AD32/AA32</f>
        <v>273.91752577319585</v>
      </c>
      <c r="AF32" s="130">
        <f>AB32+AD32</f>
        <v>87520</v>
      </c>
      <c r="AG32" s="121">
        <f>IF(AA32="","",AF32/AA32)</f>
        <v>902.26804123711338</v>
      </c>
      <c r="AH32" s="136">
        <f>SUM(F32,N32)</f>
        <v>21</v>
      </c>
      <c r="AI32" s="132">
        <f>V32+AB32</f>
        <v>270280</v>
      </c>
      <c r="AJ32" s="132">
        <f>W32+AD32</f>
        <v>66030</v>
      </c>
      <c r="AK32" s="131">
        <f>X32+AF32</f>
        <v>336310</v>
      </c>
      <c r="AL32" s="124">
        <f>AQ32+AR32+AS32</f>
        <v>28600</v>
      </c>
      <c r="AM32" s="124">
        <v>800</v>
      </c>
      <c r="AN32" s="132">
        <v>21</v>
      </c>
      <c r="AO32" s="132">
        <v>209330</v>
      </c>
      <c r="AP32" s="132">
        <v>39460</v>
      </c>
      <c r="AQ32" s="133">
        <v>28600</v>
      </c>
      <c r="AR32" s="133"/>
      <c r="AS32" s="133"/>
      <c r="AT32" s="133"/>
      <c r="AU32" s="134">
        <f>SUM(AO32:AS32)</f>
        <v>277390</v>
      </c>
      <c r="AV32" s="103">
        <v>28</v>
      </c>
      <c r="AW32" s="104">
        <f>AT32+AU32</f>
        <v>277390</v>
      </c>
      <c r="AX32" s="156">
        <f t="shared" si="16"/>
        <v>365710</v>
      </c>
    </row>
    <row r="33" spans="1:50" ht="15.75" customHeight="1">
      <c r="A33" s="103"/>
      <c r="B33" s="164">
        <f t="shared" si="17"/>
        <v>46051</v>
      </c>
      <c r="C33" s="155" t="s">
        <v>56</v>
      </c>
      <c r="D33" s="114">
        <v>98</v>
      </c>
      <c r="E33" s="115"/>
      <c r="F33" s="116"/>
      <c r="G33" s="117"/>
      <c r="H33" s="118" t="e">
        <f t="shared" si="0"/>
        <v>#DIV/0!</v>
      </c>
      <c r="I33" s="117"/>
      <c r="J33" s="118" t="e">
        <f>ROUNDDOWN(I33/1.1,0)/F33</f>
        <v>#DIV/0!</v>
      </c>
      <c r="K33" s="120">
        <f t="shared" si="26"/>
        <v>0</v>
      </c>
      <c r="L33" s="121" t="str">
        <f t="shared" si="2"/>
        <v/>
      </c>
      <c r="M33" s="122"/>
      <c r="N33" s="123">
        <f t="shared" si="28"/>
        <v>24</v>
      </c>
      <c r="O33" s="124">
        <f t="shared" si="28"/>
        <v>212960</v>
      </c>
      <c r="P33" s="118">
        <f>ROUNDDOWN(O33/1.1,0)/N33</f>
        <v>8066.666666666667</v>
      </c>
      <c r="Q33" s="124">
        <f>AP33-I33</f>
        <v>32960</v>
      </c>
      <c r="R33" s="118">
        <f>ROUNDDOWN(Q33/1.1,0)/N33</f>
        <v>1248.4583333333333</v>
      </c>
      <c r="S33" s="125">
        <f>O33+Q33</f>
        <v>245920</v>
      </c>
      <c r="T33" s="121">
        <f>IF(N33="","",S33/N33)</f>
        <v>10246.666666666666</v>
      </c>
      <c r="U33" s="126">
        <f t="shared" si="27"/>
        <v>24</v>
      </c>
      <c r="V33" s="124">
        <f>G33+O33</f>
        <v>212960</v>
      </c>
      <c r="W33" s="124">
        <f>I33+Q33</f>
        <v>32960</v>
      </c>
      <c r="X33" s="127">
        <f>K33+S33</f>
        <v>245920</v>
      </c>
      <c r="Y33" s="124">
        <f>IF(U33="","",X33/U33)</f>
        <v>10246.666666666666</v>
      </c>
      <c r="Z33" s="128"/>
      <c r="AA33" s="161">
        <v>85</v>
      </c>
      <c r="AB33" s="117">
        <v>52100</v>
      </c>
      <c r="AC33" s="118">
        <f>AB33/AA33</f>
        <v>612.94117647058829</v>
      </c>
      <c r="AD33" s="117">
        <v>23570</v>
      </c>
      <c r="AE33" s="119">
        <f>AD33/AA33</f>
        <v>277.29411764705884</v>
      </c>
      <c r="AF33" s="130">
        <f>AB33+AD33</f>
        <v>75670</v>
      </c>
      <c r="AG33" s="121">
        <f>IF(AA33="","",AF33/AA33)</f>
        <v>890.23529411764707</v>
      </c>
      <c r="AH33" s="136">
        <f>SUM(F33,N33)</f>
        <v>24</v>
      </c>
      <c r="AI33" s="132">
        <f>V33+AB33</f>
        <v>265060</v>
      </c>
      <c r="AJ33" s="132">
        <f>W33+AD33</f>
        <v>56530</v>
      </c>
      <c r="AK33" s="131">
        <f>X33+AF33</f>
        <v>321590</v>
      </c>
      <c r="AL33" s="124">
        <f>AQ33+AR33+AS33</f>
        <v>30060</v>
      </c>
      <c r="AM33" s="124"/>
      <c r="AN33" s="132">
        <v>24</v>
      </c>
      <c r="AO33" s="132">
        <v>212960</v>
      </c>
      <c r="AP33" s="132">
        <v>32960</v>
      </c>
      <c r="AQ33" s="133">
        <v>27500</v>
      </c>
      <c r="AR33" s="133">
        <v>2560</v>
      </c>
      <c r="AS33" s="133"/>
      <c r="AT33" s="133"/>
      <c r="AU33" s="134">
        <f>SUM(AO33:AS33)</f>
        <v>275980</v>
      </c>
      <c r="AV33" s="103">
        <v>29</v>
      </c>
      <c r="AW33" s="104">
        <f>AT33+AU33</f>
        <v>275980</v>
      </c>
      <c r="AX33" s="156">
        <f t="shared" si="16"/>
        <v>351650</v>
      </c>
    </row>
    <row r="34" spans="1:50" ht="15.75" customHeight="1">
      <c r="A34" s="103"/>
      <c r="B34" s="135">
        <f>B33+1</f>
        <v>46052</v>
      </c>
      <c r="C34" s="155" t="s">
        <v>56</v>
      </c>
      <c r="D34" s="114">
        <v>92</v>
      </c>
      <c r="E34" s="115"/>
      <c r="F34" s="116"/>
      <c r="G34" s="117"/>
      <c r="H34" s="118" t="e">
        <f t="shared" si="0"/>
        <v>#DIV/0!</v>
      </c>
      <c r="I34" s="117"/>
      <c r="J34" s="118" t="e">
        <f>ROUNDDOWN(I34/1.1,0)/F34</f>
        <v>#DIV/0!</v>
      </c>
      <c r="K34" s="120">
        <f t="shared" si="26"/>
        <v>0</v>
      </c>
      <c r="L34" s="121" t="str">
        <f t="shared" si="2"/>
        <v/>
      </c>
      <c r="M34" s="122"/>
      <c r="N34" s="123">
        <f t="shared" si="28"/>
        <v>33</v>
      </c>
      <c r="O34" s="124">
        <f t="shared" si="28"/>
        <v>304810</v>
      </c>
      <c r="P34" s="118">
        <f>ROUNDDOWN(O34/1.1,0)/N34</f>
        <v>8396.9696969696961</v>
      </c>
      <c r="Q34" s="124">
        <f>AP34-I34</f>
        <v>30530</v>
      </c>
      <c r="R34" s="118">
        <f>ROUNDDOWN(Q34/1.1,0)/N34</f>
        <v>841.030303030303</v>
      </c>
      <c r="S34" s="125">
        <f>O34+Q34</f>
        <v>335340</v>
      </c>
      <c r="T34" s="121">
        <f>IF(N34="","",S34/N34)</f>
        <v>10161.818181818182</v>
      </c>
      <c r="U34" s="126">
        <f t="shared" si="27"/>
        <v>33</v>
      </c>
      <c r="V34" s="124">
        <f>G34+O34</f>
        <v>304810</v>
      </c>
      <c r="W34" s="124">
        <f>I34+Q34</f>
        <v>30530</v>
      </c>
      <c r="X34" s="127">
        <f>K34+S34</f>
        <v>335340</v>
      </c>
      <c r="Y34" s="124">
        <f>IF(U34="","",X34/U34)</f>
        <v>10161.818181818182</v>
      </c>
      <c r="Z34" s="128"/>
      <c r="AA34" s="129">
        <v>38</v>
      </c>
      <c r="AB34" s="117">
        <v>28600</v>
      </c>
      <c r="AC34" s="118">
        <f>AB34/AA34</f>
        <v>752.63157894736844</v>
      </c>
      <c r="AD34" s="117">
        <v>16170</v>
      </c>
      <c r="AE34" s="119">
        <f>AD34/AA34</f>
        <v>425.5263157894737</v>
      </c>
      <c r="AF34" s="130">
        <f>AB34+AD34</f>
        <v>44770</v>
      </c>
      <c r="AG34" s="121">
        <f>IF(AA34="","",AF34/AA34)</f>
        <v>1178.1578947368421</v>
      </c>
      <c r="AH34" s="136">
        <f>SUM(F34,N34)</f>
        <v>33</v>
      </c>
      <c r="AI34" s="132">
        <f>V34+AB34</f>
        <v>333410</v>
      </c>
      <c r="AJ34" s="132">
        <f>W34+AD34</f>
        <v>46700</v>
      </c>
      <c r="AK34" s="131">
        <f>X34+AF34</f>
        <v>380110</v>
      </c>
      <c r="AL34" s="124">
        <f>AQ34+AR34+AS34</f>
        <v>23000</v>
      </c>
      <c r="AM34" s="124"/>
      <c r="AN34" s="132">
        <v>33</v>
      </c>
      <c r="AO34" s="132">
        <v>304810</v>
      </c>
      <c r="AP34" s="132">
        <v>30530</v>
      </c>
      <c r="AQ34" s="133">
        <v>22000</v>
      </c>
      <c r="AR34" s="133">
        <v>1000</v>
      </c>
      <c r="AS34" s="133"/>
      <c r="AT34" s="133"/>
      <c r="AU34" s="134">
        <f>SUM(AO34:AS34)</f>
        <v>358340</v>
      </c>
      <c r="AV34" s="103">
        <v>30</v>
      </c>
      <c r="AW34" s="104">
        <f>AT34+AU34</f>
        <v>358340</v>
      </c>
      <c r="AX34" s="156">
        <f t="shared" si="16"/>
        <v>403110</v>
      </c>
    </row>
    <row r="35" spans="1:50" ht="15.75" customHeight="1" thickBot="1">
      <c r="A35" s="103"/>
      <c r="B35" s="138">
        <f>B34+1</f>
        <v>46053</v>
      </c>
      <c r="C35" s="155"/>
      <c r="D35" s="166">
        <v>85</v>
      </c>
      <c r="E35" s="167"/>
      <c r="F35" s="116">
        <v>2</v>
      </c>
      <c r="G35" s="168">
        <v>7040</v>
      </c>
      <c r="H35" s="118"/>
      <c r="I35" s="117">
        <v>0</v>
      </c>
      <c r="J35" s="169"/>
      <c r="K35" s="120">
        <f t="shared" si="26"/>
        <v>7040</v>
      </c>
      <c r="L35" s="121">
        <f t="shared" si="2"/>
        <v>3520</v>
      </c>
      <c r="M35" s="122"/>
      <c r="N35" s="123">
        <f t="shared" si="28"/>
        <v>33</v>
      </c>
      <c r="O35" s="124">
        <f t="shared" si="28"/>
        <v>326370</v>
      </c>
      <c r="P35" s="118">
        <f>ROUNDDOWN(O35/1.1,0)/N35</f>
        <v>8990.9090909090901</v>
      </c>
      <c r="Q35" s="124">
        <f>AP35-I35</f>
        <v>81960</v>
      </c>
      <c r="R35" s="118">
        <f>ROUNDDOWN(Q35/1.1,0)/N35</f>
        <v>2257.848484848485</v>
      </c>
      <c r="S35" s="125">
        <f>O35+Q35</f>
        <v>408330</v>
      </c>
      <c r="T35" s="121">
        <f>IF(N35="","",S35/N35)</f>
        <v>12373.636363636364</v>
      </c>
      <c r="U35" s="126">
        <f t="shared" si="27"/>
        <v>35</v>
      </c>
      <c r="V35" s="124">
        <f>G35+O35</f>
        <v>333410</v>
      </c>
      <c r="W35" s="124">
        <f>I35+Q35</f>
        <v>81960</v>
      </c>
      <c r="X35" s="127">
        <f>K35+S35</f>
        <v>415370</v>
      </c>
      <c r="Y35" s="124">
        <f>IF(U35="","",X35/U35)</f>
        <v>11867.714285714286</v>
      </c>
      <c r="Z35" s="128"/>
      <c r="AA35" s="129">
        <v>79</v>
      </c>
      <c r="AB35" s="117">
        <v>55250</v>
      </c>
      <c r="AC35" s="118">
        <f>AB35/AA35</f>
        <v>699.36708860759495</v>
      </c>
      <c r="AD35" s="117">
        <v>23330</v>
      </c>
      <c r="AE35" s="119">
        <f>AD35/AA35</f>
        <v>295.31645569620252</v>
      </c>
      <c r="AF35" s="130">
        <f>AB35+AD35</f>
        <v>78580</v>
      </c>
      <c r="AG35" s="121">
        <f>IF(AA35="","",AF35/AA35)</f>
        <v>994.68354430379748</v>
      </c>
      <c r="AH35" s="136">
        <f>SUM(F35,N35)</f>
        <v>35</v>
      </c>
      <c r="AI35" s="132">
        <f>V35+AB35</f>
        <v>388660</v>
      </c>
      <c r="AJ35" s="132">
        <f>W35+AD35</f>
        <v>105290</v>
      </c>
      <c r="AK35" s="131">
        <f>X35+AF35</f>
        <v>493950</v>
      </c>
      <c r="AL35" s="124">
        <f>AQ35+AR35+AS35</f>
        <v>389900</v>
      </c>
      <c r="AM35" s="124"/>
      <c r="AN35" s="132">
        <v>35</v>
      </c>
      <c r="AO35" s="132">
        <v>333410</v>
      </c>
      <c r="AP35" s="132">
        <v>81960</v>
      </c>
      <c r="AQ35" s="133">
        <v>42900</v>
      </c>
      <c r="AR35" s="133">
        <v>347000</v>
      </c>
      <c r="AS35" s="133"/>
      <c r="AT35" s="133"/>
      <c r="AU35" s="134">
        <f>SUM(AO35:AS35)</f>
        <v>805270</v>
      </c>
      <c r="AV35" s="103">
        <v>31</v>
      </c>
      <c r="AW35" s="104">
        <f>AT35+AU35</f>
        <v>805270</v>
      </c>
      <c r="AX35" s="156">
        <f t="shared" si="16"/>
        <v>883850</v>
      </c>
    </row>
    <row r="36" spans="1:50" ht="15.75" customHeight="1" thickTop="1" thickBot="1">
      <c r="A36" s="26"/>
      <c r="B36" s="27" t="s">
        <v>25</v>
      </c>
      <c r="C36" s="155"/>
      <c r="D36" s="141"/>
      <c r="E36" s="29">
        <f>SUM(E5:E34)</f>
        <v>0</v>
      </c>
      <c r="F36" s="30">
        <f>SUM(F5:F35)</f>
        <v>156</v>
      </c>
      <c r="G36" s="31">
        <f>SUM(G5:G35)</f>
        <v>441980</v>
      </c>
      <c r="H36" s="32">
        <f>G36/F36</f>
        <v>2833.2051282051284</v>
      </c>
      <c r="I36" s="28">
        <f>SUM(I5:I35)</f>
        <v>98360</v>
      </c>
      <c r="J36" s="33">
        <f>I36/F36</f>
        <v>630.51282051282055</v>
      </c>
      <c r="K36" s="34">
        <f>SUM(K5:K35)</f>
        <v>540340</v>
      </c>
      <c r="L36" s="35">
        <f>K36/F36</f>
        <v>3463.7179487179487</v>
      </c>
      <c r="M36" s="36">
        <f>SUM(M5:M35)</f>
        <v>0</v>
      </c>
      <c r="N36" s="30">
        <f>SUM(N5:N35)</f>
        <v>903</v>
      </c>
      <c r="O36" s="31">
        <f>SUM(O5:O35)</f>
        <v>8881840</v>
      </c>
      <c r="P36" s="32">
        <f>O36/N36</f>
        <v>9835.9246954595783</v>
      </c>
      <c r="Q36" s="37">
        <f>SUM(Q5:Q35)</f>
        <v>1511300</v>
      </c>
      <c r="R36" s="33">
        <f>Q36/N36</f>
        <v>1673.6434108527133</v>
      </c>
      <c r="S36" s="38">
        <f>SUM(S5:S35)</f>
        <v>10393140</v>
      </c>
      <c r="T36" s="39">
        <f>S36/N36</f>
        <v>11509.568106312292</v>
      </c>
      <c r="U36" s="30">
        <f>SUM(U5:U35)</f>
        <v>1059</v>
      </c>
      <c r="V36" s="40">
        <f>SUM(V5:V35)</f>
        <v>9323820</v>
      </c>
      <c r="W36" s="37">
        <f>SUM(W5:W35)</f>
        <v>1609660</v>
      </c>
      <c r="X36" s="41">
        <f>SUM(X5:X35)</f>
        <v>10933480</v>
      </c>
      <c r="Y36" s="42">
        <f>X36/U36</f>
        <v>10324.34372049103</v>
      </c>
      <c r="Z36" s="29">
        <f>SUM(Z5:Z35)</f>
        <v>0</v>
      </c>
      <c r="AA36" s="30">
        <f>SUM(AA5:AA35)</f>
        <v>2857</v>
      </c>
      <c r="AB36" s="43">
        <f>SUM(AB5:AB35)</f>
        <v>2017450</v>
      </c>
      <c r="AC36" s="118">
        <f>AB36/AA36</f>
        <v>706.14280714035704</v>
      </c>
      <c r="AD36" s="28">
        <f>SUM(AD5:AD35)</f>
        <v>942460</v>
      </c>
      <c r="AE36" s="119">
        <f>AD36/AA36</f>
        <v>329.87749387469376</v>
      </c>
      <c r="AF36" s="44">
        <f>SUM(AF5:AF35)</f>
        <v>2959910</v>
      </c>
      <c r="AG36" s="45">
        <f>AF36/AA36</f>
        <v>1036.0203010150508</v>
      </c>
      <c r="AH36" s="30">
        <f t="shared" ref="AH36:AU36" si="29">SUM(AH5:AH35)</f>
        <v>1059</v>
      </c>
      <c r="AI36" s="40">
        <f t="shared" si="29"/>
        <v>11341270</v>
      </c>
      <c r="AJ36" s="37">
        <f t="shared" si="29"/>
        <v>2552120</v>
      </c>
      <c r="AK36" s="38">
        <f t="shared" si="29"/>
        <v>13893390</v>
      </c>
      <c r="AL36" s="28">
        <f>SUM(AL5:AL35)</f>
        <v>1550120</v>
      </c>
      <c r="AM36" s="152">
        <f t="shared" si="29"/>
        <v>2800</v>
      </c>
      <c r="AN36" s="46">
        <f t="shared" si="29"/>
        <v>1059</v>
      </c>
      <c r="AO36" s="46">
        <f t="shared" si="29"/>
        <v>9323820</v>
      </c>
      <c r="AP36" s="46">
        <f t="shared" si="29"/>
        <v>1609660</v>
      </c>
      <c r="AQ36" s="46">
        <f t="shared" si="29"/>
        <v>1129150</v>
      </c>
      <c r="AR36" s="46">
        <f t="shared" si="29"/>
        <v>420970</v>
      </c>
      <c r="AS36" s="46">
        <f t="shared" si="29"/>
        <v>0</v>
      </c>
      <c r="AT36" s="46">
        <f t="shared" si="29"/>
        <v>55880</v>
      </c>
      <c r="AU36" s="46">
        <f t="shared" si="29"/>
        <v>12483600</v>
      </c>
      <c r="AV36" s="26"/>
      <c r="AW36" s="47">
        <f>SUM(AW5:AW35)</f>
        <v>12539480</v>
      </c>
      <c r="AX36" s="47">
        <f>SUM(AX5:AX35)</f>
        <v>15502190</v>
      </c>
    </row>
    <row r="37" spans="1:50" ht="15.75" customHeight="1" thickTop="1">
      <c r="A37" s="26"/>
      <c r="B37" s="48"/>
      <c r="C37" s="142"/>
      <c r="D37" s="75"/>
      <c r="E37" s="26"/>
      <c r="F37" s="49" t="s">
        <v>34</v>
      </c>
      <c r="G37" s="50">
        <f>G36/1.1</f>
        <v>401799.99999999994</v>
      </c>
      <c r="H37" s="51">
        <f>G37/F36</f>
        <v>2575.6410256410254</v>
      </c>
      <c r="I37" s="24">
        <f>I36/1.1</f>
        <v>89418.181818181809</v>
      </c>
      <c r="J37" s="51">
        <f>I37/F36</f>
        <v>573.1934731934731</v>
      </c>
      <c r="K37" s="46">
        <f>K36/1.1</f>
        <v>491218.18181818177</v>
      </c>
      <c r="L37" s="52">
        <f>H37+J37</f>
        <v>3148.8344988344984</v>
      </c>
      <c r="M37" s="53"/>
      <c r="N37" s="49" t="s">
        <v>34</v>
      </c>
      <c r="O37" s="50">
        <f>O36/1.1</f>
        <v>8074399.9999999991</v>
      </c>
      <c r="P37" s="51">
        <f>O37/N36</f>
        <v>8941.7497231450707</v>
      </c>
      <c r="Q37" s="50">
        <f>Q36/1.1</f>
        <v>1373909.0909090908</v>
      </c>
      <c r="R37" s="51">
        <f>Q37/N36</f>
        <v>1521.4940098661027</v>
      </c>
      <c r="S37" s="51">
        <f>S36/1.1</f>
        <v>9448309.0909090899</v>
      </c>
      <c r="T37" s="54">
        <f>S37/N36</f>
        <v>10463.243733011173</v>
      </c>
      <c r="U37" s="49" t="s">
        <v>34</v>
      </c>
      <c r="V37" s="50">
        <f>V36/1.1</f>
        <v>8476200</v>
      </c>
      <c r="W37" s="50">
        <f>W36/1.1</f>
        <v>1463327.2727272727</v>
      </c>
      <c r="X37" s="55">
        <f>X36/1.1</f>
        <v>9939527.2727272715</v>
      </c>
      <c r="Y37" s="42">
        <f>X37/U36</f>
        <v>9385.7670186282066</v>
      </c>
      <c r="Z37" s="53"/>
      <c r="AA37" s="49" t="s">
        <v>34</v>
      </c>
      <c r="AB37" s="50">
        <f>AB36/1.1</f>
        <v>1834045.4545454544</v>
      </c>
      <c r="AC37" s="24">
        <f>AB37/AA36</f>
        <v>641.94800649123363</v>
      </c>
      <c r="AD37" s="24">
        <f>AD36/1.1</f>
        <v>856781.81818181812</v>
      </c>
      <c r="AE37" s="24">
        <f>AD37/AA36</f>
        <v>299.88863079517608</v>
      </c>
      <c r="AF37" s="51">
        <f>AF36/1.1</f>
        <v>2690827.2727272725</v>
      </c>
      <c r="AG37" s="56">
        <f>AF37/AA36</f>
        <v>941.83663728640965</v>
      </c>
      <c r="AH37" s="49" t="s">
        <v>34</v>
      </c>
      <c r="AI37" s="57">
        <f>AI36/1.1</f>
        <v>10310245.454545453</v>
      </c>
      <c r="AJ37" s="50">
        <f>AJ36/1.1</f>
        <v>2320109.0909090908</v>
      </c>
      <c r="AK37" s="51">
        <f>AK36/1.1</f>
        <v>12630354.545454545</v>
      </c>
      <c r="AL37" s="153">
        <f>AL36/1.1</f>
        <v>1409200</v>
      </c>
      <c r="AM37" s="154">
        <f>AM36/1.08</f>
        <v>2592.5925925925926</v>
      </c>
      <c r="AN37" s="26"/>
      <c r="AO37" s="26"/>
      <c r="AP37" s="26"/>
      <c r="AQ37" s="26"/>
      <c r="AR37" s="58"/>
      <c r="AS37" s="26"/>
      <c r="AT37" s="26"/>
      <c r="AU37" s="58"/>
      <c r="AV37" s="26"/>
      <c r="AW37" s="58"/>
    </row>
    <row r="38" spans="1:50" ht="15.75" customHeight="1">
      <c r="A38" s="23"/>
      <c r="B38" s="59"/>
      <c r="C38" s="143"/>
      <c r="D38" s="76"/>
      <c r="E38" s="23"/>
      <c r="F38" s="60" t="s">
        <v>35</v>
      </c>
      <c r="G38" s="61">
        <f>F36/H38</f>
        <v>17.333333333333332</v>
      </c>
      <c r="H38" s="62">
        <v>9</v>
      </c>
      <c r="I38" s="63" t="s">
        <v>36</v>
      </c>
      <c r="J38" s="61"/>
      <c r="K38" s="64" t="s">
        <v>37</v>
      </c>
      <c r="L38" s="65">
        <f>K37/H38</f>
        <v>54579.797979797971</v>
      </c>
      <c r="M38" s="23"/>
      <c r="N38" s="60" t="s">
        <v>35</v>
      </c>
      <c r="O38" s="61">
        <f>N36/P38</f>
        <v>30.1</v>
      </c>
      <c r="P38" s="62">
        <v>30</v>
      </c>
      <c r="Q38" s="63" t="s">
        <v>36</v>
      </c>
      <c r="R38" s="61"/>
      <c r="S38" s="64" t="s">
        <v>37</v>
      </c>
      <c r="T38" s="66">
        <f>S37/P38</f>
        <v>314943.63636363635</v>
      </c>
      <c r="U38" s="23"/>
      <c r="V38" s="23"/>
      <c r="W38" s="23"/>
      <c r="X38" s="25"/>
      <c r="Y38" s="25"/>
      <c r="Z38" s="23"/>
      <c r="AA38" s="23"/>
      <c r="AB38" s="67">
        <f>P38</f>
        <v>30</v>
      </c>
      <c r="AC38" s="63" t="s">
        <v>36</v>
      </c>
      <c r="AD38" s="61"/>
      <c r="AE38" s="61"/>
      <c r="AF38" s="64" t="s">
        <v>37</v>
      </c>
      <c r="AG38" s="68">
        <f>AF37/AB38</f>
        <v>89694.242424242417</v>
      </c>
      <c r="AH38" s="23"/>
      <c r="AI38" s="23"/>
      <c r="AJ38" s="23" t="s">
        <v>50</v>
      </c>
      <c r="AK38" s="25"/>
      <c r="AL38" s="25">
        <f>AK37/AN38</f>
        <v>3225.3203640078</v>
      </c>
      <c r="AM38" s="25"/>
      <c r="AN38" s="69">
        <f>AH36+AA36</f>
        <v>3916</v>
      </c>
      <c r="AO38" s="23" t="s">
        <v>51</v>
      </c>
      <c r="AP38" s="23"/>
      <c r="AQ38" s="23"/>
      <c r="AR38" s="25"/>
      <c r="AS38" s="23"/>
      <c r="AT38" s="23"/>
      <c r="AU38" s="25"/>
      <c r="AV38" s="23"/>
      <c r="AW38" s="25">
        <f>AW36/1.1</f>
        <v>11399527.272727272</v>
      </c>
    </row>
    <row r="39" spans="1:50" ht="15.75" customHeight="1">
      <c r="A39" s="23"/>
      <c r="B39" s="59"/>
      <c r="C39" s="143"/>
      <c r="D39" s="76"/>
      <c r="E39" s="70" t="s">
        <v>38</v>
      </c>
      <c r="F39" s="71"/>
      <c r="G39" s="61"/>
      <c r="H39" s="72"/>
      <c r="I39" s="61"/>
      <c r="J39" s="61"/>
      <c r="K39" s="64"/>
      <c r="L39" s="68"/>
      <c r="M39" s="73" t="s">
        <v>39</v>
      </c>
      <c r="N39" s="60"/>
      <c r="O39" s="61"/>
      <c r="P39" s="61"/>
      <c r="Q39" s="61"/>
      <c r="R39" s="61"/>
      <c r="S39" s="64"/>
      <c r="T39" s="68"/>
      <c r="U39" s="23"/>
      <c r="V39" s="23"/>
      <c r="W39" s="23"/>
      <c r="X39" s="25"/>
      <c r="Y39" s="25"/>
      <c r="Z39" s="73" t="s">
        <v>40</v>
      </c>
      <c r="AA39" s="23"/>
      <c r="AB39" s="61"/>
      <c r="AC39" s="61"/>
      <c r="AD39" s="61"/>
      <c r="AE39" s="61"/>
      <c r="AF39" s="61"/>
      <c r="AG39" s="68"/>
      <c r="AH39" s="23"/>
      <c r="AI39" s="23"/>
      <c r="AJ39" s="23" t="s">
        <v>52</v>
      </c>
      <c r="AL39" s="74">
        <f>AK37/AB38</f>
        <v>421011.81818181818</v>
      </c>
      <c r="AM39" s="74"/>
      <c r="AN39" s="23" t="s">
        <v>53</v>
      </c>
      <c r="AO39" s="23"/>
      <c r="AP39" s="23"/>
      <c r="AQ39" s="23"/>
      <c r="AR39" s="25"/>
      <c r="AS39" s="23"/>
      <c r="AT39" s="23"/>
      <c r="AU39" s="25"/>
      <c r="AV39" s="23"/>
      <c r="AW39" s="25"/>
    </row>
    <row r="40" spans="1:50" ht="21" customHeight="1">
      <c r="A40" s="23"/>
      <c r="B40" s="59"/>
      <c r="C40" s="144"/>
      <c r="D40" s="76"/>
      <c r="E40" s="173"/>
      <c r="F40" s="174"/>
      <c r="G40" s="174"/>
      <c r="H40" s="174"/>
      <c r="I40" s="174"/>
      <c r="J40" s="174"/>
      <c r="K40" s="174"/>
      <c r="L40" s="175"/>
      <c r="M40" s="173"/>
      <c r="N40" s="174"/>
      <c r="O40" s="174"/>
      <c r="P40" s="174"/>
      <c r="Q40" s="174"/>
      <c r="R40" s="174"/>
      <c r="S40" s="174"/>
      <c r="T40" s="175"/>
      <c r="U40" s="23"/>
      <c r="V40" s="23"/>
      <c r="W40" s="23"/>
      <c r="X40" s="25"/>
      <c r="Y40" s="23"/>
      <c r="Z40" s="173"/>
      <c r="AA40" s="174"/>
      <c r="AB40" s="174"/>
      <c r="AC40" s="174"/>
      <c r="AD40" s="174"/>
      <c r="AE40" s="174"/>
      <c r="AF40" s="174"/>
      <c r="AG40" s="175"/>
      <c r="AH40" s="23"/>
      <c r="AI40" s="23"/>
      <c r="AJ40" s="23" t="s">
        <v>54</v>
      </c>
      <c r="AK40" s="25">
        <f>AK36+AL36+AM36</f>
        <v>15446310</v>
      </c>
      <c r="AL40" s="74">
        <f>AK40/AB38</f>
        <v>514877</v>
      </c>
      <c r="AM40" s="74"/>
      <c r="AN40" s="23" t="s">
        <v>41</v>
      </c>
      <c r="AO40" s="23"/>
      <c r="AP40" s="23"/>
      <c r="AQ40" s="23"/>
      <c r="AR40" s="23"/>
      <c r="AS40" s="23"/>
      <c r="AT40" s="23"/>
      <c r="AU40" s="25"/>
      <c r="AV40" s="23"/>
      <c r="AW40" s="25"/>
    </row>
    <row r="41" spans="1:50" ht="21" customHeight="1">
      <c r="A41" s="23"/>
      <c r="B41" s="59"/>
      <c r="C41" s="144"/>
      <c r="D41" s="76"/>
      <c r="E41" s="176"/>
      <c r="F41" s="177"/>
      <c r="G41" s="177"/>
      <c r="H41" s="177"/>
      <c r="I41" s="177"/>
      <c r="J41" s="177"/>
      <c r="K41" s="177"/>
      <c r="L41" s="178"/>
      <c r="M41" s="176"/>
      <c r="N41" s="177"/>
      <c r="O41" s="177"/>
      <c r="P41" s="177"/>
      <c r="Q41" s="177"/>
      <c r="R41" s="177"/>
      <c r="S41" s="177"/>
      <c r="T41" s="178"/>
      <c r="U41" s="23"/>
      <c r="V41" s="23"/>
      <c r="W41" s="23"/>
      <c r="X41" s="25"/>
      <c r="Y41" s="23"/>
      <c r="Z41" s="176"/>
      <c r="AA41" s="177"/>
      <c r="AB41" s="177"/>
      <c r="AC41" s="177"/>
      <c r="AD41" s="177"/>
      <c r="AE41" s="177"/>
      <c r="AF41" s="177"/>
      <c r="AG41" s="178"/>
      <c r="AH41" s="23"/>
      <c r="AI41" s="23"/>
      <c r="AJ41" s="23" t="s">
        <v>55</v>
      </c>
      <c r="AK41" s="58">
        <f>AK37+AL37+AM37</f>
        <v>14042147.138047138</v>
      </c>
      <c r="AL41" s="74">
        <f>AK41/AB38</f>
        <v>468071.57126823795</v>
      </c>
      <c r="AM41" s="74"/>
      <c r="AN41" s="23" t="s">
        <v>53</v>
      </c>
      <c r="AO41" s="23"/>
      <c r="AP41" s="23"/>
      <c r="AQ41" s="23"/>
      <c r="AR41" s="23"/>
      <c r="AS41" s="23"/>
      <c r="AT41" s="23"/>
      <c r="AU41" s="25"/>
      <c r="AV41" s="23"/>
      <c r="AW41" s="25"/>
    </row>
    <row r="42" spans="1:50" ht="21" customHeight="1">
      <c r="A42" s="23"/>
      <c r="B42" s="59"/>
      <c r="C42" s="144"/>
      <c r="D42" s="76"/>
      <c r="E42" s="176"/>
      <c r="F42" s="177"/>
      <c r="G42" s="177"/>
      <c r="H42" s="177"/>
      <c r="I42" s="177"/>
      <c r="J42" s="177"/>
      <c r="K42" s="177"/>
      <c r="L42" s="178"/>
      <c r="M42" s="176"/>
      <c r="N42" s="177"/>
      <c r="O42" s="177"/>
      <c r="P42" s="177"/>
      <c r="Q42" s="177"/>
      <c r="R42" s="177"/>
      <c r="S42" s="177"/>
      <c r="T42" s="178"/>
      <c r="U42" s="23"/>
      <c r="V42" s="23"/>
      <c r="W42" s="23"/>
      <c r="X42" s="25"/>
      <c r="Y42" s="23"/>
      <c r="Z42" s="176"/>
      <c r="AA42" s="177"/>
      <c r="AB42" s="177"/>
      <c r="AC42" s="177"/>
      <c r="AD42" s="177"/>
      <c r="AE42" s="177"/>
      <c r="AF42" s="177"/>
      <c r="AG42" s="178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5"/>
      <c r="AV42" s="23"/>
      <c r="AW42" s="25"/>
    </row>
    <row r="43" spans="1:50" ht="21" customHeight="1">
      <c r="A43" s="23"/>
      <c r="B43" s="59"/>
      <c r="C43" s="144"/>
      <c r="D43" s="76"/>
      <c r="E43" s="176"/>
      <c r="F43" s="177"/>
      <c r="G43" s="177"/>
      <c r="H43" s="177"/>
      <c r="I43" s="177"/>
      <c r="J43" s="177"/>
      <c r="K43" s="177"/>
      <c r="L43" s="178"/>
      <c r="M43" s="176"/>
      <c r="N43" s="177"/>
      <c r="O43" s="177"/>
      <c r="P43" s="177"/>
      <c r="Q43" s="177"/>
      <c r="R43" s="177"/>
      <c r="S43" s="177"/>
      <c r="T43" s="178"/>
      <c r="U43" s="23"/>
      <c r="V43" s="23"/>
      <c r="W43" s="23"/>
      <c r="X43" s="23"/>
      <c r="Y43" s="23"/>
      <c r="Z43" s="176"/>
      <c r="AA43" s="177"/>
      <c r="AB43" s="177"/>
      <c r="AC43" s="177"/>
      <c r="AD43" s="177"/>
      <c r="AE43" s="177"/>
      <c r="AF43" s="177"/>
      <c r="AG43" s="178"/>
      <c r="AH43" s="23"/>
      <c r="AI43" s="23"/>
      <c r="AJ43" s="23"/>
      <c r="AK43" s="25">
        <f>AK37+AL37</f>
        <v>14039554.545454545</v>
      </c>
      <c r="AL43" s="76" t="s">
        <v>42</v>
      </c>
      <c r="AM43" s="76" t="s">
        <v>58</v>
      </c>
      <c r="AN43" s="76" t="s">
        <v>59</v>
      </c>
      <c r="AO43" s="23"/>
      <c r="AP43" s="23"/>
      <c r="AQ43" s="23"/>
      <c r="AR43" s="23"/>
      <c r="AS43" s="23"/>
      <c r="AT43" s="25"/>
      <c r="AU43" s="23"/>
      <c r="AV43" s="25"/>
    </row>
    <row r="44" spans="1:50" ht="21" customHeight="1">
      <c r="A44" s="23"/>
      <c r="B44" s="59"/>
      <c r="C44" s="144"/>
      <c r="D44" s="76"/>
      <c r="E44" s="179"/>
      <c r="F44" s="180"/>
      <c r="G44" s="180"/>
      <c r="H44" s="180"/>
      <c r="I44" s="180"/>
      <c r="J44" s="180"/>
      <c r="K44" s="180"/>
      <c r="L44" s="181"/>
      <c r="M44" s="179"/>
      <c r="N44" s="180"/>
      <c r="O44" s="180"/>
      <c r="P44" s="180"/>
      <c r="Q44" s="180"/>
      <c r="R44" s="180"/>
      <c r="S44" s="180"/>
      <c r="T44" s="181"/>
      <c r="U44" s="23"/>
      <c r="V44" s="23"/>
      <c r="W44" s="23"/>
      <c r="X44" s="23"/>
      <c r="Y44" s="23"/>
      <c r="Z44" s="179"/>
      <c r="AA44" s="180"/>
      <c r="AB44" s="180"/>
      <c r="AC44" s="180"/>
      <c r="AD44" s="180"/>
      <c r="AE44" s="180"/>
      <c r="AF44" s="180"/>
      <c r="AG44" s="181"/>
      <c r="AH44" s="23"/>
      <c r="AI44" s="26"/>
      <c r="AJ44" s="75" t="s">
        <v>43</v>
      </c>
      <c r="AK44" s="58">
        <f>K45+S45+AF45+AL44</f>
        <v>12334000</v>
      </c>
      <c r="AL44" s="145">
        <f>AM44+AN44</f>
        <v>730000</v>
      </c>
      <c r="AM44" s="26">
        <v>630000</v>
      </c>
      <c r="AN44" s="26">
        <v>100000</v>
      </c>
      <c r="AO44" s="23"/>
      <c r="AP44" s="23"/>
      <c r="AQ44" s="23"/>
      <c r="AR44" s="23"/>
      <c r="AS44" s="23"/>
      <c r="AT44" s="25"/>
      <c r="AU44" s="23"/>
      <c r="AV44" s="25"/>
    </row>
    <row r="45" spans="1:50" ht="21" customHeight="1">
      <c r="A45" s="23"/>
      <c r="B45" s="59"/>
      <c r="C45" s="143"/>
      <c r="D45" s="76"/>
      <c r="E45" s="23"/>
      <c r="F45" s="23"/>
      <c r="G45" s="23"/>
      <c r="H45" s="23"/>
      <c r="I45" s="77"/>
      <c r="J45" s="78" t="s">
        <v>44</v>
      </c>
      <c r="K45" s="146">
        <v>741000</v>
      </c>
      <c r="L45" s="79" t="s">
        <v>45</v>
      </c>
      <c r="M45" s="26"/>
      <c r="N45" s="26"/>
      <c r="O45" s="26"/>
      <c r="P45" s="26"/>
      <c r="Q45" s="26"/>
      <c r="R45" s="78" t="s">
        <v>46</v>
      </c>
      <c r="S45" s="146">
        <v>9288000</v>
      </c>
      <c r="T45" s="79" t="s">
        <v>45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77" t="s">
        <v>47</v>
      </c>
      <c r="AF45" s="146">
        <v>1575000</v>
      </c>
      <c r="AG45" s="79" t="s">
        <v>45</v>
      </c>
      <c r="AH45" s="26"/>
      <c r="AI45" s="26"/>
      <c r="AJ45" s="75" t="s">
        <v>48</v>
      </c>
      <c r="AK45" s="58">
        <f>AK44-AK41</f>
        <v>-1708147.1380471382</v>
      </c>
      <c r="AL45" s="58">
        <f>AL44-AL37</f>
        <v>-679200</v>
      </c>
      <c r="AM45" s="89">
        <f>AL37/AL44</f>
        <v>1.9304109589041096</v>
      </c>
      <c r="AN45" s="23"/>
      <c r="AO45" s="23"/>
      <c r="AP45" s="23"/>
      <c r="AQ45" s="23"/>
      <c r="AR45" s="25"/>
      <c r="AS45" s="23"/>
      <c r="AT45" s="25"/>
      <c r="AU45" s="23"/>
      <c r="AV45" s="23"/>
    </row>
    <row r="46" spans="1:50" ht="21" customHeight="1">
      <c r="A46" s="23"/>
      <c r="B46" s="59"/>
      <c r="C46" s="143"/>
      <c r="D46" s="76"/>
      <c r="E46" s="23"/>
      <c r="F46" s="23"/>
      <c r="G46" s="23"/>
      <c r="H46" s="23"/>
      <c r="I46" s="77"/>
      <c r="J46" s="77" t="s">
        <v>48</v>
      </c>
      <c r="K46" s="58">
        <f>K45-K37</f>
        <v>249781.81818181823</v>
      </c>
      <c r="L46" s="157">
        <f>10-H38</f>
        <v>1</v>
      </c>
      <c r="M46" s="26"/>
      <c r="N46" s="26"/>
      <c r="O46" s="26"/>
      <c r="P46" s="26"/>
      <c r="Q46" s="26"/>
      <c r="R46" s="77" t="s">
        <v>48</v>
      </c>
      <c r="S46" s="58">
        <f>S45-S37</f>
        <v>-160309.09090908989</v>
      </c>
      <c r="T46" s="158">
        <f>31-P38</f>
        <v>1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77" t="s">
        <v>48</v>
      </c>
      <c r="AF46" s="58">
        <f>AF45-AF37</f>
        <v>-1115827.2727272725</v>
      </c>
      <c r="AG46" s="158">
        <f>T46</f>
        <v>1</v>
      </c>
      <c r="AH46" s="26"/>
      <c r="AI46" s="80"/>
      <c r="AJ46" s="81" t="s">
        <v>49</v>
      </c>
      <c r="AK46" s="82">
        <f>AK45/T46</f>
        <v>-1708147.1380471382</v>
      </c>
      <c r="AL46" s="88">
        <f>(AK37+AL37)/AK44</f>
        <v>1.1382807317540575</v>
      </c>
      <c r="AM46" s="88"/>
      <c r="AN46" s="80"/>
      <c r="AO46" s="83"/>
      <c r="AP46" s="23"/>
      <c r="AQ46" s="23"/>
      <c r="AR46" s="23"/>
      <c r="AS46" s="25"/>
      <c r="AT46" s="23"/>
      <c r="AU46" s="25"/>
      <c r="AV46" s="23"/>
      <c r="AW46" s="23"/>
    </row>
    <row r="47" spans="1:50" ht="25.5" customHeight="1">
      <c r="A47" s="83"/>
      <c r="B47" s="84"/>
      <c r="C47" s="147"/>
      <c r="D47" s="97"/>
      <c r="E47" s="83"/>
      <c r="F47" s="83"/>
      <c r="G47" s="83"/>
      <c r="H47" s="83"/>
      <c r="I47" s="85"/>
      <c r="J47" s="81" t="s">
        <v>49</v>
      </c>
      <c r="K47" s="86">
        <f>K46/L46</f>
        <v>249781.81818181823</v>
      </c>
      <c r="L47" s="87">
        <f>K37/K45</f>
        <v>0.66291252607042073</v>
      </c>
      <c r="M47" s="80"/>
      <c r="N47" s="80"/>
      <c r="O47" s="80"/>
      <c r="P47" s="80"/>
      <c r="Q47" s="80"/>
      <c r="R47" s="81" t="s">
        <v>49</v>
      </c>
      <c r="S47" s="82">
        <f>S46/T46</f>
        <v>-160309.09090908989</v>
      </c>
      <c r="T47" s="87">
        <f>S37/S45</f>
        <v>1.0172598073760863</v>
      </c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1" t="s">
        <v>49</v>
      </c>
      <c r="AF47" s="86">
        <f>AF46/AG46</f>
        <v>-1115827.2727272725</v>
      </c>
      <c r="AG47" s="87">
        <f>AF37/AF45</f>
        <v>1.7084617604617602</v>
      </c>
      <c r="AH47" s="80"/>
      <c r="AI47" s="23"/>
      <c r="AJ47" s="23"/>
      <c r="AK47" s="25"/>
      <c r="AL47" s="23"/>
      <c r="AM47" s="23"/>
      <c r="AN47" s="23"/>
      <c r="AO47" s="23"/>
      <c r="AP47" s="83"/>
      <c r="AQ47" s="83"/>
      <c r="AR47" s="83"/>
      <c r="AS47" s="90"/>
      <c r="AT47" s="83"/>
      <c r="AU47" s="90"/>
      <c r="AV47" s="83"/>
      <c r="AW47" s="83"/>
    </row>
    <row r="48" spans="1:50" ht="15.75" customHeight="1">
      <c r="A48" s="23"/>
      <c r="B48" s="59"/>
      <c r="C48" s="143"/>
      <c r="D48" s="76"/>
      <c r="E48" s="23"/>
      <c r="F48" s="23"/>
      <c r="G48" s="23"/>
      <c r="H48" s="23"/>
      <c r="I48" s="23"/>
      <c r="J48" s="23"/>
      <c r="K48" s="23"/>
      <c r="L48" s="165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91"/>
      <c r="AJ48" s="91"/>
      <c r="AK48" s="91"/>
      <c r="AL48" s="91"/>
      <c r="AM48" s="91"/>
      <c r="AN48" s="91"/>
      <c r="AO48" s="91"/>
      <c r="AP48" s="23"/>
      <c r="AQ48" s="23"/>
      <c r="AR48" s="23"/>
      <c r="AS48" s="25"/>
      <c r="AT48" s="23"/>
      <c r="AU48" s="25"/>
      <c r="AV48" s="23"/>
      <c r="AW48" s="23"/>
    </row>
    <row r="49" spans="1:49" ht="21.5" customHeight="1">
      <c r="A49" s="91"/>
      <c r="B49" s="92"/>
      <c r="C49" s="148"/>
      <c r="D49" s="1"/>
      <c r="E49" s="91"/>
      <c r="F49" s="91"/>
      <c r="G49" s="91"/>
      <c r="H49" s="91"/>
      <c r="I49" s="91"/>
      <c r="J49" s="91"/>
      <c r="K49" s="91"/>
      <c r="L49" s="91"/>
      <c r="M49" s="93"/>
      <c r="N49" s="23"/>
      <c r="O49" s="23"/>
      <c r="P49" s="23"/>
      <c r="Q49" s="23"/>
      <c r="R49" s="23"/>
      <c r="S49" s="93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1"/>
      <c r="AJ49" s="1"/>
      <c r="AK49" s="193"/>
      <c r="AL49" s="171"/>
      <c r="AM49" s="1"/>
      <c r="AN49" s="1"/>
      <c r="AO49" s="1"/>
      <c r="AP49" s="91"/>
      <c r="AQ49" s="91"/>
      <c r="AR49" s="91"/>
      <c r="AS49" s="94"/>
      <c r="AT49" s="91"/>
      <c r="AU49" s="94"/>
      <c r="AV49" s="91"/>
      <c r="AW49" s="91"/>
    </row>
    <row r="50" spans="1:49" ht="19.75" customHeight="1">
      <c r="A50" s="1"/>
      <c r="B50" s="95"/>
      <c r="C50" s="105"/>
      <c r="D50" s="1"/>
      <c r="E50" s="1"/>
      <c r="F50" s="1"/>
      <c r="G50" s="1"/>
      <c r="H50" s="1"/>
      <c r="I50" s="1"/>
      <c r="J50" s="1"/>
      <c r="K50" s="1"/>
      <c r="L50" s="1"/>
      <c r="M50" s="96"/>
      <c r="N50" s="23"/>
      <c r="O50" s="23"/>
      <c r="P50" s="23"/>
      <c r="Q50" s="23"/>
      <c r="R50" s="23"/>
      <c r="S50" s="96"/>
      <c r="T50" s="96"/>
      <c r="U50" s="1"/>
      <c r="V50" s="1"/>
      <c r="W50" s="1"/>
      <c r="X50" s="1"/>
      <c r="Y50" s="1"/>
      <c r="Z50" s="1"/>
      <c r="AA50" s="97"/>
      <c r="AB50" s="1"/>
      <c r="AC50" s="1"/>
      <c r="AD50" s="1"/>
      <c r="AE50" s="1"/>
      <c r="AF50" s="1"/>
      <c r="AG50" s="1"/>
      <c r="AH50" s="1"/>
      <c r="AI50" s="91"/>
      <c r="AJ50" s="91"/>
      <c r="AK50" s="170"/>
      <c r="AL50" s="172"/>
      <c r="AM50" s="91"/>
      <c r="AN50" s="91"/>
      <c r="AO50" s="91"/>
      <c r="AP50" s="1"/>
      <c r="AQ50" s="1"/>
      <c r="AR50" s="1"/>
      <c r="AS50" s="98"/>
      <c r="AT50" s="1"/>
      <c r="AU50" s="98"/>
      <c r="AV50" s="1"/>
      <c r="AW50" s="1"/>
    </row>
    <row r="51" spans="1:49" ht="36" customHeight="1">
      <c r="A51" s="91"/>
      <c r="B51" s="92"/>
      <c r="C51" s="148"/>
      <c r="D51" s="1"/>
      <c r="E51" s="91"/>
      <c r="F51" s="91"/>
      <c r="G51" s="91"/>
      <c r="H51" s="91"/>
      <c r="I51" s="91"/>
      <c r="J51" s="91"/>
      <c r="K51" s="91"/>
      <c r="L51" s="1"/>
      <c r="M51" s="96"/>
      <c r="N51" s="23"/>
      <c r="O51" s="23"/>
      <c r="P51" s="23"/>
      <c r="Q51" s="23"/>
      <c r="R51" s="23"/>
      <c r="S51" s="99"/>
      <c r="T51" s="100"/>
      <c r="U51" s="100"/>
      <c r="V51" s="100"/>
      <c r="W51" s="100"/>
      <c r="X51" s="101"/>
      <c r="Y51" s="102"/>
      <c r="Z51" s="103"/>
      <c r="AA51" s="104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4"/>
      <c r="AT51" s="91"/>
      <c r="AU51" s="94"/>
      <c r="AV51" s="91"/>
      <c r="AW51" s="91"/>
    </row>
    <row r="52" spans="1:49" ht="36" customHeight="1">
      <c r="A52" s="91"/>
      <c r="B52" s="92"/>
      <c r="C52" s="148"/>
      <c r="D52" s="1"/>
      <c r="E52" s="91"/>
      <c r="F52" s="91"/>
      <c r="G52" s="91"/>
      <c r="H52" s="91"/>
      <c r="I52" s="91"/>
      <c r="J52" s="91"/>
      <c r="K52" s="91"/>
      <c r="L52" s="1"/>
      <c r="M52" s="96"/>
      <c r="N52" s="23"/>
      <c r="O52" s="23"/>
      <c r="P52" s="23"/>
      <c r="Q52" s="23"/>
      <c r="R52" s="23"/>
      <c r="S52" s="101"/>
      <c r="T52" s="100"/>
      <c r="U52" s="100"/>
      <c r="V52" s="100"/>
      <c r="W52" s="100"/>
      <c r="X52" s="101"/>
      <c r="Y52" s="102"/>
      <c r="Z52" s="103"/>
      <c r="AA52" s="104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4"/>
      <c r="AT52" s="91"/>
      <c r="AU52" s="94"/>
      <c r="AV52" s="91"/>
      <c r="AW52" s="91"/>
    </row>
    <row r="53" spans="1:49" ht="36" customHeight="1">
      <c r="A53" s="91"/>
      <c r="B53" s="92"/>
      <c r="C53" s="148"/>
      <c r="D53" s="1"/>
      <c r="E53" s="91"/>
      <c r="F53" s="91"/>
      <c r="G53" s="91"/>
      <c r="H53" s="91"/>
      <c r="I53" s="91"/>
      <c r="J53" s="91"/>
      <c r="K53" s="91"/>
      <c r="L53" s="1"/>
      <c r="M53" s="96"/>
      <c r="N53" s="23"/>
      <c r="O53" s="23"/>
      <c r="P53" s="23"/>
      <c r="Q53" s="23"/>
      <c r="R53" s="23"/>
      <c r="S53" s="101"/>
      <c r="T53" s="100"/>
      <c r="U53" s="100"/>
      <c r="V53" s="100"/>
      <c r="W53" s="100"/>
      <c r="X53" s="101"/>
      <c r="Y53" s="102"/>
      <c r="Z53" s="103"/>
      <c r="AA53" s="104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4"/>
      <c r="AT53" s="91"/>
      <c r="AU53" s="94"/>
      <c r="AV53" s="91"/>
      <c r="AW53" s="91"/>
    </row>
    <row r="54" spans="1:49" ht="36" customHeight="1">
      <c r="A54" s="91"/>
      <c r="B54" s="92"/>
      <c r="C54" s="148"/>
      <c r="D54" s="1"/>
      <c r="E54" s="91"/>
      <c r="F54" s="91"/>
      <c r="G54" s="91"/>
      <c r="H54" s="91"/>
      <c r="I54" s="91"/>
      <c r="J54" s="91"/>
      <c r="K54" s="91"/>
      <c r="L54" s="1"/>
      <c r="M54" s="96"/>
      <c r="N54" s="23"/>
      <c r="O54" s="23"/>
      <c r="P54" s="23"/>
      <c r="Q54" s="23"/>
      <c r="R54" s="23"/>
      <c r="S54" s="101"/>
      <c r="T54" s="100"/>
      <c r="U54" s="100"/>
      <c r="V54" s="100"/>
      <c r="W54" s="100"/>
      <c r="X54" s="101"/>
      <c r="Y54" s="102"/>
      <c r="Z54" s="103"/>
      <c r="AA54" s="104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4"/>
      <c r="AT54" s="91"/>
      <c r="AU54" s="94"/>
      <c r="AV54" s="91"/>
      <c r="AW54" s="91"/>
    </row>
    <row r="55" spans="1:49" ht="36" customHeight="1">
      <c r="A55" s="91"/>
      <c r="B55" s="92"/>
      <c r="C55" s="148"/>
      <c r="D55" s="1"/>
      <c r="E55" s="91"/>
      <c r="F55" s="91"/>
      <c r="G55" s="91"/>
      <c r="H55" s="91"/>
      <c r="I55" s="91"/>
      <c r="J55" s="91"/>
      <c r="K55" s="91"/>
      <c r="L55" s="91"/>
      <c r="M55" s="93"/>
      <c r="N55" s="23"/>
      <c r="O55" s="23"/>
      <c r="P55" s="23"/>
      <c r="Q55" s="23"/>
      <c r="R55" s="23"/>
      <c r="S55" s="101"/>
      <c r="T55" s="100"/>
      <c r="U55" s="100"/>
      <c r="V55" s="100"/>
      <c r="W55" s="100"/>
      <c r="X55" s="102"/>
      <c r="Y55" s="102"/>
      <c r="Z55" s="103"/>
      <c r="AA55" s="104"/>
      <c r="AB55" s="91"/>
      <c r="AC55" s="91"/>
      <c r="AD55" s="91"/>
      <c r="AE55" s="91"/>
      <c r="AF55" s="91"/>
      <c r="AG55" s="91"/>
      <c r="AH55" s="91"/>
      <c r="AI55" s="23"/>
      <c r="AJ55" s="23"/>
      <c r="AK55" s="23"/>
      <c r="AL55" s="23"/>
      <c r="AM55" s="23"/>
      <c r="AN55" s="23"/>
      <c r="AO55" s="23"/>
      <c r="AP55" s="91"/>
      <c r="AQ55" s="91"/>
      <c r="AR55" s="91"/>
      <c r="AS55" s="94"/>
      <c r="AT55" s="91"/>
      <c r="AU55" s="94"/>
      <c r="AV55" s="91"/>
      <c r="AW55" s="91"/>
    </row>
    <row r="56" spans="1:49" ht="15.75" customHeight="1">
      <c r="A56" s="23"/>
      <c r="B56" s="59"/>
      <c r="C56" s="143"/>
      <c r="D56" s="76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03"/>
      <c r="AA56" s="10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5"/>
      <c r="AV56" s="23"/>
      <c r="AW56" s="25"/>
    </row>
    <row r="57" spans="1:49" ht="15.75" customHeight="1">
      <c r="A57" s="23"/>
      <c r="B57" s="59"/>
      <c r="C57" s="143"/>
      <c r="D57" s="76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91"/>
      <c r="AA57" s="91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5"/>
      <c r="AV57" s="23"/>
      <c r="AW57" s="25"/>
    </row>
    <row r="58" spans="1:49" ht="15.75" customHeight="1">
      <c r="A58" s="23"/>
      <c r="B58" s="59"/>
      <c r="C58" s="143"/>
      <c r="D58" s="76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5"/>
      <c r="AV58" s="23"/>
      <c r="AW58" s="25"/>
    </row>
    <row r="59" spans="1:49" ht="15.75" customHeight="1">
      <c r="A59" s="23"/>
      <c r="B59" s="59"/>
      <c r="C59" s="143"/>
      <c r="D59" s="76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5"/>
      <c r="AV59" s="23"/>
      <c r="AW59" s="25"/>
    </row>
    <row r="60" spans="1:49" ht="15.75" customHeight="1">
      <c r="A60" s="23"/>
      <c r="B60" s="59"/>
      <c r="C60" s="143"/>
      <c r="D60" s="76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5"/>
      <c r="AV60" s="23"/>
      <c r="AW60" s="25"/>
    </row>
    <row r="61" spans="1:49" ht="15.75" customHeight="1">
      <c r="A61" s="23"/>
      <c r="B61" s="59"/>
      <c r="C61" s="143"/>
      <c r="D61" s="7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5"/>
      <c r="AV61" s="23"/>
      <c r="AW61" s="25"/>
    </row>
    <row r="62" spans="1:49" ht="15.75" customHeight="1">
      <c r="A62" s="23"/>
      <c r="B62" s="59"/>
      <c r="C62" s="143"/>
      <c r="D62" s="76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5"/>
      <c r="AV62" s="23"/>
      <c r="AW62" s="25"/>
    </row>
    <row r="63" spans="1:49" ht="15.75" customHeight="1">
      <c r="A63" s="23"/>
      <c r="B63" s="59"/>
      <c r="C63" s="143"/>
      <c r="D63" s="76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5"/>
      <c r="AV63" s="23"/>
      <c r="AW63" s="25"/>
    </row>
    <row r="64" spans="1:49" ht="15.75" customHeight="1">
      <c r="A64" s="23"/>
      <c r="B64" s="59"/>
      <c r="C64" s="143"/>
      <c r="D64" s="76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5"/>
      <c r="AV64" s="23"/>
      <c r="AW64" s="25"/>
    </row>
    <row r="65" spans="1:49" ht="15.75" customHeight="1">
      <c r="A65" s="23"/>
      <c r="B65" s="59"/>
      <c r="C65" s="143"/>
      <c r="D65" s="76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5"/>
      <c r="AV65" s="23"/>
      <c r="AW65" s="25"/>
    </row>
    <row r="66" spans="1:49" ht="15.75" customHeight="1">
      <c r="A66" s="23"/>
      <c r="B66" s="59"/>
      <c r="C66" s="143"/>
      <c r="D66" s="76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5"/>
      <c r="AV66" s="23"/>
      <c r="AW66" s="25"/>
    </row>
    <row r="67" spans="1:49" ht="15.75" customHeight="1">
      <c r="A67" s="23"/>
      <c r="B67" s="59"/>
      <c r="C67" s="143"/>
      <c r="D67" s="76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5"/>
      <c r="AV67" s="23"/>
      <c r="AW67" s="25"/>
    </row>
    <row r="68" spans="1:49" ht="15.75" customHeight="1">
      <c r="A68" s="23"/>
      <c r="B68" s="59"/>
      <c r="C68" s="143"/>
      <c r="D68" s="76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5"/>
      <c r="AV68" s="23"/>
      <c r="AW68" s="25"/>
    </row>
    <row r="69" spans="1:49" ht="15.75" customHeight="1">
      <c r="A69" s="23"/>
      <c r="B69" s="59"/>
      <c r="C69" s="143"/>
      <c r="D69" s="76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5"/>
      <c r="AV69" s="23"/>
      <c r="AW69" s="25"/>
    </row>
    <row r="70" spans="1:49" ht="15.75" customHeight="1">
      <c r="A70" s="23"/>
      <c r="B70" s="59"/>
      <c r="C70" s="143"/>
      <c r="D70" s="76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5"/>
      <c r="AV70" s="23"/>
      <c r="AW70" s="25"/>
    </row>
    <row r="71" spans="1:49" ht="15.75" customHeight="1">
      <c r="A71" s="23"/>
      <c r="B71" s="59"/>
      <c r="C71" s="143"/>
      <c r="D71" s="76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5"/>
      <c r="AV71" s="23"/>
      <c r="AW71" s="25"/>
    </row>
    <row r="72" spans="1:49" ht="15.75" customHeight="1">
      <c r="A72" s="23"/>
      <c r="B72" s="59"/>
      <c r="C72" s="143"/>
      <c r="D72" s="76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5"/>
      <c r="AV72" s="23"/>
      <c r="AW72" s="25"/>
    </row>
    <row r="73" spans="1:49" ht="15.75" customHeight="1">
      <c r="A73" s="23"/>
      <c r="B73" s="59"/>
      <c r="C73" s="143"/>
      <c r="D73" s="76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5"/>
      <c r="AV73" s="23"/>
      <c r="AW73" s="25"/>
    </row>
    <row r="74" spans="1:49" ht="15.75" customHeight="1">
      <c r="A74" s="23"/>
      <c r="B74" s="59"/>
      <c r="C74" s="143"/>
      <c r="D74" s="76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5"/>
      <c r="AV74" s="23"/>
      <c r="AW74" s="25"/>
    </row>
    <row r="75" spans="1:49" ht="15.75" customHeight="1">
      <c r="A75" s="23"/>
      <c r="B75" s="59"/>
      <c r="C75" s="143"/>
      <c r="D75" s="76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5"/>
      <c r="AV75" s="23"/>
      <c r="AW75" s="25"/>
    </row>
    <row r="76" spans="1:49" ht="15.75" customHeight="1">
      <c r="A76" s="23"/>
      <c r="B76" s="59"/>
      <c r="C76" s="143"/>
      <c r="D76" s="76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5"/>
      <c r="AV76" s="23"/>
      <c r="AW76" s="25"/>
    </row>
    <row r="77" spans="1:49" ht="15.75" customHeight="1">
      <c r="A77" s="23"/>
      <c r="B77" s="59"/>
      <c r="C77" s="143"/>
      <c r="D77" s="76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5"/>
      <c r="AV77" s="23"/>
      <c r="AW77" s="25"/>
    </row>
    <row r="78" spans="1:49" ht="15.75" customHeight="1">
      <c r="A78" s="23"/>
      <c r="B78" s="59"/>
      <c r="C78" s="143"/>
      <c r="D78" s="76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5"/>
      <c r="AV78" s="23"/>
      <c r="AW78" s="25"/>
    </row>
    <row r="79" spans="1:49" ht="15.75" customHeight="1">
      <c r="A79" s="23"/>
      <c r="B79" s="59"/>
      <c r="C79" s="143"/>
      <c r="D79" s="76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5"/>
      <c r="AV79" s="23"/>
      <c r="AW79" s="25"/>
    </row>
    <row r="80" spans="1:49" ht="15.75" customHeight="1">
      <c r="A80" s="23"/>
      <c r="B80" s="59"/>
      <c r="C80" s="143"/>
      <c r="D80" s="76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5"/>
      <c r="AV80" s="23"/>
      <c r="AW80" s="25"/>
    </row>
    <row r="81" spans="1:49" ht="15.75" customHeight="1">
      <c r="A81" s="23"/>
      <c r="B81" s="59"/>
      <c r="C81" s="143"/>
      <c r="D81" s="76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5"/>
      <c r="AV81" s="23"/>
      <c r="AW81" s="25"/>
    </row>
    <row r="82" spans="1:49" ht="15.75" customHeight="1">
      <c r="A82" s="23"/>
      <c r="B82" s="59"/>
      <c r="C82" s="143"/>
      <c r="D82" s="76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5"/>
      <c r="AV82" s="23"/>
      <c r="AW82" s="25"/>
    </row>
    <row r="83" spans="1:49" ht="15.75" customHeight="1">
      <c r="A83" s="23"/>
      <c r="B83" s="59"/>
      <c r="C83" s="143"/>
      <c r="D83" s="76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5"/>
      <c r="AV83" s="23"/>
      <c r="AW83" s="25"/>
    </row>
    <row r="84" spans="1:49" ht="15.75" customHeight="1">
      <c r="A84" s="23"/>
      <c r="B84" s="59"/>
      <c r="C84" s="143"/>
      <c r="D84" s="76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5"/>
      <c r="AV84" s="23"/>
      <c r="AW84" s="25"/>
    </row>
    <row r="85" spans="1:49" ht="15.75" customHeight="1">
      <c r="A85" s="23"/>
      <c r="B85" s="59"/>
      <c r="C85" s="143"/>
      <c r="D85" s="76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5"/>
      <c r="AV85" s="23"/>
      <c r="AW85" s="25"/>
    </row>
    <row r="86" spans="1:49" ht="15.75" customHeight="1">
      <c r="A86" s="23"/>
      <c r="B86" s="59"/>
      <c r="C86" s="143"/>
      <c r="D86" s="76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5"/>
      <c r="AV86" s="23"/>
      <c r="AW86" s="25"/>
    </row>
    <row r="87" spans="1:49" ht="15.75" customHeight="1">
      <c r="A87" s="23"/>
      <c r="B87" s="59"/>
      <c r="C87" s="143"/>
      <c r="D87" s="76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5"/>
      <c r="AV87" s="23"/>
      <c r="AW87" s="25"/>
    </row>
    <row r="88" spans="1:49" ht="15.75" customHeight="1">
      <c r="A88" s="23"/>
      <c r="B88" s="59"/>
      <c r="C88" s="143"/>
      <c r="D88" s="76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5"/>
      <c r="AV88" s="23"/>
      <c r="AW88" s="25"/>
    </row>
    <row r="89" spans="1:49" ht="15.75" customHeight="1">
      <c r="A89" s="23"/>
      <c r="B89" s="59"/>
      <c r="C89" s="143"/>
      <c r="D89" s="76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5"/>
      <c r="AV89" s="23"/>
      <c r="AW89" s="25"/>
    </row>
    <row r="90" spans="1:49" ht="15.75" customHeight="1">
      <c r="A90" s="23"/>
      <c r="B90" s="59"/>
      <c r="C90" s="143"/>
      <c r="D90" s="76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5"/>
      <c r="AV90" s="23"/>
      <c r="AW90" s="25"/>
    </row>
    <row r="91" spans="1:49" ht="15.75" customHeight="1">
      <c r="A91" s="23"/>
      <c r="B91" s="59"/>
      <c r="C91" s="143"/>
      <c r="D91" s="76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5"/>
      <c r="AV91" s="23"/>
      <c r="AW91" s="25"/>
    </row>
    <row r="92" spans="1:49" ht="15.75" customHeight="1">
      <c r="A92" s="23"/>
      <c r="B92" s="59"/>
      <c r="C92" s="143"/>
      <c r="D92" s="76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5"/>
      <c r="AV92" s="23"/>
      <c r="AW92" s="25"/>
    </row>
    <row r="93" spans="1:49" ht="15.75" customHeight="1">
      <c r="A93" s="23"/>
      <c r="B93" s="59"/>
      <c r="C93" s="143"/>
      <c r="D93" s="76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5"/>
      <c r="AV93" s="23"/>
      <c r="AW93" s="25"/>
    </row>
    <row r="94" spans="1:49" ht="15.75" customHeight="1">
      <c r="A94" s="23"/>
      <c r="B94" s="59"/>
      <c r="C94" s="143"/>
      <c r="D94" s="76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5"/>
      <c r="AV94" s="23"/>
      <c r="AW94" s="25"/>
    </row>
    <row r="95" spans="1:49" ht="15.75" customHeight="1">
      <c r="A95" s="23"/>
      <c r="B95" s="59"/>
      <c r="C95" s="143"/>
      <c r="D95" s="76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5"/>
      <c r="AV95" s="23"/>
      <c r="AW95" s="25"/>
    </row>
    <row r="96" spans="1:49" ht="15.75" customHeight="1">
      <c r="A96" s="23"/>
      <c r="B96" s="59"/>
      <c r="C96" s="143"/>
      <c r="D96" s="76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5"/>
      <c r="AV96" s="23"/>
      <c r="AW96" s="25"/>
    </row>
    <row r="97" spans="1:49" ht="15.75" customHeight="1">
      <c r="A97" s="23"/>
      <c r="B97" s="59"/>
      <c r="C97" s="143"/>
      <c r="D97" s="76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5"/>
      <c r="AV97" s="23"/>
      <c r="AW97" s="25"/>
    </row>
    <row r="98" spans="1:49" ht="15.75" customHeight="1">
      <c r="A98" s="23"/>
      <c r="B98" s="59"/>
      <c r="C98" s="143"/>
      <c r="D98" s="76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5"/>
      <c r="AV98" s="23"/>
      <c r="AW98" s="25"/>
    </row>
    <row r="99" spans="1:49" ht="15.75" customHeight="1">
      <c r="A99" s="23"/>
      <c r="B99" s="59"/>
      <c r="C99" s="143"/>
      <c r="D99" s="76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5"/>
      <c r="AV99" s="23"/>
      <c r="AW99" s="25"/>
    </row>
    <row r="100" spans="1:49" ht="15.75" customHeight="1">
      <c r="A100" s="23"/>
      <c r="B100" s="59"/>
      <c r="C100" s="143"/>
      <c r="D100" s="76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5"/>
      <c r="AV100" s="23"/>
      <c r="AW100" s="25"/>
    </row>
    <row r="101" spans="1:49" ht="15.75" customHeight="1">
      <c r="A101" s="23"/>
      <c r="B101" s="59"/>
      <c r="C101" s="143"/>
      <c r="D101" s="76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5"/>
      <c r="AV101" s="23"/>
      <c r="AW101" s="25"/>
    </row>
    <row r="102" spans="1:49" ht="15.75" customHeight="1">
      <c r="A102" s="23"/>
      <c r="B102" s="59"/>
      <c r="C102" s="143"/>
      <c r="D102" s="76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5"/>
      <c r="AV102" s="23"/>
      <c r="AW102" s="25"/>
    </row>
    <row r="103" spans="1:49" ht="15.75" customHeight="1">
      <c r="A103" s="23"/>
      <c r="B103" s="59"/>
      <c r="C103" s="143"/>
      <c r="D103" s="76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5"/>
      <c r="AV103" s="23"/>
      <c r="AW103" s="25"/>
    </row>
    <row r="104" spans="1:49" ht="15.75" customHeight="1">
      <c r="A104" s="23"/>
      <c r="B104" s="59"/>
      <c r="C104" s="143"/>
      <c r="D104" s="76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5"/>
      <c r="AV104" s="23"/>
      <c r="AW104" s="25"/>
    </row>
    <row r="105" spans="1:49" ht="15.75" customHeight="1">
      <c r="A105" s="23"/>
      <c r="B105" s="59"/>
      <c r="C105" s="143"/>
      <c r="D105" s="76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5"/>
      <c r="AV105" s="23"/>
      <c r="AW105" s="25"/>
    </row>
    <row r="106" spans="1:49" ht="15.75" customHeight="1">
      <c r="A106" s="23"/>
      <c r="B106" s="59"/>
      <c r="C106" s="143"/>
      <c r="D106" s="76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5"/>
      <c r="AV106" s="23"/>
      <c r="AW106" s="25"/>
    </row>
    <row r="107" spans="1:49" ht="15.75" customHeight="1">
      <c r="A107" s="23"/>
      <c r="B107" s="59"/>
      <c r="C107" s="143"/>
      <c r="D107" s="76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5"/>
      <c r="AV107" s="23"/>
      <c r="AW107" s="25"/>
    </row>
    <row r="108" spans="1:49" ht="15.75" customHeight="1">
      <c r="A108" s="23"/>
      <c r="B108" s="59"/>
      <c r="C108" s="143"/>
      <c r="D108" s="76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5"/>
      <c r="AV108" s="23"/>
      <c r="AW108" s="25"/>
    </row>
    <row r="109" spans="1:49" ht="15.75" customHeight="1">
      <c r="A109" s="23"/>
      <c r="B109" s="59"/>
      <c r="C109" s="143"/>
      <c r="D109" s="76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5"/>
      <c r="AV109" s="23"/>
      <c r="AW109" s="25"/>
    </row>
    <row r="110" spans="1:49" ht="15.75" customHeight="1">
      <c r="A110" s="23"/>
      <c r="B110" s="59"/>
      <c r="C110" s="143"/>
      <c r="D110" s="76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5"/>
      <c r="AV110" s="23"/>
      <c r="AW110" s="25"/>
    </row>
    <row r="111" spans="1:49" ht="15.75" customHeight="1">
      <c r="A111" s="23"/>
      <c r="B111" s="59"/>
      <c r="C111" s="143"/>
      <c r="D111" s="76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5"/>
      <c r="AV111" s="23"/>
      <c r="AW111" s="25"/>
    </row>
    <row r="112" spans="1:49" ht="15.75" customHeight="1">
      <c r="A112" s="23"/>
      <c r="B112" s="59"/>
      <c r="C112" s="143"/>
      <c r="D112" s="76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5"/>
      <c r="AV112" s="23"/>
      <c r="AW112" s="25"/>
    </row>
    <row r="113" spans="1:49" ht="15.75" customHeight="1">
      <c r="A113" s="23"/>
      <c r="B113" s="59"/>
      <c r="C113" s="143"/>
      <c r="D113" s="76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5"/>
      <c r="AV113" s="23"/>
      <c r="AW113" s="25"/>
    </row>
    <row r="114" spans="1:49" ht="15.75" customHeight="1">
      <c r="A114" s="23"/>
      <c r="B114" s="59"/>
      <c r="C114" s="143"/>
      <c r="D114" s="76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5"/>
      <c r="AV114" s="23"/>
      <c r="AW114" s="25"/>
    </row>
    <row r="115" spans="1:49" ht="15.75" customHeight="1">
      <c r="A115" s="23"/>
      <c r="B115" s="59"/>
      <c r="C115" s="143"/>
      <c r="D115" s="76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5"/>
      <c r="AV115" s="23"/>
      <c r="AW115" s="25"/>
    </row>
    <row r="116" spans="1:49" ht="15.75" customHeight="1">
      <c r="A116" s="23"/>
      <c r="B116" s="59"/>
      <c r="C116" s="143"/>
      <c r="D116" s="76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5"/>
      <c r="AV116" s="23"/>
      <c r="AW116" s="25"/>
    </row>
    <row r="117" spans="1:49" ht="15.75" customHeight="1">
      <c r="A117" s="23"/>
      <c r="B117" s="59"/>
      <c r="C117" s="143"/>
      <c r="D117" s="76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5"/>
      <c r="AV117" s="23"/>
      <c r="AW117" s="25"/>
    </row>
    <row r="118" spans="1:49" ht="15.75" customHeight="1">
      <c r="A118" s="23"/>
      <c r="B118" s="59"/>
      <c r="C118" s="143"/>
      <c r="D118" s="76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5"/>
      <c r="AV118" s="23"/>
      <c r="AW118" s="25"/>
    </row>
    <row r="119" spans="1:49" ht="15.75" customHeight="1">
      <c r="A119" s="23"/>
      <c r="B119" s="59"/>
      <c r="C119" s="143"/>
      <c r="D119" s="76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5"/>
      <c r="AV119" s="23"/>
      <c r="AW119" s="25"/>
    </row>
    <row r="120" spans="1:49" ht="15.75" customHeight="1">
      <c r="A120" s="23"/>
      <c r="B120" s="59"/>
      <c r="C120" s="143"/>
      <c r="D120" s="76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5"/>
      <c r="AV120" s="23"/>
      <c r="AW120" s="25"/>
    </row>
    <row r="121" spans="1:49" ht="15.75" customHeight="1">
      <c r="A121" s="23"/>
      <c r="B121" s="59"/>
      <c r="C121" s="143"/>
      <c r="D121" s="76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5"/>
      <c r="AV121" s="23"/>
      <c r="AW121" s="25"/>
    </row>
    <row r="122" spans="1:49" ht="15.75" customHeight="1">
      <c r="A122" s="23"/>
      <c r="B122" s="59"/>
      <c r="C122" s="143"/>
      <c r="D122" s="76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5"/>
      <c r="AV122" s="23"/>
      <c r="AW122" s="25"/>
    </row>
    <row r="123" spans="1:49" ht="15.75" customHeight="1">
      <c r="A123" s="23"/>
      <c r="B123" s="59"/>
      <c r="C123" s="143"/>
      <c r="D123" s="76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5"/>
      <c r="AV123" s="23"/>
      <c r="AW123" s="25"/>
    </row>
    <row r="124" spans="1:49" ht="15.75" customHeight="1">
      <c r="A124" s="23"/>
      <c r="B124" s="59"/>
      <c r="C124" s="143"/>
      <c r="D124" s="76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5"/>
      <c r="AV124" s="23"/>
      <c r="AW124" s="25"/>
    </row>
    <row r="125" spans="1:49" ht="15.75" customHeight="1">
      <c r="A125" s="23"/>
      <c r="B125" s="59"/>
      <c r="C125" s="143"/>
      <c r="D125" s="76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5"/>
      <c r="AV125" s="23"/>
      <c r="AW125" s="25"/>
    </row>
    <row r="126" spans="1:49" ht="15.75" customHeight="1">
      <c r="A126" s="23"/>
      <c r="B126" s="59"/>
      <c r="C126" s="143"/>
      <c r="D126" s="76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5"/>
      <c r="AV126" s="23"/>
      <c r="AW126" s="25"/>
    </row>
    <row r="127" spans="1:49" ht="15.75" customHeight="1">
      <c r="A127" s="23"/>
      <c r="B127" s="59"/>
      <c r="C127" s="143"/>
      <c r="D127" s="76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5"/>
      <c r="AV127" s="23"/>
      <c r="AW127" s="25"/>
    </row>
    <row r="128" spans="1:49" ht="15.75" customHeight="1">
      <c r="A128" s="23"/>
      <c r="B128" s="59"/>
      <c r="C128" s="143"/>
      <c r="D128" s="76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5"/>
      <c r="AV128" s="23"/>
      <c r="AW128" s="25"/>
    </row>
    <row r="129" spans="1:49" ht="15.75" customHeight="1">
      <c r="A129" s="23"/>
      <c r="B129" s="59"/>
      <c r="C129" s="143"/>
      <c r="D129" s="76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5"/>
      <c r="AV129" s="23"/>
      <c r="AW129" s="25"/>
    </row>
    <row r="130" spans="1:49" ht="15.75" customHeight="1">
      <c r="A130" s="23"/>
      <c r="B130" s="59"/>
      <c r="C130" s="143"/>
      <c r="D130" s="76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5"/>
      <c r="AV130" s="23"/>
      <c r="AW130" s="25"/>
    </row>
    <row r="131" spans="1:49" ht="15.75" customHeight="1">
      <c r="A131" s="23"/>
      <c r="B131" s="59"/>
      <c r="C131" s="143"/>
      <c r="D131" s="76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5"/>
      <c r="AV131" s="23"/>
      <c r="AW131" s="25"/>
    </row>
    <row r="132" spans="1:49" ht="15.75" customHeight="1">
      <c r="A132" s="23"/>
      <c r="B132" s="59"/>
      <c r="C132" s="143"/>
      <c r="D132" s="76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5"/>
      <c r="AV132" s="23"/>
      <c r="AW132" s="25"/>
    </row>
    <row r="133" spans="1:49" ht="15.75" customHeight="1">
      <c r="A133" s="23"/>
      <c r="B133" s="59"/>
      <c r="C133" s="143"/>
      <c r="D133" s="76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5"/>
      <c r="AV133" s="23"/>
      <c r="AW133" s="25"/>
    </row>
    <row r="134" spans="1:49" ht="15.75" customHeight="1">
      <c r="A134" s="23"/>
      <c r="B134" s="59"/>
      <c r="C134" s="143"/>
      <c r="D134" s="76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5"/>
      <c r="AV134" s="23"/>
      <c r="AW134" s="25"/>
    </row>
    <row r="135" spans="1:49" ht="15.75" customHeight="1">
      <c r="A135" s="23"/>
      <c r="B135" s="59"/>
      <c r="C135" s="143"/>
      <c r="D135" s="76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5"/>
      <c r="AV135" s="23"/>
      <c r="AW135" s="25"/>
    </row>
    <row r="136" spans="1:49" ht="15.75" customHeight="1">
      <c r="A136" s="23"/>
      <c r="B136" s="59"/>
      <c r="C136" s="143"/>
      <c r="D136" s="76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5"/>
      <c r="AV136" s="23"/>
      <c r="AW136" s="25"/>
    </row>
    <row r="137" spans="1:49" ht="15.75" customHeight="1">
      <c r="A137" s="23"/>
      <c r="B137" s="59"/>
      <c r="C137" s="143"/>
      <c r="D137" s="76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5"/>
      <c r="AV137" s="23"/>
      <c r="AW137" s="25"/>
    </row>
    <row r="138" spans="1:49" ht="15.75" customHeight="1">
      <c r="A138" s="23"/>
      <c r="B138" s="59"/>
      <c r="C138" s="143"/>
      <c r="D138" s="76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5"/>
      <c r="AV138" s="23"/>
      <c r="AW138" s="25"/>
    </row>
    <row r="139" spans="1:49" ht="15.75" customHeight="1">
      <c r="A139" s="23"/>
      <c r="B139" s="59"/>
      <c r="C139" s="143"/>
      <c r="D139" s="76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5"/>
      <c r="AV139" s="23"/>
      <c r="AW139" s="25"/>
    </row>
    <row r="140" spans="1:49" ht="15.75" customHeight="1">
      <c r="A140" s="23"/>
      <c r="B140" s="59"/>
      <c r="C140" s="143"/>
      <c r="D140" s="76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5"/>
      <c r="AV140" s="23"/>
      <c r="AW140" s="25"/>
    </row>
    <row r="141" spans="1:49" ht="15.75" customHeight="1">
      <c r="A141" s="23"/>
      <c r="B141" s="59"/>
      <c r="C141" s="143"/>
      <c r="D141" s="76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5"/>
      <c r="AV141" s="23"/>
      <c r="AW141" s="25"/>
    </row>
    <row r="142" spans="1:49" ht="15.75" customHeight="1">
      <c r="A142" s="23"/>
      <c r="B142" s="59"/>
      <c r="C142" s="143"/>
      <c r="D142" s="76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5"/>
      <c r="AV142" s="23"/>
      <c r="AW142" s="25"/>
    </row>
    <row r="143" spans="1:49" ht="15.75" customHeight="1">
      <c r="A143" s="23"/>
      <c r="B143" s="59"/>
      <c r="C143" s="143"/>
      <c r="D143" s="76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5"/>
      <c r="AV143" s="23"/>
      <c r="AW143" s="25"/>
    </row>
    <row r="144" spans="1:49" ht="15.75" customHeight="1">
      <c r="A144" s="23"/>
      <c r="B144" s="59"/>
      <c r="C144" s="143"/>
      <c r="D144" s="76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5"/>
      <c r="AV144" s="23"/>
      <c r="AW144" s="25"/>
    </row>
    <row r="145" spans="1:49" ht="15.75" customHeight="1">
      <c r="A145" s="23"/>
      <c r="B145" s="59"/>
      <c r="C145" s="143"/>
      <c r="D145" s="76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5"/>
      <c r="AV145" s="23"/>
      <c r="AW145" s="25"/>
    </row>
    <row r="146" spans="1:49" ht="15.75" customHeight="1">
      <c r="A146" s="23"/>
      <c r="B146" s="59"/>
      <c r="C146" s="143"/>
      <c r="D146" s="76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5"/>
      <c r="AV146" s="23"/>
      <c r="AW146" s="25"/>
    </row>
    <row r="147" spans="1:49" ht="15.75" customHeight="1">
      <c r="A147" s="23"/>
      <c r="B147" s="59"/>
      <c r="C147" s="143"/>
      <c r="D147" s="76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5"/>
      <c r="AV147" s="23"/>
      <c r="AW147" s="25"/>
    </row>
    <row r="148" spans="1:49" ht="15.75" customHeight="1">
      <c r="A148" s="23"/>
      <c r="B148" s="59"/>
      <c r="C148" s="143"/>
      <c r="D148" s="76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5"/>
      <c r="AV148" s="23"/>
      <c r="AW148" s="25"/>
    </row>
    <row r="149" spans="1:49" ht="15.75" customHeight="1">
      <c r="A149" s="23"/>
      <c r="B149" s="59"/>
      <c r="C149" s="143"/>
      <c r="D149" s="76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5"/>
      <c r="AV149" s="23"/>
      <c r="AW149" s="25"/>
    </row>
    <row r="150" spans="1:49" ht="15.75" customHeight="1">
      <c r="A150" s="23"/>
      <c r="B150" s="59"/>
      <c r="C150" s="143"/>
      <c r="D150" s="76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5"/>
      <c r="AV150" s="23"/>
      <c r="AW150" s="25"/>
    </row>
    <row r="151" spans="1:49" ht="15.75" customHeight="1">
      <c r="A151" s="23"/>
      <c r="B151" s="59"/>
      <c r="C151" s="143"/>
      <c r="D151" s="7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5"/>
      <c r="AV151" s="23"/>
      <c r="AW151" s="25"/>
    </row>
    <row r="152" spans="1:49" ht="15.75" customHeight="1">
      <c r="A152" s="23"/>
      <c r="B152" s="59"/>
      <c r="C152" s="143"/>
      <c r="D152" s="76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5"/>
      <c r="AV152" s="23"/>
      <c r="AW152" s="25"/>
    </row>
    <row r="153" spans="1:49" ht="15.75" customHeight="1">
      <c r="A153" s="23"/>
      <c r="B153" s="59"/>
      <c r="C153" s="143"/>
      <c r="D153" s="76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5"/>
      <c r="AV153" s="23"/>
      <c r="AW153" s="25"/>
    </row>
    <row r="154" spans="1:49" ht="15.75" customHeight="1">
      <c r="A154" s="23"/>
      <c r="B154" s="59"/>
      <c r="C154" s="143"/>
      <c r="D154" s="76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5"/>
      <c r="AV154" s="23"/>
      <c r="AW154" s="25"/>
    </row>
    <row r="155" spans="1:49" ht="15.75" customHeight="1">
      <c r="A155" s="23"/>
      <c r="B155" s="59"/>
      <c r="C155" s="143"/>
      <c r="D155" s="76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5"/>
      <c r="AV155" s="23"/>
      <c r="AW155" s="25"/>
    </row>
    <row r="156" spans="1:49" ht="15.75" customHeight="1">
      <c r="A156" s="23"/>
      <c r="B156" s="59"/>
      <c r="C156" s="143"/>
      <c r="D156" s="76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5"/>
      <c r="AV156" s="23"/>
      <c r="AW156" s="25"/>
    </row>
    <row r="157" spans="1:49" ht="15.75" customHeight="1">
      <c r="A157" s="23"/>
      <c r="B157" s="59"/>
      <c r="C157" s="143"/>
      <c r="D157" s="7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5"/>
      <c r="AV157" s="23"/>
      <c r="AW157" s="25"/>
    </row>
    <row r="158" spans="1:49" ht="15.75" customHeight="1">
      <c r="A158" s="23"/>
      <c r="B158" s="59"/>
      <c r="C158" s="143"/>
      <c r="D158" s="76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5"/>
      <c r="AV158" s="23"/>
      <c r="AW158" s="25"/>
    </row>
    <row r="159" spans="1:49" ht="15.75" customHeight="1">
      <c r="A159" s="23"/>
      <c r="B159" s="59"/>
      <c r="C159" s="143"/>
      <c r="D159" s="76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5"/>
      <c r="AV159" s="23"/>
      <c r="AW159" s="25"/>
    </row>
    <row r="160" spans="1:49" ht="15.75" customHeight="1">
      <c r="A160" s="23"/>
      <c r="B160" s="59"/>
      <c r="C160" s="143"/>
      <c r="D160" s="76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5"/>
      <c r="AV160" s="23"/>
      <c r="AW160" s="25"/>
    </row>
    <row r="161" spans="1:49" ht="15.75" customHeight="1">
      <c r="A161" s="23"/>
      <c r="B161" s="59"/>
      <c r="C161" s="143"/>
      <c r="D161" s="7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5"/>
      <c r="AV161" s="23"/>
      <c r="AW161" s="25"/>
    </row>
    <row r="162" spans="1:49" ht="15.75" customHeight="1">
      <c r="A162" s="23"/>
      <c r="B162" s="59"/>
      <c r="C162" s="143"/>
      <c r="D162" s="7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5"/>
      <c r="AV162" s="23"/>
      <c r="AW162" s="25"/>
    </row>
    <row r="163" spans="1:49" ht="15.75" customHeight="1">
      <c r="A163" s="23"/>
      <c r="B163" s="59"/>
      <c r="C163" s="143"/>
      <c r="D163" s="7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5"/>
      <c r="AV163" s="23"/>
      <c r="AW163" s="25"/>
    </row>
    <row r="164" spans="1:49" ht="15.75" customHeight="1">
      <c r="A164" s="23"/>
      <c r="B164" s="59"/>
      <c r="C164" s="143"/>
      <c r="D164" s="7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5"/>
      <c r="AV164" s="23"/>
      <c r="AW164" s="25"/>
    </row>
    <row r="165" spans="1:49" ht="15.75" customHeight="1">
      <c r="A165" s="23"/>
      <c r="B165" s="59"/>
      <c r="C165" s="143"/>
      <c r="D165" s="76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5"/>
      <c r="AV165" s="23"/>
      <c r="AW165" s="25"/>
    </row>
    <row r="166" spans="1:49" ht="15.75" customHeight="1">
      <c r="A166" s="23"/>
      <c r="B166" s="59"/>
      <c r="C166" s="143"/>
      <c r="D166" s="7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5"/>
      <c r="AV166" s="23"/>
      <c r="AW166" s="25"/>
    </row>
    <row r="167" spans="1:49" ht="15.75" customHeight="1">
      <c r="A167" s="23"/>
      <c r="B167" s="59"/>
      <c r="C167" s="143"/>
      <c r="D167" s="7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5"/>
      <c r="AV167" s="23"/>
      <c r="AW167" s="25"/>
    </row>
    <row r="168" spans="1:49" ht="15.75" customHeight="1">
      <c r="A168" s="23"/>
      <c r="B168" s="59"/>
      <c r="C168" s="143"/>
      <c r="D168" s="7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5"/>
      <c r="AV168" s="23"/>
      <c r="AW168" s="25"/>
    </row>
    <row r="169" spans="1:49" ht="15.75" customHeight="1">
      <c r="A169" s="23"/>
      <c r="B169" s="59"/>
      <c r="C169" s="143"/>
      <c r="D169" s="7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5"/>
      <c r="AV169" s="23"/>
      <c r="AW169" s="25"/>
    </row>
    <row r="170" spans="1:49" ht="15.75" customHeight="1">
      <c r="A170" s="23"/>
      <c r="B170" s="59"/>
      <c r="C170" s="143"/>
      <c r="D170" s="76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5"/>
      <c r="AV170" s="23"/>
      <c r="AW170" s="25"/>
    </row>
    <row r="171" spans="1:49" ht="15.75" customHeight="1">
      <c r="A171" s="23"/>
      <c r="B171" s="59"/>
      <c r="C171" s="143"/>
      <c r="D171" s="7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5"/>
      <c r="AV171" s="23"/>
      <c r="AW171" s="25"/>
    </row>
    <row r="172" spans="1:49" ht="15.75" customHeight="1">
      <c r="A172" s="23"/>
      <c r="B172" s="59"/>
      <c r="C172" s="143"/>
      <c r="D172" s="76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5"/>
      <c r="AV172" s="23"/>
      <c r="AW172" s="25"/>
    </row>
    <row r="173" spans="1:49" ht="15.75" customHeight="1">
      <c r="A173" s="23"/>
      <c r="B173" s="59"/>
      <c r="C173" s="143"/>
      <c r="D173" s="76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5"/>
      <c r="AV173" s="23"/>
      <c r="AW173" s="25"/>
    </row>
    <row r="174" spans="1:49" ht="15.75" customHeight="1">
      <c r="A174" s="23"/>
      <c r="B174" s="59"/>
      <c r="C174" s="143"/>
      <c r="D174" s="76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5"/>
      <c r="AV174" s="23"/>
      <c r="AW174" s="25"/>
    </row>
    <row r="175" spans="1:49" ht="15.75" customHeight="1">
      <c r="A175" s="23"/>
      <c r="B175" s="59"/>
      <c r="C175" s="143"/>
      <c r="D175" s="76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5"/>
      <c r="AV175" s="23"/>
      <c r="AW175" s="25"/>
    </row>
    <row r="176" spans="1:49" ht="15.75" customHeight="1">
      <c r="A176" s="23"/>
      <c r="B176" s="59"/>
      <c r="C176" s="143"/>
      <c r="D176" s="76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5"/>
      <c r="AV176" s="23"/>
      <c r="AW176" s="25"/>
    </row>
    <row r="177" spans="1:49" ht="15.75" customHeight="1">
      <c r="A177" s="23"/>
      <c r="B177" s="59"/>
      <c r="C177" s="143"/>
      <c r="D177" s="76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5"/>
      <c r="AV177" s="23"/>
      <c r="AW177" s="25"/>
    </row>
    <row r="178" spans="1:49" ht="15.75" customHeight="1">
      <c r="A178" s="23"/>
      <c r="B178" s="59"/>
      <c r="C178" s="143"/>
      <c r="D178" s="7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5"/>
      <c r="AV178" s="23"/>
      <c r="AW178" s="25"/>
    </row>
    <row r="179" spans="1:49" ht="15.75" customHeight="1">
      <c r="A179" s="23"/>
      <c r="B179" s="59"/>
      <c r="C179" s="143"/>
      <c r="D179" s="76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5"/>
      <c r="AV179" s="23"/>
      <c r="AW179" s="25"/>
    </row>
    <row r="180" spans="1:49" ht="15.75" customHeight="1">
      <c r="A180" s="23"/>
      <c r="B180" s="59"/>
      <c r="C180" s="143"/>
      <c r="D180" s="7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5"/>
      <c r="AV180" s="23"/>
      <c r="AW180" s="25"/>
    </row>
    <row r="181" spans="1:49" ht="15.75" customHeight="1">
      <c r="A181" s="23"/>
      <c r="B181" s="59"/>
      <c r="C181" s="143"/>
      <c r="D181" s="76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5"/>
      <c r="AV181" s="23"/>
      <c r="AW181" s="25"/>
    </row>
    <row r="182" spans="1:49" ht="15.75" customHeight="1">
      <c r="A182" s="23"/>
      <c r="B182" s="59"/>
      <c r="C182" s="143"/>
      <c r="D182" s="76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5"/>
      <c r="AV182" s="23"/>
      <c r="AW182" s="25"/>
    </row>
    <row r="183" spans="1:49" ht="15.75" customHeight="1">
      <c r="A183" s="23"/>
      <c r="B183" s="59"/>
      <c r="C183" s="143"/>
      <c r="D183" s="7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5"/>
      <c r="AV183" s="23"/>
      <c r="AW183" s="25"/>
    </row>
    <row r="184" spans="1:49" ht="15.75" customHeight="1">
      <c r="A184" s="23"/>
      <c r="B184" s="59"/>
      <c r="C184" s="143"/>
      <c r="D184" s="76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5"/>
      <c r="AV184" s="23"/>
      <c r="AW184" s="25"/>
    </row>
    <row r="185" spans="1:49" ht="15.75" customHeight="1">
      <c r="A185" s="23"/>
      <c r="B185" s="59"/>
      <c r="C185" s="143"/>
      <c r="D185" s="76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5"/>
      <c r="AV185" s="23"/>
      <c r="AW185" s="25"/>
    </row>
    <row r="186" spans="1:49" ht="15.75" customHeight="1">
      <c r="A186" s="23"/>
      <c r="B186" s="59"/>
      <c r="C186" s="143"/>
      <c r="D186" s="76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5"/>
      <c r="AV186" s="23"/>
      <c r="AW186" s="25"/>
    </row>
    <row r="187" spans="1:49" ht="15.75" customHeight="1">
      <c r="A187" s="23"/>
      <c r="B187" s="59"/>
      <c r="C187" s="143"/>
      <c r="D187" s="7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5"/>
      <c r="AV187" s="23"/>
      <c r="AW187" s="25"/>
    </row>
    <row r="188" spans="1:49" ht="15.75" customHeight="1">
      <c r="A188" s="23"/>
      <c r="B188" s="59"/>
      <c r="C188" s="143"/>
      <c r="D188" s="7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5"/>
      <c r="AV188" s="23"/>
      <c r="AW188" s="25"/>
    </row>
    <row r="189" spans="1:49" ht="15.75" customHeight="1">
      <c r="A189" s="23"/>
      <c r="B189" s="59"/>
      <c r="C189" s="143"/>
      <c r="D189" s="76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5"/>
      <c r="AV189" s="23"/>
      <c r="AW189" s="25"/>
    </row>
    <row r="190" spans="1:49" ht="15.75" customHeight="1">
      <c r="A190" s="23"/>
      <c r="B190" s="59"/>
      <c r="C190" s="143"/>
      <c r="D190" s="76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5"/>
      <c r="AV190" s="23"/>
      <c r="AW190" s="25"/>
    </row>
    <row r="191" spans="1:49" ht="15.75" customHeight="1">
      <c r="A191" s="23"/>
      <c r="B191" s="59"/>
      <c r="C191" s="143"/>
      <c r="D191" s="76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5"/>
      <c r="AV191" s="23"/>
      <c r="AW191" s="25"/>
    </row>
    <row r="192" spans="1:49" ht="15.75" customHeight="1">
      <c r="A192" s="23"/>
      <c r="B192" s="59"/>
      <c r="C192" s="143"/>
      <c r="D192" s="76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5"/>
      <c r="AV192" s="23"/>
      <c r="AW192" s="25"/>
    </row>
    <row r="193" spans="1:49" ht="15.75" customHeight="1">
      <c r="A193" s="23"/>
      <c r="B193" s="59"/>
      <c r="C193" s="143"/>
      <c r="D193" s="7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5"/>
      <c r="AV193" s="23"/>
      <c r="AW193" s="25"/>
    </row>
    <row r="194" spans="1:49" ht="15.75" customHeight="1">
      <c r="A194" s="23"/>
      <c r="B194" s="59"/>
      <c r="C194" s="143"/>
      <c r="D194" s="7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5"/>
      <c r="AV194" s="23"/>
      <c r="AW194" s="25"/>
    </row>
    <row r="195" spans="1:49" ht="15.75" customHeight="1">
      <c r="A195" s="23"/>
      <c r="B195" s="59"/>
      <c r="C195" s="143"/>
      <c r="D195" s="7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5"/>
      <c r="AV195" s="23"/>
      <c r="AW195" s="25"/>
    </row>
    <row r="196" spans="1:49" ht="15.75" customHeight="1">
      <c r="A196" s="23"/>
      <c r="B196" s="59"/>
      <c r="C196" s="143"/>
      <c r="D196" s="76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5"/>
      <c r="AV196" s="23"/>
      <c r="AW196" s="25"/>
    </row>
    <row r="197" spans="1:49" ht="15.75" customHeight="1">
      <c r="A197" s="23"/>
      <c r="B197" s="59"/>
      <c r="C197" s="143"/>
      <c r="D197" s="76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5"/>
      <c r="AV197" s="23"/>
      <c r="AW197" s="25"/>
    </row>
    <row r="198" spans="1:49" ht="15.75" customHeight="1">
      <c r="A198" s="23"/>
      <c r="B198" s="59"/>
      <c r="C198" s="143"/>
      <c r="D198" s="7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5"/>
      <c r="AV198" s="23"/>
      <c r="AW198" s="25"/>
    </row>
    <row r="199" spans="1:49" ht="15.75" customHeight="1">
      <c r="A199" s="23"/>
      <c r="B199" s="59"/>
      <c r="C199" s="143"/>
      <c r="D199" s="7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5"/>
      <c r="AV199" s="23"/>
      <c r="AW199" s="25"/>
    </row>
    <row r="200" spans="1:49" ht="15.75" customHeight="1">
      <c r="A200" s="23"/>
      <c r="B200" s="59"/>
      <c r="C200" s="143"/>
      <c r="D200" s="76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5"/>
      <c r="AV200" s="23"/>
      <c r="AW200" s="25"/>
    </row>
    <row r="201" spans="1:49" ht="15.75" customHeight="1">
      <c r="A201" s="23"/>
      <c r="B201" s="59"/>
      <c r="C201" s="143"/>
      <c r="D201" s="76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5"/>
      <c r="AV201" s="23"/>
      <c r="AW201" s="25"/>
    </row>
    <row r="202" spans="1:49" ht="15.75" customHeight="1">
      <c r="A202" s="23"/>
      <c r="B202" s="59"/>
      <c r="C202" s="143"/>
      <c r="D202" s="76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5"/>
      <c r="AV202" s="23"/>
      <c r="AW202" s="25"/>
    </row>
    <row r="203" spans="1:49" ht="15.75" customHeight="1">
      <c r="A203" s="23"/>
      <c r="B203" s="59"/>
      <c r="C203" s="143"/>
      <c r="D203" s="76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5"/>
      <c r="AV203" s="23"/>
      <c r="AW203" s="25"/>
    </row>
    <row r="204" spans="1:49" ht="15.75" customHeight="1">
      <c r="A204" s="23"/>
      <c r="B204" s="59"/>
      <c r="C204" s="143"/>
      <c r="D204" s="76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5"/>
      <c r="AV204" s="23"/>
      <c r="AW204" s="25"/>
    </row>
    <row r="205" spans="1:49" ht="15.75" customHeight="1">
      <c r="A205" s="23"/>
      <c r="B205" s="59"/>
      <c r="C205" s="143"/>
      <c r="D205" s="76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5"/>
      <c r="AV205" s="23"/>
      <c r="AW205" s="25"/>
    </row>
    <row r="206" spans="1:49" ht="15.75" customHeight="1">
      <c r="A206" s="23"/>
      <c r="B206" s="59"/>
      <c r="C206" s="143"/>
      <c r="D206" s="76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5"/>
      <c r="AV206" s="23"/>
      <c r="AW206" s="25"/>
    </row>
    <row r="207" spans="1:49" ht="15.75" customHeight="1">
      <c r="A207" s="23"/>
      <c r="B207" s="59"/>
      <c r="C207" s="143"/>
      <c r="D207" s="76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5"/>
      <c r="AV207" s="23"/>
      <c r="AW207" s="25"/>
    </row>
    <row r="208" spans="1:49" ht="15.75" customHeight="1">
      <c r="A208" s="23"/>
      <c r="B208" s="59"/>
      <c r="C208" s="143"/>
      <c r="D208" s="76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5"/>
      <c r="AV208" s="23"/>
      <c r="AW208" s="25"/>
    </row>
    <row r="209" spans="1:49" ht="15.75" customHeight="1">
      <c r="A209" s="23"/>
      <c r="B209" s="59"/>
      <c r="C209" s="143"/>
      <c r="D209" s="7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5"/>
      <c r="AV209" s="23"/>
      <c r="AW209" s="25"/>
    </row>
    <row r="210" spans="1:49" ht="15.75" customHeight="1">
      <c r="A210" s="23"/>
      <c r="B210" s="59"/>
      <c r="C210" s="143"/>
      <c r="D210" s="76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5"/>
      <c r="AV210" s="23"/>
      <c r="AW210" s="25"/>
    </row>
    <row r="211" spans="1:49" ht="15.75" customHeight="1">
      <c r="A211" s="23"/>
      <c r="B211" s="59"/>
      <c r="C211" s="143"/>
      <c r="D211" s="76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5"/>
      <c r="AV211" s="23"/>
      <c r="AW211" s="25"/>
    </row>
    <row r="212" spans="1:49" ht="15.75" customHeight="1">
      <c r="A212" s="23"/>
      <c r="B212" s="59"/>
      <c r="C212" s="143"/>
      <c r="D212" s="76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5"/>
      <c r="AV212" s="23"/>
      <c r="AW212" s="25"/>
    </row>
    <row r="213" spans="1:49" ht="15.75" customHeight="1">
      <c r="A213" s="23"/>
      <c r="B213" s="59"/>
      <c r="C213" s="143"/>
      <c r="D213" s="76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5"/>
      <c r="AV213" s="23"/>
      <c r="AW213" s="25"/>
    </row>
    <row r="214" spans="1:49" ht="15.75" customHeight="1">
      <c r="A214" s="23"/>
      <c r="B214" s="59"/>
      <c r="C214" s="143"/>
      <c r="D214" s="76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5"/>
      <c r="AV214" s="23"/>
      <c r="AW214" s="25"/>
    </row>
    <row r="215" spans="1:49" ht="15.75" customHeight="1">
      <c r="A215" s="23"/>
      <c r="B215" s="59"/>
      <c r="C215" s="143"/>
      <c r="D215" s="7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5"/>
      <c r="AV215" s="23"/>
      <c r="AW215" s="25"/>
    </row>
    <row r="216" spans="1:49" ht="15.75" customHeight="1">
      <c r="A216" s="23"/>
      <c r="B216" s="59"/>
      <c r="C216" s="143"/>
      <c r="D216" s="7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5"/>
      <c r="AV216" s="23"/>
      <c r="AW216" s="25"/>
    </row>
    <row r="217" spans="1:49" ht="15.75" customHeight="1">
      <c r="A217" s="23"/>
      <c r="B217" s="59"/>
      <c r="C217" s="143"/>
      <c r="D217" s="76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5"/>
      <c r="AV217" s="23"/>
      <c r="AW217" s="25"/>
    </row>
    <row r="218" spans="1:49" ht="15.75" customHeight="1">
      <c r="A218" s="23"/>
      <c r="B218" s="59"/>
      <c r="C218" s="143"/>
      <c r="D218" s="7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5"/>
      <c r="AV218" s="23"/>
      <c r="AW218" s="25"/>
    </row>
    <row r="219" spans="1:49" ht="15.75" customHeight="1">
      <c r="A219" s="23"/>
      <c r="B219" s="59"/>
      <c r="C219" s="143"/>
      <c r="D219" s="7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5"/>
      <c r="AV219" s="23"/>
      <c r="AW219" s="25"/>
    </row>
    <row r="220" spans="1:49" ht="15.75" customHeight="1">
      <c r="A220" s="23"/>
      <c r="B220" s="59"/>
      <c r="C220" s="143"/>
      <c r="D220" s="76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5"/>
      <c r="AV220" s="23"/>
      <c r="AW220" s="25"/>
    </row>
    <row r="221" spans="1:49" ht="15.75" customHeight="1">
      <c r="A221" s="23"/>
      <c r="B221" s="59"/>
      <c r="C221" s="143"/>
      <c r="D221" s="7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5"/>
      <c r="AV221" s="23"/>
      <c r="AW221" s="25"/>
    </row>
    <row r="222" spans="1:49" ht="15.75" customHeight="1">
      <c r="A222" s="23"/>
      <c r="B222" s="59"/>
      <c r="C222" s="143"/>
      <c r="D222" s="7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5"/>
      <c r="AV222" s="23"/>
      <c r="AW222" s="25"/>
    </row>
    <row r="223" spans="1:49" ht="15.75" customHeight="1">
      <c r="A223" s="23"/>
      <c r="B223" s="59"/>
      <c r="C223" s="143"/>
      <c r="D223" s="7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5"/>
      <c r="AV223" s="23"/>
      <c r="AW223" s="25"/>
    </row>
    <row r="224" spans="1:49" ht="15.75" customHeight="1">
      <c r="A224" s="23"/>
      <c r="B224" s="59"/>
      <c r="C224" s="143"/>
      <c r="D224" s="7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5"/>
      <c r="AV224" s="23"/>
      <c r="AW224" s="25"/>
    </row>
    <row r="225" spans="1:49" ht="15.75" customHeight="1">
      <c r="A225" s="23"/>
      <c r="B225" s="59"/>
      <c r="C225" s="143"/>
      <c r="D225" s="7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5"/>
      <c r="AV225" s="23"/>
      <c r="AW225" s="25"/>
    </row>
    <row r="226" spans="1:49" ht="15.75" customHeight="1">
      <c r="A226" s="23"/>
      <c r="B226" s="59"/>
      <c r="C226" s="143"/>
      <c r="D226" s="76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5"/>
      <c r="AV226" s="23"/>
      <c r="AW226" s="25"/>
    </row>
    <row r="227" spans="1:49" ht="15.75" customHeight="1">
      <c r="A227" s="23"/>
      <c r="B227" s="59"/>
      <c r="C227" s="143"/>
      <c r="D227" s="76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5"/>
      <c r="AV227" s="23"/>
      <c r="AW227" s="25"/>
    </row>
    <row r="228" spans="1:49" ht="15.75" customHeight="1">
      <c r="A228" s="23"/>
      <c r="B228" s="59"/>
      <c r="C228" s="143"/>
      <c r="D228" s="76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5"/>
      <c r="AV228" s="23"/>
      <c r="AW228" s="25"/>
    </row>
    <row r="229" spans="1:49" ht="15.75" customHeight="1">
      <c r="A229" s="23"/>
      <c r="B229" s="59"/>
      <c r="C229" s="143"/>
      <c r="D229" s="76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5"/>
      <c r="AV229" s="23"/>
      <c r="AW229" s="25"/>
    </row>
    <row r="230" spans="1:49" ht="15.75" customHeight="1">
      <c r="A230" s="23"/>
      <c r="B230" s="59"/>
      <c r="C230" s="143"/>
      <c r="D230" s="76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5"/>
      <c r="AV230" s="23"/>
      <c r="AW230" s="25"/>
    </row>
    <row r="231" spans="1:49" ht="15.75" customHeight="1">
      <c r="A231" s="23"/>
      <c r="B231" s="59"/>
      <c r="C231" s="143"/>
      <c r="D231" s="76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5"/>
      <c r="AV231" s="23"/>
      <c r="AW231" s="25"/>
    </row>
    <row r="232" spans="1:49" ht="15.75" customHeight="1">
      <c r="A232" s="23"/>
      <c r="B232" s="59"/>
      <c r="C232" s="143"/>
      <c r="D232" s="76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5"/>
      <c r="AV232" s="23"/>
      <c r="AW232" s="25"/>
    </row>
    <row r="233" spans="1:49" ht="15.75" customHeight="1">
      <c r="A233" s="23"/>
      <c r="B233" s="59"/>
      <c r="C233" s="143"/>
      <c r="D233" s="76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5"/>
      <c r="AV233" s="23"/>
      <c r="AW233" s="25"/>
    </row>
    <row r="234" spans="1:49" ht="15.75" customHeight="1">
      <c r="A234" s="23"/>
      <c r="B234" s="59"/>
      <c r="C234" s="143"/>
      <c r="D234" s="76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5"/>
      <c r="AV234" s="23"/>
      <c r="AW234" s="25"/>
    </row>
    <row r="235" spans="1:49" ht="15.75" customHeight="1">
      <c r="A235" s="23"/>
      <c r="B235" s="59"/>
      <c r="C235" s="143"/>
      <c r="D235" s="7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5"/>
      <c r="AV235" s="23"/>
      <c r="AW235" s="25"/>
    </row>
    <row r="236" spans="1:49" ht="15.75" customHeight="1">
      <c r="A236" s="23"/>
      <c r="B236" s="59"/>
      <c r="C236" s="143"/>
      <c r="D236" s="76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5"/>
      <c r="AV236" s="23"/>
      <c r="AW236" s="25"/>
    </row>
    <row r="237" spans="1:49" ht="15.75" customHeight="1">
      <c r="A237" s="23"/>
      <c r="B237" s="59"/>
      <c r="C237" s="143"/>
      <c r="D237" s="76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5"/>
      <c r="AV237" s="23"/>
      <c r="AW237" s="25"/>
    </row>
    <row r="238" spans="1:49" ht="15.75" customHeight="1">
      <c r="A238" s="23"/>
      <c r="B238" s="59"/>
      <c r="C238" s="143"/>
      <c r="D238" s="76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5"/>
      <c r="AV238" s="23"/>
      <c r="AW238" s="25"/>
    </row>
    <row r="239" spans="1:49" ht="15.75" customHeight="1">
      <c r="A239" s="23"/>
      <c r="B239" s="59"/>
      <c r="C239" s="143"/>
      <c r="D239" s="76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5"/>
      <c r="AV239" s="23"/>
      <c r="AW239" s="25"/>
    </row>
    <row r="240" spans="1:49" ht="15.75" customHeight="1">
      <c r="A240" s="23"/>
      <c r="B240" s="59"/>
      <c r="C240" s="143"/>
      <c r="D240" s="76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5"/>
      <c r="AV240" s="23"/>
      <c r="AW240" s="25"/>
    </row>
    <row r="241" spans="1:49" ht="15.75" customHeight="1">
      <c r="A241" s="23"/>
      <c r="B241" s="59"/>
      <c r="C241" s="143"/>
      <c r="D241" s="76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5"/>
      <c r="AV241" s="23"/>
      <c r="AW241" s="25"/>
    </row>
    <row r="242" spans="1:49" ht="15.75" customHeight="1">
      <c r="A242" s="23"/>
      <c r="B242" s="59"/>
      <c r="C242" s="143"/>
      <c r="D242" s="7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5"/>
      <c r="AV242" s="23"/>
      <c r="AW242" s="25"/>
    </row>
    <row r="243" spans="1:49" ht="15.75" customHeight="1">
      <c r="A243" s="23"/>
      <c r="B243" s="59"/>
      <c r="C243" s="143"/>
      <c r="D243" s="76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5"/>
      <c r="AV243" s="23"/>
      <c r="AW243" s="25"/>
    </row>
    <row r="244" spans="1:49" ht="15.75" customHeight="1">
      <c r="A244" s="23"/>
      <c r="B244" s="59"/>
      <c r="C244" s="143"/>
      <c r="D244" s="76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5"/>
      <c r="AV244" s="23"/>
      <c r="AW244" s="25"/>
    </row>
    <row r="245" spans="1:49" ht="15.75" customHeight="1">
      <c r="A245" s="23"/>
      <c r="B245" s="59"/>
      <c r="C245" s="143"/>
      <c r="D245" s="76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5"/>
      <c r="AV245" s="23"/>
      <c r="AW245" s="25"/>
    </row>
    <row r="246" spans="1:49" ht="15.75" customHeight="1">
      <c r="A246" s="23"/>
      <c r="B246" s="59"/>
      <c r="C246" s="143"/>
      <c r="D246" s="76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5"/>
      <c r="AV246" s="23"/>
      <c r="AW246" s="25"/>
    </row>
    <row r="247" spans="1:49" ht="15.75" customHeight="1">
      <c r="A247" s="23"/>
      <c r="B247" s="59"/>
      <c r="C247" s="143"/>
      <c r="D247" s="76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5"/>
      <c r="AV247" s="23"/>
      <c r="AW247" s="25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:B4"/>
    <mergeCell ref="E3:L3"/>
    <mergeCell ref="M3:T3"/>
    <mergeCell ref="U3:Y3"/>
    <mergeCell ref="Z3:AG3"/>
    <mergeCell ref="E40:L44"/>
    <mergeCell ref="M40:T44"/>
    <mergeCell ref="Z40:AG44"/>
    <mergeCell ref="AH3:AM3"/>
    <mergeCell ref="AN3:AU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997"/>
  <sheetViews>
    <sheetView tabSelected="1" zoomScale="94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49" customWidth="1"/>
    <col min="4" max="4" width="4.7109375" style="150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0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06">
        <v>2026</v>
      </c>
      <c r="B2" s="107">
        <v>2</v>
      </c>
      <c r="C2" s="108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188" t="s">
        <v>2</v>
      </c>
      <c r="C3" s="109"/>
      <c r="D3" s="110"/>
      <c r="E3" s="190" t="s">
        <v>3</v>
      </c>
      <c r="F3" s="174"/>
      <c r="G3" s="174"/>
      <c r="H3" s="174"/>
      <c r="I3" s="174"/>
      <c r="J3" s="174"/>
      <c r="K3" s="174"/>
      <c r="L3" s="174"/>
      <c r="M3" s="191" t="s">
        <v>4</v>
      </c>
      <c r="N3" s="174"/>
      <c r="O3" s="174"/>
      <c r="P3" s="174"/>
      <c r="Q3" s="174"/>
      <c r="R3" s="174"/>
      <c r="S3" s="174"/>
      <c r="T3" s="174"/>
      <c r="U3" s="182" t="s">
        <v>5</v>
      </c>
      <c r="V3" s="186"/>
      <c r="W3" s="186"/>
      <c r="X3" s="186"/>
      <c r="Y3" s="187"/>
      <c r="Z3" s="192" t="s">
        <v>6</v>
      </c>
      <c r="AA3" s="174"/>
      <c r="AB3" s="174"/>
      <c r="AC3" s="174"/>
      <c r="AD3" s="174"/>
      <c r="AE3" s="174"/>
      <c r="AF3" s="174"/>
      <c r="AG3" s="174"/>
      <c r="AH3" s="182" t="s">
        <v>60</v>
      </c>
      <c r="AI3" s="183"/>
      <c r="AJ3" s="183"/>
      <c r="AK3" s="183"/>
      <c r="AL3" s="183"/>
      <c r="AM3" s="184"/>
      <c r="AN3" s="185" t="s">
        <v>7</v>
      </c>
      <c r="AO3" s="186"/>
      <c r="AP3" s="186"/>
      <c r="AQ3" s="186"/>
      <c r="AR3" s="186"/>
      <c r="AS3" s="186"/>
      <c r="AT3" s="186"/>
      <c r="AU3" s="187"/>
      <c r="AV3" s="3"/>
      <c r="AW3" s="4"/>
    </row>
    <row r="4" spans="1:50" ht="53.25" customHeight="1" thickBot="1">
      <c r="A4" s="6"/>
      <c r="B4" s="189"/>
      <c r="C4" s="111" t="s">
        <v>8</v>
      </c>
      <c r="D4" s="112" t="s">
        <v>57</v>
      </c>
      <c r="E4" s="11" t="s">
        <v>9</v>
      </c>
      <c r="F4" s="10" t="s">
        <v>10</v>
      </c>
      <c r="G4" s="9" t="s">
        <v>11</v>
      </c>
      <c r="H4" s="11" t="s">
        <v>12</v>
      </c>
      <c r="I4" s="9" t="s">
        <v>13</v>
      </c>
      <c r="J4" s="12" t="s">
        <v>14</v>
      </c>
      <c r="K4" s="10" t="s">
        <v>15</v>
      </c>
      <c r="L4" s="9" t="s">
        <v>16</v>
      </c>
      <c r="M4" s="9" t="s">
        <v>17</v>
      </c>
      <c r="N4" s="13" t="s">
        <v>10</v>
      </c>
      <c r="O4" s="9" t="s">
        <v>11</v>
      </c>
      <c r="P4" s="11" t="s">
        <v>12</v>
      </c>
      <c r="Q4" s="9" t="s">
        <v>13</v>
      </c>
      <c r="R4" s="12" t="s">
        <v>14</v>
      </c>
      <c r="S4" s="10" t="s">
        <v>15</v>
      </c>
      <c r="T4" s="14" t="s">
        <v>16</v>
      </c>
      <c r="U4" s="15" t="s">
        <v>18</v>
      </c>
      <c r="V4" s="16" t="s">
        <v>19</v>
      </c>
      <c r="W4" s="16" t="s">
        <v>20</v>
      </c>
      <c r="X4" s="17" t="s">
        <v>21</v>
      </c>
      <c r="Y4" s="16"/>
      <c r="Z4" s="18" t="s">
        <v>22</v>
      </c>
      <c r="AA4" s="19" t="s">
        <v>10</v>
      </c>
      <c r="AB4" s="9" t="s">
        <v>19</v>
      </c>
      <c r="AC4" s="11" t="s">
        <v>23</v>
      </c>
      <c r="AD4" s="9" t="s">
        <v>20</v>
      </c>
      <c r="AE4" s="12" t="s">
        <v>24</v>
      </c>
      <c r="AF4" s="13" t="s">
        <v>25</v>
      </c>
      <c r="AG4" s="20" t="s">
        <v>16</v>
      </c>
      <c r="AH4" s="15" t="s">
        <v>18</v>
      </c>
      <c r="AI4" s="16" t="s">
        <v>19</v>
      </c>
      <c r="AJ4" s="16" t="s">
        <v>20</v>
      </c>
      <c r="AK4" s="17" t="s">
        <v>21</v>
      </c>
      <c r="AL4" s="16" t="s">
        <v>61</v>
      </c>
      <c r="AM4" s="16" t="s">
        <v>62</v>
      </c>
      <c r="AN4" s="21" t="s">
        <v>26</v>
      </c>
      <c r="AO4" s="21" t="s">
        <v>27</v>
      </c>
      <c r="AP4" s="21" t="s">
        <v>28</v>
      </c>
      <c r="AQ4" s="21" t="s">
        <v>29</v>
      </c>
      <c r="AR4" s="21" t="s">
        <v>30</v>
      </c>
      <c r="AS4" s="21" t="s">
        <v>31</v>
      </c>
      <c r="AT4" s="21" t="s">
        <v>32</v>
      </c>
      <c r="AU4" s="22" t="s">
        <v>33</v>
      </c>
      <c r="AV4" s="3"/>
      <c r="AW4" s="4"/>
    </row>
    <row r="5" spans="1:50" ht="13.5" customHeight="1" thickTop="1">
      <c r="A5" s="103"/>
      <c r="B5" s="194">
        <f>DATE($A$2,$B$2,1)</f>
        <v>46054</v>
      </c>
      <c r="C5" s="195"/>
      <c r="D5" s="114">
        <v>90</v>
      </c>
      <c r="E5" s="115"/>
      <c r="F5" s="116">
        <v>18</v>
      </c>
      <c r="G5" s="117">
        <v>52360</v>
      </c>
      <c r="H5" s="118">
        <f t="shared" ref="H5:H32" si="0">ROUNDDOWN(G5/1.1,0)/F5</f>
        <v>2644.4444444444443</v>
      </c>
      <c r="I5" s="117">
        <v>11030</v>
      </c>
      <c r="J5" s="119">
        <f t="shared" ref="J5:J32" si="1">ROUNDDOWN(I5/1.1,0)/F5</f>
        <v>557.05555555555554</v>
      </c>
      <c r="K5" s="120">
        <f t="shared" ref="K5:K32" si="2">G5+I5</f>
        <v>63390</v>
      </c>
      <c r="L5" s="121">
        <f t="shared" ref="L5:L32" si="3">IF(F5="","",K5/F5)</f>
        <v>3521.6666666666665</v>
      </c>
      <c r="M5" s="122"/>
      <c r="N5" s="123">
        <f>AN5-F5</f>
        <v>38</v>
      </c>
      <c r="O5" s="124">
        <f>AO5-G5</f>
        <v>401280</v>
      </c>
      <c r="P5" s="118">
        <f t="shared" ref="P5:P32" si="4">ROUNDDOWN(O5/1.1,0)/N5</f>
        <v>9600</v>
      </c>
      <c r="Q5" s="124">
        <f>AP5-I5</f>
        <v>67450</v>
      </c>
      <c r="R5" s="119">
        <f t="shared" ref="R5:R32" si="5">ROUNDDOWN(Q5/1.1,0)/N5</f>
        <v>1613.6315789473683</v>
      </c>
      <c r="S5" s="125">
        <f>O5+Q5</f>
        <v>468730</v>
      </c>
      <c r="T5" s="121">
        <f t="shared" ref="T5:T32" si="6">IF(N5="","",S5/N5)</f>
        <v>12335</v>
      </c>
      <c r="U5" s="126">
        <f t="shared" ref="U5:V20" si="7">F5+N5</f>
        <v>56</v>
      </c>
      <c r="V5" s="124">
        <f t="shared" si="7"/>
        <v>453640</v>
      </c>
      <c r="W5" s="124">
        <f t="shared" ref="W5:W32" si="8">I5+Q5</f>
        <v>78480</v>
      </c>
      <c r="X5" s="127">
        <f>K5+S5</f>
        <v>532120</v>
      </c>
      <c r="Y5" s="124">
        <f t="shared" ref="Y5:Y32" si="9">IF(U5="","",X5/U5)</f>
        <v>9502.1428571428569</v>
      </c>
      <c r="Z5" s="128"/>
      <c r="AA5" s="129">
        <v>119</v>
      </c>
      <c r="AB5" s="117">
        <v>75600</v>
      </c>
      <c r="AC5" s="118">
        <f t="shared" ref="AC5:AC32" si="10">AB5/AA5</f>
        <v>635.29411764705878</v>
      </c>
      <c r="AD5" s="117">
        <v>37390</v>
      </c>
      <c r="AE5" s="119">
        <f t="shared" ref="AE5:AE32" si="11">AD5/AA5</f>
        <v>314.20168067226894</v>
      </c>
      <c r="AF5" s="130">
        <f t="shared" ref="AF5:AF32" si="12">AB5+AD5</f>
        <v>112990</v>
      </c>
      <c r="AG5" s="121">
        <f t="shared" ref="AG5:AG32" si="13">IF(AA5="","",AF5/AA5)</f>
        <v>949.49579831932772</v>
      </c>
      <c r="AH5" s="126">
        <f t="shared" ref="AH5:AH32" si="14">SUM(F5,N5)</f>
        <v>56</v>
      </c>
      <c r="AI5" s="124">
        <f t="shared" ref="AI5:AI32" si="15">V5+AB5</f>
        <v>529240</v>
      </c>
      <c r="AJ5" s="124">
        <f t="shared" ref="AJ5:AJ32" si="16">W5+AD5</f>
        <v>115870</v>
      </c>
      <c r="AK5" s="131">
        <f>X5+AF5</f>
        <v>645110</v>
      </c>
      <c r="AL5" s="124">
        <f t="shared" ref="AL5:AL32" si="17">AQ5+AR5+AS5</f>
        <v>54810</v>
      </c>
      <c r="AM5" s="124"/>
      <c r="AN5" s="132">
        <v>56</v>
      </c>
      <c r="AO5" s="132">
        <v>453640</v>
      </c>
      <c r="AP5" s="132">
        <v>78480</v>
      </c>
      <c r="AQ5" s="133">
        <v>50600</v>
      </c>
      <c r="AR5" s="133">
        <v>4210</v>
      </c>
      <c r="AS5" s="133"/>
      <c r="AT5" s="133">
        <v>4400</v>
      </c>
      <c r="AU5" s="134">
        <f t="shared" ref="AU5:AU32" si="18">SUM(AO5:AS5)</f>
        <v>586930</v>
      </c>
      <c r="AV5" s="103">
        <v>1</v>
      </c>
      <c r="AW5" s="104">
        <f>AT5+AU5</f>
        <v>591330</v>
      </c>
      <c r="AX5" s="156">
        <f>AU5+AF5+AM5+AT5</f>
        <v>704320</v>
      </c>
    </row>
    <row r="6" spans="1:50" ht="13.5" customHeight="1">
      <c r="A6" s="103"/>
      <c r="B6" s="151">
        <f t="shared" ref="B6:B32" si="19">B5+1</f>
        <v>46055</v>
      </c>
      <c r="C6" s="195" t="s">
        <v>66</v>
      </c>
      <c r="D6" s="114">
        <v>99</v>
      </c>
      <c r="E6" s="115"/>
      <c r="F6" s="116"/>
      <c r="G6" s="117"/>
      <c r="H6" s="118" t="e">
        <f t="shared" si="0"/>
        <v>#DIV/0!</v>
      </c>
      <c r="I6" s="117"/>
      <c r="J6" s="119" t="e">
        <f t="shared" si="1"/>
        <v>#DIV/0!</v>
      </c>
      <c r="K6" s="120">
        <f t="shared" si="2"/>
        <v>0</v>
      </c>
      <c r="L6" s="121" t="str">
        <f t="shared" si="3"/>
        <v/>
      </c>
      <c r="M6" s="122"/>
      <c r="N6" s="123">
        <f t="shared" ref="N6:O21" si="20">AN6-F6</f>
        <v>31</v>
      </c>
      <c r="O6" s="124">
        <f t="shared" si="20"/>
        <v>298540</v>
      </c>
      <c r="P6" s="118">
        <f t="shared" si="4"/>
        <v>8754.8387096774186</v>
      </c>
      <c r="Q6" s="124">
        <f t="shared" ref="Q6:Q32" si="21">AP6-I6</f>
        <v>49690</v>
      </c>
      <c r="R6" s="119">
        <f t="shared" si="5"/>
        <v>1457.1612903225807</v>
      </c>
      <c r="S6" s="125">
        <f t="shared" ref="S6:S32" si="22">O6+Q6</f>
        <v>348230</v>
      </c>
      <c r="T6" s="121">
        <f t="shared" si="6"/>
        <v>11233.225806451614</v>
      </c>
      <c r="U6" s="126">
        <f t="shared" si="7"/>
        <v>31</v>
      </c>
      <c r="V6" s="124">
        <f t="shared" si="7"/>
        <v>298540</v>
      </c>
      <c r="W6" s="124">
        <f t="shared" si="8"/>
        <v>49690</v>
      </c>
      <c r="X6" s="127">
        <f t="shared" ref="X6:X32" si="23">K6+S6</f>
        <v>348230</v>
      </c>
      <c r="Y6" s="124">
        <f t="shared" si="9"/>
        <v>11233.225806451614</v>
      </c>
      <c r="Z6" s="128"/>
      <c r="AA6" s="129">
        <v>108</v>
      </c>
      <c r="AB6" s="117">
        <v>73850</v>
      </c>
      <c r="AC6" s="118">
        <f t="shared" si="10"/>
        <v>683.7962962962963</v>
      </c>
      <c r="AD6" s="117">
        <v>38150</v>
      </c>
      <c r="AE6" s="119">
        <f t="shared" si="11"/>
        <v>353.24074074074076</v>
      </c>
      <c r="AF6" s="130">
        <f t="shared" si="12"/>
        <v>112000</v>
      </c>
      <c r="AG6" s="121">
        <f t="shared" si="13"/>
        <v>1037.037037037037</v>
      </c>
      <c r="AH6" s="126">
        <f t="shared" si="14"/>
        <v>31</v>
      </c>
      <c r="AI6" s="124">
        <f t="shared" si="15"/>
        <v>372390</v>
      </c>
      <c r="AJ6" s="124">
        <f t="shared" si="16"/>
        <v>87840</v>
      </c>
      <c r="AK6" s="131">
        <f t="shared" ref="AK6:AK32" si="24">X6+AF6</f>
        <v>460230</v>
      </c>
      <c r="AL6" s="124">
        <f t="shared" si="17"/>
        <v>52760</v>
      </c>
      <c r="AM6" s="124"/>
      <c r="AN6" s="132">
        <v>31</v>
      </c>
      <c r="AO6" s="132">
        <v>298540</v>
      </c>
      <c r="AP6" s="132">
        <v>49690</v>
      </c>
      <c r="AQ6" s="133">
        <v>46200</v>
      </c>
      <c r="AR6" s="133">
        <v>6560</v>
      </c>
      <c r="AS6" s="133"/>
      <c r="AT6" s="133"/>
      <c r="AU6" s="134">
        <f t="shared" si="18"/>
        <v>400990</v>
      </c>
      <c r="AV6" s="103">
        <v>2</v>
      </c>
      <c r="AW6" s="104">
        <f t="shared" ref="AW6:AW32" si="25">AT6+AU6</f>
        <v>400990</v>
      </c>
      <c r="AX6" s="156">
        <f t="shared" ref="AX6:AX32" si="26">AU6+AF6+AM6+AT6</f>
        <v>512990</v>
      </c>
    </row>
    <row r="7" spans="1:50" ht="13.5" customHeight="1">
      <c r="A7" s="103"/>
      <c r="B7" s="151">
        <f t="shared" si="19"/>
        <v>46056</v>
      </c>
      <c r="C7" s="195" t="s">
        <v>66</v>
      </c>
      <c r="D7" s="114">
        <v>88</v>
      </c>
      <c r="E7" s="115"/>
      <c r="F7" s="116"/>
      <c r="G7" s="117"/>
      <c r="H7" s="118" t="e">
        <f t="shared" si="0"/>
        <v>#DIV/0!</v>
      </c>
      <c r="I7" s="117"/>
      <c r="J7" s="119" t="e">
        <f t="shared" si="1"/>
        <v>#DIV/0!</v>
      </c>
      <c r="K7" s="120">
        <f t="shared" si="2"/>
        <v>0</v>
      </c>
      <c r="L7" s="121" t="str">
        <f t="shared" si="3"/>
        <v/>
      </c>
      <c r="M7" s="122"/>
      <c r="N7" s="123">
        <f t="shared" si="20"/>
        <v>35</v>
      </c>
      <c r="O7" s="124">
        <f t="shared" si="20"/>
        <v>348190</v>
      </c>
      <c r="P7" s="118">
        <f t="shared" si="4"/>
        <v>9043.8857142857141</v>
      </c>
      <c r="Q7" s="124">
        <f t="shared" si="21"/>
        <v>69610</v>
      </c>
      <c r="R7" s="119">
        <f t="shared" si="5"/>
        <v>1808.0285714285715</v>
      </c>
      <c r="S7" s="125">
        <f t="shared" si="22"/>
        <v>417800</v>
      </c>
      <c r="T7" s="121">
        <f t="shared" si="6"/>
        <v>11937.142857142857</v>
      </c>
      <c r="U7" s="126">
        <f t="shared" si="7"/>
        <v>35</v>
      </c>
      <c r="V7" s="124">
        <f t="shared" si="7"/>
        <v>348190</v>
      </c>
      <c r="W7" s="124">
        <f t="shared" si="8"/>
        <v>69610</v>
      </c>
      <c r="X7" s="127">
        <f t="shared" si="23"/>
        <v>417800</v>
      </c>
      <c r="Y7" s="124">
        <f t="shared" si="9"/>
        <v>11937.142857142857</v>
      </c>
      <c r="Z7" s="128"/>
      <c r="AA7" s="129">
        <v>167</v>
      </c>
      <c r="AB7" s="117">
        <v>107600</v>
      </c>
      <c r="AC7" s="118">
        <f t="shared" si="10"/>
        <v>644.31137724550899</v>
      </c>
      <c r="AD7" s="117">
        <v>50580</v>
      </c>
      <c r="AE7" s="119">
        <f t="shared" si="11"/>
        <v>302.87425149700601</v>
      </c>
      <c r="AF7" s="130">
        <f t="shared" si="12"/>
        <v>158180</v>
      </c>
      <c r="AG7" s="121">
        <f t="shared" si="13"/>
        <v>947.18562874251495</v>
      </c>
      <c r="AH7" s="126">
        <f t="shared" si="14"/>
        <v>35</v>
      </c>
      <c r="AI7" s="124">
        <f t="shared" si="15"/>
        <v>455790</v>
      </c>
      <c r="AJ7" s="124">
        <f t="shared" si="16"/>
        <v>120190</v>
      </c>
      <c r="AK7" s="131">
        <f t="shared" si="24"/>
        <v>575980</v>
      </c>
      <c r="AL7" s="124">
        <f t="shared" si="17"/>
        <v>47000</v>
      </c>
      <c r="AM7" s="124"/>
      <c r="AN7" s="132">
        <v>35</v>
      </c>
      <c r="AO7" s="132">
        <v>348190</v>
      </c>
      <c r="AP7" s="132">
        <v>69610</v>
      </c>
      <c r="AQ7" s="133">
        <v>44000</v>
      </c>
      <c r="AR7" s="133">
        <v>3000</v>
      </c>
      <c r="AS7" s="133"/>
      <c r="AT7" s="133">
        <v>5500</v>
      </c>
      <c r="AU7" s="134">
        <f t="shared" si="18"/>
        <v>464800</v>
      </c>
      <c r="AV7" s="103">
        <v>3</v>
      </c>
      <c r="AW7" s="104">
        <f t="shared" si="25"/>
        <v>470300</v>
      </c>
      <c r="AX7" s="156">
        <f t="shared" si="26"/>
        <v>628480</v>
      </c>
    </row>
    <row r="8" spans="1:50" ht="13.5" customHeight="1">
      <c r="A8" s="103"/>
      <c r="B8" s="151">
        <f t="shared" si="19"/>
        <v>46057</v>
      </c>
      <c r="C8" s="195" t="s">
        <v>66</v>
      </c>
      <c r="D8" s="114">
        <v>95</v>
      </c>
      <c r="E8" s="115"/>
      <c r="F8" s="116"/>
      <c r="G8" s="117"/>
      <c r="H8" s="118" t="e">
        <f t="shared" si="0"/>
        <v>#DIV/0!</v>
      </c>
      <c r="I8" s="117"/>
      <c r="J8" s="119" t="e">
        <f t="shared" si="1"/>
        <v>#DIV/0!</v>
      </c>
      <c r="K8" s="120">
        <f t="shared" si="2"/>
        <v>0</v>
      </c>
      <c r="L8" s="121" t="str">
        <f t="shared" si="3"/>
        <v/>
      </c>
      <c r="M8" s="122"/>
      <c r="N8" s="123">
        <f t="shared" si="20"/>
        <v>32</v>
      </c>
      <c r="O8" s="124">
        <f t="shared" si="20"/>
        <v>315370</v>
      </c>
      <c r="P8" s="118">
        <f t="shared" si="4"/>
        <v>8959.375</v>
      </c>
      <c r="Q8" s="124">
        <f t="shared" si="21"/>
        <v>82300</v>
      </c>
      <c r="R8" s="119">
        <f t="shared" si="5"/>
        <v>2338.0625</v>
      </c>
      <c r="S8" s="125">
        <f t="shared" si="22"/>
        <v>397670</v>
      </c>
      <c r="T8" s="121">
        <f t="shared" si="6"/>
        <v>12427.1875</v>
      </c>
      <c r="U8" s="126">
        <f t="shared" si="7"/>
        <v>32</v>
      </c>
      <c r="V8" s="124">
        <f t="shared" si="7"/>
        <v>315370</v>
      </c>
      <c r="W8" s="124">
        <f t="shared" si="8"/>
        <v>82300</v>
      </c>
      <c r="X8" s="127">
        <f t="shared" si="23"/>
        <v>397670</v>
      </c>
      <c r="Y8" s="124">
        <f t="shared" si="9"/>
        <v>12427.1875</v>
      </c>
      <c r="Z8" s="128"/>
      <c r="AA8" s="129">
        <v>156</v>
      </c>
      <c r="AB8" s="117">
        <v>111950</v>
      </c>
      <c r="AC8" s="118">
        <f t="shared" si="10"/>
        <v>717.62820512820508</v>
      </c>
      <c r="AD8" s="117">
        <v>51510</v>
      </c>
      <c r="AE8" s="119">
        <f t="shared" si="11"/>
        <v>330.19230769230768</v>
      </c>
      <c r="AF8" s="130">
        <f t="shared" si="12"/>
        <v>163460</v>
      </c>
      <c r="AG8" s="121">
        <f t="shared" si="13"/>
        <v>1047.8205128205129</v>
      </c>
      <c r="AH8" s="126">
        <f t="shared" si="14"/>
        <v>32</v>
      </c>
      <c r="AI8" s="124">
        <f t="shared" si="15"/>
        <v>427320</v>
      </c>
      <c r="AJ8" s="124">
        <f t="shared" si="16"/>
        <v>133810</v>
      </c>
      <c r="AK8" s="137">
        <f t="shared" si="24"/>
        <v>561130</v>
      </c>
      <c r="AL8" s="124">
        <f t="shared" si="17"/>
        <v>43250</v>
      </c>
      <c r="AM8" s="124">
        <v>800</v>
      </c>
      <c r="AN8" s="132">
        <v>32</v>
      </c>
      <c r="AO8" s="132">
        <v>315370</v>
      </c>
      <c r="AP8" s="132">
        <v>82300</v>
      </c>
      <c r="AQ8" s="133">
        <v>39600</v>
      </c>
      <c r="AR8" s="133">
        <v>3650</v>
      </c>
      <c r="AS8" s="133"/>
      <c r="AT8" s="133"/>
      <c r="AU8" s="134">
        <f t="shared" si="18"/>
        <v>440920</v>
      </c>
      <c r="AV8" s="103">
        <v>4</v>
      </c>
      <c r="AW8" s="104">
        <f t="shared" si="25"/>
        <v>440920</v>
      </c>
      <c r="AX8" s="156">
        <f t="shared" si="26"/>
        <v>605180</v>
      </c>
    </row>
    <row r="9" spans="1:50" ht="13.5" customHeight="1">
      <c r="A9" s="103"/>
      <c r="B9" s="151">
        <f t="shared" si="19"/>
        <v>46058</v>
      </c>
      <c r="C9" s="195" t="s">
        <v>66</v>
      </c>
      <c r="D9" s="114">
        <v>90</v>
      </c>
      <c r="E9" s="115"/>
      <c r="F9" s="116"/>
      <c r="G9" s="117"/>
      <c r="H9" s="118" t="e">
        <f t="shared" si="0"/>
        <v>#DIV/0!</v>
      </c>
      <c r="I9" s="117"/>
      <c r="J9" s="119" t="e">
        <f t="shared" si="1"/>
        <v>#DIV/0!</v>
      </c>
      <c r="K9" s="120">
        <f t="shared" si="2"/>
        <v>0</v>
      </c>
      <c r="L9" s="121" t="str">
        <f t="shared" si="3"/>
        <v/>
      </c>
      <c r="M9" s="122"/>
      <c r="N9" s="123">
        <f t="shared" si="20"/>
        <v>32</v>
      </c>
      <c r="O9" s="124">
        <f t="shared" si="20"/>
        <v>267190</v>
      </c>
      <c r="P9" s="118">
        <f t="shared" si="4"/>
        <v>7590.625</v>
      </c>
      <c r="Q9" s="124">
        <f t="shared" si="21"/>
        <v>37860</v>
      </c>
      <c r="R9" s="119">
        <f t="shared" si="5"/>
        <v>1075.5625</v>
      </c>
      <c r="S9" s="125">
        <f t="shared" si="22"/>
        <v>305050</v>
      </c>
      <c r="T9" s="121">
        <f t="shared" si="6"/>
        <v>9532.8125</v>
      </c>
      <c r="U9" s="126">
        <f t="shared" si="7"/>
        <v>32</v>
      </c>
      <c r="V9" s="124">
        <f t="shared" si="7"/>
        <v>267190</v>
      </c>
      <c r="W9" s="124">
        <f t="shared" si="8"/>
        <v>37860</v>
      </c>
      <c r="X9" s="127">
        <f t="shared" si="23"/>
        <v>305050</v>
      </c>
      <c r="Y9" s="124">
        <f t="shared" si="9"/>
        <v>9532.8125</v>
      </c>
      <c r="Z9" s="128"/>
      <c r="AA9" s="129">
        <v>230</v>
      </c>
      <c r="AB9" s="117">
        <v>165100</v>
      </c>
      <c r="AC9" s="118">
        <f t="shared" si="10"/>
        <v>717.82608695652175</v>
      </c>
      <c r="AD9" s="117">
        <v>77290</v>
      </c>
      <c r="AE9" s="119">
        <f t="shared" si="11"/>
        <v>336.04347826086956</v>
      </c>
      <c r="AF9" s="130">
        <f t="shared" si="12"/>
        <v>242390</v>
      </c>
      <c r="AG9" s="121">
        <f t="shared" si="13"/>
        <v>1053.8695652173913</v>
      </c>
      <c r="AH9" s="126">
        <f t="shared" si="14"/>
        <v>32</v>
      </c>
      <c r="AI9" s="124">
        <f t="shared" si="15"/>
        <v>432290</v>
      </c>
      <c r="AJ9" s="124">
        <f t="shared" si="16"/>
        <v>115150</v>
      </c>
      <c r="AK9" s="131">
        <f t="shared" si="24"/>
        <v>547440</v>
      </c>
      <c r="AL9" s="124">
        <f t="shared" si="17"/>
        <v>38500</v>
      </c>
      <c r="AM9" s="124">
        <v>400</v>
      </c>
      <c r="AN9" s="132">
        <v>32</v>
      </c>
      <c r="AO9" s="132">
        <v>267190</v>
      </c>
      <c r="AP9" s="132">
        <v>37860</v>
      </c>
      <c r="AQ9" s="133">
        <v>27500</v>
      </c>
      <c r="AR9" s="133">
        <v>11000</v>
      </c>
      <c r="AS9" s="133"/>
      <c r="AT9" s="133"/>
      <c r="AU9" s="134">
        <f t="shared" si="18"/>
        <v>343550</v>
      </c>
      <c r="AV9" s="103">
        <v>5</v>
      </c>
      <c r="AW9" s="104">
        <f t="shared" si="25"/>
        <v>343550</v>
      </c>
      <c r="AX9" s="156">
        <f t="shared" si="26"/>
        <v>586340</v>
      </c>
    </row>
    <row r="10" spans="1:50" ht="13.5" customHeight="1">
      <c r="A10" s="103"/>
      <c r="B10" s="151">
        <f t="shared" si="19"/>
        <v>46059</v>
      </c>
      <c r="C10" s="195" t="s">
        <v>66</v>
      </c>
      <c r="D10" s="114">
        <v>28</v>
      </c>
      <c r="E10" s="115"/>
      <c r="F10" s="116"/>
      <c r="G10" s="117"/>
      <c r="H10" s="118" t="e">
        <f t="shared" si="0"/>
        <v>#DIV/0!</v>
      </c>
      <c r="I10" s="117"/>
      <c r="J10" s="119" t="e">
        <f t="shared" si="1"/>
        <v>#DIV/0!</v>
      </c>
      <c r="K10" s="120">
        <f t="shared" si="2"/>
        <v>0</v>
      </c>
      <c r="L10" s="121" t="str">
        <f t="shared" si="3"/>
        <v/>
      </c>
      <c r="M10" s="122"/>
      <c r="N10" s="123">
        <f t="shared" si="20"/>
        <v>38</v>
      </c>
      <c r="O10" s="124">
        <f t="shared" si="20"/>
        <v>360580</v>
      </c>
      <c r="P10" s="118">
        <f t="shared" si="4"/>
        <v>8626.3157894736851</v>
      </c>
      <c r="Q10" s="124">
        <f t="shared" si="21"/>
        <v>70600</v>
      </c>
      <c r="R10" s="119">
        <f t="shared" si="5"/>
        <v>1688.9736842105262</v>
      </c>
      <c r="S10" s="125">
        <f t="shared" si="22"/>
        <v>431180</v>
      </c>
      <c r="T10" s="121">
        <f t="shared" si="6"/>
        <v>11346.842105263158</v>
      </c>
      <c r="U10" s="126">
        <f t="shared" si="7"/>
        <v>38</v>
      </c>
      <c r="V10" s="124">
        <f t="shared" si="7"/>
        <v>360580</v>
      </c>
      <c r="W10" s="124">
        <f t="shared" si="8"/>
        <v>70600</v>
      </c>
      <c r="X10" s="127">
        <f t="shared" si="23"/>
        <v>431180</v>
      </c>
      <c r="Y10" s="124">
        <f t="shared" si="9"/>
        <v>11346.842105263158</v>
      </c>
      <c r="Z10" s="128"/>
      <c r="AA10" s="129">
        <v>157</v>
      </c>
      <c r="AB10" s="117">
        <v>100600</v>
      </c>
      <c r="AC10" s="118">
        <f t="shared" si="10"/>
        <v>640.76433121019113</v>
      </c>
      <c r="AD10" s="117">
        <v>48370</v>
      </c>
      <c r="AE10" s="119">
        <f t="shared" si="11"/>
        <v>308.08917197452229</v>
      </c>
      <c r="AF10" s="130">
        <f t="shared" si="12"/>
        <v>148970</v>
      </c>
      <c r="AG10" s="121">
        <f t="shared" si="13"/>
        <v>948.85350318471342</v>
      </c>
      <c r="AH10" s="136">
        <f t="shared" si="14"/>
        <v>38</v>
      </c>
      <c r="AI10" s="124">
        <f t="shared" si="15"/>
        <v>461180</v>
      </c>
      <c r="AJ10" s="124">
        <f t="shared" si="16"/>
        <v>118970</v>
      </c>
      <c r="AK10" s="131">
        <f t="shared" si="24"/>
        <v>580150</v>
      </c>
      <c r="AL10" s="124">
        <f t="shared" si="17"/>
        <v>46460</v>
      </c>
      <c r="AM10" s="124"/>
      <c r="AN10" s="132">
        <v>38</v>
      </c>
      <c r="AO10" s="132">
        <v>360580</v>
      </c>
      <c r="AP10" s="132">
        <v>70600</v>
      </c>
      <c r="AQ10" s="133">
        <v>42900</v>
      </c>
      <c r="AR10" s="133">
        <v>3560</v>
      </c>
      <c r="AS10" s="133"/>
      <c r="AT10" s="133"/>
      <c r="AU10" s="134">
        <f t="shared" si="18"/>
        <v>477640</v>
      </c>
      <c r="AV10" s="103">
        <v>6</v>
      </c>
      <c r="AW10" s="104">
        <f t="shared" si="25"/>
        <v>477640</v>
      </c>
      <c r="AX10" s="156">
        <f t="shared" si="26"/>
        <v>626610</v>
      </c>
    </row>
    <row r="11" spans="1:50" ht="13.5" customHeight="1">
      <c r="A11" s="103"/>
      <c r="B11" s="138">
        <f t="shared" si="19"/>
        <v>46060</v>
      </c>
      <c r="C11" s="195"/>
      <c r="D11" s="114">
        <v>96</v>
      </c>
      <c r="E11" s="115"/>
      <c r="F11" s="116">
        <v>15</v>
      </c>
      <c r="G11" s="117">
        <v>41932</v>
      </c>
      <c r="H11" s="118">
        <f t="shared" si="0"/>
        <v>2541.3333333333335</v>
      </c>
      <c r="I11" s="117">
        <v>16900</v>
      </c>
      <c r="J11" s="119">
        <f t="shared" si="1"/>
        <v>1024.2</v>
      </c>
      <c r="K11" s="120">
        <f t="shared" si="2"/>
        <v>58832</v>
      </c>
      <c r="L11" s="121">
        <f t="shared" si="3"/>
        <v>3922.1333333333332</v>
      </c>
      <c r="M11" s="122"/>
      <c r="N11" s="123">
        <f t="shared" si="20"/>
        <v>38</v>
      </c>
      <c r="O11" s="124">
        <f t="shared" si="20"/>
        <v>343530</v>
      </c>
      <c r="P11" s="118">
        <f t="shared" si="4"/>
        <v>8218.4210526315783</v>
      </c>
      <c r="Q11" s="124">
        <f t="shared" si="21"/>
        <v>64090</v>
      </c>
      <c r="R11" s="119">
        <f t="shared" si="5"/>
        <v>1533.2368421052631</v>
      </c>
      <c r="S11" s="125">
        <f t="shared" si="22"/>
        <v>407620</v>
      </c>
      <c r="T11" s="121">
        <f t="shared" si="6"/>
        <v>10726.842105263158</v>
      </c>
      <c r="U11" s="126">
        <f t="shared" si="7"/>
        <v>53</v>
      </c>
      <c r="V11" s="124">
        <f t="shared" si="7"/>
        <v>385462</v>
      </c>
      <c r="W11" s="124">
        <f t="shared" si="8"/>
        <v>80990</v>
      </c>
      <c r="X11" s="127">
        <f t="shared" si="23"/>
        <v>466452</v>
      </c>
      <c r="Y11" s="124">
        <f t="shared" si="9"/>
        <v>8800.9811320754725</v>
      </c>
      <c r="Z11" s="128"/>
      <c r="AA11" s="129">
        <v>216</v>
      </c>
      <c r="AB11" s="117">
        <v>142600</v>
      </c>
      <c r="AC11" s="118">
        <f t="shared" si="10"/>
        <v>660.18518518518522</v>
      </c>
      <c r="AD11" s="117">
        <v>79380</v>
      </c>
      <c r="AE11" s="119">
        <f t="shared" si="11"/>
        <v>367.5</v>
      </c>
      <c r="AF11" s="130">
        <f t="shared" si="12"/>
        <v>221980</v>
      </c>
      <c r="AG11" s="121">
        <f t="shared" si="13"/>
        <v>1027.6851851851852</v>
      </c>
      <c r="AH11" s="136">
        <f t="shared" si="14"/>
        <v>53</v>
      </c>
      <c r="AI11" s="124">
        <f t="shared" si="15"/>
        <v>528062</v>
      </c>
      <c r="AJ11" s="124">
        <f t="shared" si="16"/>
        <v>160370</v>
      </c>
      <c r="AK11" s="131">
        <f t="shared" si="24"/>
        <v>688432</v>
      </c>
      <c r="AL11" s="124">
        <f t="shared" si="17"/>
        <v>53600</v>
      </c>
      <c r="AM11" s="124"/>
      <c r="AN11" s="132">
        <v>53</v>
      </c>
      <c r="AO11" s="132">
        <v>385462</v>
      </c>
      <c r="AP11" s="132">
        <v>80990</v>
      </c>
      <c r="AQ11" s="133">
        <v>50600</v>
      </c>
      <c r="AR11" s="133">
        <v>3000</v>
      </c>
      <c r="AS11" s="133"/>
      <c r="AT11" s="133"/>
      <c r="AU11" s="134">
        <f t="shared" si="18"/>
        <v>520052</v>
      </c>
      <c r="AV11" s="103">
        <v>7</v>
      </c>
      <c r="AW11" s="104">
        <f t="shared" si="25"/>
        <v>520052</v>
      </c>
      <c r="AX11" s="156">
        <f t="shared" si="26"/>
        <v>742032</v>
      </c>
    </row>
    <row r="12" spans="1:50" ht="13.5" customHeight="1">
      <c r="A12" s="103"/>
      <c r="B12" s="139">
        <f t="shared" si="19"/>
        <v>46061</v>
      </c>
      <c r="C12" s="195"/>
      <c r="D12" s="114">
        <v>48</v>
      </c>
      <c r="E12" s="115"/>
      <c r="F12" s="116">
        <v>5</v>
      </c>
      <c r="G12" s="117">
        <v>20460</v>
      </c>
      <c r="H12" s="118">
        <f t="shared" si="0"/>
        <v>3720</v>
      </c>
      <c r="I12" s="117">
        <v>4640</v>
      </c>
      <c r="J12" s="119">
        <f t="shared" si="1"/>
        <v>843.6</v>
      </c>
      <c r="K12" s="120">
        <f t="shared" si="2"/>
        <v>25100</v>
      </c>
      <c r="L12" s="121">
        <f t="shared" si="3"/>
        <v>5020</v>
      </c>
      <c r="M12" s="122"/>
      <c r="N12" s="123">
        <f t="shared" si="20"/>
        <v>32</v>
      </c>
      <c r="O12" s="124">
        <f t="shared" si="20"/>
        <v>263450</v>
      </c>
      <c r="P12" s="118">
        <f t="shared" si="4"/>
        <v>7484.375</v>
      </c>
      <c r="Q12" s="124">
        <f t="shared" si="21"/>
        <v>68320</v>
      </c>
      <c r="R12" s="140">
        <f t="shared" si="5"/>
        <v>1940.90625</v>
      </c>
      <c r="S12" s="125">
        <f t="shared" si="22"/>
        <v>331770</v>
      </c>
      <c r="T12" s="121">
        <f t="shared" si="6"/>
        <v>10367.8125</v>
      </c>
      <c r="U12" s="126">
        <f t="shared" si="7"/>
        <v>37</v>
      </c>
      <c r="V12" s="124">
        <f t="shared" si="7"/>
        <v>283910</v>
      </c>
      <c r="W12" s="124">
        <f t="shared" si="8"/>
        <v>72960</v>
      </c>
      <c r="X12" s="127">
        <f t="shared" si="23"/>
        <v>356870</v>
      </c>
      <c r="Y12" s="124">
        <f t="shared" si="9"/>
        <v>9645.135135135135</v>
      </c>
      <c r="Z12" s="128"/>
      <c r="AA12" s="129">
        <v>140</v>
      </c>
      <c r="AB12" s="117">
        <v>96450</v>
      </c>
      <c r="AC12" s="118">
        <f t="shared" si="10"/>
        <v>688.92857142857144</v>
      </c>
      <c r="AD12" s="117">
        <v>45630</v>
      </c>
      <c r="AE12" s="119">
        <f t="shared" si="11"/>
        <v>325.92857142857144</v>
      </c>
      <c r="AF12" s="130">
        <f t="shared" si="12"/>
        <v>142080</v>
      </c>
      <c r="AG12" s="121">
        <f t="shared" si="13"/>
        <v>1014.8571428571429</v>
      </c>
      <c r="AH12" s="136">
        <f t="shared" si="14"/>
        <v>37</v>
      </c>
      <c r="AI12" s="124">
        <f t="shared" si="15"/>
        <v>380360</v>
      </c>
      <c r="AJ12" s="124">
        <f t="shared" si="16"/>
        <v>118590</v>
      </c>
      <c r="AK12" s="131">
        <f t="shared" si="24"/>
        <v>498950</v>
      </c>
      <c r="AL12" s="124">
        <f t="shared" si="17"/>
        <v>44350</v>
      </c>
      <c r="AM12" s="124"/>
      <c r="AN12" s="132">
        <v>37</v>
      </c>
      <c r="AO12" s="132">
        <v>283910</v>
      </c>
      <c r="AP12" s="132">
        <v>72960</v>
      </c>
      <c r="AQ12" s="133">
        <v>42350</v>
      </c>
      <c r="AR12" s="133">
        <v>2000</v>
      </c>
      <c r="AS12" s="133"/>
      <c r="AT12" s="133"/>
      <c r="AU12" s="134">
        <f t="shared" si="18"/>
        <v>401220</v>
      </c>
      <c r="AV12" s="103">
        <v>8</v>
      </c>
      <c r="AW12" s="104">
        <f t="shared" si="25"/>
        <v>401220</v>
      </c>
      <c r="AX12" s="156">
        <f t="shared" si="26"/>
        <v>543300</v>
      </c>
    </row>
    <row r="13" spans="1:50" ht="13.5" customHeight="1">
      <c r="A13" s="103"/>
      <c r="B13" s="151">
        <f t="shared" si="19"/>
        <v>46062</v>
      </c>
      <c r="C13" s="195" t="s">
        <v>66</v>
      </c>
      <c r="D13" s="114">
        <v>80</v>
      </c>
      <c r="E13" s="115"/>
      <c r="F13" s="116"/>
      <c r="G13" s="117"/>
      <c r="H13" s="118" t="e">
        <f t="shared" si="0"/>
        <v>#DIV/0!</v>
      </c>
      <c r="I13" s="117"/>
      <c r="J13" s="119" t="e">
        <f t="shared" si="1"/>
        <v>#DIV/0!</v>
      </c>
      <c r="K13" s="120">
        <f t="shared" si="2"/>
        <v>0</v>
      </c>
      <c r="L13" s="121" t="str">
        <f t="shared" si="3"/>
        <v/>
      </c>
      <c r="M13" s="122"/>
      <c r="N13" s="123">
        <f t="shared" si="20"/>
        <v>32</v>
      </c>
      <c r="O13" s="124">
        <f t="shared" si="20"/>
        <v>332420</v>
      </c>
      <c r="P13" s="118">
        <f t="shared" si="4"/>
        <v>9443.75</v>
      </c>
      <c r="Q13" s="124">
        <f t="shared" si="21"/>
        <v>38360</v>
      </c>
      <c r="R13" s="119">
        <f t="shared" si="5"/>
        <v>1089.75</v>
      </c>
      <c r="S13" s="125">
        <f t="shared" si="22"/>
        <v>370780</v>
      </c>
      <c r="T13" s="121">
        <f t="shared" si="6"/>
        <v>11586.875</v>
      </c>
      <c r="U13" s="126">
        <f t="shared" si="7"/>
        <v>32</v>
      </c>
      <c r="V13" s="124">
        <f t="shared" si="7"/>
        <v>332420</v>
      </c>
      <c r="W13" s="124">
        <f t="shared" si="8"/>
        <v>38360</v>
      </c>
      <c r="X13" s="127">
        <f t="shared" si="23"/>
        <v>370780</v>
      </c>
      <c r="Y13" s="124">
        <f t="shared" si="9"/>
        <v>11586.875</v>
      </c>
      <c r="Z13" s="128"/>
      <c r="AA13" s="129">
        <v>171</v>
      </c>
      <c r="AB13" s="117">
        <v>128800</v>
      </c>
      <c r="AC13" s="118">
        <f t="shared" si="10"/>
        <v>753.21637426900588</v>
      </c>
      <c r="AD13" s="117">
        <v>49240</v>
      </c>
      <c r="AE13" s="119">
        <f t="shared" si="11"/>
        <v>287.953216374269</v>
      </c>
      <c r="AF13" s="130">
        <f t="shared" si="12"/>
        <v>178040</v>
      </c>
      <c r="AG13" s="121">
        <f t="shared" si="13"/>
        <v>1041.1695906432749</v>
      </c>
      <c r="AH13" s="136">
        <f t="shared" si="14"/>
        <v>32</v>
      </c>
      <c r="AI13" s="124">
        <f t="shared" si="15"/>
        <v>461220</v>
      </c>
      <c r="AJ13" s="124">
        <f t="shared" si="16"/>
        <v>87600</v>
      </c>
      <c r="AK13" s="131">
        <f t="shared" si="24"/>
        <v>548820</v>
      </c>
      <c r="AL13" s="124">
        <f t="shared" si="17"/>
        <v>36900</v>
      </c>
      <c r="AM13" s="124">
        <v>400</v>
      </c>
      <c r="AN13" s="132">
        <v>32</v>
      </c>
      <c r="AO13" s="132">
        <v>332420</v>
      </c>
      <c r="AP13" s="132">
        <v>38360</v>
      </c>
      <c r="AQ13" s="133">
        <v>31900</v>
      </c>
      <c r="AR13" s="133">
        <v>5000</v>
      </c>
      <c r="AS13" s="133"/>
      <c r="AT13" s="133"/>
      <c r="AU13" s="134">
        <f t="shared" si="18"/>
        <v>407680</v>
      </c>
      <c r="AV13" s="103">
        <v>9</v>
      </c>
      <c r="AW13" s="104">
        <f t="shared" si="25"/>
        <v>407680</v>
      </c>
      <c r="AX13" s="156">
        <f t="shared" si="26"/>
        <v>586120</v>
      </c>
    </row>
    <row r="14" spans="1:50" ht="13.5" customHeight="1">
      <c r="A14" s="103"/>
      <c r="B14" s="151">
        <f t="shared" si="19"/>
        <v>46063</v>
      </c>
      <c r="C14" s="195" t="s">
        <v>66</v>
      </c>
      <c r="D14" s="114">
        <v>89</v>
      </c>
      <c r="E14" s="115"/>
      <c r="F14" s="116"/>
      <c r="G14" s="117"/>
      <c r="H14" s="118" t="e">
        <f t="shared" si="0"/>
        <v>#DIV/0!</v>
      </c>
      <c r="I14" s="117"/>
      <c r="J14" s="119" t="e">
        <f t="shared" si="1"/>
        <v>#DIV/0!</v>
      </c>
      <c r="K14" s="120">
        <f t="shared" si="2"/>
        <v>0</v>
      </c>
      <c r="L14" s="121" t="str">
        <f t="shared" si="3"/>
        <v/>
      </c>
      <c r="M14" s="122"/>
      <c r="N14" s="123">
        <f t="shared" si="20"/>
        <v>37</v>
      </c>
      <c r="O14" s="124">
        <f t="shared" si="20"/>
        <v>327360</v>
      </c>
      <c r="P14" s="118">
        <f t="shared" si="4"/>
        <v>8043.2432432432433</v>
      </c>
      <c r="Q14" s="124">
        <f t="shared" si="21"/>
        <v>64860</v>
      </c>
      <c r="R14" s="119">
        <f t="shared" si="5"/>
        <v>1593.5945945945946</v>
      </c>
      <c r="S14" s="125">
        <f t="shared" si="22"/>
        <v>392220</v>
      </c>
      <c r="T14" s="121">
        <f t="shared" si="6"/>
        <v>10600.54054054054</v>
      </c>
      <c r="U14" s="126">
        <f t="shared" si="7"/>
        <v>37</v>
      </c>
      <c r="V14" s="124">
        <f t="shared" si="7"/>
        <v>327360</v>
      </c>
      <c r="W14" s="124">
        <f t="shared" si="8"/>
        <v>64860</v>
      </c>
      <c r="X14" s="127">
        <f t="shared" si="23"/>
        <v>392220</v>
      </c>
      <c r="Y14" s="124">
        <f t="shared" si="9"/>
        <v>10600.54054054054</v>
      </c>
      <c r="Z14" s="128"/>
      <c r="AA14" s="129">
        <v>221</v>
      </c>
      <c r="AB14" s="117">
        <v>157600</v>
      </c>
      <c r="AC14" s="118">
        <f t="shared" si="10"/>
        <v>713.12217194570133</v>
      </c>
      <c r="AD14" s="117">
        <v>74390</v>
      </c>
      <c r="AE14" s="119">
        <f t="shared" si="11"/>
        <v>336.60633484162895</v>
      </c>
      <c r="AF14" s="130">
        <f t="shared" si="12"/>
        <v>231990</v>
      </c>
      <c r="AG14" s="121">
        <f t="shared" si="13"/>
        <v>1049.7285067873304</v>
      </c>
      <c r="AH14" s="136">
        <f t="shared" si="14"/>
        <v>37</v>
      </c>
      <c r="AI14" s="124">
        <f t="shared" si="15"/>
        <v>484960</v>
      </c>
      <c r="AJ14" s="124">
        <f t="shared" si="16"/>
        <v>139250</v>
      </c>
      <c r="AK14" s="137">
        <f t="shared" si="24"/>
        <v>624210</v>
      </c>
      <c r="AL14" s="124">
        <f t="shared" si="17"/>
        <v>48200</v>
      </c>
      <c r="AM14" s="124"/>
      <c r="AN14" s="132">
        <v>37</v>
      </c>
      <c r="AO14" s="132">
        <v>327360</v>
      </c>
      <c r="AP14" s="132">
        <v>64860</v>
      </c>
      <c r="AQ14" s="133">
        <v>46200</v>
      </c>
      <c r="AR14" s="133">
        <v>2000</v>
      </c>
      <c r="AS14" s="133"/>
      <c r="AT14" s="133"/>
      <c r="AU14" s="134">
        <f t="shared" si="18"/>
        <v>440420</v>
      </c>
      <c r="AV14" s="103">
        <v>10</v>
      </c>
      <c r="AW14" s="104">
        <f t="shared" si="25"/>
        <v>440420</v>
      </c>
      <c r="AX14" s="156">
        <f t="shared" si="26"/>
        <v>672410</v>
      </c>
    </row>
    <row r="15" spans="1:50" ht="13.5" customHeight="1">
      <c r="A15" s="103"/>
      <c r="B15" s="151">
        <f t="shared" si="19"/>
        <v>46064</v>
      </c>
      <c r="C15" s="195" t="s">
        <v>66</v>
      </c>
      <c r="D15" s="114"/>
      <c r="E15" s="115"/>
      <c r="F15" s="116"/>
      <c r="G15" s="117"/>
      <c r="H15" s="118" t="e">
        <f t="shared" si="0"/>
        <v>#DIV/0!</v>
      </c>
      <c r="I15" s="117"/>
      <c r="J15" s="119" t="e">
        <f t="shared" si="1"/>
        <v>#DIV/0!</v>
      </c>
      <c r="K15" s="120">
        <f t="shared" si="2"/>
        <v>0</v>
      </c>
      <c r="L15" s="121" t="str">
        <f t="shared" si="3"/>
        <v/>
      </c>
      <c r="M15" s="122"/>
      <c r="N15" s="123">
        <f t="shared" si="20"/>
        <v>0</v>
      </c>
      <c r="O15" s="124">
        <f t="shared" si="20"/>
        <v>0</v>
      </c>
      <c r="P15" s="118" t="e">
        <f t="shared" si="4"/>
        <v>#DIV/0!</v>
      </c>
      <c r="Q15" s="124">
        <f t="shared" si="21"/>
        <v>0</v>
      </c>
      <c r="R15" s="119" t="e">
        <f t="shared" si="5"/>
        <v>#DIV/0!</v>
      </c>
      <c r="S15" s="125">
        <f t="shared" si="22"/>
        <v>0</v>
      </c>
      <c r="T15" s="121" t="e">
        <f t="shared" si="6"/>
        <v>#DIV/0!</v>
      </c>
      <c r="U15" s="126">
        <f t="shared" si="7"/>
        <v>0</v>
      </c>
      <c r="V15" s="124">
        <f t="shared" si="7"/>
        <v>0</v>
      </c>
      <c r="W15" s="124">
        <f t="shared" si="8"/>
        <v>0</v>
      </c>
      <c r="X15" s="127">
        <f t="shared" si="23"/>
        <v>0</v>
      </c>
      <c r="Y15" s="124" t="e">
        <f t="shared" si="9"/>
        <v>#DIV/0!</v>
      </c>
      <c r="Z15" s="128"/>
      <c r="AA15" s="129"/>
      <c r="AB15" s="117"/>
      <c r="AC15" s="118" t="e">
        <f t="shared" si="10"/>
        <v>#DIV/0!</v>
      </c>
      <c r="AD15" s="117"/>
      <c r="AE15" s="119" t="e">
        <f t="shared" si="11"/>
        <v>#DIV/0!</v>
      </c>
      <c r="AF15" s="130">
        <f t="shared" si="12"/>
        <v>0</v>
      </c>
      <c r="AG15" s="121" t="str">
        <f t="shared" si="13"/>
        <v/>
      </c>
      <c r="AH15" s="136">
        <f t="shared" si="14"/>
        <v>0</v>
      </c>
      <c r="AI15" s="124">
        <f t="shared" si="15"/>
        <v>0</v>
      </c>
      <c r="AJ15" s="124">
        <f t="shared" si="16"/>
        <v>0</v>
      </c>
      <c r="AK15" s="131">
        <f t="shared" si="24"/>
        <v>0</v>
      </c>
      <c r="AL15" s="124">
        <f t="shared" si="17"/>
        <v>0</v>
      </c>
      <c r="AM15" s="124"/>
      <c r="AN15" s="132"/>
      <c r="AO15" s="132"/>
      <c r="AP15" s="132"/>
      <c r="AQ15" s="133"/>
      <c r="AR15" s="133"/>
      <c r="AS15" s="133"/>
      <c r="AT15" s="133"/>
      <c r="AU15" s="134">
        <f t="shared" si="18"/>
        <v>0</v>
      </c>
      <c r="AV15" s="103">
        <v>11</v>
      </c>
      <c r="AW15" s="104">
        <f t="shared" si="25"/>
        <v>0</v>
      </c>
      <c r="AX15" s="156">
        <f t="shared" si="26"/>
        <v>0</v>
      </c>
    </row>
    <row r="16" spans="1:50" ht="13.5" customHeight="1">
      <c r="A16" s="103"/>
      <c r="B16" s="151">
        <f t="shared" si="19"/>
        <v>46065</v>
      </c>
      <c r="C16" s="195" t="s">
        <v>66</v>
      </c>
      <c r="D16" s="114"/>
      <c r="E16" s="115"/>
      <c r="F16" s="116"/>
      <c r="G16" s="117"/>
      <c r="H16" s="118" t="e">
        <f t="shared" si="0"/>
        <v>#DIV/0!</v>
      </c>
      <c r="I16" s="117"/>
      <c r="J16" s="119" t="e">
        <f t="shared" si="1"/>
        <v>#DIV/0!</v>
      </c>
      <c r="K16" s="120">
        <f t="shared" si="2"/>
        <v>0</v>
      </c>
      <c r="L16" s="121" t="str">
        <f t="shared" si="3"/>
        <v/>
      </c>
      <c r="M16" s="122"/>
      <c r="N16" s="123">
        <f t="shared" si="20"/>
        <v>0</v>
      </c>
      <c r="O16" s="124">
        <f t="shared" si="20"/>
        <v>0</v>
      </c>
      <c r="P16" s="118" t="e">
        <f t="shared" si="4"/>
        <v>#DIV/0!</v>
      </c>
      <c r="Q16" s="124">
        <f t="shared" si="21"/>
        <v>0</v>
      </c>
      <c r="R16" s="119" t="e">
        <f t="shared" si="5"/>
        <v>#DIV/0!</v>
      </c>
      <c r="S16" s="125">
        <f t="shared" si="22"/>
        <v>0</v>
      </c>
      <c r="T16" s="121" t="e">
        <f t="shared" si="6"/>
        <v>#DIV/0!</v>
      </c>
      <c r="U16" s="126">
        <f t="shared" si="7"/>
        <v>0</v>
      </c>
      <c r="V16" s="124">
        <f t="shared" si="7"/>
        <v>0</v>
      </c>
      <c r="W16" s="124">
        <f t="shared" si="8"/>
        <v>0</v>
      </c>
      <c r="X16" s="127">
        <f t="shared" si="23"/>
        <v>0</v>
      </c>
      <c r="Y16" s="124" t="e">
        <f t="shared" si="9"/>
        <v>#DIV/0!</v>
      </c>
      <c r="Z16" s="128"/>
      <c r="AA16" s="129"/>
      <c r="AB16" s="117"/>
      <c r="AC16" s="118" t="e">
        <f t="shared" si="10"/>
        <v>#DIV/0!</v>
      </c>
      <c r="AD16" s="117"/>
      <c r="AE16" s="119" t="e">
        <f t="shared" si="11"/>
        <v>#DIV/0!</v>
      </c>
      <c r="AF16" s="130">
        <f t="shared" si="12"/>
        <v>0</v>
      </c>
      <c r="AG16" s="121" t="str">
        <f t="shared" si="13"/>
        <v/>
      </c>
      <c r="AH16" s="136">
        <f t="shared" si="14"/>
        <v>0</v>
      </c>
      <c r="AI16" s="124">
        <f t="shared" si="15"/>
        <v>0</v>
      </c>
      <c r="AJ16" s="124">
        <f t="shared" si="16"/>
        <v>0</v>
      </c>
      <c r="AK16" s="131">
        <f t="shared" si="24"/>
        <v>0</v>
      </c>
      <c r="AL16" s="124">
        <f t="shared" si="17"/>
        <v>0</v>
      </c>
      <c r="AM16" s="124"/>
      <c r="AN16" s="132"/>
      <c r="AO16" s="132"/>
      <c r="AP16" s="132"/>
      <c r="AQ16" s="133"/>
      <c r="AR16" s="133"/>
      <c r="AS16" s="133"/>
      <c r="AT16" s="133"/>
      <c r="AU16" s="134">
        <f t="shared" si="18"/>
        <v>0</v>
      </c>
      <c r="AV16" s="103">
        <v>12</v>
      </c>
      <c r="AW16" s="104">
        <f t="shared" si="25"/>
        <v>0</v>
      </c>
      <c r="AX16" s="156">
        <f t="shared" si="26"/>
        <v>0</v>
      </c>
    </row>
    <row r="17" spans="1:50" ht="13.5" customHeight="1">
      <c r="A17" s="103"/>
      <c r="B17" s="151">
        <f t="shared" si="19"/>
        <v>46066</v>
      </c>
      <c r="C17" s="195" t="s">
        <v>66</v>
      </c>
      <c r="D17" s="114"/>
      <c r="E17" s="115"/>
      <c r="F17" s="116"/>
      <c r="G17" s="117"/>
      <c r="H17" s="118" t="e">
        <f t="shared" si="0"/>
        <v>#DIV/0!</v>
      </c>
      <c r="I17" s="117"/>
      <c r="J17" s="119" t="e">
        <f t="shared" si="1"/>
        <v>#DIV/0!</v>
      </c>
      <c r="K17" s="120">
        <f t="shared" si="2"/>
        <v>0</v>
      </c>
      <c r="L17" s="121" t="str">
        <f t="shared" si="3"/>
        <v/>
      </c>
      <c r="M17" s="122"/>
      <c r="N17" s="123">
        <f t="shared" si="20"/>
        <v>0</v>
      </c>
      <c r="O17" s="124">
        <f t="shared" si="20"/>
        <v>0</v>
      </c>
      <c r="P17" s="118" t="e">
        <f t="shared" si="4"/>
        <v>#DIV/0!</v>
      </c>
      <c r="Q17" s="124">
        <f t="shared" si="21"/>
        <v>0</v>
      </c>
      <c r="R17" s="119" t="e">
        <f t="shared" si="5"/>
        <v>#DIV/0!</v>
      </c>
      <c r="S17" s="125">
        <f t="shared" si="22"/>
        <v>0</v>
      </c>
      <c r="T17" s="121" t="e">
        <f t="shared" si="6"/>
        <v>#DIV/0!</v>
      </c>
      <c r="U17" s="126">
        <f t="shared" si="7"/>
        <v>0</v>
      </c>
      <c r="V17" s="124">
        <f t="shared" si="7"/>
        <v>0</v>
      </c>
      <c r="W17" s="124">
        <f t="shared" si="8"/>
        <v>0</v>
      </c>
      <c r="X17" s="127">
        <f t="shared" si="23"/>
        <v>0</v>
      </c>
      <c r="Y17" s="124" t="e">
        <f t="shared" si="9"/>
        <v>#DIV/0!</v>
      </c>
      <c r="Z17" s="128"/>
      <c r="AA17" s="129"/>
      <c r="AB17" s="117"/>
      <c r="AC17" s="118" t="e">
        <f t="shared" si="10"/>
        <v>#DIV/0!</v>
      </c>
      <c r="AD17" s="117"/>
      <c r="AE17" s="119" t="e">
        <f t="shared" si="11"/>
        <v>#DIV/0!</v>
      </c>
      <c r="AF17" s="130">
        <f t="shared" si="12"/>
        <v>0</v>
      </c>
      <c r="AG17" s="121" t="str">
        <f t="shared" si="13"/>
        <v/>
      </c>
      <c r="AH17" s="136">
        <f t="shared" si="14"/>
        <v>0</v>
      </c>
      <c r="AI17" s="124">
        <f t="shared" si="15"/>
        <v>0</v>
      </c>
      <c r="AJ17" s="124">
        <f t="shared" si="16"/>
        <v>0</v>
      </c>
      <c r="AK17" s="131">
        <f t="shared" si="24"/>
        <v>0</v>
      </c>
      <c r="AL17" s="124">
        <f t="shared" si="17"/>
        <v>0</v>
      </c>
      <c r="AM17" s="124"/>
      <c r="AN17" s="132"/>
      <c r="AO17" s="132"/>
      <c r="AP17" s="132"/>
      <c r="AQ17" s="133"/>
      <c r="AR17" s="133"/>
      <c r="AS17" s="133"/>
      <c r="AT17" s="133"/>
      <c r="AU17" s="134">
        <f t="shared" si="18"/>
        <v>0</v>
      </c>
      <c r="AV17" s="103">
        <v>13</v>
      </c>
      <c r="AW17" s="104">
        <f t="shared" si="25"/>
        <v>0</v>
      </c>
      <c r="AX17" s="156">
        <f t="shared" si="26"/>
        <v>0</v>
      </c>
    </row>
    <row r="18" spans="1:50" ht="13.5" customHeight="1">
      <c r="A18" s="103"/>
      <c r="B18" s="138">
        <f t="shared" si="19"/>
        <v>46067</v>
      </c>
      <c r="C18" s="195"/>
      <c r="D18" s="114"/>
      <c r="E18" s="115"/>
      <c r="F18" s="116"/>
      <c r="G18" s="117"/>
      <c r="H18" s="118" t="e">
        <f t="shared" si="0"/>
        <v>#DIV/0!</v>
      </c>
      <c r="I18" s="117"/>
      <c r="J18" s="119" t="e">
        <f t="shared" si="1"/>
        <v>#DIV/0!</v>
      </c>
      <c r="K18" s="120">
        <f t="shared" si="2"/>
        <v>0</v>
      </c>
      <c r="L18" s="121" t="str">
        <f t="shared" si="3"/>
        <v/>
      </c>
      <c r="M18" s="122"/>
      <c r="N18" s="123">
        <f t="shared" si="20"/>
        <v>0</v>
      </c>
      <c r="O18" s="124">
        <f t="shared" si="20"/>
        <v>0</v>
      </c>
      <c r="P18" s="118" t="e">
        <f t="shared" si="4"/>
        <v>#DIV/0!</v>
      </c>
      <c r="Q18" s="124">
        <f t="shared" si="21"/>
        <v>0</v>
      </c>
      <c r="R18" s="119" t="e">
        <f t="shared" si="5"/>
        <v>#DIV/0!</v>
      </c>
      <c r="S18" s="125">
        <f t="shared" si="22"/>
        <v>0</v>
      </c>
      <c r="T18" s="121" t="e">
        <f t="shared" si="6"/>
        <v>#DIV/0!</v>
      </c>
      <c r="U18" s="126">
        <f t="shared" si="7"/>
        <v>0</v>
      </c>
      <c r="V18" s="124">
        <f t="shared" si="7"/>
        <v>0</v>
      </c>
      <c r="W18" s="124">
        <f t="shared" si="8"/>
        <v>0</v>
      </c>
      <c r="X18" s="127">
        <f t="shared" si="23"/>
        <v>0</v>
      </c>
      <c r="Y18" s="124" t="e">
        <f t="shared" si="9"/>
        <v>#DIV/0!</v>
      </c>
      <c r="Z18" s="128"/>
      <c r="AA18" s="129"/>
      <c r="AB18" s="117"/>
      <c r="AC18" s="118" t="e">
        <f t="shared" si="10"/>
        <v>#DIV/0!</v>
      </c>
      <c r="AD18" s="117"/>
      <c r="AE18" s="119" t="e">
        <f t="shared" si="11"/>
        <v>#DIV/0!</v>
      </c>
      <c r="AF18" s="130">
        <f t="shared" si="12"/>
        <v>0</v>
      </c>
      <c r="AG18" s="121" t="str">
        <f t="shared" si="13"/>
        <v/>
      </c>
      <c r="AH18" s="136">
        <f t="shared" si="14"/>
        <v>0</v>
      </c>
      <c r="AI18" s="124">
        <f t="shared" si="15"/>
        <v>0</v>
      </c>
      <c r="AJ18" s="124">
        <f t="shared" si="16"/>
        <v>0</v>
      </c>
      <c r="AK18" s="131">
        <f t="shared" si="24"/>
        <v>0</v>
      </c>
      <c r="AL18" s="124">
        <f t="shared" si="17"/>
        <v>0</v>
      </c>
      <c r="AM18" s="124"/>
      <c r="AN18" s="132"/>
      <c r="AO18" s="132"/>
      <c r="AP18" s="132"/>
      <c r="AQ18" s="133"/>
      <c r="AR18" s="133"/>
      <c r="AS18" s="133"/>
      <c r="AT18" s="133"/>
      <c r="AU18" s="134">
        <f t="shared" si="18"/>
        <v>0</v>
      </c>
      <c r="AV18" s="103">
        <v>14</v>
      </c>
      <c r="AW18" s="104">
        <f t="shared" si="25"/>
        <v>0</v>
      </c>
      <c r="AX18" s="156">
        <f t="shared" si="26"/>
        <v>0</v>
      </c>
    </row>
    <row r="19" spans="1:50" ht="13.5" customHeight="1">
      <c r="A19" s="103"/>
      <c r="B19" s="139">
        <f t="shared" si="19"/>
        <v>46068</v>
      </c>
      <c r="C19" s="195"/>
      <c r="D19" s="114"/>
      <c r="E19" s="115"/>
      <c r="F19" s="116"/>
      <c r="G19" s="117"/>
      <c r="H19" s="118" t="e">
        <f t="shared" si="0"/>
        <v>#DIV/0!</v>
      </c>
      <c r="I19" s="117"/>
      <c r="J19" s="119" t="e">
        <f t="shared" si="1"/>
        <v>#DIV/0!</v>
      </c>
      <c r="K19" s="120">
        <f t="shared" si="2"/>
        <v>0</v>
      </c>
      <c r="L19" s="121" t="str">
        <f t="shared" si="3"/>
        <v/>
      </c>
      <c r="M19" s="122"/>
      <c r="N19" s="123">
        <f t="shared" si="20"/>
        <v>0</v>
      </c>
      <c r="O19" s="124">
        <f t="shared" si="20"/>
        <v>0</v>
      </c>
      <c r="P19" s="118" t="e">
        <f t="shared" si="4"/>
        <v>#DIV/0!</v>
      </c>
      <c r="Q19" s="124">
        <f t="shared" si="21"/>
        <v>0</v>
      </c>
      <c r="R19" s="140" t="e">
        <f t="shared" si="5"/>
        <v>#DIV/0!</v>
      </c>
      <c r="S19" s="125">
        <f t="shared" si="22"/>
        <v>0</v>
      </c>
      <c r="T19" s="121" t="e">
        <f t="shared" si="6"/>
        <v>#DIV/0!</v>
      </c>
      <c r="U19" s="126">
        <f t="shared" si="7"/>
        <v>0</v>
      </c>
      <c r="V19" s="124">
        <f t="shared" si="7"/>
        <v>0</v>
      </c>
      <c r="W19" s="124">
        <f t="shared" si="8"/>
        <v>0</v>
      </c>
      <c r="X19" s="127">
        <f t="shared" si="23"/>
        <v>0</v>
      </c>
      <c r="Y19" s="124" t="e">
        <f t="shared" si="9"/>
        <v>#DIV/0!</v>
      </c>
      <c r="Z19" s="128"/>
      <c r="AA19" s="129"/>
      <c r="AB19" s="117"/>
      <c r="AC19" s="118" t="e">
        <f t="shared" si="10"/>
        <v>#DIV/0!</v>
      </c>
      <c r="AD19" s="117"/>
      <c r="AE19" s="119" t="e">
        <f t="shared" si="11"/>
        <v>#DIV/0!</v>
      </c>
      <c r="AF19" s="130">
        <f t="shared" si="12"/>
        <v>0</v>
      </c>
      <c r="AG19" s="121" t="str">
        <f t="shared" si="13"/>
        <v/>
      </c>
      <c r="AH19" s="136">
        <f t="shared" si="14"/>
        <v>0</v>
      </c>
      <c r="AI19" s="124">
        <f t="shared" si="15"/>
        <v>0</v>
      </c>
      <c r="AJ19" s="124">
        <f t="shared" si="16"/>
        <v>0</v>
      </c>
      <c r="AK19" s="131">
        <f t="shared" si="24"/>
        <v>0</v>
      </c>
      <c r="AL19" s="124">
        <f t="shared" si="17"/>
        <v>0</v>
      </c>
      <c r="AM19" s="124"/>
      <c r="AN19" s="132"/>
      <c r="AO19" s="132"/>
      <c r="AP19" s="132"/>
      <c r="AQ19" s="133"/>
      <c r="AR19" s="133"/>
      <c r="AS19" s="133"/>
      <c r="AT19" s="133"/>
      <c r="AU19" s="134">
        <f t="shared" si="18"/>
        <v>0</v>
      </c>
      <c r="AV19" s="103">
        <v>15</v>
      </c>
      <c r="AW19" s="104">
        <f t="shared" si="25"/>
        <v>0</v>
      </c>
      <c r="AX19" s="156">
        <f t="shared" si="26"/>
        <v>0</v>
      </c>
    </row>
    <row r="20" spans="1:50" ht="13.5" customHeight="1">
      <c r="A20" s="103"/>
      <c r="B20" s="151">
        <f t="shared" si="19"/>
        <v>46069</v>
      </c>
      <c r="C20" s="195" t="s">
        <v>66</v>
      </c>
      <c r="D20" s="114"/>
      <c r="E20" s="115"/>
      <c r="F20" s="116"/>
      <c r="G20" s="117"/>
      <c r="H20" s="118" t="e">
        <f t="shared" si="0"/>
        <v>#DIV/0!</v>
      </c>
      <c r="I20" s="117"/>
      <c r="J20" s="118" t="e">
        <f t="shared" si="1"/>
        <v>#DIV/0!</v>
      </c>
      <c r="K20" s="120">
        <f t="shared" si="2"/>
        <v>0</v>
      </c>
      <c r="L20" s="121" t="str">
        <f t="shared" si="3"/>
        <v/>
      </c>
      <c r="M20" s="122"/>
      <c r="N20" s="123">
        <f t="shared" si="20"/>
        <v>0</v>
      </c>
      <c r="O20" s="124">
        <f t="shared" si="20"/>
        <v>0</v>
      </c>
      <c r="P20" s="118" t="e">
        <f t="shared" si="4"/>
        <v>#DIV/0!</v>
      </c>
      <c r="Q20" s="124">
        <f t="shared" si="21"/>
        <v>0</v>
      </c>
      <c r="R20" s="140" t="e">
        <f t="shared" si="5"/>
        <v>#DIV/0!</v>
      </c>
      <c r="S20" s="125">
        <f t="shared" si="22"/>
        <v>0</v>
      </c>
      <c r="T20" s="121" t="e">
        <f t="shared" si="6"/>
        <v>#DIV/0!</v>
      </c>
      <c r="U20" s="126">
        <f t="shared" si="7"/>
        <v>0</v>
      </c>
      <c r="V20" s="124">
        <f t="shared" si="7"/>
        <v>0</v>
      </c>
      <c r="W20" s="124">
        <f t="shared" si="8"/>
        <v>0</v>
      </c>
      <c r="X20" s="127">
        <f t="shared" si="23"/>
        <v>0</v>
      </c>
      <c r="Y20" s="124" t="e">
        <f t="shared" si="9"/>
        <v>#DIV/0!</v>
      </c>
      <c r="Z20" s="128"/>
      <c r="AA20" s="129"/>
      <c r="AB20" s="117"/>
      <c r="AC20" s="118" t="e">
        <f t="shared" si="10"/>
        <v>#DIV/0!</v>
      </c>
      <c r="AD20" s="117"/>
      <c r="AE20" s="119" t="e">
        <f t="shared" si="11"/>
        <v>#DIV/0!</v>
      </c>
      <c r="AF20" s="130">
        <f t="shared" si="12"/>
        <v>0</v>
      </c>
      <c r="AG20" s="121" t="str">
        <f t="shared" si="13"/>
        <v/>
      </c>
      <c r="AH20" s="136">
        <f t="shared" si="14"/>
        <v>0</v>
      </c>
      <c r="AI20" s="132">
        <f t="shared" si="15"/>
        <v>0</v>
      </c>
      <c r="AJ20" s="132">
        <f t="shared" si="16"/>
        <v>0</v>
      </c>
      <c r="AK20" s="131">
        <f t="shared" si="24"/>
        <v>0</v>
      </c>
      <c r="AL20" s="124">
        <f t="shared" si="17"/>
        <v>0</v>
      </c>
      <c r="AM20" s="124"/>
      <c r="AN20" s="132"/>
      <c r="AO20" s="132"/>
      <c r="AP20" s="132"/>
      <c r="AQ20" s="133"/>
      <c r="AR20" s="133"/>
      <c r="AS20" s="133"/>
      <c r="AT20" s="133"/>
      <c r="AU20" s="134">
        <f>SUM(AO20:AT20)</f>
        <v>0</v>
      </c>
      <c r="AV20" s="103">
        <v>16</v>
      </c>
      <c r="AW20" s="104">
        <f t="shared" si="25"/>
        <v>0</v>
      </c>
      <c r="AX20" s="156">
        <f t="shared" si="26"/>
        <v>0</v>
      </c>
    </row>
    <row r="21" spans="1:50" ht="15.75" customHeight="1">
      <c r="A21" s="103"/>
      <c r="B21" s="151">
        <f t="shared" si="19"/>
        <v>46070</v>
      </c>
      <c r="C21" s="195" t="s">
        <v>66</v>
      </c>
      <c r="D21" s="114"/>
      <c r="E21" s="115"/>
      <c r="F21" s="116"/>
      <c r="G21" s="117"/>
      <c r="H21" s="118" t="e">
        <f t="shared" si="0"/>
        <v>#DIV/0!</v>
      </c>
      <c r="I21" s="117"/>
      <c r="J21" s="118" t="e">
        <f t="shared" si="1"/>
        <v>#DIV/0!</v>
      </c>
      <c r="K21" s="120">
        <f t="shared" si="2"/>
        <v>0</v>
      </c>
      <c r="L21" s="121" t="str">
        <f t="shared" si="3"/>
        <v/>
      </c>
      <c r="M21" s="122"/>
      <c r="N21" s="123">
        <f t="shared" si="20"/>
        <v>0</v>
      </c>
      <c r="O21" s="124">
        <f t="shared" si="20"/>
        <v>0</v>
      </c>
      <c r="P21" s="118" t="e">
        <f t="shared" si="4"/>
        <v>#DIV/0!</v>
      </c>
      <c r="Q21" s="124">
        <f t="shared" si="21"/>
        <v>0</v>
      </c>
      <c r="R21" s="140" t="e">
        <f t="shared" si="5"/>
        <v>#DIV/0!</v>
      </c>
      <c r="S21" s="125">
        <f t="shared" si="22"/>
        <v>0</v>
      </c>
      <c r="T21" s="121" t="e">
        <f t="shared" si="6"/>
        <v>#DIV/0!</v>
      </c>
      <c r="U21" s="126">
        <f t="shared" ref="U21:V32" si="27">F21+N21</f>
        <v>0</v>
      </c>
      <c r="V21" s="124">
        <f t="shared" si="27"/>
        <v>0</v>
      </c>
      <c r="W21" s="124">
        <f t="shared" si="8"/>
        <v>0</v>
      </c>
      <c r="X21" s="127">
        <f t="shared" si="23"/>
        <v>0</v>
      </c>
      <c r="Y21" s="124" t="e">
        <f t="shared" si="9"/>
        <v>#DIV/0!</v>
      </c>
      <c r="Z21" s="128"/>
      <c r="AA21" s="129"/>
      <c r="AB21" s="117"/>
      <c r="AC21" s="118" t="e">
        <f t="shared" si="10"/>
        <v>#DIV/0!</v>
      </c>
      <c r="AD21" s="117"/>
      <c r="AE21" s="119" t="e">
        <f t="shared" si="11"/>
        <v>#DIV/0!</v>
      </c>
      <c r="AF21" s="130">
        <f t="shared" si="12"/>
        <v>0</v>
      </c>
      <c r="AG21" s="121" t="str">
        <f t="shared" si="13"/>
        <v/>
      </c>
      <c r="AH21" s="136">
        <f t="shared" si="14"/>
        <v>0</v>
      </c>
      <c r="AI21" s="132">
        <f t="shared" si="15"/>
        <v>0</v>
      </c>
      <c r="AJ21" s="132">
        <f t="shared" si="16"/>
        <v>0</v>
      </c>
      <c r="AK21" s="131">
        <f t="shared" si="24"/>
        <v>0</v>
      </c>
      <c r="AL21" s="124">
        <f t="shared" si="17"/>
        <v>0</v>
      </c>
      <c r="AM21" s="124"/>
      <c r="AN21" s="132"/>
      <c r="AO21" s="132"/>
      <c r="AP21" s="132"/>
      <c r="AQ21" s="133"/>
      <c r="AR21" s="133"/>
      <c r="AS21" s="133"/>
      <c r="AT21" s="133"/>
      <c r="AU21" s="134">
        <f t="shared" si="18"/>
        <v>0</v>
      </c>
      <c r="AV21" s="103">
        <v>17</v>
      </c>
      <c r="AW21" s="104">
        <f t="shared" si="25"/>
        <v>0</v>
      </c>
      <c r="AX21" s="156">
        <f t="shared" si="26"/>
        <v>0</v>
      </c>
    </row>
    <row r="22" spans="1:50" ht="15.75" customHeight="1">
      <c r="A22" s="103"/>
      <c r="B22" s="151">
        <f t="shared" si="19"/>
        <v>46071</v>
      </c>
      <c r="C22" s="195" t="s">
        <v>66</v>
      </c>
      <c r="D22" s="114"/>
      <c r="E22" s="115"/>
      <c r="F22" s="116"/>
      <c r="G22" s="117"/>
      <c r="H22" s="118" t="e">
        <f t="shared" si="0"/>
        <v>#DIV/0!</v>
      </c>
      <c r="I22" s="117"/>
      <c r="J22" s="118" t="e">
        <f t="shared" si="1"/>
        <v>#DIV/0!</v>
      </c>
      <c r="K22" s="120">
        <f t="shared" si="2"/>
        <v>0</v>
      </c>
      <c r="L22" s="121" t="str">
        <f t="shared" si="3"/>
        <v/>
      </c>
      <c r="M22" s="122"/>
      <c r="N22" s="123">
        <f t="shared" ref="N22:O32" si="28">AN22-F22</f>
        <v>0</v>
      </c>
      <c r="O22" s="124">
        <f t="shared" si="28"/>
        <v>0</v>
      </c>
      <c r="P22" s="118" t="e">
        <f t="shared" si="4"/>
        <v>#DIV/0!</v>
      </c>
      <c r="Q22" s="124">
        <f t="shared" si="21"/>
        <v>0</v>
      </c>
      <c r="R22" s="140" t="e">
        <f t="shared" si="5"/>
        <v>#DIV/0!</v>
      </c>
      <c r="S22" s="125">
        <f t="shared" si="22"/>
        <v>0</v>
      </c>
      <c r="T22" s="121" t="e">
        <f t="shared" si="6"/>
        <v>#DIV/0!</v>
      </c>
      <c r="U22" s="126">
        <f t="shared" si="27"/>
        <v>0</v>
      </c>
      <c r="V22" s="124">
        <f t="shared" si="27"/>
        <v>0</v>
      </c>
      <c r="W22" s="124">
        <f t="shared" si="8"/>
        <v>0</v>
      </c>
      <c r="X22" s="127">
        <f t="shared" si="23"/>
        <v>0</v>
      </c>
      <c r="Y22" s="124" t="e">
        <f t="shared" si="9"/>
        <v>#DIV/0!</v>
      </c>
      <c r="Z22" s="128"/>
      <c r="AA22" s="129"/>
      <c r="AB22" s="117"/>
      <c r="AC22" s="118" t="e">
        <f t="shared" si="10"/>
        <v>#DIV/0!</v>
      </c>
      <c r="AD22" s="117"/>
      <c r="AE22" s="119" t="e">
        <f t="shared" si="11"/>
        <v>#DIV/0!</v>
      </c>
      <c r="AF22" s="130">
        <f t="shared" si="12"/>
        <v>0</v>
      </c>
      <c r="AG22" s="121" t="str">
        <f t="shared" si="13"/>
        <v/>
      </c>
      <c r="AH22" s="136">
        <f t="shared" si="14"/>
        <v>0</v>
      </c>
      <c r="AI22" s="132">
        <f t="shared" si="15"/>
        <v>0</v>
      </c>
      <c r="AJ22" s="132">
        <f t="shared" si="16"/>
        <v>0</v>
      </c>
      <c r="AK22" s="131">
        <f t="shared" si="24"/>
        <v>0</v>
      </c>
      <c r="AL22" s="124">
        <f t="shared" si="17"/>
        <v>0</v>
      </c>
      <c r="AM22" s="124"/>
      <c r="AN22" s="132"/>
      <c r="AO22" s="132"/>
      <c r="AP22" s="132"/>
      <c r="AQ22" s="133"/>
      <c r="AR22" s="133"/>
      <c r="AS22" s="133"/>
      <c r="AT22" s="133"/>
      <c r="AU22" s="134">
        <f t="shared" si="18"/>
        <v>0</v>
      </c>
      <c r="AV22" s="103">
        <v>18</v>
      </c>
      <c r="AW22" s="104">
        <f t="shared" si="25"/>
        <v>0</v>
      </c>
      <c r="AX22" s="156">
        <f t="shared" si="26"/>
        <v>0</v>
      </c>
    </row>
    <row r="23" spans="1:50" ht="15.75" customHeight="1">
      <c r="A23" s="103"/>
      <c r="B23" s="151">
        <f t="shared" si="19"/>
        <v>46072</v>
      </c>
      <c r="C23" s="195" t="s">
        <v>66</v>
      </c>
      <c r="D23" s="114"/>
      <c r="E23" s="115"/>
      <c r="F23" s="116"/>
      <c r="G23" s="117"/>
      <c r="H23" s="118" t="e">
        <f t="shared" si="0"/>
        <v>#DIV/0!</v>
      </c>
      <c r="I23" s="117"/>
      <c r="J23" s="118" t="e">
        <f t="shared" si="1"/>
        <v>#DIV/0!</v>
      </c>
      <c r="K23" s="120">
        <f t="shared" si="2"/>
        <v>0</v>
      </c>
      <c r="L23" s="121" t="str">
        <f t="shared" si="3"/>
        <v/>
      </c>
      <c r="M23" s="122"/>
      <c r="N23" s="123">
        <f t="shared" si="28"/>
        <v>0</v>
      </c>
      <c r="O23" s="124">
        <f t="shared" si="28"/>
        <v>0</v>
      </c>
      <c r="P23" s="118" t="e">
        <f t="shared" si="4"/>
        <v>#DIV/0!</v>
      </c>
      <c r="Q23" s="124">
        <f t="shared" si="21"/>
        <v>0</v>
      </c>
      <c r="R23" s="140" t="e">
        <f t="shared" si="5"/>
        <v>#DIV/0!</v>
      </c>
      <c r="S23" s="125">
        <f t="shared" si="22"/>
        <v>0</v>
      </c>
      <c r="T23" s="121" t="e">
        <f t="shared" si="6"/>
        <v>#DIV/0!</v>
      </c>
      <c r="U23" s="126">
        <f t="shared" si="27"/>
        <v>0</v>
      </c>
      <c r="V23" s="124">
        <f t="shared" si="27"/>
        <v>0</v>
      </c>
      <c r="W23" s="124">
        <f t="shared" si="8"/>
        <v>0</v>
      </c>
      <c r="X23" s="127">
        <f t="shared" si="23"/>
        <v>0</v>
      </c>
      <c r="Y23" s="124" t="e">
        <f t="shared" si="9"/>
        <v>#DIV/0!</v>
      </c>
      <c r="Z23" s="128"/>
      <c r="AA23" s="129"/>
      <c r="AB23" s="117"/>
      <c r="AC23" s="118" t="e">
        <f t="shared" si="10"/>
        <v>#DIV/0!</v>
      </c>
      <c r="AD23" s="117"/>
      <c r="AE23" s="119" t="e">
        <f t="shared" si="11"/>
        <v>#DIV/0!</v>
      </c>
      <c r="AF23" s="130">
        <f t="shared" si="12"/>
        <v>0</v>
      </c>
      <c r="AG23" s="121" t="str">
        <f t="shared" si="13"/>
        <v/>
      </c>
      <c r="AH23" s="136">
        <f t="shared" si="14"/>
        <v>0</v>
      </c>
      <c r="AI23" s="132">
        <f t="shared" si="15"/>
        <v>0</v>
      </c>
      <c r="AJ23" s="132">
        <f t="shared" si="16"/>
        <v>0</v>
      </c>
      <c r="AK23" s="131">
        <f t="shared" si="24"/>
        <v>0</v>
      </c>
      <c r="AL23" s="124">
        <f t="shared" si="17"/>
        <v>0</v>
      </c>
      <c r="AM23" s="124"/>
      <c r="AN23" s="132"/>
      <c r="AO23" s="132"/>
      <c r="AP23" s="132"/>
      <c r="AQ23" s="133"/>
      <c r="AR23" s="133"/>
      <c r="AS23" s="133"/>
      <c r="AT23" s="133"/>
      <c r="AU23" s="134">
        <f t="shared" si="18"/>
        <v>0</v>
      </c>
      <c r="AV23" s="103">
        <v>19</v>
      </c>
      <c r="AW23" s="104">
        <f t="shared" si="25"/>
        <v>0</v>
      </c>
      <c r="AX23" s="156">
        <f t="shared" si="26"/>
        <v>0</v>
      </c>
    </row>
    <row r="24" spans="1:50" ht="15.75" customHeight="1">
      <c r="A24" s="103"/>
      <c r="B24" s="151">
        <f t="shared" si="19"/>
        <v>46073</v>
      </c>
      <c r="C24" s="195" t="s">
        <v>66</v>
      </c>
      <c r="D24" s="114"/>
      <c r="E24" s="115"/>
      <c r="F24" s="116"/>
      <c r="G24" s="117"/>
      <c r="H24" s="118" t="e">
        <f t="shared" si="0"/>
        <v>#DIV/0!</v>
      </c>
      <c r="I24" s="117"/>
      <c r="J24" s="118" t="e">
        <f t="shared" si="1"/>
        <v>#DIV/0!</v>
      </c>
      <c r="K24" s="120">
        <f t="shared" si="2"/>
        <v>0</v>
      </c>
      <c r="L24" s="121" t="str">
        <f t="shared" si="3"/>
        <v/>
      </c>
      <c r="M24" s="122"/>
      <c r="N24" s="123">
        <f t="shared" si="28"/>
        <v>0</v>
      </c>
      <c r="O24" s="124">
        <f t="shared" si="28"/>
        <v>0</v>
      </c>
      <c r="P24" s="118" t="e">
        <f t="shared" si="4"/>
        <v>#DIV/0!</v>
      </c>
      <c r="Q24" s="124">
        <f t="shared" si="21"/>
        <v>0</v>
      </c>
      <c r="R24" s="140" t="e">
        <f t="shared" si="5"/>
        <v>#DIV/0!</v>
      </c>
      <c r="S24" s="125">
        <f t="shared" si="22"/>
        <v>0</v>
      </c>
      <c r="T24" s="121" t="e">
        <f t="shared" si="6"/>
        <v>#DIV/0!</v>
      </c>
      <c r="U24" s="126">
        <f t="shared" si="27"/>
        <v>0</v>
      </c>
      <c r="V24" s="124">
        <f t="shared" si="27"/>
        <v>0</v>
      </c>
      <c r="W24" s="124">
        <f t="shared" si="8"/>
        <v>0</v>
      </c>
      <c r="X24" s="127">
        <f t="shared" si="23"/>
        <v>0</v>
      </c>
      <c r="Y24" s="124" t="e">
        <f t="shared" si="9"/>
        <v>#DIV/0!</v>
      </c>
      <c r="Z24" s="128"/>
      <c r="AA24" s="129"/>
      <c r="AB24" s="117"/>
      <c r="AC24" s="118" t="e">
        <f t="shared" si="10"/>
        <v>#DIV/0!</v>
      </c>
      <c r="AD24" s="117"/>
      <c r="AE24" s="119" t="e">
        <f t="shared" si="11"/>
        <v>#DIV/0!</v>
      </c>
      <c r="AF24" s="130">
        <f t="shared" si="12"/>
        <v>0</v>
      </c>
      <c r="AG24" s="121" t="str">
        <f t="shared" si="13"/>
        <v/>
      </c>
      <c r="AH24" s="136">
        <f t="shared" si="14"/>
        <v>0</v>
      </c>
      <c r="AI24" s="132">
        <f t="shared" si="15"/>
        <v>0</v>
      </c>
      <c r="AJ24" s="132">
        <f t="shared" si="16"/>
        <v>0</v>
      </c>
      <c r="AK24" s="131">
        <f>X24+AF24</f>
        <v>0</v>
      </c>
      <c r="AL24" s="124">
        <f t="shared" si="17"/>
        <v>0</v>
      </c>
      <c r="AM24" s="124"/>
      <c r="AN24" s="132"/>
      <c r="AO24" s="132"/>
      <c r="AP24" s="132"/>
      <c r="AQ24" s="133"/>
      <c r="AR24" s="133"/>
      <c r="AS24" s="133"/>
      <c r="AT24" s="133"/>
      <c r="AU24" s="134">
        <f>SUM(AO24:AT24)</f>
        <v>0</v>
      </c>
      <c r="AV24" s="103">
        <v>20</v>
      </c>
      <c r="AW24" s="104">
        <f t="shared" si="25"/>
        <v>0</v>
      </c>
      <c r="AX24" s="156">
        <f t="shared" si="26"/>
        <v>0</v>
      </c>
    </row>
    <row r="25" spans="1:50" ht="15.75" customHeight="1">
      <c r="A25" s="103"/>
      <c r="B25" s="138">
        <f t="shared" si="19"/>
        <v>46074</v>
      </c>
      <c r="C25" s="195"/>
      <c r="D25" s="114"/>
      <c r="E25" s="115"/>
      <c r="F25" s="116"/>
      <c r="G25" s="117"/>
      <c r="H25" s="118" t="e">
        <f t="shared" si="0"/>
        <v>#DIV/0!</v>
      </c>
      <c r="I25" s="117"/>
      <c r="J25" s="118" t="e">
        <f t="shared" si="1"/>
        <v>#DIV/0!</v>
      </c>
      <c r="K25" s="120">
        <f t="shared" si="2"/>
        <v>0</v>
      </c>
      <c r="L25" s="121" t="str">
        <f t="shared" si="3"/>
        <v/>
      </c>
      <c r="M25" s="122"/>
      <c r="N25" s="123">
        <f t="shared" si="28"/>
        <v>0</v>
      </c>
      <c r="O25" s="124">
        <f t="shared" si="28"/>
        <v>0</v>
      </c>
      <c r="P25" s="118" t="e">
        <f t="shared" si="4"/>
        <v>#DIV/0!</v>
      </c>
      <c r="Q25" s="124">
        <f t="shared" si="21"/>
        <v>0</v>
      </c>
      <c r="R25" s="140" t="e">
        <f t="shared" si="5"/>
        <v>#DIV/0!</v>
      </c>
      <c r="S25" s="125">
        <f t="shared" si="22"/>
        <v>0</v>
      </c>
      <c r="T25" s="121" t="e">
        <f t="shared" si="6"/>
        <v>#DIV/0!</v>
      </c>
      <c r="U25" s="126">
        <f t="shared" si="27"/>
        <v>0</v>
      </c>
      <c r="V25" s="124">
        <f t="shared" si="27"/>
        <v>0</v>
      </c>
      <c r="W25" s="124">
        <f t="shared" si="8"/>
        <v>0</v>
      </c>
      <c r="X25" s="127">
        <f t="shared" si="23"/>
        <v>0</v>
      </c>
      <c r="Y25" s="124" t="e">
        <f t="shared" si="9"/>
        <v>#DIV/0!</v>
      </c>
      <c r="Z25" s="128"/>
      <c r="AA25" s="129"/>
      <c r="AB25" s="117"/>
      <c r="AC25" s="118" t="e">
        <f t="shared" si="10"/>
        <v>#DIV/0!</v>
      </c>
      <c r="AD25" s="117"/>
      <c r="AE25" s="119" t="e">
        <f t="shared" si="11"/>
        <v>#DIV/0!</v>
      </c>
      <c r="AF25" s="130">
        <f t="shared" si="12"/>
        <v>0</v>
      </c>
      <c r="AG25" s="121" t="str">
        <f t="shared" si="13"/>
        <v/>
      </c>
      <c r="AH25" s="136">
        <f t="shared" si="14"/>
        <v>0</v>
      </c>
      <c r="AI25" s="132">
        <f t="shared" si="15"/>
        <v>0</v>
      </c>
      <c r="AJ25" s="132">
        <f t="shared" si="16"/>
        <v>0</v>
      </c>
      <c r="AK25" s="131">
        <f t="shared" si="24"/>
        <v>0</v>
      </c>
      <c r="AL25" s="124">
        <f t="shared" si="17"/>
        <v>0</v>
      </c>
      <c r="AM25" s="124"/>
      <c r="AN25" s="132"/>
      <c r="AO25" s="132"/>
      <c r="AP25" s="132"/>
      <c r="AQ25" s="133"/>
      <c r="AR25" s="133"/>
      <c r="AS25" s="133"/>
      <c r="AT25" s="133"/>
      <c r="AU25" s="134">
        <f t="shared" si="18"/>
        <v>0</v>
      </c>
      <c r="AV25" s="103">
        <v>21</v>
      </c>
      <c r="AW25" s="104">
        <f t="shared" si="25"/>
        <v>0</v>
      </c>
      <c r="AX25" s="156">
        <f t="shared" si="26"/>
        <v>0</v>
      </c>
    </row>
    <row r="26" spans="1:50" ht="15.75" customHeight="1">
      <c r="A26" s="103"/>
      <c r="B26" s="139">
        <f t="shared" si="19"/>
        <v>46075</v>
      </c>
      <c r="C26" s="195"/>
      <c r="D26" s="114"/>
      <c r="E26" s="115"/>
      <c r="F26" s="116"/>
      <c r="G26" s="117"/>
      <c r="H26" s="118" t="e">
        <f t="shared" si="0"/>
        <v>#DIV/0!</v>
      </c>
      <c r="I26" s="117"/>
      <c r="J26" s="118" t="e">
        <f t="shared" si="1"/>
        <v>#DIV/0!</v>
      </c>
      <c r="K26" s="120">
        <f t="shared" si="2"/>
        <v>0</v>
      </c>
      <c r="L26" s="121" t="str">
        <f t="shared" si="3"/>
        <v/>
      </c>
      <c r="M26" s="122"/>
      <c r="N26" s="123">
        <f t="shared" si="28"/>
        <v>0</v>
      </c>
      <c r="O26" s="124">
        <f t="shared" si="28"/>
        <v>0</v>
      </c>
      <c r="P26" s="118" t="e">
        <f t="shared" si="4"/>
        <v>#DIV/0!</v>
      </c>
      <c r="Q26" s="124">
        <f t="shared" si="21"/>
        <v>0</v>
      </c>
      <c r="R26" s="140" t="e">
        <f t="shared" si="5"/>
        <v>#DIV/0!</v>
      </c>
      <c r="S26" s="125">
        <f t="shared" si="22"/>
        <v>0</v>
      </c>
      <c r="T26" s="121" t="e">
        <f t="shared" si="6"/>
        <v>#DIV/0!</v>
      </c>
      <c r="U26" s="126">
        <f t="shared" si="27"/>
        <v>0</v>
      </c>
      <c r="V26" s="124">
        <f t="shared" si="27"/>
        <v>0</v>
      </c>
      <c r="W26" s="124">
        <f t="shared" si="8"/>
        <v>0</v>
      </c>
      <c r="X26" s="127">
        <f t="shared" si="23"/>
        <v>0</v>
      </c>
      <c r="Y26" s="124" t="e">
        <f t="shared" si="9"/>
        <v>#DIV/0!</v>
      </c>
      <c r="Z26" s="128"/>
      <c r="AA26" s="129"/>
      <c r="AB26" s="117"/>
      <c r="AC26" s="118" t="e">
        <f t="shared" si="10"/>
        <v>#DIV/0!</v>
      </c>
      <c r="AD26" s="117"/>
      <c r="AE26" s="119" t="e">
        <f t="shared" si="11"/>
        <v>#DIV/0!</v>
      </c>
      <c r="AF26" s="130">
        <f t="shared" si="12"/>
        <v>0</v>
      </c>
      <c r="AG26" s="121" t="str">
        <f t="shared" si="13"/>
        <v/>
      </c>
      <c r="AH26" s="136">
        <f t="shared" si="14"/>
        <v>0</v>
      </c>
      <c r="AI26" s="132">
        <f t="shared" si="15"/>
        <v>0</v>
      </c>
      <c r="AJ26" s="132">
        <f t="shared" si="16"/>
        <v>0</v>
      </c>
      <c r="AK26" s="131">
        <f t="shared" si="24"/>
        <v>0</v>
      </c>
      <c r="AL26" s="124">
        <f t="shared" si="17"/>
        <v>0</v>
      </c>
      <c r="AM26" s="124"/>
      <c r="AN26" s="132"/>
      <c r="AO26" s="132"/>
      <c r="AP26" s="132"/>
      <c r="AQ26" s="133"/>
      <c r="AR26" s="133"/>
      <c r="AS26" s="133"/>
      <c r="AT26" s="133"/>
      <c r="AU26" s="134">
        <f t="shared" si="18"/>
        <v>0</v>
      </c>
      <c r="AV26" s="103">
        <v>22</v>
      </c>
      <c r="AW26" s="104">
        <f t="shared" si="25"/>
        <v>0</v>
      </c>
      <c r="AX26" s="156">
        <f t="shared" si="26"/>
        <v>0</v>
      </c>
    </row>
    <row r="27" spans="1:50" ht="15.75" customHeight="1">
      <c r="A27" s="103"/>
      <c r="B27" s="151">
        <f t="shared" si="19"/>
        <v>46076</v>
      </c>
      <c r="C27" s="195" t="s">
        <v>66</v>
      </c>
      <c r="D27" s="114"/>
      <c r="E27" s="115"/>
      <c r="F27" s="116"/>
      <c r="G27" s="117"/>
      <c r="H27" s="118" t="e">
        <f t="shared" si="0"/>
        <v>#DIV/0!</v>
      </c>
      <c r="I27" s="117"/>
      <c r="J27" s="118" t="e">
        <f t="shared" si="1"/>
        <v>#DIV/0!</v>
      </c>
      <c r="K27" s="120">
        <f t="shared" si="2"/>
        <v>0</v>
      </c>
      <c r="L27" s="121" t="str">
        <f t="shared" si="3"/>
        <v/>
      </c>
      <c r="M27" s="122"/>
      <c r="N27" s="123">
        <f t="shared" si="28"/>
        <v>0</v>
      </c>
      <c r="O27" s="124">
        <f t="shared" si="28"/>
        <v>0</v>
      </c>
      <c r="P27" s="118" t="e">
        <f t="shared" si="4"/>
        <v>#DIV/0!</v>
      </c>
      <c r="Q27" s="124">
        <f t="shared" si="21"/>
        <v>0</v>
      </c>
      <c r="R27" s="119" t="e">
        <f t="shared" si="5"/>
        <v>#DIV/0!</v>
      </c>
      <c r="S27" s="125">
        <f t="shared" si="22"/>
        <v>0</v>
      </c>
      <c r="T27" s="121" t="e">
        <f t="shared" si="6"/>
        <v>#DIV/0!</v>
      </c>
      <c r="U27" s="126">
        <f t="shared" si="27"/>
        <v>0</v>
      </c>
      <c r="V27" s="124">
        <f t="shared" si="27"/>
        <v>0</v>
      </c>
      <c r="W27" s="124">
        <f t="shared" si="8"/>
        <v>0</v>
      </c>
      <c r="X27" s="127">
        <f t="shared" si="23"/>
        <v>0</v>
      </c>
      <c r="Y27" s="124" t="e">
        <f t="shared" si="9"/>
        <v>#DIV/0!</v>
      </c>
      <c r="Z27" s="128"/>
      <c r="AA27" s="129"/>
      <c r="AB27" s="117"/>
      <c r="AC27" s="118" t="e">
        <f t="shared" si="10"/>
        <v>#DIV/0!</v>
      </c>
      <c r="AD27" s="117"/>
      <c r="AE27" s="119" t="e">
        <f t="shared" si="11"/>
        <v>#DIV/0!</v>
      </c>
      <c r="AF27" s="130">
        <f t="shared" si="12"/>
        <v>0</v>
      </c>
      <c r="AG27" s="121" t="str">
        <f t="shared" si="13"/>
        <v/>
      </c>
      <c r="AH27" s="136">
        <f t="shared" si="14"/>
        <v>0</v>
      </c>
      <c r="AI27" s="132">
        <f t="shared" si="15"/>
        <v>0</v>
      </c>
      <c r="AJ27" s="132">
        <f t="shared" si="16"/>
        <v>0</v>
      </c>
      <c r="AK27" s="131">
        <f t="shared" si="24"/>
        <v>0</v>
      </c>
      <c r="AL27" s="124">
        <f t="shared" si="17"/>
        <v>0</v>
      </c>
      <c r="AM27" s="124"/>
      <c r="AN27" s="132"/>
      <c r="AO27" s="132"/>
      <c r="AP27" s="132"/>
      <c r="AQ27" s="133"/>
      <c r="AR27" s="133"/>
      <c r="AS27" s="133"/>
      <c r="AT27" s="133"/>
      <c r="AU27" s="134">
        <f t="shared" si="18"/>
        <v>0</v>
      </c>
      <c r="AV27" s="103">
        <v>23</v>
      </c>
      <c r="AW27" s="104">
        <f t="shared" si="25"/>
        <v>0</v>
      </c>
      <c r="AX27" s="156">
        <f t="shared" si="26"/>
        <v>0</v>
      </c>
    </row>
    <row r="28" spans="1:50" ht="15.75" customHeight="1">
      <c r="A28" s="103"/>
      <c r="B28" s="151">
        <f t="shared" si="19"/>
        <v>46077</v>
      </c>
      <c r="C28" s="195" t="s">
        <v>66</v>
      </c>
      <c r="D28" s="114"/>
      <c r="E28" s="115"/>
      <c r="F28" s="116"/>
      <c r="G28" s="117"/>
      <c r="H28" s="118" t="e">
        <f t="shared" si="0"/>
        <v>#DIV/0!</v>
      </c>
      <c r="I28" s="117"/>
      <c r="J28" s="118" t="e">
        <f t="shared" si="1"/>
        <v>#DIV/0!</v>
      </c>
      <c r="K28" s="120">
        <f t="shared" si="2"/>
        <v>0</v>
      </c>
      <c r="L28" s="121" t="str">
        <f t="shared" si="3"/>
        <v/>
      </c>
      <c r="M28" s="122"/>
      <c r="N28" s="123">
        <f t="shared" si="28"/>
        <v>0</v>
      </c>
      <c r="O28" s="124">
        <f t="shared" si="28"/>
        <v>0</v>
      </c>
      <c r="P28" s="118" t="e">
        <f t="shared" si="4"/>
        <v>#DIV/0!</v>
      </c>
      <c r="Q28" s="124">
        <f t="shared" si="21"/>
        <v>0</v>
      </c>
      <c r="R28" s="119" t="e">
        <f t="shared" si="5"/>
        <v>#DIV/0!</v>
      </c>
      <c r="S28" s="125">
        <f t="shared" si="22"/>
        <v>0</v>
      </c>
      <c r="T28" s="121" t="e">
        <f t="shared" si="6"/>
        <v>#DIV/0!</v>
      </c>
      <c r="U28" s="126">
        <f t="shared" si="27"/>
        <v>0</v>
      </c>
      <c r="V28" s="124">
        <f t="shared" si="27"/>
        <v>0</v>
      </c>
      <c r="W28" s="124">
        <f t="shared" si="8"/>
        <v>0</v>
      </c>
      <c r="X28" s="127">
        <f t="shared" si="23"/>
        <v>0</v>
      </c>
      <c r="Y28" s="124" t="e">
        <f t="shared" si="9"/>
        <v>#DIV/0!</v>
      </c>
      <c r="Z28" s="128"/>
      <c r="AA28" s="129"/>
      <c r="AB28" s="117"/>
      <c r="AC28" s="118" t="e">
        <f t="shared" si="10"/>
        <v>#DIV/0!</v>
      </c>
      <c r="AD28" s="117"/>
      <c r="AE28" s="119" t="e">
        <f t="shared" si="11"/>
        <v>#DIV/0!</v>
      </c>
      <c r="AF28" s="130">
        <f t="shared" si="12"/>
        <v>0</v>
      </c>
      <c r="AG28" s="121" t="str">
        <f t="shared" si="13"/>
        <v/>
      </c>
      <c r="AH28" s="136">
        <f t="shared" si="14"/>
        <v>0</v>
      </c>
      <c r="AI28" s="132">
        <f t="shared" si="15"/>
        <v>0</v>
      </c>
      <c r="AJ28" s="132">
        <f t="shared" si="16"/>
        <v>0</v>
      </c>
      <c r="AK28" s="131">
        <f t="shared" si="24"/>
        <v>0</v>
      </c>
      <c r="AL28" s="124">
        <f t="shared" si="17"/>
        <v>0</v>
      </c>
      <c r="AM28" s="124"/>
      <c r="AN28" s="132"/>
      <c r="AO28" s="132"/>
      <c r="AP28" s="132"/>
      <c r="AQ28" s="133"/>
      <c r="AR28" s="133"/>
      <c r="AS28" s="133"/>
      <c r="AT28" s="133"/>
      <c r="AU28" s="134">
        <f t="shared" si="18"/>
        <v>0</v>
      </c>
      <c r="AV28" s="103">
        <v>24</v>
      </c>
      <c r="AW28" s="104">
        <f t="shared" si="25"/>
        <v>0</v>
      </c>
      <c r="AX28" s="156">
        <f t="shared" si="26"/>
        <v>0</v>
      </c>
    </row>
    <row r="29" spans="1:50" ht="15.75" customHeight="1">
      <c r="A29" s="103"/>
      <c r="B29" s="151">
        <f t="shared" si="19"/>
        <v>46078</v>
      </c>
      <c r="C29" s="195" t="s">
        <v>66</v>
      </c>
      <c r="D29" s="114"/>
      <c r="E29" s="115"/>
      <c r="F29" s="116"/>
      <c r="G29" s="117"/>
      <c r="H29" s="118" t="e">
        <f t="shared" si="0"/>
        <v>#DIV/0!</v>
      </c>
      <c r="I29" s="117"/>
      <c r="J29" s="118" t="e">
        <f t="shared" si="1"/>
        <v>#DIV/0!</v>
      </c>
      <c r="K29" s="120">
        <f t="shared" si="2"/>
        <v>0</v>
      </c>
      <c r="L29" s="121" t="str">
        <f t="shared" si="3"/>
        <v/>
      </c>
      <c r="M29" s="122"/>
      <c r="N29" s="123">
        <f t="shared" si="28"/>
        <v>0</v>
      </c>
      <c r="O29" s="124">
        <f t="shared" si="28"/>
        <v>0</v>
      </c>
      <c r="P29" s="118" t="e">
        <f t="shared" si="4"/>
        <v>#DIV/0!</v>
      </c>
      <c r="Q29" s="124">
        <f t="shared" si="21"/>
        <v>0</v>
      </c>
      <c r="R29" s="119" t="e">
        <f t="shared" si="5"/>
        <v>#DIV/0!</v>
      </c>
      <c r="S29" s="125">
        <f t="shared" si="22"/>
        <v>0</v>
      </c>
      <c r="T29" s="121" t="e">
        <f t="shared" si="6"/>
        <v>#DIV/0!</v>
      </c>
      <c r="U29" s="126">
        <f t="shared" si="27"/>
        <v>0</v>
      </c>
      <c r="V29" s="124">
        <f t="shared" si="27"/>
        <v>0</v>
      </c>
      <c r="W29" s="124">
        <f t="shared" si="8"/>
        <v>0</v>
      </c>
      <c r="X29" s="127">
        <f t="shared" si="23"/>
        <v>0</v>
      </c>
      <c r="Y29" s="124" t="e">
        <f t="shared" si="9"/>
        <v>#DIV/0!</v>
      </c>
      <c r="Z29" s="128"/>
      <c r="AA29" s="129"/>
      <c r="AB29" s="117"/>
      <c r="AC29" s="118" t="e">
        <f t="shared" si="10"/>
        <v>#DIV/0!</v>
      </c>
      <c r="AD29" s="117"/>
      <c r="AE29" s="119" t="e">
        <f t="shared" si="11"/>
        <v>#DIV/0!</v>
      </c>
      <c r="AF29" s="130">
        <f t="shared" si="12"/>
        <v>0</v>
      </c>
      <c r="AG29" s="121" t="str">
        <f t="shared" si="13"/>
        <v/>
      </c>
      <c r="AH29" s="136">
        <f t="shared" si="14"/>
        <v>0</v>
      </c>
      <c r="AI29" s="132">
        <f t="shared" si="15"/>
        <v>0</v>
      </c>
      <c r="AJ29" s="132">
        <f t="shared" si="16"/>
        <v>0</v>
      </c>
      <c r="AK29" s="131">
        <f t="shared" si="24"/>
        <v>0</v>
      </c>
      <c r="AL29" s="124">
        <f t="shared" si="17"/>
        <v>0</v>
      </c>
      <c r="AM29" s="124"/>
      <c r="AN29" s="132"/>
      <c r="AO29" s="132"/>
      <c r="AP29" s="132"/>
      <c r="AQ29" s="133"/>
      <c r="AR29" s="133"/>
      <c r="AS29" s="133"/>
      <c r="AT29" s="133"/>
      <c r="AU29" s="134">
        <f t="shared" si="18"/>
        <v>0</v>
      </c>
      <c r="AV29" s="103">
        <v>25</v>
      </c>
      <c r="AW29" s="104">
        <f t="shared" si="25"/>
        <v>0</v>
      </c>
      <c r="AX29" s="156">
        <f t="shared" si="26"/>
        <v>0</v>
      </c>
    </row>
    <row r="30" spans="1:50" ht="15.75" customHeight="1">
      <c r="A30" s="103"/>
      <c r="B30" s="151">
        <f t="shared" si="19"/>
        <v>46079</v>
      </c>
      <c r="C30" s="195" t="s">
        <v>66</v>
      </c>
      <c r="D30" s="114"/>
      <c r="E30" s="115"/>
      <c r="F30" s="116"/>
      <c r="G30" s="117"/>
      <c r="H30" s="118" t="e">
        <f>ROUNDDOWN(G30/1.1,0)/F30</f>
        <v>#DIV/0!</v>
      </c>
      <c r="I30" s="117"/>
      <c r="J30" s="118" t="e">
        <f>ROUNDDOWN(I30/1.1,0)/F30</f>
        <v>#DIV/0!</v>
      </c>
      <c r="K30" s="120">
        <f t="shared" si="2"/>
        <v>0</v>
      </c>
      <c r="L30" s="121" t="str">
        <f>IF(F30="","",K30/F30)</f>
        <v/>
      </c>
      <c r="M30" s="122"/>
      <c r="N30" s="123">
        <f t="shared" si="28"/>
        <v>0</v>
      </c>
      <c r="O30" s="124">
        <f t="shared" si="28"/>
        <v>0</v>
      </c>
      <c r="P30" s="118" t="e">
        <f t="shared" si="4"/>
        <v>#DIV/0!</v>
      </c>
      <c r="Q30" s="124">
        <f t="shared" si="21"/>
        <v>0</v>
      </c>
      <c r="R30" s="118" t="e">
        <f t="shared" si="5"/>
        <v>#DIV/0!</v>
      </c>
      <c r="S30" s="125">
        <f t="shared" si="22"/>
        <v>0</v>
      </c>
      <c r="T30" s="121" t="e">
        <f t="shared" si="6"/>
        <v>#DIV/0!</v>
      </c>
      <c r="U30" s="126">
        <f>F30+N30</f>
        <v>0</v>
      </c>
      <c r="V30" s="124">
        <f t="shared" si="27"/>
        <v>0</v>
      </c>
      <c r="W30" s="124">
        <f t="shared" si="8"/>
        <v>0</v>
      </c>
      <c r="X30" s="127">
        <f t="shared" si="23"/>
        <v>0</v>
      </c>
      <c r="Y30" s="124" t="e">
        <f t="shared" si="9"/>
        <v>#DIV/0!</v>
      </c>
      <c r="Z30" s="128"/>
      <c r="AA30" s="129"/>
      <c r="AB30" s="117"/>
      <c r="AC30" s="118" t="e">
        <f t="shared" si="10"/>
        <v>#DIV/0!</v>
      </c>
      <c r="AD30" s="117"/>
      <c r="AE30" s="119" t="e">
        <f t="shared" si="11"/>
        <v>#DIV/0!</v>
      </c>
      <c r="AF30" s="130">
        <f t="shared" si="12"/>
        <v>0</v>
      </c>
      <c r="AG30" s="121" t="str">
        <f t="shared" si="13"/>
        <v/>
      </c>
      <c r="AH30" s="136">
        <f t="shared" si="14"/>
        <v>0</v>
      </c>
      <c r="AI30" s="132">
        <f t="shared" si="15"/>
        <v>0</v>
      </c>
      <c r="AJ30" s="132">
        <f t="shared" si="16"/>
        <v>0</v>
      </c>
      <c r="AK30" s="131">
        <f t="shared" si="24"/>
        <v>0</v>
      </c>
      <c r="AL30" s="124">
        <f t="shared" si="17"/>
        <v>0</v>
      </c>
      <c r="AM30" s="124"/>
      <c r="AN30" s="132"/>
      <c r="AO30" s="132"/>
      <c r="AP30" s="132"/>
      <c r="AQ30" s="133"/>
      <c r="AR30" s="133"/>
      <c r="AS30" s="133"/>
      <c r="AT30" s="133"/>
      <c r="AU30" s="134">
        <f t="shared" si="18"/>
        <v>0</v>
      </c>
      <c r="AV30" s="103">
        <v>26</v>
      </c>
      <c r="AW30" s="104">
        <f t="shared" si="25"/>
        <v>0</v>
      </c>
      <c r="AX30" s="156">
        <f t="shared" si="26"/>
        <v>0</v>
      </c>
    </row>
    <row r="31" spans="1:50" ht="15.75" customHeight="1">
      <c r="A31" s="103"/>
      <c r="B31" s="151">
        <f t="shared" si="19"/>
        <v>46080</v>
      </c>
      <c r="C31" s="195" t="s">
        <v>66</v>
      </c>
      <c r="D31" s="114"/>
      <c r="E31" s="115"/>
      <c r="F31" s="116"/>
      <c r="G31" s="117"/>
      <c r="H31" s="118" t="e">
        <f>ROUNDDOWN(G31/1.1,0)/F31</f>
        <v>#DIV/0!</v>
      </c>
      <c r="I31" s="117"/>
      <c r="J31" s="118" t="e">
        <f>ROUNDDOWN(I31/1.1,0)/F31</f>
        <v>#DIV/0!</v>
      </c>
      <c r="K31" s="120">
        <f t="shared" si="2"/>
        <v>0</v>
      </c>
      <c r="L31" s="121" t="str">
        <f>IF(F31="","",K31/F31)</f>
        <v/>
      </c>
      <c r="M31" s="122"/>
      <c r="N31" s="123">
        <f t="shared" si="28"/>
        <v>0</v>
      </c>
      <c r="O31" s="124">
        <f t="shared" si="28"/>
        <v>0</v>
      </c>
      <c r="P31" s="118" t="e">
        <f t="shared" si="4"/>
        <v>#DIV/0!</v>
      </c>
      <c r="Q31" s="124">
        <f t="shared" si="21"/>
        <v>0</v>
      </c>
      <c r="R31" s="118" t="e">
        <f t="shared" si="5"/>
        <v>#DIV/0!</v>
      </c>
      <c r="S31" s="125">
        <f t="shared" si="22"/>
        <v>0</v>
      </c>
      <c r="T31" s="121" t="e">
        <f t="shared" si="6"/>
        <v>#DIV/0!</v>
      </c>
      <c r="U31" s="126">
        <f>F31+N31</f>
        <v>0</v>
      </c>
      <c r="V31" s="124">
        <f t="shared" si="27"/>
        <v>0</v>
      </c>
      <c r="W31" s="124">
        <f t="shared" si="8"/>
        <v>0</v>
      </c>
      <c r="X31" s="127">
        <f t="shared" si="23"/>
        <v>0</v>
      </c>
      <c r="Y31" s="124" t="e">
        <f t="shared" si="9"/>
        <v>#DIV/0!</v>
      </c>
      <c r="Z31" s="128"/>
      <c r="AA31" s="129"/>
      <c r="AB31" s="117"/>
      <c r="AC31" s="118" t="e">
        <f t="shared" si="10"/>
        <v>#DIV/0!</v>
      </c>
      <c r="AD31" s="117"/>
      <c r="AE31" s="119" t="e">
        <f t="shared" si="11"/>
        <v>#DIV/0!</v>
      </c>
      <c r="AF31" s="130">
        <f t="shared" si="12"/>
        <v>0</v>
      </c>
      <c r="AG31" s="121" t="str">
        <f t="shared" si="13"/>
        <v/>
      </c>
      <c r="AH31" s="136">
        <f t="shared" si="14"/>
        <v>0</v>
      </c>
      <c r="AI31" s="132">
        <f t="shared" si="15"/>
        <v>0</v>
      </c>
      <c r="AJ31" s="132">
        <f t="shared" si="16"/>
        <v>0</v>
      </c>
      <c r="AK31" s="131">
        <f t="shared" si="24"/>
        <v>0</v>
      </c>
      <c r="AL31" s="124">
        <f t="shared" si="17"/>
        <v>0</v>
      </c>
      <c r="AM31" s="124"/>
      <c r="AN31" s="132"/>
      <c r="AO31" s="132"/>
      <c r="AP31" s="132"/>
      <c r="AQ31" s="133"/>
      <c r="AR31" s="133"/>
      <c r="AS31" s="133"/>
      <c r="AT31" s="133"/>
      <c r="AU31" s="134">
        <f t="shared" si="18"/>
        <v>0</v>
      </c>
      <c r="AV31" s="103">
        <v>27</v>
      </c>
      <c r="AW31" s="104">
        <f t="shared" si="25"/>
        <v>0</v>
      </c>
      <c r="AX31" s="156">
        <f t="shared" si="26"/>
        <v>0</v>
      </c>
    </row>
    <row r="32" spans="1:50" ht="15.75" customHeight="1" thickBot="1">
      <c r="A32" s="103"/>
      <c r="B32" s="138">
        <f t="shared" si="19"/>
        <v>46081</v>
      </c>
      <c r="C32" s="195"/>
      <c r="D32" s="114"/>
      <c r="E32" s="115"/>
      <c r="F32" s="116"/>
      <c r="G32" s="117"/>
      <c r="H32" s="118" t="e">
        <f t="shared" si="0"/>
        <v>#DIV/0!</v>
      </c>
      <c r="I32" s="117"/>
      <c r="J32" s="118" t="e">
        <f t="shared" si="1"/>
        <v>#DIV/0!</v>
      </c>
      <c r="K32" s="120">
        <f t="shared" si="2"/>
        <v>0</v>
      </c>
      <c r="L32" s="121" t="str">
        <f t="shared" si="3"/>
        <v/>
      </c>
      <c r="M32" s="122"/>
      <c r="N32" s="123">
        <f t="shared" si="28"/>
        <v>0</v>
      </c>
      <c r="O32" s="124">
        <f t="shared" si="28"/>
        <v>0</v>
      </c>
      <c r="P32" s="118" t="e">
        <f t="shared" si="4"/>
        <v>#DIV/0!</v>
      </c>
      <c r="Q32" s="124">
        <f t="shared" si="21"/>
        <v>0</v>
      </c>
      <c r="R32" s="118" t="e">
        <f t="shared" si="5"/>
        <v>#DIV/0!</v>
      </c>
      <c r="S32" s="125">
        <f t="shared" si="22"/>
        <v>0</v>
      </c>
      <c r="T32" s="121" t="e">
        <f t="shared" si="6"/>
        <v>#DIV/0!</v>
      </c>
      <c r="U32" s="126">
        <f t="shared" si="27"/>
        <v>0</v>
      </c>
      <c r="V32" s="124">
        <f t="shared" si="27"/>
        <v>0</v>
      </c>
      <c r="W32" s="124">
        <f t="shared" si="8"/>
        <v>0</v>
      </c>
      <c r="X32" s="127">
        <f t="shared" si="23"/>
        <v>0</v>
      </c>
      <c r="Y32" s="124" t="e">
        <f t="shared" si="9"/>
        <v>#DIV/0!</v>
      </c>
      <c r="Z32" s="128"/>
      <c r="AA32" s="129"/>
      <c r="AB32" s="117"/>
      <c r="AC32" s="118" t="e">
        <f t="shared" si="10"/>
        <v>#DIV/0!</v>
      </c>
      <c r="AD32" s="117"/>
      <c r="AE32" s="119" t="e">
        <f t="shared" si="11"/>
        <v>#DIV/0!</v>
      </c>
      <c r="AF32" s="130">
        <f t="shared" si="12"/>
        <v>0</v>
      </c>
      <c r="AG32" s="121" t="str">
        <f t="shared" si="13"/>
        <v/>
      </c>
      <c r="AH32" s="136">
        <f t="shared" si="14"/>
        <v>0</v>
      </c>
      <c r="AI32" s="132">
        <f t="shared" si="15"/>
        <v>0</v>
      </c>
      <c r="AJ32" s="132">
        <f t="shared" si="16"/>
        <v>0</v>
      </c>
      <c r="AK32" s="131">
        <f t="shared" si="24"/>
        <v>0</v>
      </c>
      <c r="AL32" s="124">
        <f t="shared" si="17"/>
        <v>0</v>
      </c>
      <c r="AM32" s="124"/>
      <c r="AN32" s="132"/>
      <c r="AO32" s="132"/>
      <c r="AP32" s="132"/>
      <c r="AQ32" s="133"/>
      <c r="AR32" s="133"/>
      <c r="AS32" s="133"/>
      <c r="AT32" s="133"/>
      <c r="AU32" s="134">
        <f t="shared" si="18"/>
        <v>0</v>
      </c>
      <c r="AV32" s="103">
        <v>28</v>
      </c>
      <c r="AW32" s="104">
        <f t="shared" si="25"/>
        <v>0</v>
      </c>
      <c r="AX32" s="156">
        <f t="shared" si="26"/>
        <v>0</v>
      </c>
    </row>
    <row r="33" spans="1:49" ht="15.75" customHeight="1" thickTop="1" thickBot="1">
      <c r="A33" s="26"/>
      <c r="B33" s="27" t="s">
        <v>25</v>
      </c>
      <c r="C33" s="196">
        <f>SUM(C5:C32)</f>
        <v>0</v>
      </c>
      <c r="D33" s="141"/>
      <c r="E33" s="29">
        <f>SUM(E5:E32)</f>
        <v>0</v>
      </c>
      <c r="F33" s="30">
        <f>SUM(F5:F32)</f>
        <v>38</v>
      </c>
      <c r="G33" s="31">
        <f>SUM(G5:G32)</f>
        <v>114752</v>
      </c>
      <c r="H33" s="32">
        <f>G33/F33</f>
        <v>3019.7894736842104</v>
      </c>
      <c r="I33" s="28">
        <f>SUM(I5:I32)</f>
        <v>32570</v>
      </c>
      <c r="J33" s="33">
        <f>I33/F33</f>
        <v>857.10526315789468</v>
      </c>
      <c r="K33" s="34">
        <f>SUM(K5:K32)</f>
        <v>147322</v>
      </c>
      <c r="L33" s="35">
        <f>K33/F33</f>
        <v>3876.8947368421054</v>
      </c>
      <c r="M33" s="36">
        <f>SUM(M5:M32)</f>
        <v>0</v>
      </c>
      <c r="N33" s="30">
        <f>SUM(N5:N32)</f>
        <v>345</v>
      </c>
      <c r="O33" s="31">
        <f>SUM(O5:O32)</f>
        <v>3257910</v>
      </c>
      <c r="P33" s="32">
        <f>O33/N33</f>
        <v>9443.217391304348</v>
      </c>
      <c r="Q33" s="37">
        <f>SUM(Q5:Q32)</f>
        <v>613140</v>
      </c>
      <c r="R33" s="33">
        <f>Q33/N33</f>
        <v>1777.2173913043478</v>
      </c>
      <c r="S33" s="38">
        <f>SUM(S5:S32)</f>
        <v>3871050</v>
      </c>
      <c r="T33" s="39">
        <f>S33/N33</f>
        <v>11220.434782608696</v>
      </c>
      <c r="U33" s="30">
        <f>SUM(U5:U32)</f>
        <v>383</v>
      </c>
      <c r="V33" s="40">
        <f>SUM(V5:V32)</f>
        <v>3372662</v>
      </c>
      <c r="W33" s="37">
        <f>SUM(W5:W32)</f>
        <v>645710</v>
      </c>
      <c r="X33" s="41">
        <f>SUM(X5:X32)</f>
        <v>4018372</v>
      </c>
      <c r="Y33" s="42">
        <f>X33/U33</f>
        <v>10491.832898172324</v>
      </c>
      <c r="Z33" s="29">
        <f>SUM(Z5:Z32)</f>
        <v>0</v>
      </c>
      <c r="AA33" s="30">
        <f>SUM(AA5:AA32)</f>
        <v>1685</v>
      </c>
      <c r="AB33" s="43">
        <f>SUM(AB5:AB32)</f>
        <v>1160150</v>
      </c>
      <c r="AC33" s="32"/>
      <c r="AD33" s="28">
        <f>SUM(AD5:AD32)</f>
        <v>551930</v>
      </c>
      <c r="AE33" s="33"/>
      <c r="AF33" s="44">
        <f>SUM(AF5:AF32)</f>
        <v>1712080</v>
      </c>
      <c r="AG33" s="45">
        <f>AF33/AA33</f>
        <v>1016.0712166172107</v>
      </c>
      <c r="AH33" s="30">
        <f t="shared" ref="AH33:AU33" si="29">SUM(AH5:AH32)</f>
        <v>383</v>
      </c>
      <c r="AI33" s="40">
        <f t="shared" si="29"/>
        <v>4532812</v>
      </c>
      <c r="AJ33" s="37">
        <f t="shared" si="29"/>
        <v>1197640</v>
      </c>
      <c r="AK33" s="38">
        <f t="shared" si="29"/>
        <v>5730452</v>
      </c>
      <c r="AL33" s="28">
        <f t="shared" si="29"/>
        <v>465830</v>
      </c>
      <c r="AM33" s="152">
        <f t="shared" si="29"/>
        <v>1600</v>
      </c>
      <c r="AN33" s="46">
        <f t="shared" si="29"/>
        <v>383</v>
      </c>
      <c r="AO33" s="46">
        <f t="shared" si="29"/>
        <v>3372662</v>
      </c>
      <c r="AP33" s="46">
        <f t="shared" si="29"/>
        <v>645710</v>
      </c>
      <c r="AQ33" s="46">
        <f t="shared" si="29"/>
        <v>421850</v>
      </c>
      <c r="AR33" s="46">
        <f t="shared" si="29"/>
        <v>43980</v>
      </c>
      <c r="AS33" s="46">
        <f t="shared" si="29"/>
        <v>0</v>
      </c>
      <c r="AT33" s="46">
        <f t="shared" si="29"/>
        <v>9900</v>
      </c>
      <c r="AU33" s="46">
        <f t="shared" si="29"/>
        <v>4484202</v>
      </c>
      <c r="AV33" s="26"/>
      <c r="AW33" s="47">
        <f>SUM(AW5:AW32)</f>
        <v>4494102</v>
      </c>
    </row>
    <row r="34" spans="1:49" ht="15.75" customHeight="1" thickTop="1">
      <c r="A34" s="26"/>
      <c r="B34" s="48"/>
      <c r="C34" s="142"/>
      <c r="D34" s="75"/>
      <c r="E34" s="26"/>
      <c r="F34" s="49" t="s">
        <v>34</v>
      </c>
      <c r="G34" s="50">
        <f>G33/1.1</f>
        <v>104319.99999999999</v>
      </c>
      <c r="H34" s="51">
        <f>G34/F33</f>
        <v>2745.2631578947367</v>
      </c>
      <c r="I34" s="24">
        <f>I33/1.1</f>
        <v>29609.090909090908</v>
      </c>
      <c r="J34" s="51">
        <f>I34/F33</f>
        <v>779.18660287081332</v>
      </c>
      <c r="K34" s="46">
        <f>K33/1.1</f>
        <v>133929.09090909091</v>
      </c>
      <c r="L34" s="52">
        <f>H34+J34</f>
        <v>3524.4497607655499</v>
      </c>
      <c r="M34" s="53"/>
      <c r="N34" s="49" t="s">
        <v>34</v>
      </c>
      <c r="O34" s="50">
        <f>O33/1.1</f>
        <v>2961736.3636363633</v>
      </c>
      <c r="P34" s="51">
        <f>O34/N33</f>
        <v>8584.7430830039521</v>
      </c>
      <c r="Q34" s="50">
        <f>Q33/1.1</f>
        <v>557400</v>
      </c>
      <c r="R34" s="51">
        <f>Q34/N33</f>
        <v>1615.6521739130435</v>
      </c>
      <c r="S34" s="51">
        <f>S33/1.1</f>
        <v>3519136.3636363633</v>
      </c>
      <c r="T34" s="54">
        <f>S34/N33</f>
        <v>10200.395256916994</v>
      </c>
      <c r="U34" s="49" t="s">
        <v>34</v>
      </c>
      <c r="V34" s="50">
        <f>V33/1.1</f>
        <v>3066056.3636363633</v>
      </c>
      <c r="W34" s="50">
        <f>W33/1.1</f>
        <v>587009.09090909082</v>
      </c>
      <c r="X34" s="55">
        <f>X33/1.1</f>
        <v>3653065.4545454541</v>
      </c>
      <c r="Y34" s="42">
        <f>X34/U33</f>
        <v>9538.0299074293835</v>
      </c>
      <c r="Z34" s="53"/>
      <c r="AA34" s="49" t="s">
        <v>34</v>
      </c>
      <c r="AB34" s="50">
        <f>AB33/1.1</f>
        <v>1054681.8181818181</v>
      </c>
      <c r="AC34" s="24">
        <f>AB34/AA33</f>
        <v>625.9239277043431</v>
      </c>
      <c r="AD34" s="24">
        <f>AD33/1.1</f>
        <v>501754.54545454541</v>
      </c>
      <c r="AE34" s="24">
        <f>AD34/AA33</f>
        <v>297.77717831130292</v>
      </c>
      <c r="AF34" s="51">
        <f>AF33/1.1</f>
        <v>1556436.3636363635</v>
      </c>
      <c r="AG34" s="56">
        <f>AF34/AA33</f>
        <v>923.70110601564602</v>
      </c>
      <c r="AH34" s="49" t="s">
        <v>34</v>
      </c>
      <c r="AI34" s="57">
        <f>AI33/1.1</f>
        <v>4120738.1818181816</v>
      </c>
      <c r="AJ34" s="50">
        <f>AJ33/1.1</f>
        <v>1088763.6363636362</v>
      </c>
      <c r="AK34" s="51">
        <f>AK33/1.1</f>
        <v>5209501.8181818174</v>
      </c>
      <c r="AL34" s="153">
        <f>AL33/1.1</f>
        <v>423481.81818181818</v>
      </c>
      <c r="AM34" s="154">
        <f>AM33/1.08</f>
        <v>1481.4814814814813</v>
      </c>
      <c r="AN34" s="26"/>
      <c r="AO34" s="26"/>
      <c r="AP34" s="26"/>
      <c r="AQ34" s="26"/>
      <c r="AR34" s="58"/>
      <c r="AS34" s="26"/>
      <c r="AT34" s="26"/>
      <c r="AU34" s="58"/>
      <c r="AV34" s="26"/>
      <c r="AW34" s="58"/>
    </row>
    <row r="35" spans="1:49" ht="15.75" customHeight="1">
      <c r="A35" s="23"/>
      <c r="B35" s="59"/>
      <c r="C35" s="143"/>
      <c r="D35" s="76"/>
      <c r="E35" s="23"/>
      <c r="F35" s="60" t="s">
        <v>35</v>
      </c>
      <c r="G35" s="61">
        <f>F33/H35</f>
        <v>12.666666666666666</v>
      </c>
      <c r="H35" s="62">
        <v>3</v>
      </c>
      <c r="I35" s="63" t="s">
        <v>36</v>
      </c>
      <c r="J35" s="61"/>
      <c r="K35" s="64" t="s">
        <v>37</v>
      </c>
      <c r="L35" s="65">
        <f>K34/H35</f>
        <v>44643.030303030304</v>
      </c>
      <c r="M35" s="23"/>
      <c r="N35" s="60" t="s">
        <v>35</v>
      </c>
      <c r="O35" s="61">
        <f>N33/P35</f>
        <v>38.333333333333336</v>
      </c>
      <c r="P35" s="62">
        <v>9</v>
      </c>
      <c r="Q35" s="63" t="s">
        <v>36</v>
      </c>
      <c r="R35" s="61"/>
      <c r="S35" s="64" t="s">
        <v>37</v>
      </c>
      <c r="T35" s="66">
        <f>S34/P35</f>
        <v>391015.15151515149</v>
      </c>
      <c r="U35" s="23"/>
      <c r="V35" s="23"/>
      <c r="W35" s="23"/>
      <c r="X35" s="25"/>
      <c r="Y35" s="25"/>
      <c r="Z35" s="23"/>
      <c r="AA35" s="23"/>
      <c r="AB35" s="67">
        <f>P35</f>
        <v>9</v>
      </c>
      <c r="AC35" s="63" t="s">
        <v>36</v>
      </c>
      <c r="AD35" s="61"/>
      <c r="AE35" s="61"/>
      <c r="AF35" s="64" t="s">
        <v>37</v>
      </c>
      <c r="AG35" s="68">
        <f>AF34/AB35</f>
        <v>172937.37373737374</v>
      </c>
      <c r="AH35" s="23"/>
      <c r="AI35" s="23"/>
      <c r="AJ35" s="23" t="s">
        <v>50</v>
      </c>
      <c r="AK35" s="25"/>
      <c r="AL35" s="25">
        <f>AK34/AN35</f>
        <v>2519.1014594689641</v>
      </c>
      <c r="AM35" s="25"/>
      <c r="AN35" s="69">
        <f>AH33+AA33</f>
        <v>2068</v>
      </c>
      <c r="AO35" s="23" t="s">
        <v>51</v>
      </c>
      <c r="AP35" s="23"/>
      <c r="AQ35" s="23"/>
      <c r="AR35" s="25"/>
      <c r="AS35" s="23"/>
      <c r="AT35" s="23"/>
      <c r="AU35" s="25"/>
      <c r="AV35" s="23"/>
      <c r="AW35" s="25">
        <f>AW33/1.1</f>
        <v>4085547.2727272725</v>
      </c>
    </row>
    <row r="36" spans="1:49" ht="15.75" customHeight="1">
      <c r="A36" s="23"/>
      <c r="B36" s="59"/>
      <c r="C36" s="143"/>
      <c r="D36" s="76"/>
      <c r="E36" s="70" t="s">
        <v>38</v>
      </c>
      <c r="F36" s="71"/>
      <c r="G36" s="61"/>
      <c r="H36" s="72"/>
      <c r="I36" s="61"/>
      <c r="J36" s="61"/>
      <c r="K36" s="64"/>
      <c r="L36" s="68"/>
      <c r="M36" s="73" t="s">
        <v>39</v>
      </c>
      <c r="N36" s="60"/>
      <c r="O36" s="61"/>
      <c r="P36" s="61"/>
      <c r="Q36" s="61"/>
      <c r="R36" s="61"/>
      <c r="S36" s="64"/>
      <c r="T36" s="68"/>
      <c r="U36" s="23"/>
      <c r="V36" s="23"/>
      <c r="W36" s="23"/>
      <c r="X36" s="25"/>
      <c r="Y36" s="25"/>
      <c r="Z36" s="73" t="s">
        <v>40</v>
      </c>
      <c r="AA36" s="23"/>
      <c r="AB36" s="61"/>
      <c r="AC36" s="61"/>
      <c r="AD36" s="61"/>
      <c r="AE36" s="61"/>
      <c r="AF36" s="61"/>
      <c r="AG36" s="68"/>
      <c r="AH36" s="23"/>
      <c r="AI36" s="23"/>
      <c r="AJ36" s="23" t="s">
        <v>52</v>
      </c>
      <c r="AL36" s="74">
        <f>AK34/AB35</f>
        <v>578833.53535353532</v>
      </c>
      <c r="AM36" s="74"/>
      <c r="AN36" s="23" t="s">
        <v>53</v>
      </c>
      <c r="AO36" s="23"/>
      <c r="AP36" s="23"/>
      <c r="AQ36" s="23"/>
      <c r="AR36" s="25"/>
      <c r="AS36" s="23"/>
      <c r="AT36" s="23"/>
      <c r="AU36" s="25"/>
      <c r="AV36" s="23"/>
      <c r="AW36" s="25"/>
    </row>
    <row r="37" spans="1:49" ht="21" customHeight="1">
      <c r="A37" s="23"/>
      <c r="B37" s="59"/>
      <c r="C37" s="144"/>
      <c r="D37" s="76"/>
      <c r="E37" s="173"/>
      <c r="F37" s="174"/>
      <c r="G37" s="174"/>
      <c r="H37" s="174"/>
      <c r="I37" s="174"/>
      <c r="J37" s="174"/>
      <c r="K37" s="174"/>
      <c r="L37" s="175"/>
      <c r="M37" s="173"/>
      <c r="N37" s="174"/>
      <c r="O37" s="174"/>
      <c r="P37" s="174"/>
      <c r="Q37" s="174"/>
      <c r="R37" s="174"/>
      <c r="S37" s="174"/>
      <c r="T37" s="175"/>
      <c r="U37" s="23"/>
      <c r="V37" s="23"/>
      <c r="W37" s="23"/>
      <c r="X37" s="25"/>
      <c r="Y37" s="23"/>
      <c r="Z37" s="173"/>
      <c r="AA37" s="174"/>
      <c r="AB37" s="174"/>
      <c r="AC37" s="174"/>
      <c r="AD37" s="174"/>
      <c r="AE37" s="174"/>
      <c r="AF37" s="174"/>
      <c r="AG37" s="175"/>
      <c r="AH37" s="23"/>
      <c r="AI37" s="23"/>
      <c r="AJ37" s="23" t="s">
        <v>54</v>
      </c>
      <c r="AK37" s="25">
        <f>AK33+AL33+AM33</f>
        <v>6197882</v>
      </c>
      <c r="AL37" s="74">
        <f>AK37/AB35</f>
        <v>688653.5555555555</v>
      </c>
      <c r="AM37" s="74"/>
      <c r="AN37" s="23" t="s">
        <v>41</v>
      </c>
      <c r="AO37" s="23"/>
      <c r="AP37" s="23"/>
      <c r="AQ37" s="23"/>
      <c r="AR37" s="23"/>
      <c r="AS37" s="23"/>
      <c r="AT37" s="23"/>
      <c r="AU37" s="25"/>
      <c r="AV37" s="23"/>
      <c r="AW37" s="25"/>
    </row>
    <row r="38" spans="1:49" ht="21" customHeight="1">
      <c r="A38" s="23"/>
      <c r="B38" s="59"/>
      <c r="C38" s="144"/>
      <c r="D38" s="76"/>
      <c r="E38" s="176"/>
      <c r="F38" s="177"/>
      <c r="G38" s="177"/>
      <c r="H38" s="177"/>
      <c r="I38" s="177"/>
      <c r="J38" s="177"/>
      <c r="K38" s="177"/>
      <c r="L38" s="178"/>
      <c r="M38" s="176"/>
      <c r="N38" s="177"/>
      <c r="O38" s="177"/>
      <c r="P38" s="177"/>
      <c r="Q38" s="177"/>
      <c r="R38" s="177"/>
      <c r="S38" s="177"/>
      <c r="T38" s="178"/>
      <c r="U38" s="23"/>
      <c r="V38" s="23"/>
      <c r="W38" s="23"/>
      <c r="X38" s="25"/>
      <c r="Y38" s="23"/>
      <c r="Z38" s="176"/>
      <c r="AA38" s="177"/>
      <c r="AB38" s="177"/>
      <c r="AC38" s="177"/>
      <c r="AD38" s="177"/>
      <c r="AE38" s="177"/>
      <c r="AF38" s="177"/>
      <c r="AG38" s="178"/>
      <c r="AH38" s="23"/>
      <c r="AI38" s="23"/>
      <c r="AJ38" s="23" t="s">
        <v>55</v>
      </c>
      <c r="AK38" s="58">
        <f>AK34+AL34+AM34</f>
        <v>5634465.1178451171</v>
      </c>
      <c r="AL38" s="74">
        <f>AK38/AB35</f>
        <v>626051.67976056854</v>
      </c>
      <c r="AM38" s="74"/>
      <c r="AN38" s="23" t="s">
        <v>53</v>
      </c>
      <c r="AO38" s="23"/>
      <c r="AP38" s="23"/>
      <c r="AQ38" s="23"/>
      <c r="AR38" s="23"/>
      <c r="AS38" s="23"/>
      <c r="AT38" s="23"/>
      <c r="AU38" s="25"/>
      <c r="AV38" s="23"/>
      <c r="AW38" s="25"/>
    </row>
    <row r="39" spans="1:49" ht="21" customHeight="1">
      <c r="A39" s="23"/>
      <c r="B39" s="59"/>
      <c r="C39" s="144"/>
      <c r="D39" s="76"/>
      <c r="E39" s="176"/>
      <c r="F39" s="177"/>
      <c r="G39" s="177"/>
      <c r="H39" s="177"/>
      <c r="I39" s="177"/>
      <c r="J39" s="177"/>
      <c r="K39" s="177"/>
      <c r="L39" s="178"/>
      <c r="M39" s="176"/>
      <c r="N39" s="177"/>
      <c r="O39" s="177"/>
      <c r="P39" s="177"/>
      <c r="Q39" s="177"/>
      <c r="R39" s="177"/>
      <c r="S39" s="177"/>
      <c r="T39" s="178"/>
      <c r="U39" s="23"/>
      <c r="V39" s="23"/>
      <c r="W39" s="23"/>
      <c r="X39" s="25"/>
      <c r="Y39" s="23"/>
      <c r="Z39" s="176"/>
      <c r="AA39" s="177"/>
      <c r="AB39" s="177"/>
      <c r="AC39" s="177"/>
      <c r="AD39" s="177"/>
      <c r="AE39" s="177"/>
      <c r="AF39" s="177"/>
      <c r="AG39" s="178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5"/>
      <c r="AV39" s="23"/>
      <c r="AW39" s="25"/>
    </row>
    <row r="40" spans="1:49" ht="21" customHeight="1">
      <c r="A40" s="23"/>
      <c r="B40" s="59"/>
      <c r="C40" s="144"/>
      <c r="D40" s="76"/>
      <c r="E40" s="176"/>
      <c r="F40" s="177"/>
      <c r="G40" s="177"/>
      <c r="H40" s="177"/>
      <c r="I40" s="177"/>
      <c r="J40" s="177"/>
      <c r="K40" s="177"/>
      <c r="L40" s="178"/>
      <c r="M40" s="176"/>
      <c r="N40" s="177"/>
      <c r="O40" s="177"/>
      <c r="P40" s="177"/>
      <c r="Q40" s="177"/>
      <c r="R40" s="177"/>
      <c r="S40" s="177"/>
      <c r="T40" s="178"/>
      <c r="U40" s="23"/>
      <c r="V40" s="23"/>
      <c r="W40" s="23"/>
      <c r="X40" s="23"/>
      <c r="Y40" s="23"/>
      <c r="Z40" s="176"/>
      <c r="AA40" s="177"/>
      <c r="AB40" s="177"/>
      <c r="AC40" s="177"/>
      <c r="AD40" s="177"/>
      <c r="AE40" s="177"/>
      <c r="AF40" s="177"/>
      <c r="AG40" s="178"/>
      <c r="AH40" s="23"/>
      <c r="AI40" s="23"/>
      <c r="AJ40" s="23"/>
      <c r="AK40" s="25">
        <f>AK34+AL34</f>
        <v>5632983.6363636358</v>
      </c>
      <c r="AL40" s="76" t="s">
        <v>42</v>
      </c>
      <c r="AM40" s="76" t="s">
        <v>58</v>
      </c>
      <c r="AN40" s="76" t="s">
        <v>59</v>
      </c>
      <c r="AO40" s="23"/>
      <c r="AP40" s="23"/>
      <c r="AQ40" s="23"/>
      <c r="AR40" s="23"/>
      <c r="AS40" s="23"/>
      <c r="AT40" s="25"/>
      <c r="AU40" s="23"/>
      <c r="AV40" s="25"/>
    </row>
    <row r="41" spans="1:49" ht="21" customHeight="1">
      <c r="A41" s="23"/>
      <c r="B41" s="59"/>
      <c r="C41" s="144"/>
      <c r="D41" s="76"/>
      <c r="E41" s="179"/>
      <c r="F41" s="180"/>
      <c r="G41" s="180"/>
      <c r="H41" s="180"/>
      <c r="I41" s="180"/>
      <c r="J41" s="180"/>
      <c r="K41" s="180"/>
      <c r="L41" s="181"/>
      <c r="M41" s="179"/>
      <c r="N41" s="180"/>
      <c r="O41" s="180"/>
      <c r="P41" s="180"/>
      <c r="Q41" s="180"/>
      <c r="R41" s="180"/>
      <c r="S41" s="180"/>
      <c r="T41" s="181"/>
      <c r="U41" s="23"/>
      <c r="V41" s="23"/>
      <c r="W41" s="23"/>
      <c r="X41" s="23"/>
      <c r="Y41" s="23"/>
      <c r="Z41" s="179"/>
      <c r="AA41" s="180"/>
      <c r="AB41" s="180"/>
      <c r="AC41" s="180"/>
      <c r="AD41" s="180"/>
      <c r="AE41" s="180"/>
      <c r="AF41" s="180"/>
      <c r="AG41" s="181"/>
      <c r="AH41" s="23"/>
      <c r="AI41" s="26"/>
      <c r="AJ41" s="75" t="s">
        <v>43</v>
      </c>
      <c r="AK41" s="58">
        <f>K42+S42+AF42+AL41</f>
        <v>12374240</v>
      </c>
      <c r="AL41" s="145">
        <f>AM41+AN41</f>
        <v>774800</v>
      </c>
      <c r="AM41" s="26">
        <v>674800</v>
      </c>
      <c r="AN41" s="197">
        <v>100000</v>
      </c>
      <c r="AO41" s="23"/>
      <c r="AP41" s="23"/>
      <c r="AQ41" s="23"/>
      <c r="AR41" s="23"/>
      <c r="AS41" s="23"/>
      <c r="AT41" s="25"/>
      <c r="AU41" s="23"/>
      <c r="AV41" s="25"/>
    </row>
    <row r="42" spans="1:49" ht="21" customHeight="1">
      <c r="A42" s="23"/>
      <c r="B42" s="59"/>
      <c r="C42" s="143"/>
      <c r="D42" s="76"/>
      <c r="E42" s="23"/>
      <c r="F42" s="23"/>
      <c r="G42" s="23"/>
      <c r="H42" s="23"/>
      <c r="I42" s="77"/>
      <c r="J42" s="78" t="s">
        <v>44</v>
      </c>
      <c r="K42" s="146">
        <v>1053000</v>
      </c>
      <c r="L42" s="79" t="s">
        <v>45</v>
      </c>
      <c r="M42" s="26"/>
      <c r="N42" s="26"/>
      <c r="O42" s="26"/>
      <c r="P42" s="26"/>
      <c r="Q42" s="26"/>
      <c r="R42" s="78" t="s">
        <v>46</v>
      </c>
      <c r="S42" s="146">
        <v>8508840</v>
      </c>
      <c r="T42" s="79" t="s">
        <v>45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77" t="s">
        <v>47</v>
      </c>
      <c r="AF42" s="146">
        <v>2037600</v>
      </c>
      <c r="AG42" s="79" t="s">
        <v>45</v>
      </c>
      <c r="AH42" s="26"/>
      <c r="AI42" s="26"/>
      <c r="AJ42" s="75" t="s">
        <v>48</v>
      </c>
      <c r="AK42" s="58">
        <f>AK41-AK34-AL34</f>
        <v>6741256.3636363642</v>
      </c>
      <c r="AL42" s="58">
        <f>AL41-AL34</f>
        <v>351318.18181818182</v>
      </c>
      <c r="AM42" s="89">
        <f>AL34/AL41</f>
        <v>0.54656920260947106</v>
      </c>
      <c r="AN42" s="23"/>
      <c r="AO42" s="23"/>
      <c r="AP42" s="23"/>
      <c r="AQ42" s="23"/>
      <c r="AR42" s="25"/>
      <c r="AS42" s="23"/>
      <c r="AT42" s="25"/>
      <c r="AU42" s="23"/>
      <c r="AV42" s="23"/>
    </row>
    <row r="43" spans="1:49" ht="21" customHeight="1">
      <c r="A43" s="23"/>
      <c r="B43" s="59"/>
      <c r="C43" s="143"/>
      <c r="D43" s="76"/>
      <c r="E43" s="23"/>
      <c r="F43" s="23"/>
      <c r="G43" s="23"/>
      <c r="H43" s="23"/>
      <c r="I43" s="77"/>
      <c r="J43" s="77" t="s">
        <v>48</v>
      </c>
      <c r="K43" s="58">
        <f>K42-K34</f>
        <v>919070.90909090906</v>
      </c>
      <c r="L43" s="157">
        <f>8-H35</f>
        <v>5</v>
      </c>
      <c r="M43" s="26"/>
      <c r="N43" s="26"/>
      <c r="O43" s="26"/>
      <c r="P43" s="26"/>
      <c r="Q43" s="26"/>
      <c r="R43" s="77" t="s">
        <v>48</v>
      </c>
      <c r="S43" s="58">
        <f>S42-S34</f>
        <v>4989703.6363636367</v>
      </c>
      <c r="T43" s="158">
        <f>28-P35</f>
        <v>19</v>
      </c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77" t="s">
        <v>48</v>
      </c>
      <c r="AF43" s="58">
        <f>AF42-AF34</f>
        <v>481163.63636363647</v>
      </c>
      <c r="AG43" s="158">
        <f>T43</f>
        <v>19</v>
      </c>
      <c r="AH43" s="26"/>
      <c r="AI43" s="80"/>
      <c r="AJ43" s="81" t="s">
        <v>49</v>
      </c>
      <c r="AK43" s="82">
        <f>AK42/T43</f>
        <v>354802.96650717704</v>
      </c>
      <c r="AL43" s="88">
        <f>(AK34+AL34)/AK41</f>
        <v>0.45521855373450293</v>
      </c>
      <c r="AM43" s="88"/>
      <c r="AN43" s="80"/>
      <c r="AO43" s="83"/>
      <c r="AP43" s="23"/>
      <c r="AQ43" s="23"/>
      <c r="AR43" s="23"/>
      <c r="AS43" s="25"/>
      <c r="AT43" s="23"/>
      <c r="AU43" s="25"/>
      <c r="AV43" s="23"/>
      <c r="AW43" s="23"/>
    </row>
    <row r="44" spans="1:49" ht="25.5" customHeight="1">
      <c r="A44" s="83"/>
      <c r="B44" s="84"/>
      <c r="C44" s="147"/>
      <c r="D44" s="97"/>
      <c r="E44" s="83"/>
      <c r="F44" s="83"/>
      <c r="G44" s="83"/>
      <c r="H44" s="83"/>
      <c r="I44" s="85"/>
      <c r="J44" s="81" t="s">
        <v>49</v>
      </c>
      <c r="K44" s="86">
        <f>K43/L43</f>
        <v>183814.18181818182</v>
      </c>
      <c r="L44" s="87">
        <f>K34/K42</f>
        <v>0.12718812052145387</v>
      </c>
      <c r="M44" s="80"/>
      <c r="N44" s="80"/>
      <c r="O44" s="80"/>
      <c r="P44" s="80"/>
      <c r="Q44" s="80"/>
      <c r="R44" s="81" t="s">
        <v>49</v>
      </c>
      <c r="S44" s="82">
        <f>S43/T43</f>
        <v>262615.98086124402</v>
      </c>
      <c r="T44" s="87">
        <f>S34/S42</f>
        <v>0.41358591343078061</v>
      </c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1" t="s">
        <v>49</v>
      </c>
      <c r="AF44" s="86">
        <f>AF43/AG43</f>
        <v>25324.401913875605</v>
      </c>
      <c r="AG44" s="87">
        <f>AF34/AF42</f>
        <v>0.76385765785059068</v>
      </c>
      <c r="AH44" s="80"/>
      <c r="AI44" s="23"/>
      <c r="AJ44" s="23"/>
      <c r="AK44" s="25"/>
      <c r="AL44" s="23"/>
      <c r="AM44" s="23"/>
      <c r="AN44" s="23"/>
      <c r="AO44" s="23"/>
      <c r="AP44" s="83"/>
      <c r="AQ44" s="83"/>
      <c r="AR44" s="83"/>
      <c r="AS44" s="90"/>
      <c r="AT44" s="83"/>
      <c r="AU44" s="90"/>
      <c r="AV44" s="83"/>
      <c r="AW44" s="83"/>
    </row>
    <row r="45" spans="1:49" ht="15.75" customHeight="1">
      <c r="A45" s="23"/>
      <c r="B45" s="59"/>
      <c r="C45" s="143"/>
      <c r="D45" s="76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91"/>
      <c r="AJ45" s="91"/>
      <c r="AK45" s="91"/>
      <c r="AL45" s="91"/>
      <c r="AM45" s="91"/>
      <c r="AN45" s="91"/>
      <c r="AO45" s="91"/>
      <c r="AP45" s="23"/>
      <c r="AQ45" s="23"/>
      <c r="AR45" s="23"/>
      <c r="AS45" s="25"/>
      <c r="AT45" s="23"/>
      <c r="AU45" s="25"/>
      <c r="AV45" s="23"/>
      <c r="AW45" s="23"/>
    </row>
    <row r="46" spans="1:49" ht="36" customHeight="1">
      <c r="A46" s="91"/>
      <c r="B46" s="92"/>
      <c r="C46" s="148"/>
      <c r="D46" s="1"/>
      <c r="E46" s="91"/>
      <c r="F46" s="91"/>
      <c r="G46" s="91"/>
      <c r="H46" s="91"/>
      <c r="I46" s="91"/>
      <c r="J46" s="91"/>
      <c r="K46" s="91"/>
      <c r="L46" s="91"/>
      <c r="M46" s="93"/>
      <c r="N46" s="23"/>
      <c r="O46" s="23"/>
      <c r="P46" s="23"/>
      <c r="Q46" s="23"/>
      <c r="R46" s="23"/>
      <c r="S46" s="93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1"/>
      <c r="AJ46" s="1" t="s">
        <v>67</v>
      </c>
      <c r="AK46" s="1">
        <v>5378210</v>
      </c>
      <c r="AM46" s="1"/>
      <c r="AN46" s="1"/>
      <c r="AO46" s="1"/>
      <c r="AP46" s="91"/>
      <c r="AQ46" s="91"/>
      <c r="AR46" s="91"/>
      <c r="AS46" s="94"/>
      <c r="AT46" s="91"/>
      <c r="AU46" s="94"/>
      <c r="AV46" s="91"/>
      <c r="AW46" s="91"/>
    </row>
    <row r="47" spans="1:49" ht="36" customHeight="1">
      <c r="A47" s="1"/>
      <c r="B47" s="95"/>
      <c r="C47" s="105"/>
      <c r="D47" s="1"/>
      <c r="E47" s="1"/>
      <c r="F47" s="1"/>
      <c r="G47" s="1"/>
      <c r="H47" s="1"/>
      <c r="I47" s="1"/>
      <c r="J47" s="1"/>
      <c r="K47" s="1"/>
      <c r="L47" s="1"/>
      <c r="M47" s="96"/>
      <c r="N47" s="23"/>
      <c r="O47" s="23"/>
      <c r="P47" s="23"/>
      <c r="Q47" s="23"/>
      <c r="R47" s="23"/>
      <c r="S47" s="96"/>
      <c r="T47" s="96"/>
      <c r="U47" s="1"/>
      <c r="V47" s="1"/>
      <c r="W47" s="1"/>
      <c r="X47" s="1"/>
      <c r="Y47" s="1"/>
      <c r="Z47" s="1"/>
      <c r="AA47" s="97"/>
      <c r="AB47" s="1"/>
      <c r="AC47" s="1"/>
      <c r="AD47" s="1"/>
      <c r="AE47" s="1"/>
      <c r="AF47" s="1"/>
      <c r="AG47" s="1"/>
      <c r="AH47" s="1"/>
      <c r="AI47" s="91"/>
      <c r="AJ47" s="150" t="s">
        <v>68</v>
      </c>
      <c r="AK47" s="198">
        <f>AK46/1.1</f>
        <v>4889281.8181818174</v>
      </c>
      <c r="AM47" s="91"/>
      <c r="AN47" s="91"/>
      <c r="AO47" s="91"/>
      <c r="AP47" s="1"/>
      <c r="AQ47" s="1"/>
      <c r="AR47" s="1"/>
      <c r="AS47" s="98"/>
      <c r="AT47" s="1"/>
      <c r="AU47" s="98"/>
      <c r="AV47" s="1"/>
      <c r="AW47" s="1"/>
    </row>
    <row r="48" spans="1:49" ht="36" customHeight="1">
      <c r="A48" s="91"/>
      <c r="B48" s="92"/>
      <c r="C48" s="148"/>
      <c r="D48" s="1"/>
      <c r="E48" s="91"/>
      <c r="F48" s="91"/>
      <c r="G48" s="91"/>
      <c r="H48" s="91"/>
      <c r="I48" s="91"/>
      <c r="J48" s="91"/>
      <c r="K48" s="91"/>
      <c r="L48" s="1"/>
      <c r="M48" s="96"/>
      <c r="N48" s="23"/>
      <c r="O48" s="23"/>
      <c r="P48" s="23"/>
      <c r="Q48" s="23"/>
      <c r="R48" s="23"/>
      <c r="S48" s="99"/>
      <c r="T48" s="100"/>
      <c r="U48" s="100"/>
      <c r="V48" s="100"/>
      <c r="W48" s="100"/>
      <c r="X48" s="101"/>
      <c r="Y48" s="102"/>
      <c r="Z48" s="103"/>
      <c r="AA48" s="104"/>
      <c r="AB48" s="91"/>
      <c r="AC48" s="91"/>
      <c r="AD48" s="91"/>
      <c r="AE48" s="91"/>
      <c r="AF48" s="91"/>
      <c r="AG48" s="91"/>
      <c r="AH48" s="91"/>
      <c r="AI48" s="91"/>
      <c r="AJ48" s="1" t="s">
        <v>69</v>
      </c>
      <c r="AK48" s="98">
        <f>AK42-AK47</f>
        <v>1851974.5454545468</v>
      </c>
      <c r="AL48" s="91"/>
      <c r="AM48" s="91"/>
      <c r="AN48" s="91"/>
      <c r="AO48" s="91"/>
      <c r="AP48" s="91"/>
      <c r="AQ48" s="91"/>
      <c r="AR48" s="91"/>
      <c r="AS48" s="94"/>
      <c r="AT48" s="91"/>
      <c r="AU48" s="94"/>
      <c r="AV48" s="91"/>
      <c r="AW48" s="91"/>
    </row>
    <row r="49" spans="1:49" ht="36" customHeight="1">
      <c r="A49" s="91"/>
      <c r="B49" s="92"/>
      <c r="C49" s="148"/>
      <c r="D49" s="1"/>
      <c r="E49" s="91"/>
      <c r="F49" s="91"/>
      <c r="G49" s="91"/>
      <c r="H49" s="91"/>
      <c r="I49" s="91"/>
      <c r="J49" s="91"/>
      <c r="K49" s="91"/>
      <c r="L49" s="1"/>
      <c r="M49" s="96"/>
      <c r="N49" s="23"/>
      <c r="O49" s="23"/>
      <c r="P49" s="23"/>
      <c r="Q49" s="23"/>
      <c r="R49" s="23"/>
      <c r="S49" s="101"/>
      <c r="T49" s="100"/>
      <c r="U49" s="100"/>
      <c r="V49" s="100"/>
      <c r="W49" s="100"/>
      <c r="X49" s="101"/>
      <c r="Y49" s="102"/>
      <c r="Z49" s="103"/>
      <c r="AA49" s="104"/>
      <c r="AB49" s="91"/>
      <c r="AC49" s="91"/>
      <c r="AD49" s="91"/>
      <c r="AE49" s="91"/>
      <c r="AF49" s="91"/>
      <c r="AG49" s="91"/>
      <c r="AH49" s="91"/>
      <c r="AI49" s="91"/>
      <c r="AJ49" s="1" t="s">
        <v>70</v>
      </c>
      <c r="AK49" s="171">
        <f>AK48/AG43</f>
        <v>97472.34449760773</v>
      </c>
      <c r="AL49" s="91"/>
      <c r="AM49" s="91"/>
      <c r="AN49" s="91"/>
      <c r="AO49" s="91"/>
      <c r="AP49" s="91"/>
      <c r="AQ49" s="91"/>
      <c r="AR49" s="91"/>
      <c r="AS49" s="94"/>
      <c r="AT49" s="91"/>
      <c r="AU49" s="94"/>
      <c r="AV49" s="91"/>
      <c r="AW49" s="91"/>
    </row>
    <row r="50" spans="1:49" ht="36" customHeight="1">
      <c r="A50" s="91"/>
      <c r="B50" s="92"/>
      <c r="C50" s="148"/>
      <c r="D50" s="1"/>
      <c r="E50" s="91"/>
      <c r="F50" s="91"/>
      <c r="G50" s="91"/>
      <c r="H50" s="91"/>
      <c r="I50" s="91"/>
      <c r="J50" s="91"/>
      <c r="K50" s="91"/>
      <c r="L50" s="1"/>
      <c r="M50" s="96"/>
      <c r="N50" s="23"/>
      <c r="O50" s="23"/>
      <c r="P50" s="23"/>
      <c r="Q50" s="23"/>
      <c r="R50" s="23"/>
      <c r="S50" s="101"/>
      <c r="T50" s="100"/>
      <c r="U50" s="100"/>
      <c r="V50" s="100"/>
      <c r="W50" s="100"/>
      <c r="X50" s="101"/>
      <c r="Y50" s="102"/>
      <c r="Z50" s="103"/>
      <c r="AA50" s="104"/>
      <c r="AB50" s="91"/>
      <c r="AC50" s="91"/>
      <c r="AD50" s="91"/>
      <c r="AE50" s="91"/>
      <c r="AF50" s="91"/>
      <c r="AG50" s="91"/>
      <c r="AH50" s="91"/>
      <c r="AI50" s="91"/>
      <c r="AL50" s="91"/>
      <c r="AM50" s="91"/>
      <c r="AN50" s="91"/>
      <c r="AO50" s="91"/>
      <c r="AP50" s="91"/>
      <c r="AQ50" s="91"/>
      <c r="AR50" s="91"/>
      <c r="AS50" s="94"/>
      <c r="AT50" s="91"/>
      <c r="AU50" s="94"/>
      <c r="AV50" s="91"/>
      <c r="AW50" s="91"/>
    </row>
    <row r="51" spans="1:49" ht="36" customHeight="1">
      <c r="A51" s="91"/>
      <c r="B51" s="92"/>
      <c r="C51" s="148"/>
      <c r="D51" s="1"/>
      <c r="E51" s="91"/>
      <c r="F51" s="91"/>
      <c r="G51" s="91"/>
      <c r="H51" s="91"/>
      <c r="I51" s="91"/>
      <c r="J51" s="91"/>
      <c r="K51" s="91"/>
      <c r="L51" s="1"/>
      <c r="M51" s="96"/>
      <c r="N51" s="23"/>
      <c r="O51" s="23"/>
      <c r="P51" s="23"/>
      <c r="Q51" s="23"/>
      <c r="R51" s="23"/>
      <c r="S51" s="101"/>
      <c r="T51" s="100"/>
      <c r="U51" s="100"/>
      <c r="V51" s="100"/>
      <c r="W51" s="100"/>
      <c r="X51" s="101"/>
      <c r="Y51" s="102"/>
      <c r="Z51" s="103"/>
      <c r="AA51" s="104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4"/>
      <c r="AT51" s="91"/>
      <c r="AU51" s="94"/>
      <c r="AV51" s="91"/>
      <c r="AW51" s="91"/>
    </row>
    <row r="52" spans="1:49" ht="36" customHeight="1">
      <c r="A52" s="91"/>
      <c r="B52" s="92"/>
      <c r="C52" s="148"/>
      <c r="D52" s="1"/>
      <c r="E52" s="91"/>
      <c r="F52" s="91"/>
      <c r="G52" s="91"/>
      <c r="H52" s="91"/>
      <c r="I52" s="91"/>
      <c r="J52" s="91"/>
      <c r="K52" s="91"/>
      <c r="L52" s="91"/>
      <c r="M52" s="93"/>
      <c r="N52" s="23"/>
      <c r="O52" s="23"/>
      <c r="P52" s="23"/>
      <c r="Q52" s="23"/>
      <c r="R52" s="23"/>
      <c r="S52" s="101"/>
      <c r="T52" s="100"/>
      <c r="U52" s="100"/>
      <c r="V52" s="100"/>
      <c r="W52" s="100"/>
      <c r="X52" s="102"/>
      <c r="Y52" s="102"/>
      <c r="Z52" s="103"/>
      <c r="AA52" s="104"/>
      <c r="AB52" s="91"/>
      <c r="AC52" s="91"/>
      <c r="AD52" s="91"/>
      <c r="AE52" s="91"/>
      <c r="AF52" s="91"/>
      <c r="AG52" s="91"/>
      <c r="AH52" s="91"/>
      <c r="AI52" s="23"/>
      <c r="AJ52" s="23"/>
      <c r="AK52" s="23"/>
      <c r="AL52" s="23"/>
      <c r="AM52" s="23"/>
      <c r="AN52" s="23"/>
      <c r="AO52" s="23"/>
      <c r="AP52" s="91"/>
      <c r="AQ52" s="91"/>
      <c r="AR52" s="91"/>
      <c r="AS52" s="94"/>
      <c r="AT52" s="91"/>
      <c r="AU52" s="94"/>
      <c r="AV52" s="91"/>
      <c r="AW52" s="91"/>
    </row>
    <row r="53" spans="1:49" ht="15.75" customHeight="1">
      <c r="A53" s="23"/>
      <c r="B53" s="59"/>
      <c r="C53" s="143"/>
      <c r="D53" s="76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03"/>
      <c r="AA53" s="10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5"/>
      <c r="AV53" s="23"/>
      <c r="AW53" s="25"/>
    </row>
    <row r="54" spans="1:49" ht="15.75" customHeight="1">
      <c r="A54" s="23"/>
      <c r="B54" s="59"/>
      <c r="C54" s="143"/>
      <c r="D54" s="76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91"/>
      <c r="AA54" s="91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5"/>
      <c r="AV54" s="23"/>
      <c r="AW54" s="25"/>
    </row>
    <row r="55" spans="1:49" ht="15.75" customHeight="1">
      <c r="A55" s="23"/>
      <c r="B55" s="59"/>
      <c r="C55" s="143"/>
      <c r="D55" s="76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5"/>
      <c r="AV55" s="23"/>
      <c r="AW55" s="25"/>
    </row>
    <row r="56" spans="1:49" ht="15.75" customHeight="1">
      <c r="A56" s="23"/>
      <c r="B56" s="59"/>
      <c r="C56" s="143"/>
      <c r="D56" s="76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5"/>
      <c r="AV56" s="23"/>
      <c r="AW56" s="25"/>
    </row>
    <row r="57" spans="1:49" ht="15.75" customHeight="1">
      <c r="A57" s="23"/>
      <c r="B57" s="59"/>
      <c r="C57" s="143"/>
      <c r="D57" s="76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5"/>
      <c r="AV57" s="23"/>
      <c r="AW57" s="25"/>
    </row>
    <row r="58" spans="1:49" ht="15.75" customHeight="1">
      <c r="A58" s="23"/>
      <c r="B58" s="59"/>
      <c r="C58" s="143"/>
      <c r="D58" s="76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5"/>
      <c r="AV58" s="23"/>
      <c r="AW58" s="25"/>
    </row>
    <row r="59" spans="1:49" ht="15.75" customHeight="1">
      <c r="A59" s="23"/>
      <c r="B59" s="59"/>
      <c r="C59" s="143"/>
      <c r="D59" s="76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5"/>
      <c r="AV59" s="23"/>
      <c r="AW59" s="25"/>
    </row>
    <row r="60" spans="1:49" ht="15.75" customHeight="1">
      <c r="A60" s="23"/>
      <c r="B60" s="59"/>
      <c r="C60" s="143"/>
      <c r="D60" s="76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5"/>
      <c r="AV60" s="23"/>
      <c r="AW60" s="25"/>
    </row>
    <row r="61" spans="1:49" ht="15.75" customHeight="1">
      <c r="A61" s="23"/>
      <c r="B61" s="59"/>
      <c r="C61" s="143"/>
      <c r="D61" s="7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5"/>
      <c r="AV61" s="23"/>
      <c r="AW61" s="25"/>
    </row>
    <row r="62" spans="1:49" ht="15.75" customHeight="1">
      <c r="A62" s="23"/>
      <c r="B62" s="59"/>
      <c r="C62" s="143"/>
      <c r="D62" s="76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5"/>
      <c r="AV62" s="23"/>
      <c r="AW62" s="25"/>
    </row>
    <row r="63" spans="1:49" ht="15.75" customHeight="1">
      <c r="A63" s="23"/>
      <c r="B63" s="59"/>
      <c r="C63" s="143"/>
      <c r="D63" s="76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5"/>
      <c r="AV63" s="23"/>
      <c r="AW63" s="25"/>
    </row>
    <row r="64" spans="1:49" ht="15.75" customHeight="1">
      <c r="A64" s="23"/>
      <c r="B64" s="59"/>
      <c r="C64" s="143"/>
      <c r="D64" s="76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5"/>
      <c r="AV64" s="23"/>
      <c r="AW64" s="25"/>
    </row>
    <row r="65" spans="1:49" ht="15.75" customHeight="1">
      <c r="A65" s="23"/>
      <c r="B65" s="59"/>
      <c r="C65" s="143"/>
      <c r="D65" s="76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5"/>
      <c r="AV65" s="23"/>
      <c r="AW65" s="25"/>
    </row>
    <row r="66" spans="1:49" ht="15.75" customHeight="1">
      <c r="A66" s="23"/>
      <c r="B66" s="59"/>
      <c r="C66" s="143"/>
      <c r="D66" s="76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5"/>
      <c r="AV66" s="23"/>
      <c r="AW66" s="25"/>
    </row>
    <row r="67" spans="1:49" ht="15.75" customHeight="1">
      <c r="A67" s="23"/>
      <c r="B67" s="59"/>
      <c r="C67" s="143"/>
      <c r="D67" s="76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5"/>
      <c r="AV67" s="23"/>
      <c r="AW67" s="25"/>
    </row>
    <row r="68" spans="1:49" ht="15.75" customHeight="1">
      <c r="A68" s="23"/>
      <c r="B68" s="59"/>
      <c r="C68" s="143"/>
      <c r="D68" s="76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5"/>
      <c r="AV68" s="23"/>
      <c r="AW68" s="25"/>
    </row>
    <row r="69" spans="1:49" ht="15.75" customHeight="1">
      <c r="A69" s="23"/>
      <c r="B69" s="59"/>
      <c r="C69" s="143"/>
      <c r="D69" s="76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5"/>
      <c r="AV69" s="23"/>
      <c r="AW69" s="25"/>
    </row>
    <row r="70" spans="1:49" ht="15.75" customHeight="1">
      <c r="A70" s="23"/>
      <c r="B70" s="59"/>
      <c r="C70" s="143"/>
      <c r="D70" s="76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5"/>
      <c r="AV70" s="23"/>
      <c r="AW70" s="25"/>
    </row>
    <row r="71" spans="1:49" ht="15.75" customHeight="1">
      <c r="A71" s="23"/>
      <c r="B71" s="59"/>
      <c r="C71" s="143"/>
      <c r="D71" s="76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5"/>
      <c r="AV71" s="23"/>
      <c r="AW71" s="25"/>
    </row>
    <row r="72" spans="1:49" ht="15.75" customHeight="1">
      <c r="A72" s="23"/>
      <c r="B72" s="59"/>
      <c r="C72" s="143"/>
      <c r="D72" s="76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5"/>
      <c r="AV72" s="23"/>
      <c r="AW72" s="25"/>
    </row>
    <row r="73" spans="1:49" ht="15.75" customHeight="1">
      <c r="A73" s="23"/>
      <c r="B73" s="59"/>
      <c r="C73" s="143"/>
      <c r="D73" s="76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5"/>
      <c r="AV73" s="23"/>
      <c r="AW73" s="25"/>
    </row>
    <row r="74" spans="1:49" ht="15.75" customHeight="1">
      <c r="A74" s="23"/>
      <c r="B74" s="59"/>
      <c r="C74" s="143"/>
      <c r="D74" s="76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5"/>
      <c r="AV74" s="23"/>
      <c r="AW74" s="25"/>
    </row>
    <row r="75" spans="1:49" ht="15.75" customHeight="1">
      <c r="A75" s="23"/>
      <c r="B75" s="59"/>
      <c r="C75" s="143"/>
      <c r="D75" s="76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5"/>
      <c r="AV75" s="23"/>
      <c r="AW75" s="25"/>
    </row>
    <row r="76" spans="1:49" ht="15.75" customHeight="1">
      <c r="A76" s="23"/>
      <c r="B76" s="59"/>
      <c r="C76" s="143"/>
      <c r="D76" s="76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5"/>
      <c r="AV76" s="23"/>
      <c r="AW76" s="25"/>
    </row>
    <row r="77" spans="1:49" ht="15.75" customHeight="1">
      <c r="A77" s="23"/>
      <c r="B77" s="59"/>
      <c r="C77" s="143"/>
      <c r="D77" s="76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5"/>
      <c r="AV77" s="23"/>
      <c r="AW77" s="25"/>
    </row>
    <row r="78" spans="1:49" ht="15.75" customHeight="1">
      <c r="A78" s="23"/>
      <c r="B78" s="59"/>
      <c r="C78" s="143"/>
      <c r="D78" s="76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5"/>
      <c r="AV78" s="23"/>
      <c r="AW78" s="25"/>
    </row>
    <row r="79" spans="1:49" ht="15.75" customHeight="1">
      <c r="A79" s="23"/>
      <c r="B79" s="59"/>
      <c r="C79" s="143"/>
      <c r="D79" s="76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5"/>
      <c r="AV79" s="23"/>
      <c r="AW79" s="25"/>
    </row>
    <row r="80" spans="1:49" ht="15.75" customHeight="1">
      <c r="A80" s="23"/>
      <c r="B80" s="59"/>
      <c r="C80" s="143"/>
      <c r="D80" s="76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5"/>
      <c r="AV80" s="23"/>
      <c r="AW80" s="25"/>
    </row>
    <row r="81" spans="1:49" ht="15.75" customHeight="1">
      <c r="A81" s="23"/>
      <c r="B81" s="59"/>
      <c r="C81" s="143"/>
      <c r="D81" s="76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5"/>
      <c r="AV81" s="23"/>
      <c r="AW81" s="25"/>
    </row>
    <row r="82" spans="1:49" ht="15.75" customHeight="1">
      <c r="A82" s="23"/>
      <c r="B82" s="59"/>
      <c r="C82" s="143"/>
      <c r="D82" s="76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5"/>
      <c r="AV82" s="23"/>
      <c r="AW82" s="25"/>
    </row>
    <row r="83" spans="1:49" ht="15.75" customHeight="1">
      <c r="A83" s="23"/>
      <c r="B83" s="59"/>
      <c r="C83" s="143"/>
      <c r="D83" s="76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5"/>
      <c r="AV83" s="23"/>
      <c r="AW83" s="25"/>
    </row>
    <row r="84" spans="1:49" ht="15.75" customHeight="1">
      <c r="A84" s="23"/>
      <c r="B84" s="59"/>
      <c r="C84" s="143"/>
      <c r="D84" s="76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5"/>
      <c r="AV84" s="23"/>
      <c r="AW84" s="25"/>
    </row>
    <row r="85" spans="1:49" ht="15.75" customHeight="1">
      <c r="A85" s="23"/>
      <c r="B85" s="59"/>
      <c r="C85" s="143"/>
      <c r="D85" s="76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5"/>
      <c r="AV85" s="23"/>
      <c r="AW85" s="25"/>
    </row>
    <row r="86" spans="1:49" ht="15.75" customHeight="1">
      <c r="A86" s="23"/>
      <c r="B86" s="59"/>
      <c r="C86" s="143"/>
      <c r="D86" s="76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5"/>
      <c r="AV86" s="23"/>
      <c r="AW86" s="25"/>
    </row>
    <row r="87" spans="1:49" ht="15.75" customHeight="1">
      <c r="A87" s="23"/>
      <c r="B87" s="59"/>
      <c r="C87" s="143"/>
      <c r="D87" s="76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5"/>
      <c r="AV87" s="23"/>
      <c r="AW87" s="25"/>
    </row>
    <row r="88" spans="1:49" ht="15.75" customHeight="1">
      <c r="A88" s="23"/>
      <c r="B88" s="59"/>
      <c r="C88" s="143"/>
      <c r="D88" s="76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5"/>
      <c r="AV88" s="23"/>
      <c r="AW88" s="25"/>
    </row>
    <row r="89" spans="1:49" ht="15.75" customHeight="1">
      <c r="A89" s="23"/>
      <c r="B89" s="59"/>
      <c r="C89" s="143"/>
      <c r="D89" s="76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5"/>
      <c r="AV89" s="23"/>
      <c r="AW89" s="25"/>
    </row>
    <row r="90" spans="1:49" ht="15.75" customHeight="1">
      <c r="A90" s="23"/>
      <c r="B90" s="59"/>
      <c r="C90" s="143"/>
      <c r="D90" s="76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5"/>
      <c r="AV90" s="23"/>
      <c r="AW90" s="25"/>
    </row>
    <row r="91" spans="1:49" ht="15.75" customHeight="1">
      <c r="A91" s="23"/>
      <c r="B91" s="59"/>
      <c r="C91" s="143"/>
      <c r="D91" s="76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5"/>
      <c r="AV91" s="23"/>
      <c r="AW91" s="25"/>
    </row>
    <row r="92" spans="1:49" ht="15.75" customHeight="1">
      <c r="A92" s="23"/>
      <c r="B92" s="59"/>
      <c r="C92" s="143"/>
      <c r="D92" s="76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5"/>
      <c r="AV92" s="23"/>
      <c r="AW92" s="25"/>
    </row>
    <row r="93" spans="1:49" ht="15.75" customHeight="1">
      <c r="A93" s="23"/>
      <c r="B93" s="59"/>
      <c r="C93" s="143"/>
      <c r="D93" s="76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5"/>
      <c r="AV93" s="23"/>
      <c r="AW93" s="25"/>
    </row>
    <row r="94" spans="1:49" ht="15.75" customHeight="1">
      <c r="A94" s="23"/>
      <c r="B94" s="59"/>
      <c r="C94" s="143"/>
      <c r="D94" s="76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5"/>
      <c r="AV94" s="23"/>
      <c r="AW94" s="25"/>
    </row>
    <row r="95" spans="1:49" ht="15.75" customHeight="1">
      <c r="A95" s="23"/>
      <c r="B95" s="59"/>
      <c r="C95" s="143"/>
      <c r="D95" s="76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5"/>
      <c r="AV95" s="23"/>
      <c r="AW95" s="25"/>
    </row>
    <row r="96" spans="1:49" ht="15.75" customHeight="1">
      <c r="A96" s="23"/>
      <c r="B96" s="59"/>
      <c r="C96" s="143"/>
      <c r="D96" s="76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5"/>
      <c r="AV96" s="23"/>
      <c r="AW96" s="25"/>
    </row>
    <row r="97" spans="1:49" ht="15.75" customHeight="1">
      <c r="A97" s="23"/>
      <c r="B97" s="59"/>
      <c r="C97" s="143"/>
      <c r="D97" s="76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5"/>
      <c r="AV97" s="23"/>
      <c r="AW97" s="25"/>
    </row>
    <row r="98" spans="1:49" ht="15.75" customHeight="1">
      <c r="A98" s="23"/>
      <c r="B98" s="59"/>
      <c r="C98" s="143"/>
      <c r="D98" s="76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5"/>
      <c r="AV98" s="23"/>
      <c r="AW98" s="25"/>
    </row>
    <row r="99" spans="1:49" ht="15.75" customHeight="1">
      <c r="A99" s="23"/>
      <c r="B99" s="59"/>
      <c r="C99" s="143"/>
      <c r="D99" s="76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5"/>
      <c r="AV99" s="23"/>
      <c r="AW99" s="25"/>
    </row>
    <row r="100" spans="1:49" ht="15.75" customHeight="1">
      <c r="A100" s="23"/>
      <c r="B100" s="59"/>
      <c r="C100" s="143"/>
      <c r="D100" s="76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5"/>
      <c r="AV100" s="23"/>
      <c r="AW100" s="25"/>
    </row>
    <row r="101" spans="1:49" ht="15.75" customHeight="1">
      <c r="A101" s="23"/>
      <c r="B101" s="59"/>
      <c r="C101" s="143"/>
      <c r="D101" s="76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5"/>
      <c r="AV101" s="23"/>
      <c r="AW101" s="25"/>
    </row>
    <row r="102" spans="1:49" ht="15.75" customHeight="1">
      <c r="A102" s="23"/>
      <c r="B102" s="59"/>
      <c r="C102" s="143"/>
      <c r="D102" s="76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5"/>
      <c r="AV102" s="23"/>
      <c r="AW102" s="25"/>
    </row>
    <row r="103" spans="1:49" ht="15.75" customHeight="1">
      <c r="A103" s="23"/>
      <c r="B103" s="59"/>
      <c r="C103" s="143"/>
      <c r="D103" s="76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5"/>
      <c r="AV103" s="23"/>
      <c r="AW103" s="25"/>
    </row>
    <row r="104" spans="1:49" ht="15.75" customHeight="1">
      <c r="A104" s="23"/>
      <c r="B104" s="59"/>
      <c r="C104" s="143"/>
      <c r="D104" s="76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5"/>
      <c r="AV104" s="23"/>
      <c r="AW104" s="25"/>
    </row>
    <row r="105" spans="1:49" ht="15.75" customHeight="1">
      <c r="A105" s="23"/>
      <c r="B105" s="59"/>
      <c r="C105" s="143"/>
      <c r="D105" s="76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5"/>
      <c r="AV105" s="23"/>
      <c r="AW105" s="25"/>
    </row>
    <row r="106" spans="1:49" ht="15.75" customHeight="1">
      <c r="A106" s="23"/>
      <c r="B106" s="59"/>
      <c r="C106" s="143"/>
      <c r="D106" s="76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5"/>
      <c r="AV106" s="23"/>
      <c r="AW106" s="25"/>
    </row>
    <row r="107" spans="1:49" ht="15.75" customHeight="1">
      <c r="A107" s="23"/>
      <c r="B107" s="59"/>
      <c r="C107" s="143"/>
      <c r="D107" s="76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5"/>
      <c r="AV107" s="23"/>
      <c r="AW107" s="25"/>
    </row>
    <row r="108" spans="1:49" ht="15.75" customHeight="1">
      <c r="A108" s="23"/>
      <c r="B108" s="59"/>
      <c r="C108" s="143"/>
      <c r="D108" s="76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5"/>
      <c r="AV108" s="23"/>
      <c r="AW108" s="25"/>
    </row>
    <row r="109" spans="1:49" ht="15.75" customHeight="1">
      <c r="A109" s="23"/>
      <c r="B109" s="59"/>
      <c r="C109" s="143"/>
      <c r="D109" s="76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5"/>
      <c r="AV109" s="23"/>
      <c r="AW109" s="25"/>
    </row>
    <row r="110" spans="1:49" ht="15.75" customHeight="1">
      <c r="A110" s="23"/>
      <c r="B110" s="59"/>
      <c r="C110" s="143"/>
      <c r="D110" s="76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5"/>
      <c r="AV110" s="23"/>
      <c r="AW110" s="25"/>
    </row>
    <row r="111" spans="1:49" ht="15.75" customHeight="1">
      <c r="A111" s="23"/>
      <c r="B111" s="59"/>
      <c r="C111" s="143"/>
      <c r="D111" s="76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5"/>
      <c r="AV111" s="23"/>
      <c r="AW111" s="25"/>
    </row>
    <row r="112" spans="1:49" ht="15.75" customHeight="1">
      <c r="A112" s="23"/>
      <c r="B112" s="59"/>
      <c r="C112" s="143"/>
      <c r="D112" s="76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5"/>
      <c r="AV112" s="23"/>
      <c r="AW112" s="25"/>
    </row>
    <row r="113" spans="1:49" ht="15.75" customHeight="1">
      <c r="A113" s="23"/>
      <c r="B113" s="59"/>
      <c r="C113" s="143"/>
      <c r="D113" s="76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5"/>
      <c r="AV113" s="23"/>
      <c r="AW113" s="25"/>
    </row>
    <row r="114" spans="1:49" ht="15.75" customHeight="1">
      <c r="A114" s="23"/>
      <c r="B114" s="59"/>
      <c r="C114" s="143"/>
      <c r="D114" s="76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5"/>
      <c r="AV114" s="23"/>
      <c r="AW114" s="25"/>
    </row>
    <row r="115" spans="1:49" ht="15.75" customHeight="1">
      <c r="A115" s="23"/>
      <c r="B115" s="59"/>
      <c r="C115" s="143"/>
      <c r="D115" s="76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5"/>
      <c r="AV115" s="23"/>
      <c r="AW115" s="25"/>
    </row>
    <row r="116" spans="1:49" ht="15.75" customHeight="1">
      <c r="A116" s="23"/>
      <c r="B116" s="59"/>
      <c r="C116" s="143"/>
      <c r="D116" s="76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5"/>
      <c r="AV116" s="23"/>
      <c r="AW116" s="25"/>
    </row>
    <row r="117" spans="1:49" ht="15.75" customHeight="1">
      <c r="A117" s="23"/>
      <c r="B117" s="59"/>
      <c r="C117" s="143"/>
      <c r="D117" s="76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5"/>
      <c r="AV117" s="23"/>
      <c r="AW117" s="25"/>
    </row>
    <row r="118" spans="1:49" ht="15.75" customHeight="1">
      <c r="A118" s="23"/>
      <c r="B118" s="59"/>
      <c r="C118" s="143"/>
      <c r="D118" s="76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5"/>
      <c r="AV118" s="23"/>
      <c r="AW118" s="25"/>
    </row>
    <row r="119" spans="1:49" ht="15.75" customHeight="1">
      <c r="A119" s="23"/>
      <c r="B119" s="59"/>
      <c r="C119" s="143"/>
      <c r="D119" s="76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5"/>
      <c r="AV119" s="23"/>
      <c r="AW119" s="25"/>
    </row>
    <row r="120" spans="1:49" ht="15.75" customHeight="1">
      <c r="A120" s="23"/>
      <c r="B120" s="59"/>
      <c r="C120" s="143"/>
      <c r="D120" s="76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5"/>
      <c r="AV120" s="23"/>
      <c r="AW120" s="25"/>
    </row>
    <row r="121" spans="1:49" ht="15.75" customHeight="1">
      <c r="A121" s="23"/>
      <c r="B121" s="59"/>
      <c r="C121" s="143"/>
      <c r="D121" s="76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5"/>
      <c r="AV121" s="23"/>
      <c r="AW121" s="25"/>
    </row>
    <row r="122" spans="1:49" ht="15.75" customHeight="1">
      <c r="A122" s="23"/>
      <c r="B122" s="59"/>
      <c r="C122" s="143"/>
      <c r="D122" s="76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5"/>
      <c r="AV122" s="23"/>
      <c r="AW122" s="25"/>
    </row>
    <row r="123" spans="1:49" ht="15.75" customHeight="1">
      <c r="A123" s="23"/>
      <c r="B123" s="59"/>
      <c r="C123" s="143"/>
      <c r="D123" s="76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5"/>
      <c r="AV123" s="23"/>
      <c r="AW123" s="25"/>
    </row>
    <row r="124" spans="1:49" ht="15.75" customHeight="1">
      <c r="A124" s="23"/>
      <c r="B124" s="59"/>
      <c r="C124" s="143"/>
      <c r="D124" s="76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5"/>
      <c r="AV124" s="23"/>
      <c r="AW124" s="25"/>
    </row>
    <row r="125" spans="1:49" ht="15.75" customHeight="1">
      <c r="A125" s="23"/>
      <c r="B125" s="59"/>
      <c r="C125" s="143"/>
      <c r="D125" s="76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5"/>
      <c r="AV125" s="23"/>
      <c r="AW125" s="25"/>
    </row>
    <row r="126" spans="1:49" ht="15.75" customHeight="1">
      <c r="A126" s="23"/>
      <c r="B126" s="59"/>
      <c r="C126" s="143"/>
      <c r="D126" s="76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5"/>
      <c r="AV126" s="23"/>
      <c r="AW126" s="25"/>
    </row>
    <row r="127" spans="1:49" ht="15.75" customHeight="1">
      <c r="A127" s="23"/>
      <c r="B127" s="59"/>
      <c r="C127" s="143"/>
      <c r="D127" s="76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5"/>
      <c r="AV127" s="23"/>
      <c r="AW127" s="25"/>
    </row>
    <row r="128" spans="1:49" ht="15.75" customHeight="1">
      <c r="A128" s="23"/>
      <c r="B128" s="59"/>
      <c r="C128" s="143"/>
      <c r="D128" s="76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5"/>
      <c r="AV128" s="23"/>
      <c r="AW128" s="25"/>
    </row>
    <row r="129" spans="1:49" ht="15.75" customHeight="1">
      <c r="A129" s="23"/>
      <c r="B129" s="59"/>
      <c r="C129" s="143"/>
      <c r="D129" s="76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5"/>
      <c r="AV129" s="23"/>
      <c r="AW129" s="25"/>
    </row>
    <row r="130" spans="1:49" ht="15.75" customHeight="1">
      <c r="A130" s="23"/>
      <c r="B130" s="59"/>
      <c r="C130" s="143"/>
      <c r="D130" s="76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5"/>
      <c r="AV130" s="23"/>
      <c r="AW130" s="25"/>
    </row>
    <row r="131" spans="1:49" ht="15.75" customHeight="1">
      <c r="A131" s="23"/>
      <c r="B131" s="59"/>
      <c r="C131" s="143"/>
      <c r="D131" s="76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5"/>
      <c r="AV131" s="23"/>
      <c r="AW131" s="25"/>
    </row>
    <row r="132" spans="1:49" ht="15.75" customHeight="1">
      <c r="A132" s="23"/>
      <c r="B132" s="59"/>
      <c r="C132" s="143"/>
      <c r="D132" s="76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5"/>
      <c r="AV132" s="23"/>
      <c r="AW132" s="25"/>
    </row>
    <row r="133" spans="1:49" ht="15.75" customHeight="1">
      <c r="A133" s="23"/>
      <c r="B133" s="59"/>
      <c r="C133" s="143"/>
      <c r="D133" s="76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5"/>
      <c r="AV133" s="23"/>
      <c r="AW133" s="25"/>
    </row>
    <row r="134" spans="1:49" ht="15.75" customHeight="1">
      <c r="A134" s="23"/>
      <c r="B134" s="59"/>
      <c r="C134" s="143"/>
      <c r="D134" s="76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5"/>
      <c r="AV134" s="23"/>
      <c r="AW134" s="25"/>
    </row>
    <row r="135" spans="1:49" ht="15.75" customHeight="1">
      <c r="A135" s="23"/>
      <c r="B135" s="59"/>
      <c r="C135" s="143"/>
      <c r="D135" s="76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5"/>
      <c r="AV135" s="23"/>
      <c r="AW135" s="25"/>
    </row>
    <row r="136" spans="1:49" ht="15.75" customHeight="1">
      <c r="A136" s="23"/>
      <c r="B136" s="59"/>
      <c r="C136" s="143"/>
      <c r="D136" s="76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5"/>
      <c r="AV136" s="23"/>
      <c r="AW136" s="25"/>
    </row>
    <row r="137" spans="1:49" ht="15.75" customHeight="1">
      <c r="A137" s="23"/>
      <c r="B137" s="59"/>
      <c r="C137" s="143"/>
      <c r="D137" s="76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5"/>
      <c r="AV137" s="23"/>
      <c r="AW137" s="25"/>
    </row>
    <row r="138" spans="1:49" ht="15.75" customHeight="1">
      <c r="A138" s="23"/>
      <c r="B138" s="59"/>
      <c r="C138" s="143"/>
      <c r="D138" s="76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5"/>
      <c r="AV138" s="23"/>
      <c r="AW138" s="25"/>
    </row>
    <row r="139" spans="1:49" ht="15.75" customHeight="1">
      <c r="A139" s="23"/>
      <c r="B139" s="59"/>
      <c r="C139" s="143"/>
      <c r="D139" s="76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5"/>
      <c r="AV139" s="23"/>
      <c r="AW139" s="25"/>
    </row>
    <row r="140" spans="1:49" ht="15.75" customHeight="1">
      <c r="A140" s="23"/>
      <c r="B140" s="59"/>
      <c r="C140" s="143"/>
      <c r="D140" s="76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5"/>
      <c r="AV140" s="23"/>
      <c r="AW140" s="25"/>
    </row>
    <row r="141" spans="1:49" ht="15.75" customHeight="1">
      <c r="A141" s="23"/>
      <c r="B141" s="59"/>
      <c r="C141" s="143"/>
      <c r="D141" s="76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5"/>
      <c r="AV141" s="23"/>
      <c r="AW141" s="25"/>
    </row>
    <row r="142" spans="1:49" ht="15.75" customHeight="1">
      <c r="A142" s="23"/>
      <c r="B142" s="59"/>
      <c r="C142" s="143"/>
      <c r="D142" s="76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5"/>
      <c r="AV142" s="23"/>
      <c r="AW142" s="25"/>
    </row>
    <row r="143" spans="1:49" ht="15.75" customHeight="1">
      <c r="A143" s="23"/>
      <c r="B143" s="59"/>
      <c r="C143" s="143"/>
      <c r="D143" s="76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5"/>
      <c r="AV143" s="23"/>
      <c r="AW143" s="25"/>
    </row>
    <row r="144" spans="1:49" ht="15.75" customHeight="1">
      <c r="A144" s="23"/>
      <c r="B144" s="59"/>
      <c r="C144" s="143"/>
      <c r="D144" s="76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5"/>
      <c r="AV144" s="23"/>
      <c r="AW144" s="25"/>
    </row>
    <row r="145" spans="1:49" ht="15.75" customHeight="1">
      <c r="A145" s="23"/>
      <c r="B145" s="59"/>
      <c r="C145" s="143"/>
      <c r="D145" s="76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5"/>
      <c r="AV145" s="23"/>
      <c r="AW145" s="25"/>
    </row>
    <row r="146" spans="1:49" ht="15.75" customHeight="1">
      <c r="A146" s="23"/>
      <c r="B146" s="59"/>
      <c r="C146" s="143"/>
      <c r="D146" s="76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5"/>
      <c r="AV146" s="23"/>
      <c r="AW146" s="25"/>
    </row>
    <row r="147" spans="1:49" ht="15.75" customHeight="1">
      <c r="A147" s="23"/>
      <c r="B147" s="59"/>
      <c r="C147" s="143"/>
      <c r="D147" s="76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5"/>
      <c r="AV147" s="23"/>
      <c r="AW147" s="25"/>
    </row>
    <row r="148" spans="1:49" ht="15.75" customHeight="1">
      <c r="A148" s="23"/>
      <c r="B148" s="59"/>
      <c r="C148" s="143"/>
      <c r="D148" s="76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5"/>
      <c r="AV148" s="23"/>
      <c r="AW148" s="25"/>
    </row>
    <row r="149" spans="1:49" ht="15.75" customHeight="1">
      <c r="A149" s="23"/>
      <c r="B149" s="59"/>
      <c r="C149" s="143"/>
      <c r="D149" s="76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5"/>
      <c r="AV149" s="23"/>
      <c r="AW149" s="25"/>
    </row>
    <row r="150" spans="1:49" ht="15.75" customHeight="1">
      <c r="A150" s="23"/>
      <c r="B150" s="59"/>
      <c r="C150" s="143"/>
      <c r="D150" s="76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5"/>
      <c r="AV150" s="23"/>
      <c r="AW150" s="25"/>
    </row>
    <row r="151" spans="1:49" ht="15.75" customHeight="1">
      <c r="A151" s="23"/>
      <c r="B151" s="59"/>
      <c r="C151" s="143"/>
      <c r="D151" s="7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5"/>
      <c r="AV151" s="23"/>
      <c r="AW151" s="25"/>
    </row>
    <row r="152" spans="1:49" ht="15.75" customHeight="1">
      <c r="A152" s="23"/>
      <c r="B152" s="59"/>
      <c r="C152" s="143"/>
      <c r="D152" s="76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5"/>
      <c r="AV152" s="23"/>
      <c r="AW152" s="25"/>
    </row>
    <row r="153" spans="1:49" ht="15.75" customHeight="1">
      <c r="A153" s="23"/>
      <c r="B153" s="59"/>
      <c r="C153" s="143"/>
      <c r="D153" s="76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5"/>
      <c r="AV153" s="23"/>
      <c r="AW153" s="25"/>
    </row>
    <row r="154" spans="1:49" ht="15.75" customHeight="1">
      <c r="A154" s="23"/>
      <c r="B154" s="59"/>
      <c r="C154" s="143"/>
      <c r="D154" s="76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5"/>
      <c r="AV154" s="23"/>
      <c r="AW154" s="25"/>
    </row>
    <row r="155" spans="1:49" ht="15.75" customHeight="1">
      <c r="A155" s="23"/>
      <c r="B155" s="59"/>
      <c r="C155" s="143"/>
      <c r="D155" s="76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5"/>
      <c r="AV155" s="23"/>
      <c r="AW155" s="25"/>
    </row>
    <row r="156" spans="1:49" ht="15.75" customHeight="1">
      <c r="A156" s="23"/>
      <c r="B156" s="59"/>
      <c r="C156" s="143"/>
      <c r="D156" s="76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5"/>
      <c r="AV156" s="23"/>
      <c r="AW156" s="25"/>
    </row>
    <row r="157" spans="1:49" ht="15.75" customHeight="1">
      <c r="A157" s="23"/>
      <c r="B157" s="59"/>
      <c r="C157" s="143"/>
      <c r="D157" s="7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5"/>
      <c r="AV157" s="23"/>
      <c r="AW157" s="25"/>
    </row>
    <row r="158" spans="1:49" ht="15.75" customHeight="1">
      <c r="A158" s="23"/>
      <c r="B158" s="59"/>
      <c r="C158" s="143"/>
      <c r="D158" s="76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5"/>
      <c r="AV158" s="23"/>
      <c r="AW158" s="25"/>
    </row>
    <row r="159" spans="1:49" ht="15.75" customHeight="1">
      <c r="A159" s="23"/>
      <c r="B159" s="59"/>
      <c r="C159" s="143"/>
      <c r="D159" s="76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5"/>
      <c r="AV159" s="23"/>
      <c r="AW159" s="25"/>
    </row>
    <row r="160" spans="1:49" ht="15.75" customHeight="1">
      <c r="A160" s="23"/>
      <c r="B160" s="59"/>
      <c r="C160" s="143"/>
      <c r="D160" s="76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5"/>
      <c r="AV160" s="23"/>
      <c r="AW160" s="25"/>
    </row>
    <row r="161" spans="1:49" ht="15.75" customHeight="1">
      <c r="A161" s="23"/>
      <c r="B161" s="59"/>
      <c r="C161" s="143"/>
      <c r="D161" s="7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5"/>
      <c r="AV161" s="23"/>
      <c r="AW161" s="25"/>
    </row>
    <row r="162" spans="1:49" ht="15.75" customHeight="1">
      <c r="A162" s="23"/>
      <c r="B162" s="59"/>
      <c r="C162" s="143"/>
      <c r="D162" s="7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5"/>
      <c r="AV162" s="23"/>
      <c r="AW162" s="25"/>
    </row>
    <row r="163" spans="1:49" ht="15.75" customHeight="1">
      <c r="A163" s="23"/>
      <c r="B163" s="59"/>
      <c r="C163" s="143"/>
      <c r="D163" s="7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5"/>
      <c r="AV163" s="23"/>
      <c r="AW163" s="25"/>
    </row>
    <row r="164" spans="1:49" ht="15.75" customHeight="1">
      <c r="A164" s="23"/>
      <c r="B164" s="59"/>
      <c r="C164" s="143"/>
      <c r="D164" s="7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5"/>
      <c r="AV164" s="23"/>
      <c r="AW164" s="25"/>
    </row>
    <row r="165" spans="1:49" ht="15.75" customHeight="1">
      <c r="A165" s="23"/>
      <c r="B165" s="59"/>
      <c r="C165" s="143"/>
      <c r="D165" s="76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5"/>
      <c r="AV165" s="23"/>
      <c r="AW165" s="25"/>
    </row>
    <row r="166" spans="1:49" ht="15.75" customHeight="1">
      <c r="A166" s="23"/>
      <c r="B166" s="59"/>
      <c r="C166" s="143"/>
      <c r="D166" s="7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5"/>
      <c r="AV166" s="23"/>
      <c r="AW166" s="25"/>
    </row>
    <row r="167" spans="1:49" ht="15.75" customHeight="1">
      <c r="A167" s="23"/>
      <c r="B167" s="59"/>
      <c r="C167" s="143"/>
      <c r="D167" s="7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5"/>
      <c r="AV167" s="23"/>
      <c r="AW167" s="25"/>
    </row>
    <row r="168" spans="1:49" ht="15.75" customHeight="1">
      <c r="A168" s="23"/>
      <c r="B168" s="59"/>
      <c r="C168" s="143"/>
      <c r="D168" s="7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5"/>
      <c r="AV168" s="23"/>
      <c r="AW168" s="25"/>
    </row>
    <row r="169" spans="1:49" ht="15.75" customHeight="1">
      <c r="A169" s="23"/>
      <c r="B169" s="59"/>
      <c r="C169" s="143"/>
      <c r="D169" s="7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5"/>
      <c r="AV169" s="23"/>
      <c r="AW169" s="25"/>
    </row>
    <row r="170" spans="1:49" ht="15.75" customHeight="1">
      <c r="A170" s="23"/>
      <c r="B170" s="59"/>
      <c r="C170" s="143"/>
      <c r="D170" s="76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5"/>
      <c r="AV170" s="23"/>
      <c r="AW170" s="25"/>
    </row>
    <row r="171" spans="1:49" ht="15.75" customHeight="1">
      <c r="A171" s="23"/>
      <c r="B171" s="59"/>
      <c r="C171" s="143"/>
      <c r="D171" s="7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5"/>
      <c r="AV171" s="23"/>
      <c r="AW171" s="25"/>
    </row>
    <row r="172" spans="1:49" ht="15.75" customHeight="1">
      <c r="A172" s="23"/>
      <c r="B172" s="59"/>
      <c r="C172" s="143"/>
      <c r="D172" s="76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5"/>
      <c r="AV172" s="23"/>
      <c r="AW172" s="25"/>
    </row>
    <row r="173" spans="1:49" ht="15.75" customHeight="1">
      <c r="A173" s="23"/>
      <c r="B173" s="59"/>
      <c r="C173" s="143"/>
      <c r="D173" s="76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5"/>
      <c r="AV173" s="23"/>
      <c r="AW173" s="25"/>
    </row>
    <row r="174" spans="1:49" ht="15.75" customHeight="1">
      <c r="A174" s="23"/>
      <c r="B174" s="59"/>
      <c r="C174" s="143"/>
      <c r="D174" s="76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5"/>
      <c r="AV174" s="23"/>
      <c r="AW174" s="25"/>
    </row>
    <row r="175" spans="1:49" ht="15.75" customHeight="1">
      <c r="A175" s="23"/>
      <c r="B175" s="59"/>
      <c r="C175" s="143"/>
      <c r="D175" s="76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5"/>
      <c r="AV175" s="23"/>
      <c r="AW175" s="25"/>
    </row>
    <row r="176" spans="1:49" ht="15.75" customHeight="1">
      <c r="A176" s="23"/>
      <c r="B176" s="59"/>
      <c r="C176" s="143"/>
      <c r="D176" s="76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5"/>
      <c r="AV176" s="23"/>
      <c r="AW176" s="25"/>
    </row>
    <row r="177" spans="1:49" ht="15.75" customHeight="1">
      <c r="A177" s="23"/>
      <c r="B177" s="59"/>
      <c r="C177" s="143"/>
      <c r="D177" s="76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5"/>
      <c r="AV177" s="23"/>
      <c r="AW177" s="25"/>
    </row>
    <row r="178" spans="1:49" ht="15.75" customHeight="1">
      <c r="A178" s="23"/>
      <c r="B178" s="59"/>
      <c r="C178" s="143"/>
      <c r="D178" s="7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5"/>
      <c r="AV178" s="23"/>
      <c r="AW178" s="25"/>
    </row>
    <row r="179" spans="1:49" ht="15.75" customHeight="1">
      <c r="A179" s="23"/>
      <c r="B179" s="59"/>
      <c r="C179" s="143"/>
      <c r="D179" s="76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5"/>
      <c r="AV179" s="23"/>
      <c r="AW179" s="25"/>
    </row>
    <row r="180" spans="1:49" ht="15.75" customHeight="1">
      <c r="A180" s="23"/>
      <c r="B180" s="59"/>
      <c r="C180" s="143"/>
      <c r="D180" s="7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5"/>
      <c r="AV180" s="23"/>
      <c r="AW180" s="25"/>
    </row>
    <row r="181" spans="1:49" ht="15.75" customHeight="1">
      <c r="A181" s="23"/>
      <c r="B181" s="59"/>
      <c r="C181" s="143"/>
      <c r="D181" s="76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5"/>
      <c r="AV181" s="23"/>
      <c r="AW181" s="25"/>
    </row>
    <row r="182" spans="1:49" ht="15.75" customHeight="1">
      <c r="A182" s="23"/>
      <c r="B182" s="59"/>
      <c r="C182" s="143"/>
      <c r="D182" s="76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5"/>
      <c r="AV182" s="23"/>
      <c r="AW182" s="25"/>
    </row>
    <row r="183" spans="1:49" ht="15.75" customHeight="1">
      <c r="A183" s="23"/>
      <c r="B183" s="59"/>
      <c r="C183" s="143"/>
      <c r="D183" s="7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5"/>
      <c r="AV183" s="23"/>
      <c r="AW183" s="25"/>
    </row>
    <row r="184" spans="1:49" ht="15.75" customHeight="1">
      <c r="A184" s="23"/>
      <c r="B184" s="59"/>
      <c r="C184" s="143"/>
      <c r="D184" s="76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5"/>
      <c r="AV184" s="23"/>
      <c r="AW184" s="25"/>
    </row>
    <row r="185" spans="1:49" ht="15.75" customHeight="1">
      <c r="A185" s="23"/>
      <c r="B185" s="59"/>
      <c r="C185" s="143"/>
      <c r="D185" s="76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5"/>
      <c r="AV185" s="23"/>
      <c r="AW185" s="25"/>
    </row>
    <row r="186" spans="1:49" ht="15.75" customHeight="1">
      <c r="A186" s="23"/>
      <c r="B186" s="59"/>
      <c r="C186" s="143"/>
      <c r="D186" s="76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5"/>
      <c r="AV186" s="23"/>
      <c r="AW186" s="25"/>
    </row>
    <row r="187" spans="1:49" ht="15.75" customHeight="1">
      <c r="A187" s="23"/>
      <c r="B187" s="59"/>
      <c r="C187" s="143"/>
      <c r="D187" s="7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5"/>
      <c r="AV187" s="23"/>
      <c r="AW187" s="25"/>
    </row>
    <row r="188" spans="1:49" ht="15.75" customHeight="1">
      <c r="A188" s="23"/>
      <c r="B188" s="59"/>
      <c r="C188" s="143"/>
      <c r="D188" s="7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5"/>
      <c r="AV188" s="23"/>
      <c r="AW188" s="25"/>
    </row>
    <row r="189" spans="1:49" ht="15.75" customHeight="1">
      <c r="A189" s="23"/>
      <c r="B189" s="59"/>
      <c r="C189" s="143"/>
      <c r="D189" s="76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5"/>
      <c r="AV189" s="23"/>
      <c r="AW189" s="25"/>
    </row>
    <row r="190" spans="1:49" ht="15.75" customHeight="1">
      <c r="A190" s="23"/>
      <c r="B190" s="59"/>
      <c r="C190" s="143"/>
      <c r="D190" s="76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5"/>
      <c r="AV190" s="23"/>
      <c r="AW190" s="25"/>
    </row>
    <row r="191" spans="1:49" ht="15.75" customHeight="1">
      <c r="A191" s="23"/>
      <c r="B191" s="59"/>
      <c r="C191" s="143"/>
      <c r="D191" s="76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5"/>
      <c r="AV191" s="23"/>
      <c r="AW191" s="25"/>
    </row>
    <row r="192" spans="1:49" ht="15.75" customHeight="1">
      <c r="A192" s="23"/>
      <c r="B192" s="59"/>
      <c r="C192" s="143"/>
      <c r="D192" s="76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5"/>
      <c r="AV192" s="23"/>
      <c r="AW192" s="25"/>
    </row>
    <row r="193" spans="1:49" ht="15.75" customHeight="1">
      <c r="A193" s="23"/>
      <c r="B193" s="59"/>
      <c r="C193" s="143"/>
      <c r="D193" s="7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5"/>
      <c r="AV193" s="23"/>
      <c r="AW193" s="25"/>
    </row>
    <row r="194" spans="1:49" ht="15.75" customHeight="1">
      <c r="A194" s="23"/>
      <c r="B194" s="59"/>
      <c r="C194" s="143"/>
      <c r="D194" s="7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5"/>
      <c r="AV194" s="23"/>
      <c r="AW194" s="25"/>
    </row>
    <row r="195" spans="1:49" ht="15.75" customHeight="1">
      <c r="A195" s="23"/>
      <c r="B195" s="59"/>
      <c r="C195" s="143"/>
      <c r="D195" s="7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5"/>
      <c r="AV195" s="23"/>
      <c r="AW195" s="25"/>
    </row>
    <row r="196" spans="1:49" ht="15.75" customHeight="1">
      <c r="A196" s="23"/>
      <c r="B196" s="59"/>
      <c r="C196" s="143"/>
      <c r="D196" s="76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5"/>
      <c r="AV196" s="23"/>
      <c r="AW196" s="25"/>
    </row>
    <row r="197" spans="1:49" ht="15.75" customHeight="1">
      <c r="A197" s="23"/>
      <c r="B197" s="59"/>
      <c r="C197" s="143"/>
      <c r="D197" s="76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5"/>
      <c r="AV197" s="23"/>
      <c r="AW197" s="25"/>
    </row>
    <row r="198" spans="1:49" ht="15.75" customHeight="1">
      <c r="A198" s="23"/>
      <c r="B198" s="59"/>
      <c r="C198" s="143"/>
      <c r="D198" s="7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5"/>
      <c r="AV198" s="23"/>
      <c r="AW198" s="25"/>
    </row>
    <row r="199" spans="1:49" ht="15.75" customHeight="1">
      <c r="A199" s="23"/>
      <c r="B199" s="59"/>
      <c r="C199" s="143"/>
      <c r="D199" s="7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5"/>
      <c r="AV199" s="23"/>
      <c r="AW199" s="25"/>
    </row>
    <row r="200" spans="1:49" ht="15.75" customHeight="1">
      <c r="A200" s="23"/>
      <c r="B200" s="59"/>
      <c r="C200" s="143"/>
      <c r="D200" s="76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5"/>
      <c r="AV200" s="23"/>
      <c r="AW200" s="25"/>
    </row>
    <row r="201" spans="1:49" ht="15.75" customHeight="1">
      <c r="A201" s="23"/>
      <c r="B201" s="59"/>
      <c r="C201" s="143"/>
      <c r="D201" s="76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5"/>
      <c r="AV201" s="23"/>
      <c r="AW201" s="25"/>
    </row>
    <row r="202" spans="1:49" ht="15.75" customHeight="1">
      <c r="A202" s="23"/>
      <c r="B202" s="59"/>
      <c r="C202" s="143"/>
      <c r="D202" s="76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5"/>
      <c r="AV202" s="23"/>
      <c r="AW202" s="25"/>
    </row>
    <row r="203" spans="1:49" ht="15.75" customHeight="1">
      <c r="A203" s="23"/>
      <c r="B203" s="59"/>
      <c r="C203" s="143"/>
      <c r="D203" s="76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5"/>
      <c r="AV203" s="23"/>
      <c r="AW203" s="25"/>
    </row>
    <row r="204" spans="1:49" ht="15.75" customHeight="1">
      <c r="A204" s="23"/>
      <c r="B204" s="59"/>
      <c r="C204" s="143"/>
      <c r="D204" s="76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5"/>
      <c r="AV204" s="23"/>
      <c r="AW204" s="25"/>
    </row>
    <row r="205" spans="1:49" ht="15.75" customHeight="1">
      <c r="A205" s="23"/>
      <c r="B205" s="59"/>
      <c r="C205" s="143"/>
      <c r="D205" s="76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5"/>
      <c r="AV205" s="23"/>
      <c r="AW205" s="25"/>
    </row>
    <row r="206" spans="1:49" ht="15.75" customHeight="1">
      <c r="A206" s="23"/>
      <c r="B206" s="59"/>
      <c r="C206" s="143"/>
      <c r="D206" s="76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5"/>
      <c r="AV206" s="23"/>
      <c r="AW206" s="25"/>
    </row>
    <row r="207" spans="1:49" ht="15.75" customHeight="1">
      <c r="A207" s="23"/>
      <c r="B207" s="59"/>
      <c r="C207" s="143"/>
      <c r="D207" s="76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5"/>
      <c r="AV207" s="23"/>
      <c r="AW207" s="25"/>
    </row>
    <row r="208" spans="1:49" ht="15.75" customHeight="1">
      <c r="A208" s="23"/>
      <c r="B208" s="59"/>
      <c r="C208" s="143"/>
      <c r="D208" s="76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5"/>
      <c r="AV208" s="23"/>
      <c r="AW208" s="25"/>
    </row>
    <row r="209" spans="1:49" ht="15.75" customHeight="1">
      <c r="A209" s="23"/>
      <c r="B209" s="59"/>
      <c r="C209" s="143"/>
      <c r="D209" s="7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5"/>
      <c r="AV209" s="23"/>
      <c r="AW209" s="25"/>
    </row>
    <row r="210" spans="1:49" ht="15.75" customHeight="1">
      <c r="A210" s="23"/>
      <c r="B210" s="59"/>
      <c r="C210" s="143"/>
      <c r="D210" s="76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5"/>
      <c r="AV210" s="23"/>
      <c r="AW210" s="25"/>
    </row>
    <row r="211" spans="1:49" ht="15.75" customHeight="1">
      <c r="A211" s="23"/>
      <c r="B211" s="59"/>
      <c r="C211" s="143"/>
      <c r="D211" s="76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5"/>
      <c r="AV211" s="23"/>
      <c r="AW211" s="25"/>
    </row>
    <row r="212" spans="1:49" ht="15.75" customHeight="1">
      <c r="A212" s="23"/>
      <c r="B212" s="59"/>
      <c r="C212" s="143"/>
      <c r="D212" s="76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5"/>
      <c r="AV212" s="23"/>
      <c r="AW212" s="25"/>
    </row>
    <row r="213" spans="1:49" ht="15.75" customHeight="1">
      <c r="A213" s="23"/>
      <c r="B213" s="59"/>
      <c r="C213" s="143"/>
      <c r="D213" s="76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5"/>
      <c r="AV213" s="23"/>
      <c r="AW213" s="25"/>
    </row>
    <row r="214" spans="1:49" ht="15.75" customHeight="1">
      <c r="A214" s="23"/>
      <c r="B214" s="59"/>
      <c r="C214" s="143"/>
      <c r="D214" s="76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5"/>
      <c r="AV214" s="23"/>
      <c r="AW214" s="25"/>
    </row>
    <row r="215" spans="1:49" ht="15.75" customHeight="1">
      <c r="A215" s="23"/>
      <c r="B215" s="59"/>
      <c r="C215" s="143"/>
      <c r="D215" s="7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5"/>
      <c r="AV215" s="23"/>
      <c r="AW215" s="25"/>
    </row>
    <row r="216" spans="1:49" ht="15.75" customHeight="1">
      <c r="A216" s="23"/>
      <c r="B216" s="59"/>
      <c r="C216" s="143"/>
      <c r="D216" s="7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5"/>
      <c r="AV216" s="23"/>
      <c r="AW216" s="25"/>
    </row>
    <row r="217" spans="1:49" ht="15.75" customHeight="1">
      <c r="A217" s="23"/>
      <c r="B217" s="59"/>
      <c r="C217" s="143"/>
      <c r="D217" s="76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5"/>
      <c r="AV217" s="23"/>
      <c r="AW217" s="25"/>
    </row>
    <row r="218" spans="1:49" ht="15.75" customHeight="1">
      <c r="A218" s="23"/>
      <c r="B218" s="59"/>
      <c r="C218" s="143"/>
      <c r="D218" s="7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5"/>
      <c r="AV218" s="23"/>
      <c r="AW218" s="25"/>
    </row>
    <row r="219" spans="1:49" ht="15.75" customHeight="1">
      <c r="A219" s="23"/>
      <c r="B219" s="59"/>
      <c r="C219" s="143"/>
      <c r="D219" s="7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5"/>
      <c r="AV219" s="23"/>
      <c r="AW219" s="25"/>
    </row>
    <row r="220" spans="1:49" ht="15.75" customHeight="1">
      <c r="A220" s="23"/>
      <c r="B220" s="59"/>
      <c r="C220" s="143"/>
      <c r="D220" s="76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5"/>
      <c r="AV220" s="23"/>
      <c r="AW220" s="25"/>
    </row>
    <row r="221" spans="1:49" ht="15.75" customHeight="1">
      <c r="A221" s="23"/>
      <c r="B221" s="59"/>
      <c r="C221" s="143"/>
      <c r="D221" s="7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5"/>
      <c r="AV221" s="23"/>
      <c r="AW221" s="25"/>
    </row>
    <row r="222" spans="1:49" ht="15.75" customHeight="1">
      <c r="A222" s="23"/>
      <c r="B222" s="59"/>
      <c r="C222" s="143"/>
      <c r="D222" s="7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5"/>
      <c r="AV222" s="23"/>
      <c r="AW222" s="25"/>
    </row>
    <row r="223" spans="1:49" ht="15.75" customHeight="1">
      <c r="A223" s="23"/>
      <c r="B223" s="59"/>
      <c r="C223" s="143"/>
      <c r="D223" s="7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5"/>
      <c r="AV223" s="23"/>
      <c r="AW223" s="25"/>
    </row>
    <row r="224" spans="1:49" ht="15.75" customHeight="1">
      <c r="A224" s="23"/>
      <c r="B224" s="59"/>
      <c r="C224" s="143"/>
      <c r="D224" s="7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5"/>
      <c r="AV224" s="23"/>
      <c r="AW224" s="25"/>
    </row>
    <row r="225" spans="1:49" ht="15.75" customHeight="1">
      <c r="A225" s="23"/>
      <c r="B225" s="59"/>
      <c r="C225" s="143"/>
      <c r="D225" s="7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5"/>
      <c r="AV225" s="23"/>
      <c r="AW225" s="25"/>
    </row>
    <row r="226" spans="1:49" ht="15.75" customHeight="1">
      <c r="A226" s="23"/>
      <c r="B226" s="59"/>
      <c r="C226" s="143"/>
      <c r="D226" s="76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5"/>
      <c r="AV226" s="23"/>
      <c r="AW226" s="25"/>
    </row>
    <row r="227" spans="1:49" ht="15.75" customHeight="1">
      <c r="A227" s="23"/>
      <c r="B227" s="59"/>
      <c r="C227" s="143"/>
      <c r="D227" s="76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5"/>
      <c r="AV227" s="23"/>
      <c r="AW227" s="25"/>
    </row>
    <row r="228" spans="1:49" ht="15.75" customHeight="1">
      <c r="A228" s="23"/>
      <c r="B228" s="59"/>
      <c r="C228" s="143"/>
      <c r="D228" s="76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5"/>
      <c r="AV228" s="23"/>
      <c r="AW228" s="25"/>
    </row>
    <row r="229" spans="1:49" ht="15.75" customHeight="1">
      <c r="A229" s="23"/>
      <c r="B229" s="59"/>
      <c r="C229" s="143"/>
      <c r="D229" s="76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5"/>
      <c r="AV229" s="23"/>
      <c r="AW229" s="25"/>
    </row>
    <row r="230" spans="1:49" ht="15.75" customHeight="1">
      <c r="A230" s="23"/>
      <c r="B230" s="59"/>
      <c r="C230" s="143"/>
      <c r="D230" s="76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5"/>
      <c r="AV230" s="23"/>
      <c r="AW230" s="25"/>
    </row>
    <row r="231" spans="1:49" ht="15.75" customHeight="1">
      <c r="A231" s="23"/>
      <c r="B231" s="59"/>
      <c r="C231" s="143"/>
      <c r="D231" s="76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5"/>
      <c r="AV231" s="23"/>
      <c r="AW231" s="25"/>
    </row>
    <row r="232" spans="1:49" ht="15.75" customHeight="1">
      <c r="A232" s="23"/>
      <c r="B232" s="59"/>
      <c r="C232" s="143"/>
      <c r="D232" s="76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5"/>
      <c r="AV232" s="23"/>
      <c r="AW232" s="25"/>
    </row>
    <row r="233" spans="1:49" ht="15.75" customHeight="1">
      <c r="A233" s="23"/>
      <c r="B233" s="59"/>
      <c r="C233" s="143"/>
      <c r="D233" s="76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5"/>
      <c r="AV233" s="23"/>
      <c r="AW233" s="25"/>
    </row>
    <row r="234" spans="1:49" ht="15.75" customHeight="1">
      <c r="A234" s="23"/>
      <c r="B234" s="59"/>
      <c r="C234" s="143"/>
      <c r="D234" s="76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5"/>
      <c r="AV234" s="23"/>
      <c r="AW234" s="25"/>
    </row>
    <row r="235" spans="1:49" ht="15.75" customHeight="1">
      <c r="A235" s="23"/>
      <c r="B235" s="59"/>
      <c r="C235" s="143"/>
      <c r="D235" s="7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5"/>
      <c r="AV235" s="23"/>
      <c r="AW235" s="25"/>
    </row>
    <row r="236" spans="1:49" ht="15.75" customHeight="1">
      <c r="A236" s="23"/>
      <c r="B236" s="59"/>
      <c r="C236" s="143"/>
      <c r="D236" s="76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5"/>
      <c r="AV236" s="23"/>
      <c r="AW236" s="25"/>
    </row>
    <row r="237" spans="1:49" ht="15.75" customHeight="1">
      <c r="A237" s="23"/>
      <c r="B237" s="59"/>
      <c r="C237" s="143"/>
      <c r="D237" s="76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5"/>
      <c r="AV237" s="23"/>
      <c r="AW237" s="25"/>
    </row>
    <row r="238" spans="1:49" ht="15.75" customHeight="1">
      <c r="A238" s="23"/>
      <c r="B238" s="59"/>
      <c r="C238" s="143"/>
      <c r="D238" s="76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5"/>
      <c r="AV238" s="23"/>
      <c r="AW238" s="25"/>
    </row>
    <row r="239" spans="1:49" ht="15.75" customHeight="1">
      <c r="A239" s="23"/>
      <c r="B239" s="59"/>
      <c r="C239" s="143"/>
      <c r="D239" s="76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5"/>
      <c r="AV239" s="23"/>
      <c r="AW239" s="25"/>
    </row>
    <row r="240" spans="1:49" ht="15.75" customHeight="1">
      <c r="A240" s="23"/>
      <c r="B240" s="59"/>
      <c r="C240" s="143"/>
      <c r="D240" s="76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5"/>
      <c r="AV240" s="23"/>
      <c r="AW240" s="25"/>
    </row>
    <row r="241" spans="1:49" ht="15.75" customHeight="1">
      <c r="A241" s="23"/>
      <c r="B241" s="59"/>
      <c r="C241" s="143"/>
      <c r="D241" s="76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5"/>
      <c r="AV241" s="23"/>
      <c r="AW241" s="25"/>
    </row>
    <row r="242" spans="1:49" ht="15.75" customHeight="1">
      <c r="A242" s="23"/>
      <c r="B242" s="59"/>
      <c r="C242" s="143"/>
      <c r="D242" s="7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5"/>
      <c r="AV242" s="23"/>
      <c r="AW242" s="25"/>
    </row>
    <row r="243" spans="1:49" ht="15.75" customHeight="1">
      <c r="A243" s="23"/>
      <c r="B243" s="59"/>
      <c r="C243" s="143"/>
      <c r="D243" s="76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5"/>
      <c r="AV243" s="23"/>
      <c r="AW243" s="25"/>
    </row>
    <row r="244" spans="1:49" ht="15.75" customHeight="1">
      <c r="A244" s="23"/>
      <c r="B244" s="59"/>
      <c r="C244" s="143"/>
      <c r="D244" s="76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5"/>
      <c r="AV244" s="23"/>
      <c r="AW244" s="25"/>
    </row>
    <row r="245" spans="1:49" ht="15.75" customHeight="1"/>
    <row r="246" spans="1:49" ht="15.75" customHeight="1"/>
    <row r="247" spans="1:49" ht="15.75" customHeight="1"/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AN3:AU3"/>
    <mergeCell ref="B3:B4"/>
    <mergeCell ref="E3:L3"/>
    <mergeCell ref="M3:T3"/>
    <mergeCell ref="U3:Y3"/>
    <mergeCell ref="Z3:AG3"/>
    <mergeCell ref="AH3:AM3"/>
    <mergeCell ref="E37:L41"/>
    <mergeCell ref="M37:T41"/>
    <mergeCell ref="Z37:AG4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２０２6.01</vt:lpstr>
      <vt:lpstr>2026.02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2026-02-11T11:32:57Z</dcterms:modified>
</cp:coreProperties>
</file>