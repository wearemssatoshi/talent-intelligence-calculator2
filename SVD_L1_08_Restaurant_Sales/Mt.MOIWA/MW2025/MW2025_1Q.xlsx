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MW/"/>
    </mc:Choice>
  </mc:AlternateContent>
  <xr:revisionPtr revIDLastSave="0" documentId="8_{BF459558-1157-E94A-B9D5-E8B6B7B776AE}" xr6:coauthVersionLast="47" xr6:coauthVersionMax="47" xr10:uidLastSave="{00000000-0000-0000-0000-000000000000}"/>
  <bookViews>
    <workbookView xWindow="0" yWindow="660" windowWidth="30240" windowHeight="18980" activeTab="2" xr2:uid="{7F9D5D59-A1FC-3B48-93F3-6D616DF54B86}"/>
  </bookViews>
  <sheets>
    <sheet name="２０２5.04" sheetId="1" r:id="rId1"/>
    <sheet name="2025.05" sheetId="2" r:id="rId2"/>
    <sheet name="2025.0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6" i="3" l="1"/>
  <c r="T46" i="3"/>
  <c r="AL44" i="3"/>
  <c r="AK44" i="3" s="1"/>
  <c r="G38" i="3"/>
  <c r="AM37" i="3"/>
  <c r="G37" i="3"/>
  <c r="H37" i="3" s="1"/>
  <c r="AT36" i="3"/>
  <c r="AS36" i="3"/>
  <c r="AR36" i="3"/>
  <c r="AQ36" i="3"/>
  <c r="AP36" i="3"/>
  <c r="AO36" i="3"/>
  <c r="AN36" i="3"/>
  <c r="AM36" i="3"/>
  <c r="AD36" i="3"/>
  <c r="AD37" i="3" s="1"/>
  <c r="AE37" i="3" s="1"/>
  <c r="AB36" i="3"/>
  <c r="AB37" i="3" s="1"/>
  <c r="AC37" i="3" s="1"/>
  <c r="AA36" i="3"/>
  <c r="Z36" i="3"/>
  <c r="M36" i="3"/>
  <c r="I36" i="3"/>
  <c r="H36" i="3"/>
  <c r="G36" i="3"/>
  <c r="F36" i="3"/>
  <c r="E36" i="3"/>
  <c r="C36" i="3"/>
  <c r="AX34" i="3"/>
  <c r="AW34" i="3"/>
  <c r="AU34" i="3"/>
  <c r="AL34" i="3"/>
  <c r="AF34" i="3"/>
  <c r="AG34" i="3" s="1"/>
  <c r="AE34" i="3"/>
  <c r="AC34" i="3"/>
  <c r="W34" i="3"/>
  <c r="AJ34" i="3" s="1"/>
  <c r="V34" i="3"/>
  <c r="AI34" i="3" s="1"/>
  <c r="Q34" i="3"/>
  <c r="R34" i="3" s="1"/>
  <c r="O34" i="3"/>
  <c r="N34" i="3"/>
  <c r="U34" i="3" s="1"/>
  <c r="L34" i="3"/>
  <c r="K34" i="3"/>
  <c r="J34" i="3"/>
  <c r="H34" i="3"/>
  <c r="AU33" i="3"/>
  <c r="AX33" i="3" s="1"/>
  <c r="AL33" i="3"/>
  <c r="AF33" i="3"/>
  <c r="AG33" i="3" s="1"/>
  <c r="AE33" i="3"/>
  <c r="AC33" i="3"/>
  <c r="Y33" i="3"/>
  <c r="X33" i="3"/>
  <c r="AK33" i="3" s="1"/>
  <c r="V33" i="3"/>
  <c r="AI33" i="3" s="1"/>
  <c r="U33" i="3"/>
  <c r="Q33" i="3"/>
  <c r="O33" i="3"/>
  <c r="S33" i="3" s="1"/>
  <c r="N33" i="3"/>
  <c r="K33" i="3"/>
  <c r="L33" i="3" s="1"/>
  <c r="J33" i="3"/>
  <c r="H33" i="3"/>
  <c r="AW32" i="3"/>
  <c r="AU32" i="3"/>
  <c r="AX32" i="3" s="1"/>
  <c r="AL32" i="3"/>
  <c r="AF32" i="3"/>
  <c r="AG32" i="3" s="1"/>
  <c r="AE32" i="3"/>
  <c r="AC32" i="3"/>
  <c r="W32" i="3"/>
  <c r="AJ32" i="3" s="1"/>
  <c r="U32" i="3"/>
  <c r="Q32" i="3"/>
  <c r="O32" i="3"/>
  <c r="N32" i="3"/>
  <c r="L32" i="3"/>
  <c r="K32" i="3"/>
  <c r="J32" i="3"/>
  <c r="H32" i="3"/>
  <c r="AU31" i="3"/>
  <c r="AL31" i="3"/>
  <c r="AJ31" i="3"/>
  <c r="AG31" i="3"/>
  <c r="AF31" i="3"/>
  <c r="AE31" i="3"/>
  <c r="AC31" i="3"/>
  <c r="W31" i="3"/>
  <c r="Q31" i="3"/>
  <c r="O31" i="3"/>
  <c r="N31" i="3"/>
  <c r="U31" i="3" s="1"/>
  <c r="L31" i="3"/>
  <c r="K31" i="3"/>
  <c r="J31" i="3"/>
  <c r="H31" i="3"/>
  <c r="AU30" i="3"/>
  <c r="AL30" i="3"/>
  <c r="AJ30" i="3"/>
  <c r="AI30" i="3"/>
  <c r="AG30" i="3"/>
  <c r="AF30" i="3"/>
  <c r="AE30" i="3"/>
  <c r="AC30" i="3"/>
  <c r="W30" i="3"/>
  <c r="V30" i="3"/>
  <c r="S30" i="3"/>
  <c r="R30" i="3"/>
  <c r="Q30" i="3"/>
  <c r="O30" i="3"/>
  <c r="N30" i="3"/>
  <c r="L30" i="3"/>
  <c r="K30" i="3"/>
  <c r="X30" i="3" s="1"/>
  <c r="AK30" i="3" s="1"/>
  <c r="J30" i="3"/>
  <c r="H30" i="3"/>
  <c r="AX29" i="3"/>
  <c r="AU29" i="3"/>
  <c r="AW29" i="3" s="1"/>
  <c r="AL29" i="3"/>
  <c r="AK29" i="3"/>
  <c r="AJ29" i="3"/>
  <c r="AH29" i="3"/>
  <c r="AF29" i="3"/>
  <c r="AG29" i="3" s="1"/>
  <c r="AE29" i="3"/>
  <c r="AC29" i="3"/>
  <c r="W29" i="3"/>
  <c r="V29" i="3"/>
  <c r="AI29" i="3" s="1"/>
  <c r="U29" i="3"/>
  <c r="Y29" i="3" s="1"/>
  <c r="T29" i="3"/>
  <c r="R29" i="3"/>
  <c r="Q29" i="3"/>
  <c r="S29" i="3" s="1"/>
  <c r="O29" i="3"/>
  <c r="P29" i="3" s="1"/>
  <c r="N29" i="3"/>
  <c r="L29" i="3"/>
  <c r="K29" i="3"/>
  <c r="X29" i="3" s="1"/>
  <c r="J29" i="3"/>
  <c r="H29" i="3"/>
  <c r="AX28" i="3"/>
  <c r="AW28" i="3"/>
  <c r="AU28" i="3"/>
  <c r="AL28" i="3"/>
  <c r="AH28" i="3"/>
  <c r="AG28" i="3"/>
  <c r="AF28" i="3"/>
  <c r="AE28" i="3"/>
  <c r="AC28" i="3"/>
  <c r="V28" i="3"/>
  <c r="AI28" i="3" s="1"/>
  <c r="U28" i="3"/>
  <c r="Q28" i="3"/>
  <c r="P28" i="3"/>
  <c r="O28" i="3"/>
  <c r="N28" i="3"/>
  <c r="L28" i="3"/>
  <c r="K28" i="3"/>
  <c r="J28" i="3"/>
  <c r="H28" i="3"/>
  <c r="AU27" i="3"/>
  <c r="AL27" i="3"/>
  <c r="AH27" i="3"/>
  <c r="AG27" i="3"/>
  <c r="AF27" i="3"/>
  <c r="AE27" i="3"/>
  <c r="AC27" i="3"/>
  <c r="U27" i="3"/>
  <c r="R27" i="3"/>
  <c r="Q27" i="3"/>
  <c r="W27" i="3" s="1"/>
  <c r="AJ27" i="3" s="1"/>
  <c r="P27" i="3"/>
  <c r="O27" i="3"/>
  <c r="V27" i="3" s="1"/>
  <c r="AI27" i="3" s="1"/>
  <c r="N27" i="3"/>
  <c r="L27" i="3"/>
  <c r="K27" i="3"/>
  <c r="J27" i="3"/>
  <c r="H27" i="3"/>
  <c r="AU26" i="3"/>
  <c r="AW26" i="3" s="1"/>
  <c r="AL26" i="3"/>
  <c r="AF26" i="3"/>
  <c r="AG26" i="3" s="1"/>
  <c r="AE26" i="3"/>
  <c r="AC26" i="3"/>
  <c r="S26" i="3"/>
  <c r="X26" i="3" s="1"/>
  <c r="AK26" i="3" s="1"/>
  <c r="R26" i="3"/>
  <c r="Q26" i="3"/>
  <c r="W26" i="3" s="1"/>
  <c r="AJ26" i="3" s="1"/>
  <c r="O26" i="3"/>
  <c r="N26" i="3"/>
  <c r="U26" i="3" s="1"/>
  <c r="K26" i="3"/>
  <c r="L26" i="3" s="1"/>
  <c r="J26" i="3"/>
  <c r="H26" i="3"/>
  <c r="AX25" i="3"/>
  <c r="AW25" i="3"/>
  <c r="AU25" i="3"/>
  <c r="AL25" i="3"/>
  <c r="AG25" i="3"/>
  <c r="AF25" i="3"/>
  <c r="AE25" i="3"/>
  <c r="AC25" i="3"/>
  <c r="R25" i="3"/>
  <c r="Q25" i="3"/>
  <c r="S25" i="3" s="1"/>
  <c r="X25" i="3" s="1"/>
  <c r="AK25" i="3" s="1"/>
  <c r="P25" i="3"/>
  <c r="O25" i="3"/>
  <c r="V25" i="3" s="1"/>
  <c r="AI25" i="3" s="1"/>
  <c r="N25" i="3"/>
  <c r="L25" i="3"/>
  <c r="K25" i="3"/>
  <c r="J25" i="3"/>
  <c r="H25" i="3"/>
  <c r="AX24" i="3"/>
  <c r="AW24" i="3"/>
  <c r="AU24" i="3"/>
  <c r="AL24" i="3"/>
  <c r="AF24" i="3"/>
  <c r="AG24" i="3" s="1"/>
  <c r="AE24" i="3"/>
  <c r="AC24" i="3"/>
  <c r="W24" i="3"/>
  <c r="AJ24" i="3" s="1"/>
  <c r="V24" i="3"/>
  <c r="AI24" i="3" s="1"/>
  <c r="Q24" i="3"/>
  <c r="R24" i="3" s="1"/>
  <c r="O24" i="3"/>
  <c r="N24" i="3"/>
  <c r="U24" i="3" s="1"/>
  <c r="L24" i="3"/>
  <c r="K24" i="3"/>
  <c r="J24" i="3"/>
  <c r="H24" i="3"/>
  <c r="AU23" i="3"/>
  <c r="AX23" i="3" s="1"/>
  <c r="AL23" i="3"/>
  <c r="AF23" i="3"/>
  <c r="AG23" i="3" s="1"/>
  <c r="AE23" i="3"/>
  <c r="AC23" i="3"/>
  <c r="Y23" i="3"/>
  <c r="X23" i="3"/>
  <c r="AK23" i="3" s="1"/>
  <c r="V23" i="3"/>
  <c r="AI23" i="3" s="1"/>
  <c r="U23" i="3"/>
  <c r="Q23" i="3"/>
  <c r="O23" i="3"/>
  <c r="S23" i="3" s="1"/>
  <c r="N23" i="3"/>
  <c r="L23" i="3"/>
  <c r="K23" i="3"/>
  <c r="J23" i="3"/>
  <c r="H23" i="3"/>
  <c r="AU22" i="3"/>
  <c r="AX22" i="3" s="1"/>
  <c r="AL22" i="3"/>
  <c r="AF22" i="3"/>
  <c r="AG22" i="3" s="1"/>
  <c r="AE22" i="3"/>
  <c r="AC22" i="3"/>
  <c r="W22" i="3"/>
  <c r="AJ22" i="3" s="1"/>
  <c r="Q22" i="3"/>
  <c r="O22" i="3"/>
  <c r="N22" i="3"/>
  <c r="U22" i="3" s="1"/>
  <c r="L22" i="3"/>
  <c r="K22" i="3"/>
  <c r="J22" i="3"/>
  <c r="H22" i="3"/>
  <c r="AU21" i="3"/>
  <c r="AL21" i="3"/>
  <c r="AJ21" i="3"/>
  <c r="AG21" i="3"/>
  <c r="AF21" i="3"/>
  <c r="AE21" i="3"/>
  <c r="AC21" i="3"/>
  <c r="W21" i="3"/>
  <c r="Q21" i="3"/>
  <c r="O21" i="3"/>
  <c r="P21" i="3" s="1"/>
  <c r="N21" i="3"/>
  <c r="U21" i="3" s="1"/>
  <c r="L21" i="3"/>
  <c r="K21" i="3"/>
  <c r="J21" i="3"/>
  <c r="H21" i="3"/>
  <c r="AU20" i="3"/>
  <c r="AL20" i="3"/>
  <c r="AJ20" i="3"/>
  <c r="AI20" i="3"/>
  <c r="AF20" i="3"/>
  <c r="AG20" i="3" s="1"/>
  <c r="AE20" i="3"/>
  <c r="AC20" i="3"/>
  <c r="W20" i="3"/>
  <c r="V20" i="3"/>
  <c r="U20" i="3"/>
  <c r="S20" i="3"/>
  <c r="R20" i="3"/>
  <c r="Q20" i="3"/>
  <c r="O20" i="3"/>
  <c r="P20" i="3" s="1"/>
  <c r="N20" i="3"/>
  <c r="L20" i="3"/>
  <c r="K20" i="3"/>
  <c r="X20" i="3" s="1"/>
  <c r="AK20" i="3" s="1"/>
  <c r="J20" i="3"/>
  <c r="H20" i="3"/>
  <c r="AX19" i="3"/>
  <c r="AU19" i="3"/>
  <c r="AW19" i="3" s="1"/>
  <c r="AL19" i="3"/>
  <c r="AK19" i="3"/>
  <c r="AH19" i="3"/>
  <c r="AF19" i="3"/>
  <c r="AG19" i="3" s="1"/>
  <c r="AE19" i="3"/>
  <c r="AC19" i="3"/>
  <c r="W19" i="3"/>
  <c r="AJ19" i="3" s="1"/>
  <c r="V19" i="3"/>
  <c r="AI19" i="3" s="1"/>
  <c r="U19" i="3"/>
  <c r="T19" i="3"/>
  <c r="Q19" i="3"/>
  <c r="S19" i="3" s="1"/>
  <c r="O19" i="3"/>
  <c r="P19" i="3" s="1"/>
  <c r="N19" i="3"/>
  <c r="K19" i="3"/>
  <c r="X19" i="3" s="1"/>
  <c r="J19" i="3"/>
  <c r="H19" i="3"/>
  <c r="AX18" i="3"/>
  <c r="AW18" i="3"/>
  <c r="AU18" i="3"/>
  <c r="AL18" i="3"/>
  <c r="AH18" i="3"/>
  <c r="AG18" i="3"/>
  <c r="AF18" i="3"/>
  <c r="AE18" i="3"/>
  <c r="AC18" i="3"/>
  <c r="V18" i="3"/>
  <c r="AI18" i="3" s="1"/>
  <c r="U18" i="3"/>
  <c r="S18" i="3"/>
  <c r="T18" i="3" s="1"/>
  <c r="Q18" i="3"/>
  <c r="P18" i="3"/>
  <c r="O18" i="3"/>
  <c r="N18" i="3"/>
  <c r="K18" i="3"/>
  <c r="J18" i="3"/>
  <c r="H18" i="3"/>
  <c r="AU17" i="3"/>
  <c r="AW17" i="3" s="1"/>
  <c r="AL17" i="3"/>
  <c r="AH17" i="3"/>
  <c r="AG17" i="3"/>
  <c r="AF17" i="3"/>
  <c r="AE17" i="3"/>
  <c r="AC17" i="3"/>
  <c r="U17" i="3"/>
  <c r="R17" i="3"/>
  <c r="Q17" i="3"/>
  <c r="W17" i="3" s="1"/>
  <c r="AJ17" i="3" s="1"/>
  <c r="P17" i="3"/>
  <c r="O17" i="3"/>
  <c r="V17" i="3" s="1"/>
  <c r="AI17" i="3" s="1"/>
  <c r="N17" i="3"/>
  <c r="L17" i="3"/>
  <c r="K17" i="3"/>
  <c r="J17" i="3"/>
  <c r="H17" i="3"/>
  <c r="AU16" i="3"/>
  <c r="AW16" i="3" s="1"/>
  <c r="AL16" i="3"/>
  <c r="AF16" i="3"/>
  <c r="AG16" i="3" s="1"/>
  <c r="AE16" i="3"/>
  <c r="AC16" i="3"/>
  <c r="R16" i="3"/>
  <c r="Q16" i="3"/>
  <c r="W16" i="3" s="1"/>
  <c r="AJ16" i="3" s="1"/>
  <c r="O16" i="3"/>
  <c r="N16" i="3"/>
  <c r="U16" i="3" s="1"/>
  <c r="L16" i="3"/>
  <c r="K16" i="3"/>
  <c r="J16" i="3"/>
  <c r="H16" i="3"/>
  <c r="AX15" i="3"/>
  <c r="AW15" i="3"/>
  <c r="AU15" i="3"/>
  <c r="AL15" i="3"/>
  <c r="AF15" i="3"/>
  <c r="AG15" i="3" s="1"/>
  <c r="AE15" i="3"/>
  <c r="AC15" i="3"/>
  <c r="W15" i="3"/>
  <c r="AJ15" i="3" s="1"/>
  <c r="Q15" i="3"/>
  <c r="S15" i="3" s="1"/>
  <c r="X15" i="3" s="1"/>
  <c r="AK15" i="3" s="1"/>
  <c r="O15" i="3"/>
  <c r="V15" i="3" s="1"/>
  <c r="AI15" i="3" s="1"/>
  <c r="N15" i="3"/>
  <c r="L15" i="3"/>
  <c r="K15" i="3"/>
  <c r="J15" i="3"/>
  <c r="H15" i="3"/>
  <c r="AX14" i="3"/>
  <c r="AW14" i="3"/>
  <c r="AU14" i="3"/>
  <c r="AL14" i="3"/>
  <c r="AF14" i="3"/>
  <c r="AG14" i="3" s="1"/>
  <c r="AE14" i="3"/>
  <c r="AC14" i="3"/>
  <c r="W14" i="3"/>
  <c r="AJ14" i="3" s="1"/>
  <c r="Q14" i="3"/>
  <c r="R14" i="3" s="1"/>
  <c r="O14" i="3"/>
  <c r="S14" i="3" s="1"/>
  <c r="N14" i="3"/>
  <c r="L14" i="3"/>
  <c r="K14" i="3"/>
  <c r="X14" i="3" s="1"/>
  <c r="AK14" i="3" s="1"/>
  <c r="J14" i="3"/>
  <c r="H14" i="3"/>
  <c r="AU13" i="3"/>
  <c r="AX13" i="3" s="1"/>
  <c r="AL13" i="3"/>
  <c r="AF13" i="3"/>
  <c r="AG13" i="3" s="1"/>
  <c r="AE13" i="3"/>
  <c r="AC13" i="3"/>
  <c r="Q13" i="3"/>
  <c r="R13" i="3" s="1"/>
  <c r="P13" i="3"/>
  <c r="O13" i="3"/>
  <c r="S13" i="3" s="1"/>
  <c r="X13" i="3" s="1"/>
  <c r="AK13" i="3" s="1"/>
  <c r="N13" i="3"/>
  <c r="L13" i="3"/>
  <c r="K13" i="3"/>
  <c r="J13" i="3"/>
  <c r="H13" i="3"/>
  <c r="AU12" i="3"/>
  <c r="AX12" i="3" s="1"/>
  <c r="AL12" i="3"/>
  <c r="AK12" i="3"/>
  <c r="AH12" i="3"/>
  <c r="AG12" i="3"/>
  <c r="AF12" i="3"/>
  <c r="AE12" i="3"/>
  <c r="AC12" i="3"/>
  <c r="X12" i="3"/>
  <c r="W12" i="3"/>
  <c r="AJ12" i="3" s="1"/>
  <c r="V12" i="3"/>
  <c r="AI12" i="3" s="1"/>
  <c r="U12" i="3"/>
  <c r="Y12" i="3" s="1"/>
  <c r="T12" i="3"/>
  <c r="Q12" i="3"/>
  <c r="O12" i="3"/>
  <c r="S12" i="3" s="1"/>
  <c r="N12" i="3"/>
  <c r="L12" i="3"/>
  <c r="K12" i="3"/>
  <c r="J12" i="3"/>
  <c r="H12" i="3"/>
  <c r="AU11" i="3"/>
  <c r="AL11" i="3"/>
  <c r="AJ11" i="3"/>
  <c r="AG11" i="3"/>
  <c r="AF11" i="3"/>
  <c r="AE11" i="3"/>
  <c r="AC11" i="3"/>
  <c r="W11" i="3"/>
  <c r="Q11" i="3"/>
  <c r="O11" i="3"/>
  <c r="P11" i="3" s="1"/>
  <c r="N11" i="3"/>
  <c r="R11" i="3" s="1"/>
  <c r="K11" i="3"/>
  <c r="L11" i="3" s="1"/>
  <c r="J11" i="3"/>
  <c r="H11" i="3"/>
  <c r="AU10" i="3"/>
  <c r="AX10" i="3" s="1"/>
  <c r="AL10" i="3"/>
  <c r="AJ10" i="3"/>
  <c r="AI10" i="3"/>
  <c r="AH10" i="3"/>
  <c r="AG10" i="3"/>
  <c r="AF10" i="3"/>
  <c r="AE10" i="3"/>
  <c r="AC10" i="3"/>
  <c r="W10" i="3"/>
  <c r="V10" i="3"/>
  <c r="U10" i="3"/>
  <c r="T10" i="3"/>
  <c r="S10" i="3"/>
  <c r="R10" i="3"/>
  <c r="Q10" i="3"/>
  <c r="O10" i="3"/>
  <c r="N10" i="3"/>
  <c r="L10" i="3"/>
  <c r="K10" i="3"/>
  <c r="X10" i="3" s="1"/>
  <c r="AK10" i="3" s="1"/>
  <c r="J10" i="3"/>
  <c r="H10" i="3"/>
  <c r="AW9" i="3"/>
  <c r="AU9" i="3"/>
  <c r="AL9" i="3"/>
  <c r="AI9" i="3"/>
  <c r="AH9" i="3"/>
  <c r="AG9" i="3"/>
  <c r="AF9" i="3"/>
  <c r="AX9" i="3" s="1"/>
  <c r="AE9" i="3"/>
  <c r="AC9" i="3"/>
  <c r="V9" i="3"/>
  <c r="Q9" i="3"/>
  <c r="W9" i="3" s="1"/>
  <c r="AJ9" i="3" s="1"/>
  <c r="O9" i="3"/>
  <c r="N9" i="3"/>
  <c r="P9" i="3" s="1"/>
  <c r="L9" i="3"/>
  <c r="K9" i="3"/>
  <c r="J9" i="3"/>
  <c r="H9" i="3"/>
  <c r="AX8" i="3"/>
  <c r="AW8" i="3"/>
  <c r="AU8" i="3"/>
  <c r="AL8" i="3"/>
  <c r="AH8" i="3"/>
  <c r="AF8" i="3"/>
  <c r="AG8" i="3" s="1"/>
  <c r="AE8" i="3"/>
  <c r="AC8" i="3"/>
  <c r="W8" i="3"/>
  <c r="AJ8" i="3" s="1"/>
  <c r="V8" i="3"/>
  <c r="AI8" i="3" s="1"/>
  <c r="U8" i="3"/>
  <c r="Q8" i="3"/>
  <c r="S8" i="3" s="1"/>
  <c r="T8" i="3" s="1"/>
  <c r="P8" i="3"/>
  <c r="O8" i="3"/>
  <c r="N8" i="3"/>
  <c r="L8" i="3"/>
  <c r="K8" i="3"/>
  <c r="K36" i="3" s="1"/>
  <c r="J8" i="3"/>
  <c r="H8" i="3"/>
  <c r="AU7" i="3"/>
  <c r="AX7" i="3" s="1"/>
  <c r="AL7" i="3"/>
  <c r="AJ7" i="3"/>
  <c r="AI7" i="3"/>
  <c r="AH7" i="3"/>
  <c r="AF7" i="3"/>
  <c r="AG7" i="3" s="1"/>
  <c r="AE7" i="3"/>
  <c r="AC7" i="3"/>
  <c r="V7" i="3"/>
  <c r="U7" i="3"/>
  <c r="S7" i="3"/>
  <c r="T7" i="3" s="1"/>
  <c r="R7" i="3"/>
  <c r="Q7" i="3"/>
  <c r="W7" i="3" s="1"/>
  <c r="P7" i="3"/>
  <c r="O7" i="3"/>
  <c r="N7" i="3"/>
  <c r="L7" i="3"/>
  <c r="K7" i="3"/>
  <c r="J7" i="3"/>
  <c r="H7" i="3"/>
  <c r="AX6" i="3"/>
  <c r="AU6" i="3"/>
  <c r="AW6" i="3" s="1"/>
  <c r="AL6" i="3"/>
  <c r="AF6" i="3"/>
  <c r="AG6" i="3" s="1"/>
  <c r="AE6" i="3"/>
  <c r="AC6" i="3"/>
  <c r="Q6" i="3"/>
  <c r="W6" i="3" s="1"/>
  <c r="AJ6" i="3" s="1"/>
  <c r="O6" i="3"/>
  <c r="V6" i="3" s="1"/>
  <c r="AI6" i="3" s="1"/>
  <c r="N6" i="3"/>
  <c r="L6" i="3"/>
  <c r="K6" i="3"/>
  <c r="J6" i="3"/>
  <c r="H6" i="3"/>
  <c r="AU5" i="3"/>
  <c r="AL5" i="3"/>
  <c r="AH5" i="3"/>
  <c r="AF5" i="3"/>
  <c r="AF36" i="3" s="1"/>
  <c r="AF37" i="3" s="1"/>
  <c r="AE5" i="3"/>
  <c r="AC5" i="3"/>
  <c r="S5" i="3"/>
  <c r="X5" i="3" s="1"/>
  <c r="R5" i="3"/>
  <c r="Q5" i="3"/>
  <c r="P5" i="3"/>
  <c r="O5" i="3"/>
  <c r="N5" i="3"/>
  <c r="U5" i="3" s="1"/>
  <c r="L5" i="3"/>
  <c r="K5" i="3"/>
  <c r="J5" i="3"/>
  <c r="H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AG46" i="2"/>
  <c r="T46" i="2"/>
  <c r="AL44" i="2"/>
  <c r="AK44" i="2"/>
  <c r="AT36" i="2"/>
  <c r="AS36" i="2"/>
  <c r="AR36" i="2"/>
  <c r="AQ36" i="2"/>
  <c r="AP36" i="2"/>
  <c r="AO36" i="2"/>
  <c r="AN36" i="2"/>
  <c r="AM36" i="2"/>
  <c r="AM37" i="2" s="1"/>
  <c r="AD36" i="2"/>
  <c r="AD37" i="2" s="1"/>
  <c r="AE37" i="2" s="1"/>
  <c r="AB36" i="2"/>
  <c r="AB37" i="2" s="1"/>
  <c r="AA36" i="2"/>
  <c r="Z36" i="2"/>
  <c r="M36" i="2"/>
  <c r="J36" i="2"/>
  <c r="I36" i="2"/>
  <c r="I37" i="2" s="1"/>
  <c r="J37" i="2" s="1"/>
  <c r="H36" i="2"/>
  <c r="G36" i="2"/>
  <c r="G37" i="2" s="1"/>
  <c r="H37" i="2" s="1"/>
  <c r="F36" i="2"/>
  <c r="G38" i="2" s="1"/>
  <c r="E36" i="2"/>
  <c r="C36" i="2"/>
  <c r="AU35" i="2"/>
  <c r="AL35" i="2"/>
  <c r="AJ35" i="2"/>
  <c r="AH35" i="2"/>
  <c r="AG35" i="2"/>
  <c r="AF35" i="2"/>
  <c r="AE35" i="2"/>
  <c r="AC35" i="2"/>
  <c r="W35" i="2"/>
  <c r="V35" i="2"/>
  <c r="AI35" i="2" s="1"/>
  <c r="U35" i="2"/>
  <c r="Q35" i="2"/>
  <c r="R35" i="2" s="1"/>
  <c r="O35" i="2"/>
  <c r="N35" i="2"/>
  <c r="K35" i="2"/>
  <c r="L35" i="2" s="1"/>
  <c r="J35" i="2"/>
  <c r="H35" i="2"/>
  <c r="AU34" i="2"/>
  <c r="AX34" i="2" s="1"/>
  <c r="AL34" i="2"/>
  <c r="AJ34" i="2"/>
  <c r="AG34" i="2"/>
  <c r="AF34" i="2"/>
  <c r="AE34" i="2"/>
  <c r="AC34" i="2"/>
  <c r="W34" i="2"/>
  <c r="V34" i="2"/>
  <c r="AI34" i="2" s="1"/>
  <c r="U34" i="2"/>
  <c r="S34" i="2"/>
  <c r="Q34" i="2"/>
  <c r="O34" i="2"/>
  <c r="N34" i="2"/>
  <c r="R34" i="2" s="1"/>
  <c r="L34" i="2"/>
  <c r="K34" i="2"/>
  <c r="X34" i="2" s="1"/>
  <c r="AK34" i="2" s="1"/>
  <c r="J34" i="2"/>
  <c r="H34" i="2"/>
  <c r="AU33" i="2"/>
  <c r="AL33" i="2"/>
  <c r="AJ33" i="2"/>
  <c r="AI33" i="2"/>
  <c r="AH33" i="2"/>
  <c r="AG33" i="2"/>
  <c r="AF33" i="2"/>
  <c r="AE33" i="2"/>
  <c r="AC33" i="2"/>
  <c r="W33" i="2"/>
  <c r="V33" i="2"/>
  <c r="U33" i="2"/>
  <c r="S33" i="2"/>
  <c r="T33" i="2" s="1"/>
  <c r="R33" i="2"/>
  <c r="Q33" i="2"/>
  <c r="O33" i="2"/>
  <c r="P33" i="2" s="1"/>
  <c r="N33" i="2"/>
  <c r="L33" i="2"/>
  <c r="K33" i="2"/>
  <c r="J33" i="2"/>
  <c r="H33" i="2"/>
  <c r="AX32" i="2"/>
  <c r="AW32" i="2"/>
  <c r="AU32" i="2"/>
  <c r="AL32" i="2"/>
  <c r="AJ32" i="2"/>
  <c r="AI32" i="2"/>
  <c r="AH32" i="2"/>
  <c r="AF32" i="2"/>
  <c r="AG32" i="2" s="1"/>
  <c r="AE32" i="2"/>
  <c r="AC32" i="2"/>
  <c r="V32" i="2"/>
  <c r="U32" i="2"/>
  <c r="S32" i="2"/>
  <c r="T32" i="2" s="1"/>
  <c r="R32" i="2"/>
  <c r="Q32" i="2"/>
  <c r="W32" i="2" s="1"/>
  <c r="O32" i="2"/>
  <c r="N32" i="2"/>
  <c r="P32" i="2" s="1"/>
  <c r="L32" i="2"/>
  <c r="K32" i="2"/>
  <c r="J32" i="2"/>
  <c r="H32" i="2"/>
  <c r="AX31" i="2"/>
  <c r="AW31" i="2"/>
  <c r="AU31" i="2"/>
  <c r="AL31" i="2"/>
  <c r="AI31" i="2"/>
  <c r="AH31" i="2"/>
  <c r="AF31" i="2"/>
  <c r="AG31" i="2" s="1"/>
  <c r="AE31" i="2"/>
  <c r="AC31" i="2"/>
  <c r="V31" i="2"/>
  <c r="U31" i="2"/>
  <c r="Q31" i="2"/>
  <c r="W31" i="2" s="1"/>
  <c r="AJ31" i="2" s="1"/>
  <c r="P31" i="2"/>
  <c r="O31" i="2"/>
  <c r="N31" i="2"/>
  <c r="L31" i="2"/>
  <c r="K31" i="2"/>
  <c r="J31" i="2"/>
  <c r="H31" i="2"/>
  <c r="AU30" i="2"/>
  <c r="AX30" i="2" s="1"/>
  <c r="AL30" i="2"/>
  <c r="AH30" i="2"/>
  <c r="AF30" i="2"/>
  <c r="AG30" i="2" s="1"/>
  <c r="AE30" i="2"/>
  <c r="AC30" i="2"/>
  <c r="U30" i="2"/>
  <c r="Q30" i="2"/>
  <c r="W30" i="2" s="1"/>
  <c r="AJ30" i="2" s="1"/>
  <c r="O30" i="2"/>
  <c r="V30" i="2" s="1"/>
  <c r="AI30" i="2" s="1"/>
  <c r="N30" i="2"/>
  <c r="L30" i="2"/>
  <c r="K30" i="2"/>
  <c r="J30" i="2"/>
  <c r="H30" i="2"/>
  <c r="AW29" i="2"/>
  <c r="AU29" i="2"/>
  <c r="AX29" i="2" s="1"/>
  <c r="AL29" i="2"/>
  <c r="AG29" i="2"/>
  <c r="AF29" i="2"/>
  <c r="AE29" i="2"/>
  <c r="AC29" i="2"/>
  <c r="R29" i="2"/>
  <c r="Q29" i="2"/>
  <c r="W29" i="2" s="1"/>
  <c r="AJ29" i="2" s="1"/>
  <c r="P29" i="2"/>
  <c r="O29" i="2"/>
  <c r="V29" i="2" s="1"/>
  <c r="AI29" i="2" s="1"/>
  <c r="N29" i="2"/>
  <c r="K29" i="2"/>
  <c r="L29" i="2" s="1"/>
  <c r="J29" i="2"/>
  <c r="H29" i="2"/>
  <c r="AW28" i="2"/>
  <c r="AU28" i="2"/>
  <c r="AX28" i="2" s="1"/>
  <c r="AL28" i="2"/>
  <c r="AF28" i="2"/>
  <c r="AG28" i="2" s="1"/>
  <c r="AE28" i="2"/>
  <c r="AC28" i="2"/>
  <c r="R28" i="2"/>
  <c r="Q28" i="2"/>
  <c r="W28" i="2" s="1"/>
  <c r="AJ28" i="2" s="1"/>
  <c r="P28" i="2"/>
  <c r="O28" i="2"/>
  <c r="N28" i="2"/>
  <c r="L28" i="2"/>
  <c r="K28" i="2"/>
  <c r="J28" i="2"/>
  <c r="H28" i="2"/>
  <c r="AW27" i="2"/>
  <c r="AU27" i="2"/>
  <c r="AX27" i="2" s="1"/>
  <c r="AL27" i="2"/>
  <c r="AF27" i="2"/>
  <c r="AG27" i="2" s="1"/>
  <c r="AE27" i="2"/>
  <c r="AC27" i="2"/>
  <c r="V27" i="2"/>
  <c r="AI27" i="2" s="1"/>
  <c r="Q27" i="2"/>
  <c r="R27" i="2" s="1"/>
  <c r="P27" i="2"/>
  <c r="O27" i="2"/>
  <c r="N27" i="2"/>
  <c r="L27" i="2"/>
  <c r="K27" i="2"/>
  <c r="J27" i="2"/>
  <c r="H27" i="2"/>
  <c r="AW26" i="2"/>
  <c r="AU26" i="2"/>
  <c r="AX26" i="2" s="1"/>
  <c r="AL26" i="2"/>
  <c r="AK26" i="2"/>
  <c r="AF26" i="2"/>
  <c r="AG26" i="2" s="1"/>
  <c r="AE26" i="2"/>
  <c r="AC26" i="2"/>
  <c r="X26" i="2"/>
  <c r="W26" i="2"/>
  <c r="AJ26" i="2" s="1"/>
  <c r="V26" i="2"/>
  <c r="AI26" i="2" s="1"/>
  <c r="U26" i="2"/>
  <c r="Y26" i="2" s="1"/>
  <c r="Q26" i="2"/>
  <c r="O26" i="2"/>
  <c r="S26" i="2" s="1"/>
  <c r="N26" i="2"/>
  <c r="L26" i="2"/>
  <c r="K26" i="2"/>
  <c r="J26" i="2"/>
  <c r="H26" i="2"/>
  <c r="AU25" i="2"/>
  <c r="AL25" i="2"/>
  <c r="AF25" i="2"/>
  <c r="AG25" i="2" s="1"/>
  <c r="AE25" i="2"/>
  <c r="AC25" i="2"/>
  <c r="W25" i="2"/>
  <c r="AJ25" i="2" s="1"/>
  <c r="Q25" i="2"/>
  <c r="O25" i="2"/>
  <c r="N25" i="2"/>
  <c r="U25" i="2" s="1"/>
  <c r="L25" i="2"/>
  <c r="K25" i="2"/>
  <c r="J25" i="2"/>
  <c r="H25" i="2"/>
  <c r="AU24" i="2"/>
  <c r="AX24" i="2" s="1"/>
  <c r="AL24" i="2"/>
  <c r="AJ24" i="2"/>
  <c r="AG24" i="2"/>
  <c r="AF24" i="2"/>
  <c r="AE24" i="2"/>
  <c r="AC24" i="2"/>
  <c r="W24" i="2"/>
  <c r="V24" i="2"/>
  <c r="AI24" i="2" s="1"/>
  <c r="S24" i="2"/>
  <c r="Q24" i="2"/>
  <c r="O24" i="2"/>
  <c r="N24" i="2"/>
  <c r="U24" i="2" s="1"/>
  <c r="L24" i="2"/>
  <c r="K24" i="2"/>
  <c r="X24" i="2" s="1"/>
  <c r="AK24" i="2" s="1"/>
  <c r="J24" i="2"/>
  <c r="H24" i="2"/>
  <c r="AU23" i="2"/>
  <c r="AX23" i="2" s="1"/>
  <c r="AL23" i="2"/>
  <c r="AJ23" i="2"/>
  <c r="AI23" i="2"/>
  <c r="AH23" i="2"/>
  <c r="AF23" i="2"/>
  <c r="AG23" i="2" s="1"/>
  <c r="AE23" i="2"/>
  <c r="AC23" i="2"/>
  <c r="W23" i="2"/>
  <c r="V23" i="2"/>
  <c r="U23" i="2"/>
  <c r="S23" i="2"/>
  <c r="T23" i="2" s="1"/>
  <c r="R23" i="2"/>
  <c r="Q23" i="2"/>
  <c r="O23" i="2"/>
  <c r="P23" i="2" s="1"/>
  <c r="N23" i="2"/>
  <c r="L23" i="2"/>
  <c r="K23" i="2"/>
  <c r="J23" i="2"/>
  <c r="H23" i="2"/>
  <c r="AX22" i="2"/>
  <c r="AU22" i="2"/>
  <c r="AW22" i="2" s="1"/>
  <c r="AL22" i="2"/>
  <c r="AH22" i="2"/>
  <c r="AF22" i="2"/>
  <c r="AG22" i="2" s="1"/>
  <c r="AE22" i="2"/>
  <c r="AC22" i="2"/>
  <c r="V22" i="2"/>
  <c r="AI22" i="2" s="1"/>
  <c r="U22" i="2"/>
  <c r="R22" i="2"/>
  <c r="Q22" i="2"/>
  <c r="W22" i="2" s="1"/>
  <c r="AJ22" i="2" s="1"/>
  <c r="O22" i="2"/>
  <c r="P22" i="2" s="1"/>
  <c r="N22" i="2"/>
  <c r="K22" i="2"/>
  <c r="J22" i="2"/>
  <c r="H22" i="2"/>
  <c r="AW21" i="2"/>
  <c r="AU21" i="2"/>
  <c r="AL21" i="2"/>
  <c r="AI21" i="2"/>
  <c r="AH21" i="2"/>
  <c r="AG21" i="2"/>
  <c r="AF21" i="2"/>
  <c r="AX21" i="2" s="1"/>
  <c r="AE21" i="2"/>
  <c r="AC21" i="2"/>
  <c r="V21" i="2"/>
  <c r="U21" i="2"/>
  <c r="R21" i="2"/>
  <c r="Q21" i="2"/>
  <c r="W21" i="2" s="1"/>
  <c r="AJ21" i="2" s="1"/>
  <c r="P21" i="2"/>
  <c r="O21" i="2"/>
  <c r="N21" i="2"/>
  <c r="K21" i="2"/>
  <c r="J21" i="2"/>
  <c r="H21" i="2"/>
  <c r="AW20" i="2"/>
  <c r="AU20" i="2"/>
  <c r="AX20" i="2" s="1"/>
  <c r="AL20" i="2"/>
  <c r="AH20" i="2"/>
  <c r="AG20" i="2"/>
  <c r="AF20" i="2"/>
  <c r="AE20" i="2"/>
  <c r="AC20" i="2"/>
  <c r="U20" i="2"/>
  <c r="R20" i="2"/>
  <c r="Q20" i="2"/>
  <c r="W20" i="2" s="1"/>
  <c r="AJ20" i="2" s="1"/>
  <c r="P20" i="2"/>
  <c r="O20" i="2"/>
  <c r="V20" i="2" s="1"/>
  <c r="AI20" i="2" s="1"/>
  <c r="N20" i="2"/>
  <c r="L20" i="2"/>
  <c r="K20" i="2"/>
  <c r="J20" i="2"/>
  <c r="H20" i="2"/>
  <c r="AU19" i="2"/>
  <c r="AX19" i="2" s="1"/>
  <c r="AL19" i="2"/>
  <c r="AF19" i="2"/>
  <c r="AG19" i="2" s="1"/>
  <c r="AE19" i="2"/>
  <c r="AC19" i="2"/>
  <c r="Q19" i="2"/>
  <c r="W19" i="2" s="1"/>
  <c r="AJ19" i="2" s="1"/>
  <c r="P19" i="2"/>
  <c r="O19" i="2"/>
  <c r="V19" i="2" s="1"/>
  <c r="AI19" i="2" s="1"/>
  <c r="N19" i="2"/>
  <c r="L19" i="2"/>
  <c r="K19" i="2"/>
  <c r="J19" i="2"/>
  <c r="H19" i="2"/>
  <c r="AW18" i="2"/>
  <c r="AU18" i="2"/>
  <c r="AX18" i="2" s="1"/>
  <c r="AL18" i="2"/>
  <c r="AF18" i="2"/>
  <c r="AG18" i="2" s="1"/>
  <c r="AE18" i="2"/>
  <c r="AC18" i="2"/>
  <c r="R18" i="2"/>
  <c r="Q18" i="2"/>
  <c r="W18" i="2" s="1"/>
  <c r="AJ18" i="2" s="1"/>
  <c r="O18" i="2"/>
  <c r="N18" i="2"/>
  <c r="L18" i="2"/>
  <c r="K18" i="2"/>
  <c r="J18" i="2"/>
  <c r="H18" i="2"/>
  <c r="AW17" i="2"/>
  <c r="AU17" i="2"/>
  <c r="AX17" i="2" s="1"/>
  <c r="AL17" i="2"/>
  <c r="AF17" i="2"/>
  <c r="AG17" i="2" s="1"/>
  <c r="AE17" i="2"/>
  <c r="AC17" i="2"/>
  <c r="X17" i="2"/>
  <c r="AK17" i="2" s="1"/>
  <c r="W17" i="2"/>
  <c r="AJ17" i="2" s="1"/>
  <c r="V17" i="2"/>
  <c r="AI17" i="2" s="1"/>
  <c r="Q17" i="2"/>
  <c r="O17" i="2"/>
  <c r="S17" i="2" s="1"/>
  <c r="N17" i="2"/>
  <c r="L17" i="2"/>
  <c r="K17" i="2"/>
  <c r="J17" i="2"/>
  <c r="H17" i="2"/>
  <c r="AW16" i="2"/>
  <c r="AU16" i="2"/>
  <c r="AX16" i="2" s="1"/>
  <c r="AL16" i="2"/>
  <c r="AF16" i="2"/>
  <c r="AG16" i="2" s="1"/>
  <c r="AE16" i="2"/>
  <c r="AC16" i="2"/>
  <c r="X16" i="2"/>
  <c r="AK16" i="2" s="1"/>
  <c r="W16" i="2"/>
  <c r="AJ16" i="2" s="1"/>
  <c r="Q16" i="2"/>
  <c r="O16" i="2"/>
  <c r="S16" i="2" s="1"/>
  <c r="N16" i="2"/>
  <c r="L16" i="2"/>
  <c r="K16" i="2"/>
  <c r="J16" i="2"/>
  <c r="H16" i="2"/>
  <c r="AU15" i="2"/>
  <c r="AL15" i="2"/>
  <c r="AJ15" i="2"/>
  <c r="AF15" i="2"/>
  <c r="AG15" i="2" s="1"/>
  <c r="AE15" i="2"/>
  <c r="AC15" i="2"/>
  <c r="W15" i="2"/>
  <c r="Q15" i="2"/>
  <c r="O15" i="2"/>
  <c r="N15" i="2"/>
  <c r="U15" i="2" s="1"/>
  <c r="L15" i="2"/>
  <c r="K15" i="2"/>
  <c r="J15" i="2"/>
  <c r="H15" i="2"/>
  <c r="AU14" i="2"/>
  <c r="AX14" i="2" s="1"/>
  <c r="AL14" i="2"/>
  <c r="AJ14" i="2"/>
  <c r="AI14" i="2"/>
  <c r="AH14" i="2"/>
  <c r="AG14" i="2"/>
  <c r="AF14" i="2"/>
  <c r="AE14" i="2"/>
  <c r="AC14" i="2"/>
  <c r="W14" i="2"/>
  <c r="V14" i="2"/>
  <c r="U14" i="2"/>
  <c r="T14" i="2"/>
  <c r="S14" i="2"/>
  <c r="Q14" i="2"/>
  <c r="R14" i="2" s="1"/>
  <c r="O14" i="2"/>
  <c r="P14" i="2" s="1"/>
  <c r="N14" i="2"/>
  <c r="K14" i="2"/>
  <c r="L14" i="2" s="1"/>
  <c r="J14" i="2"/>
  <c r="H14" i="2"/>
  <c r="AU13" i="2"/>
  <c r="AX13" i="2" s="1"/>
  <c r="AL13" i="2"/>
  <c r="AK13" i="2"/>
  <c r="AJ13" i="2"/>
  <c r="AH13" i="2"/>
  <c r="AG13" i="2"/>
  <c r="AF13" i="2"/>
  <c r="AE13" i="2"/>
  <c r="AC13" i="2"/>
  <c r="W13" i="2"/>
  <c r="V13" i="2"/>
  <c r="AI13" i="2" s="1"/>
  <c r="U13" i="2"/>
  <c r="Y13" i="2" s="1"/>
  <c r="T13" i="2"/>
  <c r="S13" i="2"/>
  <c r="R13" i="2"/>
  <c r="Q13" i="2"/>
  <c r="O13" i="2"/>
  <c r="P13" i="2" s="1"/>
  <c r="N13" i="2"/>
  <c r="L13" i="2"/>
  <c r="K13" i="2"/>
  <c r="X13" i="2" s="1"/>
  <c r="J13" i="2"/>
  <c r="H13" i="2"/>
  <c r="AU12" i="2"/>
  <c r="AW12" i="2" s="1"/>
  <c r="AL12" i="2"/>
  <c r="AI12" i="2"/>
  <c r="AH12" i="2"/>
  <c r="AG12" i="2"/>
  <c r="AF12" i="2"/>
  <c r="AX12" i="2" s="1"/>
  <c r="AE12" i="2"/>
  <c r="AC12" i="2"/>
  <c r="V12" i="2"/>
  <c r="U12" i="2"/>
  <c r="Q12" i="2"/>
  <c r="W12" i="2" s="1"/>
  <c r="AJ12" i="2" s="1"/>
  <c r="O12" i="2"/>
  <c r="P12" i="2" s="1"/>
  <c r="N12" i="2"/>
  <c r="L12" i="2"/>
  <c r="K12" i="2"/>
  <c r="J12" i="2"/>
  <c r="H12" i="2"/>
  <c r="AX11" i="2"/>
  <c r="AW11" i="2"/>
  <c r="AU11" i="2"/>
  <c r="AL11" i="2"/>
  <c r="AI11" i="2"/>
  <c r="AH11" i="2"/>
  <c r="AG11" i="2"/>
  <c r="AF11" i="2"/>
  <c r="AE11" i="2"/>
  <c r="AC11" i="2"/>
  <c r="V11" i="2"/>
  <c r="U11" i="2"/>
  <c r="Q11" i="2"/>
  <c r="W11" i="2" s="1"/>
  <c r="AJ11" i="2" s="1"/>
  <c r="P11" i="2"/>
  <c r="O11" i="2"/>
  <c r="N11" i="2"/>
  <c r="L11" i="2"/>
  <c r="K11" i="2"/>
  <c r="J11" i="2"/>
  <c r="H11" i="2"/>
  <c r="AW10" i="2"/>
  <c r="AU10" i="2"/>
  <c r="AX10" i="2" s="1"/>
  <c r="AL10" i="2"/>
  <c r="AH10" i="2"/>
  <c r="AG10" i="2"/>
  <c r="AF10" i="2"/>
  <c r="AE10" i="2"/>
  <c r="AC10" i="2"/>
  <c r="U10" i="2"/>
  <c r="T10" i="2"/>
  <c r="S10" i="2"/>
  <c r="Q10" i="2"/>
  <c r="W10" i="2" s="1"/>
  <c r="AJ10" i="2" s="1"/>
  <c r="P10" i="2"/>
  <c r="O10" i="2"/>
  <c r="V10" i="2" s="1"/>
  <c r="AI10" i="2" s="1"/>
  <c r="N10" i="2"/>
  <c r="K10" i="2"/>
  <c r="J10" i="2"/>
  <c r="H10" i="2"/>
  <c r="AX9" i="2"/>
  <c r="AU9" i="2"/>
  <c r="AW9" i="2" s="1"/>
  <c r="AL9" i="2"/>
  <c r="AF9" i="2"/>
  <c r="AG9" i="2" s="1"/>
  <c r="AE9" i="2"/>
  <c r="AC9" i="2"/>
  <c r="X9" i="2"/>
  <c r="AK9" i="2" s="1"/>
  <c r="S9" i="2"/>
  <c r="Q9" i="2"/>
  <c r="W9" i="2" s="1"/>
  <c r="AJ9" i="2" s="1"/>
  <c r="O9" i="2"/>
  <c r="V9" i="2" s="1"/>
  <c r="AI9" i="2" s="1"/>
  <c r="N9" i="2"/>
  <c r="K9" i="2"/>
  <c r="L9" i="2" s="1"/>
  <c r="J9" i="2"/>
  <c r="H9" i="2"/>
  <c r="AX8" i="2"/>
  <c r="AU8" i="2"/>
  <c r="AW8" i="2" s="1"/>
  <c r="AL8" i="2"/>
  <c r="AF8" i="2"/>
  <c r="AG8" i="2" s="1"/>
  <c r="AE8" i="2"/>
  <c r="AC8" i="2"/>
  <c r="W8" i="2"/>
  <c r="AJ8" i="2" s="1"/>
  <c r="Q8" i="2"/>
  <c r="R8" i="2" s="1"/>
  <c r="O8" i="2"/>
  <c r="N8" i="2"/>
  <c r="L8" i="2"/>
  <c r="K8" i="2"/>
  <c r="J8" i="2"/>
  <c r="H8" i="2"/>
  <c r="AU7" i="2"/>
  <c r="AX7" i="2" s="1"/>
  <c r="AL7" i="2"/>
  <c r="AF7" i="2"/>
  <c r="AG7" i="2" s="1"/>
  <c r="AE7" i="2"/>
  <c r="AC7" i="2"/>
  <c r="Q7" i="2"/>
  <c r="W7" i="2" s="1"/>
  <c r="AJ7" i="2" s="1"/>
  <c r="O7" i="2"/>
  <c r="S7" i="2" s="1"/>
  <c r="N7" i="2"/>
  <c r="L7" i="2"/>
  <c r="K7" i="2"/>
  <c r="X7" i="2" s="1"/>
  <c r="AK7" i="2" s="1"/>
  <c r="J7" i="2"/>
  <c r="H7" i="2"/>
  <c r="AU6" i="2"/>
  <c r="AX6" i="2" s="1"/>
  <c r="AL6" i="2"/>
  <c r="AF6" i="2"/>
  <c r="AG6" i="2" s="1"/>
  <c r="AE6" i="2"/>
  <c r="AC6" i="2"/>
  <c r="U6" i="2"/>
  <c r="Y6" i="2" s="1"/>
  <c r="Q6" i="2"/>
  <c r="R6" i="2" s="1"/>
  <c r="P6" i="2"/>
  <c r="O6" i="2"/>
  <c r="S6" i="2" s="1"/>
  <c r="N6" i="2"/>
  <c r="L6" i="2"/>
  <c r="K6" i="2"/>
  <c r="X6" i="2" s="1"/>
  <c r="AK6" i="2" s="1"/>
  <c r="J6" i="2"/>
  <c r="H6" i="2"/>
  <c r="AU5" i="2"/>
  <c r="AL5" i="2"/>
  <c r="AL36" i="2" s="1"/>
  <c r="AL37" i="2" s="1"/>
  <c r="AM45" i="2" s="1"/>
  <c r="AJ5" i="2"/>
  <c r="AF5" i="2"/>
  <c r="AG5" i="2" s="1"/>
  <c r="AE5" i="2"/>
  <c r="AC5" i="2"/>
  <c r="W5" i="2"/>
  <c r="V5" i="2"/>
  <c r="U5" i="2"/>
  <c r="Q5" i="2"/>
  <c r="O5" i="2"/>
  <c r="N5" i="2"/>
  <c r="L5" i="2"/>
  <c r="K5" i="2"/>
  <c r="J5" i="2"/>
  <c r="H5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5" i="1"/>
  <c r="H5" i="1"/>
  <c r="J5" i="1"/>
  <c r="K5" i="1"/>
  <c r="L5" i="1"/>
  <c r="N5" i="1"/>
  <c r="O5" i="1"/>
  <c r="P5" i="1"/>
  <c r="Q5" i="1"/>
  <c r="V5" i="1"/>
  <c r="W5" i="1"/>
  <c r="AC5" i="1"/>
  <c r="AE5" i="1"/>
  <c r="AF5" i="1"/>
  <c r="AG5" i="1"/>
  <c r="AJ5" i="1"/>
  <c r="AL5" i="1"/>
  <c r="AU5" i="1"/>
  <c r="AW5" i="1" s="1"/>
  <c r="B6" i="1"/>
  <c r="H6" i="1"/>
  <c r="J6" i="1"/>
  <c r="K6" i="1"/>
  <c r="L6" i="1"/>
  <c r="N6" i="1"/>
  <c r="O6" i="1"/>
  <c r="P6" i="1"/>
  <c r="Q6" i="1"/>
  <c r="W6" i="1" s="1"/>
  <c r="AJ6" i="1" s="1"/>
  <c r="AC6" i="1"/>
  <c r="AE6" i="1"/>
  <c r="AF6" i="1"/>
  <c r="AG6" i="1"/>
  <c r="AL6" i="1"/>
  <c r="AU6" i="1"/>
  <c r="AW6" i="1" s="1"/>
  <c r="B7" i="1"/>
  <c r="H7" i="1"/>
  <c r="J7" i="1"/>
  <c r="K7" i="1"/>
  <c r="L7" i="1"/>
  <c r="N7" i="1"/>
  <c r="O7" i="1"/>
  <c r="P7" i="1"/>
  <c r="Q7" i="1"/>
  <c r="W7" i="1" s="1"/>
  <c r="AJ7" i="1" s="1"/>
  <c r="U7" i="1"/>
  <c r="V7" i="1"/>
  <c r="AI7" i="1" s="1"/>
  <c r="AC7" i="1"/>
  <c r="AE7" i="1"/>
  <c r="AF7" i="1"/>
  <c r="AG7" i="1"/>
  <c r="AH7" i="1"/>
  <c r="AL7" i="1"/>
  <c r="AU7" i="1"/>
  <c r="AW7" i="1"/>
  <c r="B8" i="1"/>
  <c r="B9" i="1" s="1"/>
  <c r="B10" i="1" s="1"/>
  <c r="B11" i="1" s="1"/>
  <c r="H8" i="1"/>
  <c r="J8" i="1"/>
  <c r="K8" i="1"/>
  <c r="X8" i="1" s="1"/>
  <c r="L8" i="1"/>
  <c r="N8" i="1"/>
  <c r="O8" i="1"/>
  <c r="P8" i="1" s="1"/>
  <c r="Q8" i="1"/>
  <c r="W8" i="1" s="1"/>
  <c r="R8" i="1"/>
  <c r="S8" i="1"/>
  <c r="T8" i="1"/>
  <c r="U8" i="1"/>
  <c r="V8" i="1"/>
  <c r="AI8" i="1" s="1"/>
  <c r="AC8" i="1"/>
  <c r="AE8" i="1"/>
  <c r="AF8" i="1"/>
  <c r="AF35" i="1" s="1"/>
  <c r="AG8" i="1"/>
  <c r="AH8" i="1"/>
  <c r="AJ8" i="1"/>
  <c r="AL8" i="1"/>
  <c r="AU8" i="1"/>
  <c r="AW8" i="1" s="1"/>
  <c r="H9" i="1"/>
  <c r="J9" i="1"/>
  <c r="K9" i="1"/>
  <c r="K35" i="1" s="1"/>
  <c r="L9" i="1"/>
  <c r="N9" i="1"/>
  <c r="P9" i="1" s="1"/>
  <c r="O9" i="1"/>
  <c r="Q9" i="1"/>
  <c r="S9" i="1"/>
  <c r="V9" i="1"/>
  <c r="AI9" i="1" s="1"/>
  <c r="W9" i="1"/>
  <c r="AJ9" i="1" s="1"/>
  <c r="X9" i="1"/>
  <c r="AK9" i="1" s="1"/>
  <c r="AC9" i="1"/>
  <c r="AE9" i="1"/>
  <c r="AF9" i="1"/>
  <c r="AG9" i="1"/>
  <c r="AL9" i="1"/>
  <c r="AU9" i="1"/>
  <c r="AW9" i="1"/>
  <c r="H10" i="1"/>
  <c r="J10" i="1"/>
  <c r="K10" i="1"/>
  <c r="L10" i="1"/>
  <c r="N10" i="1"/>
  <c r="O10" i="1"/>
  <c r="S10" i="1" s="1"/>
  <c r="P10" i="1"/>
  <c r="Q10" i="1"/>
  <c r="V10" i="1"/>
  <c r="AI10" i="1" s="1"/>
  <c r="W10" i="1"/>
  <c r="AJ10" i="1" s="1"/>
  <c r="X10" i="1"/>
  <c r="AK10" i="1" s="1"/>
  <c r="AC10" i="1"/>
  <c r="AE10" i="1"/>
  <c r="AF10" i="1"/>
  <c r="AG10" i="1"/>
  <c r="AL10" i="1"/>
  <c r="AU10" i="1"/>
  <c r="AW10" i="1"/>
  <c r="H11" i="1"/>
  <c r="J11" i="1"/>
  <c r="K11" i="1"/>
  <c r="L11" i="1"/>
  <c r="N11" i="1"/>
  <c r="O11" i="1"/>
  <c r="P11" i="1" s="1"/>
  <c r="Q11" i="1"/>
  <c r="W11" i="1" s="1"/>
  <c r="AJ11" i="1" s="1"/>
  <c r="R11" i="1"/>
  <c r="AC11" i="1"/>
  <c r="AE11" i="1"/>
  <c r="AF11" i="1"/>
  <c r="AG11" i="1"/>
  <c r="AL11" i="1"/>
  <c r="AU11" i="1"/>
  <c r="AW11" i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H12" i="1"/>
  <c r="J12" i="1"/>
  <c r="K12" i="1"/>
  <c r="L12" i="1"/>
  <c r="N12" i="1"/>
  <c r="O12" i="1"/>
  <c r="P12" i="1"/>
  <c r="Q12" i="1"/>
  <c r="W12" i="1" s="1"/>
  <c r="AJ12" i="1" s="1"/>
  <c r="R12" i="1"/>
  <c r="S12" i="1"/>
  <c r="T12" i="1"/>
  <c r="U12" i="1"/>
  <c r="V12" i="1"/>
  <c r="AI12" i="1" s="1"/>
  <c r="AC12" i="1"/>
  <c r="AE12" i="1"/>
  <c r="AF12" i="1"/>
  <c r="AG12" i="1"/>
  <c r="AH12" i="1"/>
  <c r="AL12" i="1"/>
  <c r="AU12" i="1"/>
  <c r="AW12" i="1"/>
  <c r="H13" i="1"/>
  <c r="J13" i="1"/>
  <c r="K13" i="1"/>
  <c r="L13" i="1"/>
  <c r="N13" i="1"/>
  <c r="O13" i="1"/>
  <c r="P13" i="1" s="1"/>
  <c r="Q13" i="1"/>
  <c r="W13" i="1" s="1"/>
  <c r="R13" i="1"/>
  <c r="S13" i="1"/>
  <c r="T13" i="1" s="1"/>
  <c r="U13" i="1"/>
  <c r="V13" i="1"/>
  <c r="AC13" i="1"/>
  <c r="AE13" i="1"/>
  <c r="AF13" i="1"/>
  <c r="AG13" i="1"/>
  <c r="AH13" i="1"/>
  <c r="AI13" i="1"/>
  <c r="AJ13" i="1"/>
  <c r="AL13" i="1"/>
  <c r="AU13" i="1"/>
  <c r="AW13" i="1" s="1"/>
  <c r="H14" i="1"/>
  <c r="J14" i="1"/>
  <c r="K14" i="1"/>
  <c r="L14" i="1"/>
  <c r="N14" i="1"/>
  <c r="P14" i="1" s="1"/>
  <c r="O14" i="1"/>
  <c r="Q14" i="1"/>
  <c r="R14" i="1" s="1"/>
  <c r="S14" i="1"/>
  <c r="V14" i="1"/>
  <c r="AI14" i="1" s="1"/>
  <c r="W14" i="1"/>
  <c r="AJ14" i="1" s="1"/>
  <c r="X14" i="1"/>
  <c r="AK14" i="1" s="1"/>
  <c r="AC14" i="1"/>
  <c r="AE14" i="1"/>
  <c r="AF14" i="1"/>
  <c r="AG14" i="1"/>
  <c r="AH14" i="1"/>
  <c r="AL14" i="1"/>
  <c r="AU14" i="1"/>
  <c r="AW14" i="1"/>
  <c r="H15" i="1"/>
  <c r="J15" i="1"/>
  <c r="K15" i="1"/>
  <c r="X15" i="1" s="1"/>
  <c r="AK15" i="1" s="1"/>
  <c r="L15" i="1"/>
  <c r="N15" i="1"/>
  <c r="O15" i="1"/>
  <c r="S15" i="1" s="1"/>
  <c r="P15" i="1"/>
  <c r="Q15" i="1"/>
  <c r="V15" i="1"/>
  <c r="AI15" i="1" s="1"/>
  <c r="W15" i="1"/>
  <c r="AJ15" i="1" s="1"/>
  <c r="AC15" i="1"/>
  <c r="AE15" i="1"/>
  <c r="AF15" i="1"/>
  <c r="AG15" i="1"/>
  <c r="AL15" i="1"/>
  <c r="AU15" i="1"/>
  <c r="AW15" i="1" s="1"/>
  <c r="H16" i="1"/>
  <c r="J16" i="1"/>
  <c r="K16" i="1"/>
  <c r="L16" i="1"/>
  <c r="N16" i="1"/>
  <c r="O16" i="1"/>
  <c r="P16" i="1"/>
  <c r="Q16" i="1"/>
  <c r="W16" i="1" s="1"/>
  <c r="AJ16" i="1" s="1"/>
  <c r="R16" i="1"/>
  <c r="AC16" i="1"/>
  <c r="AE16" i="1"/>
  <c r="AF16" i="1"/>
  <c r="AG16" i="1"/>
  <c r="AL16" i="1"/>
  <c r="AU16" i="1"/>
  <c r="AW16" i="1" s="1"/>
  <c r="H17" i="1"/>
  <c r="J17" i="1"/>
  <c r="K17" i="1"/>
  <c r="X17" i="1" s="1"/>
  <c r="L17" i="1"/>
  <c r="N17" i="1"/>
  <c r="O17" i="1"/>
  <c r="P17" i="1"/>
  <c r="Q17" i="1"/>
  <c r="W17" i="1" s="1"/>
  <c r="AJ17" i="1" s="1"/>
  <c r="S17" i="1"/>
  <c r="T17" i="1" s="1"/>
  <c r="U17" i="1"/>
  <c r="V17" i="1"/>
  <c r="AI17" i="1" s="1"/>
  <c r="AC17" i="1"/>
  <c r="AE17" i="1"/>
  <c r="AF17" i="1"/>
  <c r="AG17" i="1"/>
  <c r="AH17" i="1"/>
  <c r="AL17" i="1"/>
  <c r="AU17" i="1"/>
  <c r="AW17" i="1"/>
  <c r="H18" i="1"/>
  <c r="J18" i="1"/>
  <c r="K18" i="1"/>
  <c r="L18" i="1"/>
  <c r="N18" i="1"/>
  <c r="O18" i="1"/>
  <c r="P18" i="1" s="1"/>
  <c r="Q18" i="1"/>
  <c r="W18" i="1" s="1"/>
  <c r="R18" i="1"/>
  <c r="S18" i="1"/>
  <c r="T18" i="1"/>
  <c r="U18" i="1"/>
  <c r="V18" i="1"/>
  <c r="AI18" i="1" s="1"/>
  <c r="AC18" i="1"/>
  <c r="AE18" i="1"/>
  <c r="AF18" i="1"/>
  <c r="AG18" i="1"/>
  <c r="AH18" i="1"/>
  <c r="AJ18" i="1"/>
  <c r="AL18" i="1"/>
  <c r="AU18" i="1"/>
  <c r="AW18" i="1" s="1"/>
  <c r="H19" i="1"/>
  <c r="J19" i="1"/>
  <c r="K19" i="1"/>
  <c r="L19" i="1"/>
  <c r="N19" i="1"/>
  <c r="P19" i="1" s="1"/>
  <c r="O19" i="1"/>
  <c r="Q19" i="1"/>
  <c r="R19" i="1" s="1"/>
  <c r="S19" i="1"/>
  <c r="T19" i="1"/>
  <c r="U19" i="1"/>
  <c r="Y19" i="1" s="1"/>
  <c r="V19" i="1"/>
  <c r="AI19" i="1" s="1"/>
  <c r="W19" i="1"/>
  <c r="X19" i="1"/>
  <c r="AC19" i="1"/>
  <c r="AE19" i="1"/>
  <c r="AF19" i="1"/>
  <c r="AG19" i="1"/>
  <c r="AH19" i="1"/>
  <c r="AJ19" i="1"/>
  <c r="AK19" i="1"/>
  <c r="AL19" i="1"/>
  <c r="AU19" i="1"/>
  <c r="AW19" i="1"/>
  <c r="H20" i="1"/>
  <c r="J20" i="1"/>
  <c r="K20" i="1"/>
  <c r="X20" i="1" s="1"/>
  <c r="AK20" i="1" s="1"/>
  <c r="L20" i="1"/>
  <c r="N20" i="1"/>
  <c r="O20" i="1"/>
  <c r="S20" i="1" s="1"/>
  <c r="P20" i="1"/>
  <c r="Q20" i="1"/>
  <c r="W20" i="1"/>
  <c r="AC20" i="1"/>
  <c r="AE20" i="1"/>
  <c r="AF20" i="1"/>
  <c r="AG20" i="1"/>
  <c r="AJ20" i="1"/>
  <c r="AL20" i="1"/>
  <c r="AU20" i="1"/>
  <c r="AW20" i="1"/>
  <c r="H21" i="1"/>
  <c r="J21" i="1"/>
  <c r="K21" i="1"/>
  <c r="L21" i="1"/>
  <c r="N21" i="1"/>
  <c r="O21" i="1"/>
  <c r="Q21" i="1"/>
  <c r="W21" i="1" s="1"/>
  <c r="AJ21" i="1" s="1"/>
  <c r="AC21" i="1"/>
  <c r="AE21" i="1"/>
  <c r="AF21" i="1"/>
  <c r="AG21" i="1"/>
  <c r="AL21" i="1"/>
  <c r="AU21" i="1"/>
  <c r="AW21" i="1"/>
  <c r="H22" i="1"/>
  <c r="J22" i="1"/>
  <c r="K22" i="1"/>
  <c r="X22" i="1" s="1"/>
  <c r="L22" i="1"/>
  <c r="N22" i="1"/>
  <c r="O22" i="1"/>
  <c r="P22" i="1"/>
  <c r="Q22" i="1"/>
  <c r="W22" i="1" s="1"/>
  <c r="AJ22" i="1" s="1"/>
  <c r="S22" i="1"/>
  <c r="T22" i="1"/>
  <c r="U22" i="1"/>
  <c r="V22" i="1"/>
  <c r="AI22" i="1" s="1"/>
  <c r="AC22" i="1"/>
  <c r="AE22" i="1"/>
  <c r="AF22" i="1"/>
  <c r="AG22" i="1"/>
  <c r="AH22" i="1"/>
  <c r="AL22" i="1"/>
  <c r="AU22" i="1"/>
  <c r="AW22" i="1"/>
  <c r="H23" i="1"/>
  <c r="J23" i="1"/>
  <c r="K23" i="1"/>
  <c r="X23" i="1" s="1"/>
  <c r="L23" i="1"/>
  <c r="N23" i="1"/>
  <c r="O23" i="1"/>
  <c r="P23" i="1" s="1"/>
  <c r="Q23" i="1"/>
  <c r="W23" i="1" s="1"/>
  <c r="R23" i="1"/>
  <c r="S23" i="1"/>
  <c r="T23" i="1" s="1"/>
  <c r="U23" i="1"/>
  <c r="V23" i="1"/>
  <c r="AI23" i="1" s="1"/>
  <c r="AC23" i="1"/>
  <c r="AE23" i="1"/>
  <c r="AF23" i="1"/>
  <c r="AG23" i="1" s="1"/>
  <c r="AH23" i="1"/>
  <c r="AJ23" i="1"/>
  <c r="AL23" i="1"/>
  <c r="AU23" i="1"/>
  <c r="AW23" i="1" s="1"/>
  <c r="H24" i="1"/>
  <c r="J24" i="1"/>
  <c r="K24" i="1"/>
  <c r="L24" i="1"/>
  <c r="N24" i="1"/>
  <c r="P24" i="1" s="1"/>
  <c r="O24" i="1"/>
  <c r="Q24" i="1"/>
  <c r="R24" i="1" s="1"/>
  <c r="S24" i="1"/>
  <c r="T24" i="1"/>
  <c r="U24" i="1"/>
  <c r="V24" i="1"/>
  <c r="AI24" i="1" s="1"/>
  <c r="W24" i="1"/>
  <c r="AJ24" i="1" s="1"/>
  <c r="X24" i="1"/>
  <c r="AK24" i="1" s="1"/>
  <c r="AC24" i="1"/>
  <c r="AE24" i="1"/>
  <c r="AF24" i="1"/>
  <c r="AG24" i="1"/>
  <c r="AH24" i="1"/>
  <c r="AL24" i="1"/>
  <c r="AU24" i="1"/>
  <c r="AW24" i="1"/>
  <c r="H25" i="1"/>
  <c r="J25" i="1"/>
  <c r="K25" i="1"/>
  <c r="X25" i="1" s="1"/>
  <c r="AK25" i="1" s="1"/>
  <c r="L25" i="1"/>
  <c r="N25" i="1"/>
  <c r="O25" i="1"/>
  <c r="S25" i="1" s="1"/>
  <c r="Q25" i="1"/>
  <c r="V25" i="1"/>
  <c r="AI25" i="1" s="1"/>
  <c r="W25" i="1"/>
  <c r="AJ25" i="1" s="1"/>
  <c r="AC25" i="1"/>
  <c r="AE25" i="1"/>
  <c r="AF25" i="1"/>
  <c r="AG25" i="1" s="1"/>
  <c r="AL25" i="1"/>
  <c r="AU25" i="1"/>
  <c r="AW25" i="1"/>
  <c r="H26" i="1"/>
  <c r="J26" i="1"/>
  <c r="K26" i="1"/>
  <c r="L26" i="1"/>
  <c r="N26" i="1"/>
  <c r="O26" i="1"/>
  <c r="P26" i="1" s="1"/>
  <c r="Q26" i="1"/>
  <c r="W26" i="1" s="1"/>
  <c r="AJ26" i="1" s="1"/>
  <c r="R26" i="1"/>
  <c r="AC26" i="1"/>
  <c r="AE26" i="1"/>
  <c r="AF26" i="1"/>
  <c r="AG26" i="1" s="1"/>
  <c r="AL26" i="1"/>
  <c r="AU26" i="1"/>
  <c r="AW26" i="1" s="1"/>
  <c r="H27" i="1"/>
  <c r="J27" i="1"/>
  <c r="K27" i="1"/>
  <c r="L27" i="1"/>
  <c r="N27" i="1"/>
  <c r="O27" i="1"/>
  <c r="P27" i="1"/>
  <c r="Q27" i="1"/>
  <c r="W27" i="1" s="1"/>
  <c r="AJ27" i="1" s="1"/>
  <c r="S27" i="1"/>
  <c r="T27" i="1"/>
  <c r="U27" i="1"/>
  <c r="V27" i="1"/>
  <c r="AI27" i="1" s="1"/>
  <c r="AC27" i="1"/>
  <c r="AE27" i="1"/>
  <c r="AF27" i="1"/>
  <c r="AG27" i="1" s="1"/>
  <c r="AH27" i="1"/>
  <c r="AL27" i="1"/>
  <c r="AU27" i="1"/>
  <c r="AW27" i="1"/>
  <c r="H28" i="1"/>
  <c r="J28" i="1"/>
  <c r="K28" i="1"/>
  <c r="L28" i="1"/>
  <c r="N28" i="1"/>
  <c r="O28" i="1"/>
  <c r="P28" i="1" s="1"/>
  <c r="Q28" i="1"/>
  <c r="W28" i="1" s="1"/>
  <c r="R28" i="1"/>
  <c r="S28" i="1"/>
  <c r="T28" i="1"/>
  <c r="U28" i="1"/>
  <c r="V28" i="1"/>
  <c r="AC28" i="1"/>
  <c r="AE28" i="1"/>
  <c r="AF28" i="1"/>
  <c r="AG28" i="1"/>
  <c r="AH28" i="1"/>
  <c r="AI28" i="1"/>
  <c r="AJ28" i="1"/>
  <c r="AL28" i="1"/>
  <c r="AU28" i="1"/>
  <c r="AW28" i="1" s="1"/>
  <c r="H29" i="1"/>
  <c r="J29" i="1"/>
  <c r="K29" i="1"/>
  <c r="L29" i="1"/>
  <c r="N29" i="1"/>
  <c r="P29" i="1" s="1"/>
  <c r="O29" i="1"/>
  <c r="Q29" i="1"/>
  <c r="R29" i="1" s="1"/>
  <c r="S29" i="1"/>
  <c r="T29" i="1"/>
  <c r="V29" i="1"/>
  <c r="W29" i="1"/>
  <c r="AJ29" i="1" s="1"/>
  <c r="X29" i="1"/>
  <c r="AK29" i="1" s="1"/>
  <c r="AC29" i="1"/>
  <c r="AE29" i="1"/>
  <c r="AF29" i="1"/>
  <c r="AG29" i="1"/>
  <c r="AH29" i="1"/>
  <c r="AI29" i="1"/>
  <c r="AL29" i="1"/>
  <c r="AU29" i="1"/>
  <c r="AW29" i="1"/>
  <c r="H30" i="1"/>
  <c r="J30" i="1"/>
  <c r="K30" i="1"/>
  <c r="X30" i="1" s="1"/>
  <c r="AK30" i="1" s="1"/>
  <c r="L30" i="1"/>
  <c r="N30" i="1"/>
  <c r="O30" i="1"/>
  <c r="S30" i="1" s="1"/>
  <c r="Q30" i="1"/>
  <c r="V30" i="1"/>
  <c r="AI30" i="1" s="1"/>
  <c r="W30" i="1"/>
  <c r="AJ30" i="1" s="1"/>
  <c r="AC30" i="1"/>
  <c r="AE30" i="1"/>
  <c r="AF30" i="1"/>
  <c r="AG30" i="1" s="1"/>
  <c r="AL30" i="1"/>
  <c r="AU30" i="1"/>
  <c r="AW30" i="1" s="1"/>
  <c r="H31" i="1"/>
  <c r="J31" i="1"/>
  <c r="K31" i="1"/>
  <c r="L31" i="1"/>
  <c r="N31" i="1"/>
  <c r="O31" i="1"/>
  <c r="P31" i="1" s="1"/>
  <c r="Q31" i="1"/>
  <c r="W31" i="1" s="1"/>
  <c r="AJ31" i="1" s="1"/>
  <c r="AC31" i="1"/>
  <c r="AE31" i="1"/>
  <c r="AF31" i="1"/>
  <c r="AG31" i="1" s="1"/>
  <c r="AL31" i="1"/>
  <c r="AU31" i="1"/>
  <c r="AW31" i="1" s="1"/>
  <c r="H32" i="1"/>
  <c r="J32" i="1"/>
  <c r="K32" i="1"/>
  <c r="X32" i="1" s="1"/>
  <c r="L32" i="1"/>
  <c r="N32" i="1"/>
  <c r="O32" i="1"/>
  <c r="P32" i="1"/>
  <c r="Q32" i="1"/>
  <c r="W32" i="1" s="1"/>
  <c r="AJ32" i="1" s="1"/>
  <c r="S32" i="1"/>
  <c r="T32" i="1"/>
  <c r="U32" i="1"/>
  <c r="V32" i="1"/>
  <c r="AI32" i="1" s="1"/>
  <c r="AC32" i="1"/>
  <c r="AE32" i="1"/>
  <c r="AF32" i="1"/>
  <c r="AG32" i="1"/>
  <c r="AH32" i="1"/>
  <c r="AL32" i="1"/>
  <c r="AU32" i="1"/>
  <c r="AW32" i="1"/>
  <c r="H33" i="1"/>
  <c r="J33" i="1"/>
  <c r="K33" i="1"/>
  <c r="N33" i="1"/>
  <c r="O33" i="1"/>
  <c r="P33" i="1" s="1"/>
  <c r="Q33" i="1"/>
  <c r="W33" i="1" s="1"/>
  <c r="R33" i="1"/>
  <c r="S33" i="1"/>
  <c r="T33" i="1"/>
  <c r="U33" i="1"/>
  <c r="V33" i="1"/>
  <c r="AI33" i="1" s="1"/>
  <c r="AC33" i="1"/>
  <c r="AE33" i="1"/>
  <c r="AF33" i="1"/>
  <c r="AG33" i="1"/>
  <c r="AH33" i="1"/>
  <c r="AJ33" i="1"/>
  <c r="AL33" i="1"/>
  <c r="AU33" i="1"/>
  <c r="AW33" i="1" s="1"/>
  <c r="H34" i="1"/>
  <c r="J34" i="1"/>
  <c r="K34" i="1"/>
  <c r="L34" i="1"/>
  <c r="N34" i="1"/>
  <c r="P34" i="1" s="1"/>
  <c r="O34" i="1"/>
  <c r="Q34" i="1"/>
  <c r="S34" i="1"/>
  <c r="V34" i="1"/>
  <c r="AI34" i="1" s="1"/>
  <c r="W34" i="1"/>
  <c r="AJ34" i="1" s="1"/>
  <c r="X34" i="1"/>
  <c r="AK34" i="1" s="1"/>
  <c r="AC34" i="1"/>
  <c r="AE34" i="1"/>
  <c r="AF34" i="1"/>
  <c r="AG34" i="1"/>
  <c r="AL34" i="1"/>
  <c r="AU34" i="1"/>
  <c r="AW34" i="1"/>
  <c r="C35" i="1"/>
  <c r="E35" i="1"/>
  <c r="F35" i="1"/>
  <c r="G37" i="1" s="1"/>
  <c r="G35" i="1"/>
  <c r="H35" i="1"/>
  <c r="I35" i="1"/>
  <c r="J35" i="1"/>
  <c r="M35" i="1"/>
  <c r="Z35" i="1"/>
  <c r="AA35" i="1"/>
  <c r="AB35" i="1"/>
  <c r="AD35" i="1"/>
  <c r="AD36" i="1" s="1"/>
  <c r="AE36" i="1" s="1"/>
  <c r="AM35" i="1"/>
  <c r="AM36" i="1" s="1"/>
  <c r="AN35" i="1"/>
  <c r="AO35" i="1"/>
  <c r="AP35" i="1"/>
  <c r="AQ35" i="1"/>
  <c r="AR35" i="1"/>
  <c r="AS35" i="1"/>
  <c r="AT35" i="1"/>
  <c r="G36" i="1"/>
  <c r="H36" i="1"/>
  <c r="I36" i="1"/>
  <c r="J36" i="1" s="1"/>
  <c r="AB36" i="1"/>
  <c r="AC36" i="1" s="1"/>
  <c r="AL43" i="1"/>
  <c r="AK43" i="1" s="1"/>
  <c r="AG45" i="1"/>
  <c r="L37" i="3" l="1"/>
  <c r="Y5" i="3"/>
  <c r="AK5" i="3"/>
  <c r="Y7" i="3"/>
  <c r="AG47" i="3"/>
  <c r="AG37" i="3"/>
  <c r="AF46" i="3"/>
  <c r="AF47" i="3" s="1"/>
  <c r="AG38" i="3"/>
  <c r="Y26" i="3"/>
  <c r="K37" i="3"/>
  <c r="L36" i="3"/>
  <c r="Y10" i="3"/>
  <c r="U6" i="3"/>
  <c r="U36" i="3" s="1"/>
  <c r="X11" i="3"/>
  <c r="AK11" i="3" s="1"/>
  <c r="AH30" i="3"/>
  <c r="T30" i="3"/>
  <c r="AW31" i="3"/>
  <c r="AX31" i="3"/>
  <c r="Q36" i="3"/>
  <c r="AG5" i="3"/>
  <c r="AX11" i="3"/>
  <c r="AW11" i="3"/>
  <c r="AH13" i="3"/>
  <c r="T13" i="3"/>
  <c r="R15" i="3"/>
  <c r="V16" i="3"/>
  <c r="AI16" i="3" s="1"/>
  <c r="P16" i="3"/>
  <c r="Y19" i="3"/>
  <c r="AW22" i="3"/>
  <c r="AW23" i="3"/>
  <c r="V26" i="3"/>
  <c r="AI26" i="3" s="1"/>
  <c r="P26" i="3"/>
  <c r="P30" i="3"/>
  <c r="AW33" i="3"/>
  <c r="X8" i="3"/>
  <c r="AK8" i="3" s="1"/>
  <c r="AH16" i="3"/>
  <c r="X18" i="3"/>
  <c r="AK18" i="3" s="1"/>
  <c r="L18" i="3"/>
  <c r="AH26" i="3"/>
  <c r="T5" i="3"/>
  <c r="R21" i="3"/>
  <c r="P31" i="3"/>
  <c r="AG36" i="3"/>
  <c r="W5" i="3"/>
  <c r="AU36" i="3"/>
  <c r="P6" i="3"/>
  <c r="S9" i="3"/>
  <c r="S11" i="3"/>
  <c r="U13" i="3"/>
  <c r="Y13" i="3" s="1"/>
  <c r="AX16" i="3"/>
  <c r="L19" i="3"/>
  <c r="S21" i="3"/>
  <c r="T21" i="3" s="1"/>
  <c r="AH21" i="3"/>
  <c r="S22" i="3"/>
  <c r="X22" i="3" s="1"/>
  <c r="AK22" i="3" s="1"/>
  <c r="V22" i="3"/>
  <c r="AI22" i="3" s="1"/>
  <c r="W25" i="3"/>
  <c r="AJ25" i="3" s="1"/>
  <c r="T26" i="3"/>
  <c r="AX26" i="3"/>
  <c r="U30" i="3"/>
  <c r="Y30" i="3" s="1"/>
  <c r="R31" i="3"/>
  <c r="X34" i="3"/>
  <c r="AL45" i="3"/>
  <c r="R9" i="3"/>
  <c r="AW5" i="3"/>
  <c r="X7" i="3"/>
  <c r="AK7" i="3" s="1"/>
  <c r="T9" i="3"/>
  <c r="T11" i="3"/>
  <c r="AH11" i="3"/>
  <c r="AW12" i="3"/>
  <c r="V13" i="3"/>
  <c r="AI13" i="3" s="1"/>
  <c r="P14" i="3"/>
  <c r="S17" i="3"/>
  <c r="T17" i="3" s="1"/>
  <c r="W18" i="3"/>
  <c r="AJ18" i="3" s="1"/>
  <c r="R18" i="3"/>
  <c r="AX20" i="3"/>
  <c r="P22" i="3"/>
  <c r="AH22" i="3"/>
  <c r="AH23" i="3"/>
  <c r="T23" i="3"/>
  <c r="S27" i="3"/>
  <c r="T27" i="3" s="1"/>
  <c r="S31" i="3"/>
  <c r="X31" i="3" s="1"/>
  <c r="AK31" i="3" s="1"/>
  <c r="AH31" i="3"/>
  <c r="S32" i="3"/>
  <c r="X32" i="3" s="1"/>
  <c r="V32" i="3"/>
  <c r="AI32" i="3" s="1"/>
  <c r="AH33" i="3"/>
  <c r="T33" i="3"/>
  <c r="AL36" i="3"/>
  <c r="AL37" i="3" s="1"/>
  <c r="AM45" i="3" s="1"/>
  <c r="U14" i="3"/>
  <c r="Y14" i="3" s="1"/>
  <c r="AH14" i="3"/>
  <c r="T14" i="3"/>
  <c r="Y20" i="3"/>
  <c r="AX5" i="3"/>
  <c r="R6" i="3"/>
  <c r="AW7" i="3"/>
  <c r="U9" i="3"/>
  <c r="U11" i="3"/>
  <c r="Y11" i="3" s="1"/>
  <c r="T15" i="3"/>
  <c r="U15" i="3"/>
  <c r="Y15" i="3" s="1"/>
  <c r="AH15" i="3"/>
  <c r="V21" i="3"/>
  <c r="AI21" i="3" s="1"/>
  <c r="R22" i="3"/>
  <c r="AX27" i="3"/>
  <c r="W28" i="3"/>
  <c r="AJ28" i="3" s="1"/>
  <c r="R28" i="3"/>
  <c r="AX30" i="3"/>
  <c r="P32" i="3"/>
  <c r="AH32" i="3"/>
  <c r="N36" i="3"/>
  <c r="O38" i="3" s="1"/>
  <c r="W13" i="3"/>
  <c r="AJ13" i="3" s="1"/>
  <c r="S6" i="3"/>
  <c r="X6" i="3" s="1"/>
  <c r="AK6" i="3" s="1"/>
  <c r="R8" i="3"/>
  <c r="P10" i="3"/>
  <c r="V11" i="3"/>
  <c r="AI11" i="3" s="1"/>
  <c r="P12" i="3"/>
  <c r="AW13" i="3"/>
  <c r="P23" i="3"/>
  <c r="S24" i="3"/>
  <c r="X24" i="3" s="1"/>
  <c r="AW27" i="3"/>
  <c r="S28" i="3"/>
  <c r="T28" i="3" s="1"/>
  <c r="V31" i="3"/>
  <c r="AI31" i="3" s="1"/>
  <c r="R32" i="3"/>
  <c r="P33" i="3"/>
  <c r="S34" i="3"/>
  <c r="S16" i="3"/>
  <c r="X16" i="3" s="1"/>
  <c r="AK16" i="3" s="1"/>
  <c r="AH6" i="3"/>
  <c r="AH36" i="3" s="1"/>
  <c r="AN38" i="3" s="1"/>
  <c r="AX17" i="3"/>
  <c r="V5" i="3"/>
  <c r="O36" i="3"/>
  <c r="X9" i="3"/>
  <c r="AK9" i="3" s="1"/>
  <c r="R12" i="3"/>
  <c r="V14" i="3"/>
  <c r="AI14" i="3" s="1"/>
  <c r="P15" i="3"/>
  <c r="Y18" i="3"/>
  <c r="R19" i="3"/>
  <c r="AH20" i="3"/>
  <c r="T20" i="3"/>
  <c r="AW21" i="3"/>
  <c r="AX21" i="3"/>
  <c r="R23" i="3"/>
  <c r="W23" i="3"/>
  <c r="AJ23" i="3" s="1"/>
  <c r="P24" i="3"/>
  <c r="U25" i="3"/>
  <c r="Y25" i="3" s="1"/>
  <c r="AH25" i="3"/>
  <c r="T25" i="3"/>
  <c r="R33" i="3"/>
  <c r="W33" i="3"/>
  <c r="AJ33" i="3" s="1"/>
  <c r="P34" i="3"/>
  <c r="I37" i="3"/>
  <c r="J37" i="3" s="1"/>
  <c r="J36" i="3"/>
  <c r="AW10" i="3"/>
  <c r="AW20" i="3"/>
  <c r="AH24" i="3"/>
  <c r="AW30" i="3"/>
  <c r="T34" i="3"/>
  <c r="AH34" i="3"/>
  <c r="Y24" i="2"/>
  <c r="AL45" i="2"/>
  <c r="L37" i="2"/>
  <c r="V28" i="2"/>
  <c r="AI28" i="2" s="1"/>
  <c r="S28" i="2"/>
  <c r="X28" i="2" s="1"/>
  <c r="AK28" i="2" s="1"/>
  <c r="Y31" i="2"/>
  <c r="Y34" i="2"/>
  <c r="W36" i="2"/>
  <c r="W37" i="2" s="1"/>
  <c r="U7" i="2"/>
  <c r="AH7" i="2"/>
  <c r="T7" i="2"/>
  <c r="R11" i="2"/>
  <c r="R19" i="2"/>
  <c r="AW19" i="2"/>
  <c r="P24" i="2"/>
  <c r="P30" i="2"/>
  <c r="AU36" i="2"/>
  <c r="AX5" i="2"/>
  <c r="S15" i="2"/>
  <c r="X15" i="2" s="1"/>
  <c r="P15" i="2"/>
  <c r="S19" i="2"/>
  <c r="X19" i="2" s="1"/>
  <c r="AK19" i="2" s="1"/>
  <c r="L22" i="2"/>
  <c r="R24" i="2"/>
  <c r="W27" i="2"/>
  <c r="AJ27" i="2" s="1"/>
  <c r="AW5" i="2"/>
  <c r="V6" i="2"/>
  <c r="AI6" i="2" s="1"/>
  <c r="P7" i="2"/>
  <c r="X10" i="2"/>
  <c r="Y14" i="2"/>
  <c r="R15" i="2"/>
  <c r="AH15" i="2"/>
  <c r="AH16" i="2"/>
  <c r="T16" i="2"/>
  <c r="S20" i="2"/>
  <c r="T20" i="2" s="1"/>
  <c r="AH24" i="2"/>
  <c r="S29" i="2"/>
  <c r="X29" i="2" s="1"/>
  <c r="AK29" i="2" s="1"/>
  <c r="R30" i="2"/>
  <c r="K36" i="2"/>
  <c r="AC37" i="2"/>
  <c r="N36" i="2"/>
  <c r="O38" i="2" s="1"/>
  <c r="U8" i="2"/>
  <c r="Y8" i="2" s="1"/>
  <c r="AH8" i="2"/>
  <c r="T8" i="2"/>
  <c r="AH9" i="2"/>
  <c r="T9" i="2"/>
  <c r="U9" i="2"/>
  <c r="Y9" i="2" s="1"/>
  <c r="R12" i="2"/>
  <c r="X23" i="2"/>
  <c r="AK23" i="2" s="1"/>
  <c r="T24" i="2"/>
  <c r="S25" i="2"/>
  <c r="X25" i="2" s="1"/>
  <c r="AK25" i="2" s="1"/>
  <c r="P25" i="2"/>
  <c r="S30" i="2"/>
  <c r="T30" i="2" s="1"/>
  <c r="X32" i="2"/>
  <c r="AK32" i="2" s="1"/>
  <c r="AX25" i="2"/>
  <c r="AW25" i="2"/>
  <c r="X31" i="2"/>
  <c r="AK31" i="2" s="1"/>
  <c r="S11" i="2"/>
  <c r="T11" i="2" s="1"/>
  <c r="W6" i="2"/>
  <c r="AJ6" i="2" s="1"/>
  <c r="AJ36" i="2" s="1"/>
  <c r="AJ37" i="2" s="1"/>
  <c r="O36" i="2"/>
  <c r="S5" i="2"/>
  <c r="X5" i="2" s="1"/>
  <c r="AW6" i="2"/>
  <c r="R7" i="2"/>
  <c r="V8" i="2"/>
  <c r="AI8" i="2" s="1"/>
  <c r="S8" i="2"/>
  <c r="X8" i="2" s="1"/>
  <c r="AK8" i="2" s="1"/>
  <c r="S12" i="2"/>
  <c r="T12" i="2" s="1"/>
  <c r="P16" i="2"/>
  <c r="U17" i="2"/>
  <c r="Y17" i="2" s="1"/>
  <c r="AH17" i="2"/>
  <c r="T17" i="2"/>
  <c r="S21" i="2"/>
  <c r="T21" i="2" s="1"/>
  <c r="R25" i="2"/>
  <c r="AH25" i="2"/>
  <c r="AH26" i="2"/>
  <c r="T26" i="2"/>
  <c r="AW30" i="2"/>
  <c r="P34" i="2"/>
  <c r="AX35" i="2"/>
  <c r="AW35" i="2"/>
  <c r="AF36" i="2"/>
  <c r="P5" i="2"/>
  <c r="V7" i="2"/>
  <c r="AI7" i="2" s="1"/>
  <c r="P8" i="2"/>
  <c r="P9" i="2"/>
  <c r="X14" i="2"/>
  <c r="AK14" i="2" s="1"/>
  <c r="V15" i="2"/>
  <c r="AI15" i="2" s="1"/>
  <c r="R16" i="2"/>
  <c r="U18" i="2"/>
  <c r="AH18" i="2"/>
  <c r="T18" i="2"/>
  <c r="X20" i="2"/>
  <c r="T25" i="2"/>
  <c r="R31" i="2"/>
  <c r="Q36" i="2"/>
  <c r="R5" i="2"/>
  <c r="AH5" i="2"/>
  <c r="AW7" i="2"/>
  <c r="U16" i="2"/>
  <c r="Y16" i="2" s="1"/>
  <c r="P17" i="2"/>
  <c r="V18" i="2"/>
  <c r="AI18" i="2" s="1"/>
  <c r="S18" i="2"/>
  <c r="X18" i="2" s="1"/>
  <c r="AK18" i="2" s="1"/>
  <c r="T19" i="2"/>
  <c r="U19" i="2"/>
  <c r="Y19" i="2" s="1"/>
  <c r="AH19" i="2"/>
  <c r="S22" i="2"/>
  <c r="T22" i="2" s="1"/>
  <c r="P26" i="2"/>
  <c r="U27" i="2"/>
  <c r="AH27" i="2"/>
  <c r="T27" i="2"/>
  <c r="S31" i="2"/>
  <c r="T31" i="2" s="1"/>
  <c r="AH34" i="2"/>
  <c r="AI5" i="2"/>
  <c r="AH6" i="2"/>
  <c r="T6" i="2"/>
  <c r="R9" i="2"/>
  <c r="R10" i="2"/>
  <c r="AW15" i="2"/>
  <c r="AX15" i="2"/>
  <c r="V16" i="2"/>
  <c r="AI16" i="2" s="1"/>
  <c r="R17" i="2"/>
  <c r="P18" i="2"/>
  <c r="V25" i="2"/>
  <c r="AI25" i="2" s="1"/>
  <c r="R26" i="2"/>
  <c r="S27" i="2"/>
  <c r="X27" i="2" s="1"/>
  <c r="AK27" i="2" s="1"/>
  <c r="U28" i="2"/>
  <c r="Y28" i="2" s="1"/>
  <c r="AH28" i="2"/>
  <c r="T28" i="2"/>
  <c r="AH29" i="2"/>
  <c r="U29" i="2"/>
  <c r="X33" i="2"/>
  <c r="AK33" i="2" s="1"/>
  <c r="AX33" i="2"/>
  <c r="T34" i="2"/>
  <c r="S35" i="2"/>
  <c r="T35" i="2" s="1"/>
  <c r="P35" i="2"/>
  <c r="AW14" i="2"/>
  <c r="L21" i="2"/>
  <c r="AW24" i="2"/>
  <c r="AW34" i="2"/>
  <c r="L10" i="2"/>
  <c r="AW13" i="2"/>
  <c r="AW23" i="2"/>
  <c r="AW33" i="2"/>
  <c r="AF36" i="1"/>
  <c r="AG35" i="1"/>
  <c r="AW35" i="1"/>
  <c r="AW37" i="1" s="1"/>
  <c r="L35" i="1"/>
  <c r="K36" i="1"/>
  <c r="U31" i="1"/>
  <c r="Y31" i="1" s="1"/>
  <c r="T31" i="1"/>
  <c r="AH31" i="1"/>
  <c r="AL35" i="1"/>
  <c r="AL36" i="1" s="1"/>
  <c r="AK17" i="1"/>
  <c r="Y17" i="1"/>
  <c r="L33" i="1"/>
  <c r="X33" i="1"/>
  <c r="AK33" i="1" s="1"/>
  <c r="AK23" i="1"/>
  <c r="T20" i="1"/>
  <c r="AH20" i="1"/>
  <c r="U20" i="1"/>
  <c r="Y20" i="1" s="1"/>
  <c r="R20" i="1"/>
  <c r="U6" i="1"/>
  <c r="AH6" i="1"/>
  <c r="AJ35" i="1"/>
  <c r="AJ36" i="1" s="1"/>
  <c r="R27" i="1"/>
  <c r="P25" i="1"/>
  <c r="AK8" i="1"/>
  <c r="S5" i="1"/>
  <c r="O35" i="1"/>
  <c r="N35" i="1"/>
  <c r="O37" i="1" s="1"/>
  <c r="U5" i="1"/>
  <c r="AH5" i="1"/>
  <c r="R5" i="1"/>
  <c r="T30" i="1"/>
  <c r="AH30" i="1"/>
  <c r="U30" i="1"/>
  <c r="Y30" i="1" s="1"/>
  <c r="R30" i="1"/>
  <c r="V21" i="1"/>
  <c r="AI21" i="1" s="1"/>
  <c r="S21" i="1"/>
  <c r="X21" i="1" s="1"/>
  <c r="AK21" i="1" s="1"/>
  <c r="AI5" i="1"/>
  <c r="Q35" i="1"/>
  <c r="V6" i="1"/>
  <c r="AI6" i="1" s="1"/>
  <c r="S6" i="1"/>
  <c r="X6" i="1" s="1"/>
  <c r="AK6" i="1" s="1"/>
  <c r="U34" i="1"/>
  <c r="Y34" i="1" s="1"/>
  <c r="Y33" i="1"/>
  <c r="U26" i="1"/>
  <c r="Y26" i="1" s="1"/>
  <c r="T26" i="1"/>
  <c r="AH26" i="1"/>
  <c r="T25" i="1"/>
  <c r="AH25" i="1"/>
  <c r="U25" i="1"/>
  <c r="Y25" i="1" s="1"/>
  <c r="R25" i="1"/>
  <c r="R17" i="1"/>
  <c r="U11" i="1"/>
  <c r="Y11" i="1" s="1"/>
  <c r="T11" i="1"/>
  <c r="AH11" i="1"/>
  <c r="U9" i="1"/>
  <c r="Y9" i="1" s="1"/>
  <c r="Y8" i="1"/>
  <c r="L36" i="1"/>
  <c r="U21" i="1"/>
  <c r="AH21" i="1"/>
  <c r="T34" i="1"/>
  <c r="R31" i="1"/>
  <c r="X13" i="1"/>
  <c r="AK13" i="1" s="1"/>
  <c r="U10" i="1"/>
  <c r="Y10" i="1" s="1"/>
  <c r="T10" i="1"/>
  <c r="AH10" i="1"/>
  <c r="R10" i="1"/>
  <c r="T9" i="1"/>
  <c r="AK32" i="1"/>
  <c r="Y32" i="1"/>
  <c r="AH34" i="1"/>
  <c r="X28" i="1"/>
  <c r="AK28" i="1" s="1"/>
  <c r="R21" i="1"/>
  <c r="V16" i="1"/>
  <c r="AI16" i="1" s="1"/>
  <c r="S16" i="1"/>
  <c r="X16" i="1" s="1"/>
  <c r="AK16" i="1" s="1"/>
  <c r="AH9" i="1"/>
  <c r="V26" i="1"/>
  <c r="AI26" i="1" s="1"/>
  <c r="S26" i="1"/>
  <c r="X26" i="1" s="1"/>
  <c r="AK26" i="1" s="1"/>
  <c r="Y24" i="1"/>
  <c r="AK22" i="1"/>
  <c r="Y22" i="1"/>
  <c r="R34" i="1"/>
  <c r="R32" i="1"/>
  <c r="P30" i="1"/>
  <c r="R22" i="1"/>
  <c r="V20" i="1"/>
  <c r="AI20" i="1" s="1"/>
  <c r="U16" i="1"/>
  <c r="AH16" i="1"/>
  <c r="U14" i="1"/>
  <c r="Y14" i="1" s="1"/>
  <c r="X12" i="1"/>
  <c r="R9" i="1"/>
  <c r="S7" i="1"/>
  <c r="T7" i="1" s="1"/>
  <c r="R6" i="1"/>
  <c r="Y23" i="1"/>
  <c r="V11" i="1"/>
  <c r="AI11" i="1" s="1"/>
  <c r="S11" i="1"/>
  <c r="X11" i="1" s="1"/>
  <c r="AK11" i="1" s="1"/>
  <c r="V31" i="1"/>
  <c r="AI31" i="1" s="1"/>
  <c r="S31" i="1"/>
  <c r="X31" i="1" s="1"/>
  <c r="AK31" i="1" s="1"/>
  <c r="U29" i="1"/>
  <c r="Y29" i="1" s="1"/>
  <c r="Y28" i="1"/>
  <c r="X27" i="1"/>
  <c r="P21" i="1"/>
  <c r="X18" i="1"/>
  <c r="AK18" i="1" s="1"/>
  <c r="T15" i="1"/>
  <c r="AH15" i="1"/>
  <c r="U15" i="1"/>
  <c r="Y15" i="1" s="1"/>
  <c r="R15" i="1"/>
  <c r="T14" i="1"/>
  <c r="R7" i="1"/>
  <c r="AU35" i="1"/>
  <c r="W35" i="1"/>
  <c r="W36" i="1" s="1"/>
  <c r="AK24" i="3" l="1"/>
  <c r="Y24" i="3"/>
  <c r="X21" i="3"/>
  <c r="AK34" i="3"/>
  <c r="Y34" i="3"/>
  <c r="T22" i="3"/>
  <c r="Y16" i="3"/>
  <c r="P36" i="3"/>
  <c r="O37" i="3"/>
  <c r="P37" i="3" s="1"/>
  <c r="AJ5" i="3"/>
  <c r="AJ36" i="3" s="1"/>
  <c r="AJ37" i="3" s="1"/>
  <c r="W36" i="3"/>
  <c r="W37" i="3" s="1"/>
  <c r="X17" i="3"/>
  <c r="Y9" i="3"/>
  <c r="X28" i="3"/>
  <c r="Y8" i="3"/>
  <c r="T6" i="3"/>
  <c r="AI5" i="3"/>
  <c r="AI36" i="3" s="1"/>
  <c r="AI37" i="3" s="1"/>
  <c r="V36" i="3"/>
  <c r="V37" i="3" s="1"/>
  <c r="T24" i="3"/>
  <c r="T31" i="3"/>
  <c r="T16" i="3"/>
  <c r="T32" i="3"/>
  <c r="S36" i="3"/>
  <c r="AK32" i="3"/>
  <c r="Y32" i="3"/>
  <c r="AW36" i="3"/>
  <c r="AW38" i="3" s="1"/>
  <c r="Q37" i="3"/>
  <c r="R37" i="3" s="1"/>
  <c r="R36" i="3"/>
  <c r="L38" i="3"/>
  <c r="K46" i="3"/>
  <c r="K47" i="3" s="1"/>
  <c r="L47" i="3"/>
  <c r="X27" i="3"/>
  <c r="Y6" i="3"/>
  <c r="AX36" i="3"/>
  <c r="Y31" i="3"/>
  <c r="Y22" i="3"/>
  <c r="AK5" i="2"/>
  <c r="Y5" i="2"/>
  <c r="AK15" i="2"/>
  <c r="Y15" i="2"/>
  <c r="AW36" i="2"/>
  <c r="AW38" i="2" s="1"/>
  <c r="Y32" i="2"/>
  <c r="X30" i="2"/>
  <c r="X35" i="2"/>
  <c r="U36" i="2"/>
  <c r="Y7" i="2"/>
  <c r="O37" i="2"/>
  <c r="P37" i="2" s="1"/>
  <c r="P36" i="2"/>
  <c r="AI36" i="2"/>
  <c r="AI37" i="2" s="1"/>
  <c r="Y18" i="2"/>
  <c r="Y23" i="2"/>
  <c r="AH36" i="2"/>
  <c r="AN38" i="2" s="1"/>
  <c r="X22" i="2"/>
  <c r="AK20" i="2"/>
  <c r="Y20" i="2"/>
  <c r="T15" i="2"/>
  <c r="X21" i="2"/>
  <c r="Y25" i="2"/>
  <c r="Y27" i="2"/>
  <c r="AG36" i="2"/>
  <c r="AF37" i="2"/>
  <c r="S36" i="2"/>
  <c r="T29" i="2"/>
  <c r="Y29" i="2"/>
  <c r="Q37" i="2"/>
  <c r="R37" i="2" s="1"/>
  <c r="R36" i="2"/>
  <c r="X11" i="2"/>
  <c r="L36" i="2"/>
  <c r="K37" i="2"/>
  <c r="AK10" i="2"/>
  <c r="Y10" i="2"/>
  <c r="X12" i="2"/>
  <c r="T5" i="2"/>
  <c r="V36" i="2"/>
  <c r="V37" i="2" s="1"/>
  <c r="Y33" i="2"/>
  <c r="S35" i="1"/>
  <c r="X5" i="1"/>
  <c r="L37" i="1"/>
  <c r="L46" i="1"/>
  <c r="K45" i="1"/>
  <c r="K46" i="1" s="1"/>
  <c r="AM44" i="1"/>
  <c r="AL44" i="1"/>
  <c r="Y13" i="1"/>
  <c r="T21" i="1"/>
  <c r="AK27" i="1"/>
  <c r="Y27" i="1"/>
  <c r="T16" i="1"/>
  <c r="Y21" i="1"/>
  <c r="Q36" i="1"/>
  <c r="R36" i="1" s="1"/>
  <c r="R35" i="1"/>
  <c r="AH35" i="1"/>
  <c r="AN37" i="1" s="1"/>
  <c r="P35" i="1"/>
  <c r="O36" i="1"/>
  <c r="P36" i="1" s="1"/>
  <c r="Y16" i="1"/>
  <c r="V35" i="1"/>
  <c r="V36" i="1" s="1"/>
  <c r="T5" i="1"/>
  <c r="T6" i="1"/>
  <c r="AK12" i="1"/>
  <c r="Y12" i="1"/>
  <c r="X7" i="1"/>
  <c r="AI35" i="1"/>
  <c r="AI36" i="1" s="1"/>
  <c r="Y5" i="1"/>
  <c r="U35" i="1"/>
  <c r="Y6" i="1"/>
  <c r="Y18" i="1"/>
  <c r="AG46" i="1"/>
  <c r="AF45" i="1"/>
  <c r="AF46" i="1" s="1"/>
  <c r="AG36" i="1"/>
  <c r="AG37" i="1"/>
  <c r="AK27" i="3" l="1"/>
  <c r="Y27" i="3"/>
  <c r="AK17" i="3"/>
  <c r="Y17" i="3"/>
  <c r="X36" i="3"/>
  <c r="AK28" i="3"/>
  <c r="Y28" i="3"/>
  <c r="AK21" i="3"/>
  <c r="Y21" i="3"/>
  <c r="T36" i="3"/>
  <c r="S37" i="3"/>
  <c r="AK30" i="2"/>
  <c r="Y30" i="2"/>
  <c r="AK12" i="2"/>
  <c r="Y12" i="2"/>
  <c r="S37" i="2"/>
  <c r="T36" i="2"/>
  <c r="AG47" i="2"/>
  <c r="AF46" i="2"/>
  <c r="AF47" i="2" s="1"/>
  <c r="AG38" i="2"/>
  <c r="AG37" i="2"/>
  <c r="L38" i="2"/>
  <c r="K46" i="2"/>
  <c r="K47" i="2" s="1"/>
  <c r="L47" i="2"/>
  <c r="AK22" i="2"/>
  <c r="Y22" i="2"/>
  <c r="AK11" i="2"/>
  <c r="Y11" i="2"/>
  <c r="AK35" i="2"/>
  <c r="AK36" i="2" s="1"/>
  <c r="Y35" i="2"/>
  <c r="AK21" i="2"/>
  <c r="Y21" i="2"/>
  <c r="X36" i="2"/>
  <c r="X35" i="1"/>
  <c r="AK5" i="1"/>
  <c r="AK7" i="1"/>
  <c r="Y7" i="1"/>
  <c r="T35" i="1"/>
  <c r="S36" i="1"/>
  <c r="Y36" i="3" l="1"/>
  <c r="AX38" i="3"/>
  <c r="X37" i="3"/>
  <c r="Y37" i="3" s="1"/>
  <c r="AK36" i="3"/>
  <c r="S46" i="3"/>
  <c r="S47" i="3" s="1"/>
  <c r="T47" i="3"/>
  <c r="T38" i="3"/>
  <c r="T37" i="3"/>
  <c r="AK40" i="2"/>
  <c r="AL40" i="2" s="1"/>
  <c r="AK37" i="2"/>
  <c r="S46" i="2"/>
  <c r="S47" i="2" s="1"/>
  <c r="T47" i="2"/>
  <c r="T38" i="2"/>
  <c r="T37" i="2"/>
  <c r="Y36" i="2"/>
  <c r="X37" i="2"/>
  <c r="Y37" i="2" s="1"/>
  <c r="S45" i="1"/>
  <c r="S46" i="1" s="1"/>
  <c r="T46" i="1"/>
  <c r="T37" i="1"/>
  <c r="T36" i="1"/>
  <c r="AK35" i="1"/>
  <c r="Y35" i="1"/>
  <c r="X36" i="1"/>
  <c r="Y36" i="1" s="1"/>
  <c r="AK40" i="3" l="1"/>
  <c r="AL40" i="3" s="1"/>
  <c r="AK37" i="3"/>
  <c r="AK41" i="2"/>
  <c r="AL41" i="2" s="1"/>
  <c r="AL39" i="2"/>
  <c r="AL46" i="2"/>
  <c r="AL38" i="2"/>
  <c r="AK43" i="2"/>
  <c r="AK45" i="2"/>
  <c r="AK46" i="2" s="1"/>
  <c r="AK39" i="1"/>
  <c r="AL39" i="1" s="1"/>
  <c r="AK36" i="1"/>
  <c r="AK41" i="3" l="1"/>
  <c r="AL41" i="3" s="1"/>
  <c r="AL46" i="3"/>
  <c r="AL38" i="3"/>
  <c r="AK43" i="3"/>
  <c r="AL39" i="3"/>
  <c r="AK45" i="3"/>
  <c r="AK46" i="3" s="1"/>
  <c r="AK40" i="1"/>
  <c r="AL40" i="1" s="1"/>
  <c r="AL38" i="1"/>
  <c r="AK42" i="1"/>
  <c r="AL45" i="1"/>
  <c r="AL37" i="1"/>
  <c r="AK44" i="1"/>
  <c r="AK45" i="1" s="1"/>
</calcChain>
</file>

<file path=xl/sharedStrings.xml><?xml version="1.0" encoding="utf-8"?>
<sst xmlns="http://schemas.openxmlformats.org/spreadsheetml/2006/main" count="363" uniqueCount="73">
  <si>
    <t>※割引反映前</t>
  </si>
  <si>
    <t>金額：(税込)</t>
  </si>
  <si>
    <t>JW</t>
  </si>
  <si>
    <t>LUNCH</t>
  </si>
  <si>
    <t>DINNER（計算式あり・入力不要）</t>
  </si>
  <si>
    <t>レストランTOTAL売上（税込）</t>
  </si>
  <si>
    <t>T.O（税込）</t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</si>
  <si>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</si>
  <si>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</si>
  <si>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</si>
  <si>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</si>
  <si>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</si>
  <si>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</si>
  <si>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</si>
  <si>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</si>
  <si>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</si>
  <si>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</si>
  <si>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</si>
  <si>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</si>
  <si>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</si>
  <si>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</si>
  <si>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</si>
  <si>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</si>
  <si>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</si>
  <si>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</si>
  <si>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</si>
  <si>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客数</t>
  </si>
  <si>
    <t>料理</t>
  </si>
  <si>
    <t>飲料</t>
  </si>
  <si>
    <t>席料</t>
  </si>
  <si>
    <t>南京錠　　　　　　　　（プラン＋自販）</t>
  </si>
  <si>
    <t>花束（プラン）</t>
  </si>
  <si>
    <t>招待券・花束             （預り金）</t>
  </si>
  <si>
    <t>売上合計　　　　　（花束預り金除く）</t>
  </si>
  <si>
    <t>税抜金額</t>
  </si>
  <si>
    <t>入客</t>
  </si>
  <si>
    <t>（営業日数）</t>
  </si>
  <si>
    <t>一日平均</t>
  </si>
  <si>
    <t>■ランチコメント</t>
  </si>
  <si>
    <t>■ディナーコメント</t>
  </si>
  <si>
    <t>■TOコメント</t>
  </si>
  <si>
    <t>　1日売上平均（税込）</t>
  </si>
  <si>
    <t>その他予算</t>
  </si>
  <si>
    <t>TOTAL予算</t>
  </si>
  <si>
    <t>ランチ予算</t>
  </si>
  <si>
    <t>当月残り日数</t>
  </si>
  <si>
    <t>ディナー予算</t>
  </si>
  <si>
    <t>テイク予算</t>
  </si>
  <si>
    <t>予算まで</t>
  </si>
  <si>
    <t>達成まで一日あたり</t>
  </si>
  <si>
    <t>税抜レストラン+T/O売上単価</t>
  </si>
  <si>
    <t>(T/O＋レストラン昼夜)</t>
  </si>
  <si>
    <t>税抜レストラン+T/O売上</t>
  </si>
  <si>
    <t>　1日売上平均（税抜）</t>
  </si>
  <si>
    <t>税込合計</t>
  </si>
  <si>
    <t>税抜合計</t>
  </si>
  <si>
    <t>休業</t>
  </si>
  <si>
    <t>ディナー特別営業</t>
    <rPh sb="4" eb="8">
      <t>トクベツエイギョウ</t>
    </rPh>
    <phoneticPr fontId="2"/>
  </si>
  <si>
    <t>夏期営業</t>
    <rPh sb="0" eb="4">
      <t>カキエイギョウ</t>
    </rPh>
    <phoneticPr fontId="1"/>
  </si>
  <si>
    <t>ランチ休業</t>
    <rPh sb="3" eb="5">
      <t>キュウギョウ</t>
    </rPh>
    <phoneticPr fontId="2"/>
  </si>
  <si>
    <t>夜景PT</t>
    <rPh sb="0" eb="2">
      <t>ヤケイ</t>
    </rPh>
    <phoneticPr fontId="2"/>
  </si>
  <si>
    <t>席料予算</t>
    <rPh sb="0" eb="2">
      <t>セキリョウ</t>
    </rPh>
    <rPh sb="2" eb="4">
      <t>ヨサン</t>
    </rPh>
    <phoneticPr fontId="2"/>
  </si>
  <si>
    <t>その他</t>
    <rPh sb="2" eb="3">
      <t>タ</t>
    </rPh>
    <phoneticPr fontId="2"/>
  </si>
  <si>
    <t>レストラン＋T/O（人数は含まず）＋南京錠売上
 +もーりすカレーTOTAL</t>
    <phoneticPr fontId="2"/>
  </si>
  <si>
    <t>席料+南京錠+花</t>
    <phoneticPr fontId="2"/>
  </si>
  <si>
    <t>食品物販</t>
    <rPh sb="0" eb="4">
      <t>ショクヒンブッパン</t>
    </rPh>
    <phoneticPr fontId="2"/>
  </si>
  <si>
    <t>ディナー特別営業</t>
  </si>
  <si>
    <t>夏期営業（ランチ休業）</t>
  </si>
  <si>
    <t>夏期営業（ランチ休業）</t>
    <rPh sb="0" eb="4">
      <t>カキエイギョウ</t>
    </rPh>
    <rPh sb="8" eb="10">
      <t>キュウギョウ</t>
    </rPh>
    <phoneticPr fontId="1"/>
  </si>
  <si>
    <t>夏期営業（ランチ休業）終日運休</t>
    <rPh sb="11" eb="15">
      <t>シュウジツウンキュウ</t>
    </rPh>
    <phoneticPr fontId="2"/>
  </si>
  <si>
    <t>ランチ休業(ＲＷ終日運休</t>
    <rPh sb="3" eb="5">
      <t>キュウギョウ</t>
    </rPh>
    <rPh sb="8" eb="12">
      <t>シュウジツウンキュウ</t>
    </rPh>
    <phoneticPr fontId="2"/>
  </si>
  <si>
    <t>ランチ休業ダイニング貸切</t>
    <rPh sb="3" eb="5">
      <t>キュウギョウ</t>
    </rPh>
    <rPh sb="10" eb="12">
      <t>カシキリ</t>
    </rPh>
    <phoneticPr fontId="2"/>
  </si>
  <si>
    <t>（婚礼）</t>
    <rPh sb="1" eb="3">
      <t>コンレイ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</si>
</sst>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90" formatCode="0.0_ "/>
  </numFmts>
  <fonts count="2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color rgb="FF000000"/>
      <name val="游ゴシック Medium"/>
      <family val="3"/>
      <charset val="128"/>
    </font>
    <font>
      <sz val="9"/>
      <color theme="1"/>
      <name val="游ゴシック Medium"/>
      <family val="3"/>
      <charset val="128"/>
    </font>
    <font>
      <sz val="10"/>
      <color rgb="FF000000"/>
      <name val="游ゴシック Medium"/>
      <family val="3"/>
      <charset val="128"/>
    </font>
    <font>
      <sz val="10"/>
      <color theme="1"/>
      <name val="游ゴシック Medium"/>
      <family val="3"/>
      <charset val="128"/>
    </font>
    <font>
      <b/>
      <sz val="9"/>
      <color rgb="FF000000"/>
      <name val="游ゴシック Medium"/>
      <family val="3"/>
      <charset val="128"/>
    </font>
    <font>
      <b/>
      <sz val="12"/>
      <color theme="1"/>
      <name val="游ゴシック Medium"/>
      <family val="3"/>
      <charset val="128"/>
    </font>
    <font>
      <b/>
      <sz val="12"/>
      <color rgb="FF000000"/>
      <name val="游ゴシック Medium"/>
      <family val="3"/>
      <charset val="128"/>
    </font>
    <font>
      <sz val="10"/>
      <name val="游ゴシック Medium"/>
      <family val="3"/>
      <charset val="128"/>
    </font>
    <font>
      <b/>
      <sz val="10"/>
      <color rgb="FF000000"/>
      <name val="游ゴシック Medium"/>
      <family val="3"/>
      <charset val="128"/>
    </font>
    <font>
      <b/>
      <sz val="11"/>
      <color rgb="FF000000"/>
      <name val="游ゴシック Medium"/>
      <family val="3"/>
      <charset val="128"/>
    </font>
    <font>
      <sz val="9"/>
      <color rgb="FFFF0000"/>
      <name val="游ゴシック Medium"/>
      <family val="3"/>
      <charset val="128"/>
    </font>
    <font>
      <sz val="9"/>
      <color theme="4"/>
      <name val="游ゴシック Medium"/>
      <family val="3"/>
      <charset val="128"/>
    </font>
    <font>
      <b/>
      <sz val="9"/>
      <color theme="1"/>
      <name val="游ゴシック Medium"/>
      <family val="3"/>
      <charset val="128"/>
    </font>
    <font>
      <b/>
      <sz val="8"/>
      <color rgb="FF000000"/>
      <name val="游ゴシック Medium"/>
      <family val="3"/>
      <charset val="128"/>
    </font>
    <font>
      <b/>
      <sz val="7"/>
      <color rgb="FF000000"/>
      <name val="游ゴシック Medium"/>
      <family val="3"/>
      <charset val="128"/>
    </font>
    <font>
      <b/>
      <sz val="6"/>
      <color rgb="FF000000"/>
      <name val="游ゴシック Medium"/>
      <family val="3"/>
      <charset val="128"/>
    </font>
    <font>
      <sz val="11"/>
      <color rgb="FF000000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sz val="12"/>
      <color rgb="FF000000"/>
      <name val="游ゴシック Medium"/>
      <family val="3"/>
      <charset val="128"/>
    </font>
    <font>
      <sz val="8"/>
      <color rgb="FF000000"/>
      <name val="游ゴシック Medium"/>
      <family val="3"/>
      <charset val="128"/>
    </font>
    <font>
      <sz val="9"/>
      <name val="游ゴシック Medium"/>
      <family val="3"/>
      <charset val="128"/>
    </font>
    <font>
      <sz val="9"/>
      <color theme="8"/>
      <name val="游ゴシック Medium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8" fontId="3" fillId="0" borderId="0" xfId="0" applyNumberFormat="1" applyFont="1" applyAlignment="1">
      <alignment horizontal="center" vertical="center" wrapText="1"/>
    </xf>
    <xf numFmtId="0" fontId="5" fillId="0" borderId="0" xfId="0" applyFont="1" applyAlignment="1"/>
    <xf numFmtId="176" fontId="3" fillId="0" borderId="0" xfId="0" applyNumberFormat="1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/>
    <xf numFmtId="0" fontId="12" fillId="0" borderId="4" xfId="0" applyFont="1" applyBorder="1" applyAlignment="1">
      <alignment horizontal="center" vertical="center" wrapText="1"/>
    </xf>
    <xf numFmtId="0" fontId="10" fillId="0" borderId="5" xfId="0" applyFont="1" applyBorder="1" applyAlignment="1"/>
    <xf numFmtId="0" fontId="10" fillId="0" borderId="6" xfId="0" applyFont="1" applyBorder="1" applyAlignment="1"/>
    <xf numFmtId="0" fontId="12" fillId="4" borderId="1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0" fillId="0" borderId="8" xfId="0" applyFont="1" applyBorder="1" applyAlignment="1"/>
    <xf numFmtId="0" fontId="3" fillId="0" borderId="10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38" fontId="3" fillId="0" borderId="16" xfId="0" applyNumberFormat="1" applyFont="1" applyBorder="1" applyAlignment="1">
      <alignment horizontal="center" vertical="center" wrapText="1"/>
    </xf>
    <xf numFmtId="0" fontId="3" fillId="0" borderId="0" xfId="0" applyFont="1" applyAlignment="1"/>
    <xf numFmtId="38" fontId="7" fillId="0" borderId="16" xfId="0" applyNumberFormat="1" applyFont="1" applyBorder="1" applyAlignment="1"/>
    <xf numFmtId="38" fontId="3" fillId="0" borderId="0" xfId="0" applyNumberFormat="1" applyFont="1" applyAlignment="1"/>
    <xf numFmtId="38" fontId="5" fillId="0" borderId="0" xfId="0" applyNumberFormat="1" applyFont="1" applyAlignment="1"/>
    <xf numFmtId="0" fontId="7" fillId="0" borderId="0" xfId="0" applyFont="1" applyAlignment="1"/>
    <xf numFmtId="0" fontId="15" fillId="0" borderId="25" xfId="0" applyFont="1" applyBorder="1" applyAlignment="1"/>
    <xf numFmtId="38" fontId="7" fillId="0" borderId="26" xfId="0" applyNumberFormat="1" applyFont="1" applyBorder="1" applyAlignment="1"/>
    <xf numFmtId="179" fontId="7" fillId="0" borderId="27" xfId="0" applyNumberFormat="1" applyFont="1" applyBorder="1" applyAlignment="1"/>
    <xf numFmtId="180" fontId="7" fillId="0" borderId="26" xfId="0" applyNumberFormat="1" applyFont="1" applyBorder="1" applyAlignment="1"/>
    <xf numFmtId="38" fontId="16" fillId="0" borderId="27" xfId="0" applyNumberFormat="1" applyFont="1" applyBorder="1" applyAlignment="1"/>
    <xf numFmtId="38" fontId="7" fillId="0" borderId="27" xfId="0" applyNumberFormat="1" applyFont="1" applyBorder="1" applyAlignment="1"/>
    <xf numFmtId="38" fontId="7" fillId="0" borderId="25" xfId="0" applyNumberFormat="1" applyFont="1" applyBorder="1" applyAlignment="1"/>
    <xf numFmtId="38" fontId="7" fillId="5" borderId="26" xfId="0" applyNumberFormat="1" applyFont="1" applyFill="1" applyBorder="1" applyAlignment="1"/>
    <xf numFmtId="182" fontId="7" fillId="0" borderId="26" xfId="0" applyNumberFormat="1" applyFont="1" applyBorder="1" applyAlignment="1">
      <alignment shrinkToFit="1"/>
    </xf>
    <xf numFmtId="181" fontId="7" fillId="0" borderId="27" xfId="0" applyNumberFormat="1" applyFont="1" applyBorder="1" applyAlignment="1"/>
    <xf numFmtId="38" fontId="16" fillId="0" borderId="26" xfId="0" applyNumberFormat="1" applyFont="1" applyBorder="1" applyAlignment="1"/>
    <xf numFmtId="38" fontId="12" fillId="5" borderId="26" xfId="0" applyNumberFormat="1" applyFont="1" applyFill="1" applyBorder="1" applyAlignment="1"/>
    <xf numFmtId="182" fontId="17" fillId="0" borderId="27" xfId="0" applyNumberFormat="1" applyFont="1" applyBorder="1" applyAlignment="1">
      <alignment shrinkToFit="1"/>
    </xf>
    <xf numFmtId="38" fontId="17" fillId="0" borderId="26" xfId="0" applyNumberFormat="1" applyFont="1" applyBorder="1" applyAlignment="1"/>
    <xf numFmtId="38" fontId="16" fillId="5" borderId="26" xfId="0" applyNumberFormat="1" applyFont="1" applyFill="1" applyBorder="1" applyAlignment="1"/>
    <xf numFmtId="182" fontId="16" fillId="0" borderId="27" xfId="0" applyNumberFormat="1" applyFont="1" applyBorder="1" applyAlignment="1">
      <alignment shrinkToFit="1"/>
    </xf>
    <xf numFmtId="38" fontId="17" fillId="0" borderId="27" xfId="0" applyNumberFormat="1" applyFont="1" applyBorder="1" applyAlignment="1"/>
    <xf numFmtId="38" fontId="11" fillId="5" borderId="26" xfId="0" applyNumberFormat="1" applyFont="1" applyFill="1" applyBorder="1" applyAlignment="1"/>
    <xf numFmtId="182" fontId="16" fillId="0" borderId="27" xfId="0" applyNumberFormat="1" applyFont="1" applyBorder="1" applyAlignment="1"/>
    <xf numFmtId="38" fontId="7" fillId="5" borderId="16" xfId="0" applyNumberFormat="1" applyFont="1" applyFill="1" applyBorder="1" applyAlignment="1"/>
    <xf numFmtId="38" fontId="7" fillId="8" borderId="16" xfId="0" applyNumberFormat="1" applyFont="1" applyFill="1" applyBorder="1" applyAlignment="1"/>
    <xf numFmtId="0" fontId="15" fillId="0" borderId="0" xfId="0" applyFont="1" applyAlignment="1"/>
    <xf numFmtId="0" fontId="7" fillId="0" borderId="7" xfId="0" applyFont="1" applyBorder="1" applyAlignment="1"/>
    <xf numFmtId="38" fontId="16" fillId="0" borderId="16" xfId="0" applyNumberFormat="1" applyFont="1" applyBorder="1" applyAlignment="1"/>
    <xf numFmtId="38" fontId="12" fillId="5" borderId="16" xfId="0" applyNumberFormat="1" applyFont="1" applyFill="1" applyBorder="1" applyAlignment="1"/>
    <xf numFmtId="182" fontId="7" fillId="0" borderId="0" xfId="0" applyNumberFormat="1" applyFont="1" applyAlignment="1">
      <alignment shrinkToFit="1"/>
    </xf>
    <xf numFmtId="179" fontId="7" fillId="0" borderId="0" xfId="0" applyNumberFormat="1" applyFont="1" applyAlignment="1"/>
    <xf numFmtId="182" fontId="17" fillId="0" borderId="0" xfId="0" applyNumberFormat="1" applyFont="1" applyAlignment="1"/>
    <xf numFmtId="38" fontId="16" fillId="5" borderId="16" xfId="0" applyNumberFormat="1" applyFont="1" applyFill="1" applyBorder="1" applyAlignment="1"/>
    <xf numFmtId="182" fontId="7" fillId="0" borderId="0" xfId="0" applyNumberFormat="1" applyFont="1" applyAlignment="1"/>
    <xf numFmtId="38" fontId="17" fillId="0" borderId="16" xfId="0" applyNumberFormat="1" applyFont="1" applyBorder="1" applyAlignment="1"/>
    <xf numFmtId="38" fontId="7" fillId="0" borderId="0" xfId="0" applyNumberFormat="1" applyFont="1" applyAlignment="1"/>
    <xf numFmtId="0" fontId="4" fillId="0" borderId="0" xfId="0" applyFont="1" applyAlignment="1"/>
    <xf numFmtId="0" fontId="3" fillId="0" borderId="0" xfId="0" applyFont="1" applyAlignment="1">
      <alignment horizontal="right"/>
    </xf>
    <xf numFmtId="183" fontId="7" fillId="0" borderId="0" xfId="0" applyNumberFormat="1" applyFont="1" applyAlignment="1"/>
    <xf numFmtId="183" fontId="7" fillId="6" borderId="0" xfId="0" applyNumberFormat="1" applyFont="1" applyFill="1" applyAlignment="1"/>
    <xf numFmtId="183" fontId="18" fillId="0" borderId="0" xfId="0" applyNumberFormat="1" applyFont="1" applyAlignment="1"/>
    <xf numFmtId="183" fontId="7" fillId="0" borderId="0" xfId="0" applyNumberFormat="1" applyFont="1" applyAlignment="1">
      <alignment horizontal="right"/>
    </xf>
    <xf numFmtId="184" fontId="16" fillId="0" borderId="0" xfId="0" applyNumberFormat="1" applyFont="1" applyAlignment="1"/>
    <xf numFmtId="184" fontId="16" fillId="0" borderId="0" xfId="0" applyNumberFormat="1" applyFont="1" applyAlignment="1">
      <alignment shrinkToFit="1"/>
    </xf>
    <xf numFmtId="183" fontId="7" fillId="4" borderId="0" xfId="0" applyNumberFormat="1" applyFont="1" applyFill="1" applyAlignment="1"/>
    <xf numFmtId="184" fontId="7" fillId="0" borderId="0" xfId="0" applyNumberFormat="1" applyFont="1" applyAlignment="1"/>
    <xf numFmtId="3" fontId="3" fillId="0" borderId="0" xfId="0" applyNumberFormat="1" applyFont="1" applyAlignment="1"/>
    <xf numFmtId="0" fontId="3" fillId="0" borderId="19" xfId="0" applyFont="1" applyBorder="1" applyAlignment="1"/>
    <xf numFmtId="0" fontId="3" fillId="0" borderId="24" xfId="0" applyFont="1" applyBorder="1" applyAlignment="1">
      <alignment horizontal="right"/>
    </xf>
    <xf numFmtId="183" fontId="7" fillId="8" borderId="0" xfId="0" applyNumberFormat="1" applyFont="1" applyFill="1" applyAlignment="1"/>
    <xf numFmtId="0" fontId="3" fillId="0" borderId="28" xfId="0" applyFont="1" applyBorder="1" applyAlignment="1"/>
    <xf numFmtId="185" fontId="3" fillId="0" borderId="0" xfId="0" applyNumberFormat="1" applyFont="1" applyAlignment="1"/>
    <xf numFmtId="0" fontId="4" fillId="0" borderId="1" xfId="0" applyFont="1" applyBorder="1" applyAlignment="1">
      <alignment horizontal="left" vertical="top" wrapText="1"/>
    </xf>
    <xf numFmtId="0" fontId="10" fillId="0" borderId="23" xfId="0" applyFont="1" applyBorder="1" applyAlignment="1"/>
    <xf numFmtId="0" fontId="10" fillId="0" borderId="24" xfId="0" applyFont="1" applyBorder="1" applyAlignment="1"/>
    <xf numFmtId="0" fontId="5" fillId="0" borderId="0" xfId="0" applyFont="1" applyAlignment="1"/>
    <xf numFmtId="0" fontId="10" fillId="0" borderId="28" xfId="0" applyFont="1" applyBorder="1" applyAlignme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17" xfId="0" applyFont="1" applyBorder="1" applyAlignment="1"/>
    <xf numFmtId="0" fontId="10" fillId="0" borderId="20" xfId="0" applyFont="1" applyBorder="1" applyAlignment="1"/>
    <xf numFmtId="0" fontId="10" fillId="0" borderId="19" xfId="0" applyFont="1" applyBorder="1" applyAlignme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 shrinkToFit="1"/>
    </xf>
    <xf numFmtId="0" fontId="7" fillId="5" borderId="0" xfId="0" applyFont="1" applyFill="1" applyAlignment="1"/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184" fontId="12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184" fontId="11" fillId="0" borderId="0" xfId="0" applyNumberFormat="1" applyFont="1">
      <alignment vertical="center"/>
    </xf>
    <xf numFmtId="10" fontId="11" fillId="0" borderId="0" xfId="0" applyNumberFormat="1" applyFont="1">
      <alignment vertical="center"/>
    </xf>
    <xf numFmtId="10" fontId="12" fillId="0" borderId="0" xfId="0" applyNumberFormat="1" applyFont="1">
      <alignment vertical="center"/>
    </xf>
    <xf numFmtId="186" fontId="7" fillId="0" borderId="0" xfId="0" applyNumberFormat="1" applyFont="1" applyAlignment="1"/>
    <xf numFmtId="38" fontId="19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38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8" fontId="9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38" fontId="21" fillId="0" borderId="0" xfId="0" applyNumberFormat="1" applyFont="1">
      <alignment vertical="center"/>
    </xf>
    <xf numFmtId="0" fontId="21" fillId="0" borderId="0" xfId="0" applyFont="1">
      <alignment vertical="center"/>
    </xf>
    <xf numFmtId="0" fontId="3" fillId="0" borderId="0" xfId="0" applyFont="1">
      <alignment vertical="center"/>
    </xf>
    <xf numFmtId="38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 shrinkToFit="1"/>
    </xf>
    <xf numFmtId="176" fontId="22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shrinkToFit="1"/>
    </xf>
    <xf numFmtId="177" fontId="3" fillId="0" borderId="1" xfId="0" applyNumberFormat="1" applyFont="1" applyBorder="1" applyAlignment="1">
      <alignment horizontal="center" vertical="center" shrinkToFit="1"/>
    </xf>
    <xf numFmtId="177" fontId="3" fillId="0" borderId="31" xfId="0" applyNumberFormat="1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77" fontId="3" fillId="0" borderId="8" xfId="0" applyNumberFormat="1" applyFont="1" applyBorder="1" applyAlignment="1">
      <alignment horizontal="center" vertical="center" shrinkToFit="1"/>
    </xf>
    <xf numFmtId="177" fontId="3" fillId="0" borderId="32" xfId="0" applyNumberFormat="1" applyFont="1" applyBorder="1" applyAlignment="1">
      <alignment horizontal="center" vertical="center" wrapText="1"/>
    </xf>
    <xf numFmtId="178" fontId="4" fillId="0" borderId="17" xfId="0" applyNumberFormat="1" applyFont="1" applyBorder="1">
      <alignment vertical="center"/>
    </xf>
    <xf numFmtId="38" fontId="3" fillId="0" borderId="17" xfId="0" applyNumberFormat="1" applyFont="1" applyBorder="1" applyAlignment="1">
      <alignment horizontal="center" vertical="center"/>
    </xf>
    <xf numFmtId="179" fontId="3" fillId="0" borderId="18" xfId="0" applyNumberFormat="1" applyFont="1" applyBorder="1">
      <alignment vertical="center"/>
    </xf>
    <xf numFmtId="180" fontId="3" fillId="2" borderId="18" xfId="0" applyNumberFormat="1" applyFont="1" applyFill="1" applyBorder="1">
      <alignment vertical="center"/>
    </xf>
    <xf numFmtId="38" fontId="3" fillId="6" borderId="18" xfId="0" applyNumberFormat="1" applyFont="1" applyFill="1" applyBorder="1">
      <alignment vertical="center"/>
    </xf>
    <xf numFmtId="38" fontId="7" fillId="0" borderId="19" xfId="0" applyNumberFormat="1" applyFont="1" applyBorder="1">
      <alignment vertical="center"/>
    </xf>
    <xf numFmtId="38" fontId="7" fillId="0" borderId="17" xfId="0" applyNumberFormat="1" applyFont="1" applyBorder="1">
      <alignment vertical="center"/>
    </xf>
    <xf numFmtId="38" fontId="12" fillId="2" borderId="18" xfId="0" applyNumberFormat="1" applyFont="1" applyFill="1" applyBorder="1">
      <alignment vertical="center"/>
    </xf>
    <xf numFmtId="40" fontId="3" fillId="0" borderId="20" xfId="0" applyNumberFormat="1" applyFont="1" applyBorder="1">
      <alignment vertical="center"/>
    </xf>
    <xf numFmtId="181" fontId="3" fillId="0" borderId="18" xfId="0" applyNumberFormat="1" applyFont="1" applyBorder="1">
      <alignment vertical="center"/>
    </xf>
    <xf numFmtId="180" fontId="3" fillId="3" borderId="18" xfId="0" applyNumberFormat="1" applyFont="1" applyFill="1" applyBorder="1">
      <alignment vertical="center"/>
    </xf>
    <xf numFmtId="38" fontId="3" fillId="0" borderId="18" xfId="0" applyNumberFormat="1" applyFont="1" applyBorder="1">
      <alignment vertical="center"/>
    </xf>
    <xf numFmtId="38" fontId="12" fillId="0" borderId="16" xfId="0" applyNumberFormat="1" applyFont="1" applyBorder="1">
      <alignment vertical="center"/>
    </xf>
    <xf numFmtId="180" fontId="3" fillId="0" borderId="21" xfId="0" applyNumberFormat="1" applyFont="1" applyBorder="1">
      <alignment vertical="center"/>
    </xf>
    <xf numFmtId="38" fontId="3" fillId="7" borderId="17" xfId="0" applyNumberFormat="1" applyFont="1" applyFill="1" applyBorder="1">
      <alignment vertical="center"/>
    </xf>
    <xf numFmtId="179" fontId="3" fillId="4" borderId="18" xfId="0" applyNumberFormat="1" applyFont="1" applyFill="1" applyBorder="1">
      <alignment vertical="center"/>
    </xf>
    <xf numFmtId="180" fontId="3" fillId="0" borderId="18" xfId="0" applyNumberFormat="1" applyFont="1" applyBorder="1">
      <alignment vertical="center"/>
    </xf>
    <xf numFmtId="38" fontId="3" fillId="3" borderId="16" xfId="0" applyNumberFormat="1" applyFont="1" applyFill="1" applyBorder="1">
      <alignment vertical="center"/>
    </xf>
    <xf numFmtId="38" fontId="12" fillId="0" borderId="17" xfId="0" applyNumberFormat="1" applyFont="1" applyBorder="1">
      <alignment vertical="center"/>
    </xf>
    <xf numFmtId="38" fontId="3" fillId="0" borderId="16" xfId="0" applyNumberFormat="1" applyFont="1" applyBorder="1">
      <alignment vertical="center"/>
    </xf>
    <xf numFmtId="38" fontId="7" fillId="0" borderId="16" xfId="0" applyNumberFormat="1" applyFont="1" applyBorder="1">
      <alignment vertical="center"/>
    </xf>
    <xf numFmtId="38" fontId="3" fillId="7" borderId="16" xfId="0" applyNumberFormat="1" applyFont="1" applyFill="1" applyBorder="1">
      <alignment vertical="center"/>
    </xf>
    <xf numFmtId="0" fontId="5" fillId="0" borderId="0" xfId="0" applyFont="1">
      <alignment vertical="center"/>
    </xf>
    <xf numFmtId="178" fontId="4" fillId="0" borderId="7" xfId="0" applyNumberFormat="1" applyFont="1" applyBorder="1">
      <alignment vertical="center"/>
    </xf>
    <xf numFmtId="180" fontId="3" fillId="0" borderId="22" xfId="0" applyNumberFormat="1" applyFont="1" applyBorder="1">
      <alignment vertical="center"/>
    </xf>
    <xf numFmtId="38" fontId="12" fillId="8" borderId="17" xfId="0" applyNumberFormat="1" applyFont="1" applyFill="1" applyBorder="1">
      <alignment vertical="center"/>
    </xf>
    <xf numFmtId="178" fontId="14" fillId="0" borderId="7" xfId="0" applyNumberFormat="1" applyFont="1" applyBorder="1">
      <alignment vertical="center"/>
    </xf>
    <xf numFmtId="178" fontId="13" fillId="0" borderId="7" xfId="0" applyNumberFormat="1" applyFont="1" applyBorder="1">
      <alignment vertical="center"/>
    </xf>
    <xf numFmtId="0" fontId="6" fillId="0" borderId="0" xfId="0" applyFont="1">
      <alignment vertical="center"/>
    </xf>
    <xf numFmtId="38" fontId="7" fillId="8" borderId="17" xfId="0" applyNumberFormat="1" applyFont="1" applyFill="1" applyBorder="1">
      <alignment vertical="center"/>
    </xf>
    <xf numFmtId="38" fontId="7" fillId="0" borderId="26" xfId="0" applyNumberFormat="1" applyFont="1" applyBorder="1" applyAlignment="1">
      <alignment shrinkToFit="1"/>
    </xf>
    <xf numFmtId="38" fontId="7" fillId="0" borderId="27" xfId="0" applyNumberFormat="1" applyFont="1" applyBorder="1" applyAlignment="1">
      <alignment horizontal="center"/>
    </xf>
    <xf numFmtId="0" fontId="7" fillId="0" borderId="0" xfId="0" applyFont="1" applyAlignment="1">
      <alignment shrinkToFit="1"/>
    </xf>
    <xf numFmtId="0" fontId="3" fillId="0" borderId="0" xfId="0" applyFont="1" applyAlignment="1">
      <alignment shrinkToFit="1"/>
    </xf>
    <xf numFmtId="0" fontId="3" fillId="0" borderId="28" xfId="0" applyFont="1" applyBorder="1" applyAlignment="1">
      <alignment shrinkToFit="1"/>
    </xf>
    <xf numFmtId="38" fontId="7" fillId="9" borderId="0" xfId="0" applyNumberFormat="1" applyFont="1" applyFill="1" applyAlignment="1">
      <alignment horizontal="right"/>
    </xf>
    <xf numFmtId="38" fontId="7" fillId="9" borderId="0" xfId="0" applyNumberFormat="1" applyFont="1" applyFill="1" applyAlignment="1"/>
    <xf numFmtId="0" fontId="19" fillId="0" borderId="0" xfId="0" applyFont="1" applyAlignment="1">
      <alignment vertical="center" shrinkToFit="1"/>
    </xf>
    <xf numFmtId="0" fontId="3" fillId="0" borderId="0" xfId="0" applyFont="1" applyAlignment="1">
      <alignment horizontal="left" vertical="center" shrinkToFit="1"/>
    </xf>
    <xf numFmtId="0" fontId="5" fillId="0" borderId="0" xfId="0" applyFont="1" applyAlignment="1">
      <alignment shrinkToFit="1"/>
    </xf>
    <xf numFmtId="0" fontId="5" fillId="0" borderId="0" xfId="0" applyFont="1" applyAlignment="1">
      <alignment horizontal="center"/>
    </xf>
    <xf numFmtId="178" fontId="23" fillId="0" borderId="17" xfId="0" applyNumberFormat="1" applyFont="1" applyBorder="1">
      <alignment vertical="center"/>
    </xf>
    <xf numFmtId="178" fontId="23" fillId="0" borderId="7" xfId="0" applyNumberFormat="1" applyFont="1" applyBorder="1">
      <alignment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78" fontId="13" fillId="0" borderId="17" xfId="0" applyNumberFormat="1" applyFont="1" applyBorder="1">
      <alignment vertical="center"/>
    </xf>
    <xf numFmtId="38" fontId="7" fillId="0" borderId="33" xfId="0" applyNumberFormat="1" applyFont="1" applyBorder="1" applyAlignment="1"/>
    <xf numFmtId="38" fontId="7" fillId="0" borderId="5" xfId="0" applyNumberFormat="1" applyFont="1" applyBorder="1" applyAlignment="1"/>
    <xf numFmtId="38" fontId="7" fillId="0" borderId="34" xfId="0" applyNumberFormat="1" applyFont="1" applyBorder="1" applyAlignment="1"/>
    <xf numFmtId="0" fontId="7" fillId="10" borderId="0" xfId="0" applyFont="1" applyFill="1" applyAlignment="1"/>
    <xf numFmtId="0" fontId="12" fillId="4" borderId="3" xfId="0" applyFont="1" applyFill="1" applyBorder="1" applyAlignment="1">
      <alignment horizontal="center" vertical="center" wrapText="1"/>
    </xf>
    <xf numFmtId="0" fontId="12" fillId="4" borderId="30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177" fontId="8" fillId="0" borderId="9" xfId="0" applyNumberFormat="1" applyFont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38" fontId="23" fillId="0" borderId="7" xfId="0" applyNumberFormat="1" applyFont="1" applyBorder="1" applyAlignment="1">
      <alignment vertical="center" shrinkToFit="1"/>
    </xf>
    <xf numFmtId="178" fontId="24" fillId="0" borderId="7" xfId="0" applyNumberFormat="1" applyFont="1" applyBorder="1">
      <alignment vertical="center"/>
    </xf>
    <xf numFmtId="38" fontId="4" fillId="0" borderId="7" xfId="0" applyNumberFormat="1" applyFont="1" applyBorder="1" applyAlignment="1">
      <alignment vertical="center" shrinkToFit="1"/>
    </xf>
    <xf numFmtId="38" fontId="5" fillId="0" borderId="0" xfId="0" applyNumberFormat="1" applyFont="1">
      <alignment vertical="center"/>
    </xf>
    <xf numFmtId="190" fontId="7" fillId="5" borderId="0" xfId="0" applyNumberFormat="1" applyFont="1" applyFill="1" applyAlignment="1"/>
    <xf numFmtId="190" fontId="7" fillId="10" borderId="0" xfId="0" applyNumberFormat="1" applyFont="1" applyFill="1" applyAlignment="1"/>
    <xf numFmtId="38" fontId="7" fillId="10" borderId="16" xfId="0" applyNumberFormat="1" applyFont="1" applyFill="1" applyBorder="1">
      <alignment vertical="center"/>
    </xf>
    <xf numFmtId="0" fontId="5" fillId="0" borderId="16" xfId="0" applyFont="1" applyBorder="1" applyAlignment="1">
      <alignment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39</xdr:row>
      <xdr:rowOff>66675</xdr:rowOff>
    </xdr:from>
    <xdr:to>
      <xdr:col>10</xdr:col>
      <xdr:colOff>121324</xdr:colOff>
      <xdr:row>43</xdr:row>
      <xdr:rowOff>200025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626773-5159-7B43-B5CB-5665FB1F2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8800" y="9286875"/>
          <a:ext cx="3732357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238125</xdr:colOff>
      <xdr:row>39</xdr:row>
      <xdr:rowOff>66675</xdr:rowOff>
    </xdr:from>
    <xdr:to>
      <xdr:col>16</xdr:col>
      <xdr:colOff>493376</xdr:colOff>
      <xdr:row>45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5D5DA5D-57F7-CA43-9525-1EE88A5BE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8025" y="9286875"/>
          <a:ext cx="3231284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4F2B-43EB-4B47-A4A2-86B280E538A7}">
  <dimension ref="A1:AX999"/>
  <sheetViews>
    <sheetView zoomScale="150" zoomScaleNormal="395" workbookViewId="0">
      <selection sqref="A1:XFD1048576"/>
    </sheetView>
  </sheetViews>
  <sheetFormatPr baseColWidth="10" defaultColWidth="10.28515625" defaultRowHeight="15" customHeight="1"/>
  <cols>
    <col min="1" max="2" width="9.28515625" style="5" customWidth="1"/>
    <col min="3" max="3" width="13.28515625" style="172" customWidth="1"/>
    <col min="4" max="4" width="4.7109375" style="173" customWidth="1"/>
    <col min="5" max="5" width="3.42578125" style="5" customWidth="1"/>
    <col min="6" max="7" width="6.28515625" style="5" customWidth="1"/>
    <col min="8" max="8" width="9.7109375" style="5" customWidth="1"/>
    <col min="9" max="9" width="6.2851562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7" width="6.28515625" style="5" customWidth="1"/>
    <col min="18" max="18" width="9.57031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29" width="6.28515625" style="5" customWidth="1"/>
    <col min="30" max="30" width="7.85546875" style="5" bestFit="1" customWidth="1"/>
    <col min="31" max="31" width="6.28515625" style="5" customWidth="1"/>
    <col min="32" max="32" width="9.7109375" style="5" bestFit="1" customWidth="1"/>
    <col min="33" max="33" width="9.42578125" style="5" bestFit="1" customWidth="1"/>
    <col min="34" max="36" width="6.28515625" style="5" customWidth="1"/>
    <col min="37" max="37" width="11.28515625" style="5" customWidth="1"/>
    <col min="38" max="49" width="9.28515625" style="5" customWidth="1"/>
    <col min="50" max="16384" width="10.28515625" style="5"/>
  </cols>
  <sheetData>
    <row r="1" spans="1:50" ht="13.5" customHeight="1">
      <c r="A1" s="1" t="s">
        <v>0</v>
      </c>
      <c r="B1" s="2"/>
      <c r="C1" s="12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4"/>
    </row>
    <row r="2" spans="1:50" ht="13.5" customHeight="1">
      <c r="A2" s="124">
        <v>2025</v>
      </c>
      <c r="B2" s="125">
        <v>4</v>
      </c>
      <c r="C2" s="126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3"/>
      <c r="AU2" s="4"/>
      <c r="AV2" s="3"/>
      <c r="AW2" s="4"/>
    </row>
    <row r="3" spans="1:50" ht="33" customHeight="1">
      <c r="A3" s="6"/>
      <c r="B3" s="191" t="s">
        <v>2</v>
      </c>
      <c r="C3" s="127"/>
      <c r="D3" s="128"/>
      <c r="E3" s="188" t="s">
        <v>3</v>
      </c>
      <c r="F3" s="189"/>
      <c r="G3" s="189"/>
      <c r="H3" s="189"/>
      <c r="I3" s="189"/>
      <c r="J3" s="189"/>
      <c r="K3" s="189"/>
      <c r="L3" s="190"/>
      <c r="M3" s="185" t="s">
        <v>4</v>
      </c>
      <c r="N3" s="186"/>
      <c r="O3" s="186"/>
      <c r="P3" s="186"/>
      <c r="Q3" s="186"/>
      <c r="R3" s="186"/>
      <c r="S3" s="186"/>
      <c r="T3" s="187"/>
      <c r="U3" s="11" t="s">
        <v>5</v>
      </c>
      <c r="V3" s="176"/>
      <c r="W3" s="176"/>
      <c r="X3" s="176"/>
      <c r="Y3" s="177"/>
      <c r="Z3" s="14" t="s">
        <v>6</v>
      </c>
      <c r="AA3" s="183"/>
      <c r="AB3" s="183"/>
      <c r="AC3" s="183"/>
      <c r="AD3" s="183"/>
      <c r="AE3" s="183"/>
      <c r="AF3" s="183"/>
      <c r="AG3" s="184"/>
      <c r="AH3" s="11" t="s">
        <v>63</v>
      </c>
      <c r="AI3" s="176"/>
      <c r="AJ3" s="176"/>
      <c r="AK3" s="176"/>
      <c r="AL3" s="176"/>
      <c r="AM3" s="177"/>
      <c r="AN3" s="15" t="s">
        <v>7</v>
      </c>
      <c r="AO3" s="193"/>
      <c r="AP3" s="193"/>
      <c r="AQ3" s="193"/>
      <c r="AR3" s="193"/>
      <c r="AS3" s="193"/>
      <c r="AT3" s="193"/>
      <c r="AU3" s="194"/>
      <c r="AV3" s="3"/>
      <c r="AW3" s="4"/>
    </row>
    <row r="4" spans="1:50" ht="53.25" customHeight="1" thickBot="1">
      <c r="A4" s="6"/>
      <c r="B4" s="192"/>
      <c r="C4" s="131" t="s">
        <v>8</v>
      </c>
      <c r="D4" s="132" t="s">
        <v>60</v>
      </c>
      <c r="E4" s="19" t="s">
        <v>9</v>
      </c>
      <c r="F4" s="18" t="s">
        <v>10</v>
      </c>
      <c r="G4" s="17" t="s">
        <v>11</v>
      </c>
      <c r="H4" s="19" t="s">
        <v>12</v>
      </c>
      <c r="I4" s="17" t="s">
        <v>13</v>
      </c>
      <c r="J4" s="20" t="s">
        <v>14</v>
      </c>
      <c r="K4" s="18" t="s">
        <v>15</v>
      </c>
      <c r="L4" s="17" t="s">
        <v>16</v>
      </c>
      <c r="M4" s="17" t="s">
        <v>17</v>
      </c>
      <c r="N4" s="21" t="s">
        <v>10</v>
      </c>
      <c r="O4" s="17" t="s">
        <v>11</v>
      </c>
      <c r="P4" s="19" t="s">
        <v>12</v>
      </c>
      <c r="Q4" s="17" t="s">
        <v>13</v>
      </c>
      <c r="R4" s="20" t="s">
        <v>14</v>
      </c>
      <c r="S4" s="18" t="s">
        <v>15</v>
      </c>
      <c r="T4" s="22" t="s">
        <v>16</v>
      </c>
      <c r="U4" s="23" t="s">
        <v>18</v>
      </c>
      <c r="V4" s="24" t="s">
        <v>19</v>
      </c>
      <c r="W4" s="24" t="s">
        <v>20</v>
      </c>
      <c r="X4" s="25" t="s">
        <v>21</v>
      </c>
      <c r="Y4" s="24"/>
      <c r="Z4" s="26" t="s">
        <v>22</v>
      </c>
      <c r="AA4" s="27" t="s">
        <v>10</v>
      </c>
      <c r="AB4" s="17" t="s">
        <v>19</v>
      </c>
      <c r="AC4" s="19" t="s">
        <v>23</v>
      </c>
      <c r="AD4" s="17" t="s">
        <v>20</v>
      </c>
      <c r="AE4" s="20" t="s">
        <v>24</v>
      </c>
      <c r="AF4" s="21" t="s">
        <v>25</v>
      </c>
      <c r="AG4" s="28" t="s">
        <v>16</v>
      </c>
      <c r="AH4" s="23" t="s">
        <v>18</v>
      </c>
      <c r="AI4" s="24" t="s">
        <v>19</v>
      </c>
      <c r="AJ4" s="24" t="s">
        <v>20</v>
      </c>
      <c r="AK4" s="25" t="s">
        <v>21</v>
      </c>
      <c r="AL4" s="24" t="s">
        <v>64</v>
      </c>
      <c r="AM4" s="24" t="s">
        <v>65</v>
      </c>
      <c r="AN4" s="29" t="s">
        <v>26</v>
      </c>
      <c r="AO4" s="29" t="s">
        <v>27</v>
      </c>
      <c r="AP4" s="29" t="s">
        <v>28</v>
      </c>
      <c r="AQ4" s="29" t="s">
        <v>29</v>
      </c>
      <c r="AR4" s="29" t="s">
        <v>30</v>
      </c>
      <c r="AS4" s="29" t="s">
        <v>31</v>
      </c>
      <c r="AT4" s="29" t="s">
        <v>32</v>
      </c>
      <c r="AU4" s="30" t="s">
        <v>33</v>
      </c>
      <c r="AV4" s="3"/>
      <c r="AW4" s="4"/>
    </row>
    <row r="5" spans="1:50" ht="13.5" customHeight="1" thickTop="1">
      <c r="A5" s="121"/>
      <c r="B5" s="174">
        <f>DATE($A$2,$B$2,1)</f>
        <v>45748</v>
      </c>
      <c r="C5" s="203" t="s">
        <v>56</v>
      </c>
      <c r="D5" s="134"/>
      <c r="E5" s="135"/>
      <c r="F5" s="136"/>
      <c r="G5" s="137"/>
      <c r="H5" s="138" t="e">
        <f t="shared" ref="H5:H29" si="0">ROUNDDOWN(G5/1.1,0)/F5</f>
        <v>#DIV/0!</v>
      </c>
      <c r="I5" s="137"/>
      <c r="J5" s="139" t="e">
        <f t="shared" ref="J5:J29" si="1">ROUNDDOWN(I5/1.1,0)/F5</f>
        <v>#DIV/0!</v>
      </c>
      <c r="K5" s="140">
        <f t="shared" ref="K5:K31" si="2">G5+I5</f>
        <v>0</v>
      </c>
      <c r="L5" s="141" t="str">
        <f t="shared" ref="L5:L29" si="3">IF(F5="","",K5/F5)</f>
        <v/>
      </c>
      <c r="M5" s="142"/>
      <c r="N5" s="143">
        <f>AN5-F5</f>
        <v>0</v>
      </c>
      <c r="O5" s="144">
        <f>AO5-G5</f>
        <v>0</v>
      </c>
      <c r="P5" s="138" t="e">
        <f t="shared" ref="P5:P31" si="4">ROUNDDOWN(O5/1.1,0)/N5</f>
        <v>#DIV/0!</v>
      </c>
      <c r="Q5" s="144">
        <f>AP5-I5</f>
        <v>0</v>
      </c>
      <c r="R5" s="139" t="e">
        <f t="shared" ref="R5:R31" si="5">ROUNDDOWN(Q5/1.1,0)/N5</f>
        <v>#DIV/0!</v>
      </c>
      <c r="S5" s="145">
        <f>O5+Q5</f>
        <v>0</v>
      </c>
      <c r="T5" s="141" t="e">
        <f t="shared" ref="T5:T31" si="6">IF(N5="","",S5/N5)</f>
        <v>#DIV/0!</v>
      </c>
      <c r="U5" s="146">
        <f t="shared" ref="U5:V20" si="7">F5+N5</f>
        <v>0</v>
      </c>
      <c r="V5" s="144">
        <f t="shared" si="7"/>
        <v>0</v>
      </c>
      <c r="W5" s="144">
        <f t="shared" ref="W5:W31" si="8">I5+Q5</f>
        <v>0</v>
      </c>
      <c r="X5" s="147">
        <f>K5+S5</f>
        <v>0</v>
      </c>
      <c r="Y5" s="144" t="e">
        <f t="shared" ref="Y5:Y31" si="9">IF(U5="","",X5/U5)</f>
        <v>#DIV/0!</v>
      </c>
      <c r="Z5" s="148"/>
      <c r="AA5" s="149"/>
      <c r="AB5" s="137"/>
      <c r="AC5" s="138" t="e">
        <f t="shared" ref="AC5:AC31" si="10">AB5/AA5</f>
        <v>#DIV/0!</v>
      </c>
      <c r="AD5" s="137"/>
      <c r="AE5" s="139" t="e">
        <f t="shared" ref="AE5:AE31" si="11">AD5/AA5</f>
        <v>#DIV/0!</v>
      </c>
      <c r="AF5" s="150">
        <f>AB5+AD5</f>
        <v>0</v>
      </c>
      <c r="AG5" s="141" t="str">
        <f t="shared" ref="AG5:AG31" si="12">IF(AA5="","",AF5/AA5)</f>
        <v/>
      </c>
      <c r="AH5" s="146">
        <f t="shared" ref="AH5:AH31" si="13">SUM(F5,N5)</f>
        <v>0</v>
      </c>
      <c r="AI5" s="144">
        <f t="shared" ref="AI5:AI31" si="14">V5+AB5</f>
        <v>0</v>
      </c>
      <c r="AJ5" s="144">
        <f t="shared" ref="AJ5:AJ31" si="15">W5+AD5</f>
        <v>0</v>
      </c>
      <c r="AK5" s="151">
        <f>X5+AF5</f>
        <v>0</v>
      </c>
      <c r="AL5" s="144">
        <f t="shared" ref="AL5:AL31" si="16">AQ5+AR5+AS5</f>
        <v>0</v>
      </c>
      <c r="AM5" s="144"/>
      <c r="AN5" s="152"/>
      <c r="AO5" s="152"/>
      <c r="AP5" s="152"/>
      <c r="AQ5" s="153"/>
      <c r="AR5" s="153"/>
      <c r="AS5" s="153"/>
      <c r="AT5" s="153"/>
      <c r="AU5" s="154">
        <f>SUM(AO5:AS5)</f>
        <v>0</v>
      </c>
      <c r="AV5" s="121">
        <v>1</v>
      </c>
      <c r="AW5" s="122">
        <f>AT5+AU5</f>
        <v>0</v>
      </c>
      <c r="AX5" s="155"/>
    </row>
    <row r="6" spans="1:50" ht="13.5" customHeight="1">
      <c r="A6" s="121"/>
      <c r="B6" s="175">
        <f t="shared" ref="B6:B34" si="17">B5+1</f>
        <v>45749</v>
      </c>
      <c r="C6" s="203" t="s">
        <v>56</v>
      </c>
      <c r="D6" s="134"/>
      <c r="E6" s="135"/>
      <c r="F6" s="136"/>
      <c r="G6" s="137"/>
      <c r="H6" s="138" t="e">
        <f t="shared" si="0"/>
        <v>#DIV/0!</v>
      </c>
      <c r="I6" s="137"/>
      <c r="J6" s="139" t="e">
        <f t="shared" si="1"/>
        <v>#DIV/0!</v>
      </c>
      <c r="K6" s="140">
        <f t="shared" si="2"/>
        <v>0</v>
      </c>
      <c r="L6" s="141" t="str">
        <f t="shared" si="3"/>
        <v/>
      </c>
      <c r="M6" s="142"/>
      <c r="N6" s="143">
        <f t="shared" ref="N6:O21" si="18">AN6-F6</f>
        <v>0</v>
      </c>
      <c r="O6" s="144">
        <f t="shared" si="18"/>
        <v>0</v>
      </c>
      <c r="P6" s="138" t="e">
        <f t="shared" si="4"/>
        <v>#DIV/0!</v>
      </c>
      <c r="Q6" s="144">
        <f t="shared" ref="Q6:Q31" si="19">AP6-I6</f>
        <v>0</v>
      </c>
      <c r="R6" s="139" t="e">
        <f t="shared" si="5"/>
        <v>#DIV/0!</v>
      </c>
      <c r="S6" s="145">
        <f t="shared" ref="S6:S31" si="20">O6+Q6</f>
        <v>0</v>
      </c>
      <c r="T6" s="141" t="e">
        <f t="shared" si="6"/>
        <v>#DIV/0!</v>
      </c>
      <c r="U6" s="146">
        <f t="shared" si="7"/>
        <v>0</v>
      </c>
      <c r="V6" s="144">
        <f t="shared" si="7"/>
        <v>0</v>
      </c>
      <c r="W6" s="144">
        <f t="shared" si="8"/>
        <v>0</v>
      </c>
      <c r="X6" s="147">
        <f t="shared" ref="X6:X31" si="21">K6+S6</f>
        <v>0</v>
      </c>
      <c r="Y6" s="144" t="e">
        <f t="shared" si="9"/>
        <v>#DIV/0!</v>
      </c>
      <c r="Z6" s="148"/>
      <c r="AA6" s="149"/>
      <c r="AB6" s="137"/>
      <c r="AC6" s="138" t="e">
        <f t="shared" si="10"/>
        <v>#DIV/0!</v>
      </c>
      <c r="AD6" s="137"/>
      <c r="AE6" s="139" t="e">
        <f t="shared" si="11"/>
        <v>#DIV/0!</v>
      </c>
      <c r="AF6" s="150">
        <f t="shared" ref="AF6:AF31" si="22">AB6+AD6</f>
        <v>0</v>
      </c>
      <c r="AG6" s="141" t="str">
        <f t="shared" si="12"/>
        <v/>
      </c>
      <c r="AH6" s="146">
        <f t="shared" si="13"/>
        <v>0</v>
      </c>
      <c r="AI6" s="144">
        <f t="shared" si="14"/>
        <v>0</v>
      </c>
      <c r="AJ6" s="144">
        <f t="shared" si="15"/>
        <v>0</v>
      </c>
      <c r="AK6" s="151">
        <f t="shared" ref="AK6:AK31" si="23">X6+AF6</f>
        <v>0</v>
      </c>
      <c r="AL6" s="144">
        <f t="shared" si="16"/>
        <v>0</v>
      </c>
      <c r="AM6" s="144"/>
      <c r="AN6" s="152"/>
      <c r="AO6" s="152"/>
      <c r="AP6" s="152"/>
      <c r="AQ6" s="153"/>
      <c r="AR6" s="153"/>
      <c r="AS6" s="153"/>
      <c r="AT6" s="153"/>
      <c r="AU6" s="154">
        <f t="shared" ref="AU6:AU31" si="24">SUM(AO6:AS6)</f>
        <v>0</v>
      </c>
      <c r="AV6" s="121">
        <v>2</v>
      </c>
      <c r="AW6" s="122">
        <f t="shared" ref="AW6:AW31" si="25">AT6+AU6</f>
        <v>0</v>
      </c>
      <c r="AX6" s="155"/>
    </row>
    <row r="7" spans="1:50" ht="13.5" customHeight="1">
      <c r="A7" s="121"/>
      <c r="B7" s="175">
        <f t="shared" si="17"/>
        <v>45750</v>
      </c>
      <c r="C7" s="203" t="s">
        <v>56</v>
      </c>
      <c r="D7" s="134"/>
      <c r="E7" s="135"/>
      <c r="F7" s="136"/>
      <c r="G7" s="137"/>
      <c r="H7" s="138" t="e">
        <f t="shared" si="0"/>
        <v>#DIV/0!</v>
      </c>
      <c r="I7" s="137"/>
      <c r="J7" s="139" t="e">
        <f t="shared" si="1"/>
        <v>#DIV/0!</v>
      </c>
      <c r="K7" s="140">
        <f t="shared" si="2"/>
        <v>0</v>
      </c>
      <c r="L7" s="141" t="str">
        <f t="shared" si="3"/>
        <v/>
      </c>
      <c r="M7" s="142"/>
      <c r="N7" s="143">
        <f t="shared" si="18"/>
        <v>0</v>
      </c>
      <c r="O7" s="144">
        <f t="shared" si="18"/>
        <v>0</v>
      </c>
      <c r="P7" s="138" t="e">
        <f t="shared" si="4"/>
        <v>#DIV/0!</v>
      </c>
      <c r="Q7" s="144">
        <f t="shared" si="19"/>
        <v>0</v>
      </c>
      <c r="R7" s="139" t="e">
        <f t="shared" si="5"/>
        <v>#DIV/0!</v>
      </c>
      <c r="S7" s="145">
        <f t="shared" si="20"/>
        <v>0</v>
      </c>
      <c r="T7" s="141" t="e">
        <f t="shared" si="6"/>
        <v>#DIV/0!</v>
      </c>
      <c r="U7" s="146">
        <f t="shared" si="7"/>
        <v>0</v>
      </c>
      <c r="V7" s="144">
        <f t="shared" si="7"/>
        <v>0</v>
      </c>
      <c r="W7" s="144">
        <f t="shared" si="8"/>
        <v>0</v>
      </c>
      <c r="X7" s="147">
        <f t="shared" si="21"/>
        <v>0</v>
      </c>
      <c r="Y7" s="144" t="e">
        <f t="shared" si="9"/>
        <v>#DIV/0!</v>
      </c>
      <c r="Z7" s="148"/>
      <c r="AA7" s="149"/>
      <c r="AB7" s="137"/>
      <c r="AC7" s="138" t="e">
        <f t="shared" si="10"/>
        <v>#DIV/0!</v>
      </c>
      <c r="AD7" s="137"/>
      <c r="AE7" s="139" t="e">
        <f t="shared" si="11"/>
        <v>#DIV/0!</v>
      </c>
      <c r="AF7" s="150">
        <f t="shared" si="22"/>
        <v>0</v>
      </c>
      <c r="AG7" s="141" t="str">
        <f t="shared" si="12"/>
        <v/>
      </c>
      <c r="AH7" s="146">
        <f t="shared" si="13"/>
        <v>0</v>
      </c>
      <c r="AI7" s="144">
        <f t="shared" si="14"/>
        <v>0</v>
      </c>
      <c r="AJ7" s="144">
        <f t="shared" si="15"/>
        <v>0</v>
      </c>
      <c r="AK7" s="151">
        <f t="shared" si="23"/>
        <v>0</v>
      </c>
      <c r="AL7" s="144">
        <f t="shared" si="16"/>
        <v>0</v>
      </c>
      <c r="AM7" s="144"/>
      <c r="AN7" s="152"/>
      <c r="AO7" s="152"/>
      <c r="AP7" s="152"/>
      <c r="AQ7" s="153"/>
      <c r="AR7" s="153"/>
      <c r="AS7" s="153"/>
      <c r="AT7" s="153"/>
      <c r="AU7" s="154">
        <f t="shared" si="24"/>
        <v>0</v>
      </c>
      <c r="AV7" s="121">
        <v>3</v>
      </c>
      <c r="AW7" s="122">
        <f t="shared" si="25"/>
        <v>0</v>
      </c>
      <c r="AX7" s="155"/>
    </row>
    <row r="8" spans="1:50" ht="13.5" customHeight="1">
      <c r="A8" s="121"/>
      <c r="B8" s="175">
        <f t="shared" si="17"/>
        <v>45751</v>
      </c>
      <c r="C8" s="203" t="s">
        <v>56</v>
      </c>
      <c r="D8" s="134"/>
      <c r="E8" s="135"/>
      <c r="F8" s="136"/>
      <c r="G8" s="137"/>
      <c r="H8" s="138" t="e">
        <f t="shared" si="0"/>
        <v>#DIV/0!</v>
      </c>
      <c r="I8" s="137"/>
      <c r="J8" s="139" t="e">
        <f t="shared" si="1"/>
        <v>#DIV/0!</v>
      </c>
      <c r="K8" s="140">
        <f t="shared" si="2"/>
        <v>0</v>
      </c>
      <c r="L8" s="141" t="str">
        <f t="shared" si="3"/>
        <v/>
      </c>
      <c r="M8" s="142"/>
      <c r="N8" s="143">
        <f t="shared" si="18"/>
        <v>0</v>
      </c>
      <c r="O8" s="144">
        <f t="shared" si="18"/>
        <v>0</v>
      </c>
      <c r="P8" s="138" t="e">
        <f t="shared" si="4"/>
        <v>#DIV/0!</v>
      </c>
      <c r="Q8" s="144">
        <f t="shared" si="19"/>
        <v>0</v>
      </c>
      <c r="R8" s="139" t="e">
        <f t="shared" si="5"/>
        <v>#DIV/0!</v>
      </c>
      <c r="S8" s="145">
        <f t="shared" si="20"/>
        <v>0</v>
      </c>
      <c r="T8" s="141" t="e">
        <f t="shared" si="6"/>
        <v>#DIV/0!</v>
      </c>
      <c r="U8" s="146">
        <f t="shared" si="7"/>
        <v>0</v>
      </c>
      <c r="V8" s="144">
        <f t="shared" si="7"/>
        <v>0</v>
      </c>
      <c r="W8" s="144">
        <f t="shared" si="8"/>
        <v>0</v>
      </c>
      <c r="X8" s="147">
        <f t="shared" si="21"/>
        <v>0</v>
      </c>
      <c r="Y8" s="144" t="e">
        <f t="shared" si="9"/>
        <v>#DIV/0!</v>
      </c>
      <c r="Z8" s="148"/>
      <c r="AA8" s="149"/>
      <c r="AB8" s="137"/>
      <c r="AC8" s="138" t="e">
        <f t="shared" si="10"/>
        <v>#DIV/0!</v>
      </c>
      <c r="AD8" s="137"/>
      <c r="AE8" s="139" t="e">
        <f t="shared" si="11"/>
        <v>#DIV/0!</v>
      </c>
      <c r="AF8" s="150">
        <f t="shared" si="22"/>
        <v>0</v>
      </c>
      <c r="AG8" s="141" t="str">
        <f t="shared" si="12"/>
        <v/>
      </c>
      <c r="AH8" s="146">
        <f t="shared" si="13"/>
        <v>0</v>
      </c>
      <c r="AI8" s="144">
        <f t="shared" si="14"/>
        <v>0</v>
      </c>
      <c r="AJ8" s="144">
        <f t="shared" si="15"/>
        <v>0</v>
      </c>
      <c r="AK8" s="158">
        <f t="shared" si="23"/>
        <v>0</v>
      </c>
      <c r="AL8" s="144">
        <f t="shared" si="16"/>
        <v>0</v>
      </c>
      <c r="AM8" s="144"/>
      <c r="AN8" s="152"/>
      <c r="AO8" s="152"/>
      <c r="AP8" s="152"/>
      <c r="AQ8" s="153"/>
      <c r="AR8" s="153"/>
      <c r="AS8" s="153"/>
      <c r="AT8" s="153"/>
      <c r="AU8" s="154">
        <f t="shared" si="24"/>
        <v>0</v>
      </c>
      <c r="AV8" s="121">
        <v>4</v>
      </c>
      <c r="AW8" s="122">
        <f t="shared" si="25"/>
        <v>0</v>
      </c>
      <c r="AX8" s="155"/>
    </row>
    <row r="9" spans="1:50" ht="13.5" customHeight="1">
      <c r="A9" s="121"/>
      <c r="B9" s="204">
        <f t="shared" si="17"/>
        <v>45752</v>
      </c>
      <c r="C9" s="203" t="s">
        <v>56</v>
      </c>
      <c r="D9" s="134"/>
      <c r="E9" s="135"/>
      <c r="F9" s="136"/>
      <c r="G9" s="137"/>
      <c r="H9" s="138" t="e">
        <f t="shared" si="0"/>
        <v>#DIV/0!</v>
      </c>
      <c r="I9" s="137"/>
      <c r="J9" s="139" t="e">
        <f t="shared" si="1"/>
        <v>#DIV/0!</v>
      </c>
      <c r="K9" s="140">
        <f t="shared" si="2"/>
        <v>0</v>
      </c>
      <c r="L9" s="141" t="str">
        <f t="shared" si="3"/>
        <v/>
      </c>
      <c r="M9" s="142"/>
      <c r="N9" s="143">
        <f t="shared" si="18"/>
        <v>0</v>
      </c>
      <c r="O9" s="144">
        <f t="shared" si="18"/>
        <v>0</v>
      </c>
      <c r="P9" s="138" t="e">
        <f t="shared" si="4"/>
        <v>#DIV/0!</v>
      </c>
      <c r="Q9" s="144">
        <f t="shared" si="19"/>
        <v>0</v>
      </c>
      <c r="R9" s="139" t="e">
        <f t="shared" si="5"/>
        <v>#DIV/0!</v>
      </c>
      <c r="S9" s="145">
        <f t="shared" si="20"/>
        <v>0</v>
      </c>
      <c r="T9" s="141" t="e">
        <f t="shared" si="6"/>
        <v>#DIV/0!</v>
      </c>
      <c r="U9" s="146">
        <f t="shared" si="7"/>
        <v>0</v>
      </c>
      <c r="V9" s="144">
        <f t="shared" si="7"/>
        <v>0</v>
      </c>
      <c r="W9" s="144">
        <f t="shared" si="8"/>
        <v>0</v>
      </c>
      <c r="X9" s="147">
        <f t="shared" si="21"/>
        <v>0</v>
      </c>
      <c r="Y9" s="144" t="e">
        <f t="shared" si="9"/>
        <v>#DIV/0!</v>
      </c>
      <c r="Z9" s="148"/>
      <c r="AA9" s="149"/>
      <c r="AB9" s="137"/>
      <c r="AC9" s="138" t="e">
        <f t="shared" si="10"/>
        <v>#DIV/0!</v>
      </c>
      <c r="AD9" s="137"/>
      <c r="AE9" s="139" t="e">
        <f t="shared" si="11"/>
        <v>#DIV/0!</v>
      </c>
      <c r="AF9" s="150">
        <f t="shared" si="22"/>
        <v>0</v>
      </c>
      <c r="AG9" s="141" t="str">
        <f t="shared" si="12"/>
        <v/>
      </c>
      <c r="AH9" s="146">
        <f t="shared" si="13"/>
        <v>0</v>
      </c>
      <c r="AI9" s="144">
        <f t="shared" si="14"/>
        <v>0</v>
      </c>
      <c r="AJ9" s="144">
        <f t="shared" si="15"/>
        <v>0</v>
      </c>
      <c r="AK9" s="151">
        <f t="shared" si="23"/>
        <v>0</v>
      </c>
      <c r="AL9" s="144">
        <f t="shared" si="16"/>
        <v>0</v>
      </c>
      <c r="AM9" s="144"/>
      <c r="AN9" s="152"/>
      <c r="AO9" s="152"/>
      <c r="AP9" s="152"/>
      <c r="AQ9" s="153"/>
      <c r="AR9" s="153"/>
      <c r="AS9" s="153"/>
      <c r="AT9" s="153"/>
      <c r="AU9" s="154">
        <f t="shared" si="24"/>
        <v>0</v>
      </c>
      <c r="AV9" s="121">
        <v>5</v>
      </c>
      <c r="AW9" s="122">
        <f t="shared" si="25"/>
        <v>0</v>
      </c>
      <c r="AX9" s="155"/>
    </row>
    <row r="10" spans="1:50" ht="13.5" customHeight="1">
      <c r="A10" s="121"/>
      <c r="B10" s="160">
        <f t="shared" si="17"/>
        <v>45753</v>
      </c>
      <c r="C10" s="203" t="s">
        <v>56</v>
      </c>
      <c r="D10" s="134"/>
      <c r="E10" s="135"/>
      <c r="F10" s="136"/>
      <c r="G10" s="137"/>
      <c r="H10" s="138" t="e">
        <f t="shared" si="0"/>
        <v>#DIV/0!</v>
      </c>
      <c r="I10" s="137"/>
      <c r="J10" s="139" t="e">
        <f t="shared" si="1"/>
        <v>#DIV/0!</v>
      </c>
      <c r="K10" s="140">
        <f t="shared" si="2"/>
        <v>0</v>
      </c>
      <c r="L10" s="141" t="str">
        <f t="shared" si="3"/>
        <v/>
      </c>
      <c r="M10" s="142"/>
      <c r="N10" s="143">
        <f t="shared" si="18"/>
        <v>0</v>
      </c>
      <c r="O10" s="144">
        <f t="shared" si="18"/>
        <v>0</v>
      </c>
      <c r="P10" s="138" t="e">
        <f t="shared" si="4"/>
        <v>#DIV/0!</v>
      </c>
      <c r="Q10" s="144">
        <f t="shared" si="19"/>
        <v>0</v>
      </c>
      <c r="R10" s="139" t="e">
        <f t="shared" si="5"/>
        <v>#DIV/0!</v>
      </c>
      <c r="S10" s="145">
        <f t="shared" si="20"/>
        <v>0</v>
      </c>
      <c r="T10" s="141" t="e">
        <f t="shared" si="6"/>
        <v>#DIV/0!</v>
      </c>
      <c r="U10" s="146">
        <f t="shared" si="7"/>
        <v>0</v>
      </c>
      <c r="V10" s="144">
        <f t="shared" si="7"/>
        <v>0</v>
      </c>
      <c r="W10" s="144">
        <f t="shared" si="8"/>
        <v>0</v>
      </c>
      <c r="X10" s="147">
        <f t="shared" si="21"/>
        <v>0</v>
      </c>
      <c r="Y10" s="144" t="e">
        <f t="shared" si="9"/>
        <v>#DIV/0!</v>
      </c>
      <c r="Z10" s="148"/>
      <c r="AA10" s="149"/>
      <c r="AB10" s="137"/>
      <c r="AC10" s="138" t="e">
        <f t="shared" si="10"/>
        <v>#DIV/0!</v>
      </c>
      <c r="AD10" s="137"/>
      <c r="AE10" s="139" t="e">
        <f t="shared" si="11"/>
        <v>#DIV/0!</v>
      </c>
      <c r="AF10" s="150">
        <f t="shared" si="22"/>
        <v>0</v>
      </c>
      <c r="AG10" s="141" t="str">
        <f t="shared" si="12"/>
        <v/>
      </c>
      <c r="AH10" s="157">
        <f t="shared" si="13"/>
        <v>0</v>
      </c>
      <c r="AI10" s="144">
        <f t="shared" si="14"/>
        <v>0</v>
      </c>
      <c r="AJ10" s="144">
        <f t="shared" si="15"/>
        <v>0</v>
      </c>
      <c r="AK10" s="151">
        <f t="shared" si="23"/>
        <v>0</v>
      </c>
      <c r="AL10" s="144">
        <f t="shared" si="16"/>
        <v>0</v>
      </c>
      <c r="AM10" s="144"/>
      <c r="AN10" s="152"/>
      <c r="AO10" s="152"/>
      <c r="AP10" s="152"/>
      <c r="AQ10" s="153"/>
      <c r="AR10" s="153"/>
      <c r="AS10" s="153"/>
      <c r="AT10" s="153"/>
      <c r="AU10" s="154">
        <f t="shared" si="24"/>
        <v>0</v>
      </c>
      <c r="AV10" s="121">
        <v>6</v>
      </c>
      <c r="AW10" s="122">
        <f t="shared" si="25"/>
        <v>0</v>
      </c>
      <c r="AX10" s="155"/>
    </row>
    <row r="11" spans="1:50" ht="13.5" customHeight="1">
      <c r="A11" s="121"/>
      <c r="B11" s="175">
        <f t="shared" si="17"/>
        <v>45754</v>
      </c>
      <c r="C11" s="203" t="s">
        <v>56</v>
      </c>
      <c r="D11" s="134"/>
      <c r="E11" s="135"/>
      <c r="F11" s="136"/>
      <c r="G11" s="137"/>
      <c r="H11" s="138" t="e">
        <f t="shared" si="0"/>
        <v>#DIV/0!</v>
      </c>
      <c r="I11" s="137"/>
      <c r="J11" s="139" t="e">
        <f t="shared" si="1"/>
        <v>#DIV/0!</v>
      </c>
      <c r="K11" s="140">
        <f t="shared" si="2"/>
        <v>0</v>
      </c>
      <c r="L11" s="141" t="str">
        <f t="shared" si="3"/>
        <v/>
      </c>
      <c r="M11" s="142"/>
      <c r="N11" s="143">
        <f t="shared" si="18"/>
        <v>0</v>
      </c>
      <c r="O11" s="144">
        <f t="shared" si="18"/>
        <v>0</v>
      </c>
      <c r="P11" s="138" t="e">
        <f t="shared" si="4"/>
        <v>#DIV/0!</v>
      </c>
      <c r="Q11" s="144">
        <f t="shared" si="19"/>
        <v>0</v>
      </c>
      <c r="R11" s="139" t="e">
        <f t="shared" si="5"/>
        <v>#DIV/0!</v>
      </c>
      <c r="S11" s="145">
        <f t="shared" si="20"/>
        <v>0</v>
      </c>
      <c r="T11" s="141" t="e">
        <f t="shared" si="6"/>
        <v>#DIV/0!</v>
      </c>
      <c r="U11" s="146">
        <f t="shared" si="7"/>
        <v>0</v>
      </c>
      <c r="V11" s="144">
        <f t="shared" si="7"/>
        <v>0</v>
      </c>
      <c r="W11" s="144">
        <f t="shared" si="8"/>
        <v>0</v>
      </c>
      <c r="X11" s="147">
        <f t="shared" si="21"/>
        <v>0</v>
      </c>
      <c r="Y11" s="144" t="e">
        <f t="shared" si="9"/>
        <v>#DIV/0!</v>
      </c>
      <c r="Z11" s="148"/>
      <c r="AA11" s="149"/>
      <c r="AB11" s="137"/>
      <c r="AC11" s="138" t="e">
        <f t="shared" si="10"/>
        <v>#DIV/0!</v>
      </c>
      <c r="AD11" s="137"/>
      <c r="AE11" s="139" t="e">
        <f t="shared" si="11"/>
        <v>#DIV/0!</v>
      </c>
      <c r="AF11" s="150">
        <f t="shared" si="22"/>
        <v>0</v>
      </c>
      <c r="AG11" s="141" t="str">
        <f t="shared" si="12"/>
        <v/>
      </c>
      <c r="AH11" s="157">
        <f t="shared" si="13"/>
        <v>0</v>
      </c>
      <c r="AI11" s="144">
        <f t="shared" si="14"/>
        <v>0</v>
      </c>
      <c r="AJ11" s="144">
        <f t="shared" si="15"/>
        <v>0</v>
      </c>
      <c r="AK11" s="151">
        <f t="shared" si="23"/>
        <v>0</v>
      </c>
      <c r="AL11" s="144">
        <f t="shared" si="16"/>
        <v>0</v>
      </c>
      <c r="AM11" s="144"/>
      <c r="AN11" s="152"/>
      <c r="AO11" s="152"/>
      <c r="AP11" s="152"/>
      <c r="AQ11" s="153"/>
      <c r="AR11" s="153"/>
      <c r="AS11" s="153"/>
      <c r="AT11" s="153"/>
      <c r="AU11" s="154">
        <f t="shared" si="24"/>
        <v>0</v>
      </c>
      <c r="AV11" s="121">
        <v>7</v>
      </c>
      <c r="AW11" s="122">
        <f t="shared" si="25"/>
        <v>0</v>
      </c>
      <c r="AX11" s="161"/>
    </row>
    <row r="12" spans="1:50" ht="13.5" customHeight="1">
      <c r="A12" s="121"/>
      <c r="B12" s="175">
        <f t="shared" si="17"/>
        <v>45755</v>
      </c>
      <c r="C12" s="203" t="s">
        <v>56</v>
      </c>
      <c r="D12" s="134"/>
      <c r="E12" s="135"/>
      <c r="F12" s="136"/>
      <c r="G12" s="137"/>
      <c r="H12" s="138" t="e">
        <f t="shared" si="0"/>
        <v>#DIV/0!</v>
      </c>
      <c r="I12" s="137"/>
      <c r="J12" s="139" t="e">
        <f t="shared" si="1"/>
        <v>#DIV/0!</v>
      </c>
      <c r="K12" s="140">
        <f t="shared" si="2"/>
        <v>0</v>
      </c>
      <c r="L12" s="141" t="str">
        <f t="shared" si="3"/>
        <v/>
      </c>
      <c r="M12" s="142"/>
      <c r="N12" s="143">
        <f t="shared" si="18"/>
        <v>0</v>
      </c>
      <c r="O12" s="144">
        <f t="shared" si="18"/>
        <v>0</v>
      </c>
      <c r="P12" s="138" t="e">
        <f t="shared" si="4"/>
        <v>#DIV/0!</v>
      </c>
      <c r="Q12" s="144">
        <f t="shared" si="19"/>
        <v>0</v>
      </c>
      <c r="R12" s="162" t="e">
        <f t="shared" si="5"/>
        <v>#DIV/0!</v>
      </c>
      <c r="S12" s="145">
        <f t="shared" si="20"/>
        <v>0</v>
      </c>
      <c r="T12" s="141" t="e">
        <f t="shared" si="6"/>
        <v>#DIV/0!</v>
      </c>
      <c r="U12" s="146">
        <f t="shared" si="7"/>
        <v>0</v>
      </c>
      <c r="V12" s="144">
        <f t="shared" si="7"/>
        <v>0</v>
      </c>
      <c r="W12" s="144">
        <f t="shared" si="8"/>
        <v>0</v>
      </c>
      <c r="X12" s="147">
        <f t="shared" si="21"/>
        <v>0</v>
      </c>
      <c r="Y12" s="144" t="e">
        <f t="shared" si="9"/>
        <v>#DIV/0!</v>
      </c>
      <c r="Z12" s="148"/>
      <c r="AA12" s="149"/>
      <c r="AB12" s="137"/>
      <c r="AC12" s="138" t="e">
        <f t="shared" si="10"/>
        <v>#DIV/0!</v>
      </c>
      <c r="AD12" s="137"/>
      <c r="AE12" s="139" t="e">
        <f t="shared" si="11"/>
        <v>#DIV/0!</v>
      </c>
      <c r="AF12" s="150">
        <f t="shared" si="22"/>
        <v>0</v>
      </c>
      <c r="AG12" s="141" t="str">
        <f t="shared" si="12"/>
        <v/>
      </c>
      <c r="AH12" s="157">
        <f t="shared" si="13"/>
        <v>0</v>
      </c>
      <c r="AI12" s="144">
        <f t="shared" si="14"/>
        <v>0</v>
      </c>
      <c r="AJ12" s="144">
        <f t="shared" si="15"/>
        <v>0</v>
      </c>
      <c r="AK12" s="151">
        <f t="shared" si="23"/>
        <v>0</v>
      </c>
      <c r="AL12" s="144">
        <f t="shared" si="16"/>
        <v>0</v>
      </c>
      <c r="AM12" s="144"/>
      <c r="AN12" s="152"/>
      <c r="AO12" s="152"/>
      <c r="AP12" s="152"/>
      <c r="AQ12" s="153"/>
      <c r="AR12" s="153"/>
      <c r="AS12" s="153"/>
      <c r="AT12" s="153"/>
      <c r="AU12" s="154">
        <f t="shared" si="24"/>
        <v>0</v>
      </c>
      <c r="AV12" s="121">
        <v>8</v>
      </c>
      <c r="AW12" s="122">
        <f t="shared" si="25"/>
        <v>0</v>
      </c>
      <c r="AX12" s="155"/>
    </row>
    <row r="13" spans="1:50" ht="13.5" customHeight="1">
      <c r="A13" s="121"/>
      <c r="B13" s="175">
        <f t="shared" si="17"/>
        <v>45756</v>
      </c>
      <c r="C13" s="203" t="s">
        <v>56</v>
      </c>
      <c r="D13" s="134"/>
      <c r="E13" s="135"/>
      <c r="F13" s="136"/>
      <c r="G13" s="137"/>
      <c r="H13" s="138" t="e">
        <f t="shared" si="0"/>
        <v>#DIV/0!</v>
      </c>
      <c r="I13" s="137"/>
      <c r="J13" s="139" t="e">
        <f t="shared" si="1"/>
        <v>#DIV/0!</v>
      </c>
      <c r="K13" s="140">
        <f t="shared" si="2"/>
        <v>0</v>
      </c>
      <c r="L13" s="141" t="str">
        <f t="shared" si="3"/>
        <v/>
      </c>
      <c r="M13" s="142"/>
      <c r="N13" s="143">
        <f t="shared" si="18"/>
        <v>0</v>
      </c>
      <c r="O13" s="144">
        <f t="shared" si="18"/>
        <v>0</v>
      </c>
      <c r="P13" s="138" t="e">
        <f t="shared" si="4"/>
        <v>#DIV/0!</v>
      </c>
      <c r="Q13" s="144">
        <f t="shared" si="19"/>
        <v>0</v>
      </c>
      <c r="R13" s="139" t="e">
        <f t="shared" si="5"/>
        <v>#DIV/0!</v>
      </c>
      <c r="S13" s="145">
        <f t="shared" si="20"/>
        <v>0</v>
      </c>
      <c r="T13" s="141" t="e">
        <f t="shared" si="6"/>
        <v>#DIV/0!</v>
      </c>
      <c r="U13" s="146">
        <f t="shared" si="7"/>
        <v>0</v>
      </c>
      <c r="V13" s="144">
        <f t="shared" si="7"/>
        <v>0</v>
      </c>
      <c r="W13" s="144">
        <f t="shared" si="8"/>
        <v>0</v>
      </c>
      <c r="X13" s="147">
        <f t="shared" si="21"/>
        <v>0</v>
      </c>
      <c r="Y13" s="144" t="e">
        <f t="shared" si="9"/>
        <v>#DIV/0!</v>
      </c>
      <c r="Z13" s="148"/>
      <c r="AA13" s="149"/>
      <c r="AB13" s="137"/>
      <c r="AC13" s="138" t="e">
        <f t="shared" si="10"/>
        <v>#DIV/0!</v>
      </c>
      <c r="AD13" s="137"/>
      <c r="AE13" s="139" t="e">
        <f t="shared" si="11"/>
        <v>#DIV/0!</v>
      </c>
      <c r="AF13" s="150">
        <f t="shared" si="22"/>
        <v>0</v>
      </c>
      <c r="AG13" s="141" t="str">
        <f t="shared" si="12"/>
        <v/>
      </c>
      <c r="AH13" s="157">
        <f t="shared" si="13"/>
        <v>0</v>
      </c>
      <c r="AI13" s="144">
        <f t="shared" si="14"/>
        <v>0</v>
      </c>
      <c r="AJ13" s="144">
        <f t="shared" si="15"/>
        <v>0</v>
      </c>
      <c r="AK13" s="151">
        <f t="shared" si="23"/>
        <v>0</v>
      </c>
      <c r="AL13" s="144">
        <f t="shared" si="16"/>
        <v>0</v>
      </c>
      <c r="AM13" s="144"/>
      <c r="AN13" s="152"/>
      <c r="AO13" s="152"/>
      <c r="AP13" s="152"/>
      <c r="AQ13" s="153"/>
      <c r="AR13" s="153"/>
      <c r="AS13" s="153"/>
      <c r="AT13" s="153"/>
      <c r="AU13" s="154">
        <f t="shared" si="24"/>
        <v>0</v>
      </c>
      <c r="AV13" s="121">
        <v>9</v>
      </c>
      <c r="AW13" s="122">
        <f t="shared" si="25"/>
        <v>0</v>
      </c>
      <c r="AX13" s="121"/>
    </row>
    <row r="14" spans="1:50" ht="13.5" customHeight="1">
      <c r="A14" s="121"/>
      <c r="B14" s="175">
        <f t="shared" si="17"/>
        <v>45757</v>
      </c>
      <c r="C14" s="203" t="s">
        <v>56</v>
      </c>
      <c r="D14" s="134"/>
      <c r="E14" s="135"/>
      <c r="F14" s="136"/>
      <c r="G14" s="137"/>
      <c r="H14" s="138" t="e">
        <f t="shared" si="0"/>
        <v>#DIV/0!</v>
      </c>
      <c r="I14" s="137"/>
      <c r="J14" s="139" t="e">
        <f t="shared" si="1"/>
        <v>#DIV/0!</v>
      </c>
      <c r="K14" s="140">
        <f t="shared" si="2"/>
        <v>0</v>
      </c>
      <c r="L14" s="141" t="str">
        <f t="shared" si="3"/>
        <v/>
      </c>
      <c r="M14" s="142"/>
      <c r="N14" s="143">
        <f t="shared" si="18"/>
        <v>0</v>
      </c>
      <c r="O14" s="144">
        <f t="shared" si="18"/>
        <v>0</v>
      </c>
      <c r="P14" s="138" t="e">
        <f t="shared" si="4"/>
        <v>#DIV/0!</v>
      </c>
      <c r="Q14" s="144">
        <f t="shared" si="19"/>
        <v>0</v>
      </c>
      <c r="R14" s="139" t="e">
        <f t="shared" si="5"/>
        <v>#DIV/0!</v>
      </c>
      <c r="S14" s="145">
        <f t="shared" si="20"/>
        <v>0</v>
      </c>
      <c r="T14" s="141" t="e">
        <f t="shared" si="6"/>
        <v>#DIV/0!</v>
      </c>
      <c r="U14" s="146">
        <f t="shared" si="7"/>
        <v>0</v>
      </c>
      <c r="V14" s="144">
        <f t="shared" si="7"/>
        <v>0</v>
      </c>
      <c r="W14" s="144">
        <f t="shared" si="8"/>
        <v>0</v>
      </c>
      <c r="X14" s="147">
        <f t="shared" si="21"/>
        <v>0</v>
      </c>
      <c r="Y14" s="144" t="e">
        <f t="shared" si="9"/>
        <v>#DIV/0!</v>
      </c>
      <c r="Z14" s="148"/>
      <c r="AA14" s="149"/>
      <c r="AB14" s="137"/>
      <c r="AC14" s="138" t="e">
        <f t="shared" si="10"/>
        <v>#DIV/0!</v>
      </c>
      <c r="AD14" s="137"/>
      <c r="AE14" s="139" t="e">
        <f t="shared" si="11"/>
        <v>#DIV/0!</v>
      </c>
      <c r="AF14" s="150">
        <f t="shared" si="22"/>
        <v>0</v>
      </c>
      <c r="AG14" s="141" t="str">
        <f t="shared" si="12"/>
        <v/>
      </c>
      <c r="AH14" s="157">
        <f t="shared" si="13"/>
        <v>0</v>
      </c>
      <c r="AI14" s="144">
        <f t="shared" si="14"/>
        <v>0</v>
      </c>
      <c r="AJ14" s="144">
        <f t="shared" si="15"/>
        <v>0</v>
      </c>
      <c r="AK14" s="158">
        <f t="shared" si="23"/>
        <v>0</v>
      </c>
      <c r="AL14" s="144">
        <f t="shared" si="16"/>
        <v>0</v>
      </c>
      <c r="AM14" s="144"/>
      <c r="AN14" s="152"/>
      <c r="AO14" s="152"/>
      <c r="AP14" s="152"/>
      <c r="AQ14" s="153"/>
      <c r="AR14" s="153"/>
      <c r="AS14" s="153"/>
      <c r="AT14" s="153"/>
      <c r="AU14" s="154">
        <f t="shared" si="24"/>
        <v>0</v>
      </c>
      <c r="AV14" s="121">
        <v>10</v>
      </c>
      <c r="AW14" s="122">
        <f t="shared" si="25"/>
        <v>0</v>
      </c>
      <c r="AX14" s="155"/>
    </row>
    <row r="15" spans="1:50" ht="13.5" customHeight="1">
      <c r="A15" s="121"/>
      <c r="B15" s="175">
        <f t="shared" si="17"/>
        <v>45758</v>
      </c>
      <c r="C15" s="203" t="s">
        <v>56</v>
      </c>
      <c r="D15" s="134"/>
      <c r="E15" s="135"/>
      <c r="F15" s="136"/>
      <c r="G15" s="137"/>
      <c r="H15" s="138" t="e">
        <f t="shared" si="0"/>
        <v>#DIV/0!</v>
      </c>
      <c r="I15" s="137"/>
      <c r="J15" s="139" t="e">
        <f t="shared" si="1"/>
        <v>#DIV/0!</v>
      </c>
      <c r="K15" s="140">
        <f t="shared" si="2"/>
        <v>0</v>
      </c>
      <c r="L15" s="141" t="str">
        <f t="shared" si="3"/>
        <v/>
      </c>
      <c r="M15" s="142"/>
      <c r="N15" s="143">
        <f t="shared" si="18"/>
        <v>0</v>
      </c>
      <c r="O15" s="144">
        <f t="shared" si="18"/>
        <v>0</v>
      </c>
      <c r="P15" s="138" t="e">
        <f t="shared" si="4"/>
        <v>#DIV/0!</v>
      </c>
      <c r="Q15" s="144">
        <f t="shared" si="19"/>
        <v>0</v>
      </c>
      <c r="R15" s="139" t="e">
        <f t="shared" si="5"/>
        <v>#DIV/0!</v>
      </c>
      <c r="S15" s="145">
        <f t="shared" si="20"/>
        <v>0</v>
      </c>
      <c r="T15" s="141" t="e">
        <f t="shared" si="6"/>
        <v>#DIV/0!</v>
      </c>
      <c r="U15" s="146">
        <f t="shared" si="7"/>
        <v>0</v>
      </c>
      <c r="V15" s="144">
        <f t="shared" si="7"/>
        <v>0</v>
      </c>
      <c r="W15" s="144">
        <f t="shared" si="8"/>
        <v>0</v>
      </c>
      <c r="X15" s="147">
        <f t="shared" si="21"/>
        <v>0</v>
      </c>
      <c r="Y15" s="144" t="e">
        <f t="shared" si="9"/>
        <v>#DIV/0!</v>
      </c>
      <c r="Z15" s="148"/>
      <c r="AA15" s="149"/>
      <c r="AB15" s="137"/>
      <c r="AC15" s="138" t="e">
        <f t="shared" si="10"/>
        <v>#DIV/0!</v>
      </c>
      <c r="AD15" s="137"/>
      <c r="AE15" s="139" t="e">
        <f t="shared" si="11"/>
        <v>#DIV/0!</v>
      </c>
      <c r="AF15" s="150">
        <f t="shared" si="22"/>
        <v>0</v>
      </c>
      <c r="AG15" s="141" t="str">
        <f t="shared" si="12"/>
        <v/>
      </c>
      <c r="AH15" s="157">
        <f t="shared" si="13"/>
        <v>0</v>
      </c>
      <c r="AI15" s="144">
        <f t="shared" si="14"/>
        <v>0</v>
      </c>
      <c r="AJ15" s="144">
        <f t="shared" si="15"/>
        <v>0</v>
      </c>
      <c r="AK15" s="151">
        <f t="shared" si="23"/>
        <v>0</v>
      </c>
      <c r="AL15" s="144">
        <f t="shared" si="16"/>
        <v>0</v>
      </c>
      <c r="AM15" s="144"/>
      <c r="AN15" s="152"/>
      <c r="AO15" s="152"/>
      <c r="AP15" s="152"/>
      <c r="AQ15" s="153"/>
      <c r="AR15" s="153"/>
      <c r="AS15" s="153"/>
      <c r="AT15" s="153"/>
      <c r="AU15" s="154">
        <f t="shared" si="24"/>
        <v>0</v>
      </c>
      <c r="AV15" s="121">
        <v>11</v>
      </c>
      <c r="AW15" s="122">
        <f t="shared" si="25"/>
        <v>0</v>
      </c>
      <c r="AX15" s="155"/>
    </row>
    <row r="16" spans="1:50" ht="13.5" customHeight="1">
      <c r="A16" s="121"/>
      <c r="B16" s="204">
        <f t="shared" si="17"/>
        <v>45759</v>
      </c>
      <c r="C16" s="203" t="s">
        <v>56</v>
      </c>
      <c r="D16" s="134"/>
      <c r="E16" s="135"/>
      <c r="F16" s="136"/>
      <c r="G16" s="137"/>
      <c r="H16" s="138" t="e">
        <f t="shared" si="0"/>
        <v>#DIV/0!</v>
      </c>
      <c r="I16" s="137"/>
      <c r="J16" s="139" t="e">
        <f t="shared" si="1"/>
        <v>#DIV/0!</v>
      </c>
      <c r="K16" s="140">
        <f t="shared" si="2"/>
        <v>0</v>
      </c>
      <c r="L16" s="141" t="str">
        <f t="shared" si="3"/>
        <v/>
      </c>
      <c r="M16" s="142"/>
      <c r="N16" s="143">
        <f t="shared" si="18"/>
        <v>0</v>
      </c>
      <c r="O16" s="144">
        <f t="shared" si="18"/>
        <v>0</v>
      </c>
      <c r="P16" s="138" t="e">
        <f t="shared" si="4"/>
        <v>#DIV/0!</v>
      </c>
      <c r="Q16" s="144">
        <f t="shared" si="19"/>
        <v>0</v>
      </c>
      <c r="R16" s="139" t="e">
        <f t="shared" si="5"/>
        <v>#DIV/0!</v>
      </c>
      <c r="S16" s="145">
        <f t="shared" si="20"/>
        <v>0</v>
      </c>
      <c r="T16" s="141" t="e">
        <f t="shared" si="6"/>
        <v>#DIV/0!</v>
      </c>
      <c r="U16" s="146">
        <f t="shared" si="7"/>
        <v>0</v>
      </c>
      <c r="V16" s="144">
        <f t="shared" si="7"/>
        <v>0</v>
      </c>
      <c r="W16" s="144">
        <f t="shared" si="8"/>
        <v>0</v>
      </c>
      <c r="X16" s="147">
        <f t="shared" si="21"/>
        <v>0</v>
      </c>
      <c r="Y16" s="144" t="e">
        <f t="shared" si="9"/>
        <v>#DIV/0!</v>
      </c>
      <c r="Z16" s="148"/>
      <c r="AA16" s="149"/>
      <c r="AB16" s="137"/>
      <c r="AC16" s="138" t="e">
        <f t="shared" si="10"/>
        <v>#DIV/0!</v>
      </c>
      <c r="AD16" s="137"/>
      <c r="AE16" s="139" t="e">
        <f t="shared" si="11"/>
        <v>#DIV/0!</v>
      </c>
      <c r="AF16" s="150">
        <f t="shared" si="22"/>
        <v>0</v>
      </c>
      <c r="AG16" s="141" t="str">
        <f t="shared" si="12"/>
        <v/>
      </c>
      <c r="AH16" s="157">
        <f t="shared" si="13"/>
        <v>0</v>
      </c>
      <c r="AI16" s="144">
        <f t="shared" si="14"/>
        <v>0</v>
      </c>
      <c r="AJ16" s="144">
        <f t="shared" si="15"/>
        <v>0</v>
      </c>
      <c r="AK16" s="151">
        <f t="shared" si="23"/>
        <v>0</v>
      </c>
      <c r="AL16" s="144">
        <f t="shared" si="16"/>
        <v>0</v>
      </c>
      <c r="AM16" s="144"/>
      <c r="AN16" s="152"/>
      <c r="AO16" s="152"/>
      <c r="AP16" s="152"/>
      <c r="AQ16" s="153"/>
      <c r="AR16" s="153"/>
      <c r="AS16" s="153"/>
      <c r="AT16" s="153"/>
      <c r="AU16" s="154">
        <f t="shared" si="24"/>
        <v>0</v>
      </c>
      <c r="AV16" s="121">
        <v>12</v>
      </c>
      <c r="AW16" s="122">
        <f t="shared" si="25"/>
        <v>0</v>
      </c>
      <c r="AX16" s="155"/>
    </row>
    <row r="17" spans="1:50" ht="13.5" customHeight="1">
      <c r="A17" s="121"/>
      <c r="B17" s="160">
        <f t="shared" si="17"/>
        <v>45760</v>
      </c>
      <c r="C17" s="203" t="s">
        <v>56</v>
      </c>
      <c r="D17" s="134"/>
      <c r="E17" s="135"/>
      <c r="F17" s="136"/>
      <c r="G17" s="137"/>
      <c r="H17" s="138" t="e">
        <f t="shared" si="0"/>
        <v>#DIV/0!</v>
      </c>
      <c r="I17" s="137"/>
      <c r="J17" s="139" t="e">
        <f t="shared" si="1"/>
        <v>#DIV/0!</v>
      </c>
      <c r="K17" s="140">
        <f t="shared" si="2"/>
        <v>0</v>
      </c>
      <c r="L17" s="141" t="str">
        <f t="shared" si="3"/>
        <v/>
      </c>
      <c r="M17" s="142"/>
      <c r="N17" s="143">
        <f t="shared" si="18"/>
        <v>0</v>
      </c>
      <c r="O17" s="144">
        <f t="shared" si="18"/>
        <v>0</v>
      </c>
      <c r="P17" s="138" t="e">
        <f t="shared" si="4"/>
        <v>#DIV/0!</v>
      </c>
      <c r="Q17" s="144">
        <f t="shared" si="19"/>
        <v>0</v>
      </c>
      <c r="R17" s="139" t="e">
        <f t="shared" si="5"/>
        <v>#DIV/0!</v>
      </c>
      <c r="S17" s="145">
        <f t="shared" si="20"/>
        <v>0</v>
      </c>
      <c r="T17" s="141" t="e">
        <f t="shared" si="6"/>
        <v>#DIV/0!</v>
      </c>
      <c r="U17" s="146">
        <f t="shared" si="7"/>
        <v>0</v>
      </c>
      <c r="V17" s="144">
        <f t="shared" si="7"/>
        <v>0</v>
      </c>
      <c r="W17" s="144">
        <f t="shared" si="8"/>
        <v>0</v>
      </c>
      <c r="X17" s="147">
        <f t="shared" si="21"/>
        <v>0</v>
      </c>
      <c r="Y17" s="144" t="e">
        <f t="shared" si="9"/>
        <v>#DIV/0!</v>
      </c>
      <c r="Z17" s="148"/>
      <c r="AA17" s="149"/>
      <c r="AB17" s="137"/>
      <c r="AC17" s="138" t="e">
        <f t="shared" si="10"/>
        <v>#DIV/0!</v>
      </c>
      <c r="AD17" s="137"/>
      <c r="AE17" s="139" t="e">
        <f t="shared" si="11"/>
        <v>#DIV/0!</v>
      </c>
      <c r="AF17" s="150">
        <f t="shared" si="22"/>
        <v>0</v>
      </c>
      <c r="AG17" s="141" t="str">
        <f t="shared" si="12"/>
        <v/>
      </c>
      <c r="AH17" s="157">
        <f t="shared" si="13"/>
        <v>0</v>
      </c>
      <c r="AI17" s="144">
        <f t="shared" si="14"/>
        <v>0</v>
      </c>
      <c r="AJ17" s="144">
        <f t="shared" si="15"/>
        <v>0</v>
      </c>
      <c r="AK17" s="151">
        <f t="shared" si="23"/>
        <v>0</v>
      </c>
      <c r="AL17" s="144">
        <f t="shared" si="16"/>
        <v>0</v>
      </c>
      <c r="AM17" s="144"/>
      <c r="AN17" s="152"/>
      <c r="AO17" s="152"/>
      <c r="AP17" s="152"/>
      <c r="AQ17" s="153"/>
      <c r="AR17" s="153"/>
      <c r="AS17" s="153"/>
      <c r="AT17" s="153"/>
      <c r="AU17" s="154">
        <f t="shared" si="24"/>
        <v>0</v>
      </c>
      <c r="AV17" s="121">
        <v>13</v>
      </c>
      <c r="AW17" s="122">
        <f t="shared" si="25"/>
        <v>0</v>
      </c>
      <c r="AX17" s="155"/>
    </row>
    <row r="18" spans="1:50" ht="13.5" customHeight="1">
      <c r="A18" s="121"/>
      <c r="B18" s="175">
        <f t="shared" si="17"/>
        <v>45761</v>
      </c>
      <c r="C18" s="203" t="s">
        <v>56</v>
      </c>
      <c r="D18" s="134"/>
      <c r="E18" s="135"/>
      <c r="F18" s="136"/>
      <c r="G18" s="137"/>
      <c r="H18" s="138" t="e">
        <f t="shared" si="0"/>
        <v>#DIV/0!</v>
      </c>
      <c r="I18" s="137"/>
      <c r="J18" s="139" t="e">
        <f t="shared" si="1"/>
        <v>#DIV/0!</v>
      </c>
      <c r="K18" s="140">
        <f t="shared" si="2"/>
        <v>0</v>
      </c>
      <c r="L18" s="141" t="str">
        <f t="shared" si="3"/>
        <v/>
      </c>
      <c r="M18" s="142"/>
      <c r="N18" s="143">
        <f t="shared" si="18"/>
        <v>0</v>
      </c>
      <c r="O18" s="144">
        <f t="shared" si="18"/>
        <v>0</v>
      </c>
      <c r="P18" s="138" t="e">
        <f t="shared" si="4"/>
        <v>#DIV/0!</v>
      </c>
      <c r="Q18" s="144">
        <f t="shared" si="19"/>
        <v>0</v>
      </c>
      <c r="R18" s="139" t="e">
        <f t="shared" si="5"/>
        <v>#DIV/0!</v>
      </c>
      <c r="S18" s="145">
        <f t="shared" si="20"/>
        <v>0</v>
      </c>
      <c r="T18" s="141" t="e">
        <f t="shared" si="6"/>
        <v>#DIV/0!</v>
      </c>
      <c r="U18" s="146">
        <f t="shared" si="7"/>
        <v>0</v>
      </c>
      <c r="V18" s="144">
        <f t="shared" si="7"/>
        <v>0</v>
      </c>
      <c r="W18" s="144">
        <f t="shared" si="8"/>
        <v>0</v>
      </c>
      <c r="X18" s="147">
        <f t="shared" si="21"/>
        <v>0</v>
      </c>
      <c r="Y18" s="144" t="e">
        <f t="shared" si="9"/>
        <v>#DIV/0!</v>
      </c>
      <c r="Z18" s="148"/>
      <c r="AA18" s="149"/>
      <c r="AB18" s="137"/>
      <c r="AC18" s="138" t="e">
        <f t="shared" si="10"/>
        <v>#DIV/0!</v>
      </c>
      <c r="AD18" s="137"/>
      <c r="AE18" s="139" t="e">
        <f t="shared" si="11"/>
        <v>#DIV/0!</v>
      </c>
      <c r="AF18" s="150">
        <f t="shared" si="22"/>
        <v>0</v>
      </c>
      <c r="AG18" s="141" t="str">
        <f t="shared" si="12"/>
        <v/>
      </c>
      <c r="AH18" s="157">
        <f t="shared" si="13"/>
        <v>0</v>
      </c>
      <c r="AI18" s="144">
        <f t="shared" si="14"/>
        <v>0</v>
      </c>
      <c r="AJ18" s="144">
        <f t="shared" si="15"/>
        <v>0</v>
      </c>
      <c r="AK18" s="151">
        <f t="shared" si="23"/>
        <v>0</v>
      </c>
      <c r="AL18" s="144">
        <f t="shared" si="16"/>
        <v>0</v>
      </c>
      <c r="AM18" s="144"/>
      <c r="AN18" s="152"/>
      <c r="AO18" s="152"/>
      <c r="AP18" s="152"/>
      <c r="AQ18" s="153"/>
      <c r="AR18" s="153"/>
      <c r="AS18" s="153"/>
      <c r="AT18" s="153"/>
      <c r="AU18" s="154">
        <f t="shared" si="24"/>
        <v>0</v>
      </c>
      <c r="AV18" s="121">
        <v>14</v>
      </c>
      <c r="AW18" s="122">
        <f t="shared" si="25"/>
        <v>0</v>
      </c>
      <c r="AX18" s="155"/>
    </row>
    <row r="19" spans="1:50" ht="13.5" customHeight="1">
      <c r="A19" s="121"/>
      <c r="B19" s="175">
        <f t="shared" si="17"/>
        <v>45762</v>
      </c>
      <c r="C19" s="203" t="s">
        <v>56</v>
      </c>
      <c r="D19" s="134"/>
      <c r="E19" s="135"/>
      <c r="F19" s="136"/>
      <c r="G19" s="137"/>
      <c r="H19" s="138" t="e">
        <f t="shared" si="0"/>
        <v>#DIV/0!</v>
      </c>
      <c r="I19" s="137"/>
      <c r="J19" s="139" t="e">
        <f t="shared" si="1"/>
        <v>#DIV/0!</v>
      </c>
      <c r="K19" s="140">
        <f t="shared" si="2"/>
        <v>0</v>
      </c>
      <c r="L19" s="141" t="str">
        <f t="shared" si="3"/>
        <v/>
      </c>
      <c r="M19" s="142"/>
      <c r="N19" s="143">
        <f t="shared" si="18"/>
        <v>0</v>
      </c>
      <c r="O19" s="144">
        <f t="shared" si="18"/>
        <v>0</v>
      </c>
      <c r="P19" s="138" t="e">
        <f t="shared" si="4"/>
        <v>#DIV/0!</v>
      </c>
      <c r="Q19" s="144">
        <f t="shared" si="19"/>
        <v>0</v>
      </c>
      <c r="R19" s="162" t="e">
        <f t="shared" si="5"/>
        <v>#DIV/0!</v>
      </c>
      <c r="S19" s="145">
        <f t="shared" si="20"/>
        <v>0</v>
      </c>
      <c r="T19" s="141" t="e">
        <f t="shared" si="6"/>
        <v>#DIV/0!</v>
      </c>
      <c r="U19" s="146">
        <f t="shared" si="7"/>
        <v>0</v>
      </c>
      <c r="V19" s="144">
        <f t="shared" si="7"/>
        <v>0</v>
      </c>
      <c r="W19" s="144">
        <f t="shared" si="8"/>
        <v>0</v>
      </c>
      <c r="X19" s="147">
        <f t="shared" si="21"/>
        <v>0</v>
      </c>
      <c r="Y19" s="144" t="e">
        <f t="shared" si="9"/>
        <v>#DIV/0!</v>
      </c>
      <c r="Z19" s="148"/>
      <c r="AA19" s="149"/>
      <c r="AB19" s="137"/>
      <c r="AC19" s="138" t="e">
        <f t="shared" si="10"/>
        <v>#DIV/0!</v>
      </c>
      <c r="AD19" s="137"/>
      <c r="AE19" s="139" t="e">
        <f t="shared" si="11"/>
        <v>#DIV/0!</v>
      </c>
      <c r="AF19" s="150">
        <f t="shared" si="22"/>
        <v>0</v>
      </c>
      <c r="AG19" s="141" t="str">
        <f t="shared" si="12"/>
        <v/>
      </c>
      <c r="AH19" s="157">
        <f t="shared" si="13"/>
        <v>0</v>
      </c>
      <c r="AI19" s="144">
        <f t="shared" si="14"/>
        <v>0</v>
      </c>
      <c r="AJ19" s="144">
        <f t="shared" si="15"/>
        <v>0</v>
      </c>
      <c r="AK19" s="151">
        <f t="shared" si="23"/>
        <v>0</v>
      </c>
      <c r="AL19" s="144">
        <f t="shared" si="16"/>
        <v>0</v>
      </c>
      <c r="AM19" s="144"/>
      <c r="AN19" s="152"/>
      <c r="AO19" s="152"/>
      <c r="AP19" s="152"/>
      <c r="AQ19" s="153"/>
      <c r="AR19" s="153"/>
      <c r="AS19" s="153"/>
      <c r="AT19" s="153"/>
      <c r="AU19" s="154">
        <f t="shared" si="24"/>
        <v>0</v>
      </c>
      <c r="AV19" s="121">
        <v>15</v>
      </c>
      <c r="AW19" s="122">
        <f t="shared" si="25"/>
        <v>0</v>
      </c>
      <c r="AX19" s="121"/>
    </row>
    <row r="20" spans="1:50" ht="13.5" customHeight="1">
      <c r="A20" s="121"/>
      <c r="B20" s="175">
        <f t="shared" si="17"/>
        <v>45763</v>
      </c>
      <c r="C20" s="203" t="s">
        <v>56</v>
      </c>
      <c r="D20" s="134"/>
      <c r="E20" s="135"/>
      <c r="F20" s="136"/>
      <c r="G20" s="137"/>
      <c r="H20" s="138" t="e">
        <f t="shared" si="0"/>
        <v>#DIV/0!</v>
      </c>
      <c r="I20" s="137"/>
      <c r="J20" s="138" t="e">
        <f t="shared" si="1"/>
        <v>#DIV/0!</v>
      </c>
      <c r="K20" s="140">
        <f t="shared" si="2"/>
        <v>0</v>
      </c>
      <c r="L20" s="141" t="str">
        <f t="shared" si="3"/>
        <v/>
      </c>
      <c r="M20" s="142"/>
      <c r="N20" s="143">
        <f t="shared" si="18"/>
        <v>0</v>
      </c>
      <c r="O20" s="144">
        <f t="shared" si="18"/>
        <v>0</v>
      </c>
      <c r="P20" s="138" t="e">
        <f t="shared" si="4"/>
        <v>#DIV/0!</v>
      </c>
      <c r="Q20" s="144">
        <f t="shared" si="19"/>
        <v>0</v>
      </c>
      <c r="R20" s="162" t="e">
        <f t="shared" si="5"/>
        <v>#DIV/0!</v>
      </c>
      <c r="S20" s="145">
        <f t="shared" si="20"/>
        <v>0</v>
      </c>
      <c r="T20" s="141" t="e">
        <f t="shared" si="6"/>
        <v>#DIV/0!</v>
      </c>
      <c r="U20" s="146">
        <f t="shared" si="7"/>
        <v>0</v>
      </c>
      <c r="V20" s="144">
        <f t="shared" si="7"/>
        <v>0</v>
      </c>
      <c r="W20" s="144">
        <f t="shared" si="8"/>
        <v>0</v>
      </c>
      <c r="X20" s="147">
        <f t="shared" si="21"/>
        <v>0</v>
      </c>
      <c r="Y20" s="144" t="e">
        <f t="shared" si="9"/>
        <v>#DIV/0!</v>
      </c>
      <c r="Z20" s="148"/>
      <c r="AA20" s="149"/>
      <c r="AB20" s="137"/>
      <c r="AC20" s="138" t="e">
        <f t="shared" si="10"/>
        <v>#DIV/0!</v>
      </c>
      <c r="AD20" s="137"/>
      <c r="AE20" s="139" t="e">
        <f t="shared" si="11"/>
        <v>#DIV/0!</v>
      </c>
      <c r="AF20" s="150">
        <f t="shared" si="22"/>
        <v>0</v>
      </c>
      <c r="AG20" s="141" t="str">
        <f t="shared" si="12"/>
        <v/>
      </c>
      <c r="AH20" s="157">
        <f t="shared" si="13"/>
        <v>0</v>
      </c>
      <c r="AI20" s="152">
        <f t="shared" si="14"/>
        <v>0</v>
      </c>
      <c r="AJ20" s="152">
        <f t="shared" si="15"/>
        <v>0</v>
      </c>
      <c r="AK20" s="151">
        <f t="shared" si="23"/>
        <v>0</v>
      </c>
      <c r="AL20" s="144">
        <f t="shared" si="16"/>
        <v>0</v>
      </c>
      <c r="AM20" s="144"/>
      <c r="AN20" s="152"/>
      <c r="AO20" s="152"/>
      <c r="AP20" s="152"/>
      <c r="AQ20" s="153"/>
      <c r="AR20" s="153"/>
      <c r="AS20" s="153"/>
      <c r="AT20" s="153"/>
      <c r="AU20" s="154">
        <f t="shared" si="24"/>
        <v>0</v>
      </c>
      <c r="AV20" s="121">
        <v>16</v>
      </c>
      <c r="AW20" s="122">
        <f t="shared" si="25"/>
        <v>0</v>
      </c>
      <c r="AX20" s="155"/>
    </row>
    <row r="21" spans="1:50" ht="15.75" customHeight="1">
      <c r="A21" s="121"/>
      <c r="B21" s="175">
        <f t="shared" si="17"/>
        <v>45764</v>
      </c>
      <c r="C21" s="203" t="s">
        <v>56</v>
      </c>
      <c r="D21" s="134"/>
      <c r="E21" s="135"/>
      <c r="F21" s="136"/>
      <c r="G21" s="137"/>
      <c r="H21" s="138" t="e">
        <f t="shared" si="0"/>
        <v>#DIV/0!</v>
      </c>
      <c r="I21" s="137"/>
      <c r="J21" s="138" t="e">
        <f t="shared" si="1"/>
        <v>#DIV/0!</v>
      </c>
      <c r="K21" s="140">
        <f t="shared" si="2"/>
        <v>0</v>
      </c>
      <c r="L21" s="141" t="str">
        <f t="shared" si="3"/>
        <v/>
      </c>
      <c r="M21" s="142"/>
      <c r="N21" s="143">
        <f t="shared" si="18"/>
        <v>0</v>
      </c>
      <c r="O21" s="144">
        <f t="shared" si="18"/>
        <v>0</v>
      </c>
      <c r="P21" s="138" t="e">
        <f t="shared" si="4"/>
        <v>#DIV/0!</v>
      </c>
      <c r="Q21" s="144">
        <f t="shared" si="19"/>
        <v>0</v>
      </c>
      <c r="R21" s="162" t="e">
        <f t="shared" si="5"/>
        <v>#DIV/0!</v>
      </c>
      <c r="S21" s="145">
        <f>O21+Q21</f>
        <v>0</v>
      </c>
      <c r="T21" s="141" t="e">
        <f t="shared" si="6"/>
        <v>#DIV/0!</v>
      </c>
      <c r="U21" s="146">
        <f t="shared" ref="U21:V31" si="26">F21+N21</f>
        <v>0</v>
      </c>
      <c r="V21" s="144">
        <f t="shared" si="26"/>
        <v>0</v>
      </c>
      <c r="W21" s="144">
        <f t="shared" si="8"/>
        <v>0</v>
      </c>
      <c r="X21" s="147">
        <f>K21+S21</f>
        <v>0</v>
      </c>
      <c r="Y21" s="144" t="e">
        <f t="shared" si="9"/>
        <v>#DIV/0!</v>
      </c>
      <c r="Z21" s="148"/>
      <c r="AA21" s="149"/>
      <c r="AB21" s="137"/>
      <c r="AC21" s="138" t="e">
        <f t="shared" si="10"/>
        <v>#DIV/0!</v>
      </c>
      <c r="AD21" s="137"/>
      <c r="AE21" s="139" t="e">
        <f t="shared" si="11"/>
        <v>#DIV/0!</v>
      </c>
      <c r="AF21" s="150">
        <f t="shared" si="22"/>
        <v>0</v>
      </c>
      <c r="AG21" s="141" t="str">
        <f t="shared" si="12"/>
        <v/>
      </c>
      <c r="AH21" s="157">
        <f t="shared" si="13"/>
        <v>0</v>
      </c>
      <c r="AI21" s="152">
        <f t="shared" si="14"/>
        <v>0</v>
      </c>
      <c r="AJ21" s="152">
        <f t="shared" si="15"/>
        <v>0</v>
      </c>
      <c r="AK21" s="151">
        <f>X21+AF21</f>
        <v>0</v>
      </c>
      <c r="AL21" s="144">
        <f>AQ21+AR21+AS21</f>
        <v>0</v>
      </c>
      <c r="AM21" s="144"/>
      <c r="AN21" s="152"/>
      <c r="AO21" s="152"/>
      <c r="AP21" s="152"/>
      <c r="AQ21" s="153"/>
      <c r="AR21" s="153"/>
      <c r="AS21" s="153"/>
      <c r="AT21" s="153"/>
      <c r="AU21" s="154">
        <f t="shared" si="24"/>
        <v>0</v>
      </c>
      <c r="AV21" s="121">
        <v>17</v>
      </c>
      <c r="AW21" s="122">
        <f t="shared" si="25"/>
        <v>0</v>
      </c>
      <c r="AX21" s="155"/>
    </row>
    <row r="22" spans="1:50" ht="15.75" customHeight="1">
      <c r="A22" s="121"/>
      <c r="B22" s="175">
        <f t="shared" si="17"/>
        <v>45765</v>
      </c>
      <c r="C22" s="203" t="s">
        <v>66</v>
      </c>
      <c r="D22" s="134">
        <v>90</v>
      </c>
      <c r="E22" s="135"/>
      <c r="F22" s="136"/>
      <c r="G22" s="137"/>
      <c r="H22" s="138" t="e">
        <f t="shared" si="0"/>
        <v>#DIV/0!</v>
      </c>
      <c r="I22" s="137"/>
      <c r="J22" s="138" t="e">
        <f t="shared" si="1"/>
        <v>#DIV/0!</v>
      </c>
      <c r="K22" s="140">
        <f t="shared" si="2"/>
        <v>0</v>
      </c>
      <c r="L22" s="141" t="str">
        <f t="shared" si="3"/>
        <v/>
      </c>
      <c r="M22" s="142"/>
      <c r="N22" s="143">
        <f t="shared" ref="N22:O34" si="27">AN22-F22</f>
        <v>14</v>
      </c>
      <c r="O22" s="144">
        <f t="shared" si="27"/>
        <v>131860</v>
      </c>
      <c r="P22" s="138">
        <f t="shared" si="4"/>
        <v>8562.2857142857138</v>
      </c>
      <c r="Q22" s="144">
        <f t="shared" si="19"/>
        <v>20020</v>
      </c>
      <c r="R22" s="162">
        <f t="shared" si="5"/>
        <v>1300</v>
      </c>
      <c r="S22" s="145">
        <f t="shared" si="20"/>
        <v>151880</v>
      </c>
      <c r="T22" s="141">
        <f t="shared" si="6"/>
        <v>10848.571428571429</v>
      </c>
      <c r="U22" s="146">
        <f t="shared" si="26"/>
        <v>14</v>
      </c>
      <c r="V22" s="144">
        <f t="shared" si="26"/>
        <v>131860</v>
      </c>
      <c r="W22" s="144">
        <f t="shared" si="8"/>
        <v>20020</v>
      </c>
      <c r="X22" s="147">
        <f t="shared" si="21"/>
        <v>151880</v>
      </c>
      <c r="Y22" s="144">
        <f t="shared" si="9"/>
        <v>10848.571428571429</v>
      </c>
      <c r="Z22" s="148"/>
      <c r="AA22" s="149">
        <v>0</v>
      </c>
      <c r="AB22" s="137">
        <v>0</v>
      </c>
      <c r="AC22" s="138" t="e">
        <f t="shared" si="10"/>
        <v>#DIV/0!</v>
      </c>
      <c r="AD22" s="137">
        <v>0</v>
      </c>
      <c r="AE22" s="139" t="e">
        <f t="shared" si="11"/>
        <v>#DIV/0!</v>
      </c>
      <c r="AF22" s="150">
        <f t="shared" si="22"/>
        <v>0</v>
      </c>
      <c r="AG22" s="141" t="e">
        <f t="shared" si="12"/>
        <v>#DIV/0!</v>
      </c>
      <c r="AH22" s="157">
        <f t="shared" si="13"/>
        <v>14</v>
      </c>
      <c r="AI22" s="152">
        <f t="shared" si="14"/>
        <v>131860</v>
      </c>
      <c r="AJ22" s="152">
        <f t="shared" si="15"/>
        <v>20020</v>
      </c>
      <c r="AK22" s="151">
        <f t="shared" si="23"/>
        <v>151880</v>
      </c>
      <c r="AL22" s="144">
        <f t="shared" si="16"/>
        <v>18060</v>
      </c>
      <c r="AM22" s="144"/>
      <c r="AN22" s="152">
        <v>14</v>
      </c>
      <c r="AO22" s="152">
        <v>131860</v>
      </c>
      <c r="AP22" s="152">
        <v>20020</v>
      </c>
      <c r="AQ22" s="153">
        <v>16500</v>
      </c>
      <c r="AR22" s="153">
        <v>1560</v>
      </c>
      <c r="AS22" s="153">
        <v>0</v>
      </c>
      <c r="AT22" s="153">
        <v>0</v>
      </c>
      <c r="AU22" s="154">
        <f t="shared" si="24"/>
        <v>169940</v>
      </c>
      <c r="AV22" s="121">
        <v>18</v>
      </c>
      <c r="AW22" s="122">
        <f t="shared" si="25"/>
        <v>169940</v>
      </c>
      <c r="AX22" s="155"/>
    </row>
    <row r="23" spans="1:50" ht="15.75" customHeight="1">
      <c r="A23" s="121"/>
      <c r="B23" s="204">
        <f t="shared" si="17"/>
        <v>45766</v>
      </c>
      <c r="C23" s="203" t="s">
        <v>57</v>
      </c>
      <c r="D23" s="134">
        <v>100</v>
      </c>
      <c r="E23" s="135"/>
      <c r="F23" s="136"/>
      <c r="G23" s="137"/>
      <c r="H23" s="138" t="e">
        <f t="shared" si="0"/>
        <v>#DIV/0!</v>
      </c>
      <c r="I23" s="137"/>
      <c r="J23" s="138" t="e">
        <f t="shared" si="1"/>
        <v>#DIV/0!</v>
      </c>
      <c r="K23" s="140">
        <f t="shared" si="2"/>
        <v>0</v>
      </c>
      <c r="L23" s="141" t="str">
        <f t="shared" si="3"/>
        <v/>
      </c>
      <c r="M23" s="142"/>
      <c r="N23" s="143">
        <f t="shared" si="27"/>
        <v>15</v>
      </c>
      <c r="O23" s="144">
        <f t="shared" si="27"/>
        <v>190410</v>
      </c>
      <c r="P23" s="138">
        <f t="shared" si="4"/>
        <v>11540</v>
      </c>
      <c r="Q23" s="144">
        <f t="shared" si="19"/>
        <v>29990</v>
      </c>
      <c r="R23" s="162">
        <f t="shared" si="5"/>
        <v>1817.5333333333333</v>
      </c>
      <c r="S23" s="145">
        <f t="shared" si="20"/>
        <v>220400</v>
      </c>
      <c r="T23" s="141">
        <f t="shared" si="6"/>
        <v>14693.333333333334</v>
      </c>
      <c r="U23" s="146">
        <f t="shared" si="26"/>
        <v>15</v>
      </c>
      <c r="V23" s="144">
        <f t="shared" si="26"/>
        <v>190410</v>
      </c>
      <c r="W23" s="144">
        <f t="shared" si="8"/>
        <v>29990</v>
      </c>
      <c r="X23" s="147">
        <f t="shared" si="21"/>
        <v>220400</v>
      </c>
      <c r="Y23" s="144">
        <f t="shared" si="9"/>
        <v>14693.333333333334</v>
      </c>
      <c r="Z23" s="148"/>
      <c r="AA23" s="149">
        <v>0</v>
      </c>
      <c r="AB23" s="137">
        <v>0</v>
      </c>
      <c r="AC23" s="138" t="e">
        <f t="shared" si="10"/>
        <v>#DIV/0!</v>
      </c>
      <c r="AD23" s="137">
        <v>0</v>
      </c>
      <c r="AE23" s="139" t="e">
        <f t="shared" si="11"/>
        <v>#DIV/0!</v>
      </c>
      <c r="AF23" s="150">
        <f t="shared" si="22"/>
        <v>0</v>
      </c>
      <c r="AG23" s="141" t="e">
        <f t="shared" si="12"/>
        <v>#DIV/0!</v>
      </c>
      <c r="AH23" s="157">
        <f t="shared" si="13"/>
        <v>15</v>
      </c>
      <c r="AI23" s="152">
        <f t="shared" si="14"/>
        <v>190410</v>
      </c>
      <c r="AJ23" s="152">
        <f t="shared" si="15"/>
        <v>29990</v>
      </c>
      <c r="AK23" s="151">
        <f t="shared" si="23"/>
        <v>220400</v>
      </c>
      <c r="AL23" s="144">
        <f t="shared" si="16"/>
        <v>16060</v>
      </c>
      <c r="AM23" s="144"/>
      <c r="AN23" s="152">
        <v>15</v>
      </c>
      <c r="AO23" s="152">
        <v>190410</v>
      </c>
      <c r="AP23" s="152">
        <v>29990</v>
      </c>
      <c r="AQ23" s="153">
        <v>14850</v>
      </c>
      <c r="AR23" s="153">
        <v>1210</v>
      </c>
      <c r="AS23" s="153">
        <v>0</v>
      </c>
      <c r="AT23" s="153">
        <v>0</v>
      </c>
      <c r="AU23" s="154">
        <f t="shared" si="24"/>
        <v>236460</v>
      </c>
      <c r="AV23" s="121">
        <v>19</v>
      </c>
      <c r="AW23" s="122">
        <f t="shared" si="25"/>
        <v>236460</v>
      </c>
      <c r="AX23" s="155"/>
    </row>
    <row r="24" spans="1:50" ht="15.75" customHeight="1">
      <c r="A24" s="121"/>
      <c r="B24" s="160">
        <f t="shared" si="17"/>
        <v>45767</v>
      </c>
      <c r="C24" s="203" t="s">
        <v>57</v>
      </c>
      <c r="D24" s="134">
        <v>72</v>
      </c>
      <c r="E24" s="135"/>
      <c r="F24" s="136"/>
      <c r="G24" s="137"/>
      <c r="H24" s="138" t="e">
        <f t="shared" si="0"/>
        <v>#DIV/0!</v>
      </c>
      <c r="I24" s="137"/>
      <c r="J24" s="138" t="e">
        <f t="shared" si="1"/>
        <v>#DIV/0!</v>
      </c>
      <c r="K24" s="140">
        <f t="shared" si="2"/>
        <v>0</v>
      </c>
      <c r="L24" s="141" t="str">
        <f t="shared" si="3"/>
        <v/>
      </c>
      <c r="M24" s="142"/>
      <c r="N24" s="143">
        <f t="shared" si="27"/>
        <v>11</v>
      </c>
      <c r="O24" s="144">
        <f t="shared" si="27"/>
        <v>100870</v>
      </c>
      <c r="P24" s="138">
        <f t="shared" si="4"/>
        <v>8336.363636363636</v>
      </c>
      <c r="Q24" s="144">
        <f t="shared" si="19"/>
        <v>23740</v>
      </c>
      <c r="R24" s="162">
        <f t="shared" si="5"/>
        <v>1961.909090909091</v>
      </c>
      <c r="S24" s="145">
        <f t="shared" si="20"/>
        <v>124610</v>
      </c>
      <c r="T24" s="141">
        <f t="shared" si="6"/>
        <v>11328.181818181818</v>
      </c>
      <c r="U24" s="146">
        <f t="shared" si="26"/>
        <v>11</v>
      </c>
      <c r="V24" s="144">
        <f t="shared" si="26"/>
        <v>100870</v>
      </c>
      <c r="W24" s="144">
        <f t="shared" si="8"/>
        <v>23740</v>
      </c>
      <c r="X24" s="147">
        <f t="shared" si="21"/>
        <v>124610</v>
      </c>
      <c r="Y24" s="144">
        <f t="shared" si="9"/>
        <v>11328.181818181818</v>
      </c>
      <c r="Z24" s="148"/>
      <c r="AA24" s="149">
        <v>0</v>
      </c>
      <c r="AB24" s="137">
        <v>0</v>
      </c>
      <c r="AC24" s="138" t="e">
        <f t="shared" si="10"/>
        <v>#DIV/0!</v>
      </c>
      <c r="AD24" s="137">
        <v>0</v>
      </c>
      <c r="AE24" s="139" t="e">
        <f t="shared" si="11"/>
        <v>#DIV/0!</v>
      </c>
      <c r="AF24" s="150">
        <f t="shared" si="22"/>
        <v>0</v>
      </c>
      <c r="AG24" s="141" t="e">
        <f t="shared" si="12"/>
        <v>#DIV/0!</v>
      </c>
      <c r="AH24" s="157">
        <f t="shared" si="13"/>
        <v>11</v>
      </c>
      <c r="AI24" s="152">
        <f t="shared" si="14"/>
        <v>100870</v>
      </c>
      <c r="AJ24" s="152">
        <f t="shared" si="15"/>
        <v>23740</v>
      </c>
      <c r="AK24" s="151">
        <f>X24+AF24</f>
        <v>124610</v>
      </c>
      <c r="AL24" s="144">
        <f t="shared" si="16"/>
        <v>6600</v>
      </c>
      <c r="AM24" s="144"/>
      <c r="AN24" s="152">
        <v>11</v>
      </c>
      <c r="AO24" s="152">
        <v>100870</v>
      </c>
      <c r="AP24" s="152">
        <v>23740</v>
      </c>
      <c r="AQ24" s="153">
        <v>6600</v>
      </c>
      <c r="AR24" s="153">
        <v>0</v>
      </c>
      <c r="AS24" s="153">
        <v>0</v>
      </c>
      <c r="AT24" s="153">
        <v>0</v>
      </c>
      <c r="AU24" s="154">
        <f t="shared" si="24"/>
        <v>131210</v>
      </c>
      <c r="AV24" s="121">
        <v>20</v>
      </c>
      <c r="AW24" s="122">
        <f t="shared" si="25"/>
        <v>131210</v>
      </c>
      <c r="AX24" s="155"/>
    </row>
    <row r="25" spans="1:50" ht="15.75" customHeight="1">
      <c r="A25" s="121"/>
      <c r="B25" s="175">
        <f t="shared" si="17"/>
        <v>45768</v>
      </c>
      <c r="C25" s="203" t="s">
        <v>57</v>
      </c>
      <c r="D25" s="134">
        <v>95</v>
      </c>
      <c r="E25" s="135"/>
      <c r="F25" s="136"/>
      <c r="G25" s="137"/>
      <c r="H25" s="138" t="e">
        <f t="shared" si="0"/>
        <v>#DIV/0!</v>
      </c>
      <c r="I25" s="137"/>
      <c r="J25" s="138" t="e">
        <f t="shared" si="1"/>
        <v>#DIV/0!</v>
      </c>
      <c r="K25" s="140">
        <f t="shared" si="2"/>
        <v>0</v>
      </c>
      <c r="L25" s="141" t="str">
        <f t="shared" si="3"/>
        <v/>
      </c>
      <c r="M25" s="142"/>
      <c r="N25" s="143">
        <f t="shared" si="27"/>
        <v>15</v>
      </c>
      <c r="O25" s="144">
        <f t="shared" si="27"/>
        <v>155870</v>
      </c>
      <c r="P25" s="138">
        <f t="shared" si="4"/>
        <v>9446.6666666666661</v>
      </c>
      <c r="Q25" s="144">
        <f t="shared" si="19"/>
        <v>30130</v>
      </c>
      <c r="R25" s="162">
        <f t="shared" si="5"/>
        <v>1826</v>
      </c>
      <c r="S25" s="145">
        <f t="shared" si="20"/>
        <v>186000</v>
      </c>
      <c r="T25" s="141">
        <f t="shared" si="6"/>
        <v>12400</v>
      </c>
      <c r="U25" s="146">
        <f t="shared" si="26"/>
        <v>15</v>
      </c>
      <c r="V25" s="144">
        <f t="shared" si="26"/>
        <v>155870</v>
      </c>
      <c r="W25" s="144">
        <f t="shared" si="8"/>
        <v>30130</v>
      </c>
      <c r="X25" s="147">
        <f t="shared" si="21"/>
        <v>186000</v>
      </c>
      <c r="Y25" s="144">
        <f t="shared" si="9"/>
        <v>12400</v>
      </c>
      <c r="Z25" s="148"/>
      <c r="AA25" s="149">
        <v>0</v>
      </c>
      <c r="AB25" s="137">
        <v>0</v>
      </c>
      <c r="AC25" s="138" t="e">
        <f t="shared" si="10"/>
        <v>#DIV/0!</v>
      </c>
      <c r="AD25" s="137">
        <v>0</v>
      </c>
      <c r="AE25" s="139" t="e">
        <f t="shared" si="11"/>
        <v>#DIV/0!</v>
      </c>
      <c r="AF25" s="150">
        <f t="shared" si="22"/>
        <v>0</v>
      </c>
      <c r="AG25" s="141" t="e">
        <f t="shared" si="12"/>
        <v>#DIV/0!</v>
      </c>
      <c r="AH25" s="157">
        <f t="shared" si="13"/>
        <v>15</v>
      </c>
      <c r="AI25" s="152">
        <f t="shared" si="14"/>
        <v>155870</v>
      </c>
      <c r="AJ25" s="152">
        <f t="shared" si="15"/>
        <v>30130</v>
      </c>
      <c r="AK25" s="151">
        <f>X25+AF25</f>
        <v>186000</v>
      </c>
      <c r="AL25" s="144">
        <f t="shared" si="16"/>
        <v>20020</v>
      </c>
      <c r="AM25" s="144"/>
      <c r="AN25" s="152">
        <v>15</v>
      </c>
      <c r="AO25" s="152">
        <v>155870</v>
      </c>
      <c r="AP25" s="152">
        <v>30130</v>
      </c>
      <c r="AQ25" s="153">
        <v>17600</v>
      </c>
      <c r="AR25" s="153">
        <v>2420</v>
      </c>
      <c r="AS25" s="153">
        <v>0</v>
      </c>
      <c r="AT25" s="153">
        <v>0</v>
      </c>
      <c r="AU25" s="154">
        <f t="shared" si="24"/>
        <v>206020</v>
      </c>
      <c r="AV25" s="121">
        <v>21</v>
      </c>
      <c r="AW25" s="122">
        <f t="shared" si="25"/>
        <v>206020</v>
      </c>
      <c r="AX25" s="155"/>
    </row>
    <row r="26" spans="1:50" ht="15.75" customHeight="1">
      <c r="A26" s="121"/>
      <c r="B26" s="175">
        <f t="shared" si="17"/>
        <v>45769</v>
      </c>
      <c r="C26" s="203" t="s">
        <v>57</v>
      </c>
      <c r="D26" s="134">
        <v>100</v>
      </c>
      <c r="E26" s="135"/>
      <c r="F26" s="136"/>
      <c r="G26" s="137"/>
      <c r="H26" s="138" t="e">
        <f t="shared" si="0"/>
        <v>#DIV/0!</v>
      </c>
      <c r="I26" s="137"/>
      <c r="J26" s="138" t="e">
        <f t="shared" si="1"/>
        <v>#DIV/0!</v>
      </c>
      <c r="K26" s="140">
        <f t="shared" si="2"/>
        <v>0</v>
      </c>
      <c r="L26" s="141" t="str">
        <f t="shared" si="3"/>
        <v/>
      </c>
      <c r="M26" s="142"/>
      <c r="N26" s="143">
        <f t="shared" si="27"/>
        <v>9</v>
      </c>
      <c r="O26" s="144">
        <f t="shared" si="27"/>
        <v>87450</v>
      </c>
      <c r="P26" s="138">
        <f t="shared" si="4"/>
        <v>8833.3333333333339</v>
      </c>
      <c r="Q26" s="144">
        <f t="shared" si="19"/>
        <v>24550</v>
      </c>
      <c r="R26" s="162">
        <f t="shared" si="5"/>
        <v>2479.7777777777778</v>
      </c>
      <c r="S26" s="145">
        <f t="shared" si="20"/>
        <v>112000</v>
      </c>
      <c r="T26" s="141">
        <f t="shared" si="6"/>
        <v>12444.444444444445</v>
      </c>
      <c r="U26" s="146">
        <f t="shared" si="26"/>
        <v>9</v>
      </c>
      <c r="V26" s="144">
        <f t="shared" si="26"/>
        <v>87450</v>
      </c>
      <c r="W26" s="144">
        <f t="shared" si="8"/>
        <v>24550</v>
      </c>
      <c r="X26" s="147">
        <f t="shared" si="21"/>
        <v>112000</v>
      </c>
      <c r="Y26" s="144">
        <f t="shared" si="9"/>
        <v>12444.444444444445</v>
      </c>
      <c r="Z26" s="148"/>
      <c r="AA26" s="149">
        <v>0</v>
      </c>
      <c r="AB26" s="137"/>
      <c r="AC26" s="138" t="e">
        <f t="shared" si="10"/>
        <v>#DIV/0!</v>
      </c>
      <c r="AD26" s="137"/>
      <c r="AE26" s="139" t="e">
        <f t="shared" si="11"/>
        <v>#DIV/0!</v>
      </c>
      <c r="AF26" s="150">
        <f t="shared" si="22"/>
        <v>0</v>
      </c>
      <c r="AG26" s="141" t="e">
        <f t="shared" si="12"/>
        <v>#DIV/0!</v>
      </c>
      <c r="AH26" s="157">
        <f t="shared" si="13"/>
        <v>9</v>
      </c>
      <c r="AI26" s="152">
        <f t="shared" si="14"/>
        <v>87450</v>
      </c>
      <c r="AJ26" s="152">
        <f t="shared" si="15"/>
        <v>24550</v>
      </c>
      <c r="AK26" s="151">
        <f>X26+AF26</f>
        <v>112000</v>
      </c>
      <c r="AL26" s="144">
        <f t="shared" si="16"/>
        <v>7700</v>
      </c>
      <c r="AM26" s="144"/>
      <c r="AN26" s="152">
        <v>9</v>
      </c>
      <c r="AO26" s="152">
        <v>87450</v>
      </c>
      <c r="AP26" s="152">
        <v>24550</v>
      </c>
      <c r="AQ26" s="153">
        <v>7700</v>
      </c>
      <c r="AR26" s="153">
        <v>0</v>
      </c>
      <c r="AS26" s="153">
        <v>0</v>
      </c>
      <c r="AT26" s="153">
        <v>0</v>
      </c>
      <c r="AU26" s="154">
        <f t="shared" si="24"/>
        <v>119700</v>
      </c>
      <c r="AV26" s="121">
        <v>22</v>
      </c>
      <c r="AW26" s="122">
        <f t="shared" si="25"/>
        <v>119700</v>
      </c>
      <c r="AX26" s="155"/>
    </row>
    <row r="27" spans="1:50" ht="15.75" customHeight="1">
      <c r="A27" s="121"/>
      <c r="B27" s="175">
        <f t="shared" si="17"/>
        <v>45770</v>
      </c>
      <c r="C27" s="203" t="s">
        <v>57</v>
      </c>
      <c r="D27" s="134">
        <v>93</v>
      </c>
      <c r="E27" s="135"/>
      <c r="F27" s="136"/>
      <c r="G27" s="137"/>
      <c r="H27" s="138" t="e">
        <f t="shared" si="0"/>
        <v>#DIV/0!</v>
      </c>
      <c r="I27" s="137"/>
      <c r="J27" s="138" t="e">
        <f t="shared" si="1"/>
        <v>#DIV/0!</v>
      </c>
      <c r="K27" s="140">
        <f t="shared" si="2"/>
        <v>0</v>
      </c>
      <c r="L27" s="141" t="str">
        <f t="shared" si="3"/>
        <v/>
      </c>
      <c r="M27" s="142"/>
      <c r="N27" s="143">
        <f t="shared" si="27"/>
        <v>14</v>
      </c>
      <c r="O27" s="144">
        <f t="shared" si="27"/>
        <v>133320</v>
      </c>
      <c r="P27" s="138">
        <f t="shared" si="4"/>
        <v>8657.1428571428569</v>
      </c>
      <c r="Q27" s="144">
        <f t="shared" si="19"/>
        <v>33020</v>
      </c>
      <c r="R27" s="139">
        <f t="shared" si="5"/>
        <v>2144.1428571428573</v>
      </c>
      <c r="S27" s="145">
        <f t="shared" si="20"/>
        <v>166340</v>
      </c>
      <c r="T27" s="141">
        <f t="shared" si="6"/>
        <v>11881.428571428571</v>
      </c>
      <c r="U27" s="146">
        <f t="shared" si="26"/>
        <v>14</v>
      </c>
      <c r="V27" s="144">
        <f t="shared" si="26"/>
        <v>133320</v>
      </c>
      <c r="W27" s="144">
        <f t="shared" si="8"/>
        <v>33020</v>
      </c>
      <c r="X27" s="147">
        <f t="shared" si="21"/>
        <v>166340</v>
      </c>
      <c r="Y27" s="144">
        <f t="shared" si="9"/>
        <v>11881.428571428571</v>
      </c>
      <c r="Z27" s="148"/>
      <c r="AA27" s="149">
        <v>0</v>
      </c>
      <c r="AB27" s="137"/>
      <c r="AC27" s="138" t="e">
        <f t="shared" si="10"/>
        <v>#DIV/0!</v>
      </c>
      <c r="AD27" s="137"/>
      <c r="AE27" s="139" t="e">
        <f t="shared" si="11"/>
        <v>#DIV/0!</v>
      </c>
      <c r="AF27" s="150">
        <f t="shared" si="22"/>
        <v>0</v>
      </c>
      <c r="AG27" s="141" t="e">
        <f t="shared" si="12"/>
        <v>#DIV/0!</v>
      </c>
      <c r="AH27" s="157">
        <f t="shared" si="13"/>
        <v>14</v>
      </c>
      <c r="AI27" s="152">
        <f t="shared" si="14"/>
        <v>133320</v>
      </c>
      <c r="AJ27" s="152">
        <f t="shared" si="15"/>
        <v>33020</v>
      </c>
      <c r="AK27" s="151">
        <f>X27+AF27</f>
        <v>166340</v>
      </c>
      <c r="AL27" s="144">
        <f t="shared" si="16"/>
        <v>9900</v>
      </c>
      <c r="AM27" s="144"/>
      <c r="AN27" s="152">
        <v>14</v>
      </c>
      <c r="AO27" s="152">
        <v>133320</v>
      </c>
      <c r="AP27" s="152">
        <v>33020</v>
      </c>
      <c r="AQ27" s="153">
        <v>9900</v>
      </c>
      <c r="AR27" s="153">
        <v>0</v>
      </c>
      <c r="AS27" s="153">
        <v>0</v>
      </c>
      <c r="AT27" s="153">
        <v>0</v>
      </c>
      <c r="AU27" s="154">
        <f t="shared" si="24"/>
        <v>176240</v>
      </c>
      <c r="AV27" s="121">
        <v>23</v>
      </c>
      <c r="AW27" s="122">
        <f t="shared" si="25"/>
        <v>176240</v>
      </c>
      <c r="AX27" s="155"/>
    </row>
    <row r="28" spans="1:50" ht="15.75" customHeight="1">
      <c r="A28" s="121"/>
      <c r="B28" s="175">
        <f t="shared" si="17"/>
        <v>45771</v>
      </c>
      <c r="C28" s="203" t="s">
        <v>57</v>
      </c>
      <c r="D28" s="134">
        <v>100</v>
      </c>
      <c r="E28" s="135"/>
      <c r="F28" s="136"/>
      <c r="G28" s="137"/>
      <c r="H28" s="138" t="e">
        <f t="shared" si="0"/>
        <v>#DIV/0!</v>
      </c>
      <c r="I28" s="137"/>
      <c r="J28" s="138" t="e">
        <f t="shared" si="1"/>
        <v>#DIV/0!</v>
      </c>
      <c r="K28" s="140">
        <f t="shared" si="2"/>
        <v>0</v>
      </c>
      <c r="L28" s="141" t="str">
        <f t="shared" si="3"/>
        <v/>
      </c>
      <c r="M28" s="142"/>
      <c r="N28" s="143">
        <f t="shared" si="27"/>
        <v>6</v>
      </c>
      <c r="O28" s="144">
        <f t="shared" si="27"/>
        <v>54560</v>
      </c>
      <c r="P28" s="138">
        <f t="shared" si="4"/>
        <v>8266.6666666666661</v>
      </c>
      <c r="Q28" s="144">
        <f t="shared" si="19"/>
        <v>10200</v>
      </c>
      <c r="R28" s="139">
        <f t="shared" si="5"/>
        <v>1545.3333333333333</v>
      </c>
      <c r="S28" s="145">
        <f t="shared" si="20"/>
        <v>64760</v>
      </c>
      <c r="T28" s="141">
        <f t="shared" si="6"/>
        <v>10793.333333333334</v>
      </c>
      <c r="U28" s="146">
        <f t="shared" si="26"/>
        <v>6</v>
      </c>
      <c r="V28" s="144">
        <f t="shared" si="26"/>
        <v>54560</v>
      </c>
      <c r="W28" s="144">
        <f t="shared" si="8"/>
        <v>10200</v>
      </c>
      <c r="X28" s="147">
        <f t="shared" si="21"/>
        <v>64760</v>
      </c>
      <c r="Y28" s="144">
        <f t="shared" si="9"/>
        <v>10793.333333333334</v>
      </c>
      <c r="Z28" s="148"/>
      <c r="AA28" s="149">
        <v>0</v>
      </c>
      <c r="AB28" s="137"/>
      <c r="AC28" s="138" t="e">
        <f t="shared" si="10"/>
        <v>#DIV/0!</v>
      </c>
      <c r="AD28" s="137"/>
      <c r="AE28" s="139" t="e">
        <f t="shared" si="11"/>
        <v>#DIV/0!</v>
      </c>
      <c r="AF28" s="150">
        <f t="shared" si="22"/>
        <v>0</v>
      </c>
      <c r="AG28" s="141" t="e">
        <f t="shared" si="12"/>
        <v>#DIV/0!</v>
      </c>
      <c r="AH28" s="157">
        <f t="shared" si="13"/>
        <v>6</v>
      </c>
      <c r="AI28" s="152">
        <f t="shared" si="14"/>
        <v>54560</v>
      </c>
      <c r="AJ28" s="152">
        <f t="shared" si="15"/>
        <v>10200</v>
      </c>
      <c r="AK28" s="151">
        <f t="shared" si="23"/>
        <v>64760</v>
      </c>
      <c r="AL28" s="144">
        <f t="shared" si="16"/>
        <v>11000</v>
      </c>
      <c r="AM28" s="144"/>
      <c r="AN28" s="152">
        <v>6</v>
      </c>
      <c r="AO28" s="152">
        <v>54560</v>
      </c>
      <c r="AP28" s="152">
        <v>10200</v>
      </c>
      <c r="AQ28" s="153">
        <v>11000</v>
      </c>
      <c r="AR28" s="153">
        <v>0</v>
      </c>
      <c r="AS28" s="153">
        <v>0</v>
      </c>
      <c r="AT28" s="153">
        <v>0</v>
      </c>
      <c r="AU28" s="154">
        <f t="shared" si="24"/>
        <v>75760</v>
      </c>
      <c r="AV28" s="121">
        <v>24</v>
      </c>
      <c r="AW28" s="122">
        <f t="shared" si="25"/>
        <v>75760</v>
      </c>
      <c r="AX28" s="155"/>
    </row>
    <row r="29" spans="1:50" ht="15.75" customHeight="1">
      <c r="A29" s="121"/>
      <c r="B29" s="175">
        <f t="shared" si="17"/>
        <v>45772</v>
      </c>
      <c r="C29" s="203" t="s">
        <v>67</v>
      </c>
      <c r="D29" s="134">
        <v>82</v>
      </c>
      <c r="E29" s="135"/>
      <c r="F29" s="136"/>
      <c r="G29" s="137"/>
      <c r="H29" s="138" t="e">
        <f t="shared" si="0"/>
        <v>#DIV/0!</v>
      </c>
      <c r="I29" s="137"/>
      <c r="J29" s="138" t="e">
        <f t="shared" si="1"/>
        <v>#DIV/0!</v>
      </c>
      <c r="K29" s="140">
        <f t="shared" si="2"/>
        <v>0</v>
      </c>
      <c r="L29" s="141" t="str">
        <f t="shared" si="3"/>
        <v/>
      </c>
      <c r="M29" s="142"/>
      <c r="N29" s="143">
        <f t="shared" si="27"/>
        <v>38</v>
      </c>
      <c r="O29" s="144">
        <f t="shared" si="27"/>
        <v>347050</v>
      </c>
      <c r="P29" s="138">
        <f t="shared" si="4"/>
        <v>8302.6315789473683</v>
      </c>
      <c r="Q29" s="144">
        <f t="shared" si="19"/>
        <v>42980</v>
      </c>
      <c r="R29" s="139">
        <f t="shared" si="5"/>
        <v>1028.2105263157894</v>
      </c>
      <c r="S29" s="145">
        <f t="shared" si="20"/>
        <v>390030</v>
      </c>
      <c r="T29" s="141">
        <f t="shared" si="6"/>
        <v>10263.947368421053</v>
      </c>
      <c r="U29" s="146">
        <f t="shared" si="26"/>
        <v>38</v>
      </c>
      <c r="V29" s="144">
        <f t="shared" si="26"/>
        <v>347050</v>
      </c>
      <c r="W29" s="144">
        <f t="shared" si="8"/>
        <v>42980</v>
      </c>
      <c r="X29" s="147">
        <f t="shared" si="21"/>
        <v>390030</v>
      </c>
      <c r="Y29" s="144">
        <f t="shared" si="9"/>
        <v>10263.947368421053</v>
      </c>
      <c r="Z29" s="148"/>
      <c r="AA29" s="149">
        <v>92</v>
      </c>
      <c r="AB29" s="137">
        <v>46840</v>
      </c>
      <c r="AC29" s="138">
        <f t="shared" si="10"/>
        <v>509.13043478260869</v>
      </c>
      <c r="AD29" s="137">
        <v>33200</v>
      </c>
      <c r="AE29" s="139">
        <f t="shared" si="11"/>
        <v>360.86956521739131</v>
      </c>
      <c r="AF29" s="150">
        <f t="shared" si="22"/>
        <v>80040</v>
      </c>
      <c r="AG29" s="141">
        <f t="shared" si="12"/>
        <v>870</v>
      </c>
      <c r="AH29" s="157">
        <f t="shared" si="13"/>
        <v>38</v>
      </c>
      <c r="AI29" s="152">
        <f t="shared" si="14"/>
        <v>393890</v>
      </c>
      <c r="AJ29" s="152">
        <f t="shared" si="15"/>
        <v>76180</v>
      </c>
      <c r="AK29" s="151">
        <f t="shared" si="23"/>
        <v>470070</v>
      </c>
      <c r="AL29" s="144">
        <f t="shared" si="16"/>
        <v>44550</v>
      </c>
      <c r="AM29" s="144">
        <v>1650</v>
      </c>
      <c r="AN29" s="152">
        <v>38</v>
      </c>
      <c r="AO29" s="152">
        <v>347050</v>
      </c>
      <c r="AP29" s="152">
        <v>42980</v>
      </c>
      <c r="AQ29" s="153">
        <v>42900</v>
      </c>
      <c r="AR29" s="153">
        <v>1650</v>
      </c>
      <c r="AS29" s="153">
        <v>0</v>
      </c>
      <c r="AT29" s="153">
        <v>0</v>
      </c>
      <c r="AU29" s="154">
        <f t="shared" si="24"/>
        <v>434580</v>
      </c>
      <c r="AV29" s="121">
        <v>25</v>
      </c>
      <c r="AW29" s="122">
        <f t="shared" si="25"/>
        <v>434580</v>
      </c>
      <c r="AX29" s="121"/>
    </row>
    <row r="30" spans="1:50" ht="15.75" customHeight="1">
      <c r="A30" s="121"/>
      <c r="B30" s="204">
        <f t="shared" si="17"/>
        <v>45773</v>
      </c>
      <c r="C30" s="203" t="s">
        <v>58</v>
      </c>
      <c r="D30" s="134">
        <v>90</v>
      </c>
      <c r="E30" s="135">
        <v>9</v>
      </c>
      <c r="F30" s="136">
        <v>18</v>
      </c>
      <c r="G30" s="137">
        <v>59290</v>
      </c>
      <c r="H30" s="138">
        <f>ROUNDDOWN(G30/1.1,0)/F30</f>
        <v>2994.4444444444443</v>
      </c>
      <c r="I30" s="137">
        <v>11710</v>
      </c>
      <c r="J30" s="138">
        <f>ROUNDDOWN(I30/1.1,0)/F30</f>
        <v>591.38888888888891</v>
      </c>
      <c r="K30" s="140">
        <f t="shared" si="2"/>
        <v>71000</v>
      </c>
      <c r="L30" s="141">
        <f>IF(F30="","",K30/F30)</f>
        <v>3944.4444444444443</v>
      </c>
      <c r="M30" s="142"/>
      <c r="N30" s="143">
        <f t="shared" si="27"/>
        <v>32</v>
      </c>
      <c r="O30" s="144">
        <f t="shared" si="27"/>
        <v>314270</v>
      </c>
      <c r="P30" s="138">
        <f t="shared" si="4"/>
        <v>8928.125</v>
      </c>
      <c r="Q30" s="144">
        <f t="shared" si="19"/>
        <v>69940</v>
      </c>
      <c r="R30" s="138">
        <f t="shared" si="5"/>
        <v>1986.90625</v>
      </c>
      <c r="S30" s="145">
        <f t="shared" si="20"/>
        <v>384210</v>
      </c>
      <c r="T30" s="141">
        <f t="shared" si="6"/>
        <v>12006.5625</v>
      </c>
      <c r="U30" s="146">
        <f>F30+N30</f>
        <v>50</v>
      </c>
      <c r="V30" s="144">
        <f t="shared" si="26"/>
        <v>373560</v>
      </c>
      <c r="W30" s="144">
        <f t="shared" si="8"/>
        <v>81650</v>
      </c>
      <c r="X30" s="147">
        <f t="shared" si="21"/>
        <v>455210</v>
      </c>
      <c r="Y30" s="144">
        <f t="shared" si="9"/>
        <v>9104.2000000000007</v>
      </c>
      <c r="Z30" s="148"/>
      <c r="AA30" s="149">
        <v>126</v>
      </c>
      <c r="AB30" s="137">
        <v>60770</v>
      </c>
      <c r="AC30" s="138">
        <f t="shared" si="10"/>
        <v>482.30158730158729</v>
      </c>
      <c r="AD30" s="137">
        <v>43790</v>
      </c>
      <c r="AE30" s="139">
        <f t="shared" si="11"/>
        <v>347.53968253968253</v>
      </c>
      <c r="AF30" s="150">
        <f t="shared" si="22"/>
        <v>104560</v>
      </c>
      <c r="AG30" s="141">
        <f t="shared" si="12"/>
        <v>829.84126984126988</v>
      </c>
      <c r="AH30" s="157">
        <f t="shared" si="13"/>
        <v>50</v>
      </c>
      <c r="AI30" s="152">
        <f t="shared" si="14"/>
        <v>434330</v>
      </c>
      <c r="AJ30" s="152">
        <f t="shared" si="15"/>
        <v>125440</v>
      </c>
      <c r="AK30" s="151">
        <f>X30+AF30</f>
        <v>559770</v>
      </c>
      <c r="AL30" s="144">
        <f t="shared" si="16"/>
        <v>38250</v>
      </c>
      <c r="AM30" s="144">
        <v>7050</v>
      </c>
      <c r="AN30" s="152">
        <v>50</v>
      </c>
      <c r="AO30" s="152">
        <v>373560</v>
      </c>
      <c r="AP30" s="152">
        <v>81650</v>
      </c>
      <c r="AQ30" s="153">
        <v>34950</v>
      </c>
      <c r="AR30" s="153">
        <v>3300</v>
      </c>
      <c r="AS30" s="153">
        <v>0</v>
      </c>
      <c r="AT30" s="153">
        <v>39600</v>
      </c>
      <c r="AU30" s="154">
        <f t="shared" si="24"/>
        <v>493460</v>
      </c>
      <c r="AV30" s="121">
        <v>26</v>
      </c>
      <c r="AW30" s="122">
        <f t="shared" si="25"/>
        <v>533060</v>
      </c>
      <c r="AX30" s="155"/>
    </row>
    <row r="31" spans="1:50" ht="15.75" customHeight="1">
      <c r="A31" s="121"/>
      <c r="B31" s="160">
        <f t="shared" si="17"/>
        <v>45774</v>
      </c>
      <c r="C31" s="203" t="s">
        <v>58</v>
      </c>
      <c r="D31" s="134">
        <v>88</v>
      </c>
      <c r="E31" s="135">
        <v>10</v>
      </c>
      <c r="F31" s="136">
        <v>27</v>
      </c>
      <c r="G31" s="137">
        <v>87780</v>
      </c>
      <c r="H31" s="138">
        <f>ROUNDDOWN(G31/1.1,0)/F31</f>
        <v>2955.5555555555557</v>
      </c>
      <c r="I31" s="137">
        <v>9710</v>
      </c>
      <c r="J31" s="138">
        <f>ROUNDDOWN(I31/1.1,0)/F31</f>
        <v>326.92592592592592</v>
      </c>
      <c r="K31" s="140">
        <f t="shared" si="2"/>
        <v>97490</v>
      </c>
      <c r="L31" s="141">
        <f>IF(F31="","",K31/F31)</f>
        <v>3610.7407407407409</v>
      </c>
      <c r="M31" s="142"/>
      <c r="N31" s="143">
        <f t="shared" si="27"/>
        <v>40</v>
      </c>
      <c r="O31" s="144">
        <f t="shared" si="27"/>
        <v>381700</v>
      </c>
      <c r="P31" s="138">
        <f t="shared" si="4"/>
        <v>8675</v>
      </c>
      <c r="Q31" s="144">
        <f t="shared" si="19"/>
        <v>60680</v>
      </c>
      <c r="R31" s="138">
        <f t="shared" si="5"/>
        <v>1379.075</v>
      </c>
      <c r="S31" s="145">
        <f t="shared" si="20"/>
        <v>442380</v>
      </c>
      <c r="T31" s="141">
        <f t="shared" si="6"/>
        <v>11059.5</v>
      </c>
      <c r="U31" s="146">
        <f>F31+N31</f>
        <v>67</v>
      </c>
      <c r="V31" s="144">
        <f t="shared" si="26"/>
        <v>469480</v>
      </c>
      <c r="W31" s="144">
        <f t="shared" si="8"/>
        <v>70390</v>
      </c>
      <c r="X31" s="147">
        <f t="shared" si="21"/>
        <v>539870</v>
      </c>
      <c r="Y31" s="144">
        <f t="shared" si="9"/>
        <v>8057.7611940298511</v>
      </c>
      <c r="Z31" s="148"/>
      <c r="AA31" s="149">
        <v>148</v>
      </c>
      <c r="AB31" s="137">
        <v>74400</v>
      </c>
      <c r="AC31" s="138">
        <f t="shared" si="10"/>
        <v>502.70270270270271</v>
      </c>
      <c r="AD31" s="137">
        <v>42750</v>
      </c>
      <c r="AE31" s="139">
        <f t="shared" si="11"/>
        <v>288.85135135135135</v>
      </c>
      <c r="AF31" s="150">
        <f t="shared" si="22"/>
        <v>117150</v>
      </c>
      <c r="AG31" s="141">
        <f t="shared" si="12"/>
        <v>791.55405405405406</v>
      </c>
      <c r="AH31" s="157">
        <f t="shared" si="13"/>
        <v>67</v>
      </c>
      <c r="AI31" s="152">
        <f t="shared" si="14"/>
        <v>543880</v>
      </c>
      <c r="AJ31" s="152">
        <f t="shared" si="15"/>
        <v>113140</v>
      </c>
      <c r="AK31" s="151">
        <f t="shared" si="23"/>
        <v>657020</v>
      </c>
      <c r="AL31" s="144">
        <f t="shared" si="16"/>
        <v>41950</v>
      </c>
      <c r="AM31" s="144">
        <v>5550</v>
      </c>
      <c r="AN31" s="152">
        <v>67</v>
      </c>
      <c r="AO31" s="152">
        <v>469480</v>
      </c>
      <c r="AP31" s="152">
        <v>70390</v>
      </c>
      <c r="AQ31" s="153">
        <v>40300</v>
      </c>
      <c r="AR31" s="153">
        <v>1650</v>
      </c>
      <c r="AS31" s="153">
        <v>0</v>
      </c>
      <c r="AT31" s="153">
        <v>23100</v>
      </c>
      <c r="AU31" s="154">
        <f t="shared" si="24"/>
        <v>581820</v>
      </c>
      <c r="AV31" s="121">
        <v>27</v>
      </c>
      <c r="AW31" s="122">
        <f t="shared" si="25"/>
        <v>604920</v>
      </c>
      <c r="AX31" s="155"/>
    </row>
    <row r="32" spans="1:50" ht="15.75" customHeight="1">
      <c r="A32" s="121"/>
      <c r="B32" s="175">
        <f t="shared" si="17"/>
        <v>45775</v>
      </c>
      <c r="C32" s="203" t="s">
        <v>68</v>
      </c>
      <c r="D32" s="134">
        <v>89</v>
      </c>
      <c r="E32" s="135"/>
      <c r="F32" s="136"/>
      <c r="G32" s="137"/>
      <c r="H32" s="138" t="e">
        <f>ROUNDDOWN(G32/1.1,0)/F32</f>
        <v>#DIV/0!</v>
      </c>
      <c r="I32" s="137"/>
      <c r="J32" s="138" t="e">
        <f>ROUNDDOWN(I32/1.1,0)/F32</f>
        <v>#DIV/0!</v>
      </c>
      <c r="K32" s="140">
        <f>G32+I32</f>
        <v>0</v>
      </c>
      <c r="L32" s="141" t="str">
        <f>IF(F32="","",K32/F32)</f>
        <v/>
      </c>
      <c r="M32" s="142"/>
      <c r="N32" s="143">
        <f t="shared" si="27"/>
        <v>40</v>
      </c>
      <c r="O32" s="144">
        <f t="shared" si="27"/>
        <v>341110</v>
      </c>
      <c r="P32" s="138">
        <f>ROUNDDOWN(O32/1.1,0)/N32</f>
        <v>7752.5</v>
      </c>
      <c r="Q32" s="144">
        <f>AP32-I32</f>
        <v>40440</v>
      </c>
      <c r="R32" s="138">
        <f>ROUNDDOWN(Q32/1.1,0)/N32</f>
        <v>919.07500000000005</v>
      </c>
      <c r="S32" s="145">
        <f>O32+Q32</f>
        <v>381550</v>
      </c>
      <c r="T32" s="141">
        <f>IF(N32="","",S32/N32)</f>
        <v>9538.75</v>
      </c>
      <c r="U32" s="146">
        <f>F32+N32</f>
        <v>40</v>
      </c>
      <c r="V32" s="144">
        <f>G32+O32</f>
        <v>341110</v>
      </c>
      <c r="W32" s="144">
        <f>I32+Q32</f>
        <v>40440</v>
      </c>
      <c r="X32" s="147">
        <f>K32+S32</f>
        <v>381550</v>
      </c>
      <c r="Y32" s="144">
        <f>IF(U32="","",X32/U32)</f>
        <v>9538.75</v>
      </c>
      <c r="Z32" s="148"/>
      <c r="AA32" s="149">
        <v>141</v>
      </c>
      <c r="AB32" s="137">
        <v>90200</v>
      </c>
      <c r="AC32" s="138">
        <f>AB32/AA32</f>
        <v>639.71631205673759</v>
      </c>
      <c r="AD32" s="137">
        <v>46080</v>
      </c>
      <c r="AE32" s="139">
        <f>AD32/AA32</f>
        <v>326.80851063829789</v>
      </c>
      <c r="AF32" s="150">
        <f>AB32+AD32</f>
        <v>136280</v>
      </c>
      <c r="AG32" s="141">
        <f>IF(AA32="","",AF32/AA32)</f>
        <v>966.52482269503548</v>
      </c>
      <c r="AH32" s="157">
        <f>SUM(F32,N32)</f>
        <v>40</v>
      </c>
      <c r="AI32" s="152">
        <f>V32+AB32</f>
        <v>431310</v>
      </c>
      <c r="AJ32" s="152">
        <f>W32+AD32</f>
        <v>86520</v>
      </c>
      <c r="AK32" s="151">
        <f>X32+AF32</f>
        <v>517830</v>
      </c>
      <c r="AL32" s="144">
        <f>AQ32+AR32+AS32</f>
        <v>98100</v>
      </c>
      <c r="AM32" s="144">
        <v>2250</v>
      </c>
      <c r="AN32" s="152">
        <v>40</v>
      </c>
      <c r="AO32" s="152">
        <v>341110</v>
      </c>
      <c r="AP32" s="152">
        <v>40440</v>
      </c>
      <c r="AQ32" s="153">
        <v>45100</v>
      </c>
      <c r="AR32" s="153">
        <v>53000</v>
      </c>
      <c r="AS32" s="153">
        <v>0</v>
      </c>
      <c r="AT32" s="153">
        <v>0</v>
      </c>
      <c r="AU32" s="154">
        <f>SUM(AO32:AS32)</f>
        <v>479650</v>
      </c>
      <c r="AV32" s="121">
        <v>26</v>
      </c>
      <c r="AW32" s="122">
        <f>AT32+AU32</f>
        <v>479650</v>
      </c>
      <c r="AX32" s="155"/>
    </row>
    <row r="33" spans="1:50" ht="15.75" customHeight="1">
      <c r="A33" s="121"/>
      <c r="B33" s="160">
        <f t="shared" si="17"/>
        <v>45776</v>
      </c>
      <c r="C33" s="203" t="s">
        <v>58</v>
      </c>
      <c r="D33" s="134">
        <v>0</v>
      </c>
      <c r="E33" s="135">
        <v>9</v>
      </c>
      <c r="F33" s="136">
        <v>25</v>
      </c>
      <c r="G33" s="137">
        <v>87670</v>
      </c>
      <c r="H33" s="138">
        <f>ROUNDDOWN(G33/1.1,0)/F33</f>
        <v>3188</v>
      </c>
      <c r="I33" s="137">
        <v>11980</v>
      </c>
      <c r="J33" s="138">
        <f>ROUNDDOWN(I33/1.1,0)/F33</f>
        <v>435.6</v>
      </c>
      <c r="K33" s="140">
        <f>G33+I33</f>
        <v>99650</v>
      </c>
      <c r="L33" s="141">
        <f>IF(F33="","",K33/F33)</f>
        <v>3986</v>
      </c>
      <c r="M33" s="142"/>
      <c r="N33" s="143">
        <f t="shared" si="27"/>
        <v>31</v>
      </c>
      <c r="O33" s="144">
        <f t="shared" si="27"/>
        <v>319750</v>
      </c>
      <c r="P33" s="138">
        <f>ROUNDDOWN(O33/1.1,0)/N33</f>
        <v>9376.8064516129034</v>
      </c>
      <c r="Q33" s="144">
        <f>AP33-I33</f>
        <v>49020</v>
      </c>
      <c r="R33" s="138">
        <f>ROUNDDOWN(Q33/1.1,0)/N33</f>
        <v>1437.516129032258</v>
      </c>
      <c r="S33" s="145">
        <f>O33+Q33</f>
        <v>368770</v>
      </c>
      <c r="T33" s="141">
        <f>IF(N33="","",S33/N33)</f>
        <v>11895.806451612903</v>
      </c>
      <c r="U33" s="146">
        <f>F33+N33</f>
        <v>56</v>
      </c>
      <c r="V33" s="144">
        <f>G33+O33</f>
        <v>407420</v>
      </c>
      <c r="W33" s="144">
        <f>I33+Q33</f>
        <v>61000</v>
      </c>
      <c r="X33" s="147">
        <f>K33+S33</f>
        <v>468420</v>
      </c>
      <c r="Y33" s="144">
        <f>IF(U33="","",X33/U33)</f>
        <v>8364.6428571428569</v>
      </c>
      <c r="Z33" s="148"/>
      <c r="AA33" s="149">
        <v>16</v>
      </c>
      <c r="AB33" s="137">
        <v>9800</v>
      </c>
      <c r="AC33" s="138">
        <f>AB33/AA33</f>
        <v>612.5</v>
      </c>
      <c r="AD33" s="137">
        <v>4320</v>
      </c>
      <c r="AE33" s="139">
        <f>AD33/AA33</f>
        <v>270</v>
      </c>
      <c r="AF33" s="150">
        <f>AB33+AD33</f>
        <v>14120</v>
      </c>
      <c r="AG33" s="141">
        <f>IF(AA33="","",AF33/AA33)</f>
        <v>882.5</v>
      </c>
      <c r="AH33" s="157">
        <f>SUM(F33,N33)</f>
        <v>56</v>
      </c>
      <c r="AI33" s="152">
        <f>V33+AB33</f>
        <v>417220</v>
      </c>
      <c r="AJ33" s="152">
        <f>W33+AD33</f>
        <v>65320</v>
      </c>
      <c r="AK33" s="151">
        <f>X33+AF33</f>
        <v>482540</v>
      </c>
      <c r="AL33" s="144">
        <f>AQ33+AR33+AS33</f>
        <v>12100</v>
      </c>
      <c r="AM33" s="144">
        <v>900</v>
      </c>
      <c r="AN33" s="152">
        <v>56</v>
      </c>
      <c r="AO33" s="152">
        <v>407420</v>
      </c>
      <c r="AP33" s="152">
        <v>61000</v>
      </c>
      <c r="AQ33" s="153">
        <v>12100</v>
      </c>
      <c r="AR33" s="153">
        <v>0</v>
      </c>
      <c r="AS33" s="153">
        <v>0</v>
      </c>
      <c r="AT33" s="153">
        <v>3300</v>
      </c>
      <c r="AU33" s="154">
        <f>SUM(AO33:AS33)</f>
        <v>480520</v>
      </c>
      <c r="AV33" s="121">
        <v>27</v>
      </c>
      <c r="AW33" s="122">
        <f>AT33+AU33</f>
        <v>483820</v>
      </c>
      <c r="AX33" s="155"/>
    </row>
    <row r="34" spans="1:50" ht="15.75" customHeight="1" thickBot="1">
      <c r="A34" s="121"/>
      <c r="B34" s="175">
        <f t="shared" si="17"/>
        <v>45777</v>
      </c>
      <c r="C34" s="203" t="s">
        <v>69</v>
      </c>
      <c r="D34" s="134">
        <v>86</v>
      </c>
      <c r="E34" s="135"/>
      <c r="F34" s="136"/>
      <c r="G34" s="137"/>
      <c r="H34" s="138" t="e">
        <f>ROUNDDOWN(G34/1.1,0)/F34</f>
        <v>#DIV/0!</v>
      </c>
      <c r="I34" s="137"/>
      <c r="J34" s="138" t="e">
        <f>ROUNDDOWN(I34/1.1,0)/F34</f>
        <v>#DIV/0!</v>
      </c>
      <c r="K34" s="140">
        <f>G34+I34</f>
        <v>0</v>
      </c>
      <c r="L34" s="141" t="str">
        <f>IF(F34="","",K34/F34)</f>
        <v/>
      </c>
      <c r="M34" s="142"/>
      <c r="N34" s="143">
        <f t="shared" si="27"/>
        <v>42</v>
      </c>
      <c r="O34" s="144">
        <f t="shared" si="27"/>
        <v>365860</v>
      </c>
      <c r="P34" s="138">
        <f>ROUNDDOWN(O34/1.1,0)/N34</f>
        <v>7919.0476190476193</v>
      </c>
      <c r="Q34" s="144">
        <f>AP34-I34</f>
        <v>75230</v>
      </c>
      <c r="R34" s="138">
        <f>ROUNDDOWN(Q34/1.1,0)/N34</f>
        <v>1628.3333333333333</v>
      </c>
      <c r="S34" s="145">
        <f>O34+Q34</f>
        <v>441090</v>
      </c>
      <c r="T34" s="141">
        <f>IF(N34="","",S34/N34)</f>
        <v>10502.142857142857</v>
      </c>
      <c r="U34" s="146">
        <f>F34+N34</f>
        <v>42</v>
      </c>
      <c r="V34" s="144">
        <f>G34+O34</f>
        <v>365860</v>
      </c>
      <c r="W34" s="144">
        <f>I34+Q34</f>
        <v>75230</v>
      </c>
      <c r="X34" s="147">
        <f>K34+S34</f>
        <v>441090</v>
      </c>
      <c r="Y34" s="144">
        <f>IF(U34="","",X34/U34)</f>
        <v>10502.142857142857</v>
      </c>
      <c r="Z34" s="148"/>
      <c r="AA34" s="149">
        <v>36</v>
      </c>
      <c r="AB34" s="137">
        <v>16100</v>
      </c>
      <c r="AC34" s="138">
        <f>AB34/AA34</f>
        <v>447.22222222222223</v>
      </c>
      <c r="AD34" s="137">
        <v>10270</v>
      </c>
      <c r="AE34" s="139">
        <f>AD34/AA34</f>
        <v>285.27777777777777</v>
      </c>
      <c r="AF34" s="150">
        <f>AB34+AD34</f>
        <v>26370</v>
      </c>
      <c r="AG34" s="141">
        <f>IF(AA34="","",AF34/AA34)</f>
        <v>732.5</v>
      </c>
      <c r="AH34" s="157">
        <f>SUM(F34,N34)</f>
        <v>42</v>
      </c>
      <c r="AI34" s="152">
        <f>V34+AB34</f>
        <v>381960</v>
      </c>
      <c r="AJ34" s="152">
        <f>W34+AD34</f>
        <v>85500</v>
      </c>
      <c r="AK34" s="151">
        <f>X34+AF34</f>
        <v>467460</v>
      </c>
      <c r="AL34" s="144">
        <f>AQ34+AR34+AS34</f>
        <v>48400</v>
      </c>
      <c r="AM34" s="144"/>
      <c r="AN34" s="152">
        <v>42</v>
      </c>
      <c r="AO34" s="152">
        <v>365860</v>
      </c>
      <c r="AP34" s="152">
        <v>75230</v>
      </c>
      <c r="AQ34" s="153">
        <v>48400</v>
      </c>
      <c r="AR34" s="153">
        <v>0</v>
      </c>
      <c r="AS34" s="153">
        <v>0</v>
      </c>
      <c r="AT34" s="153">
        <v>0</v>
      </c>
      <c r="AU34" s="154">
        <f>SUM(AO34:AS34)</f>
        <v>489490</v>
      </c>
      <c r="AV34" s="121">
        <v>27</v>
      </c>
      <c r="AW34" s="122">
        <f>AT34+AU34</f>
        <v>489490</v>
      </c>
      <c r="AX34" s="155"/>
    </row>
    <row r="35" spans="1:50" ht="15.75" customHeight="1" thickTop="1" thickBot="1">
      <c r="A35" s="35"/>
      <c r="B35" s="36" t="s">
        <v>25</v>
      </c>
      <c r="C35" s="163">
        <f>SUM(C5:C34)</f>
        <v>0</v>
      </c>
      <c r="D35" s="164"/>
      <c r="E35" s="38">
        <f>SUM(E5:E34)</f>
        <v>28</v>
      </c>
      <c r="F35" s="39">
        <f>SUM(F5:F34)</f>
        <v>70</v>
      </c>
      <c r="G35" s="40">
        <f>SUM(G5:G34)</f>
        <v>234740</v>
      </c>
      <c r="H35" s="41">
        <f>G35/F35</f>
        <v>3353.4285714285716</v>
      </c>
      <c r="I35" s="37">
        <f>SUM(I5:I34)</f>
        <v>33400</v>
      </c>
      <c r="J35" s="42">
        <f>I35/F35</f>
        <v>477.14285714285717</v>
      </c>
      <c r="K35" s="43">
        <f>SUM(K5:K34)</f>
        <v>268140</v>
      </c>
      <c r="L35" s="44">
        <f>K35/F35</f>
        <v>3830.5714285714284</v>
      </c>
      <c r="M35" s="45">
        <f>SUM(M5:M34)</f>
        <v>0</v>
      </c>
      <c r="N35" s="39">
        <f>SUM(N5:N34)</f>
        <v>307</v>
      </c>
      <c r="O35" s="40">
        <f>SUM(O5:O34)</f>
        <v>2924080</v>
      </c>
      <c r="P35" s="41">
        <f>O35/N35</f>
        <v>9524.6905537459279</v>
      </c>
      <c r="Q35" s="46">
        <f>SUM(Q5:Q34)</f>
        <v>509940</v>
      </c>
      <c r="R35" s="42">
        <f>Q35/N35</f>
        <v>1661.042345276873</v>
      </c>
      <c r="S35" s="47">
        <f>SUM(S5:S34)</f>
        <v>3434020</v>
      </c>
      <c r="T35" s="48">
        <f>S35/N35</f>
        <v>11185.732899022802</v>
      </c>
      <c r="U35" s="39">
        <f>SUM(U5:U34)</f>
        <v>377</v>
      </c>
      <c r="V35" s="49">
        <f>SUM(V5:V34)</f>
        <v>3158820</v>
      </c>
      <c r="W35" s="46">
        <f>SUM(W5:W34)</f>
        <v>543340</v>
      </c>
      <c r="X35" s="50">
        <f>SUM(X5:X34)</f>
        <v>3702160</v>
      </c>
      <c r="Y35" s="51">
        <f>X35/U35</f>
        <v>9820.0530503978771</v>
      </c>
      <c r="Z35" s="38">
        <f>SUM(Z5:Z34)</f>
        <v>0</v>
      </c>
      <c r="AA35" s="39">
        <f>SUM(AA5:AA34)</f>
        <v>559</v>
      </c>
      <c r="AB35" s="52">
        <f>SUM(AB5:AB34)</f>
        <v>298110</v>
      </c>
      <c r="AC35" s="41"/>
      <c r="AD35" s="37">
        <f>SUM(AD5:AD34)</f>
        <v>180410</v>
      </c>
      <c r="AE35" s="42"/>
      <c r="AF35" s="53">
        <f>SUM(AF5:AF34)</f>
        <v>478520</v>
      </c>
      <c r="AG35" s="54">
        <f>AF35/AA35</f>
        <v>856.02862254025047</v>
      </c>
      <c r="AH35" s="39">
        <f t="shared" ref="AH35:AU35" si="28">SUM(AH5:AH34)</f>
        <v>377</v>
      </c>
      <c r="AI35" s="49">
        <f t="shared" si="28"/>
        <v>3456930</v>
      </c>
      <c r="AJ35" s="46">
        <f t="shared" si="28"/>
        <v>723750</v>
      </c>
      <c r="AK35" s="47">
        <f>SUM(AK5:AK34)</f>
        <v>4180680</v>
      </c>
      <c r="AL35" s="37">
        <f t="shared" si="28"/>
        <v>372690</v>
      </c>
      <c r="AM35" s="179">
        <f t="shared" si="28"/>
        <v>17400</v>
      </c>
      <c r="AN35" s="55">
        <f t="shared" si="28"/>
        <v>377</v>
      </c>
      <c r="AO35" s="55">
        <f t="shared" si="28"/>
        <v>3158820</v>
      </c>
      <c r="AP35" s="55">
        <f t="shared" si="28"/>
        <v>543340</v>
      </c>
      <c r="AQ35" s="55">
        <f t="shared" si="28"/>
        <v>307900</v>
      </c>
      <c r="AR35" s="55">
        <f t="shared" si="28"/>
        <v>64790</v>
      </c>
      <c r="AS35" s="55">
        <f t="shared" si="28"/>
        <v>0</v>
      </c>
      <c r="AT35" s="55">
        <f t="shared" si="28"/>
        <v>66000</v>
      </c>
      <c r="AU35" s="55">
        <f t="shared" si="28"/>
        <v>4074850</v>
      </c>
      <c r="AV35" s="35"/>
      <c r="AW35" s="56">
        <f>SUM(AW5:AW34)</f>
        <v>4140850</v>
      </c>
    </row>
    <row r="36" spans="1:50" ht="15.75" customHeight="1" thickTop="1">
      <c r="A36" s="35"/>
      <c r="B36" s="57"/>
      <c r="C36" s="165"/>
      <c r="D36" s="89"/>
      <c r="E36" s="35"/>
      <c r="F36" s="58" t="s">
        <v>34</v>
      </c>
      <c r="G36" s="59">
        <f>G35/1.1</f>
        <v>213399.99999999997</v>
      </c>
      <c r="H36" s="60">
        <f>G36/F35</f>
        <v>3048.571428571428</v>
      </c>
      <c r="I36" s="32">
        <f>I35/1.1</f>
        <v>30363.63636363636</v>
      </c>
      <c r="J36" s="60">
        <f>I36/F35</f>
        <v>433.76623376623371</v>
      </c>
      <c r="K36" s="55">
        <f>K35/1.1</f>
        <v>243763.63636363635</v>
      </c>
      <c r="L36" s="61">
        <f>H36+J36</f>
        <v>3482.3376623376616</v>
      </c>
      <c r="M36" s="62"/>
      <c r="N36" s="58" t="s">
        <v>34</v>
      </c>
      <c r="O36" s="59">
        <f>O35/1.1</f>
        <v>2658254.5454545454</v>
      </c>
      <c r="P36" s="60">
        <f>O36/N35</f>
        <v>8658.8095943144799</v>
      </c>
      <c r="Q36" s="59">
        <f>Q35/1.1</f>
        <v>463581.81818181812</v>
      </c>
      <c r="R36" s="60">
        <f>Q36/N35</f>
        <v>1510.0384957062479</v>
      </c>
      <c r="S36" s="60">
        <f>S35/1.1</f>
        <v>3121836.3636363633</v>
      </c>
      <c r="T36" s="63">
        <f>S36/N35</f>
        <v>10168.848090020727</v>
      </c>
      <c r="U36" s="58" t="s">
        <v>34</v>
      </c>
      <c r="V36" s="59">
        <f>V35/1.1</f>
        <v>2871654.5454545454</v>
      </c>
      <c r="W36" s="59">
        <f>W35/1.1</f>
        <v>493945.45454545453</v>
      </c>
      <c r="X36" s="64">
        <f>X35/1.1</f>
        <v>3365599.9999999995</v>
      </c>
      <c r="Y36" s="51">
        <f>X36/U35</f>
        <v>8927.3209549071598</v>
      </c>
      <c r="Z36" s="62"/>
      <c r="AA36" s="58" t="s">
        <v>34</v>
      </c>
      <c r="AB36" s="59">
        <f>AB35/1.1</f>
        <v>271009.09090909088</v>
      </c>
      <c r="AC36" s="32">
        <f>AB36/AA35</f>
        <v>484.81053829891033</v>
      </c>
      <c r="AD36" s="32">
        <f>AD35/1.1</f>
        <v>164009.09090909088</v>
      </c>
      <c r="AE36" s="32">
        <f>AD36/AA35</f>
        <v>293.39730037404451</v>
      </c>
      <c r="AF36" s="60">
        <f>AF35/1.1</f>
        <v>435018.18181818177</v>
      </c>
      <c r="AG36" s="65">
        <f>AF36/AA35</f>
        <v>778.20783867295484</v>
      </c>
      <c r="AH36" s="58" t="s">
        <v>34</v>
      </c>
      <c r="AI36" s="66">
        <f>AI35/1.1</f>
        <v>3142663.6363636362</v>
      </c>
      <c r="AJ36" s="59">
        <f>AJ35/1.1</f>
        <v>657954.54545454541</v>
      </c>
      <c r="AK36" s="60">
        <f>AK35/1.1</f>
        <v>3800618.1818181816</v>
      </c>
      <c r="AL36" s="180">
        <f>AL35/1.1</f>
        <v>338809.09090909088</v>
      </c>
      <c r="AM36" s="181">
        <f>AM35/1.08</f>
        <v>16111.111111111109</v>
      </c>
      <c r="AN36" s="35"/>
      <c r="AO36" s="35"/>
      <c r="AP36" s="35"/>
      <c r="AQ36" s="35"/>
      <c r="AR36" s="67"/>
      <c r="AS36" s="35"/>
      <c r="AT36" s="35"/>
      <c r="AU36" s="67"/>
      <c r="AV36" s="35"/>
      <c r="AW36" s="67"/>
    </row>
    <row r="37" spans="1:50" ht="15.75" customHeight="1">
      <c r="A37" s="31"/>
      <c r="B37" s="68"/>
      <c r="C37" s="166"/>
      <c r="D37" s="90"/>
      <c r="E37" s="31"/>
      <c r="F37" s="69" t="s">
        <v>35</v>
      </c>
      <c r="G37" s="70">
        <f>F35/H37</f>
        <v>23.333333333333332</v>
      </c>
      <c r="H37" s="71">
        <v>3</v>
      </c>
      <c r="I37" s="72" t="s">
        <v>36</v>
      </c>
      <c r="J37" s="70"/>
      <c r="K37" s="73" t="s">
        <v>37</v>
      </c>
      <c r="L37" s="74">
        <f>K36/H37</f>
        <v>81254.545454545456</v>
      </c>
      <c r="M37" s="31"/>
      <c r="N37" s="69" t="s">
        <v>35</v>
      </c>
      <c r="O37" s="70">
        <f>N35/P37</f>
        <v>23.615384615384617</v>
      </c>
      <c r="P37" s="71">
        <v>13</v>
      </c>
      <c r="Q37" s="72" t="s">
        <v>36</v>
      </c>
      <c r="R37" s="70"/>
      <c r="S37" s="73" t="s">
        <v>37</v>
      </c>
      <c r="T37" s="75">
        <f>S36/P37</f>
        <v>240141.2587412587</v>
      </c>
      <c r="U37" s="31"/>
      <c r="V37" s="31"/>
      <c r="W37" s="31"/>
      <c r="X37" s="33"/>
      <c r="Y37" s="33"/>
      <c r="Z37" s="31"/>
      <c r="AA37" s="31"/>
      <c r="AB37" s="76">
        <v>13</v>
      </c>
      <c r="AC37" s="72" t="s">
        <v>36</v>
      </c>
      <c r="AD37" s="70"/>
      <c r="AE37" s="70"/>
      <c r="AF37" s="73" t="s">
        <v>37</v>
      </c>
      <c r="AG37" s="77">
        <f>AF36/AB37</f>
        <v>33462.937062937061</v>
      </c>
      <c r="AH37" s="31"/>
      <c r="AI37" s="31"/>
      <c r="AJ37" s="31" t="s">
        <v>50</v>
      </c>
      <c r="AK37" s="33"/>
      <c r="AL37" s="33">
        <f>AK36/AN37</f>
        <v>4060.4895104895104</v>
      </c>
      <c r="AM37" s="33"/>
      <c r="AN37" s="78">
        <f>AH35+AA35</f>
        <v>936</v>
      </c>
      <c r="AO37" s="31" t="s">
        <v>51</v>
      </c>
      <c r="AP37" s="31"/>
      <c r="AQ37" s="31"/>
      <c r="AR37" s="33"/>
      <c r="AS37" s="31"/>
      <c r="AT37" s="31"/>
      <c r="AU37" s="33"/>
      <c r="AV37" s="31"/>
      <c r="AW37" s="33">
        <f>AW35/1.1</f>
        <v>3764409.0909090908</v>
      </c>
    </row>
    <row r="38" spans="1:50" ht="15.75" customHeight="1">
      <c r="A38" s="31"/>
      <c r="B38" s="68"/>
      <c r="C38" s="166"/>
      <c r="D38" s="90"/>
      <c r="E38" s="79" t="s">
        <v>38</v>
      </c>
      <c r="F38" s="80"/>
      <c r="G38" s="70"/>
      <c r="H38" s="81"/>
      <c r="I38" s="70"/>
      <c r="J38" s="70"/>
      <c r="K38" s="73"/>
      <c r="L38" s="77"/>
      <c r="M38" s="82" t="s">
        <v>39</v>
      </c>
      <c r="N38" s="69"/>
      <c r="O38" s="70"/>
      <c r="P38" s="70"/>
      <c r="Q38" s="70"/>
      <c r="R38" s="70"/>
      <c r="S38" s="73"/>
      <c r="T38" s="77"/>
      <c r="U38" s="31"/>
      <c r="V38" s="31"/>
      <c r="W38" s="31"/>
      <c r="X38" s="33"/>
      <c r="Y38" s="33"/>
      <c r="Z38" s="82" t="s">
        <v>40</v>
      </c>
      <c r="AA38" s="31"/>
      <c r="AB38" s="70"/>
      <c r="AC38" s="70"/>
      <c r="AD38" s="70"/>
      <c r="AE38" s="70"/>
      <c r="AF38" s="70"/>
      <c r="AG38" s="77"/>
      <c r="AH38" s="31"/>
      <c r="AI38" s="31"/>
      <c r="AJ38" s="31" t="s">
        <v>52</v>
      </c>
      <c r="AL38" s="83">
        <f>AK36/AB37</f>
        <v>292355.24475524476</v>
      </c>
      <c r="AM38" s="83"/>
      <c r="AN38" s="31" t="s">
        <v>53</v>
      </c>
      <c r="AO38" s="31"/>
      <c r="AP38" s="31"/>
      <c r="AQ38" s="31"/>
      <c r="AR38" s="33"/>
      <c r="AS38" s="31"/>
      <c r="AT38" s="31"/>
      <c r="AU38" s="33"/>
      <c r="AV38" s="31"/>
      <c r="AW38" s="33"/>
    </row>
    <row r="39" spans="1:50" ht="15.75" customHeight="1">
      <c r="A39" s="31"/>
      <c r="B39" s="68"/>
      <c r="C39" s="167"/>
      <c r="D39" s="90"/>
      <c r="E39" s="84"/>
      <c r="F39" s="195"/>
      <c r="G39" s="195"/>
      <c r="H39" s="195"/>
      <c r="I39" s="195"/>
      <c r="J39" s="195"/>
      <c r="K39" s="195"/>
      <c r="L39" s="196"/>
      <c r="M39" s="84"/>
      <c r="N39" s="195"/>
      <c r="O39" s="195"/>
      <c r="P39" s="195"/>
      <c r="Q39" s="195"/>
      <c r="R39" s="195"/>
      <c r="S39" s="195"/>
      <c r="T39" s="196"/>
      <c r="U39" s="31"/>
      <c r="V39" s="31"/>
      <c r="W39" s="31"/>
      <c r="X39" s="33"/>
      <c r="Y39" s="31"/>
      <c r="Z39" s="84"/>
      <c r="AA39" s="195"/>
      <c r="AB39" s="195"/>
      <c r="AC39" s="195"/>
      <c r="AD39" s="195"/>
      <c r="AE39" s="195"/>
      <c r="AF39" s="195"/>
      <c r="AG39" s="196"/>
      <c r="AH39" s="31"/>
      <c r="AI39" s="31"/>
      <c r="AJ39" s="31" t="s">
        <v>54</v>
      </c>
      <c r="AK39" s="33">
        <f>AK35+AL35+AM35</f>
        <v>4570770</v>
      </c>
      <c r="AL39" s="83">
        <f>AK39/AB37</f>
        <v>351597.69230769231</v>
      </c>
      <c r="AM39" s="83"/>
      <c r="AN39" s="31" t="s">
        <v>41</v>
      </c>
      <c r="AO39" s="31"/>
      <c r="AP39" s="31"/>
      <c r="AQ39" s="31"/>
      <c r="AR39" s="31"/>
      <c r="AS39" s="31"/>
      <c r="AT39" s="31"/>
      <c r="AU39" s="33"/>
      <c r="AV39" s="31"/>
      <c r="AW39" s="33"/>
    </row>
    <row r="40" spans="1:50" ht="21" customHeight="1">
      <c r="A40" s="31"/>
      <c r="B40" s="68"/>
      <c r="C40" s="167"/>
      <c r="D40" s="90"/>
      <c r="E40" s="197"/>
      <c r="F40" s="198"/>
      <c r="G40" s="198"/>
      <c r="H40" s="198"/>
      <c r="I40" s="198"/>
      <c r="J40" s="198"/>
      <c r="K40" s="198"/>
      <c r="L40" s="199"/>
      <c r="M40" s="197"/>
      <c r="N40" s="198"/>
      <c r="O40" s="198"/>
      <c r="P40" s="198"/>
      <c r="Q40" s="198"/>
      <c r="R40" s="198"/>
      <c r="S40" s="198"/>
      <c r="T40" s="199"/>
      <c r="U40" s="31"/>
      <c r="V40" s="31"/>
      <c r="W40" s="31"/>
      <c r="X40" s="33"/>
      <c r="Y40" s="31"/>
      <c r="Z40" s="197"/>
      <c r="AA40" s="198"/>
      <c r="AB40" s="198"/>
      <c r="AC40" s="198"/>
      <c r="AD40" s="198"/>
      <c r="AE40" s="198"/>
      <c r="AF40" s="198"/>
      <c r="AG40" s="199"/>
      <c r="AH40" s="31"/>
      <c r="AI40" s="31"/>
      <c r="AJ40" s="31" t="s">
        <v>55</v>
      </c>
      <c r="AK40" s="67">
        <f>AK36+AL36+AM36</f>
        <v>4155538.3838383835</v>
      </c>
      <c r="AL40" s="83">
        <f>AK40/AB37</f>
        <v>319656.79875679873</v>
      </c>
      <c r="AM40" s="83"/>
      <c r="AN40" s="31" t="s">
        <v>53</v>
      </c>
      <c r="AO40" s="31"/>
      <c r="AP40" s="31"/>
      <c r="AQ40" s="31"/>
      <c r="AR40" s="31"/>
      <c r="AS40" s="31"/>
      <c r="AT40" s="31"/>
      <c r="AU40" s="33"/>
      <c r="AV40" s="31"/>
      <c r="AW40" s="33"/>
    </row>
    <row r="41" spans="1:50" ht="21" customHeight="1">
      <c r="A41" s="31"/>
      <c r="B41" s="68"/>
      <c r="C41" s="167"/>
      <c r="D41" s="90"/>
      <c r="E41" s="197"/>
      <c r="F41" s="198"/>
      <c r="G41" s="198"/>
      <c r="H41" s="198"/>
      <c r="I41" s="198"/>
      <c r="J41" s="198"/>
      <c r="K41" s="198"/>
      <c r="L41" s="199"/>
      <c r="M41" s="197"/>
      <c r="N41" s="198"/>
      <c r="O41" s="198"/>
      <c r="P41" s="198"/>
      <c r="Q41" s="198"/>
      <c r="R41" s="198"/>
      <c r="S41" s="198"/>
      <c r="T41" s="199"/>
      <c r="U41" s="31"/>
      <c r="V41" s="31"/>
      <c r="W41" s="31"/>
      <c r="X41" s="33"/>
      <c r="Y41" s="31"/>
      <c r="Z41" s="197"/>
      <c r="AA41" s="198"/>
      <c r="AB41" s="198"/>
      <c r="AC41" s="198"/>
      <c r="AD41" s="198"/>
      <c r="AE41" s="198"/>
      <c r="AF41" s="198"/>
      <c r="AG41" s="199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3"/>
      <c r="AV41" s="31"/>
      <c r="AW41" s="33"/>
    </row>
    <row r="42" spans="1:50" ht="21" customHeight="1">
      <c r="A42" s="31"/>
      <c r="B42" s="68"/>
      <c r="C42" s="167"/>
      <c r="D42" s="90"/>
      <c r="E42" s="197"/>
      <c r="F42" s="198"/>
      <c r="G42" s="198"/>
      <c r="H42" s="198"/>
      <c r="I42" s="198"/>
      <c r="J42" s="198"/>
      <c r="K42" s="198"/>
      <c r="L42" s="199"/>
      <c r="M42" s="197"/>
      <c r="N42" s="198"/>
      <c r="O42" s="198"/>
      <c r="P42" s="198"/>
      <c r="Q42" s="198"/>
      <c r="R42" s="198"/>
      <c r="S42" s="198"/>
      <c r="T42" s="199"/>
      <c r="U42" s="31"/>
      <c r="V42" s="31"/>
      <c r="W42" s="31"/>
      <c r="X42" s="31"/>
      <c r="Y42" s="31"/>
      <c r="Z42" s="197"/>
      <c r="AA42" s="198"/>
      <c r="AB42" s="198"/>
      <c r="AC42" s="198"/>
      <c r="AD42" s="198"/>
      <c r="AE42" s="198"/>
      <c r="AF42" s="198"/>
      <c r="AG42" s="199"/>
      <c r="AH42" s="31"/>
      <c r="AI42" s="31"/>
      <c r="AJ42" s="31"/>
      <c r="AK42" s="33">
        <f>AK36+AL36</f>
        <v>4139427.2727272725</v>
      </c>
      <c r="AL42" s="90" t="s">
        <v>42</v>
      </c>
      <c r="AM42" s="90" t="s">
        <v>61</v>
      </c>
      <c r="AN42" s="90" t="s">
        <v>62</v>
      </c>
      <c r="AO42" s="31"/>
      <c r="AP42" s="31"/>
      <c r="AQ42" s="31"/>
      <c r="AR42" s="31"/>
      <c r="AS42" s="31"/>
      <c r="AT42" s="33"/>
      <c r="AU42" s="31"/>
      <c r="AV42" s="33"/>
    </row>
    <row r="43" spans="1:50" ht="21" customHeight="1">
      <c r="A43" s="31"/>
      <c r="B43" s="68"/>
      <c r="C43" s="167"/>
      <c r="D43" s="90"/>
      <c r="E43" s="200"/>
      <c r="F43" s="201"/>
      <c r="G43" s="201"/>
      <c r="H43" s="201"/>
      <c r="I43" s="201"/>
      <c r="J43" s="201"/>
      <c r="K43" s="201"/>
      <c r="L43" s="202"/>
      <c r="M43" s="200"/>
      <c r="N43" s="201"/>
      <c r="O43" s="201"/>
      <c r="P43" s="201"/>
      <c r="Q43" s="201"/>
      <c r="R43" s="201"/>
      <c r="S43" s="201"/>
      <c r="T43" s="202"/>
      <c r="U43" s="31"/>
      <c r="V43" s="31"/>
      <c r="W43" s="31"/>
      <c r="X43" s="31"/>
      <c r="Y43" s="31"/>
      <c r="Z43" s="200"/>
      <c r="AA43" s="201"/>
      <c r="AB43" s="201"/>
      <c r="AC43" s="201"/>
      <c r="AD43" s="201"/>
      <c r="AE43" s="201"/>
      <c r="AF43" s="201"/>
      <c r="AG43" s="202"/>
      <c r="AH43" s="31"/>
      <c r="AI43" s="35"/>
      <c r="AJ43" s="89" t="s">
        <v>43</v>
      </c>
      <c r="AK43" s="67">
        <f>K44+S44+AF44+AL43</f>
        <v>3862635.1280000005</v>
      </c>
      <c r="AL43" s="168">
        <f>AM43+AN43</f>
        <v>202500</v>
      </c>
      <c r="AM43" s="35">
        <v>187500</v>
      </c>
      <c r="AN43" s="35">
        <v>15000</v>
      </c>
      <c r="AO43" s="31"/>
      <c r="AP43" s="31"/>
      <c r="AQ43" s="31"/>
      <c r="AR43" s="31"/>
      <c r="AS43" s="31"/>
      <c r="AT43" s="33"/>
      <c r="AU43" s="31"/>
      <c r="AV43" s="33"/>
    </row>
    <row r="44" spans="1:50" ht="21" customHeight="1">
      <c r="A44" s="31"/>
      <c r="B44" s="68"/>
      <c r="C44" s="166"/>
      <c r="D44" s="90"/>
      <c r="E44" s="31"/>
      <c r="F44" s="31"/>
      <c r="G44" s="31"/>
      <c r="H44" s="31"/>
      <c r="I44" s="94"/>
      <c r="J44" s="95" t="s">
        <v>44</v>
      </c>
      <c r="K44" s="169">
        <v>299000</v>
      </c>
      <c r="L44" s="96" t="s">
        <v>45</v>
      </c>
      <c r="M44" s="35"/>
      <c r="N44" s="35"/>
      <c r="O44" s="35"/>
      <c r="P44" s="35"/>
      <c r="Q44" s="35"/>
      <c r="R44" s="95" t="s">
        <v>46</v>
      </c>
      <c r="S44" s="169">
        <v>2881135.1280000005</v>
      </c>
      <c r="T44" s="96" t="s">
        <v>45</v>
      </c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94" t="s">
        <v>47</v>
      </c>
      <c r="AF44" s="169">
        <v>480000</v>
      </c>
      <c r="AG44" s="96" t="s">
        <v>45</v>
      </c>
      <c r="AH44" s="35"/>
      <c r="AI44" s="35"/>
      <c r="AJ44" s="89" t="s">
        <v>48</v>
      </c>
      <c r="AK44" s="67">
        <f>AK43-AK36-AL36</f>
        <v>-276792.14472727204</v>
      </c>
      <c r="AL44" s="67">
        <f>AL43-AL36</f>
        <v>-136309.09090909088</v>
      </c>
      <c r="AM44" s="107">
        <f>AL36/AL43</f>
        <v>1.673131313131313</v>
      </c>
      <c r="AN44" s="31"/>
      <c r="AO44" s="31"/>
      <c r="AP44" s="31"/>
      <c r="AQ44" s="31"/>
      <c r="AR44" s="33"/>
      <c r="AS44" s="31"/>
      <c r="AT44" s="33"/>
      <c r="AU44" s="31"/>
      <c r="AV44" s="31"/>
    </row>
    <row r="45" spans="1:50" ht="21" customHeight="1">
      <c r="A45" s="31"/>
      <c r="B45" s="68"/>
      <c r="C45" s="166"/>
      <c r="D45" s="90"/>
      <c r="E45" s="31"/>
      <c r="F45" s="31"/>
      <c r="G45" s="31"/>
      <c r="H45" s="31"/>
      <c r="I45" s="94"/>
      <c r="J45" s="94" t="s">
        <v>48</v>
      </c>
      <c r="K45" s="67">
        <f>K44-K36</f>
        <v>55236.363636363647</v>
      </c>
      <c r="L45" s="97">
        <v>0</v>
      </c>
      <c r="M45" s="35"/>
      <c r="N45" s="35"/>
      <c r="O45" s="35"/>
      <c r="P45" s="35"/>
      <c r="Q45" s="35"/>
      <c r="R45" s="94" t="s">
        <v>48</v>
      </c>
      <c r="S45" s="67">
        <f>S44-S36</f>
        <v>-240701.23563636281</v>
      </c>
      <c r="T45" s="182">
        <v>1</v>
      </c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94" t="s">
        <v>48</v>
      </c>
      <c r="AF45" s="67">
        <f>AF44-AF36</f>
        <v>44981.818181818235</v>
      </c>
      <c r="AG45" s="182">
        <f>T45</f>
        <v>1</v>
      </c>
      <c r="AH45" s="35"/>
      <c r="AI45" s="98"/>
      <c r="AJ45" s="99" t="s">
        <v>49</v>
      </c>
      <c r="AK45" s="100">
        <f>AK44/T45</f>
        <v>-276792.14472727204</v>
      </c>
      <c r="AL45" s="106">
        <f>(AK36+AL36)/AK43</f>
        <v>1.0716588897358756</v>
      </c>
      <c r="AM45" s="106"/>
      <c r="AN45" s="98"/>
      <c r="AO45" s="101"/>
      <c r="AP45" s="31"/>
      <c r="AQ45" s="31"/>
      <c r="AR45" s="31"/>
      <c r="AS45" s="33"/>
      <c r="AT45" s="31"/>
      <c r="AU45" s="33"/>
      <c r="AV45" s="31"/>
      <c r="AW45" s="31"/>
    </row>
    <row r="46" spans="1:50" ht="21" customHeight="1">
      <c r="A46" s="101"/>
      <c r="B46" s="102"/>
      <c r="C46" s="170"/>
      <c r="D46" s="115"/>
      <c r="E46" s="101"/>
      <c r="F46" s="101"/>
      <c r="G46" s="101"/>
      <c r="H46" s="101"/>
      <c r="I46" s="103"/>
      <c r="J46" s="99" t="s">
        <v>49</v>
      </c>
      <c r="K46" s="104" t="e">
        <f>K45/L45</f>
        <v>#DIV/0!</v>
      </c>
      <c r="L46" s="105">
        <f>K36/K44</f>
        <v>0.81526299787169354</v>
      </c>
      <c r="M46" s="98"/>
      <c r="N46" s="98"/>
      <c r="O46" s="98"/>
      <c r="P46" s="98"/>
      <c r="Q46" s="98"/>
      <c r="R46" s="99" t="s">
        <v>49</v>
      </c>
      <c r="S46" s="100">
        <f>S45/T45</f>
        <v>-240701.23563636281</v>
      </c>
      <c r="T46" s="105">
        <f>S36/S44</f>
        <v>1.0835438898013265</v>
      </c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9" t="s">
        <v>49</v>
      </c>
      <c r="AF46" s="104">
        <f>AF45/AG45</f>
        <v>44981.818181818235</v>
      </c>
      <c r="AG46" s="105">
        <f>AF36/AF44</f>
        <v>0.90628787878787864</v>
      </c>
      <c r="AH46" s="98"/>
      <c r="AI46" s="31"/>
      <c r="AJ46" s="31"/>
      <c r="AK46" s="33"/>
      <c r="AL46" s="31"/>
      <c r="AM46" s="31"/>
      <c r="AN46" s="31"/>
      <c r="AO46" s="31"/>
      <c r="AP46" s="101"/>
      <c r="AQ46" s="101"/>
      <c r="AR46" s="101"/>
      <c r="AS46" s="108"/>
      <c r="AT46" s="101"/>
      <c r="AU46" s="108"/>
      <c r="AV46" s="101"/>
      <c r="AW46" s="101"/>
    </row>
    <row r="47" spans="1:50" ht="25.5" customHeight="1">
      <c r="A47" s="31"/>
      <c r="B47" s="68"/>
      <c r="C47" s="166"/>
      <c r="D47" s="90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9"/>
      <c r="AJ47" s="109"/>
      <c r="AK47" s="109"/>
      <c r="AL47" s="109"/>
      <c r="AM47" s="109"/>
      <c r="AN47" s="109"/>
      <c r="AO47" s="109"/>
      <c r="AP47" s="31"/>
      <c r="AQ47" s="31"/>
      <c r="AR47" s="31"/>
      <c r="AS47" s="33"/>
      <c r="AT47" s="31"/>
      <c r="AU47" s="33"/>
      <c r="AV47" s="31"/>
      <c r="AW47" s="31"/>
    </row>
    <row r="48" spans="1:50" ht="15.75" customHeight="1">
      <c r="A48" s="109"/>
      <c r="B48" s="110"/>
      <c r="C48" s="171"/>
      <c r="D48" s="1"/>
      <c r="E48" s="109"/>
      <c r="F48" s="109"/>
      <c r="G48" s="109"/>
      <c r="H48" s="109"/>
      <c r="I48" s="109"/>
      <c r="J48" s="109"/>
      <c r="K48" s="109"/>
      <c r="L48" s="109"/>
      <c r="M48" s="111"/>
      <c r="N48" s="31"/>
      <c r="O48" s="31"/>
      <c r="P48" s="31"/>
      <c r="Q48" s="31"/>
      <c r="R48" s="31"/>
      <c r="S48" s="111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"/>
      <c r="AJ48" s="1"/>
      <c r="AK48" s="1"/>
      <c r="AL48" s="1"/>
      <c r="AM48" s="1"/>
      <c r="AN48" s="1"/>
      <c r="AO48" s="1"/>
      <c r="AP48" s="109"/>
      <c r="AQ48" s="109"/>
      <c r="AR48" s="109"/>
      <c r="AS48" s="112"/>
      <c r="AT48" s="109"/>
      <c r="AU48" s="112"/>
      <c r="AV48" s="109"/>
      <c r="AW48" s="109"/>
    </row>
    <row r="49" spans="1:49" ht="36" customHeight="1">
      <c r="A49" s="1"/>
      <c r="B49" s="113"/>
      <c r="C49" s="123"/>
      <c r="D49" s="1"/>
      <c r="E49" s="1"/>
      <c r="F49" s="1"/>
      <c r="G49" s="1"/>
      <c r="H49" s="1"/>
      <c r="I49" s="1"/>
      <c r="J49" s="1"/>
      <c r="K49" s="1"/>
      <c r="L49" s="1"/>
      <c r="M49" s="114"/>
      <c r="N49" s="31"/>
      <c r="O49" s="31"/>
      <c r="P49" s="31"/>
      <c r="Q49" s="31"/>
      <c r="R49" s="31"/>
      <c r="S49" s="114"/>
      <c r="T49" s="114"/>
      <c r="U49" s="1"/>
      <c r="V49" s="1"/>
      <c r="W49" s="1"/>
      <c r="X49" s="1"/>
      <c r="Y49" s="1"/>
      <c r="Z49" s="1"/>
      <c r="AA49" s="115"/>
      <c r="AB49" s="1"/>
      <c r="AC49" s="1"/>
      <c r="AD49" s="1"/>
      <c r="AE49" s="1"/>
      <c r="AF49" s="1"/>
      <c r="AG49" s="1"/>
      <c r="AH49" s="1"/>
      <c r="AI49" s="109"/>
      <c r="AJ49" s="109"/>
      <c r="AK49" s="109"/>
      <c r="AL49" s="109"/>
      <c r="AM49" s="109"/>
      <c r="AN49" s="109"/>
      <c r="AO49" s="109"/>
      <c r="AP49" s="1"/>
      <c r="AQ49" s="1"/>
      <c r="AR49" s="1"/>
      <c r="AS49" s="116"/>
      <c r="AT49" s="1"/>
      <c r="AU49" s="116"/>
      <c r="AV49" s="1"/>
      <c r="AW49" s="1"/>
    </row>
    <row r="50" spans="1:49" ht="36" customHeight="1">
      <c r="A50" s="109"/>
      <c r="B50" s="110"/>
      <c r="C50" s="171"/>
      <c r="D50" s="1"/>
      <c r="E50" s="109"/>
      <c r="F50" s="109"/>
      <c r="G50" s="109"/>
      <c r="H50" s="109"/>
      <c r="I50" s="109"/>
      <c r="J50" s="109"/>
      <c r="K50" s="109"/>
      <c r="L50" s="1"/>
      <c r="M50" s="114"/>
      <c r="N50" s="31"/>
      <c r="O50" s="31"/>
      <c r="P50" s="31"/>
      <c r="Q50" s="31"/>
      <c r="R50" s="31"/>
      <c r="S50" s="117"/>
      <c r="T50" s="118"/>
      <c r="U50" s="118"/>
      <c r="V50" s="118"/>
      <c r="W50" s="118"/>
      <c r="X50" s="119"/>
      <c r="Y50" s="120"/>
      <c r="Z50" s="121"/>
      <c r="AA50" s="122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12"/>
      <c r="AT50" s="109"/>
      <c r="AU50" s="112"/>
      <c r="AV50" s="109"/>
      <c r="AW50" s="109"/>
    </row>
    <row r="51" spans="1:49" ht="36" customHeight="1">
      <c r="A51" s="109"/>
      <c r="B51" s="110"/>
      <c r="C51" s="171"/>
      <c r="D51" s="1"/>
      <c r="E51" s="109"/>
      <c r="F51" s="109"/>
      <c r="G51" s="109"/>
      <c r="H51" s="109"/>
      <c r="I51" s="109"/>
      <c r="J51" s="109"/>
      <c r="K51" s="109"/>
      <c r="L51" s="1"/>
      <c r="M51" s="114"/>
      <c r="N51" s="31"/>
      <c r="O51" s="31"/>
      <c r="P51" s="31"/>
      <c r="Q51" s="31"/>
      <c r="R51" s="31"/>
      <c r="S51" s="119"/>
      <c r="T51" s="118"/>
      <c r="U51" s="118"/>
      <c r="V51" s="118"/>
      <c r="W51" s="118"/>
      <c r="X51" s="119"/>
      <c r="Y51" s="120"/>
      <c r="Z51" s="121"/>
      <c r="AA51" s="122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12"/>
      <c r="AT51" s="109"/>
      <c r="AU51" s="112"/>
      <c r="AV51" s="109"/>
      <c r="AW51" s="109"/>
    </row>
    <row r="52" spans="1:49" ht="36" customHeight="1">
      <c r="A52" s="109"/>
      <c r="B52" s="110"/>
      <c r="C52" s="171"/>
      <c r="D52" s="1"/>
      <c r="E52" s="109"/>
      <c r="F52" s="109"/>
      <c r="G52" s="109"/>
      <c r="H52" s="109"/>
      <c r="I52" s="109"/>
      <c r="J52" s="109"/>
      <c r="K52" s="109"/>
      <c r="L52" s="1"/>
      <c r="M52" s="114"/>
      <c r="N52" s="31"/>
      <c r="O52" s="31"/>
      <c r="P52" s="31"/>
      <c r="Q52" s="31"/>
      <c r="R52" s="31"/>
      <c r="S52" s="119"/>
      <c r="T52" s="118"/>
      <c r="U52" s="118"/>
      <c r="V52" s="118"/>
      <c r="W52" s="118"/>
      <c r="X52" s="119"/>
      <c r="Y52" s="120"/>
      <c r="Z52" s="121"/>
      <c r="AA52" s="122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12"/>
      <c r="AT52" s="109"/>
      <c r="AU52" s="112"/>
      <c r="AV52" s="109"/>
      <c r="AW52" s="109"/>
    </row>
    <row r="53" spans="1:49" ht="36" customHeight="1">
      <c r="A53" s="109"/>
      <c r="B53" s="110"/>
      <c r="C53" s="171"/>
      <c r="D53" s="1"/>
      <c r="E53" s="109"/>
      <c r="F53" s="109"/>
      <c r="G53" s="109"/>
      <c r="H53" s="109"/>
      <c r="I53" s="109"/>
      <c r="J53" s="109"/>
      <c r="K53" s="109"/>
      <c r="L53" s="1"/>
      <c r="M53" s="114"/>
      <c r="N53" s="31"/>
      <c r="O53" s="31"/>
      <c r="P53" s="31"/>
      <c r="Q53" s="31"/>
      <c r="R53" s="31"/>
      <c r="S53" s="119"/>
      <c r="T53" s="118"/>
      <c r="U53" s="118"/>
      <c r="V53" s="118"/>
      <c r="W53" s="118"/>
      <c r="X53" s="119"/>
      <c r="Y53" s="120"/>
      <c r="Z53" s="121"/>
      <c r="AA53" s="122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12"/>
      <c r="AT53" s="109"/>
      <c r="AU53" s="112"/>
      <c r="AV53" s="109"/>
      <c r="AW53" s="109"/>
    </row>
    <row r="54" spans="1:49" ht="36" customHeight="1">
      <c r="A54" s="109"/>
      <c r="B54" s="110"/>
      <c r="C54" s="171"/>
      <c r="D54" s="1"/>
      <c r="E54" s="109"/>
      <c r="F54" s="109"/>
      <c r="G54" s="109"/>
      <c r="H54" s="109"/>
      <c r="I54" s="109"/>
      <c r="J54" s="109"/>
      <c r="K54" s="109"/>
      <c r="L54" s="109"/>
      <c r="M54" s="111"/>
      <c r="N54" s="31"/>
      <c r="O54" s="31"/>
      <c r="P54" s="31"/>
      <c r="Q54" s="31"/>
      <c r="R54" s="31"/>
      <c r="S54" s="119"/>
      <c r="T54" s="118"/>
      <c r="U54" s="118"/>
      <c r="V54" s="118"/>
      <c r="W54" s="118"/>
      <c r="X54" s="120"/>
      <c r="Y54" s="120"/>
      <c r="Z54" s="121"/>
      <c r="AA54" s="122"/>
      <c r="AB54" s="109"/>
      <c r="AC54" s="109"/>
      <c r="AD54" s="109"/>
      <c r="AE54" s="109"/>
      <c r="AF54" s="109"/>
      <c r="AG54" s="109"/>
      <c r="AH54" s="109"/>
      <c r="AI54" s="31"/>
      <c r="AJ54" s="31"/>
      <c r="AK54" s="31"/>
      <c r="AL54" s="31"/>
      <c r="AM54" s="31"/>
      <c r="AN54" s="31"/>
      <c r="AO54" s="31"/>
      <c r="AP54" s="109"/>
      <c r="AQ54" s="109"/>
      <c r="AR54" s="109"/>
      <c r="AS54" s="112"/>
      <c r="AT54" s="109"/>
      <c r="AU54" s="112"/>
      <c r="AV54" s="109"/>
      <c r="AW54" s="109"/>
    </row>
    <row r="55" spans="1:49" ht="36" customHeight="1">
      <c r="A55" s="31"/>
      <c r="B55" s="68"/>
      <c r="C55" s="166"/>
      <c r="D55" s="90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121"/>
      <c r="AA55" s="12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3"/>
      <c r="AV55" s="31"/>
      <c r="AW55" s="33"/>
    </row>
    <row r="56" spans="1:49" ht="15.75" customHeight="1">
      <c r="A56" s="31"/>
      <c r="B56" s="68"/>
      <c r="C56" s="166"/>
      <c r="D56" s="90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09"/>
      <c r="AA56" s="109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1"/>
      <c r="AW56" s="33"/>
    </row>
    <row r="57" spans="1:49" ht="15.75" customHeight="1">
      <c r="A57" s="31"/>
      <c r="B57" s="68"/>
      <c r="C57" s="166"/>
      <c r="D57" s="90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1"/>
      <c r="AW57" s="33"/>
    </row>
    <row r="58" spans="1:49" ht="15.75" customHeight="1">
      <c r="A58" s="31"/>
      <c r="B58" s="68"/>
      <c r="C58" s="166"/>
      <c r="D58" s="90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1"/>
      <c r="AW58" s="33"/>
    </row>
    <row r="59" spans="1:49" ht="15.75" customHeight="1">
      <c r="A59" s="31"/>
      <c r="B59" s="68"/>
      <c r="C59" s="166"/>
      <c r="D59" s="90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1"/>
      <c r="AW59" s="33"/>
    </row>
    <row r="60" spans="1:49" ht="15.75" customHeight="1">
      <c r="A60" s="31"/>
      <c r="B60" s="68"/>
      <c r="C60" s="166"/>
      <c r="D60" s="90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1"/>
      <c r="AW60" s="33"/>
    </row>
    <row r="61" spans="1:49" ht="15.75" customHeight="1">
      <c r="A61" s="31"/>
      <c r="B61" s="68"/>
      <c r="C61" s="166"/>
      <c r="D61" s="90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1"/>
      <c r="AW61" s="33"/>
    </row>
    <row r="62" spans="1:49" ht="15.75" customHeight="1">
      <c r="A62" s="31"/>
      <c r="B62" s="68"/>
      <c r="C62" s="166"/>
      <c r="D62" s="90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1"/>
      <c r="AW62" s="33"/>
    </row>
    <row r="63" spans="1:49" ht="15.75" customHeight="1">
      <c r="A63" s="31"/>
      <c r="B63" s="68"/>
      <c r="C63" s="166"/>
      <c r="D63" s="90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1"/>
      <c r="AW63" s="33"/>
    </row>
    <row r="64" spans="1:49" ht="15.75" customHeight="1">
      <c r="A64" s="31"/>
      <c r="B64" s="68"/>
      <c r="C64" s="166"/>
      <c r="D64" s="90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1"/>
      <c r="AW64" s="33"/>
    </row>
    <row r="65" spans="1:49" ht="15.75" customHeight="1">
      <c r="A65" s="31"/>
      <c r="B65" s="68"/>
      <c r="C65" s="166"/>
      <c r="D65" s="90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1"/>
      <c r="AW65" s="33"/>
    </row>
    <row r="66" spans="1:49" ht="15.75" customHeight="1">
      <c r="A66" s="31"/>
      <c r="B66" s="68"/>
      <c r="C66" s="166"/>
      <c r="D66" s="90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1"/>
      <c r="AW66" s="33"/>
    </row>
    <row r="67" spans="1:49" ht="15.75" customHeight="1">
      <c r="A67" s="31"/>
      <c r="B67" s="68"/>
      <c r="C67" s="166"/>
      <c r="D67" s="90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1"/>
      <c r="AW67" s="33"/>
    </row>
    <row r="68" spans="1:49" ht="15.75" customHeight="1">
      <c r="A68" s="31"/>
      <c r="B68" s="68"/>
      <c r="C68" s="166"/>
      <c r="D68" s="90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1"/>
      <c r="AW68" s="33"/>
    </row>
    <row r="69" spans="1:49" ht="15.75" customHeight="1">
      <c r="A69" s="31"/>
      <c r="B69" s="68"/>
      <c r="C69" s="166"/>
      <c r="D69" s="90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1"/>
      <c r="AW69" s="33"/>
    </row>
    <row r="70" spans="1:49" ht="15.75" customHeight="1">
      <c r="A70" s="31"/>
      <c r="B70" s="68"/>
      <c r="C70" s="166"/>
      <c r="D70" s="90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1"/>
      <c r="AW70" s="33"/>
    </row>
    <row r="71" spans="1:49" ht="15.75" customHeight="1">
      <c r="A71" s="31"/>
      <c r="B71" s="68"/>
      <c r="C71" s="166"/>
      <c r="D71" s="90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1"/>
      <c r="AW71" s="33"/>
    </row>
    <row r="72" spans="1:49" ht="15.75" customHeight="1">
      <c r="A72" s="31"/>
      <c r="B72" s="68"/>
      <c r="C72" s="166"/>
      <c r="D72" s="90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1"/>
      <c r="AW72" s="33"/>
    </row>
    <row r="73" spans="1:49" ht="15.75" customHeight="1">
      <c r="A73" s="31"/>
      <c r="B73" s="68"/>
      <c r="C73" s="166"/>
      <c r="D73" s="90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1"/>
      <c r="AW73" s="33"/>
    </row>
    <row r="74" spans="1:49" ht="15.75" customHeight="1">
      <c r="A74" s="31"/>
      <c r="B74" s="68"/>
      <c r="C74" s="166"/>
      <c r="D74" s="90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1"/>
      <c r="AW74" s="33"/>
    </row>
    <row r="75" spans="1:49" ht="15.75" customHeight="1">
      <c r="A75" s="31"/>
      <c r="B75" s="68"/>
      <c r="C75" s="166"/>
      <c r="D75" s="90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1"/>
      <c r="AW75" s="33"/>
    </row>
    <row r="76" spans="1:49" ht="15.75" customHeight="1">
      <c r="A76" s="31"/>
      <c r="B76" s="68"/>
      <c r="C76" s="166"/>
      <c r="D76" s="90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1"/>
      <c r="AW76" s="33"/>
    </row>
    <row r="77" spans="1:49" ht="15.75" customHeight="1">
      <c r="A77" s="31"/>
      <c r="B77" s="68"/>
      <c r="C77" s="166"/>
      <c r="D77" s="90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1"/>
      <c r="AW77" s="33"/>
    </row>
    <row r="78" spans="1:49" ht="15.75" customHeight="1">
      <c r="A78" s="31"/>
      <c r="B78" s="68"/>
      <c r="C78" s="166"/>
      <c r="D78" s="90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1"/>
      <c r="AW78" s="33"/>
    </row>
    <row r="79" spans="1:49" ht="15.75" customHeight="1">
      <c r="A79" s="31"/>
      <c r="B79" s="68"/>
      <c r="C79" s="166"/>
      <c r="D79" s="90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3"/>
      <c r="AV79" s="31"/>
      <c r="AW79" s="33"/>
    </row>
    <row r="80" spans="1:49" ht="15.75" customHeight="1">
      <c r="A80" s="31"/>
      <c r="B80" s="68"/>
      <c r="C80" s="166"/>
      <c r="D80" s="90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3"/>
      <c r="AV80" s="31"/>
      <c r="AW80" s="33"/>
    </row>
    <row r="81" spans="1:49" ht="15.75" customHeight="1">
      <c r="A81" s="31"/>
      <c r="B81" s="68"/>
      <c r="C81" s="166"/>
      <c r="D81" s="90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3"/>
      <c r="AV81" s="31"/>
      <c r="AW81" s="33"/>
    </row>
    <row r="82" spans="1:49" ht="15.75" customHeight="1">
      <c r="A82" s="31"/>
      <c r="B82" s="68"/>
      <c r="C82" s="166"/>
      <c r="D82" s="90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3"/>
      <c r="AV82" s="31"/>
      <c r="AW82" s="33"/>
    </row>
    <row r="83" spans="1:49" ht="15.75" customHeight="1">
      <c r="A83" s="31"/>
      <c r="B83" s="68"/>
      <c r="C83" s="166"/>
      <c r="D83" s="90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3"/>
      <c r="AV83" s="31"/>
      <c r="AW83" s="33"/>
    </row>
    <row r="84" spans="1:49" ht="15.75" customHeight="1">
      <c r="A84" s="31"/>
      <c r="B84" s="68"/>
      <c r="C84" s="166"/>
      <c r="D84" s="90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3"/>
      <c r="AV84" s="31"/>
      <c r="AW84" s="33"/>
    </row>
    <row r="85" spans="1:49" ht="15.75" customHeight="1">
      <c r="A85" s="31"/>
      <c r="B85" s="68"/>
      <c r="C85" s="166"/>
      <c r="D85" s="90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3"/>
      <c r="AV85" s="31"/>
      <c r="AW85" s="33"/>
    </row>
    <row r="86" spans="1:49" ht="15.75" customHeight="1">
      <c r="A86" s="31"/>
      <c r="B86" s="68"/>
      <c r="C86" s="166"/>
      <c r="D86" s="90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3"/>
      <c r="AV86" s="31"/>
      <c r="AW86" s="33"/>
    </row>
    <row r="87" spans="1:49" ht="15.75" customHeight="1">
      <c r="A87" s="31"/>
      <c r="B87" s="68"/>
      <c r="C87" s="166"/>
      <c r="D87" s="90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3"/>
      <c r="AV87" s="31"/>
      <c r="AW87" s="33"/>
    </row>
    <row r="88" spans="1:49" ht="15.75" customHeight="1">
      <c r="A88" s="31"/>
      <c r="B88" s="68"/>
      <c r="C88" s="166"/>
      <c r="D88" s="90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3"/>
      <c r="AV88" s="31"/>
      <c r="AW88" s="33"/>
    </row>
    <row r="89" spans="1:49" ht="15.75" customHeight="1">
      <c r="A89" s="31"/>
      <c r="B89" s="68"/>
      <c r="C89" s="166"/>
      <c r="D89" s="90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3"/>
      <c r="AV89" s="31"/>
      <c r="AW89" s="33"/>
    </row>
    <row r="90" spans="1:49" ht="15.75" customHeight="1">
      <c r="A90" s="31"/>
      <c r="B90" s="68"/>
      <c r="C90" s="166"/>
      <c r="D90" s="90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3"/>
      <c r="AV90" s="31"/>
      <c r="AW90" s="33"/>
    </row>
    <row r="91" spans="1:49" ht="15.75" customHeight="1">
      <c r="A91" s="31"/>
      <c r="B91" s="68"/>
      <c r="C91" s="166"/>
      <c r="D91" s="90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3"/>
      <c r="AV91" s="31"/>
      <c r="AW91" s="33"/>
    </row>
    <row r="92" spans="1:49" ht="15.75" customHeight="1">
      <c r="A92" s="31"/>
      <c r="B92" s="68"/>
      <c r="C92" s="166"/>
      <c r="D92" s="90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3"/>
      <c r="AV92" s="31"/>
      <c r="AW92" s="33"/>
    </row>
    <row r="93" spans="1:49" ht="15.75" customHeight="1">
      <c r="A93" s="31"/>
      <c r="B93" s="68"/>
      <c r="C93" s="166"/>
      <c r="D93" s="90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3"/>
      <c r="AV93" s="31"/>
      <c r="AW93" s="33"/>
    </row>
    <row r="94" spans="1:49" ht="15.75" customHeight="1">
      <c r="A94" s="31"/>
      <c r="B94" s="68"/>
      <c r="C94" s="166"/>
      <c r="D94" s="90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3"/>
      <c r="AV94" s="31"/>
      <c r="AW94" s="33"/>
    </row>
    <row r="95" spans="1:49" ht="15.75" customHeight="1">
      <c r="A95" s="31"/>
      <c r="B95" s="68"/>
      <c r="C95" s="166"/>
      <c r="D95" s="90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3"/>
      <c r="AV95" s="31"/>
      <c r="AW95" s="33"/>
    </row>
    <row r="96" spans="1:49" ht="15.75" customHeight="1">
      <c r="A96" s="31"/>
      <c r="B96" s="68"/>
      <c r="C96" s="166"/>
      <c r="D96" s="90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3"/>
      <c r="AV96" s="31"/>
      <c r="AW96" s="33"/>
    </row>
    <row r="97" spans="1:49" ht="15.75" customHeight="1">
      <c r="A97" s="31"/>
      <c r="B97" s="68"/>
      <c r="C97" s="166"/>
      <c r="D97" s="90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3"/>
      <c r="AV97" s="31"/>
      <c r="AW97" s="33"/>
    </row>
    <row r="98" spans="1:49" ht="15.75" customHeight="1">
      <c r="A98" s="31"/>
      <c r="B98" s="68"/>
      <c r="C98" s="166"/>
      <c r="D98" s="90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3"/>
      <c r="AV98" s="31"/>
      <c r="AW98" s="33"/>
    </row>
    <row r="99" spans="1:49" ht="15.75" customHeight="1">
      <c r="A99" s="31"/>
      <c r="B99" s="68"/>
      <c r="C99" s="166"/>
      <c r="D99" s="90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3"/>
      <c r="AV99" s="31"/>
      <c r="AW99" s="33"/>
    </row>
    <row r="100" spans="1:49" ht="15.75" customHeight="1">
      <c r="A100" s="31"/>
      <c r="B100" s="68"/>
      <c r="C100" s="166"/>
      <c r="D100" s="90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3"/>
      <c r="AV100" s="31"/>
      <c r="AW100" s="33"/>
    </row>
    <row r="101" spans="1:49" ht="15.75" customHeight="1">
      <c r="A101" s="31"/>
      <c r="B101" s="68"/>
      <c r="C101" s="166"/>
      <c r="D101" s="90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3"/>
      <c r="AV101" s="31"/>
      <c r="AW101" s="33"/>
    </row>
    <row r="102" spans="1:49" ht="15.75" customHeight="1">
      <c r="A102" s="31"/>
      <c r="B102" s="68"/>
      <c r="C102" s="166"/>
      <c r="D102" s="90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3"/>
      <c r="AV102" s="31"/>
      <c r="AW102" s="33"/>
    </row>
    <row r="103" spans="1:49" ht="15.75" customHeight="1">
      <c r="A103" s="31"/>
      <c r="B103" s="68"/>
      <c r="C103" s="166"/>
      <c r="D103" s="90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3"/>
      <c r="AV103" s="31"/>
      <c r="AW103" s="33"/>
    </row>
    <row r="104" spans="1:49" ht="15.75" customHeight="1">
      <c r="A104" s="31"/>
      <c r="B104" s="68"/>
      <c r="C104" s="166"/>
      <c r="D104" s="90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3"/>
      <c r="AV104" s="31"/>
      <c r="AW104" s="33"/>
    </row>
    <row r="105" spans="1:49" ht="15.75" customHeight="1">
      <c r="A105" s="31"/>
      <c r="B105" s="68"/>
      <c r="C105" s="166"/>
      <c r="D105" s="90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3"/>
      <c r="AV105" s="31"/>
      <c r="AW105" s="33"/>
    </row>
    <row r="106" spans="1:49" ht="15.75" customHeight="1">
      <c r="A106" s="31"/>
      <c r="B106" s="68"/>
      <c r="C106" s="166"/>
      <c r="D106" s="90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3"/>
      <c r="AV106" s="31"/>
      <c r="AW106" s="33"/>
    </row>
    <row r="107" spans="1:49" ht="15.75" customHeight="1">
      <c r="A107" s="31"/>
      <c r="B107" s="68"/>
      <c r="C107" s="166"/>
      <c r="D107" s="90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3"/>
      <c r="AV107" s="31"/>
      <c r="AW107" s="33"/>
    </row>
    <row r="108" spans="1:49" ht="15.75" customHeight="1">
      <c r="A108" s="31"/>
      <c r="B108" s="68"/>
      <c r="C108" s="166"/>
      <c r="D108" s="90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3"/>
      <c r="AV108" s="31"/>
      <c r="AW108" s="33"/>
    </row>
    <row r="109" spans="1:49" ht="15.75" customHeight="1">
      <c r="A109" s="31"/>
      <c r="B109" s="68"/>
      <c r="C109" s="166"/>
      <c r="D109" s="90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3"/>
      <c r="AV109" s="31"/>
      <c r="AW109" s="33"/>
    </row>
    <row r="110" spans="1:49" ht="15.75" customHeight="1">
      <c r="A110" s="31"/>
      <c r="B110" s="68"/>
      <c r="C110" s="166"/>
      <c r="D110" s="90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3"/>
      <c r="AV110" s="31"/>
      <c r="AW110" s="33"/>
    </row>
    <row r="111" spans="1:49" ht="15.75" customHeight="1">
      <c r="A111" s="31"/>
      <c r="B111" s="68"/>
      <c r="C111" s="166"/>
      <c r="D111" s="90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3"/>
      <c r="AV111" s="31"/>
      <c r="AW111" s="33"/>
    </row>
    <row r="112" spans="1:49" ht="15.75" customHeight="1">
      <c r="A112" s="31"/>
      <c r="B112" s="68"/>
      <c r="C112" s="166"/>
      <c r="D112" s="90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3"/>
      <c r="AV112" s="31"/>
      <c r="AW112" s="33"/>
    </row>
    <row r="113" spans="1:49" ht="15.75" customHeight="1">
      <c r="A113" s="31"/>
      <c r="B113" s="68"/>
      <c r="C113" s="166"/>
      <c r="D113" s="90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3"/>
      <c r="AV113" s="31"/>
      <c r="AW113" s="33"/>
    </row>
    <row r="114" spans="1:49" ht="15.75" customHeight="1">
      <c r="A114" s="31"/>
      <c r="B114" s="68"/>
      <c r="C114" s="166"/>
      <c r="D114" s="90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3"/>
      <c r="AV114" s="31"/>
      <c r="AW114" s="33"/>
    </row>
    <row r="115" spans="1:49" ht="15.75" customHeight="1">
      <c r="A115" s="31"/>
      <c r="B115" s="68"/>
      <c r="C115" s="166"/>
      <c r="D115" s="90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3"/>
      <c r="AV115" s="31"/>
      <c r="AW115" s="33"/>
    </row>
    <row r="116" spans="1:49" ht="15.75" customHeight="1">
      <c r="A116" s="31"/>
      <c r="B116" s="68"/>
      <c r="C116" s="166"/>
      <c r="D116" s="90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3"/>
      <c r="AV116" s="31"/>
      <c r="AW116" s="33"/>
    </row>
    <row r="117" spans="1:49" ht="15.75" customHeight="1">
      <c r="A117" s="31"/>
      <c r="B117" s="68"/>
      <c r="C117" s="166"/>
      <c r="D117" s="90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3"/>
      <c r="AV117" s="31"/>
      <c r="AW117" s="33"/>
    </row>
    <row r="118" spans="1:49" ht="15.75" customHeight="1">
      <c r="A118" s="31"/>
      <c r="B118" s="68"/>
      <c r="C118" s="166"/>
      <c r="D118" s="90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3"/>
      <c r="AV118" s="31"/>
      <c r="AW118" s="33"/>
    </row>
    <row r="119" spans="1:49" ht="15.75" customHeight="1">
      <c r="A119" s="31"/>
      <c r="B119" s="68"/>
      <c r="C119" s="166"/>
      <c r="D119" s="90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3"/>
      <c r="AV119" s="31"/>
      <c r="AW119" s="33"/>
    </row>
    <row r="120" spans="1:49" ht="15.75" customHeight="1">
      <c r="A120" s="31"/>
      <c r="B120" s="68"/>
      <c r="C120" s="166"/>
      <c r="D120" s="90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3"/>
      <c r="AV120" s="31"/>
      <c r="AW120" s="33"/>
    </row>
    <row r="121" spans="1:49" ht="15.75" customHeight="1">
      <c r="A121" s="31"/>
      <c r="B121" s="68"/>
      <c r="C121" s="166"/>
      <c r="D121" s="90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3"/>
      <c r="AV121" s="31"/>
      <c r="AW121" s="33"/>
    </row>
    <row r="122" spans="1:49" ht="15.75" customHeight="1">
      <c r="A122" s="31"/>
      <c r="B122" s="68"/>
      <c r="C122" s="166"/>
      <c r="D122" s="90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3"/>
      <c r="AV122" s="31"/>
      <c r="AW122" s="33"/>
    </row>
    <row r="123" spans="1:49" ht="15.75" customHeight="1">
      <c r="A123" s="31"/>
      <c r="B123" s="68"/>
      <c r="C123" s="166"/>
      <c r="D123" s="90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3"/>
      <c r="AV123" s="31"/>
      <c r="AW123" s="33"/>
    </row>
    <row r="124" spans="1:49" ht="15.75" customHeight="1">
      <c r="A124" s="31"/>
      <c r="B124" s="68"/>
      <c r="C124" s="166"/>
      <c r="D124" s="90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3"/>
      <c r="AV124" s="31"/>
      <c r="AW124" s="33"/>
    </row>
    <row r="125" spans="1:49" ht="15.75" customHeight="1">
      <c r="A125" s="31"/>
      <c r="B125" s="68"/>
      <c r="C125" s="166"/>
      <c r="D125" s="90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3"/>
      <c r="AV125" s="31"/>
      <c r="AW125" s="33"/>
    </row>
    <row r="126" spans="1:49" ht="15.75" customHeight="1">
      <c r="A126" s="31"/>
      <c r="B126" s="68"/>
      <c r="C126" s="166"/>
      <c r="D126" s="90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3"/>
      <c r="AV126" s="31"/>
      <c r="AW126" s="33"/>
    </row>
    <row r="127" spans="1:49" ht="15.75" customHeight="1">
      <c r="A127" s="31"/>
      <c r="B127" s="68"/>
      <c r="C127" s="166"/>
      <c r="D127" s="90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3"/>
      <c r="AV127" s="31"/>
      <c r="AW127" s="33"/>
    </row>
    <row r="128" spans="1:49" ht="15.75" customHeight="1">
      <c r="A128" s="31"/>
      <c r="B128" s="68"/>
      <c r="C128" s="166"/>
      <c r="D128" s="90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3"/>
      <c r="AV128" s="31"/>
      <c r="AW128" s="33"/>
    </row>
    <row r="129" spans="1:49" ht="15.75" customHeight="1">
      <c r="A129" s="31"/>
      <c r="B129" s="68"/>
      <c r="C129" s="166"/>
      <c r="D129" s="90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3"/>
      <c r="AV129" s="31"/>
      <c r="AW129" s="33"/>
    </row>
    <row r="130" spans="1:49" ht="15.75" customHeight="1">
      <c r="A130" s="31"/>
      <c r="B130" s="68"/>
      <c r="C130" s="166"/>
      <c r="D130" s="90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3"/>
      <c r="AV130" s="31"/>
      <c r="AW130" s="33"/>
    </row>
    <row r="131" spans="1:49" ht="15.75" customHeight="1">
      <c r="A131" s="31"/>
      <c r="B131" s="68"/>
      <c r="C131" s="166"/>
      <c r="D131" s="90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3"/>
      <c r="AV131" s="31"/>
      <c r="AW131" s="33"/>
    </row>
    <row r="132" spans="1:49" ht="15.75" customHeight="1">
      <c r="A132" s="31"/>
      <c r="B132" s="68"/>
      <c r="C132" s="166"/>
      <c r="D132" s="90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3"/>
      <c r="AV132" s="31"/>
      <c r="AW132" s="33"/>
    </row>
    <row r="133" spans="1:49" ht="15.75" customHeight="1">
      <c r="A133" s="31"/>
      <c r="B133" s="68"/>
      <c r="C133" s="166"/>
      <c r="D133" s="90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3"/>
      <c r="AV133" s="31"/>
      <c r="AW133" s="33"/>
    </row>
    <row r="134" spans="1:49" ht="15.75" customHeight="1">
      <c r="A134" s="31"/>
      <c r="B134" s="68"/>
      <c r="C134" s="166"/>
      <c r="D134" s="90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3"/>
      <c r="AV134" s="31"/>
      <c r="AW134" s="33"/>
    </row>
    <row r="135" spans="1:49" ht="15.75" customHeight="1">
      <c r="A135" s="31"/>
      <c r="B135" s="68"/>
      <c r="C135" s="166"/>
      <c r="D135" s="90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3"/>
      <c r="AV135" s="31"/>
      <c r="AW135" s="33"/>
    </row>
    <row r="136" spans="1:49" ht="15.75" customHeight="1">
      <c r="A136" s="31"/>
      <c r="B136" s="68"/>
      <c r="C136" s="166"/>
      <c r="D136" s="90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3"/>
      <c r="AV136" s="31"/>
      <c r="AW136" s="33"/>
    </row>
    <row r="137" spans="1:49" ht="15.75" customHeight="1">
      <c r="A137" s="31"/>
      <c r="B137" s="68"/>
      <c r="C137" s="166"/>
      <c r="D137" s="90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3"/>
      <c r="AV137" s="31"/>
      <c r="AW137" s="33"/>
    </row>
    <row r="138" spans="1:49" ht="15.75" customHeight="1">
      <c r="A138" s="31"/>
      <c r="B138" s="68"/>
      <c r="C138" s="166"/>
      <c r="D138" s="90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3"/>
      <c r="AV138" s="31"/>
      <c r="AW138" s="33"/>
    </row>
    <row r="139" spans="1:49" ht="15.75" customHeight="1">
      <c r="A139" s="31"/>
      <c r="B139" s="68"/>
      <c r="C139" s="166"/>
      <c r="D139" s="90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3"/>
      <c r="AV139" s="31"/>
      <c r="AW139" s="33"/>
    </row>
    <row r="140" spans="1:49" ht="15.75" customHeight="1">
      <c r="A140" s="31"/>
      <c r="B140" s="68"/>
      <c r="C140" s="166"/>
      <c r="D140" s="90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3"/>
      <c r="AV140" s="31"/>
      <c r="AW140" s="33"/>
    </row>
    <row r="141" spans="1:49" ht="15.75" customHeight="1">
      <c r="A141" s="31"/>
      <c r="B141" s="68"/>
      <c r="C141" s="166"/>
      <c r="D141" s="90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3"/>
      <c r="AV141" s="31"/>
      <c r="AW141" s="33"/>
    </row>
    <row r="142" spans="1:49" ht="15.75" customHeight="1">
      <c r="A142" s="31"/>
      <c r="B142" s="68"/>
      <c r="C142" s="166"/>
      <c r="D142" s="90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3"/>
      <c r="AV142" s="31"/>
      <c r="AW142" s="33"/>
    </row>
    <row r="143" spans="1:49" ht="15.75" customHeight="1">
      <c r="A143" s="31"/>
      <c r="B143" s="68"/>
      <c r="C143" s="166"/>
      <c r="D143" s="90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3"/>
      <c r="AV143" s="31"/>
      <c r="AW143" s="33"/>
    </row>
    <row r="144" spans="1:49" ht="15.75" customHeight="1">
      <c r="A144" s="31"/>
      <c r="B144" s="68"/>
      <c r="C144" s="166"/>
      <c r="D144" s="90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3"/>
      <c r="AV144" s="31"/>
      <c r="AW144" s="33"/>
    </row>
    <row r="145" spans="1:49" ht="15.75" customHeight="1">
      <c r="A145" s="31"/>
      <c r="B145" s="68"/>
      <c r="C145" s="166"/>
      <c r="D145" s="90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3"/>
      <c r="AV145" s="31"/>
      <c r="AW145" s="33"/>
    </row>
    <row r="146" spans="1:49" ht="15.75" customHeight="1">
      <c r="A146" s="31"/>
      <c r="B146" s="68"/>
      <c r="C146" s="166"/>
      <c r="D146" s="90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3"/>
      <c r="AV146" s="31"/>
      <c r="AW146" s="33"/>
    </row>
    <row r="147" spans="1:49" ht="15.75" customHeight="1">
      <c r="A147" s="31"/>
      <c r="B147" s="68"/>
      <c r="C147" s="166"/>
      <c r="D147" s="90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3"/>
      <c r="AV147" s="31"/>
      <c r="AW147" s="33"/>
    </row>
    <row r="148" spans="1:49" ht="15.75" customHeight="1">
      <c r="A148" s="31"/>
      <c r="B148" s="68"/>
      <c r="C148" s="166"/>
      <c r="D148" s="90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3"/>
      <c r="AV148" s="31"/>
      <c r="AW148" s="33"/>
    </row>
    <row r="149" spans="1:49" ht="15.75" customHeight="1">
      <c r="A149" s="31"/>
      <c r="B149" s="68"/>
      <c r="C149" s="166"/>
      <c r="D149" s="90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3"/>
      <c r="AV149" s="31"/>
      <c r="AW149" s="33"/>
    </row>
    <row r="150" spans="1:49" ht="15.75" customHeight="1">
      <c r="A150" s="31"/>
      <c r="B150" s="68"/>
      <c r="C150" s="166"/>
      <c r="D150" s="90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3"/>
      <c r="AV150" s="31"/>
      <c r="AW150" s="33"/>
    </row>
    <row r="151" spans="1:49" ht="15.75" customHeight="1">
      <c r="A151" s="31"/>
      <c r="B151" s="68"/>
      <c r="C151" s="166"/>
      <c r="D151" s="90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3"/>
      <c r="AV151" s="31"/>
      <c r="AW151" s="33"/>
    </row>
    <row r="152" spans="1:49" ht="15.75" customHeight="1">
      <c r="A152" s="31"/>
      <c r="B152" s="68"/>
      <c r="C152" s="166"/>
      <c r="D152" s="90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3"/>
      <c r="AV152" s="31"/>
      <c r="AW152" s="33"/>
    </row>
    <row r="153" spans="1:49" ht="15.75" customHeight="1">
      <c r="A153" s="31"/>
      <c r="B153" s="68"/>
      <c r="C153" s="166"/>
      <c r="D153" s="90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3"/>
      <c r="AV153" s="31"/>
      <c r="AW153" s="33"/>
    </row>
    <row r="154" spans="1:49" ht="15.75" customHeight="1">
      <c r="A154" s="31"/>
      <c r="B154" s="68"/>
      <c r="C154" s="166"/>
      <c r="D154" s="90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3"/>
      <c r="AV154" s="31"/>
      <c r="AW154" s="33"/>
    </row>
    <row r="155" spans="1:49" ht="15.75" customHeight="1">
      <c r="A155" s="31"/>
      <c r="B155" s="68"/>
      <c r="C155" s="166"/>
      <c r="D155" s="90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3"/>
      <c r="AV155" s="31"/>
      <c r="AW155" s="33"/>
    </row>
    <row r="156" spans="1:49" ht="15.75" customHeight="1">
      <c r="A156" s="31"/>
      <c r="B156" s="68"/>
      <c r="C156" s="166"/>
      <c r="D156" s="90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3"/>
      <c r="AV156" s="31"/>
      <c r="AW156" s="33"/>
    </row>
    <row r="157" spans="1:49" ht="15.75" customHeight="1">
      <c r="A157" s="31"/>
      <c r="B157" s="68"/>
      <c r="C157" s="166"/>
      <c r="D157" s="90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3"/>
      <c r="AV157" s="31"/>
      <c r="AW157" s="33"/>
    </row>
    <row r="158" spans="1:49" ht="15.75" customHeight="1">
      <c r="A158" s="31"/>
      <c r="B158" s="68"/>
      <c r="C158" s="166"/>
      <c r="D158" s="90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3"/>
      <c r="AV158" s="31"/>
      <c r="AW158" s="33"/>
    </row>
    <row r="159" spans="1:49" ht="15.75" customHeight="1">
      <c r="A159" s="31"/>
      <c r="B159" s="68"/>
      <c r="C159" s="166"/>
      <c r="D159" s="90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3"/>
      <c r="AV159" s="31"/>
      <c r="AW159" s="33"/>
    </row>
    <row r="160" spans="1:49" ht="15.75" customHeight="1">
      <c r="A160" s="31"/>
      <c r="B160" s="68"/>
      <c r="C160" s="166"/>
      <c r="D160" s="90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3"/>
      <c r="AV160" s="31"/>
      <c r="AW160" s="33"/>
    </row>
    <row r="161" spans="1:49" ht="15.75" customHeight="1">
      <c r="A161" s="31"/>
      <c r="B161" s="68"/>
      <c r="C161" s="166"/>
      <c r="D161" s="90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3"/>
      <c r="AV161" s="31"/>
      <c r="AW161" s="33"/>
    </row>
    <row r="162" spans="1:49" ht="15.75" customHeight="1">
      <c r="A162" s="31"/>
      <c r="B162" s="68"/>
      <c r="C162" s="166"/>
      <c r="D162" s="90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3"/>
      <c r="AV162" s="31"/>
      <c r="AW162" s="33"/>
    </row>
    <row r="163" spans="1:49" ht="15.75" customHeight="1">
      <c r="A163" s="31"/>
      <c r="B163" s="68"/>
      <c r="C163" s="166"/>
      <c r="D163" s="90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3"/>
      <c r="AV163" s="31"/>
      <c r="AW163" s="33"/>
    </row>
    <row r="164" spans="1:49" ht="15.75" customHeight="1">
      <c r="A164" s="31"/>
      <c r="B164" s="68"/>
      <c r="C164" s="166"/>
      <c r="D164" s="90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3"/>
      <c r="AV164" s="31"/>
      <c r="AW164" s="33"/>
    </row>
    <row r="165" spans="1:49" ht="15.75" customHeight="1">
      <c r="A165" s="31"/>
      <c r="B165" s="68"/>
      <c r="C165" s="166"/>
      <c r="D165" s="90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3"/>
      <c r="AV165" s="31"/>
      <c r="AW165" s="33"/>
    </row>
    <row r="166" spans="1:49" ht="15.75" customHeight="1">
      <c r="A166" s="31"/>
      <c r="B166" s="68"/>
      <c r="C166" s="166"/>
      <c r="D166" s="90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3"/>
      <c r="AV166" s="31"/>
      <c r="AW166" s="33"/>
    </row>
    <row r="167" spans="1:49" ht="15.75" customHeight="1">
      <c r="A167" s="31"/>
      <c r="B167" s="68"/>
      <c r="C167" s="166"/>
      <c r="D167" s="90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3"/>
      <c r="AV167" s="31"/>
      <c r="AW167" s="33"/>
    </row>
    <row r="168" spans="1:49" ht="15.75" customHeight="1">
      <c r="A168" s="31"/>
      <c r="B168" s="68"/>
      <c r="C168" s="166"/>
      <c r="D168" s="90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3"/>
      <c r="AV168" s="31"/>
      <c r="AW168" s="33"/>
    </row>
    <row r="169" spans="1:49" ht="15.75" customHeight="1">
      <c r="A169" s="31"/>
      <c r="B169" s="68"/>
      <c r="C169" s="166"/>
      <c r="D169" s="90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3"/>
      <c r="AV169" s="31"/>
      <c r="AW169" s="33"/>
    </row>
    <row r="170" spans="1:49" ht="15.75" customHeight="1">
      <c r="A170" s="31"/>
      <c r="B170" s="68"/>
      <c r="C170" s="166"/>
      <c r="D170" s="90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3"/>
      <c r="AV170" s="31"/>
      <c r="AW170" s="33"/>
    </row>
    <row r="171" spans="1:49" ht="15.75" customHeight="1">
      <c r="A171" s="31"/>
      <c r="B171" s="68"/>
      <c r="C171" s="166"/>
      <c r="D171" s="90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3"/>
      <c r="AV171" s="31"/>
      <c r="AW171" s="33"/>
    </row>
    <row r="172" spans="1:49" ht="15.75" customHeight="1">
      <c r="A172" s="31"/>
      <c r="B172" s="68"/>
      <c r="C172" s="166"/>
      <c r="D172" s="90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3"/>
      <c r="AV172" s="31"/>
      <c r="AW172" s="33"/>
    </row>
    <row r="173" spans="1:49" ht="15.75" customHeight="1">
      <c r="A173" s="31"/>
      <c r="B173" s="68"/>
      <c r="C173" s="166"/>
      <c r="D173" s="90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3"/>
      <c r="AV173" s="31"/>
      <c r="AW173" s="33"/>
    </row>
    <row r="174" spans="1:49" ht="15.75" customHeight="1">
      <c r="A174" s="31"/>
      <c r="B174" s="68"/>
      <c r="C174" s="166"/>
      <c r="D174" s="90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3"/>
      <c r="AV174" s="31"/>
      <c r="AW174" s="33"/>
    </row>
    <row r="175" spans="1:49" ht="15.75" customHeight="1">
      <c r="A175" s="31"/>
      <c r="B175" s="68"/>
      <c r="C175" s="166"/>
      <c r="D175" s="90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3"/>
      <c r="AV175" s="31"/>
      <c r="AW175" s="33"/>
    </row>
    <row r="176" spans="1:49" ht="15.75" customHeight="1">
      <c r="A176" s="31"/>
      <c r="B176" s="68"/>
      <c r="C176" s="166"/>
      <c r="D176" s="90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3"/>
      <c r="AV176" s="31"/>
      <c r="AW176" s="33"/>
    </row>
    <row r="177" spans="1:49" ht="15.75" customHeight="1">
      <c r="A177" s="31"/>
      <c r="B177" s="68"/>
      <c r="C177" s="166"/>
      <c r="D177" s="90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3"/>
      <c r="AV177" s="31"/>
      <c r="AW177" s="33"/>
    </row>
    <row r="178" spans="1:49" ht="15.75" customHeight="1">
      <c r="A178" s="31"/>
      <c r="B178" s="68"/>
      <c r="C178" s="166"/>
      <c r="D178" s="90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3"/>
      <c r="AV178" s="31"/>
      <c r="AW178" s="33"/>
    </row>
    <row r="179" spans="1:49" ht="15.75" customHeight="1">
      <c r="A179" s="31"/>
      <c r="B179" s="68"/>
      <c r="C179" s="166"/>
      <c r="D179" s="90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3"/>
      <c r="AV179" s="31"/>
      <c r="AW179" s="33"/>
    </row>
    <row r="180" spans="1:49" ht="15.75" customHeight="1">
      <c r="A180" s="31"/>
      <c r="B180" s="68"/>
      <c r="C180" s="166"/>
      <c r="D180" s="90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3"/>
      <c r="AV180" s="31"/>
      <c r="AW180" s="33"/>
    </row>
    <row r="181" spans="1:49" ht="15.75" customHeight="1">
      <c r="A181" s="31"/>
      <c r="B181" s="68"/>
      <c r="C181" s="166"/>
      <c r="D181" s="90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3"/>
      <c r="AV181" s="31"/>
      <c r="AW181" s="33"/>
    </row>
    <row r="182" spans="1:49" ht="15.75" customHeight="1">
      <c r="A182" s="31"/>
      <c r="B182" s="68"/>
      <c r="C182" s="166"/>
      <c r="D182" s="90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3"/>
      <c r="AV182" s="31"/>
      <c r="AW182" s="33"/>
    </row>
    <row r="183" spans="1:49" ht="15.75" customHeight="1">
      <c r="A183" s="31"/>
      <c r="B183" s="68"/>
      <c r="C183" s="166"/>
      <c r="D183" s="90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3"/>
      <c r="AV183" s="31"/>
      <c r="AW183" s="33"/>
    </row>
    <row r="184" spans="1:49" ht="15.75" customHeight="1">
      <c r="A184" s="31"/>
      <c r="B184" s="68"/>
      <c r="C184" s="166"/>
      <c r="D184" s="90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3"/>
      <c r="AV184" s="31"/>
      <c r="AW184" s="33"/>
    </row>
    <row r="185" spans="1:49" ht="15.75" customHeight="1">
      <c r="A185" s="31"/>
      <c r="B185" s="68"/>
      <c r="C185" s="166"/>
      <c r="D185" s="90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3"/>
      <c r="AV185" s="31"/>
      <c r="AW185" s="33"/>
    </row>
    <row r="186" spans="1:49" ht="15.75" customHeight="1">
      <c r="A186" s="31"/>
      <c r="B186" s="68"/>
      <c r="C186" s="166"/>
      <c r="D186" s="90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3"/>
      <c r="AV186" s="31"/>
      <c r="AW186" s="33"/>
    </row>
    <row r="187" spans="1:49" ht="15.75" customHeight="1">
      <c r="A187" s="31"/>
      <c r="B187" s="68"/>
      <c r="C187" s="166"/>
      <c r="D187" s="90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3"/>
      <c r="AV187" s="31"/>
      <c r="AW187" s="33"/>
    </row>
    <row r="188" spans="1:49" ht="15.75" customHeight="1">
      <c r="A188" s="31"/>
      <c r="B188" s="68"/>
      <c r="C188" s="166"/>
      <c r="D188" s="90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3"/>
      <c r="AV188" s="31"/>
      <c r="AW188" s="33"/>
    </row>
    <row r="189" spans="1:49" ht="15.75" customHeight="1">
      <c r="A189" s="31"/>
      <c r="B189" s="68"/>
      <c r="C189" s="166"/>
      <c r="D189" s="90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3"/>
      <c r="AV189" s="31"/>
      <c r="AW189" s="33"/>
    </row>
    <row r="190" spans="1:49" ht="15.75" customHeight="1">
      <c r="A190" s="31"/>
      <c r="B190" s="68"/>
      <c r="C190" s="166"/>
      <c r="D190" s="90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3"/>
      <c r="AV190" s="31"/>
      <c r="AW190" s="33"/>
    </row>
    <row r="191" spans="1:49" ht="15.75" customHeight="1">
      <c r="A191" s="31"/>
      <c r="B191" s="68"/>
      <c r="C191" s="166"/>
      <c r="D191" s="90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3"/>
      <c r="AV191" s="31"/>
      <c r="AW191" s="33"/>
    </row>
    <row r="192" spans="1:49" ht="15.75" customHeight="1">
      <c r="A192" s="31"/>
      <c r="B192" s="68"/>
      <c r="C192" s="166"/>
      <c r="D192" s="90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3"/>
      <c r="AV192" s="31"/>
      <c r="AW192" s="33"/>
    </row>
    <row r="193" spans="1:49" ht="15.75" customHeight="1">
      <c r="A193" s="31"/>
      <c r="B193" s="68"/>
      <c r="C193" s="166"/>
      <c r="D193" s="90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3"/>
      <c r="AV193" s="31"/>
      <c r="AW193" s="33"/>
    </row>
    <row r="194" spans="1:49" ht="15.75" customHeight="1">
      <c r="A194" s="31"/>
      <c r="B194" s="68"/>
      <c r="C194" s="166"/>
      <c r="D194" s="90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3"/>
      <c r="AV194" s="31"/>
      <c r="AW194" s="33"/>
    </row>
    <row r="195" spans="1:49" ht="15.75" customHeight="1">
      <c r="A195" s="31"/>
      <c r="B195" s="68"/>
      <c r="C195" s="166"/>
      <c r="D195" s="90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3"/>
      <c r="AV195" s="31"/>
      <c r="AW195" s="33"/>
    </row>
    <row r="196" spans="1:49" ht="15.75" customHeight="1">
      <c r="A196" s="31"/>
      <c r="B196" s="68"/>
      <c r="C196" s="166"/>
      <c r="D196" s="90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3"/>
      <c r="AV196" s="31"/>
      <c r="AW196" s="33"/>
    </row>
    <row r="197" spans="1:49" ht="15.75" customHeight="1">
      <c r="A197" s="31"/>
      <c r="B197" s="68"/>
      <c r="C197" s="166"/>
      <c r="D197" s="90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3"/>
      <c r="AV197" s="31"/>
      <c r="AW197" s="33"/>
    </row>
    <row r="198" spans="1:49" ht="15.75" customHeight="1">
      <c r="A198" s="31"/>
      <c r="B198" s="68"/>
      <c r="C198" s="166"/>
      <c r="D198" s="90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3"/>
      <c r="AV198" s="31"/>
      <c r="AW198" s="33"/>
    </row>
    <row r="199" spans="1:49" ht="15.75" customHeight="1">
      <c r="A199" s="31"/>
      <c r="B199" s="68"/>
      <c r="C199" s="166"/>
      <c r="D199" s="90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3"/>
      <c r="AV199" s="31"/>
      <c r="AW199" s="33"/>
    </row>
    <row r="200" spans="1:49" ht="15.75" customHeight="1">
      <c r="A200" s="31"/>
      <c r="B200" s="68"/>
      <c r="C200" s="166"/>
      <c r="D200" s="90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3"/>
      <c r="AV200" s="31"/>
      <c r="AW200" s="33"/>
    </row>
    <row r="201" spans="1:49" ht="15.75" customHeight="1">
      <c r="A201" s="31"/>
      <c r="B201" s="68"/>
      <c r="C201" s="166"/>
      <c r="D201" s="90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3"/>
      <c r="AV201" s="31"/>
      <c r="AW201" s="33"/>
    </row>
    <row r="202" spans="1:49" ht="15.75" customHeight="1">
      <c r="A202" s="31"/>
      <c r="B202" s="68"/>
      <c r="C202" s="166"/>
      <c r="D202" s="90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3"/>
      <c r="AV202" s="31"/>
      <c r="AW202" s="33"/>
    </row>
    <row r="203" spans="1:49" ht="15.75" customHeight="1">
      <c r="A203" s="31"/>
      <c r="B203" s="68"/>
      <c r="C203" s="166"/>
      <c r="D203" s="90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3"/>
      <c r="AV203" s="31"/>
      <c r="AW203" s="33"/>
    </row>
    <row r="204" spans="1:49" ht="15.75" customHeight="1">
      <c r="A204" s="31"/>
      <c r="B204" s="68"/>
      <c r="C204" s="166"/>
      <c r="D204" s="90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3"/>
      <c r="AV204" s="31"/>
      <c r="AW204" s="33"/>
    </row>
    <row r="205" spans="1:49" ht="15.75" customHeight="1">
      <c r="A205" s="31"/>
      <c r="B205" s="68"/>
      <c r="C205" s="166"/>
      <c r="D205" s="90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3"/>
      <c r="AV205" s="31"/>
      <c r="AW205" s="33"/>
    </row>
    <row r="206" spans="1:49" ht="15.75" customHeight="1">
      <c r="A206" s="31"/>
      <c r="B206" s="68"/>
      <c r="C206" s="166"/>
      <c r="D206" s="90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3"/>
      <c r="AV206" s="31"/>
      <c r="AW206" s="33"/>
    </row>
    <row r="207" spans="1:49" ht="15.75" customHeight="1">
      <c r="A207" s="31"/>
      <c r="B207" s="68"/>
      <c r="C207" s="166"/>
      <c r="D207" s="90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3"/>
      <c r="AV207" s="31"/>
      <c r="AW207" s="33"/>
    </row>
    <row r="208" spans="1:49" ht="15.75" customHeight="1">
      <c r="A208" s="31"/>
      <c r="B208" s="68"/>
      <c r="C208" s="166"/>
      <c r="D208" s="90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3"/>
      <c r="AV208" s="31"/>
      <c r="AW208" s="33"/>
    </row>
    <row r="209" spans="1:49" ht="15.75" customHeight="1">
      <c r="A209" s="31"/>
      <c r="B209" s="68"/>
      <c r="C209" s="166"/>
      <c r="D209" s="90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3"/>
      <c r="AV209" s="31"/>
      <c r="AW209" s="33"/>
    </row>
    <row r="210" spans="1:49" ht="15.75" customHeight="1">
      <c r="A210" s="31"/>
      <c r="B210" s="68"/>
      <c r="C210" s="166"/>
      <c r="D210" s="90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3"/>
      <c r="AV210" s="31"/>
      <c r="AW210" s="33"/>
    </row>
    <row r="211" spans="1:49" ht="15.75" customHeight="1">
      <c r="A211" s="31"/>
      <c r="B211" s="68"/>
      <c r="C211" s="166"/>
      <c r="D211" s="90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3"/>
      <c r="AV211" s="31"/>
      <c r="AW211" s="33"/>
    </row>
    <row r="212" spans="1:49" ht="15.75" customHeight="1">
      <c r="A212" s="31"/>
      <c r="B212" s="68"/>
      <c r="C212" s="166"/>
      <c r="D212" s="90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3"/>
      <c r="AV212" s="31"/>
      <c r="AW212" s="33"/>
    </row>
    <row r="213" spans="1:49" ht="15.75" customHeight="1">
      <c r="A213" s="31"/>
      <c r="B213" s="68"/>
      <c r="C213" s="166"/>
      <c r="D213" s="90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3"/>
      <c r="AV213" s="31"/>
      <c r="AW213" s="33"/>
    </row>
    <row r="214" spans="1:49" ht="15.75" customHeight="1">
      <c r="A214" s="31"/>
      <c r="B214" s="68"/>
      <c r="C214" s="166"/>
      <c r="D214" s="90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3"/>
      <c r="AV214" s="31"/>
      <c r="AW214" s="33"/>
    </row>
    <row r="215" spans="1:49" ht="15.75" customHeight="1">
      <c r="A215" s="31"/>
      <c r="B215" s="68"/>
      <c r="C215" s="166"/>
      <c r="D215" s="90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3"/>
      <c r="AV215" s="31"/>
      <c r="AW215" s="33"/>
    </row>
    <row r="216" spans="1:49" ht="15.75" customHeight="1">
      <c r="A216" s="31"/>
      <c r="B216" s="68"/>
      <c r="C216" s="166"/>
      <c r="D216" s="90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3"/>
      <c r="AV216" s="31"/>
      <c r="AW216" s="33"/>
    </row>
    <row r="217" spans="1:49" ht="15.75" customHeight="1">
      <c r="A217" s="31"/>
      <c r="B217" s="68"/>
      <c r="C217" s="166"/>
      <c r="D217" s="90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3"/>
      <c r="AV217" s="31"/>
      <c r="AW217" s="33"/>
    </row>
    <row r="218" spans="1:49" ht="15.75" customHeight="1">
      <c r="A218" s="31"/>
      <c r="B218" s="68"/>
      <c r="C218" s="166"/>
      <c r="D218" s="90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3"/>
      <c r="AV218" s="31"/>
      <c r="AW218" s="33"/>
    </row>
    <row r="219" spans="1:49" ht="15.75" customHeight="1">
      <c r="A219" s="31"/>
      <c r="B219" s="68"/>
      <c r="C219" s="166"/>
      <c r="D219" s="90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3"/>
      <c r="AV219" s="31"/>
      <c r="AW219" s="33"/>
    </row>
    <row r="220" spans="1:49" ht="15.75" customHeight="1">
      <c r="A220" s="31"/>
      <c r="B220" s="68"/>
      <c r="C220" s="166"/>
      <c r="D220" s="90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3"/>
      <c r="AV220" s="31"/>
      <c r="AW220" s="33"/>
    </row>
    <row r="221" spans="1:49" ht="15.75" customHeight="1">
      <c r="A221" s="31"/>
      <c r="B221" s="68"/>
      <c r="C221" s="166"/>
      <c r="D221" s="90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3"/>
      <c r="AV221" s="31"/>
      <c r="AW221" s="33"/>
    </row>
    <row r="222" spans="1:49" ht="15.75" customHeight="1">
      <c r="A222" s="31"/>
      <c r="B222" s="68"/>
      <c r="C222" s="166"/>
      <c r="D222" s="90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3"/>
      <c r="AV222" s="31"/>
      <c r="AW222" s="33"/>
    </row>
    <row r="223" spans="1:49" ht="15.75" customHeight="1">
      <c r="A223" s="31"/>
      <c r="B223" s="68"/>
      <c r="C223" s="166"/>
      <c r="D223" s="90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3"/>
      <c r="AV223" s="31"/>
      <c r="AW223" s="33"/>
    </row>
    <row r="224" spans="1:49" ht="15.75" customHeight="1">
      <c r="A224" s="31"/>
      <c r="B224" s="68"/>
      <c r="C224" s="166"/>
      <c r="D224" s="90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3"/>
      <c r="AV224" s="31"/>
      <c r="AW224" s="33"/>
    </row>
    <row r="225" spans="1:49" ht="15.75" customHeight="1">
      <c r="A225" s="31"/>
      <c r="B225" s="68"/>
      <c r="C225" s="166"/>
      <c r="D225" s="90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3"/>
      <c r="AV225" s="31"/>
      <c r="AW225" s="33"/>
    </row>
    <row r="226" spans="1:49" ht="15.75" customHeight="1">
      <c r="A226" s="31"/>
      <c r="B226" s="68"/>
      <c r="C226" s="166"/>
      <c r="D226" s="90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3"/>
      <c r="AV226" s="31"/>
      <c r="AW226" s="33"/>
    </row>
    <row r="227" spans="1:49" ht="15.75" customHeight="1">
      <c r="A227" s="31"/>
      <c r="B227" s="68"/>
      <c r="C227" s="166"/>
      <c r="D227" s="90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3"/>
      <c r="AV227" s="31"/>
      <c r="AW227" s="33"/>
    </row>
    <row r="228" spans="1:49" ht="15.75" customHeight="1">
      <c r="A228" s="31"/>
      <c r="B228" s="68"/>
      <c r="C228" s="166"/>
      <c r="D228" s="90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3"/>
      <c r="AV228" s="31"/>
      <c r="AW228" s="33"/>
    </row>
    <row r="229" spans="1:49" ht="15.75" customHeight="1">
      <c r="A229" s="31"/>
      <c r="B229" s="68"/>
      <c r="C229" s="166"/>
      <c r="D229" s="90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3"/>
      <c r="AV229" s="31"/>
      <c r="AW229" s="33"/>
    </row>
    <row r="230" spans="1:49" ht="15.75" customHeight="1">
      <c r="A230" s="31"/>
      <c r="B230" s="68"/>
      <c r="C230" s="166"/>
      <c r="D230" s="90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3"/>
      <c r="AV230" s="31"/>
      <c r="AW230" s="33"/>
    </row>
    <row r="231" spans="1:49" ht="15.75" customHeight="1">
      <c r="A231" s="31"/>
      <c r="B231" s="68"/>
      <c r="C231" s="166"/>
      <c r="D231" s="90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3"/>
      <c r="AV231" s="31"/>
      <c r="AW231" s="33"/>
    </row>
    <row r="232" spans="1:49" ht="15.75" customHeight="1">
      <c r="A232" s="31"/>
      <c r="B232" s="68"/>
      <c r="C232" s="166"/>
      <c r="D232" s="90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3"/>
      <c r="AV232" s="31"/>
      <c r="AW232" s="33"/>
    </row>
    <row r="233" spans="1:49" ht="15.75" customHeight="1">
      <c r="A233" s="31"/>
      <c r="B233" s="68"/>
      <c r="C233" s="166"/>
      <c r="D233" s="90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3"/>
      <c r="AV233" s="31"/>
      <c r="AW233" s="33"/>
    </row>
    <row r="234" spans="1:49" ht="15.75" customHeight="1">
      <c r="A234" s="31"/>
      <c r="B234" s="68"/>
      <c r="C234" s="166"/>
      <c r="D234" s="90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3"/>
      <c r="AV234" s="31"/>
      <c r="AW234" s="33"/>
    </row>
    <row r="235" spans="1:49" ht="15.75" customHeight="1">
      <c r="A235" s="31"/>
      <c r="B235" s="68"/>
      <c r="C235" s="166"/>
      <c r="D235" s="90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3"/>
      <c r="AV235" s="31"/>
      <c r="AW235" s="33"/>
    </row>
    <row r="236" spans="1:49" ht="15.75" customHeight="1">
      <c r="A236" s="31"/>
      <c r="B236" s="68"/>
      <c r="C236" s="166"/>
      <c r="D236" s="90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3"/>
      <c r="AV236" s="31"/>
      <c r="AW236" s="33"/>
    </row>
    <row r="237" spans="1:49" ht="15.75" customHeight="1">
      <c r="A237" s="31"/>
      <c r="B237" s="68"/>
      <c r="C237" s="166"/>
      <c r="D237" s="90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3"/>
      <c r="AV237" s="31"/>
      <c r="AW237" s="33"/>
    </row>
    <row r="238" spans="1:49" ht="15.75" customHeight="1">
      <c r="A238" s="31"/>
      <c r="B238" s="68"/>
      <c r="C238" s="166"/>
      <c r="D238" s="90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3"/>
      <c r="AV238" s="31"/>
      <c r="AW238" s="33"/>
    </row>
    <row r="239" spans="1:49" ht="15.75" customHeight="1">
      <c r="A239" s="31"/>
      <c r="B239" s="68"/>
      <c r="C239" s="166"/>
      <c r="D239" s="90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3"/>
      <c r="AV239" s="31"/>
      <c r="AW239" s="33"/>
    </row>
    <row r="240" spans="1:49" ht="15.75" customHeight="1">
      <c r="A240" s="31"/>
      <c r="B240" s="68"/>
      <c r="C240" s="166"/>
      <c r="D240" s="90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3"/>
      <c r="AV240" s="31"/>
      <c r="AW240" s="33"/>
    </row>
    <row r="241" spans="1:49" ht="15.75" customHeight="1">
      <c r="A241" s="31"/>
      <c r="B241" s="68"/>
      <c r="C241" s="166"/>
      <c r="D241" s="90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3"/>
      <c r="AV241" s="31"/>
      <c r="AW241" s="33"/>
    </row>
    <row r="242" spans="1:49" ht="15.75" customHeight="1">
      <c r="A242" s="31"/>
      <c r="B242" s="68"/>
      <c r="C242" s="166"/>
      <c r="D242" s="90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3"/>
      <c r="AV242" s="31"/>
      <c r="AW242" s="33"/>
    </row>
    <row r="243" spans="1:49" ht="15.75" customHeight="1">
      <c r="A243" s="31"/>
      <c r="B243" s="68"/>
      <c r="C243" s="166"/>
      <c r="D243" s="90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3"/>
      <c r="AV243" s="31"/>
      <c r="AW243" s="33"/>
    </row>
    <row r="244" spans="1:49" ht="15.75" customHeight="1">
      <c r="A244" s="31"/>
      <c r="B244" s="68"/>
      <c r="C244" s="166"/>
      <c r="D244" s="90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3"/>
      <c r="AV244" s="31"/>
      <c r="AW244" s="33"/>
    </row>
    <row r="245" spans="1:49" ht="15.75" customHeight="1">
      <c r="A245" s="31"/>
      <c r="B245" s="68"/>
      <c r="C245" s="166"/>
      <c r="D245" s="90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3"/>
      <c r="AV245" s="31"/>
      <c r="AW245" s="33"/>
    </row>
    <row r="246" spans="1:49" ht="15.75" customHeight="1">
      <c r="A246" s="31"/>
      <c r="B246" s="68"/>
      <c r="C246" s="166"/>
      <c r="D246" s="90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3"/>
      <c r="AV246" s="31"/>
      <c r="AW246" s="33"/>
    </row>
    <row r="247" spans="1:49" ht="15.75" customHeight="1"/>
    <row r="248" spans="1:49" ht="15.75" customHeight="1"/>
    <row r="249" spans="1:49" ht="15.75" customHeight="1"/>
    <row r="250" spans="1:49" ht="15.75" customHeight="1"/>
    <row r="251" spans="1:49" ht="15.75" customHeight="1"/>
    <row r="252" spans="1:49" ht="15.75" customHeight="1"/>
    <row r="253" spans="1:49" ht="15.75" customHeight="1"/>
    <row r="254" spans="1:49" ht="15.75" customHeight="1"/>
    <row r="255" spans="1:49" ht="15.75" customHeight="1"/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AH3:AM3"/>
    <mergeCell ref="AN3:AU3"/>
    <mergeCell ref="E39:L43"/>
    <mergeCell ref="M39:T43"/>
    <mergeCell ref="Z39:AG43"/>
    <mergeCell ref="B3:B4"/>
    <mergeCell ref="E3:L3"/>
    <mergeCell ref="M3:T3"/>
    <mergeCell ref="U3:Y3"/>
    <mergeCell ref="Z3:AG3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6114-D9B9-E947-B457-2E4798BA9709}">
  <dimension ref="A1:AX1000"/>
  <sheetViews>
    <sheetView zoomScale="94" workbookViewId="0">
      <selection sqref="A1:XFD1048576"/>
    </sheetView>
  </sheetViews>
  <sheetFormatPr baseColWidth="10" defaultColWidth="10.28515625" defaultRowHeight="15" customHeight="1"/>
  <cols>
    <col min="1" max="2" width="9.28515625" style="5" customWidth="1"/>
    <col min="3" max="3" width="13.28515625" style="172" customWidth="1"/>
    <col min="4" max="4" width="4.7109375" style="173" customWidth="1"/>
    <col min="5" max="5" width="3.42578125" style="5" customWidth="1"/>
    <col min="6" max="7" width="6.28515625" style="5" customWidth="1"/>
    <col min="8" max="8" width="9.7109375" style="5" customWidth="1"/>
    <col min="9" max="9" width="6.2851562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7" width="6.28515625" style="5" customWidth="1"/>
    <col min="18" max="18" width="9.57031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29" width="6.28515625" style="5" customWidth="1"/>
    <col min="30" max="30" width="7.85546875" style="5" bestFit="1" customWidth="1"/>
    <col min="31" max="31" width="6.28515625" style="5" customWidth="1"/>
    <col min="32" max="32" width="9.7109375" style="5" bestFit="1" customWidth="1"/>
    <col min="33" max="33" width="9.42578125" style="5" bestFit="1" customWidth="1"/>
    <col min="34" max="36" width="6.28515625" style="5" customWidth="1"/>
    <col min="37" max="37" width="11.28515625" style="5" customWidth="1"/>
    <col min="38" max="49" width="9.28515625" style="5" customWidth="1"/>
    <col min="50" max="16384" width="10.28515625" style="5"/>
  </cols>
  <sheetData>
    <row r="1" spans="1:50" ht="13.5" customHeight="1">
      <c r="A1" s="1" t="s">
        <v>0</v>
      </c>
      <c r="B1" s="2"/>
      <c r="C1" s="12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4"/>
    </row>
    <row r="2" spans="1:50" ht="13.5" customHeight="1">
      <c r="A2" s="124">
        <v>2025</v>
      </c>
      <c r="B2" s="125">
        <v>5</v>
      </c>
      <c r="C2" s="126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3"/>
      <c r="AU2" s="4"/>
      <c r="AV2" s="3"/>
      <c r="AW2" s="4"/>
    </row>
    <row r="3" spans="1:50" ht="33" customHeight="1">
      <c r="A3" s="6"/>
      <c r="B3" s="9" t="s">
        <v>2</v>
      </c>
      <c r="C3" s="127"/>
      <c r="D3" s="128"/>
      <c r="E3" s="129" t="s">
        <v>3</v>
      </c>
      <c r="F3" s="10"/>
      <c r="G3" s="10"/>
      <c r="H3" s="10"/>
      <c r="I3" s="10"/>
      <c r="J3" s="10"/>
      <c r="K3" s="10"/>
      <c r="L3" s="10"/>
      <c r="M3" s="130" t="s">
        <v>4</v>
      </c>
      <c r="N3" s="10"/>
      <c r="O3" s="10"/>
      <c r="P3" s="10"/>
      <c r="Q3" s="10"/>
      <c r="R3" s="10"/>
      <c r="S3" s="10"/>
      <c r="T3" s="10"/>
      <c r="U3" s="11" t="s">
        <v>5</v>
      </c>
      <c r="V3" s="12"/>
      <c r="W3" s="12"/>
      <c r="X3" s="12"/>
      <c r="Y3" s="13"/>
      <c r="Z3" s="14" t="s">
        <v>6</v>
      </c>
      <c r="AA3" s="10"/>
      <c r="AB3" s="10"/>
      <c r="AC3" s="10"/>
      <c r="AD3" s="10"/>
      <c r="AE3" s="10"/>
      <c r="AF3" s="10"/>
      <c r="AG3" s="10"/>
      <c r="AH3" s="11" t="s">
        <v>63</v>
      </c>
      <c r="AI3" s="176"/>
      <c r="AJ3" s="176"/>
      <c r="AK3" s="176"/>
      <c r="AL3" s="176"/>
      <c r="AM3" s="177"/>
      <c r="AN3" s="15" t="s">
        <v>7</v>
      </c>
      <c r="AO3" s="12"/>
      <c r="AP3" s="12"/>
      <c r="AQ3" s="12"/>
      <c r="AR3" s="12"/>
      <c r="AS3" s="12"/>
      <c r="AT3" s="12"/>
      <c r="AU3" s="13"/>
      <c r="AV3" s="3"/>
      <c r="AW3" s="4"/>
    </row>
    <row r="4" spans="1:50" ht="53.25" customHeight="1" thickBot="1">
      <c r="A4" s="6"/>
      <c r="B4" s="16"/>
      <c r="C4" s="131" t="s">
        <v>8</v>
      </c>
      <c r="D4" s="132" t="s">
        <v>60</v>
      </c>
      <c r="E4" s="19" t="s">
        <v>9</v>
      </c>
      <c r="F4" s="18" t="s">
        <v>10</v>
      </c>
      <c r="G4" s="17" t="s">
        <v>11</v>
      </c>
      <c r="H4" s="19" t="s">
        <v>12</v>
      </c>
      <c r="I4" s="17" t="s">
        <v>13</v>
      </c>
      <c r="J4" s="20" t="s">
        <v>14</v>
      </c>
      <c r="K4" s="18" t="s">
        <v>15</v>
      </c>
      <c r="L4" s="17" t="s">
        <v>16</v>
      </c>
      <c r="M4" s="17" t="s">
        <v>17</v>
      </c>
      <c r="N4" s="21" t="s">
        <v>10</v>
      </c>
      <c r="O4" s="17" t="s">
        <v>11</v>
      </c>
      <c r="P4" s="19" t="s">
        <v>12</v>
      </c>
      <c r="Q4" s="17" t="s">
        <v>13</v>
      </c>
      <c r="R4" s="20" t="s">
        <v>14</v>
      </c>
      <c r="S4" s="18" t="s">
        <v>15</v>
      </c>
      <c r="T4" s="22" t="s">
        <v>16</v>
      </c>
      <c r="U4" s="23" t="s">
        <v>18</v>
      </c>
      <c r="V4" s="24" t="s">
        <v>19</v>
      </c>
      <c r="W4" s="24" t="s">
        <v>20</v>
      </c>
      <c r="X4" s="25" t="s">
        <v>21</v>
      </c>
      <c r="Y4" s="24"/>
      <c r="Z4" s="26" t="s">
        <v>22</v>
      </c>
      <c r="AA4" s="27" t="s">
        <v>10</v>
      </c>
      <c r="AB4" s="17" t="s">
        <v>19</v>
      </c>
      <c r="AC4" s="19" t="s">
        <v>23</v>
      </c>
      <c r="AD4" s="17" t="s">
        <v>20</v>
      </c>
      <c r="AE4" s="20" t="s">
        <v>24</v>
      </c>
      <c r="AF4" s="21" t="s">
        <v>25</v>
      </c>
      <c r="AG4" s="28" t="s">
        <v>16</v>
      </c>
      <c r="AH4" s="23" t="s">
        <v>18</v>
      </c>
      <c r="AI4" s="24" t="s">
        <v>19</v>
      </c>
      <c r="AJ4" s="24" t="s">
        <v>20</v>
      </c>
      <c r="AK4" s="25" t="s">
        <v>21</v>
      </c>
      <c r="AL4" s="24" t="s">
        <v>64</v>
      </c>
      <c r="AM4" s="24" t="s">
        <v>65</v>
      </c>
      <c r="AN4" s="29" t="s">
        <v>26</v>
      </c>
      <c r="AO4" s="29" t="s">
        <v>27</v>
      </c>
      <c r="AP4" s="29" t="s">
        <v>28</v>
      </c>
      <c r="AQ4" s="29" t="s">
        <v>29</v>
      </c>
      <c r="AR4" s="29" t="s">
        <v>30</v>
      </c>
      <c r="AS4" s="29" t="s">
        <v>31</v>
      </c>
      <c r="AT4" s="29" t="s">
        <v>32</v>
      </c>
      <c r="AU4" s="30" t="s">
        <v>33</v>
      </c>
      <c r="AV4" s="3"/>
      <c r="AW4" s="4"/>
    </row>
    <row r="5" spans="1:50" ht="13.5" customHeight="1" thickTop="1">
      <c r="A5" s="121"/>
      <c r="B5" s="133">
        <f>DATE($A$2,$B$2,1)</f>
        <v>45778</v>
      </c>
      <c r="C5" s="205" t="s">
        <v>59</v>
      </c>
      <c r="D5" s="134">
        <v>90</v>
      </c>
      <c r="E5" s="135"/>
      <c r="F5" s="136"/>
      <c r="G5" s="137"/>
      <c r="H5" s="138" t="e">
        <f t="shared" ref="H5:H35" si="0">ROUNDDOWN(G5/1.1,0)/F5</f>
        <v>#DIV/0!</v>
      </c>
      <c r="I5" s="137"/>
      <c r="J5" s="139" t="e">
        <f t="shared" ref="J5:J35" si="1">ROUNDDOWN(I5/1.1,0)/F5</f>
        <v>#DIV/0!</v>
      </c>
      <c r="K5" s="140">
        <f t="shared" ref="K5:K35" si="2">G5+I5</f>
        <v>0</v>
      </c>
      <c r="L5" s="141" t="str">
        <f t="shared" ref="L5:L35" si="3">IF(F5="","",K5/F5)</f>
        <v/>
      </c>
      <c r="M5" s="142"/>
      <c r="N5" s="143">
        <f>AN5-F5</f>
        <v>38</v>
      </c>
      <c r="O5" s="144">
        <f>AO5-G5</f>
        <v>349470</v>
      </c>
      <c r="P5" s="138">
        <f t="shared" ref="P5:P35" si="4">ROUNDDOWN(O5/1.1,0)/N5</f>
        <v>8360.5263157894733</v>
      </c>
      <c r="Q5" s="144">
        <f>AP5-I5</f>
        <v>71850</v>
      </c>
      <c r="R5" s="139">
        <f t="shared" ref="R5:R35" si="5">ROUNDDOWN(Q5/1.1,0)/N5</f>
        <v>1718.8947368421052</v>
      </c>
      <c r="S5" s="145">
        <f>O5+Q5</f>
        <v>421320</v>
      </c>
      <c r="T5" s="141">
        <f t="shared" ref="T5:T35" si="6">IF(N5="","",S5/N5)</f>
        <v>11087.368421052632</v>
      </c>
      <c r="U5" s="146">
        <f t="shared" ref="U5:V20" si="7">F5+N5</f>
        <v>38</v>
      </c>
      <c r="V5" s="144">
        <f t="shared" si="7"/>
        <v>349470</v>
      </c>
      <c r="W5" s="144">
        <f t="shared" ref="W5:W35" si="8">I5+Q5</f>
        <v>71850</v>
      </c>
      <c r="X5" s="147">
        <f>K5+S5</f>
        <v>421320</v>
      </c>
      <c r="Y5" s="144">
        <f t="shared" ref="Y5:Y35" si="9">IF(U5="","",X5/U5)</f>
        <v>11087.368421052632</v>
      </c>
      <c r="Z5" s="148"/>
      <c r="AA5" s="149">
        <v>176</v>
      </c>
      <c r="AB5" s="137">
        <v>115850</v>
      </c>
      <c r="AC5" s="138">
        <f t="shared" ref="AC5:AC35" si="10">AB5/AA5</f>
        <v>658.23863636363637</v>
      </c>
      <c r="AD5" s="137">
        <v>66460</v>
      </c>
      <c r="AE5" s="139">
        <f t="shared" ref="AE5:AE35" si="11">AD5/AA5</f>
        <v>377.61363636363637</v>
      </c>
      <c r="AF5" s="150">
        <f>AB5+AD5</f>
        <v>182310</v>
      </c>
      <c r="AG5" s="141">
        <f t="shared" ref="AG5:AG35" si="12">IF(AA5="","",AF5/AA5)</f>
        <v>1035.8522727272727</v>
      </c>
      <c r="AH5" s="146">
        <f t="shared" ref="AH5:AH35" si="13">SUM(F5,N5)</f>
        <v>38</v>
      </c>
      <c r="AI5" s="144">
        <f t="shared" ref="AI5:AI35" si="14">V5+AB5</f>
        <v>465320</v>
      </c>
      <c r="AJ5" s="144">
        <f t="shared" ref="AJ5:AJ35" si="15">W5+AD5</f>
        <v>138310</v>
      </c>
      <c r="AK5" s="151">
        <f>X5+AF5</f>
        <v>603630</v>
      </c>
      <c r="AL5" s="144">
        <f t="shared" ref="AL5:AL35" si="16">AQ5+AR5+AS5</f>
        <v>41800</v>
      </c>
      <c r="AM5" s="144"/>
      <c r="AN5" s="152">
        <v>38</v>
      </c>
      <c r="AO5" s="152">
        <v>349470</v>
      </c>
      <c r="AP5" s="152">
        <v>71850</v>
      </c>
      <c r="AQ5" s="153">
        <v>41800</v>
      </c>
      <c r="AR5" s="153"/>
      <c r="AS5" s="153"/>
      <c r="AT5" s="153"/>
      <c r="AU5" s="154">
        <f>SUM(AO5:AS5)</f>
        <v>463120</v>
      </c>
      <c r="AV5" s="121">
        <v>1</v>
      </c>
      <c r="AW5" s="122">
        <f>AT5+AU5</f>
        <v>463120</v>
      </c>
      <c r="AX5" s="206">
        <f>AU5+AF5</f>
        <v>645430</v>
      </c>
    </row>
    <row r="6" spans="1:50" ht="13.5" customHeight="1">
      <c r="A6" s="121"/>
      <c r="B6" s="156">
        <f t="shared" ref="B6:B35" si="17">B5+1</f>
        <v>45779</v>
      </c>
      <c r="C6" s="205" t="s">
        <v>70</v>
      </c>
      <c r="D6" s="134">
        <v>35</v>
      </c>
      <c r="E6" s="135"/>
      <c r="F6" s="136"/>
      <c r="G6" s="137"/>
      <c r="H6" s="138" t="e">
        <f t="shared" si="0"/>
        <v>#DIV/0!</v>
      </c>
      <c r="I6" s="137"/>
      <c r="J6" s="139" t="e">
        <f t="shared" si="1"/>
        <v>#DIV/0!</v>
      </c>
      <c r="K6" s="140">
        <f t="shared" si="2"/>
        <v>0</v>
      </c>
      <c r="L6" s="141" t="str">
        <f t="shared" si="3"/>
        <v/>
      </c>
      <c r="M6" s="142"/>
      <c r="N6" s="143">
        <f t="shared" ref="N6:O21" si="18">AN6-F6</f>
        <v>38</v>
      </c>
      <c r="O6" s="144">
        <f t="shared" si="18"/>
        <v>331980</v>
      </c>
      <c r="P6" s="138">
        <f t="shared" si="4"/>
        <v>7942.105263157895</v>
      </c>
      <c r="Q6" s="144">
        <f t="shared" ref="Q6:Q35" si="19">AP6-I6</f>
        <v>62930</v>
      </c>
      <c r="R6" s="139">
        <f t="shared" si="5"/>
        <v>1505.5</v>
      </c>
      <c r="S6" s="145">
        <f t="shared" ref="S6:S35" si="20">O6+Q6</f>
        <v>394910</v>
      </c>
      <c r="T6" s="141">
        <f t="shared" si="6"/>
        <v>10392.368421052632</v>
      </c>
      <c r="U6" s="146">
        <f t="shared" si="7"/>
        <v>38</v>
      </c>
      <c r="V6" s="144">
        <f t="shared" si="7"/>
        <v>331980</v>
      </c>
      <c r="W6" s="144">
        <f t="shared" si="8"/>
        <v>62930</v>
      </c>
      <c r="X6" s="147">
        <f t="shared" ref="X6:X35" si="21">K6+S6</f>
        <v>394910</v>
      </c>
      <c r="Y6" s="144">
        <f t="shared" si="9"/>
        <v>10392.368421052632</v>
      </c>
      <c r="Z6" s="148"/>
      <c r="AA6" s="149">
        <v>15</v>
      </c>
      <c r="AB6" s="137">
        <v>8400</v>
      </c>
      <c r="AC6" s="138">
        <f t="shared" si="10"/>
        <v>560</v>
      </c>
      <c r="AD6" s="137">
        <v>2700</v>
      </c>
      <c r="AE6" s="139">
        <f t="shared" si="11"/>
        <v>180</v>
      </c>
      <c r="AF6" s="150">
        <f t="shared" ref="AF6:AF35" si="22">AB6+AD6</f>
        <v>11100</v>
      </c>
      <c r="AG6" s="141">
        <f t="shared" si="12"/>
        <v>740</v>
      </c>
      <c r="AH6" s="146">
        <f t="shared" si="13"/>
        <v>38</v>
      </c>
      <c r="AI6" s="144">
        <f t="shared" si="14"/>
        <v>340380</v>
      </c>
      <c r="AJ6" s="144">
        <f t="shared" si="15"/>
        <v>65630</v>
      </c>
      <c r="AK6" s="151">
        <f t="shared" ref="AK6:AK35" si="23">X6+AF6</f>
        <v>406010</v>
      </c>
      <c r="AL6" s="144">
        <f t="shared" si="16"/>
        <v>45100</v>
      </c>
      <c r="AM6" s="144"/>
      <c r="AN6" s="152">
        <v>38</v>
      </c>
      <c r="AO6" s="152">
        <v>331980</v>
      </c>
      <c r="AP6" s="152">
        <v>62930</v>
      </c>
      <c r="AQ6" s="153">
        <v>45100</v>
      </c>
      <c r="AR6" s="153"/>
      <c r="AS6" s="153"/>
      <c r="AT6" s="153"/>
      <c r="AU6" s="154">
        <f t="shared" ref="AU6:AU35" si="24">SUM(AO6:AS6)</f>
        <v>440010</v>
      </c>
      <c r="AV6" s="121">
        <v>2</v>
      </c>
      <c r="AW6" s="122">
        <f t="shared" ref="AW6:AW35" si="25">AT6+AU6</f>
        <v>440010</v>
      </c>
      <c r="AX6" s="206">
        <f t="shared" ref="AX6:AX35" si="26">AU6+AF6</f>
        <v>451110</v>
      </c>
    </row>
    <row r="7" spans="1:50" ht="13.5" customHeight="1">
      <c r="A7" s="121"/>
      <c r="B7" s="159">
        <f t="shared" si="17"/>
        <v>45780</v>
      </c>
      <c r="C7" s="205"/>
      <c r="D7" s="134">
        <v>96</v>
      </c>
      <c r="E7" s="135"/>
      <c r="F7" s="136">
        <v>33</v>
      </c>
      <c r="G7" s="137">
        <v>122980</v>
      </c>
      <c r="H7" s="138">
        <f t="shared" si="0"/>
        <v>3387.878787878788</v>
      </c>
      <c r="I7" s="137">
        <v>20970</v>
      </c>
      <c r="J7" s="139">
        <f t="shared" si="1"/>
        <v>577.66666666666663</v>
      </c>
      <c r="K7" s="140">
        <f t="shared" si="2"/>
        <v>143950</v>
      </c>
      <c r="L7" s="141">
        <f t="shared" si="3"/>
        <v>4362.121212121212</v>
      </c>
      <c r="M7" s="142"/>
      <c r="N7" s="143">
        <f t="shared" si="18"/>
        <v>41</v>
      </c>
      <c r="O7" s="144">
        <f t="shared" si="18"/>
        <v>319330</v>
      </c>
      <c r="P7" s="138">
        <f t="shared" si="4"/>
        <v>7080.4878048780483</v>
      </c>
      <c r="Q7" s="144">
        <f t="shared" si="19"/>
        <v>79670</v>
      </c>
      <c r="R7" s="139">
        <f t="shared" si="5"/>
        <v>1766.5121951219512</v>
      </c>
      <c r="S7" s="145">
        <f t="shared" si="20"/>
        <v>399000</v>
      </c>
      <c r="T7" s="141">
        <f t="shared" si="6"/>
        <v>9731.707317073171</v>
      </c>
      <c r="U7" s="146">
        <f t="shared" si="7"/>
        <v>74</v>
      </c>
      <c r="V7" s="144">
        <f t="shared" si="7"/>
        <v>442310</v>
      </c>
      <c r="W7" s="144">
        <f t="shared" si="8"/>
        <v>100640</v>
      </c>
      <c r="X7" s="147">
        <f t="shared" si="21"/>
        <v>542950</v>
      </c>
      <c r="Y7" s="144">
        <f t="shared" si="9"/>
        <v>7337.1621621621625</v>
      </c>
      <c r="Z7" s="148"/>
      <c r="AA7" s="149">
        <v>156</v>
      </c>
      <c r="AB7" s="137">
        <v>99850</v>
      </c>
      <c r="AC7" s="138">
        <f t="shared" si="10"/>
        <v>640.06410256410254</v>
      </c>
      <c r="AD7" s="137">
        <v>43370</v>
      </c>
      <c r="AE7" s="139">
        <f t="shared" si="11"/>
        <v>278.0128205128205</v>
      </c>
      <c r="AF7" s="150">
        <f t="shared" si="22"/>
        <v>143220</v>
      </c>
      <c r="AG7" s="141">
        <f t="shared" si="12"/>
        <v>918.07692307692309</v>
      </c>
      <c r="AH7" s="146">
        <f t="shared" si="13"/>
        <v>74</v>
      </c>
      <c r="AI7" s="144">
        <f t="shared" si="14"/>
        <v>542160</v>
      </c>
      <c r="AJ7" s="144">
        <f t="shared" si="15"/>
        <v>144010</v>
      </c>
      <c r="AK7" s="151">
        <f t="shared" si="23"/>
        <v>686170</v>
      </c>
      <c r="AL7" s="144">
        <f t="shared" si="16"/>
        <v>55000</v>
      </c>
      <c r="AM7" s="144"/>
      <c r="AN7" s="152">
        <v>74</v>
      </c>
      <c r="AO7" s="152">
        <v>442310</v>
      </c>
      <c r="AP7" s="152">
        <v>100640</v>
      </c>
      <c r="AQ7" s="153">
        <v>55000</v>
      </c>
      <c r="AR7" s="153"/>
      <c r="AS7" s="153"/>
      <c r="AT7" s="153"/>
      <c r="AU7" s="154">
        <f t="shared" si="24"/>
        <v>597950</v>
      </c>
      <c r="AV7" s="121">
        <v>3</v>
      </c>
      <c r="AW7" s="122">
        <f t="shared" si="25"/>
        <v>597950</v>
      </c>
      <c r="AX7" s="206">
        <f t="shared" si="26"/>
        <v>741170</v>
      </c>
    </row>
    <row r="8" spans="1:50" ht="13.5" customHeight="1">
      <c r="A8" s="121"/>
      <c r="B8" s="160">
        <f t="shared" si="17"/>
        <v>45781</v>
      </c>
      <c r="C8" s="205"/>
      <c r="D8" s="134">
        <v>93</v>
      </c>
      <c r="E8" s="135"/>
      <c r="F8" s="136">
        <v>24</v>
      </c>
      <c r="G8" s="137">
        <v>71830</v>
      </c>
      <c r="H8" s="138">
        <f t="shared" si="0"/>
        <v>2720.8333333333335</v>
      </c>
      <c r="I8" s="137">
        <v>20590</v>
      </c>
      <c r="J8" s="139">
        <f t="shared" si="1"/>
        <v>779.91666666666663</v>
      </c>
      <c r="K8" s="140">
        <f t="shared" si="2"/>
        <v>92420</v>
      </c>
      <c r="L8" s="141">
        <f t="shared" si="3"/>
        <v>3850.8333333333335</v>
      </c>
      <c r="M8" s="142"/>
      <c r="N8" s="143">
        <f t="shared" si="18"/>
        <v>44</v>
      </c>
      <c r="O8" s="144">
        <f t="shared" si="18"/>
        <v>369490</v>
      </c>
      <c r="P8" s="138">
        <f t="shared" si="4"/>
        <v>7634.090909090909</v>
      </c>
      <c r="Q8" s="144">
        <f t="shared" si="19"/>
        <v>73570</v>
      </c>
      <c r="R8" s="139">
        <f t="shared" si="5"/>
        <v>1520.0227272727273</v>
      </c>
      <c r="S8" s="145">
        <f t="shared" si="20"/>
        <v>443060</v>
      </c>
      <c r="T8" s="141">
        <f t="shared" si="6"/>
        <v>10069.545454545454</v>
      </c>
      <c r="U8" s="146">
        <f t="shared" si="7"/>
        <v>68</v>
      </c>
      <c r="V8" s="144">
        <f t="shared" si="7"/>
        <v>441320</v>
      </c>
      <c r="W8" s="144">
        <f t="shared" si="8"/>
        <v>94160</v>
      </c>
      <c r="X8" s="147">
        <f t="shared" si="21"/>
        <v>535480</v>
      </c>
      <c r="Y8" s="144">
        <f t="shared" si="9"/>
        <v>7874.7058823529414</v>
      </c>
      <c r="Z8" s="148"/>
      <c r="AA8" s="149">
        <v>103</v>
      </c>
      <c r="AB8" s="137">
        <v>85900</v>
      </c>
      <c r="AC8" s="138">
        <f t="shared" si="10"/>
        <v>833.98058252427188</v>
      </c>
      <c r="AD8" s="137">
        <v>39140</v>
      </c>
      <c r="AE8" s="139">
        <f t="shared" si="11"/>
        <v>380</v>
      </c>
      <c r="AF8" s="150">
        <f t="shared" si="22"/>
        <v>125040</v>
      </c>
      <c r="AG8" s="141">
        <f t="shared" si="12"/>
        <v>1213.9805825242718</v>
      </c>
      <c r="AH8" s="146">
        <f t="shared" si="13"/>
        <v>68</v>
      </c>
      <c r="AI8" s="144">
        <f t="shared" si="14"/>
        <v>527220</v>
      </c>
      <c r="AJ8" s="144">
        <f t="shared" si="15"/>
        <v>133300</v>
      </c>
      <c r="AK8" s="158">
        <f t="shared" si="23"/>
        <v>660520</v>
      </c>
      <c r="AL8" s="144">
        <f t="shared" si="16"/>
        <v>49960</v>
      </c>
      <c r="AM8" s="144"/>
      <c r="AN8" s="152">
        <v>68</v>
      </c>
      <c r="AO8" s="152">
        <v>441320</v>
      </c>
      <c r="AP8" s="152">
        <v>94160</v>
      </c>
      <c r="AQ8" s="153">
        <v>48400</v>
      </c>
      <c r="AR8" s="153">
        <v>1560</v>
      </c>
      <c r="AS8" s="153"/>
      <c r="AT8" s="153"/>
      <c r="AU8" s="154">
        <f t="shared" si="24"/>
        <v>585440</v>
      </c>
      <c r="AV8" s="121">
        <v>4</v>
      </c>
      <c r="AW8" s="122">
        <f t="shared" si="25"/>
        <v>585440</v>
      </c>
      <c r="AX8" s="206">
        <f t="shared" si="26"/>
        <v>710480</v>
      </c>
    </row>
    <row r="9" spans="1:50" ht="13.5" customHeight="1">
      <c r="A9" s="121"/>
      <c r="B9" s="160">
        <f t="shared" si="17"/>
        <v>45782</v>
      </c>
      <c r="C9" s="205"/>
      <c r="D9" s="134">
        <v>100</v>
      </c>
      <c r="E9" s="135"/>
      <c r="F9" s="136">
        <v>17</v>
      </c>
      <c r="G9" s="137">
        <v>84150</v>
      </c>
      <c r="H9" s="138">
        <f t="shared" si="0"/>
        <v>4500</v>
      </c>
      <c r="I9" s="137">
        <v>15850</v>
      </c>
      <c r="J9" s="139">
        <f t="shared" si="1"/>
        <v>847.58823529411768</v>
      </c>
      <c r="K9" s="140">
        <f t="shared" si="2"/>
        <v>100000</v>
      </c>
      <c r="L9" s="141">
        <f t="shared" si="3"/>
        <v>5882.3529411764703</v>
      </c>
      <c r="M9" s="142"/>
      <c r="N9" s="143">
        <f t="shared" si="18"/>
        <v>43</v>
      </c>
      <c r="O9" s="144">
        <f t="shared" si="18"/>
        <v>384340</v>
      </c>
      <c r="P9" s="138">
        <f t="shared" si="4"/>
        <v>8125.5813953488368</v>
      </c>
      <c r="Q9" s="144">
        <f t="shared" si="19"/>
        <v>81700</v>
      </c>
      <c r="R9" s="139">
        <f t="shared" si="5"/>
        <v>1727.2558139534883</v>
      </c>
      <c r="S9" s="145">
        <f t="shared" si="20"/>
        <v>466040</v>
      </c>
      <c r="T9" s="141">
        <f t="shared" si="6"/>
        <v>10838.139534883721</v>
      </c>
      <c r="U9" s="146">
        <f t="shared" si="7"/>
        <v>60</v>
      </c>
      <c r="V9" s="144">
        <f t="shared" si="7"/>
        <v>468490</v>
      </c>
      <c r="W9" s="144">
        <f t="shared" si="8"/>
        <v>97550</v>
      </c>
      <c r="X9" s="147">
        <f t="shared" si="21"/>
        <v>566040</v>
      </c>
      <c r="Y9" s="144">
        <f t="shared" si="9"/>
        <v>9434</v>
      </c>
      <c r="Z9" s="148"/>
      <c r="AA9" s="149">
        <v>222</v>
      </c>
      <c r="AB9" s="137">
        <v>189900</v>
      </c>
      <c r="AC9" s="138">
        <f t="shared" si="10"/>
        <v>855.40540540540542</v>
      </c>
      <c r="AD9" s="137">
        <v>46050</v>
      </c>
      <c r="AE9" s="139">
        <f t="shared" si="11"/>
        <v>207.43243243243242</v>
      </c>
      <c r="AF9" s="150">
        <f t="shared" si="22"/>
        <v>235950</v>
      </c>
      <c r="AG9" s="141">
        <f t="shared" si="12"/>
        <v>1062.8378378378379</v>
      </c>
      <c r="AH9" s="146">
        <f t="shared" si="13"/>
        <v>60</v>
      </c>
      <c r="AI9" s="144">
        <f t="shared" si="14"/>
        <v>658390</v>
      </c>
      <c r="AJ9" s="144">
        <f t="shared" si="15"/>
        <v>143600</v>
      </c>
      <c r="AK9" s="151">
        <f t="shared" si="23"/>
        <v>801990</v>
      </c>
      <c r="AL9" s="144">
        <f t="shared" si="16"/>
        <v>148400</v>
      </c>
      <c r="AM9" s="144"/>
      <c r="AN9" s="152">
        <v>60</v>
      </c>
      <c r="AO9" s="152">
        <v>468490</v>
      </c>
      <c r="AP9" s="152">
        <v>97550</v>
      </c>
      <c r="AQ9" s="153">
        <v>48400</v>
      </c>
      <c r="AR9" s="153">
        <v>100000</v>
      </c>
      <c r="AS9" s="153"/>
      <c r="AT9" s="153"/>
      <c r="AU9" s="154">
        <f t="shared" si="24"/>
        <v>714440</v>
      </c>
      <c r="AV9" s="121">
        <v>5</v>
      </c>
      <c r="AW9" s="122">
        <f t="shared" si="25"/>
        <v>714440</v>
      </c>
      <c r="AX9" s="206">
        <f t="shared" si="26"/>
        <v>950390</v>
      </c>
    </row>
    <row r="10" spans="1:50" ht="13.5" customHeight="1">
      <c r="A10" s="121"/>
      <c r="B10" s="160">
        <f t="shared" si="17"/>
        <v>45783</v>
      </c>
      <c r="C10" s="205"/>
      <c r="D10" s="134">
        <v>92</v>
      </c>
      <c r="E10" s="135"/>
      <c r="F10" s="136">
        <v>30</v>
      </c>
      <c r="G10" s="137">
        <v>115390</v>
      </c>
      <c r="H10" s="138">
        <f t="shared" si="0"/>
        <v>3496.6666666666665</v>
      </c>
      <c r="I10" s="137">
        <v>17040</v>
      </c>
      <c r="J10" s="139">
        <f t="shared" si="1"/>
        <v>516.33333333333337</v>
      </c>
      <c r="K10" s="140">
        <f t="shared" si="2"/>
        <v>132430</v>
      </c>
      <c r="L10" s="141">
        <f t="shared" si="3"/>
        <v>4414.333333333333</v>
      </c>
      <c r="M10" s="142"/>
      <c r="N10" s="143">
        <f t="shared" si="18"/>
        <v>40</v>
      </c>
      <c r="O10" s="144">
        <f t="shared" si="18"/>
        <v>339240</v>
      </c>
      <c r="P10" s="138">
        <f t="shared" si="4"/>
        <v>7710</v>
      </c>
      <c r="Q10" s="144">
        <f t="shared" si="19"/>
        <v>71500</v>
      </c>
      <c r="R10" s="139">
        <f t="shared" si="5"/>
        <v>1625</v>
      </c>
      <c r="S10" s="145">
        <f t="shared" si="20"/>
        <v>410740</v>
      </c>
      <c r="T10" s="141">
        <f t="shared" si="6"/>
        <v>10268.5</v>
      </c>
      <c r="U10" s="146">
        <f t="shared" si="7"/>
        <v>70</v>
      </c>
      <c r="V10" s="144">
        <f t="shared" si="7"/>
        <v>454630</v>
      </c>
      <c r="W10" s="144">
        <f t="shared" si="8"/>
        <v>88540</v>
      </c>
      <c r="X10" s="147">
        <f t="shared" si="21"/>
        <v>543170</v>
      </c>
      <c r="Y10" s="144">
        <f t="shared" si="9"/>
        <v>7759.5714285714284</v>
      </c>
      <c r="Z10" s="148"/>
      <c r="AA10" s="149">
        <v>142</v>
      </c>
      <c r="AB10" s="137">
        <v>104250</v>
      </c>
      <c r="AC10" s="138">
        <f t="shared" si="10"/>
        <v>734.15492957746483</v>
      </c>
      <c r="AD10" s="137">
        <v>35990</v>
      </c>
      <c r="AE10" s="139">
        <f t="shared" si="11"/>
        <v>253.45070422535213</v>
      </c>
      <c r="AF10" s="150">
        <f t="shared" si="22"/>
        <v>140240</v>
      </c>
      <c r="AG10" s="141">
        <f t="shared" si="12"/>
        <v>987.6056338028169</v>
      </c>
      <c r="AH10" s="157">
        <f t="shared" si="13"/>
        <v>70</v>
      </c>
      <c r="AI10" s="144">
        <f t="shared" si="14"/>
        <v>558880</v>
      </c>
      <c r="AJ10" s="144">
        <f t="shared" si="15"/>
        <v>124530</v>
      </c>
      <c r="AK10" s="151">
        <f t="shared" si="23"/>
        <v>683410</v>
      </c>
      <c r="AL10" s="144">
        <f t="shared" si="16"/>
        <v>50600</v>
      </c>
      <c r="AM10" s="144"/>
      <c r="AN10" s="152">
        <v>70</v>
      </c>
      <c r="AO10" s="152">
        <v>454630</v>
      </c>
      <c r="AP10" s="152">
        <v>88540</v>
      </c>
      <c r="AQ10" s="153">
        <v>50600</v>
      </c>
      <c r="AR10" s="153"/>
      <c r="AS10" s="153"/>
      <c r="AT10" s="153">
        <v>5500</v>
      </c>
      <c r="AU10" s="154">
        <f>SUM(AO10:AS10)</f>
        <v>593770</v>
      </c>
      <c r="AV10" s="121">
        <v>6</v>
      </c>
      <c r="AW10" s="122">
        <f t="shared" si="25"/>
        <v>599270</v>
      </c>
      <c r="AX10" s="206">
        <f>AU10+AF10</f>
        <v>734010</v>
      </c>
    </row>
    <row r="11" spans="1:50" ht="13.5" customHeight="1">
      <c r="A11" s="121"/>
      <c r="B11" s="156">
        <f t="shared" si="17"/>
        <v>45784</v>
      </c>
      <c r="C11" s="205" t="s">
        <v>59</v>
      </c>
      <c r="D11" s="134">
        <v>90</v>
      </c>
      <c r="E11" s="135"/>
      <c r="F11" s="136"/>
      <c r="G11" s="137"/>
      <c r="H11" s="138" t="e">
        <f t="shared" si="0"/>
        <v>#DIV/0!</v>
      </c>
      <c r="I11" s="137"/>
      <c r="J11" s="139" t="e">
        <f t="shared" si="1"/>
        <v>#DIV/0!</v>
      </c>
      <c r="K11" s="140">
        <f t="shared" si="2"/>
        <v>0</v>
      </c>
      <c r="L11" s="141" t="str">
        <f t="shared" si="3"/>
        <v/>
      </c>
      <c r="M11" s="142"/>
      <c r="N11" s="143">
        <f t="shared" si="18"/>
        <v>11</v>
      </c>
      <c r="O11" s="144">
        <f t="shared" si="18"/>
        <v>97020</v>
      </c>
      <c r="P11" s="138">
        <f t="shared" si="4"/>
        <v>8018.181818181818</v>
      </c>
      <c r="Q11" s="144">
        <f t="shared" si="19"/>
        <v>23360</v>
      </c>
      <c r="R11" s="139">
        <f t="shared" si="5"/>
        <v>1930.5454545454545</v>
      </c>
      <c r="S11" s="145">
        <f t="shared" si="20"/>
        <v>120380</v>
      </c>
      <c r="T11" s="141">
        <f t="shared" si="6"/>
        <v>10943.636363636364</v>
      </c>
      <c r="U11" s="146">
        <f t="shared" si="7"/>
        <v>11</v>
      </c>
      <c r="V11" s="144">
        <f t="shared" si="7"/>
        <v>97020</v>
      </c>
      <c r="W11" s="144">
        <f t="shared" si="8"/>
        <v>23360</v>
      </c>
      <c r="X11" s="147">
        <f t="shared" si="21"/>
        <v>120380</v>
      </c>
      <c r="Y11" s="144">
        <f t="shared" si="9"/>
        <v>10943.636363636364</v>
      </c>
      <c r="Z11" s="148"/>
      <c r="AA11" s="149">
        <v>40</v>
      </c>
      <c r="AB11" s="137">
        <v>23900</v>
      </c>
      <c r="AC11" s="138">
        <f t="shared" si="10"/>
        <v>597.5</v>
      </c>
      <c r="AD11" s="137">
        <v>12620</v>
      </c>
      <c r="AE11" s="139">
        <f t="shared" si="11"/>
        <v>315.5</v>
      </c>
      <c r="AF11" s="150">
        <f t="shared" si="22"/>
        <v>36520</v>
      </c>
      <c r="AG11" s="141">
        <f t="shared" si="12"/>
        <v>913</v>
      </c>
      <c r="AH11" s="157">
        <f t="shared" si="13"/>
        <v>11</v>
      </c>
      <c r="AI11" s="144">
        <f t="shared" si="14"/>
        <v>120920</v>
      </c>
      <c r="AJ11" s="144">
        <f t="shared" si="15"/>
        <v>35980</v>
      </c>
      <c r="AK11" s="151">
        <f t="shared" si="23"/>
        <v>156900</v>
      </c>
      <c r="AL11" s="144">
        <f t="shared" si="16"/>
        <v>8800</v>
      </c>
      <c r="AM11" s="144"/>
      <c r="AN11" s="152">
        <v>11</v>
      </c>
      <c r="AO11" s="152">
        <v>97020</v>
      </c>
      <c r="AP11" s="152">
        <v>23360</v>
      </c>
      <c r="AQ11" s="153">
        <v>8800</v>
      </c>
      <c r="AR11" s="153"/>
      <c r="AS11" s="153"/>
      <c r="AT11" s="153"/>
      <c r="AU11" s="154">
        <f t="shared" si="24"/>
        <v>129180</v>
      </c>
      <c r="AV11" s="121">
        <v>7</v>
      </c>
      <c r="AW11" s="122">
        <f t="shared" si="25"/>
        <v>129180</v>
      </c>
      <c r="AX11" s="206">
        <f t="shared" si="26"/>
        <v>165700</v>
      </c>
    </row>
    <row r="12" spans="1:50" ht="13.5" customHeight="1">
      <c r="A12" s="121"/>
      <c r="B12" s="156">
        <f t="shared" si="17"/>
        <v>45785</v>
      </c>
      <c r="C12" s="205" t="s">
        <v>59</v>
      </c>
      <c r="D12" s="134">
        <v>94</v>
      </c>
      <c r="E12" s="135"/>
      <c r="F12" s="136"/>
      <c r="G12" s="137"/>
      <c r="H12" s="138" t="e">
        <f t="shared" si="0"/>
        <v>#DIV/0!</v>
      </c>
      <c r="I12" s="137"/>
      <c r="J12" s="139" t="e">
        <f t="shared" si="1"/>
        <v>#DIV/0!</v>
      </c>
      <c r="K12" s="140">
        <f t="shared" si="2"/>
        <v>0</v>
      </c>
      <c r="L12" s="141" t="str">
        <f t="shared" si="3"/>
        <v/>
      </c>
      <c r="M12" s="142"/>
      <c r="N12" s="143">
        <f t="shared" si="18"/>
        <v>24</v>
      </c>
      <c r="O12" s="144">
        <f t="shared" si="18"/>
        <v>253220</v>
      </c>
      <c r="P12" s="138">
        <f t="shared" si="4"/>
        <v>9591.6666666666661</v>
      </c>
      <c r="Q12" s="144">
        <f t="shared" si="19"/>
        <v>39550</v>
      </c>
      <c r="R12" s="162">
        <f t="shared" si="5"/>
        <v>1498.0833333333333</v>
      </c>
      <c r="S12" s="145">
        <f t="shared" si="20"/>
        <v>292770</v>
      </c>
      <c r="T12" s="141">
        <f t="shared" si="6"/>
        <v>12198.75</v>
      </c>
      <c r="U12" s="146">
        <f t="shared" si="7"/>
        <v>24</v>
      </c>
      <c r="V12" s="144">
        <f t="shared" si="7"/>
        <v>253220</v>
      </c>
      <c r="W12" s="144">
        <f t="shared" si="8"/>
        <v>39550</v>
      </c>
      <c r="X12" s="147">
        <f t="shared" si="21"/>
        <v>292770</v>
      </c>
      <c r="Y12" s="144">
        <f t="shared" si="9"/>
        <v>12198.75</v>
      </c>
      <c r="Z12" s="148"/>
      <c r="AA12" s="149">
        <v>64</v>
      </c>
      <c r="AB12" s="137">
        <v>32500</v>
      </c>
      <c r="AC12" s="138">
        <f t="shared" si="10"/>
        <v>507.8125</v>
      </c>
      <c r="AD12" s="137">
        <v>24820</v>
      </c>
      <c r="AE12" s="139">
        <f t="shared" si="11"/>
        <v>387.8125</v>
      </c>
      <c r="AF12" s="150">
        <f t="shared" si="22"/>
        <v>57320</v>
      </c>
      <c r="AG12" s="141">
        <f t="shared" si="12"/>
        <v>895.625</v>
      </c>
      <c r="AH12" s="157">
        <f t="shared" si="13"/>
        <v>24</v>
      </c>
      <c r="AI12" s="144">
        <f t="shared" si="14"/>
        <v>285720</v>
      </c>
      <c r="AJ12" s="144">
        <f t="shared" si="15"/>
        <v>64370</v>
      </c>
      <c r="AK12" s="151">
        <f t="shared" si="23"/>
        <v>350090</v>
      </c>
      <c r="AL12" s="144">
        <f t="shared" si="16"/>
        <v>38500</v>
      </c>
      <c r="AM12" s="144"/>
      <c r="AN12" s="152">
        <v>24</v>
      </c>
      <c r="AO12" s="152">
        <v>253220</v>
      </c>
      <c r="AP12" s="152">
        <v>39550</v>
      </c>
      <c r="AQ12" s="153">
        <v>38500</v>
      </c>
      <c r="AR12" s="153"/>
      <c r="AS12" s="153"/>
      <c r="AT12" s="153"/>
      <c r="AU12" s="154">
        <f t="shared" si="24"/>
        <v>331270</v>
      </c>
      <c r="AV12" s="121">
        <v>8</v>
      </c>
      <c r="AW12" s="122">
        <f t="shared" si="25"/>
        <v>331270</v>
      </c>
      <c r="AX12" s="206">
        <f t="shared" si="26"/>
        <v>388590</v>
      </c>
    </row>
    <row r="13" spans="1:50" ht="13.5" customHeight="1">
      <c r="A13" s="121"/>
      <c r="B13" s="156">
        <f t="shared" si="17"/>
        <v>45786</v>
      </c>
      <c r="C13" s="205" t="s">
        <v>59</v>
      </c>
      <c r="D13" s="134">
        <v>90</v>
      </c>
      <c r="E13" s="135"/>
      <c r="F13" s="136"/>
      <c r="G13" s="137"/>
      <c r="H13" s="138" t="e">
        <f t="shared" si="0"/>
        <v>#DIV/0!</v>
      </c>
      <c r="I13" s="137"/>
      <c r="J13" s="139" t="e">
        <f t="shared" si="1"/>
        <v>#DIV/0!</v>
      </c>
      <c r="K13" s="140">
        <f t="shared" si="2"/>
        <v>0</v>
      </c>
      <c r="L13" s="141" t="str">
        <f t="shared" si="3"/>
        <v/>
      </c>
      <c r="M13" s="142"/>
      <c r="N13" s="143">
        <f t="shared" si="18"/>
        <v>43</v>
      </c>
      <c r="O13" s="144">
        <f t="shared" si="18"/>
        <v>343000</v>
      </c>
      <c r="P13" s="138">
        <f t="shared" si="4"/>
        <v>7251.5813953488368</v>
      </c>
      <c r="Q13" s="144">
        <f t="shared" si="19"/>
        <v>57620</v>
      </c>
      <c r="R13" s="139">
        <f t="shared" si="5"/>
        <v>1218.1627906976744</v>
      </c>
      <c r="S13" s="145">
        <f t="shared" si="20"/>
        <v>400620</v>
      </c>
      <c r="T13" s="141">
        <f t="shared" si="6"/>
        <v>9316.7441860465115</v>
      </c>
      <c r="U13" s="146">
        <f t="shared" si="7"/>
        <v>43</v>
      </c>
      <c r="V13" s="144">
        <f t="shared" si="7"/>
        <v>343000</v>
      </c>
      <c r="W13" s="144">
        <f t="shared" si="8"/>
        <v>57620</v>
      </c>
      <c r="X13" s="147">
        <f t="shared" si="21"/>
        <v>400620</v>
      </c>
      <c r="Y13" s="144">
        <f t="shared" si="9"/>
        <v>9316.7441860465115</v>
      </c>
      <c r="Z13" s="148"/>
      <c r="AA13" s="149">
        <v>61</v>
      </c>
      <c r="AB13" s="137">
        <v>38950</v>
      </c>
      <c r="AC13" s="138">
        <f t="shared" si="10"/>
        <v>638.52459016393448</v>
      </c>
      <c r="AD13" s="137">
        <v>9340</v>
      </c>
      <c r="AE13" s="139">
        <f t="shared" si="11"/>
        <v>153.11475409836066</v>
      </c>
      <c r="AF13" s="150">
        <f t="shared" si="22"/>
        <v>48290</v>
      </c>
      <c r="AG13" s="141">
        <f t="shared" si="12"/>
        <v>791.63934426229503</v>
      </c>
      <c r="AH13" s="157">
        <f t="shared" si="13"/>
        <v>43</v>
      </c>
      <c r="AI13" s="144">
        <f t="shared" si="14"/>
        <v>381950</v>
      </c>
      <c r="AJ13" s="144">
        <f t="shared" si="15"/>
        <v>66960</v>
      </c>
      <c r="AK13" s="151">
        <f t="shared" si="23"/>
        <v>448910</v>
      </c>
      <c r="AL13" s="144">
        <f t="shared" si="16"/>
        <v>52250</v>
      </c>
      <c r="AM13" s="144"/>
      <c r="AN13" s="152">
        <v>43</v>
      </c>
      <c r="AO13" s="152">
        <v>343000</v>
      </c>
      <c r="AP13" s="152">
        <v>57620</v>
      </c>
      <c r="AQ13" s="153">
        <v>50600</v>
      </c>
      <c r="AR13" s="153">
        <v>1650</v>
      </c>
      <c r="AS13" s="153"/>
      <c r="AT13" s="153"/>
      <c r="AU13" s="154">
        <f t="shared" si="24"/>
        <v>452870</v>
      </c>
      <c r="AV13" s="121">
        <v>9</v>
      </c>
      <c r="AW13" s="122">
        <f t="shared" si="25"/>
        <v>452870</v>
      </c>
      <c r="AX13" s="206">
        <f t="shared" si="26"/>
        <v>501160</v>
      </c>
    </row>
    <row r="14" spans="1:50" ht="13.5" customHeight="1">
      <c r="A14" s="121"/>
      <c r="B14" s="159">
        <f t="shared" si="17"/>
        <v>45787</v>
      </c>
      <c r="C14" s="205"/>
      <c r="D14" s="134">
        <v>5</v>
      </c>
      <c r="E14" s="135"/>
      <c r="F14" s="136">
        <v>22</v>
      </c>
      <c r="G14" s="137">
        <v>71940</v>
      </c>
      <c r="H14" s="138">
        <f t="shared" si="0"/>
        <v>2972.7272727272725</v>
      </c>
      <c r="I14" s="137">
        <v>12190</v>
      </c>
      <c r="J14" s="139">
        <f t="shared" si="1"/>
        <v>503.68181818181819</v>
      </c>
      <c r="K14" s="140">
        <f t="shared" si="2"/>
        <v>84130</v>
      </c>
      <c r="L14" s="141">
        <f t="shared" si="3"/>
        <v>3824.090909090909</v>
      </c>
      <c r="M14" s="142"/>
      <c r="N14" s="143">
        <f t="shared" si="18"/>
        <v>31</v>
      </c>
      <c r="O14" s="144">
        <f t="shared" si="18"/>
        <v>292460</v>
      </c>
      <c r="P14" s="138">
        <f t="shared" si="4"/>
        <v>8576.5161290322576</v>
      </c>
      <c r="Q14" s="144">
        <f t="shared" si="19"/>
        <v>62750</v>
      </c>
      <c r="R14" s="139">
        <f t="shared" si="5"/>
        <v>1840.1612903225807</v>
      </c>
      <c r="S14" s="145">
        <f t="shared" si="20"/>
        <v>355210</v>
      </c>
      <c r="T14" s="141">
        <f t="shared" si="6"/>
        <v>11458.387096774193</v>
      </c>
      <c r="U14" s="146">
        <f t="shared" si="7"/>
        <v>53</v>
      </c>
      <c r="V14" s="144">
        <f t="shared" si="7"/>
        <v>364400</v>
      </c>
      <c r="W14" s="144">
        <f t="shared" si="8"/>
        <v>74940</v>
      </c>
      <c r="X14" s="147">
        <f t="shared" si="21"/>
        <v>439340</v>
      </c>
      <c r="Y14" s="144">
        <f t="shared" si="9"/>
        <v>8289.433962264151</v>
      </c>
      <c r="Z14" s="148"/>
      <c r="AA14" s="149">
        <v>25</v>
      </c>
      <c r="AB14" s="137">
        <v>12300</v>
      </c>
      <c r="AC14" s="138">
        <f t="shared" si="10"/>
        <v>492</v>
      </c>
      <c r="AD14" s="137">
        <v>10920</v>
      </c>
      <c r="AE14" s="139">
        <f t="shared" si="11"/>
        <v>436.8</v>
      </c>
      <c r="AF14" s="150">
        <f t="shared" si="22"/>
        <v>23220</v>
      </c>
      <c r="AG14" s="141">
        <f t="shared" si="12"/>
        <v>928.8</v>
      </c>
      <c r="AH14" s="157">
        <f t="shared" si="13"/>
        <v>53</v>
      </c>
      <c r="AI14" s="144">
        <f t="shared" si="14"/>
        <v>376700</v>
      </c>
      <c r="AJ14" s="144">
        <f t="shared" si="15"/>
        <v>85860</v>
      </c>
      <c r="AK14" s="158">
        <f t="shared" si="23"/>
        <v>462560</v>
      </c>
      <c r="AL14" s="144">
        <f t="shared" si="16"/>
        <v>5610</v>
      </c>
      <c r="AM14" s="144"/>
      <c r="AN14" s="152">
        <v>53</v>
      </c>
      <c r="AO14" s="152">
        <v>364400</v>
      </c>
      <c r="AP14" s="152">
        <v>74940</v>
      </c>
      <c r="AQ14" s="153">
        <v>4400</v>
      </c>
      <c r="AR14" s="153">
        <v>1210</v>
      </c>
      <c r="AS14" s="153"/>
      <c r="AT14" s="153"/>
      <c r="AU14" s="154">
        <f t="shared" si="24"/>
        <v>444950</v>
      </c>
      <c r="AV14" s="121">
        <v>10</v>
      </c>
      <c r="AW14" s="122">
        <f t="shared" si="25"/>
        <v>444950</v>
      </c>
      <c r="AX14" s="206">
        <f t="shared" si="26"/>
        <v>468170</v>
      </c>
    </row>
    <row r="15" spans="1:50" ht="13.5" customHeight="1">
      <c r="A15" s="121"/>
      <c r="B15" s="160">
        <f>B14+1</f>
        <v>45788</v>
      </c>
      <c r="C15" s="205"/>
      <c r="D15" s="134">
        <v>25</v>
      </c>
      <c r="E15" s="135"/>
      <c r="F15" s="136">
        <v>23</v>
      </c>
      <c r="G15" s="137">
        <v>80124</v>
      </c>
      <c r="H15" s="138">
        <f t="shared" si="0"/>
        <v>3166.9565217391305</v>
      </c>
      <c r="I15" s="137">
        <v>14370</v>
      </c>
      <c r="J15" s="139">
        <f t="shared" si="1"/>
        <v>567.95652173913038</v>
      </c>
      <c r="K15" s="140">
        <f t="shared" si="2"/>
        <v>94494</v>
      </c>
      <c r="L15" s="141">
        <f t="shared" si="3"/>
        <v>4108.434782608696</v>
      </c>
      <c r="M15" s="142"/>
      <c r="N15" s="143">
        <f t="shared" si="18"/>
        <v>32</v>
      </c>
      <c r="O15" s="144">
        <f t="shared" si="18"/>
        <v>299420</v>
      </c>
      <c r="P15" s="138">
        <f t="shared" si="4"/>
        <v>8506.25</v>
      </c>
      <c r="Q15" s="144">
        <f t="shared" si="19"/>
        <v>49590</v>
      </c>
      <c r="R15" s="139">
        <f t="shared" si="5"/>
        <v>1408.78125</v>
      </c>
      <c r="S15" s="145">
        <f t="shared" si="20"/>
        <v>349010</v>
      </c>
      <c r="T15" s="141">
        <f t="shared" si="6"/>
        <v>10906.5625</v>
      </c>
      <c r="U15" s="146">
        <f t="shared" si="7"/>
        <v>55</v>
      </c>
      <c r="V15" s="144">
        <f t="shared" si="7"/>
        <v>379544</v>
      </c>
      <c r="W15" s="144">
        <f t="shared" si="8"/>
        <v>63960</v>
      </c>
      <c r="X15" s="147">
        <f t="shared" si="21"/>
        <v>443504</v>
      </c>
      <c r="Y15" s="144">
        <f t="shared" si="9"/>
        <v>8063.7090909090912</v>
      </c>
      <c r="Z15" s="148"/>
      <c r="AA15" s="149">
        <v>71</v>
      </c>
      <c r="AB15" s="137">
        <v>58650</v>
      </c>
      <c r="AC15" s="138">
        <f t="shared" si="10"/>
        <v>826.05633802816897</v>
      </c>
      <c r="AD15" s="137">
        <v>20660</v>
      </c>
      <c r="AE15" s="139">
        <f t="shared" si="11"/>
        <v>290.98591549295776</v>
      </c>
      <c r="AF15" s="150">
        <f t="shared" si="22"/>
        <v>79310</v>
      </c>
      <c r="AG15" s="141">
        <f t="shared" si="12"/>
        <v>1117.0422535211267</v>
      </c>
      <c r="AH15" s="157">
        <f t="shared" si="13"/>
        <v>55</v>
      </c>
      <c r="AI15" s="144">
        <f t="shared" si="14"/>
        <v>438194</v>
      </c>
      <c r="AJ15" s="144">
        <f t="shared" si="15"/>
        <v>84620</v>
      </c>
      <c r="AK15" s="151">
        <f t="shared" si="23"/>
        <v>522814</v>
      </c>
      <c r="AL15" s="144">
        <f t="shared" si="16"/>
        <v>14850</v>
      </c>
      <c r="AM15" s="144"/>
      <c r="AN15" s="152">
        <v>55</v>
      </c>
      <c r="AO15" s="152">
        <v>379544</v>
      </c>
      <c r="AP15" s="152">
        <v>63960</v>
      </c>
      <c r="AQ15" s="153">
        <v>13200</v>
      </c>
      <c r="AR15" s="153">
        <v>1650</v>
      </c>
      <c r="AS15" s="153"/>
      <c r="AT15" s="153">
        <v>70000</v>
      </c>
      <c r="AU15" s="154">
        <f t="shared" si="24"/>
        <v>458354</v>
      </c>
      <c r="AV15" s="121">
        <v>11</v>
      </c>
      <c r="AW15" s="122">
        <f t="shared" si="25"/>
        <v>528354</v>
      </c>
      <c r="AX15" s="206">
        <f t="shared" si="26"/>
        <v>537664</v>
      </c>
    </row>
    <row r="16" spans="1:50" ht="13.5" customHeight="1">
      <c r="A16" s="121"/>
      <c r="B16" s="156">
        <f t="shared" si="17"/>
        <v>45789</v>
      </c>
      <c r="C16" s="205" t="s">
        <v>59</v>
      </c>
      <c r="D16" s="134">
        <v>90</v>
      </c>
      <c r="E16" s="135"/>
      <c r="F16" s="136"/>
      <c r="G16" s="137"/>
      <c r="H16" s="138" t="e">
        <f t="shared" si="0"/>
        <v>#DIV/0!</v>
      </c>
      <c r="I16" s="137"/>
      <c r="J16" s="139" t="e">
        <f t="shared" si="1"/>
        <v>#DIV/0!</v>
      </c>
      <c r="K16" s="140">
        <f t="shared" si="2"/>
        <v>0</v>
      </c>
      <c r="L16" s="141" t="str">
        <f t="shared" si="3"/>
        <v/>
      </c>
      <c r="M16" s="142"/>
      <c r="N16" s="143">
        <f t="shared" si="18"/>
        <v>31</v>
      </c>
      <c r="O16" s="144">
        <f t="shared" si="18"/>
        <v>253660</v>
      </c>
      <c r="P16" s="138">
        <f t="shared" si="4"/>
        <v>7438.7096774193551</v>
      </c>
      <c r="Q16" s="144">
        <f t="shared" si="19"/>
        <v>43840</v>
      </c>
      <c r="R16" s="139">
        <f t="shared" si="5"/>
        <v>1285.6129032258063</v>
      </c>
      <c r="S16" s="145">
        <f t="shared" si="20"/>
        <v>297500</v>
      </c>
      <c r="T16" s="141">
        <f t="shared" si="6"/>
        <v>9596.7741935483864</v>
      </c>
      <c r="U16" s="146">
        <f t="shared" si="7"/>
        <v>31</v>
      </c>
      <c r="V16" s="144">
        <f t="shared" si="7"/>
        <v>253660</v>
      </c>
      <c r="W16" s="144">
        <f t="shared" si="8"/>
        <v>43840</v>
      </c>
      <c r="X16" s="147">
        <f t="shared" si="21"/>
        <v>297500</v>
      </c>
      <c r="Y16" s="144">
        <f t="shared" si="9"/>
        <v>9596.7741935483864</v>
      </c>
      <c r="Z16" s="148"/>
      <c r="AA16" s="149">
        <v>116</v>
      </c>
      <c r="AB16" s="137">
        <v>67500</v>
      </c>
      <c r="AC16" s="138">
        <f>AB16/AA16</f>
        <v>581.89655172413791</v>
      </c>
      <c r="AD16" s="137">
        <v>30000</v>
      </c>
      <c r="AE16" s="139">
        <f t="shared" si="11"/>
        <v>258.62068965517244</v>
      </c>
      <c r="AF16" s="150">
        <f t="shared" si="22"/>
        <v>97500</v>
      </c>
      <c r="AG16" s="141">
        <f t="shared" si="12"/>
        <v>840.51724137931035</v>
      </c>
      <c r="AH16" s="157">
        <f t="shared" si="13"/>
        <v>31</v>
      </c>
      <c r="AI16" s="144">
        <f t="shared" si="14"/>
        <v>321160</v>
      </c>
      <c r="AJ16" s="144">
        <f t="shared" si="15"/>
        <v>73840</v>
      </c>
      <c r="AK16" s="151">
        <f t="shared" si="23"/>
        <v>395000</v>
      </c>
      <c r="AL16" s="144">
        <f t="shared" si="16"/>
        <v>105400</v>
      </c>
      <c r="AM16" s="144">
        <v>1600</v>
      </c>
      <c r="AN16" s="152">
        <v>31</v>
      </c>
      <c r="AO16" s="152">
        <v>253660</v>
      </c>
      <c r="AP16" s="152">
        <v>43840</v>
      </c>
      <c r="AQ16" s="153">
        <v>37400</v>
      </c>
      <c r="AR16" s="153">
        <v>68000</v>
      </c>
      <c r="AS16" s="153"/>
      <c r="AT16" s="153"/>
      <c r="AU16" s="154">
        <f t="shared" si="24"/>
        <v>402900</v>
      </c>
      <c r="AV16" s="121">
        <v>12</v>
      </c>
      <c r="AW16" s="122">
        <f t="shared" si="25"/>
        <v>402900</v>
      </c>
      <c r="AX16" s="206">
        <f t="shared" si="26"/>
        <v>500400</v>
      </c>
    </row>
    <row r="17" spans="1:50" ht="13.5" customHeight="1">
      <c r="A17" s="121"/>
      <c r="B17" s="156">
        <f t="shared" si="17"/>
        <v>45790</v>
      </c>
      <c r="C17" s="205" t="s">
        <v>59</v>
      </c>
      <c r="D17" s="134">
        <v>95</v>
      </c>
      <c r="E17" s="135"/>
      <c r="F17" s="136"/>
      <c r="G17" s="137"/>
      <c r="H17" s="138" t="e">
        <f t="shared" si="0"/>
        <v>#DIV/0!</v>
      </c>
      <c r="I17" s="137"/>
      <c r="J17" s="139" t="e">
        <f t="shared" si="1"/>
        <v>#DIV/0!</v>
      </c>
      <c r="K17" s="140">
        <f t="shared" si="2"/>
        <v>0</v>
      </c>
      <c r="L17" s="141" t="str">
        <f t="shared" si="3"/>
        <v/>
      </c>
      <c r="M17" s="142"/>
      <c r="N17" s="143">
        <f t="shared" si="18"/>
        <v>32</v>
      </c>
      <c r="O17" s="144">
        <f t="shared" si="18"/>
        <v>317680</v>
      </c>
      <c r="P17" s="138">
        <f t="shared" si="4"/>
        <v>9025</v>
      </c>
      <c r="Q17" s="144">
        <f t="shared" si="19"/>
        <v>48770</v>
      </c>
      <c r="R17" s="139">
        <f t="shared" si="5"/>
        <v>1385.5</v>
      </c>
      <c r="S17" s="145">
        <f t="shared" si="20"/>
        <v>366450</v>
      </c>
      <c r="T17" s="141">
        <f t="shared" si="6"/>
        <v>11451.5625</v>
      </c>
      <c r="U17" s="146">
        <f t="shared" si="7"/>
        <v>32</v>
      </c>
      <c r="V17" s="144">
        <f t="shared" si="7"/>
        <v>317680</v>
      </c>
      <c r="W17" s="144">
        <f t="shared" si="8"/>
        <v>48770</v>
      </c>
      <c r="X17" s="147">
        <f t="shared" si="21"/>
        <v>366450</v>
      </c>
      <c r="Y17" s="144">
        <f t="shared" si="9"/>
        <v>11451.5625</v>
      </c>
      <c r="Z17" s="148"/>
      <c r="AA17" s="149">
        <v>79</v>
      </c>
      <c r="AB17" s="137">
        <v>53850</v>
      </c>
      <c r="AC17" s="138">
        <f t="shared" si="10"/>
        <v>681.64556962025313</v>
      </c>
      <c r="AD17" s="137">
        <v>24250</v>
      </c>
      <c r="AE17" s="139">
        <f t="shared" si="11"/>
        <v>306.96202531645571</v>
      </c>
      <c r="AF17" s="150">
        <f t="shared" si="22"/>
        <v>78100</v>
      </c>
      <c r="AG17" s="141">
        <f t="shared" si="12"/>
        <v>988.60759493670889</v>
      </c>
      <c r="AH17" s="157">
        <f t="shared" si="13"/>
        <v>32</v>
      </c>
      <c r="AI17" s="144">
        <f t="shared" si="14"/>
        <v>371530</v>
      </c>
      <c r="AJ17" s="144">
        <f t="shared" si="15"/>
        <v>73020</v>
      </c>
      <c r="AK17" s="151">
        <f t="shared" si="23"/>
        <v>444550</v>
      </c>
      <c r="AL17" s="144">
        <f t="shared" si="16"/>
        <v>37400</v>
      </c>
      <c r="AM17" s="144"/>
      <c r="AN17" s="152">
        <v>32</v>
      </c>
      <c r="AO17" s="152">
        <v>317680</v>
      </c>
      <c r="AP17" s="152">
        <v>48770</v>
      </c>
      <c r="AQ17" s="153">
        <v>37400</v>
      </c>
      <c r="AR17" s="153"/>
      <c r="AS17" s="153"/>
      <c r="AT17" s="153"/>
      <c r="AU17" s="154">
        <f t="shared" si="24"/>
        <v>403850</v>
      </c>
      <c r="AV17" s="121">
        <v>13</v>
      </c>
      <c r="AW17" s="122">
        <f t="shared" si="25"/>
        <v>403850</v>
      </c>
      <c r="AX17" s="206">
        <f t="shared" si="26"/>
        <v>481950</v>
      </c>
    </row>
    <row r="18" spans="1:50" ht="13.5" customHeight="1">
      <c r="A18" s="121"/>
      <c r="B18" s="156">
        <f t="shared" si="17"/>
        <v>45791</v>
      </c>
      <c r="C18" s="205" t="s">
        <v>59</v>
      </c>
      <c r="D18" s="134">
        <v>100</v>
      </c>
      <c r="E18" s="135"/>
      <c r="F18" s="136"/>
      <c r="G18" s="137"/>
      <c r="H18" s="138" t="e">
        <f t="shared" si="0"/>
        <v>#DIV/0!</v>
      </c>
      <c r="I18" s="137"/>
      <c r="J18" s="139" t="e">
        <f t="shared" si="1"/>
        <v>#DIV/0!</v>
      </c>
      <c r="K18" s="140">
        <f t="shared" si="2"/>
        <v>0</v>
      </c>
      <c r="L18" s="141" t="str">
        <f t="shared" si="3"/>
        <v/>
      </c>
      <c r="M18" s="142"/>
      <c r="N18" s="143">
        <f t="shared" si="18"/>
        <v>34</v>
      </c>
      <c r="O18" s="144">
        <f t="shared" si="18"/>
        <v>309650</v>
      </c>
      <c r="P18" s="138">
        <f t="shared" si="4"/>
        <v>8279.4117647058829</v>
      </c>
      <c r="Q18" s="144">
        <f t="shared" si="19"/>
        <v>59250</v>
      </c>
      <c r="R18" s="139">
        <f t="shared" si="5"/>
        <v>1584.2058823529412</v>
      </c>
      <c r="S18" s="145">
        <f t="shared" si="20"/>
        <v>368900</v>
      </c>
      <c r="T18" s="141">
        <f t="shared" si="6"/>
        <v>10850</v>
      </c>
      <c r="U18" s="146">
        <f t="shared" si="7"/>
        <v>34</v>
      </c>
      <c r="V18" s="144">
        <f t="shared" si="7"/>
        <v>309650</v>
      </c>
      <c r="W18" s="144">
        <f t="shared" si="8"/>
        <v>59250</v>
      </c>
      <c r="X18" s="147">
        <f t="shared" si="21"/>
        <v>368900</v>
      </c>
      <c r="Y18" s="144">
        <f t="shared" si="9"/>
        <v>10850</v>
      </c>
      <c r="Z18" s="148"/>
      <c r="AA18" s="149">
        <v>70</v>
      </c>
      <c r="AB18" s="137">
        <v>43000</v>
      </c>
      <c r="AC18" s="138">
        <f t="shared" si="10"/>
        <v>614.28571428571433</v>
      </c>
      <c r="AD18" s="137">
        <v>24240</v>
      </c>
      <c r="AE18" s="139">
        <f t="shared" si="11"/>
        <v>346.28571428571428</v>
      </c>
      <c r="AF18" s="150">
        <f t="shared" si="22"/>
        <v>67240</v>
      </c>
      <c r="AG18" s="141">
        <f t="shared" si="12"/>
        <v>960.57142857142856</v>
      </c>
      <c r="AH18" s="157">
        <f t="shared" si="13"/>
        <v>34</v>
      </c>
      <c r="AI18" s="144">
        <f t="shared" si="14"/>
        <v>352650</v>
      </c>
      <c r="AJ18" s="144">
        <f t="shared" si="15"/>
        <v>83490</v>
      </c>
      <c r="AK18" s="151">
        <f t="shared" si="23"/>
        <v>436140</v>
      </c>
      <c r="AL18" s="144">
        <f t="shared" si="16"/>
        <v>45100</v>
      </c>
      <c r="AM18" s="144"/>
      <c r="AN18" s="152">
        <v>34</v>
      </c>
      <c r="AO18" s="152">
        <v>309650</v>
      </c>
      <c r="AP18" s="152">
        <v>59250</v>
      </c>
      <c r="AQ18" s="153">
        <v>45100</v>
      </c>
      <c r="AR18" s="153"/>
      <c r="AS18" s="153"/>
      <c r="AT18" s="153"/>
      <c r="AU18" s="154">
        <f t="shared" si="24"/>
        <v>414000</v>
      </c>
      <c r="AV18" s="121">
        <v>14</v>
      </c>
      <c r="AW18" s="122">
        <f t="shared" si="25"/>
        <v>414000</v>
      </c>
      <c r="AX18" s="206">
        <f>AU18+AF18</f>
        <v>481240</v>
      </c>
    </row>
    <row r="19" spans="1:50" ht="13.5" customHeight="1">
      <c r="A19" s="121"/>
      <c r="B19" s="156">
        <f t="shared" si="17"/>
        <v>45792</v>
      </c>
      <c r="C19" s="205" t="s">
        <v>59</v>
      </c>
      <c r="D19" s="134">
        <v>85</v>
      </c>
      <c r="E19" s="135"/>
      <c r="F19" s="136"/>
      <c r="G19" s="137"/>
      <c r="H19" s="138" t="e">
        <f t="shared" si="0"/>
        <v>#DIV/0!</v>
      </c>
      <c r="I19" s="137"/>
      <c r="J19" s="139" t="e">
        <f t="shared" si="1"/>
        <v>#DIV/0!</v>
      </c>
      <c r="K19" s="140">
        <f t="shared" si="2"/>
        <v>0</v>
      </c>
      <c r="L19" s="141" t="str">
        <f t="shared" si="3"/>
        <v/>
      </c>
      <c r="M19" s="142"/>
      <c r="N19" s="143">
        <f t="shared" si="18"/>
        <v>38</v>
      </c>
      <c r="O19" s="144">
        <f t="shared" si="18"/>
        <v>359260</v>
      </c>
      <c r="P19" s="138">
        <f t="shared" si="4"/>
        <v>8594.7368421052633</v>
      </c>
      <c r="Q19" s="144">
        <f t="shared" si="19"/>
        <v>52590</v>
      </c>
      <c r="R19" s="162">
        <f t="shared" si="5"/>
        <v>1258.1315789473683</v>
      </c>
      <c r="S19" s="145">
        <f t="shared" si="20"/>
        <v>411850</v>
      </c>
      <c r="T19" s="141">
        <f t="shared" si="6"/>
        <v>10838.157894736842</v>
      </c>
      <c r="U19" s="146">
        <f t="shared" si="7"/>
        <v>38</v>
      </c>
      <c r="V19" s="144">
        <f t="shared" si="7"/>
        <v>359260</v>
      </c>
      <c r="W19" s="144">
        <f t="shared" si="8"/>
        <v>52590</v>
      </c>
      <c r="X19" s="147">
        <f t="shared" si="21"/>
        <v>411850</v>
      </c>
      <c r="Y19" s="144">
        <f t="shared" si="9"/>
        <v>10838.157894736842</v>
      </c>
      <c r="Z19" s="148"/>
      <c r="AA19" s="149">
        <v>65</v>
      </c>
      <c r="AB19" s="137">
        <v>37350</v>
      </c>
      <c r="AC19" s="138">
        <f t="shared" si="10"/>
        <v>574.61538461538464</v>
      </c>
      <c r="AD19" s="137">
        <v>20120</v>
      </c>
      <c r="AE19" s="139">
        <f t="shared" si="11"/>
        <v>309.53846153846155</v>
      </c>
      <c r="AF19" s="150">
        <f t="shared" si="22"/>
        <v>57470</v>
      </c>
      <c r="AG19" s="141">
        <f t="shared" si="12"/>
        <v>884.15384615384619</v>
      </c>
      <c r="AH19" s="157">
        <f t="shared" si="13"/>
        <v>38</v>
      </c>
      <c r="AI19" s="144">
        <f t="shared" si="14"/>
        <v>396610</v>
      </c>
      <c r="AJ19" s="144">
        <f t="shared" si="15"/>
        <v>72710</v>
      </c>
      <c r="AK19" s="151">
        <f t="shared" si="23"/>
        <v>469320</v>
      </c>
      <c r="AL19" s="144">
        <f t="shared" si="16"/>
        <v>40700</v>
      </c>
      <c r="AM19" s="144"/>
      <c r="AN19" s="152">
        <v>38</v>
      </c>
      <c r="AO19" s="152">
        <v>359260</v>
      </c>
      <c r="AP19" s="152">
        <v>52590</v>
      </c>
      <c r="AQ19" s="153">
        <v>40700</v>
      </c>
      <c r="AR19" s="153"/>
      <c r="AS19" s="153"/>
      <c r="AT19" s="153"/>
      <c r="AU19" s="154">
        <f t="shared" si="24"/>
        <v>452550</v>
      </c>
      <c r="AV19" s="121">
        <v>15</v>
      </c>
      <c r="AW19" s="122">
        <f t="shared" si="25"/>
        <v>452550</v>
      </c>
      <c r="AX19" s="206">
        <f t="shared" si="26"/>
        <v>510020</v>
      </c>
    </row>
    <row r="20" spans="1:50" ht="13.5" customHeight="1">
      <c r="A20" s="121"/>
      <c r="B20" s="156">
        <f t="shared" si="17"/>
        <v>45793</v>
      </c>
      <c r="C20" s="205" t="s">
        <v>59</v>
      </c>
      <c r="D20" s="134">
        <v>70</v>
      </c>
      <c r="E20" s="135"/>
      <c r="F20" s="136"/>
      <c r="G20" s="137"/>
      <c r="H20" s="138" t="e">
        <f t="shared" si="0"/>
        <v>#DIV/0!</v>
      </c>
      <c r="I20" s="137"/>
      <c r="J20" s="138" t="e">
        <f t="shared" si="1"/>
        <v>#DIV/0!</v>
      </c>
      <c r="K20" s="140">
        <f t="shared" si="2"/>
        <v>0</v>
      </c>
      <c r="L20" s="141" t="str">
        <f t="shared" si="3"/>
        <v/>
      </c>
      <c r="M20" s="142"/>
      <c r="N20" s="143">
        <f t="shared" si="18"/>
        <v>35</v>
      </c>
      <c r="O20" s="144">
        <f t="shared" si="18"/>
        <v>337570</v>
      </c>
      <c r="P20" s="138">
        <f t="shared" si="4"/>
        <v>8768.028571428571</v>
      </c>
      <c r="Q20" s="144">
        <f t="shared" si="19"/>
        <v>54130</v>
      </c>
      <c r="R20" s="162">
        <f t="shared" si="5"/>
        <v>1405.9714285714285</v>
      </c>
      <c r="S20" s="145">
        <f t="shared" si="20"/>
        <v>391700</v>
      </c>
      <c r="T20" s="141">
        <f t="shared" si="6"/>
        <v>11191.428571428571</v>
      </c>
      <c r="U20" s="146">
        <f t="shared" si="7"/>
        <v>35</v>
      </c>
      <c r="V20" s="144">
        <f t="shared" si="7"/>
        <v>337570</v>
      </c>
      <c r="W20" s="144">
        <f t="shared" si="8"/>
        <v>54130</v>
      </c>
      <c r="X20" s="147">
        <f t="shared" si="21"/>
        <v>391700</v>
      </c>
      <c r="Y20" s="144">
        <f t="shared" si="9"/>
        <v>11191.428571428571</v>
      </c>
      <c r="Z20" s="148"/>
      <c r="AA20" s="149">
        <v>156</v>
      </c>
      <c r="AB20" s="137">
        <v>97850</v>
      </c>
      <c r="AC20" s="138">
        <f t="shared" si="10"/>
        <v>627.24358974358972</v>
      </c>
      <c r="AD20" s="137">
        <v>36510</v>
      </c>
      <c r="AE20" s="139">
        <f t="shared" si="11"/>
        <v>234.03846153846155</v>
      </c>
      <c r="AF20" s="150">
        <f t="shared" si="22"/>
        <v>134360</v>
      </c>
      <c r="AG20" s="141">
        <f t="shared" si="12"/>
        <v>861.28205128205127</v>
      </c>
      <c r="AH20" s="157">
        <f t="shared" si="13"/>
        <v>35</v>
      </c>
      <c r="AI20" s="152">
        <f t="shared" si="14"/>
        <v>435420</v>
      </c>
      <c r="AJ20" s="152">
        <f t="shared" si="15"/>
        <v>90640</v>
      </c>
      <c r="AK20" s="151">
        <f t="shared" si="23"/>
        <v>526060</v>
      </c>
      <c r="AL20" s="144">
        <f t="shared" si="16"/>
        <v>39050</v>
      </c>
      <c r="AM20" s="144"/>
      <c r="AN20" s="152">
        <v>35</v>
      </c>
      <c r="AO20" s="152">
        <v>337570</v>
      </c>
      <c r="AP20" s="152">
        <v>54130</v>
      </c>
      <c r="AQ20" s="153">
        <v>37400</v>
      </c>
      <c r="AR20" s="153">
        <v>1650</v>
      </c>
      <c r="AS20" s="153"/>
      <c r="AT20" s="153">
        <v>3300</v>
      </c>
      <c r="AU20" s="154">
        <f t="shared" si="24"/>
        <v>430750</v>
      </c>
      <c r="AV20" s="121">
        <v>16</v>
      </c>
      <c r="AW20" s="122">
        <f t="shared" si="25"/>
        <v>434050</v>
      </c>
      <c r="AX20" s="206">
        <f t="shared" si="26"/>
        <v>565110</v>
      </c>
    </row>
    <row r="21" spans="1:50" ht="15.75" customHeight="1">
      <c r="A21" s="121"/>
      <c r="B21" s="159">
        <f t="shared" si="17"/>
        <v>45794</v>
      </c>
      <c r="C21" s="205"/>
      <c r="D21" s="134">
        <v>0</v>
      </c>
      <c r="E21" s="135"/>
      <c r="F21" s="136">
        <v>16</v>
      </c>
      <c r="G21" s="137">
        <v>71140</v>
      </c>
      <c r="H21" s="138">
        <f t="shared" si="0"/>
        <v>4042</v>
      </c>
      <c r="I21" s="137">
        <v>48800</v>
      </c>
      <c r="J21" s="138">
        <f t="shared" si="1"/>
        <v>2772.6875</v>
      </c>
      <c r="K21" s="140">
        <f t="shared" si="2"/>
        <v>119940</v>
      </c>
      <c r="L21" s="141">
        <f t="shared" si="3"/>
        <v>7496.25</v>
      </c>
      <c r="M21" s="142"/>
      <c r="N21" s="143">
        <f t="shared" si="18"/>
        <v>37</v>
      </c>
      <c r="O21" s="144">
        <f t="shared" si="18"/>
        <v>374470</v>
      </c>
      <c r="P21" s="138">
        <f t="shared" si="4"/>
        <v>9200.72972972973</v>
      </c>
      <c r="Q21" s="144">
        <f t="shared" si="19"/>
        <v>99360</v>
      </c>
      <c r="R21" s="162">
        <f t="shared" si="5"/>
        <v>2441.2702702702704</v>
      </c>
      <c r="S21" s="145">
        <f>O21+Q21</f>
        <v>473830</v>
      </c>
      <c r="T21" s="141">
        <f t="shared" si="6"/>
        <v>12806.216216216217</v>
      </c>
      <c r="U21" s="146">
        <f t="shared" ref="U21:V35" si="27">F21+N21</f>
        <v>53</v>
      </c>
      <c r="V21" s="144">
        <f t="shared" si="27"/>
        <v>445610</v>
      </c>
      <c r="W21" s="144">
        <f t="shared" si="8"/>
        <v>148160</v>
      </c>
      <c r="X21" s="147">
        <f>K21+S21</f>
        <v>593770</v>
      </c>
      <c r="Y21" s="144">
        <f t="shared" si="9"/>
        <v>11203.207547169812</v>
      </c>
      <c r="Z21" s="148"/>
      <c r="AA21" s="149">
        <v>67</v>
      </c>
      <c r="AB21" s="137">
        <v>51700</v>
      </c>
      <c r="AC21" s="138">
        <f t="shared" si="10"/>
        <v>771.64179104477614</v>
      </c>
      <c r="AD21" s="137">
        <v>17180</v>
      </c>
      <c r="AE21" s="139">
        <f t="shared" si="11"/>
        <v>256.41791044776119</v>
      </c>
      <c r="AF21" s="150">
        <f t="shared" si="22"/>
        <v>68880</v>
      </c>
      <c r="AG21" s="141">
        <f t="shared" si="12"/>
        <v>1028.0597014925372</v>
      </c>
      <c r="AH21" s="157">
        <f t="shared" si="13"/>
        <v>53</v>
      </c>
      <c r="AI21" s="152">
        <f t="shared" si="14"/>
        <v>497310</v>
      </c>
      <c r="AJ21" s="152">
        <f t="shared" si="15"/>
        <v>165340</v>
      </c>
      <c r="AK21" s="151">
        <f>X21+AF21</f>
        <v>662650</v>
      </c>
      <c r="AL21" s="144">
        <f>AQ21+AR21+AS21</f>
        <v>12100</v>
      </c>
      <c r="AM21" s="144">
        <v>9600</v>
      </c>
      <c r="AN21" s="152">
        <v>53</v>
      </c>
      <c r="AO21" s="152">
        <v>445610</v>
      </c>
      <c r="AP21" s="152">
        <v>148160</v>
      </c>
      <c r="AQ21" s="153">
        <v>12100</v>
      </c>
      <c r="AR21" s="153"/>
      <c r="AS21" s="153"/>
      <c r="AT21" s="153"/>
      <c r="AU21" s="154">
        <f t="shared" si="24"/>
        <v>605870</v>
      </c>
      <c r="AV21" s="121">
        <v>17</v>
      </c>
      <c r="AW21" s="122">
        <f t="shared" si="25"/>
        <v>605870</v>
      </c>
      <c r="AX21" s="206">
        <f t="shared" si="26"/>
        <v>674750</v>
      </c>
    </row>
    <row r="22" spans="1:50" ht="15.75" customHeight="1">
      <c r="A22" s="121"/>
      <c r="B22" s="160">
        <f t="shared" si="17"/>
        <v>45795</v>
      </c>
      <c r="C22" s="205"/>
      <c r="D22" s="134">
        <v>90</v>
      </c>
      <c r="E22" s="135"/>
      <c r="F22" s="136">
        <v>18</v>
      </c>
      <c r="G22" s="137">
        <v>79840</v>
      </c>
      <c r="H22" s="138">
        <f t="shared" si="0"/>
        <v>4032.2777777777778</v>
      </c>
      <c r="I22" s="137">
        <v>54900</v>
      </c>
      <c r="J22" s="138">
        <f t="shared" si="1"/>
        <v>2772.7222222222222</v>
      </c>
      <c r="K22" s="140">
        <f t="shared" si="2"/>
        <v>134740</v>
      </c>
      <c r="L22" s="141">
        <f t="shared" si="3"/>
        <v>7485.5555555555557</v>
      </c>
      <c r="M22" s="142"/>
      <c r="N22" s="143">
        <f t="shared" ref="N22:O35" si="28">AN22-F22</f>
        <v>46</v>
      </c>
      <c r="O22" s="144">
        <f t="shared" si="28"/>
        <v>420220</v>
      </c>
      <c r="P22" s="138">
        <f t="shared" si="4"/>
        <v>8304.7391304347821</v>
      </c>
      <c r="Q22" s="144">
        <f t="shared" si="19"/>
        <v>70380</v>
      </c>
      <c r="R22" s="162">
        <f t="shared" si="5"/>
        <v>1390.891304347826</v>
      </c>
      <c r="S22" s="145">
        <f t="shared" si="20"/>
        <v>490600</v>
      </c>
      <c r="T22" s="141">
        <f t="shared" si="6"/>
        <v>10665.217391304348</v>
      </c>
      <c r="U22" s="146">
        <f t="shared" si="27"/>
        <v>64</v>
      </c>
      <c r="V22" s="144">
        <f t="shared" si="27"/>
        <v>500060</v>
      </c>
      <c r="W22" s="144">
        <f t="shared" si="8"/>
        <v>125280</v>
      </c>
      <c r="X22" s="147">
        <f t="shared" si="21"/>
        <v>625340</v>
      </c>
      <c r="Y22" s="144">
        <f t="shared" si="9"/>
        <v>9770.9375</v>
      </c>
      <c r="Z22" s="148"/>
      <c r="AA22" s="149">
        <v>120</v>
      </c>
      <c r="AB22" s="137">
        <v>76050</v>
      </c>
      <c r="AC22" s="138">
        <f t="shared" si="10"/>
        <v>633.75</v>
      </c>
      <c r="AD22" s="137">
        <v>37530</v>
      </c>
      <c r="AE22" s="139">
        <f t="shared" si="11"/>
        <v>312.75</v>
      </c>
      <c r="AF22" s="150">
        <f t="shared" si="22"/>
        <v>113580</v>
      </c>
      <c r="AG22" s="141">
        <f t="shared" si="12"/>
        <v>946.5</v>
      </c>
      <c r="AH22" s="157">
        <f t="shared" si="13"/>
        <v>64</v>
      </c>
      <c r="AI22" s="152">
        <f t="shared" si="14"/>
        <v>576110</v>
      </c>
      <c r="AJ22" s="152">
        <f t="shared" si="15"/>
        <v>162810</v>
      </c>
      <c r="AK22" s="151">
        <f t="shared" si="23"/>
        <v>738920</v>
      </c>
      <c r="AL22" s="144">
        <f t="shared" si="16"/>
        <v>49610</v>
      </c>
      <c r="AM22" s="144">
        <v>10800</v>
      </c>
      <c r="AN22" s="152">
        <v>64</v>
      </c>
      <c r="AO22" s="152">
        <v>500060</v>
      </c>
      <c r="AP22" s="152">
        <v>125280</v>
      </c>
      <c r="AQ22" s="153">
        <v>48400</v>
      </c>
      <c r="AR22" s="153">
        <v>1210</v>
      </c>
      <c r="AS22" s="153"/>
      <c r="AT22" s="153">
        <v>87340</v>
      </c>
      <c r="AU22" s="154">
        <f t="shared" si="24"/>
        <v>674950</v>
      </c>
      <c r="AV22" s="121">
        <v>18</v>
      </c>
      <c r="AW22" s="122">
        <f t="shared" si="25"/>
        <v>762290</v>
      </c>
      <c r="AX22" s="206">
        <f t="shared" si="26"/>
        <v>788530</v>
      </c>
    </row>
    <row r="23" spans="1:50" ht="15.75" customHeight="1">
      <c r="A23" s="121"/>
      <c r="B23" s="156">
        <f t="shared" si="17"/>
        <v>45796</v>
      </c>
      <c r="C23" s="205" t="s">
        <v>59</v>
      </c>
      <c r="D23" s="134">
        <v>83</v>
      </c>
      <c r="E23" s="135"/>
      <c r="F23" s="136"/>
      <c r="G23" s="137"/>
      <c r="H23" s="138" t="e">
        <f t="shared" si="0"/>
        <v>#DIV/0!</v>
      </c>
      <c r="I23" s="137"/>
      <c r="J23" s="138" t="e">
        <f t="shared" si="1"/>
        <v>#DIV/0!</v>
      </c>
      <c r="K23" s="140">
        <f t="shared" si="2"/>
        <v>0</v>
      </c>
      <c r="L23" s="141" t="str">
        <f t="shared" si="3"/>
        <v/>
      </c>
      <c r="M23" s="142"/>
      <c r="N23" s="143">
        <f t="shared" si="28"/>
        <v>38</v>
      </c>
      <c r="O23" s="144">
        <f t="shared" si="28"/>
        <v>315810</v>
      </c>
      <c r="P23" s="138">
        <f t="shared" si="4"/>
        <v>7555.2631578947367</v>
      </c>
      <c r="Q23" s="144">
        <f t="shared" si="19"/>
        <v>58340</v>
      </c>
      <c r="R23" s="162">
        <f t="shared" si="5"/>
        <v>1395.6842105263158</v>
      </c>
      <c r="S23" s="145">
        <f t="shared" si="20"/>
        <v>374150</v>
      </c>
      <c r="T23" s="141">
        <f t="shared" si="6"/>
        <v>9846.0526315789466</v>
      </c>
      <c r="U23" s="146">
        <f t="shared" si="27"/>
        <v>38</v>
      </c>
      <c r="V23" s="144">
        <f t="shared" si="27"/>
        <v>315810</v>
      </c>
      <c r="W23" s="144">
        <f t="shared" si="8"/>
        <v>58340</v>
      </c>
      <c r="X23" s="147">
        <f t="shared" si="21"/>
        <v>374150</v>
      </c>
      <c r="Y23" s="144">
        <f t="shared" si="9"/>
        <v>9846.0526315789466</v>
      </c>
      <c r="Z23" s="148"/>
      <c r="AA23" s="149">
        <v>94</v>
      </c>
      <c r="AB23" s="137">
        <v>52650</v>
      </c>
      <c r="AC23" s="138">
        <f t="shared" si="10"/>
        <v>560.10638297872345</v>
      </c>
      <c r="AD23" s="137">
        <v>29590</v>
      </c>
      <c r="AE23" s="139">
        <f t="shared" si="11"/>
        <v>314.78723404255317</v>
      </c>
      <c r="AF23" s="150">
        <f t="shared" si="22"/>
        <v>82240</v>
      </c>
      <c r="AG23" s="141">
        <f t="shared" si="12"/>
        <v>874.89361702127655</v>
      </c>
      <c r="AH23" s="157">
        <f t="shared" si="13"/>
        <v>38</v>
      </c>
      <c r="AI23" s="152">
        <f t="shared" si="14"/>
        <v>368460</v>
      </c>
      <c r="AJ23" s="152">
        <f t="shared" si="15"/>
        <v>87930</v>
      </c>
      <c r="AK23" s="151">
        <f t="shared" si="23"/>
        <v>456390</v>
      </c>
      <c r="AL23" s="144">
        <f t="shared" si="16"/>
        <v>101420</v>
      </c>
      <c r="AM23" s="144"/>
      <c r="AN23" s="152">
        <v>38</v>
      </c>
      <c r="AO23" s="152">
        <v>315810</v>
      </c>
      <c r="AP23" s="152">
        <v>58340</v>
      </c>
      <c r="AQ23" s="153">
        <v>33000</v>
      </c>
      <c r="AR23" s="153">
        <v>68420</v>
      </c>
      <c r="AS23" s="153"/>
      <c r="AT23" s="153"/>
      <c r="AU23" s="154">
        <f t="shared" si="24"/>
        <v>475570</v>
      </c>
      <c r="AV23" s="121">
        <v>19</v>
      </c>
      <c r="AW23" s="122">
        <f t="shared" si="25"/>
        <v>475570</v>
      </c>
      <c r="AX23" s="206">
        <f t="shared" si="26"/>
        <v>557810</v>
      </c>
    </row>
    <row r="24" spans="1:50" ht="15.75" customHeight="1">
      <c r="A24" s="121"/>
      <c r="B24" s="156">
        <f t="shared" si="17"/>
        <v>45797</v>
      </c>
      <c r="C24" s="205" t="s">
        <v>59</v>
      </c>
      <c r="D24" s="134">
        <v>95</v>
      </c>
      <c r="E24" s="135"/>
      <c r="F24" s="136"/>
      <c r="G24" s="137"/>
      <c r="H24" s="138" t="e">
        <f t="shared" si="0"/>
        <v>#DIV/0!</v>
      </c>
      <c r="I24" s="137"/>
      <c r="J24" s="138" t="e">
        <f t="shared" si="1"/>
        <v>#DIV/0!</v>
      </c>
      <c r="K24" s="140">
        <f t="shared" si="2"/>
        <v>0</v>
      </c>
      <c r="L24" s="141" t="str">
        <f t="shared" si="3"/>
        <v/>
      </c>
      <c r="M24" s="142"/>
      <c r="N24" s="143">
        <f t="shared" si="28"/>
        <v>45</v>
      </c>
      <c r="O24" s="144">
        <f t="shared" si="28"/>
        <v>452540</v>
      </c>
      <c r="P24" s="138">
        <f t="shared" si="4"/>
        <v>9142.2222222222226</v>
      </c>
      <c r="Q24" s="144">
        <f t="shared" si="19"/>
        <v>92130</v>
      </c>
      <c r="R24" s="162">
        <f t="shared" si="5"/>
        <v>1861.2</v>
      </c>
      <c r="S24" s="145">
        <f t="shared" si="20"/>
        <v>544670</v>
      </c>
      <c r="T24" s="141">
        <f t="shared" si="6"/>
        <v>12103.777777777777</v>
      </c>
      <c r="U24" s="146">
        <f t="shared" si="27"/>
        <v>45</v>
      </c>
      <c r="V24" s="144">
        <f t="shared" si="27"/>
        <v>452540</v>
      </c>
      <c r="W24" s="144">
        <f t="shared" si="8"/>
        <v>92130</v>
      </c>
      <c r="X24" s="147">
        <f t="shared" si="21"/>
        <v>544670</v>
      </c>
      <c r="Y24" s="144">
        <f t="shared" si="9"/>
        <v>12103.777777777777</v>
      </c>
      <c r="Z24" s="148"/>
      <c r="AA24" s="149">
        <v>67</v>
      </c>
      <c r="AB24" s="137">
        <v>37500</v>
      </c>
      <c r="AC24" s="138">
        <f t="shared" si="10"/>
        <v>559.70149253731347</v>
      </c>
      <c r="AD24" s="137">
        <v>25630</v>
      </c>
      <c r="AE24" s="139">
        <f t="shared" si="11"/>
        <v>382.53731343283584</v>
      </c>
      <c r="AF24" s="150">
        <f t="shared" si="22"/>
        <v>63130</v>
      </c>
      <c r="AG24" s="141">
        <f t="shared" si="12"/>
        <v>942.2388059701492</v>
      </c>
      <c r="AH24" s="157">
        <f t="shared" si="13"/>
        <v>45</v>
      </c>
      <c r="AI24" s="152">
        <f t="shared" si="14"/>
        <v>490040</v>
      </c>
      <c r="AJ24" s="152">
        <f t="shared" si="15"/>
        <v>117760</v>
      </c>
      <c r="AK24" s="151">
        <f>X24+AF24</f>
        <v>607800</v>
      </c>
      <c r="AL24" s="144">
        <f t="shared" si="16"/>
        <v>48400</v>
      </c>
      <c r="AM24" s="144"/>
      <c r="AN24" s="152">
        <v>45</v>
      </c>
      <c r="AO24" s="152">
        <v>452540</v>
      </c>
      <c r="AP24" s="152">
        <v>92130</v>
      </c>
      <c r="AQ24" s="153">
        <v>48400</v>
      </c>
      <c r="AR24" s="153"/>
      <c r="AS24" s="153"/>
      <c r="AT24" s="153"/>
      <c r="AU24" s="154">
        <f t="shared" si="24"/>
        <v>593070</v>
      </c>
      <c r="AV24" s="121">
        <v>20</v>
      </c>
      <c r="AW24" s="122">
        <f t="shared" si="25"/>
        <v>593070</v>
      </c>
      <c r="AX24" s="206">
        <f t="shared" si="26"/>
        <v>656200</v>
      </c>
    </row>
    <row r="25" spans="1:50" ht="15.75" customHeight="1">
      <c r="A25" s="121"/>
      <c r="B25" s="156">
        <f t="shared" si="17"/>
        <v>45798</v>
      </c>
      <c r="C25" s="205" t="s">
        <v>59</v>
      </c>
      <c r="D25" s="134">
        <v>92</v>
      </c>
      <c r="E25" s="135"/>
      <c r="F25" s="136"/>
      <c r="G25" s="137"/>
      <c r="H25" s="138" t="e">
        <f t="shared" si="0"/>
        <v>#DIV/0!</v>
      </c>
      <c r="I25" s="137"/>
      <c r="J25" s="138" t="e">
        <f t="shared" si="1"/>
        <v>#DIV/0!</v>
      </c>
      <c r="K25" s="140">
        <f t="shared" si="2"/>
        <v>0</v>
      </c>
      <c r="L25" s="141" t="str">
        <f t="shared" si="3"/>
        <v/>
      </c>
      <c r="M25" s="142"/>
      <c r="N25" s="143">
        <f t="shared" si="28"/>
        <v>53</v>
      </c>
      <c r="O25" s="144">
        <f t="shared" si="28"/>
        <v>434600</v>
      </c>
      <c r="P25" s="138">
        <f t="shared" si="4"/>
        <v>7454.5283018867922</v>
      </c>
      <c r="Q25" s="144">
        <f t="shared" si="19"/>
        <v>169600</v>
      </c>
      <c r="R25" s="162">
        <f t="shared" si="5"/>
        <v>2909.0754716981132</v>
      </c>
      <c r="S25" s="145">
        <f t="shared" si="20"/>
        <v>604200</v>
      </c>
      <c r="T25" s="141">
        <f t="shared" si="6"/>
        <v>11400</v>
      </c>
      <c r="U25" s="146">
        <f t="shared" si="27"/>
        <v>53</v>
      </c>
      <c r="V25" s="144">
        <f t="shared" si="27"/>
        <v>434600</v>
      </c>
      <c r="W25" s="144">
        <f t="shared" si="8"/>
        <v>169600</v>
      </c>
      <c r="X25" s="147">
        <f t="shared" si="21"/>
        <v>604200</v>
      </c>
      <c r="Y25" s="144">
        <f t="shared" si="9"/>
        <v>11400</v>
      </c>
      <c r="Z25" s="148"/>
      <c r="AA25" s="149">
        <v>63</v>
      </c>
      <c r="AB25" s="137">
        <v>36900</v>
      </c>
      <c r="AC25" s="138">
        <f t="shared" si="10"/>
        <v>585.71428571428567</v>
      </c>
      <c r="AD25" s="137">
        <v>22390</v>
      </c>
      <c r="AE25" s="139">
        <f t="shared" si="11"/>
        <v>355.39682539682542</v>
      </c>
      <c r="AF25" s="150">
        <f t="shared" si="22"/>
        <v>59290</v>
      </c>
      <c r="AG25" s="141">
        <f t="shared" si="12"/>
        <v>941.11111111111109</v>
      </c>
      <c r="AH25" s="157">
        <f t="shared" si="13"/>
        <v>53</v>
      </c>
      <c r="AI25" s="152">
        <f t="shared" si="14"/>
        <v>471500</v>
      </c>
      <c r="AJ25" s="152">
        <f t="shared" si="15"/>
        <v>191990</v>
      </c>
      <c r="AK25" s="151">
        <f>X25+AF25</f>
        <v>663490</v>
      </c>
      <c r="AL25" s="144">
        <f t="shared" si="16"/>
        <v>0</v>
      </c>
      <c r="AM25" s="144">
        <v>31800</v>
      </c>
      <c r="AN25" s="152">
        <v>53</v>
      </c>
      <c r="AO25" s="152">
        <v>434600</v>
      </c>
      <c r="AP25" s="152">
        <v>169600</v>
      </c>
      <c r="AQ25" s="153"/>
      <c r="AR25" s="153"/>
      <c r="AS25" s="153"/>
      <c r="AT25" s="153"/>
      <c r="AU25" s="154">
        <f t="shared" si="24"/>
        <v>604200</v>
      </c>
      <c r="AV25" s="121">
        <v>21</v>
      </c>
      <c r="AW25" s="122">
        <f t="shared" si="25"/>
        <v>604200</v>
      </c>
      <c r="AX25" s="206">
        <f t="shared" si="26"/>
        <v>663490</v>
      </c>
    </row>
    <row r="26" spans="1:50" ht="15.75" customHeight="1">
      <c r="A26" s="121"/>
      <c r="B26" s="156">
        <f t="shared" si="17"/>
        <v>45799</v>
      </c>
      <c r="C26" s="205" t="s">
        <v>59</v>
      </c>
      <c r="D26" s="134">
        <v>83</v>
      </c>
      <c r="E26" s="135"/>
      <c r="F26" s="136"/>
      <c r="G26" s="137"/>
      <c r="H26" s="138" t="e">
        <f t="shared" si="0"/>
        <v>#DIV/0!</v>
      </c>
      <c r="I26" s="137"/>
      <c r="J26" s="138" t="e">
        <f t="shared" si="1"/>
        <v>#DIV/0!</v>
      </c>
      <c r="K26" s="140">
        <f t="shared" si="2"/>
        <v>0</v>
      </c>
      <c r="L26" s="141" t="str">
        <f t="shared" si="3"/>
        <v/>
      </c>
      <c r="M26" s="142"/>
      <c r="N26" s="143">
        <f t="shared" si="28"/>
        <v>22</v>
      </c>
      <c r="O26" s="144">
        <f t="shared" si="28"/>
        <v>200310</v>
      </c>
      <c r="P26" s="138">
        <f t="shared" si="4"/>
        <v>8277.2727272727279</v>
      </c>
      <c r="Q26" s="144">
        <f t="shared" si="19"/>
        <v>30990</v>
      </c>
      <c r="R26" s="162">
        <f t="shared" si="5"/>
        <v>1280.5454545454545</v>
      </c>
      <c r="S26" s="145">
        <f t="shared" si="20"/>
        <v>231300</v>
      </c>
      <c r="T26" s="141">
        <f t="shared" si="6"/>
        <v>10513.636363636364</v>
      </c>
      <c r="U26" s="146">
        <f t="shared" si="27"/>
        <v>22</v>
      </c>
      <c r="V26" s="144">
        <f t="shared" si="27"/>
        <v>200310</v>
      </c>
      <c r="W26" s="144">
        <f t="shared" si="8"/>
        <v>30990</v>
      </c>
      <c r="X26" s="147">
        <f t="shared" si="21"/>
        <v>231300</v>
      </c>
      <c r="Y26" s="144">
        <f t="shared" si="9"/>
        <v>10513.636363636364</v>
      </c>
      <c r="Z26" s="148"/>
      <c r="AA26" s="149">
        <v>35</v>
      </c>
      <c r="AB26" s="137">
        <v>19300</v>
      </c>
      <c r="AC26" s="138">
        <f t="shared" si="10"/>
        <v>551.42857142857144</v>
      </c>
      <c r="AD26" s="137">
        <v>10270</v>
      </c>
      <c r="AE26" s="139">
        <f t="shared" si="11"/>
        <v>293.42857142857144</v>
      </c>
      <c r="AF26" s="150">
        <f t="shared" si="22"/>
        <v>29570</v>
      </c>
      <c r="AG26" s="141">
        <f t="shared" si="12"/>
        <v>844.85714285714289</v>
      </c>
      <c r="AH26" s="157">
        <f t="shared" si="13"/>
        <v>22</v>
      </c>
      <c r="AI26" s="152">
        <f t="shared" si="14"/>
        <v>219610</v>
      </c>
      <c r="AJ26" s="152">
        <f t="shared" si="15"/>
        <v>41260</v>
      </c>
      <c r="AK26" s="151">
        <f>X26+AF26</f>
        <v>260870</v>
      </c>
      <c r="AL26" s="144">
        <f t="shared" si="16"/>
        <v>33000</v>
      </c>
      <c r="AM26" s="144"/>
      <c r="AN26" s="152">
        <v>22</v>
      </c>
      <c r="AO26" s="152">
        <v>200310</v>
      </c>
      <c r="AP26" s="152">
        <v>30990</v>
      </c>
      <c r="AQ26" s="153">
        <v>33000</v>
      </c>
      <c r="AR26" s="153"/>
      <c r="AS26" s="153"/>
      <c r="AT26" s="153"/>
      <c r="AU26" s="154">
        <f t="shared" si="24"/>
        <v>264300</v>
      </c>
      <c r="AV26" s="121">
        <v>22</v>
      </c>
      <c r="AW26" s="122">
        <f t="shared" si="25"/>
        <v>264300</v>
      </c>
      <c r="AX26" s="206">
        <f t="shared" si="26"/>
        <v>293870</v>
      </c>
    </row>
    <row r="27" spans="1:50" ht="15.75" customHeight="1">
      <c r="A27" s="121"/>
      <c r="B27" s="156">
        <f t="shared" si="17"/>
        <v>45800</v>
      </c>
      <c r="C27" s="205" t="s">
        <v>59</v>
      </c>
      <c r="D27" s="134">
        <v>65</v>
      </c>
      <c r="E27" s="135"/>
      <c r="F27" s="136"/>
      <c r="G27" s="137"/>
      <c r="H27" s="138" t="e">
        <f t="shared" si="0"/>
        <v>#DIV/0!</v>
      </c>
      <c r="I27" s="137"/>
      <c r="J27" s="138" t="e">
        <f t="shared" si="1"/>
        <v>#DIV/0!</v>
      </c>
      <c r="K27" s="140">
        <f t="shared" si="2"/>
        <v>0</v>
      </c>
      <c r="L27" s="141" t="str">
        <f t="shared" si="3"/>
        <v/>
      </c>
      <c r="M27" s="142"/>
      <c r="N27" s="143">
        <f t="shared" si="28"/>
        <v>34</v>
      </c>
      <c r="O27" s="144">
        <f t="shared" si="28"/>
        <v>381360</v>
      </c>
      <c r="P27" s="138">
        <f t="shared" si="4"/>
        <v>10196.764705882353</v>
      </c>
      <c r="Q27" s="144">
        <f t="shared" si="19"/>
        <v>117500</v>
      </c>
      <c r="R27" s="139">
        <f t="shared" si="5"/>
        <v>3141.705882352941</v>
      </c>
      <c r="S27" s="145">
        <f t="shared" si="20"/>
        <v>498860</v>
      </c>
      <c r="T27" s="141">
        <f t="shared" si="6"/>
        <v>14672.35294117647</v>
      </c>
      <c r="U27" s="146">
        <f t="shared" si="27"/>
        <v>34</v>
      </c>
      <c r="V27" s="144">
        <f t="shared" si="27"/>
        <v>381360</v>
      </c>
      <c r="W27" s="144">
        <f t="shared" si="8"/>
        <v>117500</v>
      </c>
      <c r="X27" s="147">
        <f t="shared" si="21"/>
        <v>498860</v>
      </c>
      <c r="Y27" s="144">
        <f t="shared" si="9"/>
        <v>14672.35294117647</v>
      </c>
      <c r="Z27" s="148"/>
      <c r="AA27" s="149">
        <v>70</v>
      </c>
      <c r="AB27" s="137">
        <v>43000</v>
      </c>
      <c r="AC27" s="138">
        <f t="shared" si="10"/>
        <v>614.28571428571433</v>
      </c>
      <c r="AD27" s="137">
        <v>23300</v>
      </c>
      <c r="AE27" s="139">
        <f t="shared" si="11"/>
        <v>332.85714285714283</v>
      </c>
      <c r="AF27" s="150">
        <f t="shared" si="22"/>
        <v>66300</v>
      </c>
      <c r="AG27" s="141">
        <f t="shared" si="12"/>
        <v>947.14285714285711</v>
      </c>
      <c r="AH27" s="157">
        <f t="shared" si="13"/>
        <v>34</v>
      </c>
      <c r="AI27" s="152">
        <f t="shared" si="14"/>
        <v>424360</v>
      </c>
      <c r="AJ27" s="152">
        <f t="shared" si="15"/>
        <v>140800</v>
      </c>
      <c r="AK27" s="151">
        <f>X27+AF27</f>
        <v>565160</v>
      </c>
      <c r="AL27" s="144">
        <f t="shared" si="16"/>
        <v>6600</v>
      </c>
      <c r="AM27" s="144">
        <v>18600</v>
      </c>
      <c r="AN27" s="152">
        <v>34</v>
      </c>
      <c r="AO27" s="152">
        <v>381360</v>
      </c>
      <c r="AP27" s="152">
        <v>117500</v>
      </c>
      <c r="AQ27" s="153">
        <v>6600</v>
      </c>
      <c r="AR27" s="153"/>
      <c r="AS27" s="153"/>
      <c r="AT27" s="153"/>
      <c r="AU27" s="154">
        <f t="shared" si="24"/>
        <v>505460</v>
      </c>
      <c r="AV27" s="121">
        <v>23</v>
      </c>
      <c r="AW27" s="122">
        <f t="shared" si="25"/>
        <v>505460</v>
      </c>
      <c r="AX27" s="206">
        <f t="shared" si="26"/>
        <v>571760</v>
      </c>
    </row>
    <row r="28" spans="1:50" ht="15.75" customHeight="1">
      <c r="A28" s="121"/>
      <c r="B28" s="159">
        <f t="shared" si="17"/>
        <v>45801</v>
      </c>
      <c r="C28" s="205"/>
      <c r="D28" s="134">
        <v>90</v>
      </c>
      <c r="E28" s="135"/>
      <c r="F28" s="136">
        <v>28</v>
      </c>
      <c r="G28" s="137">
        <v>106920</v>
      </c>
      <c r="H28" s="138">
        <f t="shared" si="0"/>
        <v>3471.4285714285716</v>
      </c>
      <c r="I28" s="137">
        <v>13940</v>
      </c>
      <c r="J28" s="138">
        <f t="shared" si="1"/>
        <v>452.57142857142856</v>
      </c>
      <c r="K28" s="140">
        <f t="shared" si="2"/>
        <v>120860</v>
      </c>
      <c r="L28" s="141">
        <f t="shared" si="3"/>
        <v>4316.4285714285716</v>
      </c>
      <c r="M28" s="142"/>
      <c r="N28" s="143">
        <f t="shared" si="28"/>
        <v>38</v>
      </c>
      <c r="O28" s="144">
        <f t="shared" si="28"/>
        <v>363220</v>
      </c>
      <c r="P28" s="138">
        <f t="shared" si="4"/>
        <v>8689.4736842105267</v>
      </c>
      <c r="Q28" s="144">
        <f t="shared" si="19"/>
        <v>59590</v>
      </c>
      <c r="R28" s="139">
        <f t="shared" si="5"/>
        <v>1425.578947368421</v>
      </c>
      <c r="S28" s="145">
        <f t="shared" si="20"/>
        <v>422810</v>
      </c>
      <c r="T28" s="141">
        <f t="shared" si="6"/>
        <v>11126.578947368422</v>
      </c>
      <c r="U28" s="146">
        <f t="shared" si="27"/>
        <v>66</v>
      </c>
      <c r="V28" s="144">
        <f t="shared" si="27"/>
        <v>470140</v>
      </c>
      <c r="W28" s="144">
        <f t="shared" si="8"/>
        <v>73530</v>
      </c>
      <c r="X28" s="147">
        <f t="shared" si="21"/>
        <v>543670</v>
      </c>
      <c r="Y28" s="144">
        <f t="shared" si="9"/>
        <v>8237.424242424242</v>
      </c>
      <c r="Z28" s="148"/>
      <c r="AA28" s="149">
        <v>172</v>
      </c>
      <c r="AB28" s="137">
        <v>96600</v>
      </c>
      <c r="AC28" s="138">
        <f t="shared" si="10"/>
        <v>561.62790697674416</v>
      </c>
      <c r="AD28" s="137">
        <v>37070</v>
      </c>
      <c r="AE28" s="139">
        <f t="shared" si="11"/>
        <v>215.52325581395348</v>
      </c>
      <c r="AF28" s="150">
        <f t="shared" si="22"/>
        <v>133670</v>
      </c>
      <c r="AG28" s="141">
        <f t="shared" si="12"/>
        <v>777.15116279069764</v>
      </c>
      <c r="AH28" s="157">
        <f t="shared" si="13"/>
        <v>66</v>
      </c>
      <c r="AI28" s="152">
        <f t="shared" si="14"/>
        <v>566740</v>
      </c>
      <c r="AJ28" s="152">
        <f t="shared" si="15"/>
        <v>110600</v>
      </c>
      <c r="AK28" s="151">
        <f t="shared" si="23"/>
        <v>677340</v>
      </c>
      <c r="AL28" s="144">
        <f t="shared" si="16"/>
        <v>40150</v>
      </c>
      <c r="AM28" s="144">
        <v>1600</v>
      </c>
      <c r="AN28" s="152">
        <v>66</v>
      </c>
      <c r="AO28" s="152">
        <v>470140</v>
      </c>
      <c r="AP28" s="152">
        <v>73530</v>
      </c>
      <c r="AQ28" s="153">
        <v>40150</v>
      </c>
      <c r="AR28" s="153"/>
      <c r="AS28" s="153"/>
      <c r="AT28" s="153"/>
      <c r="AU28" s="154">
        <f>SUM(AO28:AS28)</f>
        <v>583820</v>
      </c>
      <c r="AV28" s="121">
        <v>24</v>
      </c>
      <c r="AW28" s="122">
        <f t="shared" si="25"/>
        <v>583820</v>
      </c>
      <c r="AX28" s="206">
        <f>AU28+AF28</f>
        <v>717490</v>
      </c>
    </row>
    <row r="29" spans="1:50" ht="15.75" customHeight="1">
      <c r="A29" s="121"/>
      <c r="B29" s="160">
        <f t="shared" si="17"/>
        <v>45802</v>
      </c>
      <c r="C29" s="205"/>
      <c r="D29" s="134">
        <v>15</v>
      </c>
      <c r="E29" s="135"/>
      <c r="F29" s="136">
        <v>12</v>
      </c>
      <c r="G29" s="137">
        <v>59400</v>
      </c>
      <c r="H29" s="138">
        <f t="shared" si="0"/>
        <v>4500</v>
      </c>
      <c r="I29" s="137">
        <v>65400</v>
      </c>
      <c r="J29" s="138">
        <f t="shared" si="1"/>
        <v>4954.5</v>
      </c>
      <c r="K29" s="140">
        <f t="shared" si="2"/>
        <v>124800</v>
      </c>
      <c r="L29" s="141">
        <f t="shared" si="3"/>
        <v>10400</v>
      </c>
      <c r="M29" s="142"/>
      <c r="N29" s="143">
        <f t="shared" si="28"/>
        <v>31</v>
      </c>
      <c r="O29" s="144">
        <f t="shared" si="28"/>
        <v>283140</v>
      </c>
      <c r="P29" s="138">
        <f t="shared" si="4"/>
        <v>8303.2258064516136</v>
      </c>
      <c r="Q29" s="144">
        <f t="shared" si="19"/>
        <v>28160</v>
      </c>
      <c r="R29" s="139">
        <f t="shared" si="5"/>
        <v>825.80645161290317</v>
      </c>
      <c r="S29" s="145">
        <f t="shared" si="20"/>
        <v>311300</v>
      </c>
      <c r="T29" s="141">
        <f t="shared" si="6"/>
        <v>10041.935483870968</v>
      </c>
      <c r="U29" s="146">
        <f t="shared" si="27"/>
        <v>43</v>
      </c>
      <c r="V29" s="144">
        <f t="shared" si="27"/>
        <v>342540</v>
      </c>
      <c r="W29" s="144">
        <f t="shared" si="8"/>
        <v>93560</v>
      </c>
      <c r="X29" s="147">
        <f t="shared" si="21"/>
        <v>436100</v>
      </c>
      <c r="Y29" s="144">
        <f t="shared" si="9"/>
        <v>10141.860465116279</v>
      </c>
      <c r="Z29" s="148"/>
      <c r="AA29" s="149">
        <v>19</v>
      </c>
      <c r="AB29" s="137">
        <v>10050</v>
      </c>
      <c r="AC29" s="138">
        <f t="shared" si="10"/>
        <v>528.9473684210526</v>
      </c>
      <c r="AD29" s="137">
        <v>4540</v>
      </c>
      <c r="AE29" s="139">
        <f t="shared" si="11"/>
        <v>238.94736842105263</v>
      </c>
      <c r="AF29" s="150">
        <f t="shared" si="22"/>
        <v>14590</v>
      </c>
      <c r="AG29" s="141">
        <f t="shared" si="12"/>
        <v>767.89473684210532</v>
      </c>
      <c r="AH29" s="157">
        <f t="shared" si="13"/>
        <v>43</v>
      </c>
      <c r="AI29" s="152">
        <f t="shared" si="14"/>
        <v>352590</v>
      </c>
      <c r="AJ29" s="152">
        <f t="shared" si="15"/>
        <v>98100</v>
      </c>
      <c r="AK29" s="151">
        <f t="shared" si="23"/>
        <v>450690</v>
      </c>
      <c r="AL29" s="144">
        <f t="shared" si="16"/>
        <v>33110</v>
      </c>
      <c r="AM29" s="144"/>
      <c r="AN29" s="152">
        <v>43</v>
      </c>
      <c r="AO29" s="152">
        <v>342540</v>
      </c>
      <c r="AP29" s="152">
        <v>93560</v>
      </c>
      <c r="AQ29" s="153">
        <v>31900</v>
      </c>
      <c r="AR29" s="153">
        <v>1210</v>
      </c>
      <c r="AS29" s="153"/>
      <c r="AT29" s="153"/>
      <c r="AU29" s="154">
        <f t="shared" si="24"/>
        <v>469210</v>
      </c>
      <c r="AV29" s="121">
        <v>25</v>
      </c>
      <c r="AW29" s="122">
        <f t="shared" si="25"/>
        <v>469210</v>
      </c>
      <c r="AX29" s="206">
        <f t="shared" si="26"/>
        <v>483800</v>
      </c>
    </row>
    <row r="30" spans="1:50" ht="15.75" customHeight="1">
      <c r="A30" s="121"/>
      <c r="B30" s="156">
        <f t="shared" si="17"/>
        <v>45803</v>
      </c>
      <c r="C30" s="205" t="s">
        <v>59</v>
      </c>
      <c r="D30" s="134">
        <v>95</v>
      </c>
      <c r="E30" s="135"/>
      <c r="F30" s="136"/>
      <c r="G30" s="137"/>
      <c r="H30" s="138" t="e">
        <f>ROUNDDOWN(G30/1.1,0)/F30</f>
        <v>#DIV/0!</v>
      </c>
      <c r="I30" s="137"/>
      <c r="J30" s="138" t="e">
        <f>ROUNDDOWN(I30/1.1,0)/F30</f>
        <v>#DIV/0!</v>
      </c>
      <c r="K30" s="140">
        <f t="shared" si="2"/>
        <v>0</v>
      </c>
      <c r="L30" s="141" t="str">
        <f>IF(F30="","",K30/F30)</f>
        <v/>
      </c>
      <c r="M30" s="142"/>
      <c r="N30" s="143">
        <f t="shared" si="28"/>
        <v>31</v>
      </c>
      <c r="O30" s="144">
        <f t="shared" si="28"/>
        <v>287430</v>
      </c>
      <c r="P30" s="138">
        <f t="shared" si="4"/>
        <v>8429.032258064517</v>
      </c>
      <c r="Q30" s="144">
        <f t="shared" si="19"/>
        <v>57530</v>
      </c>
      <c r="R30" s="138">
        <f t="shared" si="5"/>
        <v>1687.0967741935483</v>
      </c>
      <c r="S30" s="145">
        <f t="shared" si="20"/>
        <v>344960</v>
      </c>
      <c r="T30" s="141">
        <f t="shared" si="6"/>
        <v>11127.741935483871</v>
      </c>
      <c r="U30" s="146">
        <f>F30+N30</f>
        <v>31</v>
      </c>
      <c r="V30" s="144">
        <f t="shared" si="27"/>
        <v>287430</v>
      </c>
      <c r="W30" s="144">
        <f t="shared" si="8"/>
        <v>57530</v>
      </c>
      <c r="X30" s="147">
        <f t="shared" si="21"/>
        <v>344960</v>
      </c>
      <c r="Y30" s="144">
        <f t="shared" si="9"/>
        <v>11127.741935483871</v>
      </c>
      <c r="Z30" s="148"/>
      <c r="AA30" s="149">
        <v>46</v>
      </c>
      <c r="AB30" s="137">
        <v>28550</v>
      </c>
      <c r="AC30" s="138">
        <f t="shared" si="10"/>
        <v>620.6521739130435</v>
      </c>
      <c r="AD30" s="137">
        <v>18740</v>
      </c>
      <c r="AE30" s="139">
        <f t="shared" si="11"/>
        <v>407.39130434782606</v>
      </c>
      <c r="AF30" s="150">
        <f t="shared" si="22"/>
        <v>47290</v>
      </c>
      <c r="AG30" s="141">
        <f t="shared" si="12"/>
        <v>1028.0434782608695</v>
      </c>
      <c r="AH30" s="157">
        <f t="shared" si="13"/>
        <v>31</v>
      </c>
      <c r="AI30" s="152">
        <f t="shared" si="14"/>
        <v>315980</v>
      </c>
      <c r="AJ30" s="152">
        <f t="shared" si="15"/>
        <v>76270</v>
      </c>
      <c r="AK30" s="151">
        <f t="shared" si="23"/>
        <v>392250</v>
      </c>
      <c r="AL30" s="144">
        <f t="shared" si="16"/>
        <v>124610</v>
      </c>
      <c r="AM30" s="144"/>
      <c r="AN30" s="152">
        <v>31</v>
      </c>
      <c r="AO30" s="152">
        <v>287430</v>
      </c>
      <c r="AP30" s="152">
        <v>57530</v>
      </c>
      <c r="AQ30" s="153">
        <v>37400</v>
      </c>
      <c r="AR30" s="153">
        <v>87210</v>
      </c>
      <c r="AS30" s="153"/>
      <c r="AT30" s="153">
        <v>33000</v>
      </c>
      <c r="AU30" s="154">
        <f t="shared" si="24"/>
        <v>469570</v>
      </c>
      <c r="AV30" s="121">
        <v>26</v>
      </c>
      <c r="AW30" s="122">
        <f t="shared" si="25"/>
        <v>502570</v>
      </c>
      <c r="AX30" s="206">
        <f t="shared" si="26"/>
        <v>516860</v>
      </c>
    </row>
    <row r="31" spans="1:50" ht="15.75" customHeight="1">
      <c r="A31" s="121"/>
      <c r="B31" s="156">
        <f t="shared" si="17"/>
        <v>45804</v>
      </c>
      <c r="C31" s="205" t="s">
        <v>59</v>
      </c>
      <c r="D31" s="134">
        <v>94</v>
      </c>
      <c r="E31" s="135"/>
      <c r="F31" s="136"/>
      <c r="G31" s="137"/>
      <c r="H31" s="138" t="e">
        <f>ROUNDDOWN(G31/1.1,0)/F31</f>
        <v>#DIV/0!</v>
      </c>
      <c r="I31" s="137"/>
      <c r="J31" s="138" t="e">
        <f>ROUNDDOWN(I31/1.1,0)/F31</f>
        <v>#DIV/0!</v>
      </c>
      <c r="K31" s="140">
        <f t="shared" si="2"/>
        <v>0</v>
      </c>
      <c r="L31" s="141" t="str">
        <f>IF(F31="","",K31/F31)</f>
        <v/>
      </c>
      <c r="M31" s="142"/>
      <c r="N31" s="143">
        <f t="shared" si="28"/>
        <v>33</v>
      </c>
      <c r="O31" s="144">
        <f t="shared" si="28"/>
        <v>308220</v>
      </c>
      <c r="P31" s="138">
        <f t="shared" si="4"/>
        <v>8490.9090909090901</v>
      </c>
      <c r="Q31" s="144">
        <f t="shared" si="19"/>
        <v>55260</v>
      </c>
      <c r="R31" s="138">
        <f t="shared" si="5"/>
        <v>1522.3030303030303</v>
      </c>
      <c r="S31" s="145">
        <f t="shared" si="20"/>
        <v>363480</v>
      </c>
      <c r="T31" s="141">
        <f t="shared" si="6"/>
        <v>11014.545454545454</v>
      </c>
      <c r="U31" s="146">
        <f>F31+N31</f>
        <v>33</v>
      </c>
      <c r="V31" s="144">
        <f t="shared" si="27"/>
        <v>308220</v>
      </c>
      <c r="W31" s="144">
        <f t="shared" si="8"/>
        <v>55260</v>
      </c>
      <c r="X31" s="147">
        <f t="shared" si="21"/>
        <v>363480</v>
      </c>
      <c r="Y31" s="144">
        <f t="shared" si="9"/>
        <v>11014.545454545454</v>
      </c>
      <c r="Z31" s="148"/>
      <c r="AA31" s="149">
        <v>110</v>
      </c>
      <c r="AB31" s="137">
        <v>65350</v>
      </c>
      <c r="AC31" s="138">
        <f t="shared" si="10"/>
        <v>594.09090909090912</v>
      </c>
      <c r="AD31" s="137">
        <v>33610</v>
      </c>
      <c r="AE31" s="139">
        <f t="shared" si="11"/>
        <v>305.54545454545456</v>
      </c>
      <c r="AF31" s="150">
        <f t="shared" si="22"/>
        <v>98960</v>
      </c>
      <c r="AG31" s="141">
        <f t="shared" si="12"/>
        <v>899.63636363636363</v>
      </c>
      <c r="AH31" s="157">
        <f t="shared" si="13"/>
        <v>33</v>
      </c>
      <c r="AI31" s="152">
        <f t="shared" si="14"/>
        <v>373570</v>
      </c>
      <c r="AJ31" s="152">
        <f t="shared" si="15"/>
        <v>88870</v>
      </c>
      <c r="AK31" s="151">
        <f t="shared" si="23"/>
        <v>462440</v>
      </c>
      <c r="AL31" s="144">
        <f t="shared" si="16"/>
        <v>38960</v>
      </c>
      <c r="AM31" s="144"/>
      <c r="AN31" s="152">
        <v>33</v>
      </c>
      <c r="AO31" s="152">
        <v>308220</v>
      </c>
      <c r="AP31" s="152">
        <v>55260</v>
      </c>
      <c r="AQ31" s="153">
        <v>37400</v>
      </c>
      <c r="AR31" s="153">
        <v>1560</v>
      </c>
      <c r="AS31" s="153"/>
      <c r="AT31" s="153"/>
      <c r="AU31" s="154">
        <f t="shared" si="24"/>
        <v>402440</v>
      </c>
      <c r="AV31" s="121">
        <v>27</v>
      </c>
      <c r="AW31" s="122">
        <f t="shared" si="25"/>
        <v>402440</v>
      </c>
      <c r="AX31" s="206">
        <f t="shared" si="26"/>
        <v>501400</v>
      </c>
    </row>
    <row r="32" spans="1:50" ht="15.75" customHeight="1">
      <c r="A32" s="121"/>
      <c r="B32" s="156">
        <f t="shared" si="17"/>
        <v>45805</v>
      </c>
      <c r="C32" s="205" t="s">
        <v>59</v>
      </c>
      <c r="D32" s="134">
        <v>88</v>
      </c>
      <c r="E32" s="135"/>
      <c r="F32" s="136"/>
      <c r="G32" s="137"/>
      <c r="H32" s="138" t="e">
        <f>ROUNDDOWN(G32/1.1,0)/F32</f>
        <v>#DIV/0!</v>
      </c>
      <c r="I32" s="137"/>
      <c r="J32" s="138" t="e">
        <f>ROUNDDOWN(I32/1.1,0)/F32</f>
        <v>#DIV/0!</v>
      </c>
      <c r="K32" s="140">
        <f>G32+I32</f>
        <v>0</v>
      </c>
      <c r="L32" s="141" t="str">
        <f>IF(F32="","",K32/F32)</f>
        <v/>
      </c>
      <c r="M32" s="142"/>
      <c r="N32" s="143">
        <f t="shared" si="28"/>
        <v>38</v>
      </c>
      <c r="O32" s="144">
        <f t="shared" si="28"/>
        <v>364650</v>
      </c>
      <c r="P32" s="138">
        <f>ROUNDDOWN(O32/1.1,0)/N32</f>
        <v>8723.6842105263149</v>
      </c>
      <c r="Q32" s="144">
        <f>AP32-I32</f>
        <v>55740</v>
      </c>
      <c r="R32" s="138">
        <f>ROUNDDOWN(Q32/1.1,0)/N32</f>
        <v>1333.4736842105262</v>
      </c>
      <c r="S32" s="145">
        <f>O32+Q32</f>
        <v>420390</v>
      </c>
      <c r="T32" s="141">
        <f>IF(N32="","",S32/N32)</f>
        <v>11062.894736842105</v>
      </c>
      <c r="U32" s="146">
        <f>F32+N32</f>
        <v>38</v>
      </c>
      <c r="V32" s="144">
        <f>G32+O32</f>
        <v>364650</v>
      </c>
      <c r="W32" s="144">
        <f>I32+Q32</f>
        <v>55740</v>
      </c>
      <c r="X32" s="147">
        <f>K32+S32</f>
        <v>420390</v>
      </c>
      <c r="Y32" s="144">
        <f>IF(U32="","",X32/U32)</f>
        <v>11062.894736842105</v>
      </c>
      <c r="Z32" s="148"/>
      <c r="AA32" s="149">
        <v>81</v>
      </c>
      <c r="AB32" s="137">
        <v>45600</v>
      </c>
      <c r="AC32" s="138">
        <f>AB32/AA32</f>
        <v>562.96296296296293</v>
      </c>
      <c r="AD32" s="137">
        <v>11160</v>
      </c>
      <c r="AE32" s="139">
        <f>AD32/AA32</f>
        <v>137.77777777777777</v>
      </c>
      <c r="AF32" s="150">
        <f>AB32+AD32</f>
        <v>56760</v>
      </c>
      <c r="AG32" s="141">
        <f>IF(AA32="","",AF32/AA32)</f>
        <v>700.74074074074076</v>
      </c>
      <c r="AH32" s="157">
        <f>SUM(F32,N32)</f>
        <v>38</v>
      </c>
      <c r="AI32" s="152">
        <f>V32+AB32</f>
        <v>410250</v>
      </c>
      <c r="AJ32" s="152">
        <f>W32+AD32</f>
        <v>66900</v>
      </c>
      <c r="AK32" s="151">
        <f>X32+AF32</f>
        <v>477150</v>
      </c>
      <c r="AL32" s="144">
        <f>AQ32+AR32+AS32</f>
        <v>42900</v>
      </c>
      <c r="AM32" s="144"/>
      <c r="AN32" s="152">
        <v>38</v>
      </c>
      <c r="AO32" s="152">
        <v>364650</v>
      </c>
      <c r="AP32" s="152">
        <v>55740</v>
      </c>
      <c r="AQ32" s="153">
        <v>42900</v>
      </c>
      <c r="AR32" s="153"/>
      <c r="AS32" s="153"/>
      <c r="AT32" s="153"/>
      <c r="AU32" s="154">
        <f>SUM(AO32:AS32)</f>
        <v>463290</v>
      </c>
      <c r="AV32" s="121">
        <v>26</v>
      </c>
      <c r="AW32" s="122">
        <f>AT32+AU32</f>
        <v>463290</v>
      </c>
      <c r="AX32" s="206">
        <f t="shared" si="26"/>
        <v>520050</v>
      </c>
    </row>
    <row r="33" spans="1:50" ht="15.75" customHeight="1">
      <c r="A33" s="121"/>
      <c r="B33" s="156">
        <f t="shared" si="17"/>
        <v>45806</v>
      </c>
      <c r="C33" s="205" t="s">
        <v>59</v>
      </c>
      <c r="D33" s="134"/>
      <c r="E33" s="135"/>
      <c r="F33" s="136"/>
      <c r="G33" s="137"/>
      <c r="H33" s="138" t="e">
        <f>ROUNDDOWN(G33/1.1,0)/F33</f>
        <v>#DIV/0!</v>
      </c>
      <c r="I33" s="137"/>
      <c r="J33" s="138" t="e">
        <f>ROUNDDOWN(I33/1.1,0)/F33</f>
        <v>#DIV/0!</v>
      </c>
      <c r="K33" s="140">
        <f>G33+I33</f>
        <v>0</v>
      </c>
      <c r="L33" s="141" t="str">
        <f>IF(F33="","",K33/F33)</f>
        <v/>
      </c>
      <c r="M33" s="142"/>
      <c r="N33" s="143">
        <f t="shared" si="28"/>
        <v>16</v>
      </c>
      <c r="O33" s="144">
        <f t="shared" si="28"/>
        <v>262800</v>
      </c>
      <c r="P33" s="138">
        <f>ROUNDDOWN(O33/1.1,0)/N33</f>
        <v>14931.8125</v>
      </c>
      <c r="Q33" s="144">
        <f>AP33-I33</f>
        <v>108400</v>
      </c>
      <c r="R33" s="138">
        <f>ROUNDDOWN(Q33/1.1,0)/N33</f>
        <v>6159.0625</v>
      </c>
      <c r="S33" s="145">
        <f>O33+Q33</f>
        <v>371200</v>
      </c>
      <c r="T33" s="141">
        <f>IF(N33="","",S33/N33)</f>
        <v>23200</v>
      </c>
      <c r="U33" s="146">
        <f>F33+N33</f>
        <v>16</v>
      </c>
      <c r="V33" s="144">
        <f>G33+O33</f>
        <v>262800</v>
      </c>
      <c r="W33" s="144">
        <f>I33+Q33</f>
        <v>108400</v>
      </c>
      <c r="X33" s="147">
        <f>K33+S33</f>
        <v>371200</v>
      </c>
      <c r="Y33" s="144">
        <f>IF(U33="","",X33/U33)</f>
        <v>23200</v>
      </c>
      <c r="Z33" s="148"/>
      <c r="AA33" s="149">
        <v>82</v>
      </c>
      <c r="AB33" s="137">
        <v>45950</v>
      </c>
      <c r="AC33" s="138">
        <f>AB33/AA33</f>
        <v>560.36585365853659</v>
      </c>
      <c r="AD33" s="137">
        <v>26150</v>
      </c>
      <c r="AE33" s="139">
        <f>AD33/AA33</f>
        <v>318.90243902439022</v>
      </c>
      <c r="AF33" s="150">
        <f>AB33+AD33</f>
        <v>72100</v>
      </c>
      <c r="AG33" s="141">
        <f>IF(AA33="","",AF33/AA33)</f>
        <v>879.26829268292681</v>
      </c>
      <c r="AH33" s="157">
        <f>SUM(F33,N33)</f>
        <v>16</v>
      </c>
      <c r="AI33" s="152">
        <f>V33+AB33</f>
        <v>308750</v>
      </c>
      <c r="AJ33" s="152">
        <f>W33+AD33</f>
        <v>134550</v>
      </c>
      <c r="AK33" s="151">
        <f>X33+AF33</f>
        <v>443300</v>
      </c>
      <c r="AL33" s="144">
        <f>AQ33+AR33+AS33</f>
        <v>0</v>
      </c>
      <c r="AM33" s="144">
        <v>9600</v>
      </c>
      <c r="AN33" s="152">
        <v>16</v>
      </c>
      <c r="AO33" s="152">
        <v>262800</v>
      </c>
      <c r="AP33" s="152">
        <v>108400</v>
      </c>
      <c r="AQ33" s="153"/>
      <c r="AR33" s="153"/>
      <c r="AS33" s="153"/>
      <c r="AT33" s="153">
        <v>77000</v>
      </c>
      <c r="AU33" s="154">
        <f>SUM(AO33:AS33)</f>
        <v>371200</v>
      </c>
      <c r="AV33" s="121">
        <v>27</v>
      </c>
      <c r="AW33" s="122">
        <f>AT33+AU33</f>
        <v>448200</v>
      </c>
      <c r="AX33" s="206">
        <f t="shared" si="26"/>
        <v>443300</v>
      </c>
    </row>
    <row r="34" spans="1:50" ht="15.75" customHeight="1">
      <c r="A34" s="121"/>
      <c r="B34" s="156">
        <f t="shared" si="17"/>
        <v>45807</v>
      </c>
      <c r="C34" s="205" t="s">
        <v>59</v>
      </c>
      <c r="D34" s="134"/>
      <c r="E34" s="135"/>
      <c r="F34" s="136"/>
      <c r="G34" s="137"/>
      <c r="H34" s="138" t="e">
        <f>ROUNDDOWN(G34/1.1,0)/F34</f>
        <v>#DIV/0!</v>
      </c>
      <c r="I34" s="137"/>
      <c r="J34" s="138" t="e">
        <f>ROUNDDOWN(I34/1.1,0)/F34</f>
        <v>#DIV/0!</v>
      </c>
      <c r="K34" s="140">
        <f>G34+I34</f>
        <v>0</v>
      </c>
      <c r="L34" s="141" t="str">
        <f>IF(F34="","",K34/F34)</f>
        <v/>
      </c>
      <c r="M34" s="142"/>
      <c r="N34" s="143">
        <f t="shared" si="28"/>
        <v>38</v>
      </c>
      <c r="O34" s="144">
        <f t="shared" si="28"/>
        <v>328050</v>
      </c>
      <c r="P34" s="138">
        <f>ROUNDDOWN(O34/1.1,0)/N34</f>
        <v>7848.0789473684208</v>
      </c>
      <c r="Q34" s="144">
        <f>AP34-I34</f>
        <v>80970</v>
      </c>
      <c r="R34" s="138">
        <f>ROUNDDOWN(Q34/1.1,0)/N34</f>
        <v>1937.078947368421</v>
      </c>
      <c r="S34" s="145">
        <f>O34+Q34</f>
        <v>409020</v>
      </c>
      <c r="T34" s="141">
        <f>IF(N34="","",S34/N34)</f>
        <v>10763.684210526315</v>
      </c>
      <c r="U34" s="146">
        <f>F34+N34</f>
        <v>38</v>
      </c>
      <c r="V34" s="144">
        <f>G34+O34</f>
        <v>328050</v>
      </c>
      <c r="W34" s="144">
        <f>I34+Q34</f>
        <v>80970</v>
      </c>
      <c r="X34" s="147">
        <f>K34+S34</f>
        <v>409020</v>
      </c>
      <c r="Y34" s="144">
        <f>IF(U34="","",X34/U34)</f>
        <v>10763.684210526315</v>
      </c>
      <c r="Z34" s="148"/>
      <c r="AA34" s="149">
        <v>65</v>
      </c>
      <c r="AB34" s="137">
        <v>37550</v>
      </c>
      <c r="AC34" s="138">
        <f>AB34/AA34</f>
        <v>577.69230769230774</v>
      </c>
      <c r="AD34" s="137">
        <v>18460</v>
      </c>
      <c r="AE34" s="139">
        <f>AD34/AA34</f>
        <v>284</v>
      </c>
      <c r="AF34" s="150">
        <f>AB34+AD34</f>
        <v>56010</v>
      </c>
      <c r="AG34" s="141">
        <f>IF(AA34="","",AF34/AA34)</f>
        <v>861.69230769230774</v>
      </c>
      <c r="AH34" s="157">
        <f>SUM(F34,N34)</f>
        <v>38</v>
      </c>
      <c r="AI34" s="152">
        <f>V34+AB34</f>
        <v>365600</v>
      </c>
      <c r="AJ34" s="152">
        <f>W34+AD34</f>
        <v>99430</v>
      </c>
      <c r="AK34" s="151">
        <f>X34+AF34</f>
        <v>465030</v>
      </c>
      <c r="AL34" s="144">
        <f>AQ34+AR34+AS34</f>
        <v>22000</v>
      </c>
      <c r="AM34" s="144">
        <v>10200</v>
      </c>
      <c r="AN34" s="152">
        <v>38</v>
      </c>
      <c r="AO34" s="152">
        <v>328050</v>
      </c>
      <c r="AP34" s="152">
        <v>80970</v>
      </c>
      <c r="AQ34" s="153">
        <v>22000</v>
      </c>
      <c r="AR34" s="153"/>
      <c r="AS34" s="153"/>
      <c r="AT34" s="153"/>
      <c r="AU34" s="154">
        <f>SUM(AO34:AS34)</f>
        <v>431020</v>
      </c>
      <c r="AV34" s="121">
        <v>27</v>
      </c>
      <c r="AW34" s="122">
        <f>AT34+AU34</f>
        <v>431020</v>
      </c>
      <c r="AX34" s="206">
        <f t="shared" si="26"/>
        <v>487030</v>
      </c>
    </row>
    <row r="35" spans="1:50" ht="15.75" customHeight="1" thickBot="1">
      <c r="A35" s="121"/>
      <c r="B35" s="159">
        <f t="shared" si="17"/>
        <v>45808</v>
      </c>
      <c r="C35" s="205"/>
      <c r="D35" s="134"/>
      <c r="E35" s="135"/>
      <c r="F35" s="136">
        <v>28</v>
      </c>
      <c r="G35" s="137">
        <v>99990</v>
      </c>
      <c r="H35" s="138">
        <f t="shared" si="0"/>
        <v>3246.4285714285716</v>
      </c>
      <c r="I35" s="137">
        <v>20810</v>
      </c>
      <c r="J35" s="138">
        <f t="shared" si="1"/>
        <v>675.64285714285711</v>
      </c>
      <c r="K35" s="140">
        <f t="shared" si="2"/>
        <v>120800</v>
      </c>
      <c r="L35" s="141">
        <f t="shared" si="3"/>
        <v>4314.2857142857147</v>
      </c>
      <c r="M35" s="142"/>
      <c r="N35" s="143">
        <f t="shared" si="28"/>
        <v>40</v>
      </c>
      <c r="O35" s="144">
        <f t="shared" si="28"/>
        <v>355960</v>
      </c>
      <c r="P35" s="138">
        <f t="shared" si="4"/>
        <v>8090</v>
      </c>
      <c r="Q35" s="144">
        <f t="shared" si="19"/>
        <v>69050</v>
      </c>
      <c r="R35" s="138">
        <f t="shared" si="5"/>
        <v>1569.3</v>
      </c>
      <c r="S35" s="145">
        <f t="shared" si="20"/>
        <v>425010</v>
      </c>
      <c r="T35" s="141">
        <f t="shared" si="6"/>
        <v>10625.25</v>
      </c>
      <c r="U35" s="146">
        <f t="shared" si="27"/>
        <v>68</v>
      </c>
      <c r="V35" s="144">
        <f t="shared" si="27"/>
        <v>455950</v>
      </c>
      <c r="W35" s="144">
        <f t="shared" si="8"/>
        <v>89860</v>
      </c>
      <c r="X35" s="147">
        <f t="shared" si="21"/>
        <v>545810</v>
      </c>
      <c r="Y35" s="144">
        <f t="shared" si="9"/>
        <v>8026.6176470588234</v>
      </c>
      <c r="Z35" s="148"/>
      <c r="AA35" s="149">
        <v>177</v>
      </c>
      <c r="AB35" s="137">
        <v>141600</v>
      </c>
      <c r="AC35" s="138">
        <f t="shared" si="10"/>
        <v>800</v>
      </c>
      <c r="AD35" s="137">
        <v>26940</v>
      </c>
      <c r="AE35" s="139">
        <f t="shared" si="11"/>
        <v>152.20338983050848</v>
      </c>
      <c r="AF35" s="150">
        <f t="shared" si="22"/>
        <v>168540</v>
      </c>
      <c r="AG35" s="141">
        <f t="shared" si="12"/>
        <v>952.20338983050851</v>
      </c>
      <c r="AH35" s="157">
        <f t="shared" si="13"/>
        <v>68</v>
      </c>
      <c r="AI35" s="152">
        <f t="shared" si="14"/>
        <v>597550</v>
      </c>
      <c r="AJ35" s="152">
        <f t="shared" si="15"/>
        <v>116800</v>
      </c>
      <c r="AK35" s="151">
        <f t="shared" si="23"/>
        <v>714350</v>
      </c>
      <c r="AL35" s="144">
        <f t="shared" si="16"/>
        <v>47450</v>
      </c>
      <c r="AM35" s="144"/>
      <c r="AN35" s="152">
        <v>68</v>
      </c>
      <c r="AO35" s="152">
        <v>455950</v>
      </c>
      <c r="AP35" s="152">
        <v>89860</v>
      </c>
      <c r="AQ35" s="153">
        <v>45800</v>
      </c>
      <c r="AR35" s="153">
        <v>1650</v>
      </c>
      <c r="AS35" s="153"/>
      <c r="AT35" s="153">
        <v>19800</v>
      </c>
      <c r="AU35" s="154">
        <f t="shared" si="24"/>
        <v>593260</v>
      </c>
      <c r="AV35" s="121">
        <v>28</v>
      </c>
      <c r="AW35" s="122">
        <f t="shared" si="25"/>
        <v>613060</v>
      </c>
      <c r="AX35" s="206">
        <f t="shared" si="26"/>
        <v>761800</v>
      </c>
    </row>
    <row r="36" spans="1:50" ht="15.75" customHeight="1" thickTop="1" thickBot="1">
      <c r="A36" s="35"/>
      <c r="B36" s="36" t="s">
        <v>25</v>
      </c>
      <c r="C36" s="163">
        <f>SUM(C5:C35)</f>
        <v>0</v>
      </c>
      <c r="D36" s="164"/>
      <c r="E36" s="38">
        <f>SUM(E5:E35)</f>
        <v>0</v>
      </c>
      <c r="F36" s="39">
        <f>SUM(F5:F35)</f>
        <v>251</v>
      </c>
      <c r="G36" s="40">
        <f>SUM(G5:G35)</f>
        <v>963704</v>
      </c>
      <c r="H36" s="41">
        <f>G36/F36</f>
        <v>3839.4581673306775</v>
      </c>
      <c r="I36" s="37">
        <f>SUM(I5:I35)</f>
        <v>304860</v>
      </c>
      <c r="J36" s="42">
        <f>I36/F36</f>
        <v>1214.5816733067729</v>
      </c>
      <c r="K36" s="43">
        <f>SUM(K5:K35)</f>
        <v>1268564</v>
      </c>
      <c r="L36" s="44">
        <f>K36/F36</f>
        <v>5054.0398406374507</v>
      </c>
      <c r="M36" s="45">
        <f>SUM(M5:M35)</f>
        <v>0</v>
      </c>
      <c r="N36" s="39">
        <f>SUM(N5:N35)</f>
        <v>1095</v>
      </c>
      <c r="O36" s="40">
        <f>SUM(O5:O35)</f>
        <v>10089570</v>
      </c>
      <c r="P36" s="41">
        <f>O36/N36</f>
        <v>9214.2191780821922</v>
      </c>
      <c r="Q36" s="46">
        <f>SUM(Q5:Q35)</f>
        <v>2085670</v>
      </c>
      <c r="R36" s="42">
        <f>Q36/N36</f>
        <v>1904.7214611872146</v>
      </c>
      <c r="S36" s="47">
        <f>SUM(S5:S35)</f>
        <v>12175240</v>
      </c>
      <c r="T36" s="48">
        <f>S36/N36</f>
        <v>11118.940639269407</v>
      </c>
      <c r="U36" s="39">
        <f>SUM(U5:U35)</f>
        <v>1346</v>
      </c>
      <c r="V36" s="49">
        <f>SUM(V5:V35)</f>
        <v>11053274</v>
      </c>
      <c r="W36" s="46">
        <f>SUM(W5:W35)</f>
        <v>2390530</v>
      </c>
      <c r="X36" s="50">
        <f>SUM(X5:X35)</f>
        <v>13443804</v>
      </c>
      <c r="Y36" s="51">
        <f>X36/U36</f>
        <v>9987.9673105497768</v>
      </c>
      <c r="Z36" s="38">
        <f>SUM(Z5:Z35)</f>
        <v>0</v>
      </c>
      <c r="AA36" s="39">
        <f>SUM(AA5:AA35)</f>
        <v>2829</v>
      </c>
      <c r="AB36" s="52">
        <f>SUM(AB5:AB35)</f>
        <v>1858350</v>
      </c>
      <c r="AC36" s="41"/>
      <c r="AD36" s="37">
        <f>SUM(AD5:AD35)</f>
        <v>789750</v>
      </c>
      <c r="AE36" s="42"/>
      <c r="AF36" s="53">
        <f>SUM(AF5:AF35)</f>
        <v>2648100</v>
      </c>
      <c r="AG36" s="54">
        <f>AF36/AA36</f>
        <v>936.05514316012727</v>
      </c>
      <c r="AH36" s="39">
        <f t="shared" ref="AH36:AU36" si="29">SUM(AH5:AH35)</f>
        <v>1346</v>
      </c>
      <c r="AI36" s="49">
        <f t="shared" si="29"/>
        <v>12911624</v>
      </c>
      <c r="AJ36" s="46">
        <f t="shared" si="29"/>
        <v>3180280</v>
      </c>
      <c r="AK36" s="47">
        <f t="shared" si="29"/>
        <v>16091904</v>
      </c>
      <c r="AL36" s="37">
        <f t="shared" si="29"/>
        <v>1378830</v>
      </c>
      <c r="AM36" s="179">
        <f t="shared" si="29"/>
        <v>93800</v>
      </c>
      <c r="AN36" s="55">
        <f t="shared" si="29"/>
        <v>1346</v>
      </c>
      <c r="AO36" s="55">
        <f t="shared" si="29"/>
        <v>11053274</v>
      </c>
      <c r="AP36" s="55">
        <f t="shared" si="29"/>
        <v>2390530</v>
      </c>
      <c r="AQ36" s="55">
        <f t="shared" si="29"/>
        <v>1041850</v>
      </c>
      <c r="AR36" s="55">
        <f t="shared" si="29"/>
        <v>336980</v>
      </c>
      <c r="AS36" s="55">
        <f t="shared" si="29"/>
        <v>0</v>
      </c>
      <c r="AT36" s="55">
        <f t="shared" si="29"/>
        <v>295940</v>
      </c>
      <c r="AU36" s="55">
        <f t="shared" si="29"/>
        <v>14822634</v>
      </c>
      <c r="AV36" s="35"/>
      <c r="AW36" s="56">
        <f>SUM(AW5:AW35)</f>
        <v>15118574</v>
      </c>
    </row>
    <row r="37" spans="1:50" ht="15.75" customHeight="1" thickTop="1">
      <c r="A37" s="35"/>
      <c r="B37" s="57"/>
      <c r="C37" s="165"/>
      <c r="D37" s="89"/>
      <c r="E37" s="35"/>
      <c r="F37" s="58" t="s">
        <v>34</v>
      </c>
      <c r="G37" s="59">
        <f>G36/1.1</f>
        <v>876094.54545454541</v>
      </c>
      <c r="H37" s="60">
        <f>G37/F36</f>
        <v>3490.4165157551611</v>
      </c>
      <c r="I37" s="32">
        <f>I36/1.1</f>
        <v>277145.45454545453</v>
      </c>
      <c r="J37" s="60">
        <f>I37/F36</f>
        <v>1104.1651575516116</v>
      </c>
      <c r="K37" s="55">
        <f>K36/1.1</f>
        <v>1153240</v>
      </c>
      <c r="L37" s="61">
        <f>H37+J37</f>
        <v>4594.5816733067732</v>
      </c>
      <c r="M37" s="62"/>
      <c r="N37" s="58" t="s">
        <v>34</v>
      </c>
      <c r="O37" s="59">
        <f>O36/1.1</f>
        <v>9172336.3636363633</v>
      </c>
      <c r="P37" s="60">
        <f>O37/N36</f>
        <v>8376.5628891656288</v>
      </c>
      <c r="Q37" s="59">
        <f>Q36/1.1</f>
        <v>1896063.6363636362</v>
      </c>
      <c r="R37" s="60">
        <f>Q37/N36</f>
        <v>1731.5649647156495</v>
      </c>
      <c r="S37" s="60">
        <f>S36/1.1</f>
        <v>11068400</v>
      </c>
      <c r="T37" s="63">
        <f>S37/N36</f>
        <v>10108.127853881278</v>
      </c>
      <c r="U37" s="58" t="s">
        <v>34</v>
      </c>
      <c r="V37" s="59">
        <f>V36/1.1</f>
        <v>10048430.909090908</v>
      </c>
      <c r="W37" s="59">
        <f>W36/1.1</f>
        <v>2173209.0909090908</v>
      </c>
      <c r="X37" s="64">
        <f>X36/1.1</f>
        <v>12221639.999999998</v>
      </c>
      <c r="Y37" s="51">
        <f>X37/U36</f>
        <v>9079.9702823179778</v>
      </c>
      <c r="Z37" s="62"/>
      <c r="AA37" s="58" t="s">
        <v>34</v>
      </c>
      <c r="AB37" s="59">
        <f>AB36/1.1</f>
        <v>1689409.0909090908</v>
      </c>
      <c r="AC37" s="32">
        <f>AB37/AA36</f>
        <v>597.17535910536969</v>
      </c>
      <c r="AD37" s="32">
        <f>AD36/1.1</f>
        <v>717954.54545454541</v>
      </c>
      <c r="AE37" s="32">
        <f>AD37/AA36</f>
        <v>253.78386194929141</v>
      </c>
      <c r="AF37" s="60">
        <f>AF36/1.1</f>
        <v>2407363.6363636362</v>
      </c>
      <c r="AG37" s="65">
        <f>AF37/AA36</f>
        <v>850.95922105466104</v>
      </c>
      <c r="AH37" s="58" t="s">
        <v>34</v>
      </c>
      <c r="AI37" s="66">
        <f>AI36/1.1</f>
        <v>11737839.999999998</v>
      </c>
      <c r="AJ37" s="59">
        <f>AJ36/1.1</f>
        <v>2891163.6363636362</v>
      </c>
      <c r="AK37" s="60">
        <f>AK36/1.1</f>
        <v>14629003.636363635</v>
      </c>
      <c r="AL37" s="180">
        <f>AL36/1.1</f>
        <v>1253481.8181818181</v>
      </c>
      <c r="AM37" s="181">
        <f>AM36/1.08</f>
        <v>86851.851851851839</v>
      </c>
      <c r="AN37" s="35"/>
      <c r="AO37" s="35"/>
      <c r="AP37" s="35"/>
      <c r="AQ37" s="35"/>
      <c r="AR37" s="67"/>
      <c r="AS37" s="35"/>
      <c r="AT37" s="35"/>
      <c r="AU37" s="67"/>
      <c r="AV37" s="35"/>
      <c r="AW37" s="67"/>
    </row>
    <row r="38" spans="1:50" ht="15.75" customHeight="1">
      <c r="A38" s="31"/>
      <c r="B38" s="68"/>
      <c r="C38" s="166"/>
      <c r="D38" s="90"/>
      <c r="E38" s="31"/>
      <c r="F38" s="69" t="s">
        <v>35</v>
      </c>
      <c r="G38" s="70">
        <f>F36/H38</f>
        <v>22.818181818181817</v>
      </c>
      <c r="H38" s="71">
        <v>11</v>
      </c>
      <c r="I38" s="72" t="s">
        <v>36</v>
      </c>
      <c r="J38" s="70"/>
      <c r="K38" s="73" t="s">
        <v>37</v>
      </c>
      <c r="L38" s="74">
        <f>K37/H38</f>
        <v>104840</v>
      </c>
      <c r="M38" s="31"/>
      <c r="N38" s="69" t="s">
        <v>35</v>
      </c>
      <c r="O38" s="70">
        <f>N36/P38</f>
        <v>35.322580645161288</v>
      </c>
      <c r="P38" s="71">
        <v>31</v>
      </c>
      <c r="Q38" s="72" t="s">
        <v>36</v>
      </c>
      <c r="R38" s="70"/>
      <c r="S38" s="73" t="s">
        <v>37</v>
      </c>
      <c r="T38" s="75">
        <f>S37/P38</f>
        <v>357045.16129032261</v>
      </c>
      <c r="U38" s="31"/>
      <c r="V38" s="31"/>
      <c r="W38" s="31"/>
      <c r="X38" s="33"/>
      <c r="Y38" s="33"/>
      <c r="Z38" s="31"/>
      <c r="AA38" s="31"/>
      <c r="AB38" s="76">
        <v>31</v>
      </c>
      <c r="AC38" s="72" t="s">
        <v>36</v>
      </c>
      <c r="AD38" s="70"/>
      <c r="AE38" s="70"/>
      <c r="AF38" s="73" t="s">
        <v>37</v>
      </c>
      <c r="AG38" s="77">
        <f>AF37/AB38</f>
        <v>77656.891495601172</v>
      </c>
      <c r="AH38" s="31"/>
      <c r="AI38" s="31"/>
      <c r="AJ38" s="31" t="s">
        <v>50</v>
      </c>
      <c r="AK38" s="33"/>
      <c r="AL38" s="33">
        <f>AK37/AN38</f>
        <v>3503.9529667936849</v>
      </c>
      <c r="AM38" s="33"/>
      <c r="AN38" s="78">
        <f>AH36+AA36</f>
        <v>4175</v>
      </c>
      <c r="AO38" s="31" t="s">
        <v>51</v>
      </c>
      <c r="AP38" s="31"/>
      <c r="AQ38" s="31"/>
      <c r="AR38" s="33"/>
      <c r="AS38" s="31"/>
      <c r="AT38" s="31"/>
      <c r="AU38" s="33"/>
      <c r="AV38" s="31"/>
      <c r="AW38" s="33">
        <f>AW36/1.1</f>
        <v>13744158.18181818</v>
      </c>
    </row>
    <row r="39" spans="1:50" ht="15.75" customHeight="1">
      <c r="A39" s="31"/>
      <c r="B39" s="68"/>
      <c r="C39" s="166"/>
      <c r="D39" s="90"/>
      <c r="E39" s="79" t="s">
        <v>38</v>
      </c>
      <c r="F39" s="80"/>
      <c r="G39" s="70"/>
      <c r="H39" s="81"/>
      <c r="I39" s="70"/>
      <c r="J39" s="70"/>
      <c r="K39" s="73"/>
      <c r="L39" s="77"/>
      <c r="M39" s="82" t="s">
        <v>39</v>
      </c>
      <c r="N39" s="69"/>
      <c r="O39" s="70"/>
      <c r="P39" s="70"/>
      <c r="Q39" s="70"/>
      <c r="R39" s="70"/>
      <c r="S39" s="73"/>
      <c r="T39" s="77"/>
      <c r="U39" s="31"/>
      <c r="V39" s="31"/>
      <c r="W39" s="31"/>
      <c r="X39" s="33"/>
      <c r="Y39" s="33"/>
      <c r="Z39" s="82" t="s">
        <v>40</v>
      </c>
      <c r="AA39" s="31"/>
      <c r="AB39" s="70"/>
      <c r="AC39" s="70"/>
      <c r="AD39" s="70"/>
      <c r="AE39" s="70"/>
      <c r="AF39" s="70"/>
      <c r="AG39" s="77"/>
      <c r="AH39" s="31"/>
      <c r="AI39" s="31"/>
      <c r="AJ39" s="31" t="s">
        <v>52</v>
      </c>
      <c r="AL39" s="83">
        <f>AK37/AB38</f>
        <v>471903.34310850437</v>
      </c>
      <c r="AM39" s="83"/>
      <c r="AN39" s="31" t="s">
        <v>53</v>
      </c>
      <c r="AO39" s="31"/>
      <c r="AP39" s="31"/>
      <c r="AQ39" s="31"/>
      <c r="AR39" s="33"/>
      <c r="AS39" s="31"/>
      <c r="AT39" s="31"/>
      <c r="AU39" s="33"/>
      <c r="AV39" s="31"/>
      <c r="AW39" s="33"/>
    </row>
    <row r="40" spans="1:50" ht="21" customHeight="1">
      <c r="A40" s="31"/>
      <c r="B40" s="68"/>
      <c r="C40" s="167"/>
      <c r="D40" s="90"/>
      <c r="E40" s="84"/>
      <c r="F40" s="10"/>
      <c r="G40" s="10"/>
      <c r="H40" s="10"/>
      <c r="I40" s="10"/>
      <c r="J40" s="10"/>
      <c r="K40" s="10"/>
      <c r="L40" s="85"/>
      <c r="M40" s="84"/>
      <c r="N40" s="10"/>
      <c r="O40" s="10"/>
      <c r="P40" s="10"/>
      <c r="Q40" s="10"/>
      <c r="R40" s="10"/>
      <c r="S40" s="10"/>
      <c r="T40" s="85"/>
      <c r="U40" s="31"/>
      <c r="V40" s="31"/>
      <c r="W40" s="31"/>
      <c r="X40" s="33"/>
      <c r="Y40" s="31"/>
      <c r="Z40" s="84"/>
      <c r="AA40" s="10"/>
      <c r="AB40" s="10"/>
      <c r="AC40" s="10"/>
      <c r="AD40" s="10"/>
      <c r="AE40" s="10"/>
      <c r="AF40" s="10"/>
      <c r="AG40" s="85"/>
      <c r="AH40" s="31"/>
      <c r="AI40" s="31"/>
      <c r="AJ40" s="31" t="s">
        <v>54</v>
      </c>
      <c r="AK40" s="33">
        <f>AK36+AL36+AM36</f>
        <v>17564534</v>
      </c>
      <c r="AL40" s="83">
        <f>AK40/AB38</f>
        <v>566597.87096774194</v>
      </c>
      <c r="AM40" s="83"/>
      <c r="AN40" s="31" t="s">
        <v>41</v>
      </c>
      <c r="AO40" s="31"/>
      <c r="AP40" s="31"/>
      <c r="AQ40" s="31"/>
      <c r="AR40" s="31"/>
      <c r="AS40" s="31"/>
      <c r="AT40" s="31"/>
      <c r="AU40" s="33"/>
      <c r="AV40" s="31"/>
      <c r="AW40" s="33"/>
    </row>
    <row r="41" spans="1:50" ht="21" customHeight="1">
      <c r="A41" s="31"/>
      <c r="B41" s="68"/>
      <c r="C41" s="167"/>
      <c r="D41" s="90"/>
      <c r="E41" s="86"/>
      <c r="F41" s="87"/>
      <c r="G41" s="87"/>
      <c r="H41" s="87"/>
      <c r="I41" s="87"/>
      <c r="J41" s="87"/>
      <c r="K41" s="87"/>
      <c r="L41" s="88"/>
      <c r="M41" s="86"/>
      <c r="N41" s="87"/>
      <c r="O41" s="87"/>
      <c r="P41" s="87"/>
      <c r="Q41" s="87"/>
      <c r="R41" s="87"/>
      <c r="S41" s="87"/>
      <c r="T41" s="88"/>
      <c r="U41" s="31"/>
      <c r="V41" s="31"/>
      <c r="W41" s="31"/>
      <c r="X41" s="33"/>
      <c r="Y41" s="31"/>
      <c r="Z41" s="86"/>
      <c r="AA41" s="87"/>
      <c r="AB41" s="87"/>
      <c r="AC41" s="87"/>
      <c r="AD41" s="87"/>
      <c r="AE41" s="87"/>
      <c r="AF41" s="87"/>
      <c r="AG41" s="88"/>
      <c r="AH41" s="31"/>
      <c r="AI41" s="31"/>
      <c r="AJ41" s="31" t="s">
        <v>55</v>
      </c>
      <c r="AK41" s="67">
        <f>AK37+AL37+AM37</f>
        <v>15969337.306397306</v>
      </c>
      <c r="AL41" s="83">
        <f>AK41/AB38</f>
        <v>515139.91310959053</v>
      </c>
      <c r="AM41" s="83"/>
      <c r="AN41" s="31" t="s">
        <v>53</v>
      </c>
      <c r="AO41" s="31"/>
      <c r="AP41" s="31"/>
      <c r="AQ41" s="31"/>
      <c r="AR41" s="31"/>
      <c r="AS41" s="31"/>
      <c r="AT41" s="31"/>
      <c r="AU41" s="33"/>
      <c r="AV41" s="31"/>
      <c r="AW41" s="33"/>
    </row>
    <row r="42" spans="1:50" ht="21" customHeight="1">
      <c r="A42" s="31"/>
      <c r="B42" s="68"/>
      <c r="C42" s="167"/>
      <c r="D42" s="90"/>
      <c r="E42" s="86"/>
      <c r="F42" s="87"/>
      <c r="G42" s="87"/>
      <c r="H42" s="87"/>
      <c r="I42" s="87"/>
      <c r="J42" s="87"/>
      <c r="K42" s="87"/>
      <c r="L42" s="88"/>
      <c r="M42" s="86"/>
      <c r="N42" s="87"/>
      <c r="O42" s="87"/>
      <c r="P42" s="87"/>
      <c r="Q42" s="87"/>
      <c r="R42" s="87"/>
      <c r="S42" s="87"/>
      <c r="T42" s="88"/>
      <c r="U42" s="31"/>
      <c r="V42" s="31"/>
      <c r="W42" s="31"/>
      <c r="X42" s="33"/>
      <c r="Y42" s="31"/>
      <c r="Z42" s="86"/>
      <c r="AA42" s="87"/>
      <c r="AB42" s="87"/>
      <c r="AC42" s="87"/>
      <c r="AD42" s="87"/>
      <c r="AE42" s="87"/>
      <c r="AF42" s="87"/>
      <c r="AG42" s="88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3"/>
      <c r="AV42" s="31"/>
      <c r="AW42" s="33"/>
    </row>
    <row r="43" spans="1:50" ht="21" customHeight="1">
      <c r="A43" s="31"/>
      <c r="B43" s="68"/>
      <c r="C43" s="167"/>
      <c r="D43" s="90"/>
      <c r="E43" s="86"/>
      <c r="F43" s="87"/>
      <c r="G43" s="87"/>
      <c r="H43" s="87"/>
      <c r="I43" s="87"/>
      <c r="J43" s="87"/>
      <c r="K43" s="87"/>
      <c r="L43" s="88"/>
      <c r="M43" s="86"/>
      <c r="N43" s="87"/>
      <c r="O43" s="87"/>
      <c r="P43" s="87"/>
      <c r="Q43" s="87"/>
      <c r="R43" s="87"/>
      <c r="S43" s="87"/>
      <c r="T43" s="88"/>
      <c r="U43" s="31"/>
      <c r="V43" s="31"/>
      <c r="W43" s="31"/>
      <c r="X43" s="31"/>
      <c r="Y43" s="31"/>
      <c r="Z43" s="86"/>
      <c r="AA43" s="87"/>
      <c r="AB43" s="87"/>
      <c r="AC43" s="87"/>
      <c r="AD43" s="87"/>
      <c r="AE43" s="87"/>
      <c r="AF43" s="87"/>
      <c r="AG43" s="88"/>
      <c r="AH43" s="31"/>
      <c r="AI43" s="31"/>
      <c r="AJ43" s="31"/>
      <c r="AK43" s="33">
        <f>AK37+AL37</f>
        <v>15882485.454545453</v>
      </c>
      <c r="AL43" s="90" t="s">
        <v>42</v>
      </c>
      <c r="AM43" s="90" t="s">
        <v>61</v>
      </c>
      <c r="AN43" s="90" t="s">
        <v>62</v>
      </c>
      <c r="AO43" s="31"/>
      <c r="AP43" s="31"/>
      <c r="AQ43" s="31"/>
      <c r="AR43" s="31"/>
      <c r="AS43" s="31"/>
      <c r="AT43" s="33"/>
      <c r="AU43" s="31"/>
      <c r="AV43" s="33"/>
    </row>
    <row r="44" spans="1:50" ht="21" customHeight="1">
      <c r="A44" s="31"/>
      <c r="B44" s="68"/>
      <c r="C44" s="167"/>
      <c r="D44" s="90"/>
      <c r="E44" s="91"/>
      <c r="F44" s="92"/>
      <c r="G44" s="92"/>
      <c r="H44" s="92"/>
      <c r="I44" s="92"/>
      <c r="J44" s="92"/>
      <c r="K44" s="92"/>
      <c r="L44" s="93"/>
      <c r="M44" s="91"/>
      <c r="N44" s="92"/>
      <c r="O44" s="92"/>
      <c r="P44" s="92"/>
      <c r="Q44" s="92"/>
      <c r="R44" s="92"/>
      <c r="S44" s="92"/>
      <c r="T44" s="93"/>
      <c r="U44" s="31"/>
      <c r="V44" s="31"/>
      <c r="W44" s="31"/>
      <c r="X44" s="31"/>
      <c r="Y44" s="31"/>
      <c r="Z44" s="91"/>
      <c r="AA44" s="92"/>
      <c r="AB44" s="92"/>
      <c r="AC44" s="92"/>
      <c r="AD44" s="92"/>
      <c r="AE44" s="92"/>
      <c r="AF44" s="92"/>
      <c r="AG44" s="93"/>
      <c r="AH44" s="31"/>
      <c r="AI44" s="35"/>
      <c r="AJ44" s="89" t="s">
        <v>43</v>
      </c>
      <c r="AK44" s="67">
        <f>K45+S45+AF45+AL44</f>
        <v>13878138</v>
      </c>
      <c r="AL44" s="168">
        <f>AM44+AN44</f>
        <v>864100</v>
      </c>
      <c r="AM44" s="35">
        <v>764100</v>
      </c>
      <c r="AN44" s="35">
        <v>100000</v>
      </c>
      <c r="AO44" s="31"/>
      <c r="AP44" s="31"/>
      <c r="AQ44" s="31"/>
      <c r="AR44" s="31"/>
      <c r="AS44" s="31"/>
      <c r="AT44" s="33"/>
      <c r="AU44" s="31"/>
      <c r="AV44" s="33"/>
    </row>
    <row r="45" spans="1:50" ht="21" customHeight="1">
      <c r="A45" s="31"/>
      <c r="B45" s="68"/>
      <c r="C45" s="166"/>
      <c r="D45" s="90"/>
      <c r="E45" s="31"/>
      <c r="F45" s="31"/>
      <c r="G45" s="31"/>
      <c r="H45" s="31"/>
      <c r="I45" s="94"/>
      <c r="J45" s="95" t="s">
        <v>44</v>
      </c>
      <c r="K45" s="169">
        <v>1107000</v>
      </c>
      <c r="L45" s="96" t="s">
        <v>45</v>
      </c>
      <c r="M45" s="35"/>
      <c r="N45" s="35"/>
      <c r="O45" s="35"/>
      <c r="P45" s="35"/>
      <c r="Q45" s="35"/>
      <c r="R45" s="95" t="s">
        <v>46</v>
      </c>
      <c r="S45" s="169">
        <v>9749038</v>
      </c>
      <c r="T45" s="96" t="s">
        <v>45</v>
      </c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94" t="s">
        <v>47</v>
      </c>
      <c r="AF45" s="169">
        <v>2158000</v>
      </c>
      <c r="AG45" s="96" t="s">
        <v>45</v>
      </c>
      <c r="AH45" s="35"/>
      <c r="AI45" s="35"/>
      <c r="AJ45" s="89" t="s">
        <v>48</v>
      </c>
      <c r="AK45" s="67">
        <f>AK44-AK37-AL37</f>
        <v>-2004347.454545453</v>
      </c>
      <c r="AL45" s="67">
        <f>AL44-AL37</f>
        <v>-389381.81818181812</v>
      </c>
      <c r="AM45" s="107">
        <f>AL37/AL44</f>
        <v>1.4506212454366603</v>
      </c>
      <c r="AN45" s="31"/>
      <c r="AO45" s="31"/>
      <c r="AP45" s="31"/>
      <c r="AQ45" s="31"/>
      <c r="AR45" s="33"/>
      <c r="AS45" s="31"/>
      <c r="AT45" s="33"/>
      <c r="AU45" s="31"/>
      <c r="AV45" s="31"/>
    </row>
    <row r="46" spans="1:50" ht="21" customHeight="1">
      <c r="A46" s="31"/>
      <c r="B46" s="68"/>
      <c r="C46" s="166"/>
      <c r="D46" s="90"/>
      <c r="E46" s="31"/>
      <c r="F46" s="31"/>
      <c r="G46" s="31"/>
      <c r="H46" s="31"/>
      <c r="I46" s="94"/>
      <c r="J46" s="94" t="s">
        <v>48</v>
      </c>
      <c r="K46" s="67">
        <f>K45-K37</f>
        <v>-46240</v>
      </c>
      <c r="L46" s="207">
        <v>1</v>
      </c>
      <c r="M46" s="35"/>
      <c r="N46" s="35"/>
      <c r="O46" s="35"/>
      <c r="P46" s="35"/>
      <c r="Q46" s="35"/>
      <c r="R46" s="94" t="s">
        <v>48</v>
      </c>
      <c r="S46" s="67">
        <f>S45-S37</f>
        <v>-1319362</v>
      </c>
      <c r="T46" s="208">
        <f>31-P38</f>
        <v>0</v>
      </c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94" t="s">
        <v>48</v>
      </c>
      <c r="AF46" s="67">
        <f>AF45-AF37</f>
        <v>-249363.63636363624</v>
      </c>
      <c r="AG46" s="182">
        <f>T46</f>
        <v>0</v>
      </c>
      <c r="AH46" s="35"/>
      <c r="AI46" s="98"/>
      <c r="AJ46" s="99" t="s">
        <v>49</v>
      </c>
      <c r="AK46" s="100" t="e">
        <f>AK45/T46</f>
        <v>#DIV/0!</v>
      </c>
      <c r="AL46" s="106">
        <f>(AK37+AL37)/AK44</f>
        <v>1.1444248107739996</v>
      </c>
      <c r="AM46" s="106"/>
      <c r="AN46" s="98"/>
      <c r="AO46" s="101"/>
      <c r="AP46" s="31"/>
      <c r="AQ46" s="31"/>
      <c r="AR46" s="31"/>
      <c r="AS46" s="33"/>
      <c r="AT46" s="31"/>
      <c r="AU46" s="33"/>
      <c r="AV46" s="31"/>
      <c r="AW46" s="31"/>
    </row>
    <row r="47" spans="1:50" ht="25.5" customHeight="1">
      <c r="A47" s="101"/>
      <c r="B47" s="102"/>
      <c r="C47" s="170"/>
      <c r="D47" s="115"/>
      <c r="E47" s="101"/>
      <c r="F47" s="101"/>
      <c r="G47" s="101"/>
      <c r="H47" s="101"/>
      <c r="I47" s="103"/>
      <c r="J47" s="99" t="s">
        <v>49</v>
      </c>
      <c r="K47" s="104">
        <f>K46/L46</f>
        <v>-46240</v>
      </c>
      <c r="L47" s="105">
        <f>K37/K45</f>
        <v>1.0417705510388438</v>
      </c>
      <c r="M47" s="98"/>
      <c r="N47" s="98"/>
      <c r="O47" s="98"/>
      <c r="P47" s="98"/>
      <c r="Q47" s="98"/>
      <c r="R47" s="99" t="s">
        <v>49</v>
      </c>
      <c r="S47" s="100" t="e">
        <f>S46/T46</f>
        <v>#DIV/0!</v>
      </c>
      <c r="T47" s="105">
        <f>S37/S45</f>
        <v>1.1353325322970329</v>
      </c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9" t="s">
        <v>49</v>
      </c>
      <c r="AF47" s="104" t="e">
        <f>AF46/AG46</f>
        <v>#DIV/0!</v>
      </c>
      <c r="AG47" s="105">
        <f>AF37/AF45</f>
        <v>1.1155531215772179</v>
      </c>
      <c r="AH47" s="98"/>
      <c r="AI47" s="31"/>
      <c r="AJ47" s="31"/>
      <c r="AK47" s="33"/>
      <c r="AL47" s="31"/>
      <c r="AM47" s="31"/>
      <c r="AN47" s="31"/>
      <c r="AO47" s="31"/>
      <c r="AP47" s="101"/>
      <c r="AQ47" s="101"/>
      <c r="AR47" s="101"/>
      <c r="AS47" s="108"/>
      <c r="AT47" s="101"/>
      <c r="AU47" s="108"/>
      <c r="AV47" s="101"/>
      <c r="AW47" s="101"/>
    </row>
    <row r="48" spans="1:50" ht="15.75" customHeight="1">
      <c r="A48" s="31"/>
      <c r="B48" s="68"/>
      <c r="C48" s="166"/>
      <c r="D48" s="90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9"/>
      <c r="AJ48" s="109"/>
      <c r="AK48" s="109"/>
      <c r="AL48" s="109"/>
      <c r="AM48" s="109"/>
      <c r="AN48" s="109"/>
      <c r="AO48" s="109"/>
      <c r="AP48" s="31"/>
      <c r="AQ48" s="31"/>
      <c r="AR48" s="31"/>
      <c r="AS48" s="33"/>
      <c r="AT48" s="31"/>
      <c r="AU48" s="33"/>
      <c r="AV48" s="31"/>
      <c r="AW48" s="31"/>
    </row>
    <row r="49" spans="1:49" ht="36" customHeight="1">
      <c r="A49" s="109"/>
      <c r="B49" s="110"/>
      <c r="C49" s="171"/>
      <c r="D49" s="1"/>
      <c r="E49" s="109"/>
      <c r="F49" s="109"/>
      <c r="G49" s="109"/>
      <c r="H49" s="109"/>
      <c r="I49" s="109"/>
      <c r="J49" s="109"/>
      <c r="K49" s="109"/>
      <c r="L49" s="109"/>
      <c r="M49" s="111"/>
      <c r="N49" s="31"/>
      <c r="O49" s="31"/>
      <c r="P49" s="31"/>
      <c r="Q49" s="31"/>
      <c r="R49" s="31"/>
      <c r="S49" s="111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"/>
      <c r="AJ49" s="1"/>
      <c r="AK49" s="1"/>
      <c r="AL49" s="1"/>
      <c r="AM49" s="1"/>
      <c r="AN49" s="1"/>
      <c r="AO49" s="1"/>
      <c r="AP49" s="109"/>
      <c r="AQ49" s="109"/>
      <c r="AR49" s="109"/>
      <c r="AS49" s="112"/>
      <c r="AT49" s="109"/>
      <c r="AU49" s="112"/>
      <c r="AV49" s="109"/>
      <c r="AW49" s="109"/>
    </row>
    <row r="50" spans="1:49" ht="36" customHeight="1">
      <c r="A50" s="1"/>
      <c r="B50" s="113"/>
      <c r="C50" s="123"/>
      <c r="D50" s="1"/>
      <c r="E50" s="1"/>
      <c r="F50" s="1"/>
      <c r="G50" s="1"/>
      <c r="H50" s="1"/>
      <c r="I50" s="1"/>
      <c r="J50" s="1"/>
      <c r="K50" s="1"/>
      <c r="L50" s="1"/>
      <c r="M50" s="114"/>
      <c r="N50" s="31"/>
      <c r="O50" s="31"/>
      <c r="P50" s="31"/>
      <c r="Q50" s="31"/>
      <c r="R50" s="31"/>
      <c r="S50" s="114"/>
      <c r="T50" s="114"/>
      <c r="U50" s="1"/>
      <c r="V50" s="1"/>
      <c r="W50" s="1"/>
      <c r="X50" s="1"/>
      <c r="Y50" s="1"/>
      <c r="Z50" s="1"/>
      <c r="AA50" s="115"/>
      <c r="AB50" s="1"/>
      <c r="AC50" s="1"/>
      <c r="AD50" s="1"/>
      <c r="AE50" s="1"/>
      <c r="AF50" s="1"/>
      <c r="AG50" s="1"/>
      <c r="AH50" s="1"/>
      <c r="AI50" s="109"/>
      <c r="AJ50" s="109"/>
      <c r="AK50" s="109"/>
      <c r="AL50" s="109"/>
      <c r="AM50" s="109"/>
      <c r="AN50" s="109"/>
      <c r="AO50" s="109"/>
      <c r="AP50" s="1"/>
      <c r="AQ50" s="1"/>
      <c r="AR50" s="1"/>
      <c r="AS50" s="116"/>
      <c r="AT50" s="1"/>
      <c r="AU50" s="116"/>
      <c r="AV50" s="1"/>
      <c r="AW50" s="1"/>
    </row>
    <row r="51" spans="1:49" ht="36" customHeight="1">
      <c r="A51" s="109"/>
      <c r="B51" s="110"/>
      <c r="C51" s="171"/>
      <c r="D51" s="1"/>
      <c r="E51" s="109"/>
      <c r="F51" s="109"/>
      <c r="G51" s="109"/>
      <c r="H51" s="109"/>
      <c r="I51" s="109"/>
      <c r="J51" s="109"/>
      <c r="K51" s="109"/>
      <c r="L51" s="1"/>
      <c r="M51" s="114"/>
      <c r="N51" s="31"/>
      <c r="O51" s="31"/>
      <c r="P51" s="31"/>
      <c r="Q51" s="31"/>
      <c r="R51" s="31"/>
      <c r="S51" s="117"/>
      <c r="T51" s="118"/>
      <c r="U51" s="118"/>
      <c r="V51" s="118"/>
      <c r="W51" s="118"/>
      <c r="X51" s="119"/>
      <c r="Y51" s="120"/>
      <c r="Z51" s="121"/>
      <c r="AA51" s="122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12"/>
      <c r="AT51" s="109"/>
      <c r="AU51" s="112"/>
      <c r="AV51" s="109"/>
      <c r="AW51" s="109"/>
    </row>
    <row r="52" spans="1:49" ht="36" customHeight="1">
      <c r="A52" s="109"/>
      <c r="B52" s="110"/>
      <c r="C52" s="171"/>
      <c r="D52" s="1"/>
      <c r="E52" s="109"/>
      <c r="F52" s="109"/>
      <c r="G52" s="109"/>
      <c r="H52" s="109"/>
      <c r="I52" s="109"/>
      <c r="J52" s="109"/>
      <c r="K52" s="109"/>
      <c r="L52" s="1"/>
      <c r="M52" s="114"/>
      <c r="N52" s="31"/>
      <c r="O52" s="31"/>
      <c r="P52" s="31"/>
      <c r="Q52" s="31"/>
      <c r="R52" s="31"/>
      <c r="S52" s="119"/>
      <c r="T52" s="118"/>
      <c r="U52" s="118"/>
      <c r="V52" s="118"/>
      <c r="W52" s="118"/>
      <c r="X52" s="119"/>
      <c r="Y52" s="120"/>
      <c r="Z52" s="121"/>
      <c r="AA52" s="122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12"/>
      <c r="AT52" s="109"/>
      <c r="AU52" s="112"/>
      <c r="AV52" s="109"/>
      <c r="AW52" s="109"/>
    </row>
    <row r="53" spans="1:49" ht="36" customHeight="1">
      <c r="A53" s="109"/>
      <c r="B53" s="110"/>
      <c r="C53" s="171"/>
      <c r="D53" s="1"/>
      <c r="E53" s="109"/>
      <c r="F53" s="109"/>
      <c r="G53" s="109"/>
      <c r="H53" s="109"/>
      <c r="I53" s="109"/>
      <c r="J53" s="109"/>
      <c r="K53" s="109"/>
      <c r="L53" s="1"/>
      <c r="M53" s="114"/>
      <c r="N53" s="31"/>
      <c r="O53" s="31"/>
      <c r="P53" s="31"/>
      <c r="Q53" s="31"/>
      <c r="R53" s="31"/>
      <c r="S53" s="119"/>
      <c r="T53" s="118"/>
      <c r="U53" s="118"/>
      <c r="V53" s="118"/>
      <c r="W53" s="118"/>
      <c r="X53" s="119"/>
      <c r="Y53" s="120"/>
      <c r="Z53" s="121"/>
      <c r="AA53" s="122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12"/>
      <c r="AT53" s="109"/>
      <c r="AU53" s="112"/>
      <c r="AV53" s="109"/>
      <c r="AW53" s="109"/>
    </row>
    <row r="54" spans="1:49" ht="36" customHeight="1">
      <c r="A54" s="109"/>
      <c r="B54" s="110"/>
      <c r="C54" s="171"/>
      <c r="D54" s="1"/>
      <c r="E54" s="109"/>
      <c r="F54" s="109"/>
      <c r="G54" s="109"/>
      <c r="H54" s="109"/>
      <c r="I54" s="109"/>
      <c r="J54" s="109"/>
      <c r="K54" s="109"/>
      <c r="L54" s="1"/>
      <c r="M54" s="114"/>
      <c r="N54" s="31"/>
      <c r="O54" s="31"/>
      <c r="P54" s="31"/>
      <c r="Q54" s="31"/>
      <c r="R54" s="31"/>
      <c r="S54" s="119"/>
      <c r="T54" s="118"/>
      <c r="U54" s="118"/>
      <c r="V54" s="118"/>
      <c r="W54" s="118"/>
      <c r="X54" s="119"/>
      <c r="Y54" s="120"/>
      <c r="Z54" s="121"/>
      <c r="AA54" s="122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12"/>
      <c r="AT54" s="109"/>
      <c r="AU54" s="112"/>
      <c r="AV54" s="109"/>
      <c r="AW54" s="109"/>
    </row>
    <row r="55" spans="1:49" ht="36" customHeight="1">
      <c r="A55" s="109"/>
      <c r="B55" s="110"/>
      <c r="C55" s="171"/>
      <c r="D55" s="1"/>
      <c r="E55" s="109"/>
      <c r="F55" s="109"/>
      <c r="G55" s="109"/>
      <c r="H55" s="109"/>
      <c r="I55" s="109"/>
      <c r="J55" s="109"/>
      <c r="K55" s="109"/>
      <c r="L55" s="109"/>
      <c r="M55" s="111"/>
      <c r="N55" s="31"/>
      <c r="O55" s="31"/>
      <c r="P55" s="31"/>
      <c r="Q55" s="31"/>
      <c r="R55" s="31"/>
      <c r="S55" s="119"/>
      <c r="T55" s="118"/>
      <c r="U55" s="118"/>
      <c r="V55" s="118"/>
      <c r="W55" s="118"/>
      <c r="X55" s="120"/>
      <c r="Y55" s="120"/>
      <c r="Z55" s="121"/>
      <c r="AA55" s="122"/>
      <c r="AB55" s="109"/>
      <c r="AC55" s="109"/>
      <c r="AD55" s="109"/>
      <c r="AE55" s="109"/>
      <c r="AF55" s="109"/>
      <c r="AG55" s="109"/>
      <c r="AH55" s="109"/>
      <c r="AI55" s="31"/>
      <c r="AJ55" s="31"/>
      <c r="AK55" s="31"/>
      <c r="AL55" s="31"/>
      <c r="AM55" s="31"/>
      <c r="AN55" s="31"/>
      <c r="AO55" s="31"/>
      <c r="AP55" s="109"/>
      <c r="AQ55" s="109"/>
      <c r="AR55" s="109"/>
      <c r="AS55" s="112"/>
      <c r="AT55" s="109"/>
      <c r="AU55" s="112"/>
      <c r="AV55" s="109"/>
      <c r="AW55" s="109"/>
    </row>
    <row r="56" spans="1:49" ht="15.75" customHeight="1">
      <c r="A56" s="31"/>
      <c r="B56" s="68"/>
      <c r="C56" s="166"/>
      <c r="D56" s="90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21"/>
      <c r="AA56" s="12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1"/>
      <c r="AW56" s="33"/>
    </row>
    <row r="57" spans="1:49" ht="15.75" customHeight="1">
      <c r="A57" s="31"/>
      <c r="B57" s="68"/>
      <c r="C57" s="166"/>
      <c r="D57" s="90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109"/>
      <c r="AA57" s="109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1"/>
      <c r="AW57" s="33"/>
    </row>
    <row r="58" spans="1:49" ht="15.75" customHeight="1">
      <c r="A58" s="31"/>
      <c r="B58" s="68"/>
      <c r="C58" s="166"/>
      <c r="D58" s="90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1"/>
      <c r="AW58" s="33"/>
    </row>
    <row r="59" spans="1:49" ht="15.75" customHeight="1">
      <c r="A59" s="31"/>
      <c r="B59" s="68"/>
      <c r="C59" s="166"/>
      <c r="D59" s="90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1"/>
      <c r="AW59" s="33"/>
    </row>
    <row r="60" spans="1:49" ht="15.75" customHeight="1">
      <c r="A60" s="31"/>
      <c r="B60" s="68"/>
      <c r="C60" s="166"/>
      <c r="D60" s="90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1"/>
      <c r="AW60" s="33"/>
    </row>
    <row r="61" spans="1:49" ht="15.75" customHeight="1">
      <c r="A61" s="31"/>
      <c r="B61" s="68"/>
      <c r="C61" s="166"/>
      <c r="D61" s="90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1"/>
      <c r="AW61" s="33"/>
    </row>
    <row r="62" spans="1:49" ht="15.75" customHeight="1">
      <c r="A62" s="31"/>
      <c r="B62" s="68"/>
      <c r="C62" s="166"/>
      <c r="D62" s="90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1"/>
      <c r="AW62" s="33"/>
    </row>
    <row r="63" spans="1:49" ht="15.75" customHeight="1">
      <c r="A63" s="31"/>
      <c r="B63" s="68"/>
      <c r="C63" s="166"/>
      <c r="D63" s="90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1"/>
      <c r="AW63" s="33"/>
    </row>
    <row r="64" spans="1:49" ht="15.75" customHeight="1">
      <c r="A64" s="31"/>
      <c r="B64" s="68"/>
      <c r="C64" s="166"/>
      <c r="D64" s="90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1"/>
      <c r="AW64" s="33"/>
    </row>
    <row r="65" spans="1:49" ht="15.75" customHeight="1">
      <c r="A65" s="31"/>
      <c r="B65" s="68"/>
      <c r="C65" s="166"/>
      <c r="D65" s="90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1"/>
      <c r="AW65" s="33"/>
    </row>
    <row r="66" spans="1:49" ht="15.75" customHeight="1">
      <c r="A66" s="31"/>
      <c r="B66" s="68"/>
      <c r="C66" s="166"/>
      <c r="D66" s="90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1"/>
      <c r="AW66" s="33"/>
    </row>
    <row r="67" spans="1:49" ht="15.75" customHeight="1">
      <c r="A67" s="31"/>
      <c r="B67" s="68"/>
      <c r="C67" s="166"/>
      <c r="D67" s="90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1"/>
      <c r="AW67" s="33"/>
    </row>
    <row r="68" spans="1:49" ht="15.75" customHeight="1">
      <c r="A68" s="31"/>
      <c r="B68" s="68"/>
      <c r="C68" s="166"/>
      <c r="D68" s="90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1"/>
      <c r="AW68" s="33"/>
    </row>
    <row r="69" spans="1:49" ht="15.75" customHeight="1">
      <c r="A69" s="31"/>
      <c r="B69" s="68"/>
      <c r="C69" s="166"/>
      <c r="D69" s="90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1"/>
      <c r="AW69" s="33"/>
    </row>
    <row r="70" spans="1:49" ht="15.75" customHeight="1">
      <c r="A70" s="31"/>
      <c r="B70" s="68"/>
      <c r="C70" s="166"/>
      <c r="D70" s="90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1"/>
      <c r="AW70" s="33"/>
    </row>
    <row r="71" spans="1:49" ht="15.75" customHeight="1">
      <c r="A71" s="31"/>
      <c r="B71" s="68"/>
      <c r="C71" s="166"/>
      <c r="D71" s="90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1"/>
      <c r="AW71" s="33"/>
    </row>
    <row r="72" spans="1:49" ht="15.75" customHeight="1">
      <c r="A72" s="31"/>
      <c r="B72" s="68"/>
      <c r="C72" s="166"/>
      <c r="D72" s="90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1"/>
      <c r="AW72" s="33"/>
    </row>
    <row r="73" spans="1:49" ht="15.75" customHeight="1">
      <c r="A73" s="31"/>
      <c r="B73" s="68"/>
      <c r="C73" s="166"/>
      <c r="D73" s="90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1"/>
      <c r="AW73" s="33"/>
    </row>
    <row r="74" spans="1:49" ht="15.75" customHeight="1">
      <c r="A74" s="31"/>
      <c r="B74" s="68"/>
      <c r="C74" s="166"/>
      <c r="D74" s="90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1"/>
      <c r="AW74" s="33"/>
    </row>
    <row r="75" spans="1:49" ht="15.75" customHeight="1">
      <c r="A75" s="31"/>
      <c r="B75" s="68"/>
      <c r="C75" s="166"/>
      <c r="D75" s="90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1"/>
      <c r="AW75" s="33"/>
    </row>
    <row r="76" spans="1:49" ht="15.75" customHeight="1">
      <c r="A76" s="31"/>
      <c r="B76" s="68"/>
      <c r="C76" s="166"/>
      <c r="D76" s="90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1"/>
      <c r="AW76" s="33"/>
    </row>
    <row r="77" spans="1:49" ht="15.75" customHeight="1">
      <c r="A77" s="31"/>
      <c r="B77" s="68"/>
      <c r="C77" s="166"/>
      <c r="D77" s="90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1"/>
      <c r="AW77" s="33"/>
    </row>
    <row r="78" spans="1:49" ht="15.75" customHeight="1">
      <c r="A78" s="31"/>
      <c r="B78" s="68"/>
      <c r="C78" s="166"/>
      <c r="D78" s="90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1"/>
      <c r="AW78" s="33"/>
    </row>
    <row r="79" spans="1:49" ht="15.75" customHeight="1">
      <c r="A79" s="31"/>
      <c r="B79" s="68"/>
      <c r="C79" s="166"/>
      <c r="D79" s="90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3"/>
      <c r="AV79" s="31"/>
      <c r="AW79" s="33"/>
    </row>
    <row r="80" spans="1:49" ht="15.75" customHeight="1">
      <c r="A80" s="31"/>
      <c r="B80" s="68"/>
      <c r="C80" s="166"/>
      <c r="D80" s="90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3"/>
      <c r="AV80" s="31"/>
      <c r="AW80" s="33"/>
    </row>
    <row r="81" spans="1:49" ht="15.75" customHeight="1">
      <c r="A81" s="31"/>
      <c r="B81" s="68"/>
      <c r="C81" s="166"/>
      <c r="D81" s="90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3"/>
      <c r="AV81" s="31"/>
      <c r="AW81" s="33"/>
    </row>
    <row r="82" spans="1:49" ht="15.75" customHeight="1">
      <c r="A82" s="31"/>
      <c r="B82" s="68"/>
      <c r="C82" s="166"/>
      <c r="D82" s="90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3"/>
      <c r="AV82" s="31"/>
      <c r="AW82" s="33"/>
    </row>
    <row r="83" spans="1:49" ht="15.75" customHeight="1">
      <c r="A83" s="31"/>
      <c r="B83" s="68"/>
      <c r="C83" s="166"/>
      <c r="D83" s="90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3"/>
      <c r="AV83" s="31"/>
      <c r="AW83" s="33"/>
    </row>
    <row r="84" spans="1:49" ht="15.75" customHeight="1">
      <c r="A84" s="31"/>
      <c r="B84" s="68"/>
      <c r="C84" s="166"/>
      <c r="D84" s="90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3"/>
      <c r="AV84" s="31"/>
      <c r="AW84" s="33"/>
    </row>
    <row r="85" spans="1:49" ht="15.75" customHeight="1">
      <c r="A85" s="31"/>
      <c r="B85" s="68"/>
      <c r="C85" s="166"/>
      <c r="D85" s="90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3"/>
      <c r="AV85" s="31"/>
      <c r="AW85" s="33"/>
    </row>
    <row r="86" spans="1:49" ht="15.75" customHeight="1">
      <c r="A86" s="31"/>
      <c r="B86" s="68"/>
      <c r="C86" s="166"/>
      <c r="D86" s="90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3"/>
      <c r="AV86" s="31"/>
      <c r="AW86" s="33"/>
    </row>
    <row r="87" spans="1:49" ht="15.75" customHeight="1">
      <c r="A87" s="31"/>
      <c r="B87" s="68"/>
      <c r="C87" s="166"/>
      <c r="D87" s="90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3"/>
      <c r="AV87" s="31"/>
      <c r="AW87" s="33"/>
    </row>
    <row r="88" spans="1:49" ht="15.75" customHeight="1">
      <c r="A88" s="31"/>
      <c r="B88" s="68"/>
      <c r="C88" s="166"/>
      <c r="D88" s="90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3"/>
      <c r="AV88" s="31"/>
      <c r="AW88" s="33"/>
    </row>
    <row r="89" spans="1:49" ht="15.75" customHeight="1">
      <c r="A89" s="31"/>
      <c r="B89" s="68"/>
      <c r="C89" s="166"/>
      <c r="D89" s="90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3"/>
      <c r="AV89" s="31"/>
      <c r="AW89" s="33"/>
    </row>
    <row r="90" spans="1:49" ht="15.75" customHeight="1">
      <c r="A90" s="31"/>
      <c r="B90" s="68"/>
      <c r="C90" s="166"/>
      <c r="D90" s="90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3"/>
      <c r="AV90" s="31"/>
      <c r="AW90" s="33"/>
    </row>
    <row r="91" spans="1:49" ht="15.75" customHeight="1">
      <c r="A91" s="31"/>
      <c r="B91" s="68"/>
      <c r="C91" s="166"/>
      <c r="D91" s="90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3"/>
      <c r="AV91" s="31"/>
      <c r="AW91" s="33"/>
    </row>
    <row r="92" spans="1:49" ht="15.75" customHeight="1">
      <c r="A92" s="31"/>
      <c r="B92" s="68"/>
      <c r="C92" s="166"/>
      <c r="D92" s="90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3"/>
      <c r="AV92" s="31"/>
      <c r="AW92" s="33"/>
    </row>
    <row r="93" spans="1:49" ht="15.75" customHeight="1">
      <c r="A93" s="31"/>
      <c r="B93" s="68"/>
      <c r="C93" s="166"/>
      <c r="D93" s="90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3"/>
      <c r="AV93" s="31"/>
      <c r="AW93" s="33"/>
    </row>
    <row r="94" spans="1:49" ht="15.75" customHeight="1">
      <c r="A94" s="31"/>
      <c r="B94" s="68"/>
      <c r="C94" s="166"/>
      <c r="D94" s="90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3"/>
      <c r="AV94" s="31"/>
      <c r="AW94" s="33"/>
    </row>
    <row r="95" spans="1:49" ht="15.75" customHeight="1">
      <c r="A95" s="31"/>
      <c r="B95" s="68"/>
      <c r="C95" s="166"/>
      <c r="D95" s="90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3"/>
      <c r="AV95" s="31"/>
      <c r="AW95" s="33"/>
    </row>
    <row r="96" spans="1:49" ht="15.75" customHeight="1">
      <c r="A96" s="31"/>
      <c r="B96" s="68"/>
      <c r="C96" s="166"/>
      <c r="D96" s="90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3"/>
      <c r="AV96" s="31"/>
      <c r="AW96" s="33"/>
    </row>
    <row r="97" spans="1:49" ht="15.75" customHeight="1">
      <c r="A97" s="31"/>
      <c r="B97" s="68"/>
      <c r="C97" s="166"/>
      <c r="D97" s="90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3"/>
      <c r="AV97" s="31"/>
      <c r="AW97" s="33"/>
    </row>
    <row r="98" spans="1:49" ht="15.75" customHeight="1">
      <c r="A98" s="31"/>
      <c r="B98" s="68"/>
      <c r="C98" s="166"/>
      <c r="D98" s="90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3"/>
      <c r="AV98" s="31"/>
      <c r="AW98" s="33"/>
    </row>
    <row r="99" spans="1:49" ht="15.75" customHeight="1">
      <c r="A99" s="31"/>
      <c r="B99" s="68"/>
      <c r="C99" s="166"/>
      <c r="D99" s="90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3"/>
      <c r="AV99" s="31"/>
      <c r="AW99" s="33"/>
    </row>
    <row r="100" spans="1:49" ht="15.75" customHeight="1">
      <c r="A100" s="31"/>
      <c r="B100" s="68"/>
      <c r="C100" s="166"/>
      <c r="D100" s="90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3"/>
      <c r="AV100" s="31"/>
      <c r="AW100" s="33"/>
    </row>
    <row r="101" spans="1:49" ht="15.75" customHeight="1">
      <c r="A101" s="31"/>
      <c r="B101" s="68"/>
      <c r="C101" s="166"/>
      <c r="D101" s="90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3"/>
      <c r="AV101" s="31"/>
      <c r="AW101" s="33"/>
    </row>
    <row r="102" spans="1:49" ht="15.75" customHeight="1">
      <c r="A102" s="31"/>
      <c r="B102" s="68"/>
      <c r="C102" s="166"/>
      <c r="D102" s="90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3"/>
      <c r="AV102" s="31"/>
      <c r="AW102" s="33"/>
    </row>
    <row r="103" spans="1:49" ht="15.75" customHeight="1">
      <c r="A103" s="31"/>
      <c r="B103" s="68"/>
      <c r="C103" s="166"/>
      <c r="D103" s="90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3"/>
      <c r="AV103" s="31"/>
      <c r="AW103" s="33"/>
    </row>
    <row r="104" spans="1:49" ht="15.75" customHeight="1">
      <c r="A104" s="31"/>
      <c r="B104" s="68"/>
      <c r="C104" s="166"/>
      <c r="D104" s="90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3"/>
      <c r="AV104" s="31"/>
      <c r="AW104" s="33"/>
    </row>
    <row r="105" spans="1:49" ht="15.75" customHeight="1">
      <c r="A105" s="31"/>
      <c r="B105" s="68"/>
      <c r="C105" s="166"/>
      <c r="D105" s="90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3"/>
      <c r="AV105" s="31"/>
      <c r="AW105" s="33"/>
    </row>
    <row r="106" spans="1:49" ht="15.75" customHeight="1">
      <c r="A106" s="31"/>
      <c r="B106" s="68"/>
      <c r="C106" s="166"/>
      <c r="D106" s="90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3"/>
      <c r="AV106" s="31"/>
      <c r="AW106" s="33"/>
    </row>
    <row r="107" spans="1:49" ht="15.75" customHeight="1">
      <c r="A107" s="31"/>
      <c r="B107" s="68"/>
      <c r="C107" s="166"/>
      <c r="D107" s="90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3"/>
      <c r="AV107" s="31"/>
      <c r="AW107" s="33"/>
    </row>
    <row r="108" spans="1:49" ht="15.75" customHeight="1">
      <c r="A108" s="31"/>
      <c r="B108" s="68"/>
      <c r="C108" s="166"/>
      <c r="D108" s="90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3"/>
      <c r="AV108" s="31"/>
      <c r="AW108" s="33"/>
    </row>
    <row r="109" spans="1:49" ht="15.75" customHeight="1">
      <c r="A109" s="31"/>
      <c r="B109" s="68"/>
      <c r="C109" s="166"/>
      <c r="D109" s="90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3"/>
      <c r="AV109" s="31"/>
      <c r="AW109" s="33"/>
    </row>
    <row r="110" spans="1:49" ht="15.75" customHeight="1">
      <c r="A110" s="31"/>
      <c r="B110" s="68"/>
      <c r="C110" s="166"/>
      <c r="D110" s="90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3"/>
      <c r="AV110" s="31"/>
      <c r="AW110" s="33"/>
    </row>
    <row r="111" spans="1:49" ht="15.75" customHeight="1">
      <c r="A111" s="31"/>
      <c r="B111" s="68"/>
      <c r="C111" s="166"/>
      <c r="D111" s="90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3"/>
      <c r="AV111" s="31"/>
      <c r="AW111" s="33"/>
    </row>
    <row r="112" spans="1:49" ht="15.75" customHeight="1">
      <c r="A112" s="31"/>
      <c r="B112" s="68"/>
      <c r="C112" s="166"/>
      <c r="D112" s="90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3"/>
      <c r="AV112" s="31"/>
      <c r="AW112" s="33"/>
    </row>
    <row r="113" spans="1:49" ht="15.75" customHeight="1">
      <c r="A113" s="31"/>
      <c r="B113" s="68"/>
      <c r="C113" s="166"/>
      <c r="D113" s="90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3"/>
      <c r="AV113" s="31"/>
      <c r="AW113" s="33"/>
    </row>
    <row r="114" spans="1:49" ht="15.75" customHeight="1">
      <c r="A114" s="31"/>
      <c r="B114" s="68"/>
      <c r="C114" s="166"/>
      <c r="D114" s="90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3"/>
      <c r="AV114" s="31"/>
      <c r="AW114" s="33"/>
    </row>
    <row r="115" spans="1:49" ht="15.75" customHeight="1">
      <c r="A115" s="31"/>
      <c r="B115" s="68"/>
      <c r="C115" s="166"/>
      <c r="D115" s="90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3"/>
      <c r="AV115" s="31"/>
      <c r="AW115" s="33"/>
    </row>
    <row r="116" spans="1:49" ht="15.75" customHeight="1">
      <c r="A116" s="31"/>
      <c r="B116" s="68"/>
      <c r="C116" s="166"/>
      <c r="D116" s="90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3"/>
      <c r="AV116" s="31"/>
      <c r="AW116" s="33"/>
    </row>
    <row r="117" spans="1:49" ht="15.75" customHeight="1">
      <c r="A117" s="31"/>
      <c r="B117" s="68"/>
      <c r="C117" s="166"/>
      <c r="D117" s="90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3"/>
      <c r="AV117" s="31"/>
      <c r="AW117" s="33"/>
    </row>
    <row r="118" spans="1:49" ht="15.75" customHeight="1">
      <c r="A118" s="31"/>
      <c r="B118" s="68"/>
      <c r="C118" s="166"/>
      <c r="D118" s="90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3"/>
      <c r="AV118" s="31"/>
      <c r="AW118" s="33"/>
    </row>
    <row r="119" spans="1:49" ht="15.75" customHeight="1">
      <c r="A119" s="31"/>
      <c r="B119" s="68"/>
      <c r="C119" s="166"/>
      <c r="D119" s="90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3"/>
      <c r="AV119" s="31"/>
      <c r="AW119" s="33"/>
    </row>
    <row r="120" spans="1:49" ht="15.75" customHeight="1">
      <c r="A120" s="31"/>
      <c r="B120" s="68"/>
      <c r="C120" s="166"/>
      <c r="D120" s="90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3"/>
      <c r="AV120" s="31"/>
      <c r="AW120" s="33"/>
    </row>
    <row r="121" spans="1:49" ht="15.75" customHeight="1">
      <c r="A121" s="31"/>
      <c r="B121" s="68"/>
      <c r="C121" s="166"/>
      <c r="D121" s="90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3"/>
      <c r="AV121" s="31"/>
      <c r="AW121" s="33"/>
    </row>
    <row r="122" spans="1:49" ht="15.75" customHeight="1">
      <c r="A122" s="31"/>
      <c r="B122" s="68"/>
      <c r="C122" s="166"/>
      <c r="D122" s="90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3"/>
      <c r="AV122" s="31"/>
      <c r="AW122" s="33"/>
    </row>
    <row r="123" spans="1:49" ht="15.75" customHeight="1">
      <c r="A123" s="31"/>
      <c r="B123" s="68"/>
      <c r="C123" s="166"/>
      <c r="D123" s="90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3"/>
      <c r="AV123" s="31"/>
      <c r="AW123" s="33"/>
    </row>
    <row r="124" spans="1:49" ht="15.75" customHeight="1">
      <c r="A124" s="31"/>
      <c r="B124" s="68"/>
      <c r="C124" s="166"/>
      <c r="D124" s="90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3"/>
      <c r="AV124" s="31"/>
      <c r="AW124" s="33"/>
    </row>
    <row r="125" spans="1:49" ht="15.75" customHeight="1">
      <c r="A125" s="31"/>
      <c r="B125" s="68"/>
      <c r="C125" s="166"/>
      <c r="D125" s="90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3"/>
      <c r="AV125" s="31"/>
      <c r="AW125" s="33"/>
    </row>
    <row r="126" spans="1:49" ht="15.75" customHeight="1">
      <c r="A126" s="31"/>
      <c r="B126" s="68"/>
      <c r="C126" s="166"/>
      <c r="D126" s="90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3"/>
      <c r="AV126" s="31"/>
      <c r="AW126" s="33"/>
    </row>
    <row r="127" spans="1:49" ht="15.75" customHeight="1">
      <c r="A127" s="31"/>
      <c r="B127" s="68"/>
      <c r="C127" s="166"/>
      <c r="D127" s="90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3"/>
      <c r="AV127" s="31"/>
      <c r="AW127" s="33"/>
    </row>
    <row r="128" spans="1:49" ht="15.75" customHeight="1">
      <c r="A128" s="31"/>
      <c r="B128" s="68"/>
      <c r="C128" s="166"/>
      <c r="D128" s="90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3"/>
      <c r="AV128" s="31"/>
      <c r="AW128" s="33"/>
    </row>
    <row r="129" spans="1:49" ht="15.75" customHeight="1">
      <c r="A129" s="31"/>
      <c r="B129" s="68"/>
      <c r="C129" s="166"/>
      <c r="D129" s="90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3"/>
      <c r="AV129" s="31"/>
      <c r="AW129" s="33"/>
    </row>
    <row r="130" spans="1:49" ht="15.75" customHeight="1">
      <c r="A130" s="31"/>
      <c r="B130" s="68"/>
      <c r="C130" s="166"/>
      <c r="D130" s="90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3"/>
      <c r="AV130" s="31"/>
      <c r="AW130" s="33"/>
    </row>
    <row r="131" spans="1:49" ht="15.75" customHeight="1">
      <c r="A131" s="31"/>
      <c r="B131" s="68"/>
      <c r="C131" s="166"/>
      <c r="D131" s="90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3"/>
      <c r="AV131" s="31"/>
      <c r="AW131" s="33"/>
    </row>
    <row r="132" spans="1:49" ht="15.75" customHeight="1">
      <c r="A132" s="31"/>
      <c r="B132" s="68"/>
      <c r="C132" s="166"/>
      <c r="D132" s="90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3"/>
      <c r="AV132" s="31"/>
      <c r="AW132" s="33"/>
    </row>
    <row r="133" spans="1:49" ht="15.75" customHeight="1">
      <c r="A133" s="31"/>
      <c r="B133" s="68"/>
      <c r="C133" s="166"/>
      <c r="D133" s="90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3"/>
      <c r="AV133" s="31"/>
      <c r="AW133" s="33"/>
    </row>
    <row r="134" spans="1:49" ht="15.75" customHeight="1">
      <c r="A134" s="31"/>
      <c r="B134" s="68"/>
      <c r="C134" s="166"/>
      <c r="D134" s="90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3"/>
      <c r="AV134" s="31"/>
      <c r="AW134" s="33"/>
    </row>
    <row r="135" spans="1:49" ht="15.75" customHeight="1">
      <c r="A135" s="31"/>
      <c r="B135" s="68"/>
      <c r="C135" s="166"/>
      <c r="D135" s="90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3"/>
      <c r="AV135" s="31"/>
      <c r="AW135" s="33"/>
    </row>
    <row r="136" spans="1:49" ht="15.75" customHeight="1">
      <c r="A136" s="31"/>
      <c r="B136" s="68"/>
      <c r="C136" s="166"/>
      <c r="D136" s="90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3"/>
      <c r="AV136" s="31"/>
      <c r="AW136" s="33"/>
    </row>
    <row r="137" spans="1:49" ht="15.75" customHeight="1">
      <c r="A137" s="31"/>
      <c r="B137" s="68"/>
      <c r="C137" s="166"/>
      <c r="D137" s="90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3"/>
      <c r="AV137" s="31"/>
      <c r="AW137" s="33"/>
    </row>
    <row r="138" spans="1:49" ht="15.75" customHeight="1">
      <c r="A138" s="31"/>
      <c r="B138" s="68"/>
      <c r="C138" s="166"/>
      <c r="D138" s="90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3"/>
      <c r="AV138" s="31"/>
      <c r="AW138" s="33"/>
    </row>
    <row r="139" spans="1:49" ht="15.75" customHeight="1">
      <c r="A139" s="31"/>
      <c r="B139" s="68"/>
      <c r="C139" s="166"/>
      <c r="D139" s="90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3"/>
      <c r="AV139" s="31"/>
      <c r="AW139" s="33"/>
    </row>
    <row r="140" spans="1:49" ht="15.75" customHeight="1">
      <c r="A140" s="31"/>
      <c r="B140" s="68"/>
      <c r="C140" s="166"/>
      <c r="D140" s="90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3"/>
      <c r="AV140" s="31"/>
      <c r="AW140" s="33"/>
    </row>
    <row r="141" spans="1:49" ht="15.75" customHeight="1">
      <c r="A141" s="31"/>
      <c r="B141" s="68"/>
      <c r="C141" s="166"/>
      <c r="D141" s="90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3"/>
      <c r="AV141" s="31"/>
      <c r="AW141" s="33"/>
    </row>
    <row r="142" spans="1:49" ht="15.75" customHeight="1">
      <c r="A142" s="31"/>
      <c r="B142" s="68"/>
      <c r="C142" s="166"/>
      <c r="D142" s="90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3"/>
      <c r="AV142" s="31"/>
      <c r="AW142" s="33"/>
    </row>
    <row r="143" spans="1:49" ht="15.75" customHeight="1">
      <c r="A143" s="31"/>
      <c r="B143" s="68"/>
      <c r="C143" s="166"/>
      <c r="D143" s="90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3"/>
      <c r="AV143" s="31"/>
      <c r="AW143" s="33"/>
    </row>
    <row r="144" spans="1:49" ht="15.75" customHeight="1">
      <c r="A144" s="31"/>
      <c r="B144" s="68"/>
      <c r="C144" s="166"/>
      <c r="D144" s="90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3"/>
      <c r="AV144" s="31"/>
      <c r="AW144" s="33"/>
    </row>
    <row r="145" spans="1:49" ht="15.75" customHeight="1">
      <c r="A145" s="31"/>
      <c r="B145" s="68"/>
      <c r="C145" s="166"/>
      <c r="D145" s="90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3"/>
      <c r="AV145" s="31"/>
      <c r="AW145" s="33"/>
    </row>
    <row r="146" spans="1:49" ht="15.75" customHeight="1">
      <c r="A146" s="31"/>
      <c r="B146" s="68"/>
      <c r="C146" s="166"/>
      <c r="D146" s="90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3"/>
      <c r="AV146" s="31"/>
      <c r="AW146" s="33"/>
    </row>
    <row r="147" spans="1:49" ht="15.75" customHeight="1">
      <c r="A147" s="31"/>
      <c r="B147" s="68"/>
      <c r="C147" s="166"/>
      <c r="D147" s="90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3"/>
      <c r="AV147" s="31"/>
      <c r="AW147" s="33"/>
    </row>
    <row r="148" spans="1:49" ht="15.75" customHeight="1">
      <c r="A148" s="31"/>
      <c r="B148" s="68"/>
      <c r="C148" s="166"/>
      <c r="D148" s="90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3"/>
      <c r="AV148" s="31"/>
      <c r="AW148" s="33"/>
    </row>
    <row r="149" spans="1:49" ht="15.75" customHeight="1">
      <c r="A149" s="31"/>
      <c r="B149" s="68"/>
      <c r="C149" s="166"/>
      <c r="D149" s="90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3"/>
      <c r="AV149" s="31"/>
      <c r="AW149" s="33"/>
    </row>
    <row r="150" spans="1:49" ht="15.75" customHeight="1">
      <c r="A150" s="31"/>
      <c r="B150" s="68"/>
      <c r="C150" s="166"/>
      <c r="D150" s="90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3"/>
      <c r="AV150" s="31"/>
      <c r="AW150" s="33"/>
    </row>
    <row r="151" spans="1:49" ht="15.75" customHeight="1">
      <c r="A151" s="31"/>
      <c r="B151" s="68"/>
      <c r="C151" s="166"/>
      <c r="D151" s="90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3"/>
      <c r="AV151" s="31"/>
      <c r="AW151" s="33"/>
    </row>
    <row r="152" spans="1:49" ht="15.75" customHeight="1">
      <c r="A152" s="31"/>
      <c r="B152" s="68"/>
      <c r="C152" s="166"/>
      <c r="D152" s="90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3"/>
      <c r="AV152" s="31"/>
      <c r="AW152" s="33"/>
    </row>
    <row r="153" spans="1:49" ht="15.75" customHeight="1">
      <c r="A153" s="31"/>
      <c r="B153" s="68"/>
      <c r="C153" s="166"/>
      <c r="D153" s="90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3"/>
      <c r="AV153" s="31"/>
      <c r="AW153" s="33"/>
    </row>
    <row r="154" spans="1:49" ht="15.75" customHeight="1">
      <c r="A154" s="31"/>
      <c r="B154" s="68"/>
      <c r="C154" s="166"/>
      <c r="D154" s="90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3"/>
      <c r="AV154" s="31"/>
      <c r="AW154" s="33"/>
    </row>
    <row r="155" spans="1:49" ht="15.75" customHeight="1">
      <c r="A155" s="31"/>
      <c r="B155" s="68"/>
      <c r="C155" s="166"/>
      <c r="D155" s="90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3"/>
      <c r="AV155" s="31"/>
      <c r="AW155" s="33"/>
    </row>
    <row r="156" spans="1:49" ht="15.75" customHeight="1">
      <c r="A156" s="31"/>
      <c r="B156" s="68"/>
      <c r="C156" s="166"/>
      <c r="D156" s="90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3"/>
      <c r="AV156" s="31"/>
      <c r="AW156" s="33"/>
    </row>
    <row r="157" spans="1:49" ht="15.75" customHeight="1">
      <c r="A157" s="31"/>
      <c r="B157" s="68"/>
      <c r="C157" s="166"/>
      <c r="D157" s="90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3"/>
      <c r="AV157" s="31"/>
      <c r="AW157" s="33"/>
    </row>
    <row r="158" spans="1:49" ht="15.75" customHeight="1">
      <c r="A158" s="31"/>
      <c r="B158" s="68"/>
      <c r="C158" s="166"/>
      <c r="D158" s="90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3"/>
      <c r="AV158" s="31"/>
      <c r="AW158" s="33"/>
    </row>
    <row r="159" spans="1:49" ht="15.75" customHeight="1">
      <c r="A159" s="31"/>
      <c r="B159" s="68"/>
      <c r="C159" s="166"/>
      <c r="D159" s="90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3"/>
      <c r="AV159" s="31"/>
      <c r="AW159" s="33"/>
    </row>
    <row r="160" spans="1:49" ht="15.75" customHeight="1">
      <c r="A160" s="31"/>
      <c r="B160" s="68"/>
      <c r="C160" s="166"/>
      <c r="D160" s="90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3"/>
      <c r="AV160" s="31"/>
      <c r="AW160" s="33"/>
    </row>
    <row r="161" spans="1:49" ht="15.75" customHeight="1">
      <c r="A161" s="31"/>
      <c r="B161" s="68"/>
      <c r="C161" s="166"/>
      <c r="D161" s="90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3"/>
      <c r="AV161" s="31"/>
      <c r="AW161" s="33"/>
    </row>
    <row r="162" spans="1:49" ht="15.75" customHeight="1">
      <c r="A162" s="31"/>
      <c r="B162" s="68"/>
      <c r="C162" s="166"/>
      <c r="D162" s="90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3"/>
      <c r="AV162" s="31"/>
      <c r="AW162" s="33"/>
    </row>
    <row r="163" spans="1:49" ht="15.75" customHeight="1">
      <c r="A163" s="31"/>
      <c r="B163" s="68"/>
      <c r="C163" s="166"/>
      <c r="D163" s="90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3"/>
      <c r="AV163" s="31"/>
      <c r="AW163" s="33"/>
    </row>
    <row r="164" spans="1:49" ht="15.75" customHeight="1">
      <c r="A164" s="31"/>
      <c r="B164" s="68"/>
      <c r="C164" s="166"/>
      <c r="D164" s="90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3"/>
      <c r="AV164" s="31"/>
      <c r="AW164" s="33"/>
    </row>
    <row r="165" spans="1:49" ht="15.75" customHeight="1">
      <c r="A165" s="31"/>
      <c r="B165" s="68"/>
      <c r="C165" s="166"/>
      <c r="D165" s="90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3"/>
      <c r="AV165" s="31"/>
      <c r="AW165" s="33"/>
    </row>
    <row r="166" spans="1:49" ht="15.75" customHeight="1">
      <c r="A166" s="31"/>
      <c r="B166" s="68"/>
      <c r="C166" s="166"/>
      <c r="D166" s="90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3"/>
      <c r="AV166" s="31"/>
      <c r="AW166" s="33"/>
    </row>
    <row r="167" spans="1:49" ht="15.75" customHeight="1">
      <c r="A167" s="31"/>
      <c r="B167" s="68"/>
      <c r="C167" s="166"/>
      <c r="D167" s="90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3"/>
      <c r="AV167" s="31"/>
      <c r="AW167" s="33"/>
    </row>
    <row r="168" spans="1:49" ht="15.75" customHeight="1">
      <c r="A168" s="31"/>
      <c r="B168" s="68"/>
      <c r="C168" s="166"/>
      <c r="D168" s="90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3"/>
      <c r="AV168" s="31"/>
      <c r="AW168" s="33"/>
    </row>
    <row r="169" spans="1:49" ht="15.75" customHeight="1">
      <c r="A169" s="31"/>
      <c r="B169" s="68"/>
      <c r="C169" s="166"/>
      <c r="D169" s="90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3"/>
      <c r="AV169" s="31"/>
      <c r="AW169" s="33"/>
    </row>
    <row r="170" spans="1:49" ht="15.75" customHeight="1">
      <c r="A170" s="31"/>
      <c r="B170" s="68"/>
      <c r="C170" s="166"/>
      <c r="D170" s="90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3"/>
      <c r="AV170" s="31"/>
      <c r="AW170" s="33"/>
    </row>
    <row r="171" spans="1:49" ht="15.75" customHeight="1">
      <c r="A171" s="31"/>
      <c r="B171" s="68"/>
      <c r="C171" s="166"/>
      <c r="D171" s="90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3"/>
      <c r="AV171" s="31"/>
      <c r="AW171" s="33"/>
    </row>
    <row r="172" spans="1:49" ht="15.75" customHeight="1">
      <c r="A172" s="31"/>
      <c r="B172" s="68"/>
      <c r="C172" s="166"/>
      <c r="D172" s="90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3"/>
      <c r="AV172" s="31"/>
      <c r="AW172" s="33"/>
    </row>
    <row r="173" spans="1:49" ht="15.75" customHeight="1">
      <c r="A173" s="31"/>
      <c r="B173" s="68"/>
      <c r="C173" s="166"/>
      <c r="D173" s="90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3"/>
      <c r="AV173" s="31"/>
      <c r="AW173" s="33"/>
    </row>
    <row r="174" spans="1:49" ht="15.75" customHeight="1">
      <c r="A174" s="31"/>
      <c r="B174" s="68"/>
      <c r="C174" s="166"/>
      <c r="D174" s="90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3"/>
      <c r="AV174" s="31"/>
      <c r="AW174" s="33"/>
    </row>
    <row r="175" spans="1:49" ht="15.75" customHeight="1">
      <c r="A175" s="31"/>
      <c r="B175" s="68"/>
      <c r="C175" s="166"/>
      <c r="D175" s="90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3"/>
      <c r="AV175" s="31"/>
      <c r="AW175" s="33"/>
    </row>
    <row r="176" spans="1:49" ht="15.75" customHeight="1">
      <c r="A176" s="31"/>
      <c r="B176" s="68"/>
      <c r="C176" s="166"/>
      <c r="D176" s="90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3"/>
      <c r="AV176" s="31"/>
      <c r="AW176" s="33"/>
    </row>
    <row r="177" spans="1:49" ht="15.75" customHeight="1">
      <c r="A177" s="31"/>
      <c r="B177" s="68"/>
      <c r="C177" s="166"/>
      <c r="D177" s="90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3"/>
      <c r="AV177" s="31"/>
      <c r="AW177" s="33"/>
    </row>
    <row r="178" spans="1:49" ht="15.75" customHeight="1">
      <c r="A178" s="31"/>
      <c r="B178" s="68"/>
      <c r="C178" s="166"/>
      <c r="D178" s="90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3"/>
      <c r="AV178" s="31"/>
      <c r="AW178" s="33"/>
    </row>
    <row r="179" spans="1:49" ht="15.75" customHeight="1">
      <c r="A179" s="31"/>
      <c r="B179" s="68"/>
      <c r="C179" s="166"/>
      <c r="D179" s="90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3"/>
      <c r="AV179" s="31"/>
      <c r="AW179" s="33"/>
    </row>
    <row r="180" spans="1:49" ht="15.75" customHeight="1">
      <c r="A180" s="31"/>
      <c r="B180" s="68"/>
      <c r="C180" s="166"/>
      <c r="D180" s="90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3"/>
      <c r="AV180" s="31"/>
      <c r="AW180" s="33"/>
    </row>
    <row r="181" spans="1:49" ht="15.75" customHeight="1">
      <c r="A181" s="31"/>
      <c r="B181" s="68"/>
      <c r="C181" s="166"/>
      <c r="D181" s="90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3"/>
      <c r="AV181" s="31"/>
      <c r="AW181" s="33"/>
    </row>
    <row r="182" spans="1:49" ht="15.75" customHeight="1">
      <c r="A182" s="31"/>
      <c r="B182" s="68"/>
      <c r="C182" s="166"/>
      <c r="D182" s="90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3"/>
      <c r="AV182" s="31"/>
      <c r="AW182" s="33"/>
    </row>
    <row r="183" spans="1:49" ht="15.75" customHeight="1">
      <c r="A183" s="31"/>
      <c r="B183" s="68"/>
      <c r="C183" s="166"/>
      <c r="D183" s="90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3"/>
      <c r="AV183" s="31"/>
      <c r="AW183" s="33"/>
    </row>
    <row r="184" spans="1:49" ht="15.75" customHeight="1">
      <c r="A184" s="31"/>
      <c r="B184" s="68"/>
      <c r="C184" s="166"/>
      <c r="D184" s="90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3"/>
      <c r="AV184" s="31"/>
      <c r="AW184" s="33"/>
    </row>
    <row r="185" spans="1:49" ht="15.75" customHeight="1">
      <c r="A185" s="31"/>
      <c r="B185" s="68"/>
      <c r="C185" s="166"/>
      <c r="D185" s="90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3"/>
      <c r="AV185" s="31"/>
      <c r="AW185" s="33"/>
    </row>
    <row r="186" spans="1:49" ht="15.75" customHeight="1">
      <c r="A186" s="31"/>
      <c r="B186" s="68"/>
      <c r="C186" s="166"/>
      <c r="D186" s="90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3"/>
      <c r="AV186" s="31"/>
      <c r="AW186" s="33"/>
    </row>
    <row r="187" spans="1:49" ht="15.75" customHeight="1">
      <c r="A187" s="31"/>
      <c r="B187" s="68"/>
      <c r="C187" s="166"/>
      <c r="D187" s="90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3"/>
      <c r="AV187" s="31"/>
      <c r="AW187" s="33"/>
    </row>
    <row r="188" spans="1:49" ht="15.75" customHeight="1">
      <c r="A188" s="31"/>
      <c r="B188" s="68"/>
      <c r="C188" s="166"/>
      <c r="D188" s="90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3"/>
      <c r="AV188" s="31"/>
      <c r="AW188" s="33"/>
    </row>
    <row r="189" spans="1:49" ht="15.75" customHeight="1">
      <c r="A189" s="31"/>
      <c r="B189" s="68"/>
      <c r="C189" s="166"/>
      <c r="D189" s="90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3"/>
      <c r="AV189" s="31"/>
      <c r="AW189" s="33"/>
    </row>
    <row r="190" spans="1:49" ht="15.75" customHeight="1">
      <c r="A190" s="31"/>
      <c r="B190" s="68"/>
      <c r="C190" s="166"/>
      <c r="D190" s="90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3"/>
      <c r="AV190" s="31"/>
      <c r="AW190" s="33"/>
    </row>
    <row r="191" spans="1:49" ht="15.75" customHeight="1">
      <c r="A191" s="31"/>
      <c r="B191" s="68"/>
      <c r="C191" s="166"/>
      <c r="D191" s="90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3"/>
      <c r="AV191" s="31"/>
      <c r="AW191" s="33"/>
    </row>
    <row r="192" spans="1:49" ht="15.75" customHeight="1">
      <c r="A192" s="31"/>
      <c r="B192" s="68"/>
      <c r="C192" s="166"/>
      <c r="D192" s="90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3"/>
      <c r="AV192" s="31"/>
      <c r="AW192" s="33"/>
    </row>
    <row r="193" spans="1:49" ht="15.75" customHeight="1">
      <c r="A193" s="31"/>
      <c r="B193" s="68"/>
      <c r="C193" s="166"/>
      <c r="D193" s="90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3"/>
      <c r="AV193" s="31"/>
      <c r="AW193" s="33"/>
    </row>
    <row r="194" spans="1:49" ht="15.75" customHeight="1">
      <c r="A194" s="31"/>
      <c r="B194" s="68"/>
      <c r="C194" s="166"/>
      <c r="D194" s="90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3"/>
      <c r="AV194" s="31"/>
      <c r="AW194" s="33"/>
    </row>
    <row r="195" spans="1:49" ht="15.75" customHeight="1">
      <c r="A195" s="31"/>
      <c r="B195" s="68"/>
      <c r="C195" s="166"/>
      <c r="D195" s="90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3"/>
      <c r="AV195" s="31"/>
      <c r="AW195" s="33"/>
    </row>
    <row r="196" spans="1:49" ht="15.75" customHeight="1">
      <c r="A196" s="31"/>
      <c r="B196" s="68"/>
      <c r="C196" s="166"/>
      <c r="D196" s="90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3"/>
      <c r="AV196" s="31"/>
      <c r="AW196" s="33"/>
    </row>
    <row r="197" spans="1:49" ht="15.75" customHeight="1">
      <c r="A197" s="31"/>
      <c r="B197" s="68"/>
      <c r="C197" s="166"/>
      <c r="D197" s="90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3"/>
      <c r="AV197" s="31"/>
      <c r="AW197" s="33"/>
    </row>
    <row r="198" spans="1:49" ht="15.75" customHeight="1">
      <c r="A198" s="31"/>
      <c r="B198" s="68"/>
      <c r="C198" s="166"/>
      <c r="D198" s="90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3"/>
      <c r="AV198" s="31"/>
      <c r="AW198" s="33"/>
    </row>
    <row r="199" spans="1:49" ht="15.75" customHeight="1">
      <c r="A199" s="31"/>
      <c r="B199" s="68"/>
      <c r="C199" s="166"/>
      <c r="D199" s="90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3"/>
      <c r="AV199" s="31"/>
      <c r="AW199" s="33"/>
    </row>
    <row r="200" spans="1:49" ht="15.75" customHeight="1">
      <c r="A200" s="31"/>
      <c r="B200" s="68"/>
      <c r="C200" s="166"/>
      <c r="D200" s="90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3"/>
      <c r="AV200" s="31"/>
      <c r="AW200" s="33"/>
    </row>
    <row r="201" spans="1:49" ht="15.75" customHeight="1">
      <c r="A201" s="31"/>
      <c r="B201" s="68"/>
      <c r="C201" s="166"/>
      <c r="D201" s="90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3"/>
      <c r="AV201" s="31"/>
      <c r="AW201" s="33"/>
    </row>
    <row r="202" spans="1:49" ht="15.75" customHeight="1">
      <c r="A202" s="31"/>
      <c r="B202" s="68"/>
      <c r="C202" s="166"/>
      <c r="D202" s="90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3"/>
      <c r="AV202" s="31"/>
      <c r="AW202" s="33"/>
    </row>
    <row r="203" spans="1:49" ht="15.75" customHeight="1">
      <c r="A203" s="31"/>
      <c r="B203" s="68"/>
      <c r="C203" s="166"/>
      <c r="D203" s="90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3"/>
      <c r="AV203" s="31"/>
      <c r="AW203" s="33"/>
    </row>
    <row r="204" spans="1:49" ht="15.75" customHeight="1">
      <c r="A204" s="31"/>
      <c r="B204" s="68"/>
      <c r="C204" s="166"/>
      <c r="D204" s="90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3"/>
      <c r="AV204" s="31"/>
      <c r="AW204" s="33"/>
    </row>
    <row r="205" spans="1:49" ht="15.75" customHeight="1">
      <c r="A205" s="31"/>
      <c r="B205" s="68"/>
      <c r="C205" s="166"/>
      <c r="D205" s="90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3"/>
      <c r="AV205" s="31"/>
      <c r="AW205" s="33"/>
    </row>
    <row r="206" spans="1:49" ht="15.75" customHeight="1">
      <c r="A206" s="31"/>
      <c r="B206" s="68"/>
      <c r="C206" s="166"/>
      <c r="D206" s="90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3"/>
      <c r="AV206" s="31"/>
      <c r="AW206" s="33"/>
    </row>
    <row r="207" spans="1:49" ht="15.75" customHeight="1">
      <c r="A207" s="31"/>
      <c r="B207" s="68"/>
      <c r="C207" s="166"/>
      <c r="D207" s="90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3"/>
      <c r="AV207" s="31"/>
      <c r="AW207" s="33"/>
    </row>
    <row r="208" spans="1:49" ht="15.75" customHeight="1">
      <c r="A208" s="31"/>
      <c r="B208" s="68"/>
      <c r="C208" s="166"/>
      <c r="D208" s="90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3"/>
      <c r="AV208" s="31"/>
      <c r="AW208" s="33"/>
    </row>
    <row r="209" spans="1:49" ht="15.75" customHeight="1">
      <c r="A209" s="31"/>
      <c r="B209" s="68"/>
      <c r="C209" s="166"/>
      <c r="D209" s="90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3"/>
      <c r="AV209" s="31"/>
      <c r="AW209" s="33"/>
    </row>
    <row r="210" spans="1:49" ht="15.75" customHeight="1">
      <c r="A210" s="31"/>
      <c r="B210" s="68"/>
      <c r="C210" s="166"/>
      <c r="D210" s="90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3"/>
      <c r="AV210" s="31"/>
      <c r="AW210" s="33"/>
    </row>
    <row r="211" spans="1:49" ht="15.75" customHeight="1">
      <c r="A211" s="31"/>
      <c r="B211" s="68"/>
      <c r="C211" s="166"/>
      <c r="D211" s="90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3"/>
      <c r="AV211" s="31"/>
      <c r="AW211" s="33"/>
    </row>
    <row r="212" spans="1:49" ht="15.75" customHeight="1">
      <c r="A212" s="31"/>
      <c r="B212" s="68"/>
      <c r="C212" s="166"/>
      <c r="D212" s="90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3"/>
      <c r="AV212" s="31"/>
      <c r="AW212" s="33"/>
    </row>
    <row r="213" spans="1:49" ht="15.75" customHeight="1">
      <c r="A213" s="31"/>
      <c r="B213" s="68"/>
      <c r="C213" s="166"/>
      <c r="D213" s="90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3"/>
      <c r="AV213" s="31"/>
      <c r="AW213" s="33"/>
    </row>
    <row r="214" spans="1:49" ht="15.75" customHeight="1">
      <c r="A214" s="31"/>
      <c r="B214" s="68"/>
      <c r="C214" s="166"/>
      <c r="D214" s="90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3"/>
      <c r="AV214" s="31"/>
      <c r="AW214" s="33"/>
    </row>
    <row r="215" spans="1:49" ht="15.75" customHeight="1">
      <c r="A215" s="31"/>
      <c r="B215" s="68"/>
      <c r="C215" s="166"/>
      <c r="D215" s="90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3"/>
      <c r="AV215" s="31"/>
      <c r="AW215" s="33"/>
    </row>
    <row r="216" spans="1:49" ht="15.75" customHeight="1">
      <c r="A216" s="31"/>
      <c r="B216" s="68"/>
      <c r="C216" s="166"/>
      <c r="D216" s="90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3"/>
      <c r="AV216" s="31"/>
      <c r="AW216" s="33"/>
    </row>
    <row r="217" spans="1:49" ht="15.75" customHeight="1">
      <c r="A217" s="31"/>
      <c r="B217" s="68"/>
      <c r="C217" s="166"/>
      <c r="D217" s="90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3"/>
      <c r="AV217" s="31"/>
      <c r="AW217" s="33"/>
    </row>
    <row r="218" spans="1:49" ht="15.75" customHeight="1">
      <c r="A218" s="31"/>
      <c r="B218" s="68"/>
      <c r="C218" s="166"/>
      <c r="D218" s="90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3"/>
      <c r="AV218" s="31"/>
      <c r="AW218" s="33"/>
    </row>
    <row r="219" spans="1:49" ht="15.75" customHeight="1">
      <c r="A219" s="31"/>
      <c r="B219" s="68"/>
      <c r="C219" s="166"/>
      <c r="D219" s="90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3"/>
      <c r="AV219" s="31"/>
      <c r="AW219" s="33"/>
    </row>
    <row r="220" spans="1:49" ht="15.75" customHeight="1">
      <c r="A220" s="31"/>
      <c r="B220" s="68"/>
      <c r="C220" s="166"/>
      <c r="D220" s="90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3"/>
      <c r="AV220" s="31"/>
      <c r="AW220" s="33"/>
    </row>
    <row r="221" spans="1:49" ht="15.75" customHeight="1">
      <c r="A221" s="31"/>
      <c r="B221" s="68"/>
      <c r="C221" s="166"/>
      <c r="D221" s="90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3"/>
      <c r="AV221" s="31"/>
      <c r="AW221" s="33"/>
    </row>
    <row r="222" spans="1:49" ht="15.75" customHeight="1">
      <c r="A222" s="31"/>
      <c r="B222" s="68"/>
      <c r="C222" s="166"/>
      <c r="D222" s="90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3"/>
      <c r="AV222" s="31"/>
      <c r="AW222" s="33"/>
    </row>
    <row r="223" spans="1:49" ht="15.75" customHeight="1">
      <c r="A223" s="31"/>
      <c r="B223" s="68"/>
      <c r="C223" s="166"/>
      <c r="D223" s="90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3"/>
      <c r="AV223" s="31"/>
      <c r="AW223" s="33"/>
    </row>
    <row r="224" spans="1:49" ht="15.75" customHeight="1">
      <c r="A224" s="31"/>
      <c r="B224" s="68"/>
      <c r="C224" s="166"/>
      <c r="D224" s="90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3"/>
      <c r="AV224" s="31"/>
      <c r="AW224" s="33"/>
    </row>
    <row r="225" spans="1:49" ht="15.75" customHeight="1">
      <c r="A225" s="31"/>
      <c r="B225" s="68"/>
      <c r="C225" s="166"/>
      <c r="D225" s="90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3"/>
      <c r="AV225" s="31"/>
      <c r="AW225" s="33"/>
    </row>
    <row r="226" spans="1:49" ht="15.75" customHeight="1">
      <c r="A226" s="31"/>
      <c r="B226" s="68"/>
      <c r="C226" s="166"/>
      <c r="D226" s="90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3"/>
      <c r="AV226" s="31"/>
      <c r="AW226" s="33"/>
    </row>
    <row r="227" spans="1:49" ht="15.75" customHeight="1">
      <c r="A227" s="31"/>
      <c r="B227" s="68"/>
      <c r="C227" s="166"/>
      <c r="D227" s="90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3"/>
      <c r="AV227" s="31"/>
      <c r="AW227" s="33"/>
    </row>
    <row r="228" spans="1:49" ht="15.75" customHeight="1">
      <c r="A228" s="31"/>
      <c r="B228" s="68"/>
      <c r="C228" s="166"/>
      <c r="D228" s="90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3"/>
      <c r="AV228" s="31"/>
      <c r="AW228" s="33"/>
    </row>
    <row r="229" spans="1:49" ht="15.75" customHeight="1">
      <c r="A229" s="31"/>
      <c r="B229" s="68"/>
      <c r="C229" s="166"/>
      <c r="D229" s="90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3"/>
      <c r="AV229" s="31"/>
      <c r="AW229" s="33"/>
    </row>
    <row r="230" spans="1:49" ht="15.75" customHeight="1">
      <c r="A230" s="31"/>
      <c r="B230" s="68"/>
      <c r="C230" s="166"/>
      <c r="D230" s="90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3"/>
      <c r="AV230" s="31"/>
      <c r="AW230" s="33"/>
    </row>
    <row r="231" spans="1:49" ht="15.75" customHeight="1">
      <c r="A231" s="31"/>
      <c r="B231" s="68"/>
      <c r="C231" s="166"/>
      <c r="D231" s="90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3"/>
      <c r="AV231" s="31"/>
      <c r="AW231" s="33"/>
    </row>
    <row r="232" spans="1:49" ht="15.75" customHeight="1">
      <c r="A232" s="31"/>
      <c r="B232" s="68"/>
      <c r="C232" s="166"/>
      <c r="D232" s="90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3"/>
      <c r="AV232" s="31"/>
      <c r="AW232" s="33"/>
    </row>
    <row r="233" spans="1:49" ht="15.75" customHeight="1">
      <c r="A233" s="31"/>
      <c r="B233" s="68"/>
      <c r="C233" s="166"/>
      <c r="D233" s="90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3"/>
      <c r="AV233" s="31"/>
      <c r="AW233" s="33"/>
    </row>
    <row r="234" spans="1:49" ht="15.75" customHeight="1">
      <c r="A234" s="31"/>
      <c r="B234" s="68"/>
      <c r="C234" s="166"/>
      <c r="D234" s="90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3"/>
      <c r="AV234" s="31"/>
      <c r="AW234" s="33"/>
    </row>
    <row r="235" spans="1:49" ht="15.75" customHeight="1">
      <c r="A235" s="31"/>
      <c r="B235" s="68"/>
      <c r="C235" s="166"/>
      <c r="D235" s="90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3"/>
      <c r="AV235" s="31"/>
      <c r="AW235" s="33"/>
    </row>
    <row r="236" spans="1:49" ht="15.75" customHeight="1">
      <c r="A236" s="31"/>
      <c r="B236" s="68"/>
      <c r="C236" s="166"/>
      <c r="D236" s="90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3"/>
      <c r="AV236" s="31"/>
      <c r="AW236" s="33"/>
    </row>
    <row r="237" spans="1:49" ht="15.75" customHeight="1">
      <c r="A237" s="31"/>
      <c r="B237" s="68"/>
      <c r="C237" s="166"/>
      <c r="D237" s="90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3"/>
      <c r="AV237" s="31"/>
      <c r="AW237" s="33"/>
    </row>
    <row r="238" spans="1:49" ht="15.75" customHeight="1">
      <c r="A238" s="31"/>
      <c r="B238" s="68"/>
      <c r="C238" s="166"/>
      <c r="D238" s="90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3"/>
      <c r="AV238" s="31"/>
      <c r="AW238" s="33"/>
    </row>
    <row r="239" spans="1:49" ht="15.75" customHeight="1">
      <c r="A239" s="31"/>
      <c r="B239" s="68"/>
      <c r="C239" s="166"/>
      <c r="D239" s="90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3"/>
      <c r="AV239" s="31"/>
      <c r="AW239" s="33"/>
    </row>
    <row r="240" spans="1:49" ht="15.75" customHeight="1">
      <c r="A240" s="31"/>
      <c r="B240" s="68"/>
      <c r="C240" s="166"/>
      <c r="D240" s="90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3"/>
      <c r="AV240" s="31"/>
      <c r="AW240" s="33"/>
    </row>
    <row r="241" spans="1:49" ht="15.75" customHeight="1">
      <c r="A241" s="31"/>
      <c r="B241" s="68"/>
      <c r="C241" s="166"/>
      <c r="D241" s="90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3"/>
      <c r="AV241" s="31"/>
      <c r="AW241" s="33"/>
    </row>
    <row r="242" spans="1:49" ht="15.75" customHeight="1">
      <c r="A242" s="31"/>
      <c r="B242" s="68"/>
      <c r="C242" s="166"/>
      <c r="D242" s="90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3"/>
      <c r="AV242" s="31"/>
      <c r="AW242" s="33"/>
    </row>
    <row r="243" spans="1:49" ht="15.75" customHeight="1">
      <c r="A243" s="31"/>
      <c r="B243" s="68"/>
      <c r="C243" s="166"/>
      <c r="D243" s="90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3"/>
      <c r="AV243" s="31"/>
      <c r="AW243" s="33"/>
    </row>
    <row r="244" spans="1:49" ht="15.75" customHeight="1">
      <c r="A244" s="31"/>
      <c r="B244" s="68"/>
      <c r="C244" s="166"/>
      <c r="D244" s="90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3"/>
      <c r="AV244" s="31"/>
      <c r="AW244" s="33"/>
    </row>
    <row r="245" spans="1:49" ht="15.75" customHeight="1">
      <c r="A245" s="31"/>
      <c r="B245" s="68"/>
      <c r="C245" s="166"/>
      <c r="D245" s="90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3"/>
      <c r="AV245" s="31"/>
      <c r="AW245" s="33"/>
    </row>
    <row r="246" spans="1:49" ht="15.75" customHeight="1">
      <c r="A246" s="31"/>
      <c r="B246" s="68"/>
      <c r="C246" s="166"/>
      <c r="D246" s="90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3"/>
      <c r="AV246" s="31"/>
      <c r="AW246" s="33"/>
    </row>
    <row r="247" spans="1:49" ht="15.75" customHeight="1">
      <c r="A247" s="31"/>
      <c r="B247" s="68"/>
      <c r="C247" s="166"/>
      <c r="D247" s="90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3"/>
      <c r="AV247" s="31"/>
      <c r="AW247" s="33"/>
    </row>
    <row r="248" spans="1:49" ht="15.75" customHeight="1"/>
    <row r="249" spans="1:49" ht="15.75" customHeight="1"/>
    <row r="250" spans="1:49" ht="15.75" customHeight="1"/>
    <row r="251" spans="1:49" ht="15.75" customHeight="1"/>
    <row r="252" spans="1:49" ht="15.75" customHeight="1"/>
    <row r="253" spans="1:49" ht="15.75" customHeight="1"/>
    <row r="254" spans="1:49" ht="15.75" customHeight="1"/>
    <row r="255" spans="1:49" ht="15.75" customHeight="1"/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Z3:AG3"/>
    <mergeCell ref="E40:L44"/>
    <mergeCell ref="M40:T44"/>
    <mergeCell ref="Z40:AG44"/>
    <mergeCell ref="AH3:AM3"/>
    <mergeCell ref="AN3:AU3"/>
    <mergeCell ref="B3:B4"/>
    <mergeCell ref="E3:L3"/>
    <mergeCell ref="M3:T3"/>
    <mergeCell ref="U3:Y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F55-950E-5040-A159-4D81ADF8C168}">
  <dimension ref="A1:AX1000"/>
  <sheetViews>
    <sheetView tabSelected="1" workbookViewId="0">
      <selection sqref="A1:XFD1048576"/>
    </sheetView>
  </sheetViews>
  <sheetFormatPr baseColWidth="10" defaultColWidth="10.28515625" defaultRowHeight="15" customHeight="1"/>
  <cols>
    <col min="1" max="2" width="9.28515625" style="5" customWidth="1"/>
    <col min="3" max="3" width="13.28515625" style="172" customWidth="1"/>
    <col min="4" max="4" width="4.7109375" style="173" customWidth="1"/>
    <col min="5" max="5" width="3.42578125" style="5" customWidth="1"/>
    <col min="6" max="7" width="6.28515625" style="5" customWidth="1"/>
    <col min="8" max="8" width="9.7109375" style="5" customWidth="1"/>
    <col min="9" max="9" width="6.2851562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7" width="6.28515625" style="5" customWidth="1"/>
    <col min="18" max="18" width="9.57031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29" width="6.28515625" style="5" customWidth="1"/>
    <col min="30" max="30" width="7.85546875" style="5" bestFit="1" customWidth="1"/>
    <col min="31" max="31" width="6.28515625" style="5" customWidth="1"/>
    <col min="32" max="32" width="9.7109375" style="5" bestFit="1" customWidth="1"/>
    <col min="33" max="33" width="9.42578125" style="5" bestFit="1" customWidth="1"/>
    <col min="34" max="36" width="6.28515625" style="5" customWidth="1"/>
    <col min="37" max="37" width="11.28515625" style="5" customWidth="1"/>
    <col min="38" max="49" width="9.28515625" style="5" customWidth="1"/>
    <col min="50" max="16384" width="10.28515625" style="5"/>
  </cols>
  <sheetData>
    <row r="1" spans="1:50" ht="13.5" customHeight="1">
      <c r="A1" s="1" t="s">
        <v>0</v>
      </c>
      <c r="B1" s="2"/>
      <c r="C1" s="12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4"/>
    </row>
    <row r="2" spans="1:50" ht="13.5" customHeight="1">
      <c r="A2" s="124">
        <v>2025</v>
      </c>
      <c r="B2" s="125">
        <v>6</v>
      </c>
      <c r="C2" s="126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3"/>
      <c r="AU2" s="4"/>
      <c r="AV2" s="3"/>
      <c r="AW2" s="4"/>
    </row>
    <row r="3" spans="1:50" ht="33" customHeight="1">
      <c r="A3" s="6"/>
      <c r="B3" s="9" t="s">
        <v>2</v>
      </c>
      <c r="C3" s="127"/>
      <c r="D3" s="128"/>
      <c r="E3" s="129" t="s">
        <v>3</v>
      </c>
      <c r="F3" s="10"/>
      <c r="G3" s="10"/>
      <c r="H3" s="10"/>
      <c r="I3" s="10"/>
      <c r="J3" s="10"/>
      <c r="K3" s="10"/>
      <c r="L3" s="10"/>
      <c r="M3" s="130" t="s">
        <v>4</v>
      </c>
      <c r="N3" s="10"/>
      <c r="O3" s="10"/>
      <c r="P3" s="10"/>
      <c r="Q3" s="10"/>
      <c r="R3" s="10"/>
      <c r="S3" s="10"/>
      <c r="T3" s="10"/>
      <c r="U3" s="11" t="s">
        <v>5</v>
      </c>
      <c r="V3" s="12"/>
      <c r="W3" s="12"/>
      <c r="X3" s="12"/>
      <c r="Y3" s="13"/>
      <c r="Z3" s="14" t="s">
        <v>6</v>
      </c>
      <c r="AA3" s="10"/>
      <c r="AB3" s="10"/>
      <c r="AC3" s="10"/>
      <c r="AD3" s="10"/>
      <c r="AE3" s="10"/>
      <c r="AF3" s="10"/>
      <c r="AG3" s="10"/>
      <c r="AH3" s="11" t="s">
        <v>63</v>
      </c>
      <c r="AI3" s="176"/>
      <c r="AJ3" s="176"/>
      <c r="AK3" s="176"/>
      <c r="AL3" s="176"/>
      <c r="AM3" s="177"/>
      <c r="AN3" s="15" t="s">
        <v>7</v>
      </c>
      <c r="AO3" s="12"/>
      <c r="AP3" s="12"/>
      <c r="AQ3" s="12"/>
      <c r="AR3" s="12"/>
      <c r="AS3" s="12"/>
      <c r="AT3" s="12"/>
      <c r="AU3" s="13"/>
      <c r="AV3" s="3"/>
      <c r="AW3" s="4"/>
    </row>
    <row r="4" spans="1:50" ht="53.25" customHeight="1" thickBot="1">
      <c r="A4" s="6"/>
      <c r="B4" s="16"/>
      <c r="C4" s="131" t="s">
        <v>8</v>
      </c>
      <c r="D4" s="132" t="s">
        <v>60</v>
      </c>
      <c r="E4" s="19" t="s">
        <v>9</v>
      </c>
      <c r="F4" s="18" t="s">
        <v>10</v>
      </c>
      <c r="G4" s="17" t="s">
        <v>11</v>
      </c>
      <c r="H4" s="19" t="s">
        <v>12</v>
      </c>
      <c r="I4" s="17" t="s">
        <v>13</v>
      </c>
      <c r="J4" s="20" t="s">
        <v>14</v>
      </c>
      <c r="K4" s="18" t="s">
        <v>15</v>
      </c>
      <c r="L4" s="17" t="s">
        <v>16</v>
      </c>
      <c r="M4" s="17" t="s">
        <v>17</v>
      </c>
      <c r="N4" s="21" t="s">
        <v>10</v>
      </c>
      <c r="O4" s="17" t="s">
        <v>11</v>
      </c>
      <c r="P4" s="19" t="s">
        <v>12</v>
      </c>
      <c r="Q4" s="17" t="s">
        <v>13</v>
      </c>
      <c r="R4" s="20" t="s">
        <v>14</v>
      </c>
      <c r="S4" s="18" t="s">
        <v>15</v>
      </c>
      <c r="T4" s="22" t="s">
        <v>16</v>
      </c>
      <c r="U4" s="23" t="s">
        <v>18</v>
      </c>
      <c r="V4" s="24" t="s">
        <v>19</v>
      </c>
      <c r="W4" s="24" t="s">
        <v>20</v>
      </c>
      <c r="X4" s="25" t="s">
        <v>21</v>
      </c>
      <c r="Y4" s="24"/>
      <c r="Z4" s="26" t="s">
        <v>22</v>
      </c>
      <c r="AA4" s="27" t="s">
        <v>10</v>
      </c>
      <c r="AB4" s="17" t="s">
        <v>19</v>
      </c>
      <c r="AC4" s="19" t="s">
        <v>23</v>
      </c>
      <c r="AD4" s="17" t="s">
        <v>20</v>
      </c>
      <c r="AE4" s="20" t="s">
        <v>24</v>
      </c>
      <c r="AF4" s="21" t="s">
        <v>25</v>
      </c>
      <c r="AG4" s="28" t="s">
        <v>16</v>
      </c>
      <c r="AH4" s="23" t="s">
        <v>18</v>
      </c>
      <c r="AI4" s="24" t="s">
        <v>19</v>
      </c>
      <c r="AJ4" s="24" t="s">
        <v>20</v>
      </c>
      <c r="AK4" s="25" t="s">
        <v>21</v>
      </c>
      <c r="AL4" s="24" t="s">
        <v>64</v>
      </c>
      <c r="AM4" s="24" t="s">
        <v>65</v>
      </c>
      <c r="AN4" s="29" t="s">
        <v>26</v>
      </c>
      <c r="AO4" s="29" t="s">
        <v>27</v>
      </c>
      <c r="AP4" s="29" t="s">
        <v>28</v>
      </c>
      <c r="AQ4" s="29" t="s">
        <v>29</v>
      </c>
      <c r="AR4" s="29" t="s">
        <v>30</v>
      </c>
      <c r="AS4" s="29" t="s">
        <v>31</v>
      </c>
      <c r="AT4" s="29" t="s">
        <v>32</v>
      </c>
      <c r="AU4" s="30" t="s">
        <v>33</v>
      </c>
      <c r="AV4" s="3"/>
      <c r="AW4" s="4"/>
    </row>
    <row r="5" spans="1:50" ht="13.5" customHeight="1" thickTop="1">
      <c r="A5" s="121"/>
      <c r="B5" s="178">
        <f>DATE($A$2,$B$2,1)</f>
        <v>45809</v>
      </c>
      <c r="C5" s="205"/>
      <c r="D5" s="134">
        <v>98</v>
      </c>
      <c r="E5" s="135"/>
      <c r="F5" s="136">
        <v>27</v>
      </c>
      <c r="G5" s="137">
        <v>100980</v>
      </c>
      <c r="H5" s="138">
        <f t="shared" ref="H5:H29" si="0">ROUNDDOWN(G5/1.1,0)/F5</f>
        <v>3400</v>
      </c>
      <c r="I5" s="137">
        <v>37470</v>
      </c>
      <c r="J5" s="139">
        <f t="shared" ref="J5:J29" si="1">ROUNDDOWN(I5/1.1,0)/F5</f>
        <v>1261.5925925925926</v>
      </c>
      <c r="K5" s="140">
        <f t="shared" ref="K5:K31" si="2">G5+I5</f>
        <v>138450</v>
      </c>
      <c r="L5" s="141">
        <f t="shared" ref="L5:L29" si="3">IF(F5="","",K5/F5)</f>
        <v>5127.7777777777774</v>
      </c>
      <c r="M5" s="142"/>
      <c r="N5" s="143">
        <f>AN5-F5</f>
        <v>40</v>
      </c>
      <c r="O5" s="144">
        <f>AO5-G5</f>
        <v>319110</v>
      </c>
      <c r="P5" s="138">
        <f t="shared" ref="P5:P31" si="4">ROUNDDOWN(O5/1.1,0)/N5</f>
        <v>7252.5</v>
      </c>
      <c r="Q5" s="144">
        <f>AP5-I5</f>
        <v>55370</v>
      </c>
      <c r="R5" s="139">
        <f t="shared" ref="R5:R31" si="5">ROUNDDOWN(Q5/1.1,0)/N5</f>
        <v>1258.4000000000001</v>
      </c>
      <c r="S5" s="145">
        <f>O5+Q5</f>
        <v>374480</v>
      </c>
      <c r="T5" s="141">
        <f t="shared" ref="T5:T31" si="6">IF(N5="","",S5/N5)</f>
        <v>9362</v>
      </c>
      <c r="U5" s="146">
        <f t="shared" ref="U5:V20" si="7">F5+N5</f>
        <v>67</v>
      </c>
      <c r="V5" s="144">
        <f t="shared" si="7"/>
        <v>420090</v>
      </c>
      <c r="W5" s="144">
        <f t="shared" ref="W5:W31" si="8">I5+Q5</f>
        <v>92840</v>
      </c>
      <c r="X5" s="147">
        <f>K5+S5</f>
        <v>512930</v>
      </c>
      <c r="Y5" s="144">
        <f t="shared" ref="Y5:Y31" si="9">IF(U5="","",X5/U5)</f>
        <v>7655.6716417910447</v>
      </c>
      <c r="Z5" s="148"/>
      <c r="AA5" s="149">
        <v>228</v>
      </c>
      <c r="AB5" s="137">
        <v>178950</v>
      </c>
      <c r="AC5" s="138">
        <f t="shared" ref="AC5:AC31" si="10">AB5/AA5</f>
        <v>784.86842105263156</v>
      </c>
      <c r="AD5" s="137">
        <v>35830</v>
      </c>
      <c r="AE5" s="139">
        <f t="shared" ref="AE5:AE31" si="11">AD5/AA5</f>
        <v>157.14912280701753</v>
      </c>
      <c r="AF5" s="150">
        <f>AB5+AD5</f>
        <v>214780</v>
      </c>
      <c r="AG5" s="141">
        <f t="shared" ref="AG5:AG31" si="12">IF(AA5="","",AF5/AA5)</f>
        <v>942.01754385964909</v>
      </c>
      <c r="AH5" s="146">
        <f t="shared" ref="AH5:AH31" si="13">SUM(F5,N5)</f>
        <v>67</v>
      </c>
      <c r="AI5" s="144">
        <f t="shared" ref="AI5:AI31" si="14">V5+AB5</f>
        <v>599040</v>
      </c>
      <c r="AJ5" s="144">
        <f t="shared" ref="AJ5:AJ31" si="15">W5+AD5</f>
        <v>128670</v>
      </c>
      <c r="AK5" s="151">
        <f>X5+AF5</f>
        <v>727710</v>
      </c>
      <c r="AL5" s="144">
        <f t="shared" ref="AL5:AL31" si="16">AQ5+AR5+AS5</f>
        <v>44000</v>
      </c>
      <c r="AM5" s="144"/>
      <c r="AN5" s="152">
        <v>67</v>
      </c>
      <c r="AO5" s="152">
        <v>420090</v>
      </c>
      <c r="AP5" s="152">
        <v>92840</v>
      </c>
      <c r="AQ5" s="153">
        <v>44000</v>
      </c>
      <c r="AR5" s="153"/>
      <c r="AS5" s="153"/>
      <c r="AT5" s="153"/>
      <c r="AU5" s="154">
        <f>SUM(AO5:AS5)</f>
        <v>556930</v>
      </c>
      <c r="AV5" s="121">
        <v>1</v>
      </c>
      <c r="AW5" s="122">
        <f>AT5+AU5</f>
        <v>556930</v>
      </c>
      <c r="AX5" s="206">
        <f>AU5+AF5+AM5</f>
        <v>771710</v>
      </c>
    </row>
    <row r="6" spans="1:50" ht="13.5" customHeight="1">
      <c r="A6" s="121"/>
      <c r="B6" s="156">
        <f t="shared" ref="B6:B34" si="17">B5+1</f>
        <v>45810</v>
      </c>
      <c r="C6" s="205" t="s">
        <v>59</v>
      </c>
      <c r="D6" s="134">
        <v>5</v>
      </c>
      <c r="E6" s="135"/>
      <c r="F6" s="136"/>
      <c r="G6" s="137"/>
      <c r="H6" s="138" t="e">
        <f t="shared" si="0"/>
        <v>#DIV/0!</v>
      </c>
      <c r="I6" s="137"/>
      <c r="J6" s="139" t="e">
        <f t="shared" si="1"/>
        <v>#DIV/0!</v>
      </c>
      <c r="K6" s="140">
        <f t="shared" si="2"/>
        <v>0</v>
      </c>
      <c r="L6" s="141" t="str">
        <f t="shared" si="3"/>
        <v/>
      </c>
      <c r="M6" s="142"/>
      <c r="N6" s="143">
        <f t="shared" ref="N6:O21" si="18">AN6-F6</f>
        <v>34</v>
      </c>
      <c r="O6" s="144">
        <f t="shared" si="18"/>
        <v>332200</v>
      </c>
      <c r="P6" s="138">
        <f t="shared" si="4"/>
        <v>8882.3529411764703</v>
      </c>
      <c r="Q6" s="144">
        <f t="shared" ref="Q6:Q31" si="19">AP6-I6</f>
        <v>43590</v>
      </c>
      <c r="R6" s="139">
        <f t="shared" si="5"/>
        <v>1165.5</v>
      </c>
      <c r="S6" s="145">
        <f t="shared" ref="S6:S31" si="20">O6+Q6</f>
        <v>375790</v>
      </c>
      <c r="T6" s="141">
        <f t="shared" si="6"/>
        <v>11052.64705882353</v>
      </c>
      <c r="U6" s="146">
        <f t="shared" si="7"/>
        <v>34</v>
      </c>
      <c r="V6" s="144">
        <f t="shared" si="7"/>
        <v>332200</v>
      </c>
      <c r="W6" s="144">
        <f t="shared" si="8"/>
        <v>43590</v>
      </c>
      <c r="X6" s="147">
        <f t="shared" ref="X6:X31" si="21">K6+S6</f>
        <v>375790</v>
      </c>
      <c r="Y6" s="144">
        <f t="shared" si="9"/>
        <v>11052.64705882353</v>
      </c>
      <c r="Z6" s="148"/>
      <c r="AA6" s="149">
        <v>58</v>
      </c>
      <c r="AB6" s="137">
        <v>37000</v>
      </c>
      <c r="AC6" s="138">
        <f t="shared" si="10"/>
        <v>637.93103448275861</v>
      </c>
      <c r="AD6" s="137">
        <v>19000</v>
      </c>
      <c r="AE6" s="139">
        <f t="shared" si="11"/>
        <v>327.58620689655174</v>
      </c>
      <c r="AF6" s="150">
        <f t="shared" ref="AF6:AF31" si="22">AB6+AD6</f>
        <v>56000</v>
      </c>
      <c r="AG6" s="141">
        <f t="shared" si="12"/>
        <v>965.51724137931035</v>
      </c>
      <c r="AH6" s="146">
        <f t="shared" si="13"/>
        <v>34</v>
      </c>
      <c r="AI6" s="144">
        <f t="shared" si="14"/>
        <v>369200</v>
      </c>
      <c r="AJ6" s="144">
        <f t="shared" si="15"/>
        <v>62590</v>
      </c>
      <c r="AK6" s="151">
        <f t="shared" ref="AK6:AK31" si="23">X6+AF6</f>
        <v>431790</v>
      </c>
      <c r="AL6" s="144">
        <f t="shared" si="16"/>
        <v>139100</v>
      </c>
      <c r="AM6" s="144"/>
      <c r="AN6" s="152">
        <v>34</v>
      </c>
      <c r="AO6" s="152">
        <v>332200</v>
      </c>
      <c r="AP6" s="152">
        <v>43590</v>
      </c>
      <c r="AQ6" s="153">
        <v>45100</v>
      </c>
      <c r="AR6" s="153">
        <v>94000</v>
      </c>
      <c r="AS6" s="153"/>
      <c r="AT6" s="153"/>
      <c r="AU6" s="154">
        <f t="shared" ref="AU6:AU31" si="24">SUM(AO6:AS6)</f>
        <v>514890</v>
      </c>
      <c r="AV6" s="121">
        <v>2</v>
      </c>
      <c r="AW6" s="122">
        <f t="shared" ref="AW6:AW31" si="25">AT6+AU6</f>
        <v>514890</v>
      </c>
      <c r="AX6" s="206">
        <f t="shared" ref="AX6:AX33" si="26">AU6+AF6+AM6</f>
        <v>570890</v>
      </c>
    </row>
    <row r="7" spans="1:50" ht="13.5" customHeight="1">
      <c r="A7" s="121"/>
      <c r="B7" s="156">
        <f t="shared" si="17"/>
        <v>45811</v>
      </c>
      <c r="C7" s="205" t="s">
        <v>59</v>
      </c>
      <c r="D7" s="134">
        <v>89</v>
      </c>
      <c r="E7" s="135"/>
      <c r="F7" s="136"/>
      <c r="G7" s="137"/>
      <c r="H7" s="138" t="e">
        <f t="shared" si="0"/>
        <v>#DIV/0!</v>
      </c>
      <c r="I7" s="137"/>
      <c r="J7" s="139" t="e">
        <f t="shared" si="1"/>
        <v>#DIV/0!</v>
      </c>
      <c r="K7" s="140">
        <f t="shared" si="2"/>
        <v>0</v>
      </c>
      <c r="L7" s="141" t="str">
        <f t="shared" si="3"/>
        <v/>
      </c>
      <c r="M7" s="142"/>
      <c r="N7" s="143">
        <f t="shared" si="18"/>
        <v>37</v>
      </c>
      <c r="O7" s="144">
        <f t="shared" si="18"/>
        <v>367070</v>
      </c>
      <c r="P7" s="138">
        <f t="shared" si="4"/>
        <v>9018.9189189189183</v>
      </c>
      <c r="Q7" s="144">
        <f t="shared" si="19"/>
        <v>60510</v>
      </c>
      <c r="R7" s="139">
        <f t="shared" si="5"/>
        <v>1486.7297297297298</v>
      </c>
      <c r="S7" s="145">
        <f t="shared" si="20"/>
        <v>427580</v>
      </c>
      <c r="T7" s="141">
        <f t="shared" si="6"/>
        <v>11556.216216216217</v>
      </c>
      <c r="U7" s="146">
        <f t="shared" si="7"/>
        <v>37</v>
      </c>
      <c r="V7" s="144">
        <f t="shared" si="7"/>
        <v>367070</v>
      </c>
      <c r="W7" s="144">
        <f t="shared" si="8"/>
        <v>60510</v>
      </c>
      <c r="X7" s="147">
        <f t="shared" si="21"/>
        <v>427580</v>
      </c>
      <c r="Y7" s="144">
        <f t="shared" si="9"/>
        <v>11556.216216216217</v>
      </c>
      <c r="Z7" s="148"/>
      <c r="AA7" s="149">
        <v>65</v>
      </c>
      <c r="AB7" s="137">
        <v>30900</v>
      </c>
      <c r="AC7" s="138">
        <f t="shared" si="10"/>
        <v>475.38461538461536</v>
      </c>
      <c r="AD7" s="137">
        <v>22410</v>
      </c>
      <c r="AE7" s="139">
        <f t="shared" si="11"/>
        <v>344.76923076923077</v>
      </c>
      <c r="AF7" s="150">
        <f t="shared" si="22"/>
        <v>53310</v>
      </c>
      <c r="AG7" s="141">
        <f t="shared" si="12"/>
        <v>820.15384615384619</v>
      </c>
      <c r="AH7" s="146">
        <f t="shared" si="13"/>
        <v>37</v>
      </c>
      <c r="AI7" s="144">
        <f t="shared" si="14"/>
        <v>397970</v>
      </c>
      <c r="AJ7" s="144">
        <f t="shared" si="15"/>
        <v>82920</v>
      </c>
      <c r="AK7" s="151">
        <f t="shared" si="23"/>
        <v>480890</v>
      </c>
      <c r="AL7" s="144">
        <f t="shared" si="16"/>
        <v>30250</v>
      </c>
      <c r="AM7" s="144"/>
      <c r="AN7" s="152">
        <v>37</v>
      </c>
      <c r="AO7" s="152">
        <v>367070</v>
      </c>
      <c r="AP7" s="152">
        <v>60510</v>
      </c>
      <c r="AQ7" s="153">
        <v>30250</v>
      </c>
      <c r="AR7" s="153"/>
      <c r="AS7" s="153"/>
      <c r="AT7" s="153"/>
      <c r="AU7" s="154">
        <f t="shared" si="24"/>
        <v>457830</v>
      </c>
      <c r="AV7" s="121">
        <v>3</v>
      </c>
      <c r="AW7" s="122">
        <f t="shared" si="25"/>
        <v>457830</v>
      </c>
      <c r="AX7" s="206">
        <f t="shared" si="26"/>
        <v>511140</v>
      </c>
    </row>
    <row r="8" spans="1:50" ht="13.5" customHeight="1">
      <c r="A8" s="121"/>
      <c r="B8" s="156">
        <f t="shared" si="17"/>
        <v>45812</v>
      </c>
      <c r="C8" s="205" t="s">
        <v>71</v>
      </c>
      <c r="D8" s="134">
        <v>90</v>
      </c>
      <c r="E8" s="135"/>
      <c r="F8" s="136"/>
      <c r="G8" s="137"/>
      <c r="H8" s="138" t="e">
        <f t="shared" si="0"/>
        <v>#DIV/0!</v>
      </c>
      <c r="I8" s="137"/>
      <c r="J8" s="139" t="e">
        <f t="shared" si="1"/>
        <v>#DIV/0!</v>
      </c>
      <c r="K8" s="140">
        <f t="shared" si="2"/>
        <v>0</v>
      </c>
      <c r="L8" s="141" t="str">
        <f t="shared" si="3"/>
        <v/>
      </c>
      <c r="M8" s="142"/>
      <c r="N8" s="143">
        <f t="shared" si="18"/>
        <v>27</v>
      </c>
      <c r="O8" s="144">
        <f t="shared" si="18"/>
        <v>244800</v>
      </c>
      <c r="P8" s="138">
        <f t="shared" si="4"/>
        <v>8242.4074074074069</v>
      </c>
      <c r="Q8" s="144">
        <f t="shared" si="19"/>
        <v>75710</v>
      </c>
      <c r="R8" s="139">
        <f t="shared" si="5"/>
        <v>2549.1481481481483</v>
      </c>
      <c r="S8" s="145">
        <f t="shared" si="20"/>
        <v>320510</v>
      </c>
      <c r="T8" s="141">
        <f t="shared" si="6"/>
        <v>11870.740740740741</v>
      </c>
      <c r="U8" s="146">
        <f t="shared" si="7"/>
        <v>27</v>
      </c>
      <c r="V8" s="144">
        <f t="shared" si="7"/>
        <v>244800</v>
      </c>
      <c r="W8" s="144">
        <f t="shared" si="8"/>
        <v>75710</v>
      </c>
      <c r="X8" s="147">
        <f t="shared" si="21"/>
        <v>320510</v>
      </c>
      <c r="Y8" s="144">
        <f t="shared" si="9"/>
        <v>11870.740740740741</v>
      </c>
      <c r="Z8" s="148"/>
      <c r="AA8" s="149">
        <v>37</v>
      </c>
      <c r="AB8" s="137">
        <v>27600</v>
      </c>
      <c r="AC8" s="138">
        <f t="shared" si="10"/>
        <v>745.94594594594594</v>
      </c>
      <c r="AD8" s="137">
        <v>9250</v>
      </c>
      <c r="AE8" s="139">
        <f t="shared" si="11"/>
        <v>250</v>
      </c>
      <c r="AF8" s="150">
        <f t="shared" si="22"/>
        <v>36850</v>
      </c>
      <c r="AG8" s="141">
        <f t="shared" si="12"/>
        <v>995.94594594594594</v>
      </c>
      <c r="AH8" s="146">
        <f t="shared" si="13"/>
        <v>27</v>
      </c>
      <c r="AI8" s="144">
        <f t="shared" si="14"/>
        <v>272400</v>
      </c>
      <c r="AJ8" s="144">
        <f t="shared" si="15"/>
        <v>84960</v>
      </c>
      <c r="AK8" s="158">
        <f t="shared" si="23"/>
        <v>357360</v>
      </c>
      <c r="AL8" s="144">
        <f t="shared" si="16"/>
        <v>68900</v>
      </c>
      <c r="AM8" s="144">
        <v>12600</v>
      </c>
      <c r="AN8" s="152">
        <v>27</v>
      </c>
      <c r="AO8" s="152">
        <v>244800</v>
      </c>
      <c r="AP8" s="152">
        <v>75710</v>
      </c>
      <c r="AQ8" s="153">
        <v>68900</v>
      </c>
      <c r="AR8" s="153"/>
      <c r="AS8" s="153"/>
      <c r="AT8" s="153">
        <v>3300</v>
      </c>
      <c r="AU8" s="154">
        <f t="shared" si="24"/>
        <v>389410</v>
      </c>
      <c r="AV8" s="121">
        <v>4</v>
      </c>
      <c r="AW8" s="122">
        <f t="shared" si="25"/>
        <v>392710</v>
      </c>
      <c r="AX8" s="206">
        <f t="shared" si="26"/>
        <v>438860</v>
      </c>
    </row>
    <row r="9" spans="1:50" ht="13.5" customHeight="1">
      <c r="A9" s="121"/>
      <c r="B9" s="156">
        <f t="shared" si="17"/>
        <v>45813</v>
      </c>
      <c r="C9" s="205" t="s">
        <v>59</v>
      </c>
      <c r="D9" s="134">
        <v>92</v>
      </c>
      <c r="E9" s="135"/>
      <c r="F9" s="136"/>
      <c r="G9" s="137"/>
      <c r="H9" s="138" t="e">
        <f t="shared" si="0"/>
        <v>#DIV/0!</v>
      </c>
      <c r="I9" s="137"/>
      <c r="J9" s="139" t="e">
        <f t="shared" si="1"/>
        <v>#DIV/0!</v>
      </c>
      <c r="K9" s="140">
        <f t="shared" si="2"/>
        <v>0</v>
      </c>
      <c r="L9" s="141" t="str">
        <f t="shared" si="3"/>
        <v/>
      </c>
      <c r="M9" s="142"/>
      <c r="N9" s="143">
        <f t="shared" si="18"/>
        <v>26</v>
      </c>
      <c r="O9" s="144">
        <f t="shared" si="18"/>
        <v>239910</v>
      </c>
      <c r="P9" s="138">
        <f t="shared" si="4"/>
        <v>8388.461538461539</v>
      </c>
      <c r="Q9" s="144">
        <f t="shared" si="19"/>
        <v>51660</v>
      </c>
      <c r="R9" s="139">
        <f t="shared" si="5"/>
        <v>1806.2692307692307</v>
      </c>
      <c r="S9" s="145">
        <f t="shared" si="20"/>
        <v>291570</v>
      </c>
      <c r="T9" s="141">
        <f t="shared" si="6"/>
        <v>11214.23076923077</v>
      </c>
      <c r="U9" s="146">
        <f t="shared" si="7"/>
        <v>26</v>
      </c>
      <c r="V9" s="144">
        <f t="shared" si="7"/>
        <v>239910</v>
      </c>
      <c r="W9" s="144">
        <f t="shared" si="8"/>
        <v>51660</v>
      </c>
      <c r="X9" s="147">
        <f t="shared" si="21"/>
        <v>291570</v>
      </c>
      <c r="Y9" s="144">
        <f t="shared" si="9"/>
        <v>11214.23076923077</v>
      </c>
      <c r="Z9" s="148"/>
      <c r="AA9" s="149">
        <v>67</v>
      </c>
      <c r="AB9" s="137">
        <v>39950</v>
      </c>
      <c r="AC9" s="138">
        <f t="shared" si="10"/>
        <v>596.26865671641792</v>
      </c>
      <c r="AD9" s="137">
        <v>26450</v>
      </c>
      <c r="AE9" s="139">
        <f t="shared" si="11"/>
        <v>394.7761194029851</v>
      </c>
      <c r="AF9" s="150">
        <f t="shared" si="22"/>
        <v>66400</v>
      </c>
      <c r="AG9" s="141">
        <f t="shared" si="12"/>
        <v>991.04477611940297</v>
      </c>
      <c r="AH9" s="146">
        <f t="shared" si="13"/>
        <v>26</v>
      </c>
      <c r="AI9" s="144">
        <f t="shared" si="14"/>
        <v>279860</v>
      </c>
      <c r="AJ9" s="144">
        <f t="shared" si="15"/>
        <v>78110</v>
      </c>
      <c r="AK9" s="151">
        <f t="shared" si="23"/>
        <v>357970</v>
      </c>
      <c r="AL9" s="144">
        <f t="shared" si="16"/>
        <v>26950</v>
      </c>
      <c r="AM9" s="144"/>
      <c r="AN9" s="152">
        <v>26</v>
      </c>
      <c r="AO9" s="152">
        <v>239910</v>
      </c>
      <c r="AP9" s="152">
        <v>51660</v>
      </c>
      <c r="AQ9" s="153">
        <v>25300</v>
      </c>
      <c r="AR9" s="153">
        <v>1650</v>
      </c>
      <c r="AS9" s="153"/>
      <c r="AT9" s="153"/>
      <c r="AU9" s="154">
        <f t="shared" si="24"/>
        <v>318520</v>
      </c>
      <c r="AV9" s="121">
        <v>5</v>
      </c>
      <c r="AW9" s="122">
        <f t="shared" si="25"/>
        <v>318520</v>
      </c>
      <c r="AX9" s="206">
        <f t="shared" si="26"/>
        <v>384920</v>
      </c>
    </row>
    <row r="10" spans="1:50" ht="13.5" customHeight="1">
      <c r="A10" s="121"/>
      <c r="B10" s="156">
        <f t="shared" si="17"/>
        <v>45814</v>
      </c>
      <c r="C10" s="205" t="s">
        <v>59</v>
      </c>
      <c r="D10" s="134">
        <v>90</v>
      </c>
      <c r="E10" s="135"/>
      <c r="F10" s="136"/>
      <c r="G10" s="137"/>
      <c r="H10" s="138" t="e">
        <f t="shared" si="0"/>
        <v>#DIV/0!</v>
      </c>
      <c r="I10" s="137"/>
      <c r="J10" s="139" t="e">
        <f t="shared" si="1"/>
        <v>#DIV/0!</v>
      </c>
      <c r="K10" s="140">
        <f t="shared" si="2"/>
        <v>0</v>
      </c>
      <c r="L10" s="141" t="str">
        <f t="shared" si="3"/>
        <v/>
      </c>
      <c r="M10" s="142"/>
      <c r="N10" s="143">
        <f t="shared" si="18"/>
        <v>37</v>
      </c>
      <c r="O10" s="144">
        <f t="shared" si="18"/>
        <v>353760</v>
      </c>
      <c r="P10" s="138">
        <f t="shared" si="4"/>
        <v>8691.8918918918916</v>
      </c>
      <c r="Q10" s="144">
        <f t="shared" si="19"/>
        <v>75040</v>
      </c>
      <c r="R10" s="139">
        <f t="shared" si="5"/>
        <v>1843.7297297297298</v>
      </c>
      <c r="S10" s="145">
        <f t="shared" si="20"/>
        <v>428800</v>
      </c>
      <c r="T10" s="141">
        <f t="shared" si="6"/>
        <v>11589.18918918919</v>
      </c>
      <c r="U10" s="146">
        <f t="shared" si="7"/>
        <v>37</v>
      </c>
      <c r="V10" s="144">
        <f t="shared" si="7"/>
        <v>353760</v>
      </c>
      <c r="W10" s="144">
        <f t="shared" si="8"/>
        <v>75040</v>
      </c>
      <c r="X10" s="147">
        <f t="shared" si="21"/>
        <v>428800</v>
      </c>
      <c r="Y10" s="144">
        <f t="shared" si="9"/>
        <v>11589.18918918919</v>
      </c>
      <c r="Z10" s="148"/>
      <c r="AA10" s="149">
        <v>81</v>
      </c>
      <c r="AB10" s="137">
        <v>57050</v>
      </c>
      <c r="AC10" s="138">
        <f t="shared" si="10"/>
        <v>704.32098765432102</v>
      </c>
      <c r="AD10" s="137">
        <v>20440</v>
      </c>
      <c r="AE10" s="139">
        <f t="shared" si="11"/>
        <v>252.34567901234567</v>
      </c>
      <c r="AF10" s="150">
        <f t="shared" si="22"/>
        <v>77490</v>
      </c>
      <c r="AG10" s="141">
        <f t="shared" si="12"/>
        <v>956.66666666666663</v>
      </c>
      <c r="AH10" s="157">
        <f t="shared" si="13"/>
        <v>37</v>
      </c>
      <c r="AI10" s="144">
        <f t="shared" si="14"/>
        <v>410810</v>
      </c>
      <c r="AJ10" s="144">
        <f t="shared" si="15"/>
        <v>95480</v>
      </c>
      <c r="AK10" s="151">
        <f t="shared" si="23"/>
        <v>506290</v>
      </c>
      <c r="AL10" s="144">
        <f t="shared" si="16"/>
        <v>41950</v>
      </c>
      <c r="AM10" s="144"/>
      <c r="AN10" s="152">
        <v>37</v>
      </c>
      <c r="AO10" s="152">
        <v>353760</v>
      </c>
      <c r="AP10" s="152">
        <v>75040</v>
      </c>
      <c r="AQ10" s="153">
        <v>38650</v>
      </c>
      <c r="AR10" s="153">
        <v>3300</v>
      </c>
      <c r="AS10" s="153"/>
      <c r="AT10" s="153">
        <v>52800</v>
      </c>
      <c r="AU10" s="154">
        <f>SUM(AO10:AS10)</f>
        <v>470750</v>
      </c>
      <c r="AV10" s="121">
        <v>6</v>
      </c>
      <c r="AW10" s="122">
        <f>AT10+AU10</f>
        <v>523550</v>
      </c>
      <c r="AX10" s="206">
        <f t="shared" si="26"/>
        <v>548240</v>
      </c>
    </row>
    <row r="11" spans="1:50" ht="13.5" customHeight="1">
      <c r="A11" s="121"/>
      <c r="B11" s="159">
        <f t="shared" si="17"/>
        <v>45815</v>
      </c>
      <c r="C11" s="205"/>
      <c r="D11" s="134">
        <v>80</v>
      </c>
      <c r="E11" s="135"/>
      <c r="F11" s="136">
        <v>18</v>
      </c>
      <c r="G11" s="137">
        <v>60060</v>
      </c>
      <c r="H11" s="138">
        <f t="shared" si="0"/>
        <v>3033.3333333333335</v>
      </c>
      <c r="I11" s="137">
        <v>10040</v>
      </c>
      <c r="J11" s="139">
        <f t="shared" si="1"/>
        <v>507.05555555555554</v>
      </c>
      <c r="K11" s="140">
        <f t="shared" si="2"/>
        <v>70100</v>
      </c>
      <c r="L11" s="141">
        <f t="shared" si="3"/>
        <v>3894.4444444444443</v>
      </c>
      <c r="M11" s="142"/>
      <c r="N11" s="143">
        <f t="shared" si="18"/>
        <v>36</v>
      </c>
      <c r="O11" s="144">
        <f t="shared" si="18"/>
        <v>287210</v>
      </c>
      <c r="P11" s="138">
        <f t="shared" si="4"/>
        <v>7252.7777777777774</v>
      </c>
      <c r="Q11" s="144">
        <f t="shared" si="19"/>
        <v>62870</v>
      </c>
      <c r="R11" s="139">
        <f t="shared" si="5"/>
        <v>1587.6111111111111</v>
      </c>
      <c r="S11" s="145">
        <f t="shared" si="20"/>
        <v>350080</v>
      </c>
      <c r="T11" s="141">
        <f t="shared" si="6"/>
        <v>9724.4444444444453</v>
      </c>
      <c r="U11" s="146">
        <f t="shared" si="7"/>
        <v>54</v>
      </c>
      <c r="V11" s="144">
        <f t="shared" si="7"/>
        <v>347270</v>
      </c>
      <c r="W11" s="144">
        <f t="shared" si="8"/>
        <v>72910</v>
      </c>
      <c r="X11" s="147">
        <f t="shared" si="21"/>
        <v>420180</v>
      </c>
      <c r="Y11" s="144">
        <f t="shared" si="9"/>
        <v>7781.1111111111113</v>
      </c>
      <c r="Z11" s="148"/>
      <c r="AA11" s="149">
        <v>96</v>
      </c>
      <c r="AB11" s="137">
        <v>61900</v>
      </c>
      <c r="AC11" s="138">
        <f t="shared" si="10"/>
        <v>644.79166666666663</v>
      </c>
      <c r="AD11" s="137">
        <v>19970</v>
      </c>
      <c r="AE11" s="139">
        <f t="shared" si="11"/>
        <v>208.02083333333334</v>
      </c>
      <c r="AF11" s="150">
        <f t="shared" si="22"/>
        <v>81870</v>
      </c>
      <c r="AG11" s="141">
        <f t="shared" si="12"/>
        <v>852.8125</v>
      </c>
      <c r="AH11" s="157">
        <f t="shared" si="13"/>
        <v>54</v>
      </c>
      <c r="AI11" s="144">
        <f t="shared" si="14"/>
        <v>409170</v>
      </c>
      <c r="AJ11" s="144">
        <f t="shared" si="15"/>
        <v>92880</v>
      </c>
      <c r="AK11" s="151">
        <f t="shared" si="23"/>
        <v>502050</v>
      </c>
      <c r="AL11" s="144">
        <f t="shared" si="16"/>
        <v>44550</v>
      </c>
      <c r="AM11" s="144"/>
      <c r="AN11" s="152">
        <v>54</v>
      </c>
      <c r="AO11" s="152">
        <v>347270</v>
      </c>
      <c r="AP11" s="152">
        <v>72910</v>
      </c>
      <c r="AQ11" s="153">
        <v>39600</v>
      </c>
      <c r="AR11" s="153">
        <v>1650</v>
      </c>
      <c r="AS11" s="153">
        <v>3300</v>
      </c>
      <c r="AT11" s="153"/>
      <c r="AU11" s="154">
        <f t="shared" si="24"/>
        <v>464730</v>
      </c>
      <c r="AV11" s="121">
        <v>7</v>
      </c>
      <c r="AW11" s="122">
        <f t="shared" si="25"/>
        <v>464730</v>
      </c>
      <c r="AX11" s="206">
        <f t="shared" si="26"/>
        <v>546600</v>
      </c>
    </row>
    <row r="12" spans="1:50" ht="13.5" customHeight="1">
      <c r="A12" s="121"/>
      <c r="B12" s="160">
        <f t="shared" si="17"/>
        <v>45816</v>
      </c>
      <c r="C12" s="205" t="s">
        <v>72</v>
      </c>
      <c r="D12" s="134">
        <v>100</v>
      </c>
      <c r="E12" s="135"/>
      <c r="F12" s="136"/>
      <c r="G12" s="137"/>
      <c r="H12" s="138" t="e">
        <f t="shared" si="0"/>
        <v>#DIV/0!</v>
      </c>
      <c r="I12" s="137"/>
      <c r="J12" s="139" t="e">
        <f t="shared" si="1"/>
        <v>#DIV/0!</v>
      </c>
      <c r="K12" s="140">
        <f t="shared" si="2"/>
        <v>0</v>
      </c>
      <c r="L12" s="141" t="str">
        <f t="shared" si="3"/>
        <v/>
      </c>
      <c r="M12" s="142"/>
      <c r="N12" s="143">
        <f t="shared" si="18"/>
        <v>60</v>
      </c>
      <c r="O12" s="144">
        <f t="shared" si="18"/>
        <v>850440</v>
      </c>
      <c r="P12" s="138">
        <f t="shared" si="4"/>
        <v>12885.45</v>
      </c>
      <c r="Q12" s="144">
        <f t="shared" si="19"/>
        <v>229700</v>
      </c>
      <c r="R12" s="162">
        <f t="shared" si="5"/>
        <v>3480.3</v>
      </c>
      <c r="S12" s="145">
        <f t="shared" si="20"/>
        <v>1080140</v>
      </c>
      <c r="T12" s="141">
        <f t="shared" si="6"/>
        <v>18002.333333333332</v>
      </c>
      <c r="U12" s="146">
        <f t="shared" si="7"/>
        <v>60</v>
      </c>
      <c r="V12" s="144">
        <f t="shared" si="7"/>
        <v>850440</v>
      </c>
      <c r="W12" s="144">
        <f t="shared" si="8"/>
        <v>229700</v>
      </c>
      <c r="X12" s="147">
        <f t="shared" si="21"/>
        <v>1080140</v>
      </c>
      <c r="Y12" s="144">
        <f t="shared" si="9"/>
        <v>18002.333333333332</v>
      </c>
      <c r="Z12" s="148"/>
      <c r="AA12" s="149">
        <v>179</v>
      </c>
      <c r="AB12" s="137">
        <v>135050</v>
      </c>
      <c r="AC12" s="138">
        <f t="shared" si="10"/>
        <v>754.46927374301674</v>
      </c>
      <c r="AD12" s="137">
        <v>33080</v>
      </c>
      <c r="AE12" s="139">
        <f t="shared" si="11"/>
        <v>184.80446927374302</v>
      </c>
      <c r="AF12" s="150">
        <f t="shared" si="22"/>
        <v>168130</v>
      </c>
      <c r="AG12" s="141">
        <f t="shared" si="12"/>
        <v>939.27374301675979</v>
      </c>
      <c r="AH12" s="157">
        <f t="shared" si="13"/>
        <v>60</v>
      </c>
      <c r="AI12" s="144">
        <f t="shared" si="14"/>
        <v>985490</v>
      </c>
      <c r="AJ12" s="144">
        <f t="shared" si="15"/>
        <v>262780</v>
      </c>
      <c r="AK12" s="151">
        <f t="shared" si="23"/>
        <v>1248270</v>
      </c>
      <c r="AL12" s="144">
        <f t="shared" si="16"/>
        <v>0</v>
      </c>
      <c r="AM12" s="144">
        <v>33600</v>
      </c>
      <c r="AN12" s="152">
        <v>60</v>
      </c>
      <c r="AO12" s="152">
        <v>850440</v>
      </c>
      <c r="AP12" s="152">
        <v>229700</v>
      </c>
      <c r="AQ12" s="153"/>
      <c r="AR12" s="153"/>
      <c r="AS12" s="153"/>
      <c r="AT12" s="153"/>
      <c r="AU12" s="154">
        <f t="shared" si="24"/>
        <v>1080140</v>
      </c>
      <c r="AV12" s="121">
        <v>8</v>
      </c>
      <c r="AW12" s="122">
        <f t="shared" si="25"/>
        <v>1080140</v>
      </c>
      <c r="AX12" s="206">
        <f t="shared" si="26"/>
        <v>1281870</v>
      </c>
    </row>
    <row r="13" spans="1:50" ht="13.5" customHeight="1">
      <c r="A13" s="121"/>
      <c r="B13" s="156">
        <f t="shared" si="17"/>
        <v>45817</v>
      </c>
      <c r="C13" s="205" t="s">
        <v>59</v>
      </c>
      <c r="D13" s="134">
        <v>98</v>
      </c>
      <c r="E13" s="135"/>
      <c r="F13" s="136"/>
      <c r="G13" s="137"/>
      <c r="H13" s="138" t="e">
        <f t="shared" si="0"/>
        <v>#DIV/0!</v>
      </c>
      <c r="I13" s="137"/>
      <c r="J13" s="139" t="e">
        <f t="shared" si="1"/>
        <v>#DIV/0!</v>
      </c>
      <c r="K13" s="140">
        <f t="shared" si="2"/>
        <v>0</v>
      </c>
      <c r="L13" s="141" t="str">
        <f t="shared" si="3"/>
        <v/>
      </c>
      <c r="M13" s="142"/>
      <c r="N13" s="143">
        <f t="shared" si="18"/>
        <v>38</v>
      </c>
      <c r="O13" s="144">
        <f t="shared" si="18"/>
        <v>341110</v>
      </c>
      <c r="P13" s="138">
        <f t="shared" si="4"/>
        <v>8160.5263157894733</v>
      </c>
      <c r="Q13" s="144">
        <f t="shared" si="19"/>
        <v>79060</v>
      </c>
      <c r="R13" s="139">
        <f t="shared" si="5"/>
        <v>1891.3684210526317</v>
      </c>
      <c r="S13" s="145">
        <f t="shared" si="20"/>
        <v>420170</v>
      </c>
      <c r="T13" s="141">
        <f t="shared" si="6"/>
        <v>11057.105263157895</v>
      </c>
      <c r="U13" s="146">
        <f t="shared" si="7"/>
        <v>38</v>
      </c>
      <c r="V13" s="144">
        <f t="shared" si="7"/>
        <v>341110</v>
      </c>
      <c r="W13" s="144">
        <f t="shared" si="8"/>
        <v>79060</v>
      </c>
      <c r="X13" s="147">
        <f t="shared" si="21"/>
        <v>420170</v>
      </c>
      <c r="Y13" s="144">
        <f t="shared" si="9"/>
        <v>11057.105263157895</v>
      </c>
      <c r="Z13" s="148"/>
      <c r="AA13" s="149">
        <v>115</v>
      </c>
      <c r="AB13" s="137">
        <v>90950</v>
      </c>
      <c r="AC13" s="138">
        <f t="shared" si="10"/>
        <v>790.86956521739125</v>
      </c>
      <c r="AD13" s="137">
        <v>22660</v>
      </c>
      <c r="AE13" s="139">
        <f t="shared" si="11"/>
        <v>197.04347826086956</v>
      </c>
      <c r="AF13" s="150">
        <f t="shared" si="22"/>
        <v>113610</v>
      </c>
      <c r="AG13" s="141">
        <f t="shared" si="12"/>
        <v>987.91304347826087</v>
      </c>
      <c r="AH13" s="157">
        <f t="shared" si="13"/>
        <v>38</v>
      </c>
      <c r="AI13" s="144">
        <f t="shared" si="14"/>
        <v>432060</v>
      </c>
      <c r="AJ13" s="144">
        <f t="shared" si="15"/>
        <v>101720</v>
      </c>
      <c r="AK13" s="151">
        <f t="shared" si="23"/>
        <v>533780</v>
      </c>
      <c r="AL13" s="144">
        <f t="shared" si="16"/>
        <v>95900</v>
      </c>
      <c r="AM13" s="144"/>
      <c r="AN13" s="152">
        <v>38</v>
      </c>
      <c r="AO13" s="152">
        <v>341110</v>
      </c>
      <c r="AP13" s="152">
        <v>79060</v>
      </c>
      <c r="AQ13" s="153">
        <v>42900</v>
      </c>
      <c r="AR13" s="153">
        <v>53000</v>
      </c>
      <c r="AS13" s="153"/>
      <c r="AT13" s="153"/>
      <c r="AU13" s="154">
        <f t="shared" si="24"/>
        <v>516070</v>
      </c>
      <c r="AV13" s="121">
        <v>9</v>
      </c>
      <c r="AW13" s="122">
        <f t="shared" si="25"/>
        <v>516070</v>
      </c>
      <c r="AX13" s="206">
        <f t="shared" si="26"/>
        <v>629680</v>
      </c>
    </row>
    <row r="14" spans="1:50" ht="13.5" customHeight="1">
      <c r="A14" s="121"/>
      <c r="B14" s="156">
        <f t="shared" si="17"/>
        <v>45818</v>
      </c>
      <c r="C14" s="205" t="s">
        <v>59</v>
      </c>
      <c r="D14" s="134">
        <v>81</v>
      </c>
      <c r="E14" s="135"/>
      <c r="F14" s="136"/>
      <c r="G14" s="137"/>
      <c r="H14" s="138" t="e">
        <f t="shared" si="0"/>
        <v>#DIV/0!</v>
      </c>
      <c r="I14" s="137"/>
      <c r="J14" s="139" t="e">
        <f t="shared" si="1"/>
        <v>#DIV/0!</v>
      </c>
      <c r="K14" s="140">
        <f t="shared" si="2"/>
        <v>0</v>
      </c>
      <c r="L14" s="141" t="str">
        <f t="shared" si="3"/>
        <v/>
      </c>
      <c r="M14" s="142"/>
      <c r="N14" s="143">
        <f t="shared" si="18"/>
        <v>36</v>
      </c>
      <c r="O14" s="144">
        <f t="shared" si="18"/>
        <v>315810</v>
      </c>
      <c r="P14" s="138">
        <f t="shared" si="4"/>
        <v>7975</v>
      </c>
      <c r="Q14" s="144">
        <f t="shared" si="19"/>
        <v>51280</v>
      </c>
      <c r="R14" s="139">
        <f t="shared" si="5"/>
        <v>1294.9444444444443</v>
      </c>
      <c r="S14" s="145">
        <f t="shared" si="20"/>
        <v>367090</v>
      </c>
      <c r="T14" s="141">
        <f t="shared" si="6"/>
        <v>10196.944444444445</v>
      </c>
      <c r="U14" s="146">
        <f t="shared" si="7"/>
        <v>36</v>
      </c>
      <c r="V14" s="144">
        <f t="shared" si="7"/>
        <v>315810</v>
      </c>
      <c r="W14" s="144">
        <f t="shared" si="8"/>
        <v>51280</v>
      </c>
      <c r="X14" s="147">
        <f t="shared" si="21"/>
        <v>367090</v>
      </c>
      <c r="Y14" s="144">
        <f t="shared" si="9"/>
        <v>10196.944444444445</v>
      </c>
      <c r="Z14" s="148"/>
      <c r="AA14" s="149">
        <v>84</v>
      </c>
      <c r="AB14" s="137">
        <v>60350</v>
      </c>
      <c r="AC14" s="138">
        <f t="shared" si="10"/>
        <v>718.45238095238096</v>
      </c>
      <c r="AD14" s="137">
        <v>20280</v>
      </c>
      <c r="AE14" s="139">
        <f t="shared" si="11"/>
        <v>241.42857142857142</v>
      </c>
      <c r="AF14" s="150">
        <f t="shared" si="22"/>
        <v>80630</v>
      </c>
      <c r="AG14" s="141">
        <f t="shared" si="12"/>
        <v>959.88095238095241</v>
      </c>
      <c r="AH14" s="157">
        <f t="shared" si="13"/>
        <v>36</v>
      </c>
      <c r="AI14" s="144">
        <f t="shared" si="14"/>
        <v>376160</v>
      </c>
      <c r="AJ14" s="144">
        <f t="shared" si="15"/>
        <v>71560</v>
      </c>
      <c r="AK14" s="158">
        <f t="shared" si="23"/>
        <v>447720</v>
      </c>
      <c r="AL14" s="144">
        <f t="shared" si="16"/>
        <v>45100</v>
      </c>
      <c r="AM14" s="144"/>
      <c r="AN14" s="152">
        <v>36</v>
      </c>
      <c r="AO14" s="152">
        <v>315810</v>
      </c>
      <c r="AP14" s="152">
        <v>51280</v>
      </c>
      <c r="AQ14" s="153">
        <v>45100</v>
      </c>
      <c r="AR14" s="153"/>
      <c r="AS14" s="153"/>
      <c r="AT14" s="153"/>
      <c r="AU14" s="154">
        <f t="shared" si="24"/>
        <v>412190</v>
      </c>
      <c r="AV14" s="121">
        <v>10</v>
      </c>
      <c r="AW14" s="122">
        <f t="shared" si="25"/>
        <v>412190</v>
      </c>
      <c r="AX14" s="206">
        <f t="shared" si="26"/>
        <v>492820</v>
      </c>
    </row>
    <row r="15" spans="1:50" ht="13.5" customHeight="1">
      <c r="A15" s="121"/>
      <c r="B15" s="156">
        <f>B14+1</f>
        <v>45819</v>
      </c>
      <c r="C15" s="205" t="s">
        <v>59</v>
      </c>
      <c r="D15" s="134">
        <v>0</v>
      </c>
      <c r="E15" s="135"/>
      <c r="F15" s="136"/>
      <c r="G15" s="137"/>
      <c r="H15" s="138" t="e">
        <f t="shared" si="0"/>
        <v>#DIV/0!</v>
      </c>
      <c r="I15" s="137"/>
      <c r="J15" s="139" t="e">
        <f t="shared" si="1"/>
        <v>#DIV/0!</v>
      </c>
      <c r="K15" s="140">
        <f t="shared" si="2"/>
        <v>0</v>
      </c>
      <c r="L15" s="141" t="str">
        <f t="shared" si="3"/>
        <v/>
      </c>
      <c r="M15" s="142"/>
      <c r="N15" s="143">
        <f t="shared" si="18"/>
        <v>33</v>
      </c>
      <c r="O15" s="144">
        <f t="shared" si="18"/>
        <v>304040</v>
      </c>
      <c r="P15" s="138">
        <f t="shared" si="4"/>
        <v>8375.757575757576</v>
      </c>
      <c r="Q15" s="144">
        <f t="shared" si="19"/>
        <v>52600</v>
      </c>
      <c r="R15" s="139">
        <f t="shared" si="5"/>
        <v>1449.030303030303</v>
      </c>
      <c r="S15" s="145">
        <f t="shared" si="20"/>
        <v>356640</v>
      </c>
      <c r="T15" s="141">
        <f t="shared" si="6"/>
        <v>10807.272727272728</v>
      </c>
      <c r="U15" s="146">
        <f t="shared" si="7"/>
        <v>33</v>
      </c>
      <c r="V15" s="144">
        <f t="shared" si="7"/>
        <v>304040</v>
      </c>
      <c r="W15" s="144">
        <f t="shared" si="8"/>
        <v>52600</v>
      </c>
      <c r="X15" s="147">
        <f t="shared" si="21"/>
        <v>356640</v>
      </c>
      <c r="Y15" s="144">
        <f t="shared" si="9"/>
        <v>10807.272727272728</v>
      </c>
      <c r="Z15" s="148"/>
      <c r="AA15" s="149">
        <v>49</v>
      </c>
      <c r="AB15" s="137">
        <v>37800</v>
      </c>
      <c r="AC15" s="138">
        <f t="shared" si="10"/>
        <v>771.42857142857144</v>
      </c>
      <c r="AD15" s="137">
        <v>6170</v>
      </c>
      <c r="AE15" s="139">
        <f t="shared" si="11"/>
        <v>125.91836734693878</v>
      </c>
      <c r="AF15" s="150">
        <f t="shared" si="22"/>
        <v>43970</v>
      </c>
      <c r="AG15" s="141">
        <f t="shared" si="12"/>
        <v>897.34693877551024</v>
      </c>
      <c r="AH15" s="157">
        <f t="shared" si="13"/>
        <v>33</v>
      </c>
      <c r="AI15" s="144">
        <f t="shared" si="14"/>
        <v>341840</v>
      </c>
      <c r="AJ15" s="144">
        <f t="shared" si="15"/>
        <v>58770</v>
      </c>
      <c r="AK15" s="151">
        <f t="shared" si="23"/>
        <v>400610</v>
      </c>
      <c r="AL15" s="144">
        <f t="shared" si="16"/>
        <v>14870</v>
      </c>
      <c r="AM15" s="144"/>
      <c r="AN15" s="152">
        <v>33</v>
      </c>
      <c r="AO15" s="152">
        <v>304040</v>
      </c>
      <c r="AP15" s="152">
        <v>52600</v>
      </c>
      <c r="AQ15" s="209">
        <v>12100</v>
      </c>
      <c r="AR15" s="153">
        <v>2770</v>
      </c>
      <c r="AS15" s="153"/>
      <c r="AT15" s="153">
        <v>5500</v>
      </c>
      <c r="AU15" s="154">
        <f t="shared" si="24"/>
        <v>371510</v>
      </c>
      <c r="AV15" s="121">
        <v>11</v>
      </c>
      <c r="AW15" s="122">
        <f t="shared" si="25"/>
        <v>377010</v>
      </c>
      <c r="AX15" s="206">
        <f t="shared" si="26"/>
        <v>415480</v>
      </c>
    </row>
    <row r="16" spans="1:50" ht="13.5" customHeight="1">
      <c r="A16" s="121"/>
      <c r="B16" s="156">
        <f t="shared" si="17"/>
        <v>45820</v>
      </c>
      <c r="C16" s="205" t="s">
        <v>59</v>
      </c>
      <c r="D16" s="134">
        <v>0</v>
      </c>
      <c r="E16" s="135"/>
      <c r="F16" s="136"/>
      <c r="G16" s="137"/>
      <c r="H16" s="138" t="e">
        <f t="shared" si="0"/>
        <v>#DIV/0!</v>
      </c>
      <c r="I16" s="137"/>
      <c r="J16" s="139" t="e">
        <f t="shared" si="1"/>
        <v>#DIV/0!</v>
      </c>
      <c r="K16" s="140">
        <f t="shared" si="2"/>
        <v>0</v>
      </c>
      <c r="L16" s="141" t="str">
        <f t="shared" si="3"/>
        <v/>
      </c>
      <c r="M16" s="142"/>
      <c r="N16" s="143">
        <f t="shared" si="18"/>
        <v>40</v>
      </c>
      <c r="O16" s="144">
        <f t="shared" si="18"/>
        <v>377080</v>
      </c>
      <c r="P16" s="138">
        <f t="shared" si="4"/>
        <v>8570</v>
      </c>
      <c r="Q16" s="144">
        <f t="shared" si="19"/>
        <v>72210</v>
      </c>
      <c r="R16" s="139">
        <f t="shared" si="5"/>
        <v>1641.125</v>
      </c>
      <c r="S16" s="145">
        <f t="shared" si="20"/>
        <v>449290</v>
      </c>
      <c r="T16" s="141">
        <f t="shared" si="6"/>
        <v>11232.25</v>
      </c>
      <c r="U16" s="146">
        <f t="shared" si="7"/>
        <v>40</v>
      </c>
      <c r="V16" s="144">
        <f t="shared" si="7"/>
        <v>377080</v>
      </c>
      <c r="W16" s="144">
        <f t="shared" si="8"/>
        <v>72210</v>
      </c>
      <c r="X16" s="147">
        <f t="shared" si="21"/>
        <v>449290</v>
      </c>
      <c r="Y16" s="144">
        <f t="shared" si="9"/>
        <v>11232.25</v>
      </c>
      <c r="Z16" s="148"/>
      <c r="AA16" s="149">
        <v>40</v>
      </c>
      <c r="AB16" s="137">
        <v>27100</v>
      </c>
      <c r="AC16" s="138">
        <f>AB16/AA16</f>
        <v>677.5</v>
      </c>
      <c r="AD16" s="137">
        <v>10850</v>
      </c>
      <c r="AE16" s="139">
        <f t="shared" si="11"/>
        <v>271.25</v>
      </c>
      <c r="AF16" s="150">
        <f t="shared" si="22"/>
        <v>37950</v>
      </c>
      <c r="AG16" s="141">
        <f t="shared" si="12"/>
        <v>948.75</v>
      </c>
      <c r="AH16" s="157">
        <f t="shared" si="13"/>
        <v>40</v>
      </c>
      <c r="AI16" s="144">
        <f t="shared" si="14"/>
        <v>404180</v>
      </c>
      <c r="AJ16" s="144">
        <f t="shared" si="15"/>
        <v>83060</v>
      </c>
      <c r="AK16" s="151">
        <f t="shared" si="23"/>
        <v>487240</v>
      </c>
      <c r="AL16" s="144">
        <f t="shared" si="16"/>
        <v>11000</v>
      </c>
      <c r="AM16" s="144"/>
      <c r="AN16" s="152">
        <v>40</v>
      </c>
      <c r="AO16" s="152">
        <v>377080</v>
      </c>
      <c r="AP16" s="152">
        <v>72210</v>
      </c>
      <c r="AQ16" s="209">
        <v>11000</v>
      </c>
      <c r="AR16" s="153"/>
      <c r="AS16" s="153"/>
      <c r="AT16" s="153"/>
      <c r="AU16" s="154">
        <f t="shared" si="24"/>
        <v>460290</v>
      </c>
      <c r="AV16" s="121">
        <v>12</v>
      </c>
      <c r="AW16" s="122">
        <f t="shared" si="25"/>
        <v>460290</v>
      </c>
      <c r="AX16" s="206">
        <f t="shared" si="26"/>
        <v>498240</v>
      </c>
    </row>
    <row r="17" spans="1:50" ht="13.5" customHeight="1">
      <c r="A17" s="121"/>
      <c r="B17" s="156">
        <f t="shared" si="17"/>
        <v>45821</v>
      </c>
      <c r="C17" s="205" t="s">
        <v>59</v>
      </c>
      <c r="D17" s="134">
        <v>93</v>
      </c>
      <c r="E17" s="135"/>
      <c r="F17" s="136"/>
      <c r="G17" s="137"/>
      <c r="H17" s="138" t="e">
        <f t="shared" si="0"/>
        <v>#DIV/0!</v>
      </c>
      <c r="I17" s="137"/>
      <c r="J17" s="139" t="e">
        <f t="shared" si="1"/>
        <v>#DIV/0!</v>
      </c>
      <c r="K17" s="140">
        <f t="shared" si="2"/>
        <v>0</v>
      </c>
      <c r="L17" s="141" t="str">
        <f t="shared" si="3"/>
        <v/>
      </c>
      <c r="M17" s="142"/>
      <c r="N17" s="143">
        <f t="shared" si="18"/>
        <v>28</v>
      </c>
      <c r="O17" s="144">
        <f t="shared" si="18"/>
        <v>340500</v>
      </c>
      <c r="P17" s="138">
        <f t="shared" si="4"/>
        <v>11055.178571428571</v>
      </c>
      <c r="Q17" s="144">
        <f t="shared" si="19"/>
        <v>99150</v>
      </c>
      <c r="R17" s="139">
        <f t="shared" si="5"/>
        <v>3219.1428571428573</v>
      </c>
      <c r="S17" s="145">
        <f t="shared" si="20"/>
        <v>439650</v>
      </c>
      <c r="T17" s="141">
        <f t="shared" si="6"/>
        <v>15701.785714285714</v>
      </c>
      <c r="U17" s="146">
        <f t="shared" si="7"/>
        <v>28</v>
      </c>
      <c r="V17" s="144">
        <f t="shared" si="7"/>
        <v>340500</v>
      </c>
      <c r="W17" s="144">
        <f t="shared" si="8"/>
        <v>99150</v>
      </c>
      <c r="X17" s="147">
        <f t="shared" si="21"/>
        <v>439650</v>
      </c>
      <c r="Y17" s="144">
        <f t="shared" si="9"/>
        <v>15701.785714285714</v>
      </c>
      <c r="Z17" s="148"/>
      <c r="AA17" s="149">
        <v>68</v>
      </c>
      <c r="AB17" s="137">
        <v>44900</v>
      </c>
      <c r="AC17" s="138">
        <f t="shared" si="10"/>
        <v>660.29411764705878</v>
      </c>
      <c r="AD17" s="137">
        <v>21640</v>
      </c>
      <c r="AE17" s="139">
        <f t="shared" si="11"/>
        <v>318.23529411764707</v>
      </c>
      <c r="AF17" s="150">
        <f t="shared" si="22"/>
        <v>66540</v>
      </c>
      <c r="AG17" s="141">
        <f t="shared" si="12"/>
        <v>978.52941176470586</v>
      </c>
      <c r="AH17" s="157">
        <f t="shared" si="13"/>
        <v>28</v>
      </c>
      <c r="AI17" s="144">
        <f t="shared" si="14"/>
        <v>385400</v>
      </c>
      <c r="AJ17" s="144">
        <f t="shared" si="15"/>
        <v>120790</v>
      </c>
      <c r="AK17" s="151">
        <f t="shared" si="23"/>
        <v>506190</v>
      </c>
      <c r="AL17" s="144">
        <f t="shared" si="16"/>
        <v>2200</v>
      </c>
      <c r="AM17" s="144">
        <v>16800</v>
      </c>
      <c r="AN17" s="152">
        <v>28</v>
      </c>
      <c r="AO17" s="152">
        <v>340500</v>
      </c>
      <c r="AP17" s="152">
        <v>99150</v>
      </c>
      <c r="AQ17" s="153">
        <v>2200</v>
      </c>
      <c r="AR17" s="153"/>
      <c r="AS17" s="153"/>
      <c r="AT17" s="153"/>
      <c r="AU17" s="154">
        <f t="shared" si="24"/>
        <v>441850</v>
      </c>
      <c r="AV17" s="121">
        <v>13</v>
      </c>
      <c r="AW17" s="122">
        <f t="shared" si="25"/>
        <v>441850</v>
      </c>
      <c r="AX17" s="206">
        <f t="shared" si="26"/>
        <v>525190</v>
      </c>
    </row>
    <row r="18" spans="1:50" ht="13.5" customHeight="1">
      <c r="A18" s="121"/>
      <c r="B18" s="159">
        <f t="shared" si="17"/>
        <v>45822</v>
      </c>
      <c r="C18" s="210"/>
      <c r="D18" s="134">
        <v>88</v>
      </c>
      <c r="E18" s="135"/>
      <c r="F18" s="136">
        <v>25</v>
      </c>
      <c r="G18" s="137">
        <v>93390</v>
      </c>
      <c r="H18" s="138">
        <f t="shared" si="0"/>
        <v>3396</v>
      </c>
      <c r="I18" s="137">
        <v>10880</v>
      </c>
      <c r="J18" s="139">
        <f t="shared" si="1"/>
        <v>395.6</v>
      </c>
      <c r="K18" s="140">
        <f t="shared" si="2"/>
        <v>104270</v>
      </c>
      <c r="L18" s="141">
        <f t="shared" si="3"/>
        <v>4170.8</v>
      </c>
      <c r="M18" s="142"/>
      <c r="N18" s="143">
        <f t="shared" si="18"/>
        <v>35</v>
      </c>
      <c r="O18" s="144">
        <f t="shared" si="18"/>
        <v>374660</v>
      </c>
      <c r="P18" s="138">
        <f t="shared" si="4"/>
        <v>9731.4285714285706</v>
      </c>
      <c r="Q18" s="144">
        <f t="shared" si="19"/>
        <v>60200</v>
      </c>
      <c r="R18" s="139">
        <f t="shared" si="5"/>
        <v>1563.6285714285714</v>
      </c>
      <c r="S18" s="145">
        <f t="shared" si="20"/>
        <v>434860</v>
      </c>
      <c r="T18" s="141">
        <f t="shared" si="6"/>
        <v>12424.571428571429</v>
      </c>
      <c r="U18" s="146">
        <f t="shared" si="7"/>
        <v>60</v>
      </c>
      <c r="V18" s="144">
        <f t="shared" si="7"/>
        <v>468050</v>
      </c>
      <c r="W18" s="144">
        <f t="shared" si="8"/>
        <v>71080</v>
      </c>
      <c r="X18" s="147">
        <f t="shared" si="21"/>
        <v>539130</v>
      </c>
      <c r="Y18" s="144">
        <f t="shared" si="9"/>
        <v>8985.5</v>
      </c>
      <c r="Z18" s="148"/>
      <c r="AA18" s="149">
        <v>158</v>
      </c>
      <c r="AB18" s="137">
        <v>119800</v>
      </c>
      <c r="AC18" s="138">
        <f t="shared" si="10"/>
        <v>758.22784810126586</v>
      </c>
      <c r="AD18" s="137">
        <v>25430</v>
      </c>
      <c r="AE18" s="139">
        <f t="shared" si="11"/>
        <v>160.9493670886076</v>
      </c>
      <c r="AF18" s="150">
        <f t="shared" si="22"/>
        <v>145230</v>
      </c>
      <c r="AG18" s="141">
        <f t="shared" si="12"/>
        <v>919.17721518987344</v>
      </c>
      <c r="AH18" s="157">
        <f t="shared" si="13"/>
        <v>60</v>
      </c>
      <c r="AI18" s="144">
        <f t="shared" si="14"/>
        <v>587850</v>
      </c>
      <c r="AJ18" s="144">
        <f t="shared" si="15"/>
        <v>96510</v>
      </c>
      <c r="AK18" s="151">
        <f t="shared" si="23"/>
        <v>684360</v>
      </c>
      <c r="AL18" s="144">
        <f t="shared" si="16"/>
        <v>54470</v>
      </c>
      <c r="AM18" s="144">
        <v>3200</v>
      </c>
      <c r="AN18" s="152">
        <v>60</v>
      </c>
      <c r="AO18" s="152">
        <v>468050</v>
      </c>
      <c r="AP18" s="152">
        <v>71080</v>
      </c>
      <c r="AQ18" s="153">
        <v>51700</v>
      </c>
      <c r="AR18" s="153">
        <v>2770</v>
      </c>
      <c r="AS18" s="153"/>
      <c r="AT18" s="153"/>
      <c r="AU18" s="154">
        <f t="shared" si="24"/>
        <v>593600</v>
      </c>
      <c r="AV18" s="121">
        <v>14</v>
      </c>
      <c r="AW18" s="122">
        <f t="shared" si="25"/>
        <v>593600</v>
      </c>
      <c r="AX18" s="206">
        <f t="shared" si="26"/>
        <v>742030</v>
      </c>
    </row>
    <row r="19" spans="1:50" ht="13.5" customHeight="1">
      <c r="A19" s="121"/>
      <c r="B19" s="160">
        <f t="shared" si="17"/>
        <v>45823</v>
      </c>
      <c r="C19" s="210"/>
      <c r="D19" s="134">
        <v>93</v>
      </c>
      <c r="E19" s="135"/>
      <c r="F19" s="136">
        <v>30</v>
      </c>
      <c r="G19" s="137">
        <v>105110</v>
      </c>
      <c r="H19" s="138">
        <f t="shared" si="0"/>
        <v>3185.1333333333332</v>
      </c>
      <c r="I19" s="137">
        <v>60090</v>
      </c>
      <c r="J19" s="139">
        <f t="shared" si="1"/>
        <v>1820.9</v>
      </c>
      <c r="K19" s="140">
        <f t="shared" si="2"/>
        <v>165200</v>
      </c>
      <c r="L19" s="141">
        <f t="shared" si="3"/>
        <v>5506.666666666667</v>
      </c>
      <c r="M19" s="142"/>
      <c r="N19" s="143">
        <f t="shared" si="18"/>
        <v>37</v>
      </c>
      <c r="O19" s="144">
        <f t="shared" si="18"/>
        <v>345400</v>
      </c>
      <c r="P19" s="138">
        <f t="shared" si="4"/>
        <v>8486.4864864864867</v>
      </c>
      <c r="Q19" s="144">
        <f t="shared" si="19"/>
        <v>73040</v>
      </c>
      <c r="R19" s="162">
        <f t="shared" si="5"/>
        <v>1794.5945945945946</v>
      </c>
      <c r="S19" s="145">
        <f t="shared" si="20"/>
        <v>418440</v>
      </c>
      <c r="T19" s="141">
        <f t="shared" si="6"/>
        <v>11309.18918918919</v>
      </c>
      <c r="U19" s="146">
        <f t="shared" si="7"/>
        <v>67</v>
      </c>
      <c r="V19" s="144">
        <f t="shared" si="7"/>
        <v>450510</v>
      </c>
      <c r="W19" s="144">
        <f t="shared" si="8"/>
        <v>133130</v>
      </c>
      <c r="X19" s="147">
        <f t="shared" si="21"/>
        <v>583640</v>
      </c>
      <c r="Y19" s="144">
        <f t="shared" si="9"/>
        <v>8711.0447761194027</v>
      </c>
      <c r="Z19" s="148"/>
      <c r="AA19" s="149">
        <v>160</v>
      </c>
      <c r="AB19" s="137">
        <v>117250</v>
      </c>
      <c r="AC19" s="138">
        <f t="shared" si="10"/>
        <v>732.8125</v>
      </c>
      <c r="AD19" s="137">
        <v>31720</v>
      </c>
      <c r="AE19" s="139">
        <f t="shared" si="11"/>
        <v>198.25</v>
      </c>
      <c r="AF19" s="150">
        <f t="shared" si="22"/>
        <v>148970</v>
      </c>
      <c r="AG19" s="141">
        <f t="shared" si="12"/>
        <v>931.0625</v>
      </c>
      <c r="AH19" s="157">
        <f t="shared" si="13"/>
        <v>67</v>
      </c>
      <c r="AI19" s="144">
        <f t="shared" si="14"/>
        <v>567760</v>
      </c>
      <c r="AJ19" s="144">
        <f t="shared" si="15"/>
        <v>164850</v>
      </c>
      <c r="AK19" s="151">
        <f t="shared" si="23"/>
        <v>732610</v>
      </c>
      <c r="AL19" s="144">
        <f t="shared" si="16"/>
        <v>50160</v>
      </c>
      <c r="AM19" s="144">
        <v>7200</v>
      </c>
      <c r="AN19" s="152">
        <v>67</v>
      </c>
      <c r="AO19" s="152">
        <v>450510</v>
      </c>
      <c r="AP19" s="152">
        <v>133130</v>
      </c>
      <c r="AQ19" s="153">
        <v>48950</v>
      </c>
      <c r="AR19" s="153">
        <v>1210</v>
      </c>
      <c r="AS19" s="153"/>
      <c r="AT19" s="153">
        <v>4400</v>
      </c>
      <c r="AU19" s="154">
        <f t="shared" si="24"/>
        <v>633800</v>
      </c>
      <c r="AV19" s="121">
        <v>15</v>
      </c>
      <c r="AW19" s="122">
        <f t="shared" si="25"/>
        <v>638200</v>
      </c>
      <c r="AX19" s="206">
        <f>AU19+AF19+AM19</f>
        <v>789970</v>
      </c>
    </row>
    <row r="20" spans="1:50" ht="13.5" customHeight="1">
      <c r="A20" s="121"/>
      <c r="B20" s="156">
        <f t="shared" si="17"/>
        <v>45824</v>
      </c>
      <c r="C20" s="205" t="s">
        <v>59</v>
      </c>
      <c r="D20" s="134">
        <v>65</v>
      </c>
      <c r="E20" s="135"/>
      <c r="F20" s="136"/>
      <c r="G20" s="137"/>
      <c r="H20" s="138" t="e">
        <f t="shared" si="0"/>
        <v>#DIV/0!</v>
      </c>
      <c r="I20" s="137"/>
      <c r="J20" s="138" t="e">
        <f t="shared" si="1"/>
        <v>#DIV/0!</v>
      </c>
      <c r="K20" s="140">
        <f t="shared" si="2"/>
        <v>0</v>
      </c>
      <c r="L20" s="141" t="str">
        <f t="shared" si="3"/>
        <v/>
      </c>
      <c r="M20" s="142"/>
      <c r="N20" s="143">
        <f t="shared" si="18"/>
        <v>37</v>
      </c>
      <c r="O20" s="144">
        <f t="shared" si="18"/>
        <v>399540</v>
      </c>
      <c r="P20" s="138">
        <f t="shared" si="4"/>
        <v>9816.7027027027034</v>
      </c>
      <c r="Q20" s="144">
        <f t="shared" si="19"/>
        <v>81650</v>
      </c>
      <c r="R20" s="162">
        <f t="shared" si="5"/>
        <v>2006.1351351351352</v>
      </c>
      <c r="S20" s="145">
        <f t="shared" si="20"/>
        <v>481190</v>
      </c>
      <c r="T20" s="141">
        <f t="shared" si="6"/>
        <v>13005.135135135135</v>
      </c>
      <c r="U20" s="146">
        <f t="shared" si="7"/>
        <v>37</v>
      </c>
      <c r="V20" s="144">
        <f t="shared" si="7"/>
        <v>399540</v>
      </c>
      <c r="W20" s="144">
        <f t="shared" si="8"/>
        <v>81650</v>
      </c>
      <c r="X20" s="147">
        <f t="shared" si="21"/>
        <v>481190</v>
      </c>
      <c r="Y20" s="144">
        <f t="shared" si="9"/>
        <v>13005.135135135135</v>
      </c>
      <c r="Z20" s="148"/>
      <c r="AA20" s="149">
        <v>52</v>
      </c>
      <c r="AB20" s="137">
        <v>34750</v>
      </c>
      <c r="AC20" s="138">
        <f t="shared" si="10"/>
        <v>668.26923076923072</v>
      </c>
      <c r="AD20" s="137">
        <v>12300</v>
      </c>
      <c r="AE20" s="139">
        <f t="shared" si="11"/>
        <v>236.53846153846155</v>
      </c>
      <c r="AF20" s="150">
        <f t="shared" si="22"/>
        <v>47050</v>
      </c>
      <c r="AG20" s="141">
        <f t="shared" si="12"/>
        <v>904.80769230769226</v>
      </c>
      <c r="AH20" s="157">
        <f t="shared" si="13"/>
        <v>37</v>
      </c>
      <c r="AI20" s="152">
        <f t="shared" si="14"/>
        <v>434290</v>
      </c>
      <c r="AJ20" s="152">
        <f t="shared" si="15"/>
        <v>93950</v>
      </c>
      <c r="AK20" s="151">
        <f t="shared" si="23"/>
        <v>528240</v>
      </c>
      <c r="AL20" s="144">
        <f t="shared" si="16"/>
        <v>119360</v>
      </c>
      <c r="AM20" s="144">
        <v>1200</v>
      </c>
      <c r="AN20" s="152">
        <v>37</v>
      </c>
      <c r="AO20" s="152">
        <v>399540</v>
      </c>
      <c r="AP20" s="152">
        <v>81650</v>
      </c>
      <c r="AQ20" s="153">
        <v>38500</v>
      </c>
      <c r="AR20" s="153">
        <v>80860</v>
      </c>
      <c r="AS20" s="153"/>
      <c r="AT20" s="153">
        <v>70000</v>
      </c>
      <c r="AU20" s="154">
        <f t="shared" si="24"/>
        <v>600550</v>
      </c>
      <c r="AV20" s="121">
        <v>16</v>
      </c>
      <c r="AW20" s="122">
        <f t="shared" si="25"/>
        <v>670550</v>
      </c>
      <c r="AX20" s="206">
        <f t="shared" si="26"/>
        <v>648800</v>
      </c>
    </row>
    <row r="21" spans="1:50" ht="15.75" customHeight="1">
      <c r="A21" s="121"/>
      <c r="B21" s="156">
        <f t="shared" si="17"/>
        <v>45825</v>
      </c>
      <c r="C21" s="205" t="s">
        <v>59</v>
      </c>
      <c r="D21" s="134">
        <v>89</v>
      </c>
      <c r="E21" s="135"/>
      <c r="F21" s="136"/>
      <c r="G21" s="137"/>
      <c r="H21" s="138" t="e">
        <f t="shared" si="0"/>
        <v>#DIV/0!</v>
      </c>
      <c r="I21" s="137"/>
      <c r="J21" s="138" t="e">
        <f t="shared" si="1"/>
        <v>#DIV/0!</v>
      </c>
      <c r="K21" s="140">
        <f t="shared" si="2"/>
        <v>0</v>
      </c>
      <c r="L21" s="141" t="str">
        <f t="shared" si="3"/>
        <v/>
      </c>
      <c r="M21" s="142"/>
      <c r="N21" s="143">
        <f t="shared" si="18"/>
        <v>32</v>
      </c>
      <c r="O21" s="144">
        <f t="shared" si="18"/>
        <v>288500</v>
      </c>
      <c r="P21" s="138">
        <f t="shared" si="4"/>
        <v>8196</v>
      </c>
      <c r="Q21" s="144">
        <f t="shared" si="19"/>
        <v>77490</v>
      </c>
      <c r="R21" s="162">
        <f t="shared" si="5"/>
        <v>2201.40625</v>
      </c>
      <c r="S21" s="145">
        <f>O21+Q21</f>
        <v>365990</v>
      </c>
      <c r="T21" s="141">
        <f t="shared" si="6"/>
        <v>11437.1875</v>
      </c>
      <c r="U21" s="146">
        <f t="shared" ref="U21:V31" si="27">F21+N21</f>
        <v>32</v>
      </c>
      <c r="V21" s="144">
        <f t="shared" si="27"/>
        <v>288500</v>
      </c>
      <c r="W21" s="144">
        <f t="shared" si="8"/>
        <v>77490</v>
      </c>
      <c r="X21" s="147">
        <f>K21+S21</f>
        <v>365990</v>
      </c>
      <c r="Y21" s="144">
        <f t="shared" si="9"/>
        <v>11437.1875</v>
      </c>
      <c r="Z21" s="148"/>
      <c r="AA21" s="149">
        <v>80</v>
      </c>
      <c r="AB21" s="137">
        <v>48850</v>
      </c>
      <c r="AC21" s="138">
        <f t="shared" si="10"/>
        <v>610.625</v>
      </c>
      <c r="AD21" s="137">
        <v>22340</v>
      </c>
      <c r="AE21" s="139">
        <f t="shared" si="11"/>
        <v>279.25</v>
      </c>
      <c r="AF21" s="150">
        <f t="shared" si="22"/>
        <v>71190</v>
      </c>
      <c r="AG21" s="141">
        <f t="shared" si="12"/>
        <v>889.875</v>
      </c>
      <c r="AH21" s="157">
        <f t="shared" si="13"/>
        <v>32</v>
      </c>
      <c r="AI21" s="152">
        <f t="shared" si="14"/>
        <v>337350</v>
      </c>
      <c r="AJ21" s="152">
        <f t="shared" si="15"/>
        <v>99830</v>
      </c>
      <c r="AK21" s="151">
        <f>X21+AF21</f>
        <v>437180</v>
      </c>
      <c r="AL21" s="144">
        <f>AQ21+AR21+AS21</f>
        <v>23650</v>
      </c>
      <c r="AM21" s="144">
        <v>5250</v>
      </c>
      <c r="AN21" s="152">
        <v>32</v>
      </c>
      <c r="AO21" s="152">
        <v>288500</v>
      </c>
      <c r="AP21" s="152">
        <v>77490</v>
      </c>
      <c r="AQ21" s="153">
        <v>22000</v>
      </c>
      <c r="AR21" s="153">
        <v>1650</v>
      </c>
      <c r="AS21" s="153"/>
      <c r="AT21" s="153"/>
      <c r="AU21" s="154">
        <f t="shared" si="24"/>
        <v>389640</v>
      </c>
      <c r="AV21" s="121">
        <v>17</v>
      </c>
      <c r="AW21" s="122">
        <f t="shared" si="25"/>
        <v>389640</v>
      </c>
      <c r="AX21" s="206">
        <f t="shared" si="26"/>
        <v>466080</v>
      </c>
    </row>
    <row r="22" spans="1:50" ht="15.75" customHeight="1">
      <c r="A22" s="121"/>
      <c r="B22" s="156">
        <f t="shared" si="17"/>
        <v>45826</v>
      </c>
      <c r="C22" s="205" t="s">
        <v>59</v>
      </c>
      <c r="D22" s="134">
        <v>84</v>
      </c>
      <c r="E22" s="135"/>
      <c r="F22" s="136"/>
      <c r="G22" s="137"/>
      <c r="H22" s="138" t="e">
        <f t="shared" si="0"/>
        <v>#DIV/0!</v>
      </c>
      <c r="I22" s="137"/>
      <c r="J22" s="138" t="e">
        <f t="shared" si="1"/>
        <v>#DIV/0!</v>
      </c>
      <c r="K22" s="140">
        <f t="shared" si="2"/>
        <v>0</v>
      </c>
      <c r="L22" s="141" t="str">
        <f t="shared" si="3"/>
        <v/>
      </c>
      <c r="M22" s="142"/>
      <c r="N22" s="143">
        <f t="shared" ref="N22:O34" si="28">AN22-F22</f>
        <v>40</v>
      </c>
      <c r="O22" s="144">
        <f t="shared" si="28"/>
        <v>359590</v>
      </c>
      <c r="P22" s="138">
        <f t="shared" si="4"/>
        <v>8172.5</v>
      </c>
      <c r="Q22" s="144">
        <f t="shared" si="19"/>
        <v>58240</v>
      </c>
      <c r="R22" s="162">
        <f t="shared" si="5"/>
        <v>1323.625</v>
      </c>
      <c r="S22" s="145">
        <f t="shared" si="20"/>
        <v>417830</v>
      </c>
      <c r="T22" s="141">
        <f t="shared" si="6"/>
        <v>10445.75</v>
      </c>
      <c r="U22" s="146">
        <f t="shared" si="27"/>
        <v>40</v>
      </c>
      <c r="V22" s="144">
        <f t="shared" si="27"/>
        <v>359590</v>
      </c>
      <c r="W22" s="144">
        <f t="shared" si="8"/>
        <v>58240</v>
      </c>
      <c r="X22" s="147">
        <f t="shared" si="21"/>
        <v>417830</v>
      </c>
      <c r="Y22" s="144">
        <f t="shared" si="9"/>
        <v>10445.75</v>
      </c>
      <c r="Z22" s="148"/>
      <c r="AA22" s="149">
        <v>96</v>
      </c>
      <c r="AB22" s="137">
        <v>66200</v>
      </c>
      <c r="AC22" s="138">
        <f t="shared" si="10"/>
        <v>689.58333333333337</v>
      </c>
      <c r="AD22" s="137">
        <v>20660</v>
      </c>
      <c r="AE22" s="139">
        <f t="shared" si="11"/>
        <v>215.20833333333334</v>
      </c>
      <c r="AF22" s="150">
        <f t="shared" si="22"/>
        <v>86860</v>
      </c>
      <c r="AG22" s="141">
        <f t="shared" si="12"/>
        <v>904.79166666666663</v>
      </c>
      <c r="AH22" s="157">
        <f t="shared" si="13"/>
        <v>40</v>
      </c>
      <c r="AI22" s="152">
        <f t="shared" si="14"/>
        <v>425790</v>
      </c>
      <c r="AJ22" s="152">
        <f t="shared" si="15"/>
        <v>78900</v>
      </c>
      <c r="AK22" s="151">
        <f t="shared" si="23"/>
        <v>504690</v>
      </c>
      <c r="AL22" s="144">
        <f t="shared" si="16"/>
        <v>45650</v>
      </c>
      <c r="AM22" s="144">
        <v>1350</v>
      </c>
      <c r="AN22" s="152">
        <v>40</v>
      </c>
      <c r="AO22" s="152">
        <v>359590</v>
      </c>
      <c r="AP22" s="152">
        <v>58240</v>
      </c>
      <c r="AQ22" s="153">
        <v>44000</v>
      </c>
      <c r="AR22" s="153">
        <v>1650</v>
      </c>
      <c r="AS22" s="153"/>
      <c r="AT22" s="153"/>
      <c r="AU22" s="154">
        <f t="shared" si="24"/>
        <v>463480</v>
      </c>
      <c r="AV22" s="121">
        <v>18</v>
      </c>
      <c r="AW22" s="122">
        <f t="shared" si="25"/>
        <v>463480</v>
      </c>
      <c r="AX22" s="206">
        <f t="shared" si="26"/>
        <v>551690</v>
      </c>
    </row>
    <row r="23" spans="1:50" ht="15.75" customHeight="1">
      <c r="A23" s="121"/>
      <c r="B23" s="156">
        <f t="shared" si="17"/>
        <v>45827</v>
      </c>
      <c r="C23" s="205" t="s">
        <v>59</v>
      </c>
      <c r="D23" s="134">
        <v>88</v>
      </c>
      <c r="E23" s="135"/>
      <c r="F23" s="136"/>
      <c r="G23" s="137"/>
      <c r="H23" s="138" t="e">
        <f t="shared" si="0"/>
        <v>#DIV/0!</v>
      </c>
      <c r="I23" s="137"/>
      <c r="J23" s="138" t="e">
        <f t="shared" si="1"/>
        <v>#DIV/0!</v>
      </c>
      <c r="K23" s="140">
        <f t="shared" si="2"/>
        <v>0</v>
      </c>
      <c r="L23" s="141" t="str">
        <f t="shared" si="3"/>
        <v/>
      </c>
      <c r="M23" s="142"/>
      <c r="N23" s="143">
        <f t="shared" si="28"/>
        <v>34</v>
      </c>
      <c r="O23" s="144">
        <f t="shared" si="28"/>
        <v>358380</v>
      </c>
      <c r="P23" s="138">
        <f t="shared" si="4"/>
        <v>9582.3529411764703</v>
      </c>
      <c r="Q23" s="144">
        <f t="shared" si="19"/>
        <v>53560</v>
      </c>
      <c r="R23" s="162">
        <f t="shared" si="5"/>
        <v>1432.0588235294117</v>
      </c>
      <c r="S23" s="145">
        <f t="shared" si="20"/>
        <v>411940</v>
      </c>
      <c r="T23" s="141">
        <f t="shared" si="6"/>
        <v>12115.882352941177</v>
      </c>
      <c r="U23" s="146">
        <f t="shared" si="27"/>
        <v>34</v>
      </c>
      <c r="V23" s="144">
        <f t="shared" si="27"/>
        <v>358380</v>
      </c>
      <c r="W23" s="144">
        <f t="shared" si="8"/>
        <v>53560</v>
      </c>
      <c r="X23" s="147">
        <f t="shared" si="21"/>
        <v>411940</v>
      </c>
      <c r="Y23" s="144">
        <f t="shared" si="9"/>
        <v>12115.882352941177</v>
      </c>
      <c r="Z23" s="148"/>
      <c r="AA23" s="149">
        <v>86</v>
      </c>
      <c r="AB23" s="137">
        <v>59400</v>
      </c>
      <c r="AC23" s="138">
        <f t="shared" si="10"/>
        <v>690.69767441860461</v>
      </c>
      <c r="AD23" s="137">
        <v>26620</v>
      </c>
      <c r="AE23" s="139">
        <f t="shared" si="11"/>
        <v>309.53488372093022</v>
      </c>
      <c r="AF23" s="150">
        <f t="shared" si="22"/>
        <v>86020</v>
      </c>
      <c r="AG23" s="141">
        <f t="shared" si="12"/>
        <v>1000.2325581395348</v>
      </c>
      <c r="AH23" s="157">
        <f t="shared" si="13"/>
        <v>34</v>
      </c>
      <c r="AI23" s="152">
        <f t="shared" si="14"/>
        <v>417780</v>
      </c>
      <c r="AJ23" s="152">
        <f t="shared" si="15"/>
        <v>80180</v>
      </c>
      <c r="AK23" s="151">
        <f t="shared" si="23"/>
        <v>497960</v>
      </c>
      <c r="AL23" s="144">
        <f t="shared" si="16"/>
        <v>33000</v>
      </c>
      <c r="AM23" s="144">
        <v>8850</v>
      </c>
      <c r="AN23" s="152">
        <v>34</v>
      </c>
      <c r="AO23" s="152">
        <v>358380</v>
      </c>
      <c r="AP23" s="152">
        <v>53560</v>
      </c>
      <c r="AQ23" s="153">
        <v>33000</v>
      </c>
      <c r="AR23" s="153"/>
      <c r="AS23" s="153"/>
      <c r="AT23" s="153">
        <v>3300</v>
      </c>
      <c r="AU23" s="154">
        <f t="shared" si="24"/>
        <v>444940</v>
      </c>
      <c r="AV23" s="121">
        <v>19</v>
      </c>
      <c r="AW23" s="122">
        <f t="shared" si="25"/>
        <v>448240</v>
      </c>
      <c r="AX23" s="206">
        <f>AU23+AF23+AM23</f>
        <v>539810</v>
      </c>
    </row>
    <row r="24" spans="1:50" ht="15.75" customHeight="1">
      <c r="A24" s="121"/>
      <c r="B24" s="156">
        <f t="shared" si="17"/>
        <v>45828</v>
      </c>
      <c r="C24" s="205" t="s">
        <v>59</v>
      </c>
      <c r="D24" s="134">
        <v>70</v>
      </c>
      <c r="E24" s="135"/>
      <c r="F24" s="136"/>
      <c r="G24" s="137"/>
      <c r="H24" s="138" t="e">
        <f t="shared" si="0"/>
        <v>#DIV/0!</v>
      </c>
      <c r="I24" s="137"/>
      <c r="J24" s="138" t="e">
        <f t="shared" si="1"/>
        <v>#DIV/0!</v>
      </c>
      <c r="K24" s="140">
        <f t="shared" si="2"/>
        <v>0</v>
      </c>
      <c r="L24" s="141" t="str">
        <f t="shared" si="3"/>
        <v/>
      </c>
      <c r="M24" s="142"/>
      <c r="N24" s="143">
        <f t="shared" si="28"/>
        <v>39</v>
      </c>
      <c r="O24" s="144">
        <f t="shared" si="28"/>
        <v>382580</v>
      </c>
      <c r="P24" s="138">
        <f t="shared" si="4"/>
        <v>8917.9487179487187</v>
      </c>
      <c r="Q24" s="144">
        <f t="shared" si="19"/>
        <v>72140</v>
      </c>
      <c r="R24" s="162">
        <f t="shared" si="5"/>
        <v>1681.5641025641025</v>
      </c>
      <c r="S24" s="145">
        <f t="shared" si="20"/>
        <v>454720</v>
      </c>
      <c r="T24" s="141">
        <f t="shared" si="6"/>
        <v>11659.48717948718</v>
      </c>
      <c r="U24" s="146">
        <f t="shared" si="27"/>
        <v>39</v>
      </c>
      <c r="V24" s="144">
        <f t="shared" si="27"/>
        <v>382580</v>
      </c>
      <c r="W24" s="144">
        <f t="shared" si="8"/>
        <v>72140</v>
      </c>
      <c r="X24" s="147">
        <f t="shared" si="21"/>
        <v>454720</v>
      </c>
      <c r="Y24" s="144">
        <f t="shared" si="9"/>
        <v>11659.48717948718</v>
      </c>
      <c r="Z24" s="148"/>
      <c r="AA24" s="149">
        <v>94</v>
      </c>
      <c r="AB24" s="137">
        <v>64750</v>
      </c>
      <c r="AC24" s="138">
        <f t="shared" si="10"/>
        <v>688.82978723404256</v>
      </c>
      <c r="AD24" s="137">
        <v>20890</v>
      </c>
      <c r="AE24" s="139">
        <f t="shared" si="11"/>
        <v>222.2340425531915</v>
      </c>
      <c r="AF24" s="150">
        <f t="shared" si="22"/>
        <v>85640</v>
      </c>
      <c r="AG24" s="141">
        <f t="shared" si="12"/>
        <v>911.063829787234</v>
      </c>
      <c r="AH24" s="157">
        <f t="shared" si="13"/>
        <v>39</v>
      </c>
      <c r="AI24" s="152">
        <f t="shared" si="14"/>
        <v>447330</v>
      </c>
      <c r="AJ24" s="152">
        <f t="shared" si="15"/>
        <v>93030</v>
      </c>
      <c r="AK24" s="151">
        <f>X24+AF24</f>
        <v>540360</v>
      </c>
      <c r="AL24" s="144">
        <f t="shared" si="16"/>
        <v>41800</v>
      </c>
      <c r="AM24" s="144">
        <v>2700</v>
      </c>
      <c r="AN24" s="152">
        <v>39</v>
      </c>
      <c r="AO24" s="152">
        <v>382580</v>
      </c>
      <c r="AP24" s="152">
        <v>72140</v>
      </c>
      <c r="AQ24" s="153">
        <v>40150</v>
      </c>
      <c r="AR24" s="153">
        <v>1650</v>
      </c>
      <c r="AS24" s="153"/>
      <c r="AT24" s="153"/>
      <c r="AU24" s="154">
        <f>SUM(AO24:AS24)</f>
        <v>496520</v>
      </c>
      <c r="AV24" s="121">
        <v>20</v>
      </c>
      <c r="AW24" s="122">
        <f t="shared" si="25"/>
        <v>496520</v>
      </c>
      <c r="AX24" s="206">
        <f>AU24+AF24+AM24</f>
        <v>584860</v>
      </c>
    </row>
    <row r="25" spans="1:50" ht="15.75" customHeight="1">
      <c r="A25" s="121"/>
      <c r="B25" s="159">
        <f t="shared" si="17"/>
        <v>45829</v>
      </c>
      <c r="C25" s="205"/>
      <c r="D25" s="134">
        <v>20</v>
      </c>
      <c r="E25" s="135"/>
      <c r="F25" s="136">
        <v>35</v>
      </c>
      <c r="G25" s="137">
        <v>110990</v>
      </c>
      <c r="H25" s="138">
        <f t="shared" si="0"/>
        <v>2882.8571428571427</v>
      </c>
      <c r="I25" s="137">
        <v>23290</v>
      </c>
      <c r="J25" s="138">
        <f t="shared" si="1"/>
        <v>604.91428571428571</v>
      </c>
      <c r="K25" s="140">
        <f t="shared" si="2"/>
        <v>134280</v>
      </c>
      <c r="L25" s="141">
        <f t="shared" si="3"/>
        <v>3836.5714285714284</v>
      </c>
      <c r="M25" s="142"/>
      <c r="N25" s="143">
        <f t="shared" si="28"/>
        <v>41</v>
      </c>
      <c r="O25" s="144">
        <f t="shared" si="28"/>
        <v>388570</v>
      </c>
      <c r="P25" s="138">
        <f t="shared" si="4"/>
        <v>8615.7317073170725</v>
      </c>
      <c r="Q25" s="144">
        <f t="shared" si="19"/>
        <v>76800</v>
      </c>
      <c r="R25" s="162">
        <f t="shared" si="5"/>
        <v>1702.8780487804879</v>
      </c>
      <c r="S25" s="145">
        <f t="shared" si="20"/>
        <v>465370</v>
      </c>
      <c r="T25" s="141">
        <f t="shared" si="6"/>
        <v>11350.487804878048</v>
      </c>
      <c r="U25" s="146">
        <f t="shared" si="27"/>
        <v>76</v>
      </c>
      <c r="V25" s="144">
        <f t="shared" si="27"/>
        <v>499560</v>
      </c>
      <c r="W25" s="144">
        <f t="shared" si="8"/>
        <v>100090</v>
      </c>
      <c r="X25" s="147">
        <f t="shared" si="21"/>
        <v>599650</v>
      </c>
      <c r="Y25" s="144">
        <f t="shared" si="9"/>
        <v>7890.1315789473683</v>
      </c>
      <c r="Z25" s="148"/>
      <c r="AA25" s="149">
        <v>60</v>
      </c>
      <c r="AB25" s="137">
        <v>42750</v>
      </c>
      <c r="AC25" s="138">
        <f t="shared" si="10"/>
        <v>712.5</v>
      </c>
      <c r="AD25" s="137">
        <v>8100</v>
      </c>
      <c r="AE25" s="139">
        <f t="shared" si="11"/>
        <v>135</v>
      </c>
      <c r="AF25" s="150">
        <f t="shared" si="22"/>
        <v>50850</v>
      </c>
      <c r="AG25" s="141">
        <f t="shared" si="12"/>
        <v>847.5</v>
      </c>
      <c r="AH25" s="157">
        <f t="shared" si="13"/>
        <v>76</v>
      </c>
      <c r="AI25" s="152">
        <f t="shared" si="14"/>
        <v>542310</v>
      </c>
      <c r="AJ25" s="152">
        <f t="shared" si="15"/>
        <v>108190</v>
      </c>
      <c r="AK25" s="151">
        <f>X25+AF25</f>
        <v>650500</v>
      </c>
      <c r="AL25" s="144">
        <f t="shared" si="16"/>
        <v>50510</v>
      </c>
      <c r="AM25" s="144">
        <v>6000</v>
      </c>
      <c r="AN25" s="152">
        <v>76</v>
      </c>
      <c r="AO25" s="152">
        <v>499560</v>
      </c>
      <c r="AP25" s="152">
        <v>100090</v>
      </c>
      <c r="AQ25" s="153">
        <v>48950</v>
      </c>
      <c r="AR25" s="153">
        <v>1560</v>
      </c>
      <c r="AS25" s="153"/>
      <c r="AT25" s="153"/>
      <c r="AU25" s="154">
        <f t="shared" si="24"/>
        <v>650160</v>
      </c>
      <c r="AV25" s="121">
        <v>21</v>
      </c>
      <c r="AW25" s="122">
        <f t="shared" si="25"/>
        <v>650160</v>
      </c>
      <c r="AX25" s="206">
        <f t="shared" si="26"/>
        <v>707010</v>
      </c>
    </row>
    <row r="26" spans="1:50" ht="15.75" customHeight="1">
      <c r="A26" s="121"/>
      <c r="B26" s="160">
        <f t="shared" si="17"/>
        <v>45830</v>
      </c>
      <c r="C26" s="205"/>
      <c r="D26" s="134">
        <v>100</v>
      </c>
      <c r="E26" s="135"/>
      <c r="F26" s="136">
        <v>20</v>
      </c>
      <c r="G26" s="137">
        <v>80850</v>
      </c>
      <c r="H26" s="138">
        <f t="shared" si="0"/>
        <v>3675</v>
      </c>
      <c r="I26" s="137">
        <v>26200</v>
      </c>
      <c r="J26" s="138">
        <f t="shared" si="1"/>
        <v>1190.9000000000001</v>
      </c>
      <c r="K26" s="140">
        <f t="shared" si="2"/>
        <v>107050</v>
      </c>
      <c r="L26" s="141">
        <f t="shared" si="3"/>
        <v>5352.5</v>
      </c>
      <c r="M26" s="142"/>
      <c r="N26" s="143">
        <f t="shared" si="28"/>
        <v>37</v>
      </c>
      <c r="O26" s="144">
        <f t="shared" si="28"/>
        <v>343750</v>
      </c>
      <c r="P26" s="138">
        <f t="shared" si="4"/>
        <v>8445.9459459459467</v>
      </c>
      <c r="Q26" s="144">
        <f t="shared" si="19"/>
        <v>50150</v>
      </c>
      <c r="R26" s="162">
        <f t="shared" si="5"/>
        <v>1232.1621621621621</v>
      </c>
      <c r="S26" s="145">
        <f t="shared" si="20"/>
        <v>393900</v>
      </c>
      <c r="T26" s="141">
        <f t="shared" si="6"/>
        <v>10645.945945945947</v>
      </c>
      <c r="U26" s="146">
        <f t="shared" si="27"/>
        <v>57</v>
      </c>
      <c r="V26" s="144">
        <f t="shared" si="27"/>
        <v>424600</v>
      </c>
      <c r="W26" s="144">
        <f t="shared" si="8"/>
        <v>76350</v>
      </c>
      <c r="X26" s="147">
        <f t="shared" si="21"/>
        <v>500950</v>
      </c>
      <c r="Y26" s="144">
        <f t="shared" si="9"/>
        <v>8788.5964912280706</v>
      </c>
      <c r="Z26" s="148"/>
      <c r="AA26" s="149">
        <v>126</v>
      </c>
      <c r="AB26" s="137">
        <v>81250</v>
      </c>
      <c r="AC26" s="138">
        <f t="shared" si="10"/>
        <v>644.84126984126988</v>
      </c>
      <c r="AD26" s="137">
        <v>36000</v>
      </c>
      <c r="AE26" s="139">
        <f t="shared" si="11"/>
        <v>285.71428571428572</v>
      </c>
      <c r="AF26" s="150">
        <f t="shared" si="22"/>
        <v>117250</v>
      </c>
      <c r="AG26" s="141">
        <f t="shared" si="12"/>
        <v>930.55555555555554</v>
      </c>
      <c r="AH26" s="157">
        <f t="shared" si="13"/>
        <v>57</v>
      </c>
      <c r="AI26" s="152">
        <f t="shared" si="14"/>
        <v>505850</v>
      </c>
      <c r="AJ26" s="152">
        <f t="shared" si="15"/>
        <v>112350</v>
      </c>
      <c r="AK26" s="151">
        <f>X26+AF26</f>
        <v>618200</v>
      </c>
      <c r="AL26" s="144">
        <f t="shared" si="16"/>
        <v>50050</v>
      </c>
      <c r="AM26" s="144"/>
      <c r="AN26" s="152">
        <v>57</v>
      </c>
      <c r="AO26" s="152">
        <v>424600</v>
      </c>
      <c r="AP26" s="152">
        <v>76350</v>
      </c>
      <c r="AQ26" s="153">
        <v>50050</v>
      </c>
      <c r="AR26" s="153"/>
      <c r="AS26" s="153"/>
      <c r="AT26" s="153"/>
      <c r="AU26" s="154">
        <f t="shared" si="24"/>
        <v>551000</v>
      </c>
      <c r="AV26" s="121">
        <v>22</v>
      </c>
      <c r="AW26" s="122">
        <f t="shared" si="25"/>
        <v>551000</v>
      </c>
      <c r="AX26" s="206">
        <f t="shared" si="26"/>
        <v>668250</v>
      </c>
    </row>
    <row r="27" spans="1:50" ht="15.75" customHeight="1">
      <c r="A27" s="121"/>
      <c r="B27" s="156">
        <f t="shared" si="17"/>
        <v>45831</v>
      </c>
      <c r="C27" s="205" t="s">
        <v>59</v>
      </c>
      <c r="D27" s="134">
        <v>97</v>
      </c>
      <c r="E27" s="135"/>
      <c r="F27" s="136"/>
      <c r="G27" s="137"/>
      <c r="H27" s="138" t="e">
        <f t="shared" si="0"/>
        <v>#DIV/0!</v>
      </c>
      <c r="I27" s="137"/>
      <c r="J27" s="138" t="e">
        <f t="shared" si="1"/>
        <v>#DIV/0!</v>
      </c>
      <c r="K27" s="140">
        <f t="shared" si="2"/>
        <v>0</v>
      </c>
      <c r="L27" s="141" t="str">
        <f t="shared" si="3"/>
        <v/>
      </c>
      <c r="M27" s="142"/>
      <c r="N27" s="143">
        <f t="shared" si="28"/>
        <v>31</v>
      </c>
      <c r="O27" s="144">
        <f t="shared" si="28"/>
        <v>264240</v>
      </c>
      <c r="P27" s="138">
        <f t="shared" si="4"/>
        <v>7748.9677419354839</v>
      </c>
      <c r="Q27" s="144">
        <f t="shared" si="19"/>
        <v>37720</v>
      </c>
      <c r="R27" s="139">
        <f t="shared" si="5"/>
        <v>1106.1290322580646</v>
      </c>
      <c r="S27" s="145">
        <f t="shared" si="20"/>
        <v>301960</v>
      </c>
      <c r="T27" s="141">
        <f t="shared" si="6"/>
        <v>9740.645161290322</v>
      </c>
      <c r="U27" s="146">
        <f t="shared" si="27"/>
        <v>31</v>
      </c>
      <c r="V27" s="144">
        <f t="shared" si="27"/>
        <v>264240</v>
      </c>
      <c r="W27" s="144">
        <f t="shared" si="8"/>
        <v>37720</v>
      </c>
      <c r="X27" s="147">
        <f t="shared" si="21"/>
        <v>301960</v>
      </c>
      <c r="Y27" s="144">
        <f t="shared" si="9"/>
        <v>9740.645161290322</v>
      </c>
      <c r="Z27" s="148"/>
      <c r="AA27" s="149">
        <v>78</v>
      </c>
      <c r="AB27" s="137">
        <v>54600</v>
      </c>
      <c r="AC27" s="138">
        <f t="shared" si="10"/>
        <v>700</v>
      </c>
      <c r="AD27" s="137">
        <v>14640</v>
      </c>
      <c r="AE27" s="139">
        <f t="shared" si="11"/>
        <v>187.69230769230768</v>
      </c>
      <c r="AF27" s="150">
        <f t="shared" si="22"/>
        <v>69240</v>
      </c>
      <c r="AG27" s="141">
        <f t="shared" si="12"/>
        <v>887.69230769230774</v>
      </c>
      <c r="AH27" s="157">
        <f t="shared" si="13"/>
        <v>31</v>
      </c>
      <c r="AI27" s="152">
        <f t="shared" si="14"/>
        <v>318840</v>
      </c>
      <c r="AJ27" s="152">
        <f t="shared" si="15"/>
        <v>52360</v>
      </c>
      <c r="AK27" s="151">
        <f>X27+AF27</f>
        <v>371200</v>
      </c>
      <c r="AL27" s="144">
        <f t="shared" si="16"/>
        <v>23100</v>
      </c>
      <c r="AM27" s="144">
        <v>1200</v>
      </c>
      <c r="AN27" s="152">
        <v>31</v>
      </c>
      <c r="AO27" s="152">
        <v>264240</v>
      </c>
      <c r="AP27" s="152">
        <v>37720</v>
      </c>
      <c r="AQ27" s="153">
        <v>23100</v>
      </c>
      <c r="AR27" s="153"/>
      <c r="AS27" s="153"/>
      <c r="AT27" s="153"/>
      <c r="AU27" s="154">
        <f t="shared" si="24"/>
        <v>325060</v>
      </c>
      <c r="AV27" s="121">
        <v>23</v>
      </c>
      <c r="AW27" s="122">
        <f t="shared" si="25"/>
        <v>325060</v>
      </c>
      <c r="AX27" s="206">
        <f t="shared" si="26"/>
        <v>395500</v>
      </c>
    </row>
    <row r="28" spans="1:50" ht="15.75" customHeight="1">
      <c r="A28" s="121"/>
      <c r="B28" s="156">
        <f t="shared" si="17"/>
        <v>45832</v>
      </c>
      <c r="C28" s="205" t="s">
        <v>59</v>
      </c>
      <c r="D28" s="134">
        <v>89</v>
      </c>
      <c r="E28" s="135"/>
      <c r="F28" s="136"/>
      <c r="G28" s="137"/>
      <c r="H28" s="138" t="e">
        <f t="shared" si="0"/>
        <v>#DIV/0!</v>
      </c>
      <c r="I28" s="137"/>
      <c r="J28" s="138" t="e">
        <f t="shared" si="1"/>
        <v>#DIV/0!</v>
      </c>
      <c r="K28" s="140">
        <f t="shared" si="2"/>
        <v>0</v>
      </c>
      <c r="L28" s="141" t="str">
        <f t="shared" si="3"/>
        <v/>
      </c>
      <c r="M28" s="142"/>
      <c r="N28" s="143">
        <f t="shared" si="28"/>
        <v>42</v>
      </c>
      <c r="O28" s="144">
        <f t="shared" si="28"/>
        <v>380380</v>
      </c>
      <c r="P28" s="138">
        <f t="shared" si="4"/>
        <v>8233.3333333333339</v>
      </c>
      <c r="Q28" s="144">
        <f t="shared" si="19"/>
        <v>39470</v>
      </c>
      <c r="R28" s="139">
        <f t="shared" si="5"/>
        <v>854.30952380952385</v>
      </c>
      <c r="S28" s="145">
        <f t="shared" si="20"/>
        <v>419850</v>
      </c>
      <c r="T28" s="141">
        <f t="shared" si="6"/>
        <v>9996.4285714285706</v>
      </c>
      <c r="U28" s="146">
        <f t="shared" si="27"/>
        <v>42</v>
      </c>
      <c r="V28" s="144">
        <f t="shared" si="27"/>
        <v>380380</v>
      </c>
      <c r="W28" s="144">
        <f t="shared" si="8"/>
        <v>39470</v>
      </c>
      <c r="X28" s="147">
        <f t="shared" si="21"/>
        <v>419850</v>
      </c>
      <c r="Y28" s="144">
        <f t="shared" si="9"/>
        <v>9996.4285714285706</v>
      </c>
      <c r="Z28" s="148"/>
      <c r="AA28" s="149">
        <v>90</v>
      </c>
      <c r="AB28" s="137">
        <v>58200</v>
      </c>
      <c r="AC28" s="138">
        <f t="shared" si="10"/>
        <v>646.66666666666663</v>
      </c>
      <c r="AD28" s="137">
        <v>27200</v>
      </c>
      <c r="AE28" s="139">
        <f t="shared" si="11"/>
        <v>302.22222222222223</v>
      </c>
      <c r="AF28" s="150">
        <f t="shared" si="22"/>
        <v>85400</v>
      </c>
      <c r="AG28" s="141">
        <f t="shared" si="12"/>
        <v>948.88888888888891</v>
      </c>
      <c r="AH28" s="157">
        <f t="shared" si="13"/>
        <v>42</v>
      </c>
      <c r="AI28" s="152">
        <f t="shared" si="14"/>
        <v>438580</v>
      </c>
      <c r="AJ28" s="152">
        <f t="shared" si="15"/>
        <v>66670</v>
      </c>
      <c r="AK28" s="151">
        <f t="shared" si="23"/>
        <v>505250</v>
      </c>
      <c r="AL28" s="144">
        <f t="shared" si="16"/>
        <v>137600</v>
      </c>
      <c r="AM28" s="144"/>
      <c r="AN28" s="152">
        <v>42</v>
      </c>
      <c r="AO28" s="152">
        <v>380380</v>
      </c>
      <c r="AP28" s="152">
        <v>39470</v>
      </c>
      <c r="AQ28" s="153">
        <v>50600</v>
      </c>
      <c r="AR28" s="153">
        <v>87000</v>
      </c>
      <c r="AS28" s="153"/>
      <c r="AT28" s="153"/>
      <c r="AU28" s="154">
        <f>SUM(AO28:AS28)</f>
        <v>557450</v>
      </c>
      <c r="AV28" s="121">
        <v>24</v>
      </c>
      <c r="AW28" s="122">
        <f t="shared" si="25"/>
        <v>557450</v>
      </c>
      <c r="AX28" s="206">
        <f>AU28+AF28+AM28</f>
        <v>642850</v>
      </c>
    </row>
    <row r="29" spans="1:50" ht="15.75" customHeight="1">
      <c r="A29" s="121"/>
      <c r="B29" s="156">
        <f t="shared" si="17"/>
        <v>45833</v>
      </c>
      <c r="C29" s="205" t="s">
        <v>59</v>
      </c>
      <c r="D29" s="134">
        <v>93</v>
      </c>
      <c r="E29" s="135"/>
      <c r="F29" s="136"/>
      <c r="G29" s="137"/>
      <c r="H29" s="138" t="e">
        <f t="shared" si="0"/>
        <v>#DIV/0!</v>
      </c>
      <c r="I29" s="137"/>
      <c r="J29" s="138" t="e">
        <f t="shared" si="1"/>
        <v>#DIV/0!</v>
      </c>
      <c r="K29" s="140">
        <f t="shared" si="2"/>
        <v>0</v>
      </c>
      <c r="L29" s="141" t="str">
        <f t="shared" si="3"/>
        <v/>
      </c>
      <c r="M29" s="142"/>
      <c r="N29" s="143">
        <f t="shared" si="28"/>
        <v>26</v>
      </c>
      <c r="O29" s="144">
        <f t="shared" si="28"/>
        <v>294130</v>
      </c>
      <c r="P29" s="138">
        <f t="shared" si="4"/>
        <v>10284.23076923077</v>
      </c>
      <c r="Q29" s="144">
        <f t="shared" si="19"/>
        <v>79770</v>
      </c>
      <c r="R29" s="139">
        <f t="shared" si="5"/>
        <v>2789.1538461538462</v>
      </c>
      <c r="S29" s="145">
        <f t="shared" si="20"/>
        <v>373900</v>
      </c>
      <c r="T29" s="141">
        <f t="shared" si="6"/>
        <v>14380.76923076923</v>
      </c>
      <c r="U29" s="146">
        <f t="shared" si="27"/>
        <v>26</v>
      </c>
      <c r="V29" s="144">
        <f t="shared" si="27"/>
        <v>294130</v>
      </c>
      <c r="W29" s="144">
        <f t="shared" si="8"/>
        <v>79770</v>
      </c>
      <c r="X29" s="147">
        <f t="shared" si="21"/>
        <v>373900</v>
      </c>
      <c r="Y29" s="144">
        <f t="shared" si="9"/>
        <v>14380.76923076923</v>
      </c>
      <c r="Z29" s="148"/>
      <c r="AA29" s="149">
        <v>94</v>
      </c>
      <c r="AB29" s="137">
        <v>64150</v>
      </c>
      <c r="AC29" s="138">
        <f t="shared" si="10"/>
        <v>682.44680851063833</v>
      </c>
      <c r="AD29" s="137">
        <v>28100</v>
      </c>
      <c r="AE29" s="139">
        <f t="shared" si="11"/>
        <v>298.93617021276594</v>
      </c>
      <c r="AF29" s="150">
        <f t="shared" si="22"/>
        <v>92250</v>
      </c>
      <c r="AG29" s="141">
        <f t="shared" si="12"/>
        <v>981.38297872340422</v>
      </c>
      <c r="AH29" s="157">
        <f t="shared" si="13"/>
        <v>26</v>
      </c>
      <c r="AI29" s="152">
        <f t="shared" si="14"/>
        <v>358280</v>
      </c>
      <c r="AJ29" s="152">
        <f t="shared" si="15"/>
        <v>107870</v>
      </c>
      <c r="AK29" s="151">
        <f t="shared" si="23"/>
        <v>466150</v>
      </c>
      <c r="AL29" s="144">
        <f t="shared" si="16"/>
        <v>15400</v>
      </c>
      <c r="AM29" s="144">
        <v>12000</v>
      </c>
      <c r="AN29" s="152">
        <v>26</v>
      </c>
      <c r="AO29" s="152">
        <v>294130</v>
      </c>
      <c r="AP29" s="152">
        <v>79770</v>
      </c>
      <c r="AQ29" s="153">
        <v>15400</v>
      </c>
      <c r="AR29" s="153"/>
      <c r="AS29" s="153"/>
      <c r="AT29" s="153"/>
      <c r="AU29" s="154">
        <f t="shared" si="24"/>
        <v>389300</v>
      </c>
      <c r="AV29" s="121">
        <v>25</v>
      </c>
      <c r="AW29" s="122">
        <f t="shared" si="25"/>
        <v>389300</v>
      </c>
      <c r="AX29" s="206">
        <f>AU29+AF29+AM29</f>
        <v>493550</v>
      </c>
    </row>
    <row r="30" spans="1:50" ht="15.75" customHeight="1">
      <c r="A30" s="121"/>
      <c r="B30" s="156">
        <f t="shared" si="17"/>
        <v>45834</v>
      </c>
      <c r="C30" s="205" t="s">
        <v>59</v>
      </c>
      <c r="D30" s="134">
        <v>50</v>
      </c>
      <c r="E30" s="135"/>
      <c r="F30" s="136"/>
      <c r="G30" s="137"/>
      <c r="H30" s="138" t="e">
        <f>ROUNDDOWN(G30/1.1,0)/F30</f>
        <v>#DIV/0!</v>
      </c>
      <c r="I30" s="137"/>
      <c r="J30" s="138" t="e">
        <f>ROUNDDOWN(I30/1.1,0)/F30</f>
        <v>#DIV/0!</v>
      </c>
      <c r="K30" s="140">
        <f t="shared" si="2"/>
        <v>0</v>
      </c>
      <c r="L30" s="141" t="str">
        <f>IF(F30="","",K30/F30)</f>
        <v/>
      </c>
      <c r="M30" s="142"/>
      <c r="N30" s="143">
        <f t="shared" si="28"/>
        <v>39</v>
      </c>
      <c r="O30" s="144">
        <f t="shared" si="28"/>
        <v>374300</v>
      </c>
      <c r="P30" s="138">
        <f t="shared" si="4"/>
        <v>8724.9230769230762</v>
      </c>
      <c r="Q30" s="144">
        <f t="shared" si="19"/>
        <v>68050</v>
      </c>
      <c r="R30" s="138">
        <f t="shared" si="5"/>
        <v>1586.2307692307693</v>
      </c>
      <c r="S30" s="145">
        <f t="shared" si="20"/>
        <v>442350</v>
      </c>
      <c r="T30" s="141">
        <f t="shared" si="6"/>
        <v>11342.307692307691</v>
      </c>
      <c r="U30" s="146">
        <f>F30+N30</f>
        <v>39</v>
      </c>
      <c r="V30" s="144">
        <f t="shared" si="27"/>
        <v>374300</v>
      </c>
      <c r="W30" s="144">
        <f t="shared" si="8"/>
        <v>68050</v>
      </c>
      <c r="X30" s="147">
        <f t="shared" si="21"/>
        <v>442350</v>
      </c>
      <c r="Y30" s="144">
        <f t="shared" si="9"/>
        <v>11342.307692307691</v>
      </c>
      <c r="Z30" s="148"/>
      <c r="AA30" s="149">
        <v>56</v>
      </c>
      <c r="AB30" s="137">
        <v>39900</v>
      </c>
      <c r="AC30" s="138">
        <f t="shared" si="10"/>
        <v>712.5</v>
      </c>
      <c r="AD30" s="137">
        <v>9910</v>
      </c>
      <c r="AE30" s="139">
        <f t="shared" si="11"/>
        <v>176.96428571428572</v>
      </c>
      <c r="AF30" s="150">
        <f t="shared" si="22"/>
        <v>49810</v>
      </c>
      <c r="AG30" s="141">
        <f t="shared" si="12"/>
        <v>889.46428571428567</v>
      </c>
      <c r="AH30" s="157">
        <f t="shared" si="13"/>
        <v>39</v>
      </c>
      <c r="AI30" s="152">
        <f t="shared" si="14"/>
        <v>414200</v>
      </c>
      <c r="AJ30" s="152">
        <f t="shared" si="15"/>
        <v>77960</v>
      </c>
      <c r="AK30" s="151">
        <f t="shared" si="23"/>
        <v>492160</v>
      </c>
      <c r="AL30" s="144">
        <f t="shared" si="16"/>
        <v>33060</v>
      </c>
      <c r="AM30" s="144">
        <v>4800</v>
      </c>
      <c r="AN30" s="152">
        <v>39</v>
      </c>
      <c r="AO30" s="152">
        <v>374300</v>
      </c>
      <c r="AP30" s="152">
        <v>68050</v>
      </c>
      <c r="AQ30" s="153">
        <v>31500</v>
      </c>
      <c r="AR30" s="153">
        <v>1560</v>
      </c>
      <c r="AS30" s="153"/>
      <c r="AT30" s="153">
        <v>19800</v>
      </c>
      <c r="AU30" s="154">
        <f>SUM(AO30:AS30)</f>
        <v>475410</v>
      </c>
      <c r="AV30" s="121">
        <v>26</v>
      </c>
      <c r="AW30" s="122">
        <f t="shared" si="25"/>
        <v>495210</v>
      </c>
      <c r="AX30" s="206">
        <f>AU30+AF30+AM30</f>
        <v>530020</v>
      </c>
    </row>
    <row r="31" spans="1:50" ht="15.75" customHeight="1">
      <c r="A31" s="121"/>
      <c r="B31" s="156">
        <f t="shared" si="17"/>
        <v>45835</v>
      </c>
      <c r="C31" s="205" t="s">
        <v>59</v>
      </c>
      <c r="D31" s="134">
        <v>20</v>
      </c>
      <c r="E31" s="135"/>
      <c r="F31" s="136"/>
      <c r="G31" s="137"/>
      <c r="H31" s="138" t="e">
        <f>ROUNDDOWN(G31/1.1,0)/F31</f>
        <v>#DIV/0!</v>
      </c>
      <c r="I31" s="137"/>
      <c r="J31" s="138" t="e">
        <f>ROUNDDOWN(I31/1.1,0)/F31</f>
        <v>#DIV/0!</v>
      </c>
      <c r="K31" s="140">
        <f t="shared" si="2"/>
        <v>0</v>
      </c>
      <c r="L31" s="141" t="str">
        <f>IF(F31="","",K31/F31)</f>
        <v/>
      </c>
      <c r="M31" s="142"/>
      <c r="N31" s="143">
        <f t="shared" si="28"/>
        <v>44</v>
      </c>
      <c r="O31" s="144">
        <f t="shared" si="28"/>
        <v>428030</v>
      </c>
      <c r="P31" s="138">
        <f t="shared" si="4"/>
        <v>8843.5909090909099</v>
      </c>
      <c r="Q31" s="144">
        <f t="shared" si="19"/>
        <v>138040</v>
      </c>
      <c r="R31" s="138">
        <f t="shared" si="5"/>
        <v>2852.0454545454545</v>
      </c>
      <c r="S31" s="145">
        <f t="shared" si="20"/>
        <v>566070</v>
      </c>
      <c r="T31" s="141">
        <f t="shared" si="6"/>
        <v>12865.227272727272</v>
      </c>
      <c r="U31" s="146">
        <f>F31+N31</f>
        <v>44</v>
      </c>
      <c r="V31" s="144">
        <f t="shared" si="27"/>
        <v>428030</v>
      </c>
      <c r="W31" s="144">
        <f t="shared" si="8"/>
        <v>138040</v>
      </c>
      <c r="X31" s="147">
        <f t="shared" si="21"/>
        <v>566070</v>
      </c>
      <c r="Y31" s="144">
        <f t="shared" si="9"/>
        <v>12865.227272727272</v>
      </c>
      <c r="Z31" s="148"/>
      <c r="AA31" s="149">
        <v>33</v>
      </c>
      <c r="AB31" s="137">
        <v>18400</v>
      </c>
      <c r="AC31" s="138">
        <f t="shared" si="10"/>
        <v>557.57575757575762</v>
      </c>
      <c r="AD31" s="137">
        <v>7490</v>
      </c>
      <c r="AE31" s="139">
        <f t="shared" si="11"/>
        <v>226.96969696969697</v>
      </c>
      <c r="AF31" s="150">
        <f t="shared" si="22"/>
        <v>25890</v>
      </c>
      <c r="AG31" s="141">
        <f t="shared" si="12"/>
        <v>784.5454545454545</v>
      </c>
      <c r="AH31" s="157">
        <f t="shared" si="13"/>
        <v>44</v>
      </c>
      <c r="AI31" s="152">
        <f t="shared" si="14"/>
        <v>446430</v>
      </c>
      <c r="AJ31" s="152">
        <f t="shared" si="15"/>
        <v>145530</v>
      </c>
      <c r="AK31" s="151">
        <f t="shared" si="23"/>
        <v>591960</v>
      </c>
      <c r="AL31" s="144">
        <f t="shared" si="16"/>
        <v>44000</v>
      </c>
      <c r="AM31" s="144">
        <v>1200</v>
      </c>
      <c r="AN31" s="152">
        <v>44</v>
      </c>
      <c r="AO31" s="152">
        <v>428030</v>
      </c>
      <c r="AP31" s="152">
        <v>138040</v>
      </c>
      <c r="AQ31" s="153">
        <v>44000</v>
      </c>
      <c r="AR31" s="153"/>
      <c r="AS31" s="153"/>
      <c r="AT31" s="153"/>
      <c r="AU31" s="154">
        <f t="shared" si="24"/>
        <v>610070</v>
      </c>
      <c r="AV31" s="121">
        <v>27</v>
      </c>
      <c r="AW31" s="122">
        <f t="shared" si="25"/>
        <v>610070</v>
      </c>
      <c r="AX31" s="206">
        <f t="shared" si="26"/>
        <v>637160</v>
      </c>
    </row>
    <row r="32" spans="1:50" ht="15.75" customHeight="1">
      <c r="A32" s="121"/>
      <c r="B32" s="159">
        <f t="shared" si="17"/>
        <v>45836</v>
      </c>
      <c r="C32" s="205"/>
      <c r="D32" s="134">
        <v>90</v>
      </c>
      <c r="E32" s="135"/>
      <c r="F32" s="136">
        <v>21</v>
      </c>
      <c r="G32" s="137">
        <v>89450</v>
      </c>
      <c r="H32" s="138">
        <f>ROUNDDOWN(G32/1.1,0)/F32</f>
        <v>3872.2857142857142</v>
      </c>
      <c r="I32" s="137">
        <v>17930</v>
      </c>
      <c r="J32" s="138">
        <f>ROUNDDOWN(I32/1.1,0)/F32</f>
        <v>776.19047619047615</v>
      </c>
      <c r="K32" s="140">
        <f>G32+I32</f>
        <v>107380</v>
      </c>
      <c r="L32" s="141">
        <f>IF(F32="","",K32/F32)</f>
        <v>5113.333333333333</v>
      </c>
      <c r="M32" s="142"/>
      <c r="N32" s="143">
        <f t="shared" si="28"/>
        <v>28</v>
      </c>
      <c r="O32" s="144">
        <f t="shared" si="28"/>
        <v>357480</v>
      </c>
      <c r="P32" s="138">
        <f>ROUNDDOWN(O32/1.1,0)/N32</f>
        <v>11606.464285714286</v>
      </c>
      <c r="Q32" s="144">
        <f>AP32-I32</f>
        <v>64870</v>
      </c>
      <c r="R32" s="138">
        <f>ROUNDDOWN(Q32/1.1,0)/N32</f>
        <v>2106.1428571428573</v>
      </c>
      <c r="S32" s="145">
        <f>O32+Q32</f>
        <v>422350</v>
      </c>
      <c r="T32" s="141">
        <f>IF(N32="","",S32/N32)</f>
        <v>15083.928571428571</v>
      </c>
      <c r="U32" s="146">
        <f>F32+N32</f>
        <v>49</v>
      </c>
      <c r="V32" s="144">
        <f>G32+O32</f>
        <v>446930</v>
      </c>
      <c r="W32" s="144">
        <f>I32+Q32</f>
        <v>82800</v>
      </c>
      <c r="X32" s="147">
        <f>K32+S32</f>
        <v>529730</v>
      </c>
      <c r="Y32" s="144">
        <f>IF(U32="","",X32/U32)</f>
        <v>10810.816326530612</v>
      </c>
      <c r="Z32" s="148"/>
      <c r="AA32" s="149">
        <v>192</v>
      </c>
      <c r="AB32" s="137">
        <v>128400</v>
      </c>
      <c r="AC32" s="138">
        <f>AB32/AA32</f>
        <v>668.75</v>
      </c>
      <c r="AD32" s="137">
        <v>36230</v>
      </c>
      <c r="AE32" s="139">
        <f>AD32/AA32</f>
        <v>188.69791666666666</v>
      </c>
      <c r="AF32" s="150">
        <f>AB32+AD32</f>
        <v>164630</v>
      </c>
      <c r="AG32" s="141">
        <f>IF(AA32="","",AF32/AA32)</f>
        <v>857.44791666666663</v>
      </c>
      <c r="AH32" s="157">
        <f>SUM(F32,N32)</f>
        <v>49</v>
      </c>
      <c r="AI32" s="152">
        <f>V32+AB32</f>
        <v>575330</v>
      </c>
      <c r="AJ32" s="152">
        <f>W32+AD32</f>
        <v>119030</v>
      </c>
      <c r="AK32" s="151">
        <f>X32+AF32</f>
        <v>694360</v>
      </c>
      <c r="AL32" s="144">
        <f>AQ32+AR32+AS32</f>
        <v>48550</v>
      </c>
      <c r="AM32" s="144"/>
      <c r="AN32" s="152">
        <v>49</v>
      </c>
      <c r="AO32" s="152">
        <v>446930</v>
      </c>
      <c r="AP32" s="152">
        <v>82800</v>
      </c>
      <c r="AQ32" s="153">
        <v>46900</v>
      </c>
      <c r="AR32" s="153">
        <v>1650</v>
      </c>
      <c r="AS32" s="153"/>
      <c r="AT32" s="153">
        <v>19800</v>
      </c>
      <c r="AU32" s="154">
        <f>SUM(AO32:AS32)</f>
        <v>578280</v>
      </c>
      <c r="AV32" s="121">
        <v>26</v>
      </c>
      <c r="AW32" s="122">
        <f>AT32+AU32</f>
        <v>598080</v>
      </c>
      <c r="AX32" s="206">
        <f t="shared" si="26"/>
        <v>742910</v>
      </c>
    </row>
    <row r="33" spans="1:50" ht="15.75" customHeight="1">
      <c r="A33" s="121"/>
      <c r="B33" s="160">
        <f t="shared" si="17"/>
        <v>45837</v>
      </c>
      <c r="C33" s="205"/>
      <c r="D33" s="134">
        <v>88</v>
      </c>
      <c r="E33" s="135"/>
      <c r="F33" s="136">
        <v>27</v>
      </c>
      <c r="G33" s="137">
        <v>94820</v>
      </c>
      <c r="H33" s="138">
        <f>ROUNDDOWN(G33/1.1,0)/F33</f>
        <v>3192.5925925925926</v>
      </c>
      <c r="I33" s="137">
        <v>27550</v>
      </c>
      <c r="J33" s="138">
        <f>ROUNDDOWN(I33/1.1,0)/F33</f>
        <v>927.59259259259261</v>
      </c>
      <c r="K33" s="140">
        <f>G33+I33</f>
        <v>122370</v>
      </c>
      <c r="L33" s="141">
        <f>IF(F33="","",K33/F33)</f>
        <v>4532.2222222222226</v>
      </c>
      <c r="M33" s="142"/>
      <c r="N33" s="143">
        <f t="shared" si="28"/>
        <v>42</v>
      </c>
      <c r="O33" s="144">
        <f t="shared" si="28"/>
        <v>360410</v>
      </c>
      <c r="P33" s="138">
        <f>ROUNDDOWN(O33/1.1,0)/N33</f>
        <v>7801.0714285714284</v>
      </c>
      <c r="Q33" s="144">
        <f>AP33-I33</f>
        <v>75790</v>
      </c>
      <c r="R33" s="138">
        <f>ROUNDDOWN(Q33/1.1,0)/N33</f>
        <v>1640.4761904761904</v>
      </c>
      <c r="S33" s="145">
        <f>O33+Q33</f>
        <v>436200</v>
      </c>
      <c r="T33" s="141">
        <f>IF(N33="","",S33/N33)</f>
        <v>10385.714285714286</v>
      </c>
      <c r="U33" s="146">
        <f>F33+N33</f>
        <v>69</v>
      </c>
      <c r="V33" s="144">
        <f>G33+O33</f>
        <v>455230</v>
      </c>
      <c r="W33" s="144">
        <f>I33+Q33</f>
        <v>103340</v>
      </c>
      <c r="X33" s="147">
        <f>K33+S33</f>
        <v>558570</v>
      </c>
      <c r="Y33" s="144">
        <f>IF(U33="","",X33/U33)</f>
        <v>8095.217391304348</v>
      </c>
      <c r="Z33" s="148"/>
      <c r="AA33" s="149">
        <v>184</v>
      </c>
      <c r="AB33" s="137">
        <v>133150</v>
      </c>
      <c r="AC33" s="138">
        <f>AB33/AA33</f>
        <v>723.64130434782612</v>
      </c>
      <c r="AD33" s="137">
        <v>39870</v>
      </c>
      <c r="AE33" s="139">
        <f>AD33/AA33</f>
        <v>216.68478260869566</v>
      </c>
      <c r="AF33" s="150">
        <f>AB33+AD33</f>
        <v>173020</v>
      </c>
      <c r="AG33" s="141">
        <f>IF(AA33="","",AF33/AA33)</f>
        <v>940.32608695652175</v>
      </c>
      <c r="AH33" s="157">
        <f>SUM(F33,N33)</f>
        <v>69</v>
      </c>
      <c r="AI33" s="152">
        <f>V33+AB33</f>
        <v>588380</v>
      </c>
      <c r="AJ33" s="152">
        <f>W33+AD33</f>
        <v>143210</v>
      </c>
      <c r="AK33" s="151">
        <f>X33+AF33</f>
        <v>731590</v>
      </c>
      <c r="AL33" s="144">
        <f>AQ33+AR33+AS33</f>
        <v>52250</v>
      </c>
      <c r="AM33" s="144">
        <v>3000</v>
      </c>
      <c r="AN33" s="152">
        <v>69</v>
      </c>
      <c r="AO33" s="152">
        <v>455230</v>
      </c>
      <c r="AP33" s="152">
        <v>103340</v>
      </c>
      <c r="AQ33" s="153">
        <v>52250</v>
      </c>
      <c r="AR33" s="153"/>
      <c r="AS33" s="153"/>
      <c r="AT33" s="153"/>
      <c r="AU33" s="154">
        <f>SUM(AO33:AS33)</f>
        <v>610820</v>
      </c>
      <c r="AV33" s="121">
        <v>27</v>
      </c>
      <c r="AW33" s="122">
        <f>AT33+AU33</f>
        <v>610820</v>
      </c>
      <c r="AX33" s="206">
        <f t="shared" si="26"/>
        <v>786840</v>
      </c>
    </row>
    <row r="34" spans="1:50" ht="15.75" customHeight="1">
      <c r="A34" s="121"/>
      <c r="B34" s="156">
        <f t="shared" si="17"/>
        <v>45838</v>
      </c>
      <c r="C34" s="205" t="s">
        <v>59</v>
      </c>
      <c r="D34" s="134">
        <v>92</v>
      </c>
      <c r="E34" s="135"/>
      <c r="F34" s="136"/>
      <c r="G34" s="137"/>
      <c r="H34" s="138" t="e">
        <f>ROUNDDOWN(G34/1.1,0)/F34</f>
        <v>#DIV/0!</v>
      </c>
      <c r="I34" s="137"/>
      <c r="J34" s="138" t="e">
        <f>ROUNDDOWN(I34/1.1,0)/F34</f>
        <v>#DIV/0!</v>
      </c>
      <c r="K34" s="140">
        <f>G34+I34</f>
        <v>0</v>
      </c>
      <c r="L34" s="141" t="str">
        <f>IF(F34="","",K34/F34)</f>
        <v/>
      </c>
      <c r="M34" s="142"/>
      <c r="N34" s="143">
        <f t="shared" si="28"/>
        <v>39</v>
      </c>
      <c r="O34" s="144">
        <f t="shared" si="28"/>
        <v>368450</v>
      </c>
      <c r="P34" s="138">
        <f>ROUNDDOWN(O34/1.1,0)/N34</f>
        <v>8588.5641025641035</v>
      </c>
      <c r="Q34" s="144">
        <f>AP34-I34</f>
        <v>53210</v>
      </c>
      <c r="R34" s="138">
        <f>ROUNDDOWN(Q34/1.1,0)/N34</f>
        <v>1240.3076923076924</v>
      </c>
      <c r="S34" s="145">
        <f>O34+Q34</f>
        <v>421660</v>
      </c>
      <c r="T34" s="141">
        <f>IF(N34="","",S34/N34)</f>
        <v>10811.794871794871</v>
      </c>
      <c r="U34" s="146">
        <f>F34+N34</f>
        <v>39</v>
      </c>
      <c r="V34" s="144">
        <f>G34+O34</f>
        <v>368450</v>
      </c>
      <c r="W34" s="144">
        <f>I34+Q34</f>
        <v>53210</v>
      </c>
      <c r="X34" s="147">
        <f>K34+S34</f>
        <v>421660</v>
      </c>
      <c r="Y34" s="144">
        <f>IF(U34="","",X34/U34)</f>
        <v>10811.794871794871</v>
      </c>
      <c r="Z34" s="148"/>
      <c r="AA34" s="149">
        <v>80</v>
      </c>
      <c r="AB34" s="137">
        <v>48950</v>
      </c>
      <c r="AC34" s="138">
        <f>AB34/AA34</f>
        <v>611.875</v>
      </c>
      <c r="AD34" s="137">
        <v>21680</v>
      </c>
      <c r="AE34" s="139">
        <f>AD34/AA34</f>
        <v>271</v>
      </c>
      <c r="AF34" s="150">
        <f>AB34+AD34</f>
        <v>70630</v>
      </c>
      <c r="AG34" s="141">
        <f>IF(AA34="","",AF34/AA34)</f>
        <v>882.875</v>
      </c>
      <c r="AH34" s="157">
        <f>SUM(F34,N34)</f>
        <v>39</v>
      </c>
      <c r="AI34" s="152">
        <f>V34+AB34</f>
        <v>417400</v>
      </c>
      <c r="AJ34" s="152">
        <f>W34+AD34</f>
        <v>74890</v>
      </c>
      <c r="AK34" s="151">
        <f>X34+AF34</f>
        <v>492290</v>
      </c>
      <c r="AL34" s="144">
        <f>AQ34+AR34+AS34</f>
        <v>39600</v>
      </c>
      <c r="AM34" s="144">
        <v>3600</v>
      </c>
      <c r="AN34" s="152">
        <v>39</v>
      </c>
      <c r="AO34" s="152">
        <v>368450</v>
      </c>
      <c r="AP34" s="152">
        <v>53210</v>
      </c>
      <c r="AQ34" s="153">
        <v>39600</v>
      </c>
      <c r="AR34" s="153"/>
      <c r="AS34" s="153"/>
      <c r="AT34" s="153"/>
      <c r="AU34" s="154">
        <f>SUM(AO34:AS34)</f>
        <v>461260</v>
      </c>
      <c r="AV34" s="121">
        <v>27</v>
      </c>
      <c r="AW34" s="122">
        <f>AT34+AU34</f>
        <v>461260</v>
      </c>
      <c r="AX34" s="206">
        <f>AU34+AF34+AM34</f>
        <v>535490</v>
      </c>
    </row>
    <row r="35" spans="1:50" ht="15.75" customHeight="1" thickBot="1">
      <c r="A35" s="121"/>
      <c r="B35" s="159"/>
      <c r="C35" s="205"/>
      <c r="D35" s="134"/>
      <c r="E35" s="135"/>
      <c r="F35" s="136"/>
      <c r="G35" s="137"/>
      <c r="H35" s="138"/>
      <c r="I35" s="137"/>
      <c r="J35" s="138"/>
      <c r="K35" s="140"/>
      <c r="L35" s="141"/>
      <c r="M35" s="142"/>
      <c r="N35" s="143"/>
      <c r="O35" s="144"/>
      <c r="P35" s="138"/>
      <c r="Q35" s="144"/>
      <c r="R35" s="138"/>
      <c r="S35" s="145"/>
      <c r="T35" s="141"/>
      <c r="U35" s="146"/>
      <c r="V35" s="144"/>
      <c r="W35" s="144"/>
      <c r="X35" s="147"/>
      <c r="Y35" s="144"/>
      <c r="Z35" s="148"/>
      <c r="AA35" s="149"/>
      <c r="AB35" s="137"/>
      <c r="AC35" s="138"/>
      <c r="AD35" s="137"/>
      <c r="AE35" s="139"/>
      <c r="AF35" s="150"/>
      <c r="AG35" s="141"/>
      <c r="AH35" s="157"/>
      <c r="AI35" s="152"/>
      <c r="AJ35" s="152"/>
      <c r="AK35" s="151"/>
      <c r="AL35" s="144"/>
      <c r="AM35" s="144"/>
      <c r="AN35" s="152"/>
      <c r="AO35" s="152"/>
      <c r="AP35" s="152"/>
      <c r="AQ35" s="153"/>
      <c r="AR35" s="153"/>
      <c r="AS35" s="153"/>
      <c r="AT35" s="153"/>
      <c r="AU35" s="154"/>
      <c r="AV35" s="121"/>
      <c r="AW35" s="122"/>
      <c r="AX35" s="206"/>
    </row>
    <row r="36" spans="1:50" ht="15.75" customHeight="1" thickTop="1" thickBot="1">
      <c r="A36" s="35"/>
      <c r="B36" s="36" t="s">
        <v>25</v>
      </c>
      <c r="C36" s="163">
        <f>SUM(C5:C35)</f>
        <v>0</v>
      </c>
      <c r="D36" s="164"/>
      <c r="E36" s="38">
        <f>SUM(E5:E35)</f>
        <v>0</v>
      </c>
      <c r="F36" s="39">
        <f>SUM(F5:F35)</f>
        <v>203</v>
      </c>
      <c r="G36" s="40">
        <f>SUM(G5:G35)</f>
        <v>735650</v>
      </c>
      <c r="H36" s="41">
        <f>G36/F36</f>
        <v>3623.8916256157636</v>
      </c>
      <c r="I36" s="37">
        <f>SUM(I5:I35)</f>
        <v>213450</v>
      </c>
      <c r="J36" s="42">
        <f>I36/F36</f>
        <v>1051.4778325123152</v>
      </c>
      <c r="K36" s="43">
        <f>SUM(K5:K35)</f>
        <v>949100</v>
      </c>
      <c r="L36" s="44">
        <f>K36/F36</f>
        <v>4675.3694581280788</v>
      </c>
      <c r="M36" s="45">
        <f>SUM(M5:M35)</f>
        <v>0</v>
      </c>
      <c r="N36" s="39">
        <f>SUM(N5:N35)</f>
        <v>1095</v>
      </c>
      <c r="O36" s="40">
        <f>SUM(O5:O35)</f>
        <v>10741430</v>
      </c>
      <c r="P36" s="41">
        <f>O36/N36</f>
        <v>9809.5251141552508</v>
      </c>
      <c r="Q36" s="46">
        <f>SUM(Q5:Q35)</f>
        <v>2168940</v>
      </c>
      <c r="R36" s="42">
        <f>Q36/N36</f>
        <v>1980.7671232876712</v>
      </c>
      <c r="S36" s="47">
        <f>SUM(S5:S35)</f>
        <v>12910370</v>
      </c>
      <c r="T36" s="48">
        <f>S36/N36</f>
        <v>11790.292237442922</v>
      </c>
      <c r="U36" s="39">
        <f>SUM(U5:U35)</f>
        <v>1298</v>
      </c>
      <c r="V36" s="49">
        <f>SUM(V5:V35)</f>
        <v>11477080</v>
      </c>
      <c r="W36" s="46">
        <f>SUM(W5:W35)</f>
        <v>2382390</v>
      </c>
      <c r="X36" s="50">
        <f>SUM(X5:X35)</f>
        <v>13859470</v>
      </c>
      <c r="Y36" s="51">
        <f>X36/U36</f>
        <v>10677.557781201849</v>
      </c>
      <c r="Z36" s="38">
        <f>SUM(Z5:Z35)</f>
        <v>0</v>
      </c>
      <c r="AA36" s="39">
        <f>SUM(AA5:AA35)</f>
        <v>2886</v>
      </c>
      <c r="AB36" s="52">
        <f>SUM(AB5:AB35)</f>
        <v>2010250</v>
      </c>
      <c r="AC36" s="41"/>
      <c r="AD36" s="37">
        <f>SUM(AD5:AD35)</f>
        <v>657210</v>
      </c>
      <c r="AE36" s="42"/>
      <c r="AF36" s="53">
        <f>SUM(AF5:AF35)</f>
        <v>2667460</v>
      </c>
      <c r="AG36" s="54">
        <f>AF36/AA36</f>
        <v>924.27581427581424</v>
      </c>
      <c r="AH36" s="39">
        <f t="shared" ref="AH36:AU36" si="29">SUM(AH5:AH35)</f>
        <v>1298</v>
      </c>
      <c r="AI36" s="49">
        <f t="shared" si="29"/>
        <v>13487330</v>
      </c>
      <c r="AJ36" s="46">
        <f t="shared" si="29"/>
        <v>3039600</v>
      </c>
      <c r="AK36" s="47">
        <f t="shared" si="29"/>
        <v>16526930</v>
      </c>
      <c r="AL36" s="37">
        <f t="shared" si="29"/>
        <v>1426980</v>
      </c>
      <c r="AM36" s="179">
        <f t="shared" si="29"/>
        <v>124550</v>
      </c>
      <c r="AN36" s="55">
        <f t="shared" si="29"/>
        <v>1298</v>
      </c>
      <c r="AO36" s="55">
        <f t="shared" si="29"/>
        <v>11477080</v>
      </c>
      <c r="AP36" s="55">
        <f t="shared" si="29"/>
        <v>2382390</v>
      </c>
      <c r="AQ36" s="55">
        <f t="shared" si="29"/>
        <v>1085750</v>
      </c>
      <c r="AR36" s="55">
        <f t="shared" si="29"/>
        <v>337930</v>
      </c>
      <c r="AS36" s="55">
        <f t="shared" si="29"/>
        <v>3300</v>
      </c>
      <c r="AT36" s="55">
        <f t="shared" si="29"/>
        <v>178900</v>
      </c>
      <c r="AU36" s="55">
        <f t="shared" si="29"/>
        <v>15286450</v>
      </c>
      <c r="AV36" s="35"/>
      <c r="AW36" s="56">
        <f>SUM(AW5:AW35)</f>
        <v>15465350</v>
      </c>
      <c r="AX36" s="56">
        <f>SUM(AX5:AX35)</f>
        <v>18078460</v>
      </c>
    </row>
    <row r="37" spans="1:50" ht="15.75" customHeight="1" thickTop="1">
      <c r="A37" s="35"/>
      <c r="B37" s="57"/>
      <c r="C37" s="165"/>
      <c r="D37" s="89"/>
      <c r="E37" s="35"/>
      <c r="F37" s="58" t="s">
        <v>34</v>
      </c>
      <c r="G37" s="59">
        <f>G36/1.1</f>
        <v>668772.72727272718</v>
      </c>
      <c r="H37" s="60">
        <f>G37/F36</f>
        <v>3294.4469323779663</v>
      </c>
      <c r="I37" s="32">
        <f>I36/1.1</f>
        <v>194045.45454545453</v>
      </c>
      <c r="J37" s="60">
        <f>I37/F36</f>
        <v>955.88893864755926</v>
      </c>
      <c r="K37" s="55">
        <f>K36/1.1</f>
        <v>862818.18181818177</v>
      </c>
      <c r="L37" s="61">
        <f>H37+J37</f>
        <v>4250.3358710255252</v>
      </c>
      <c r="M37" s="62"/>
      <c r="N37" s="58" t="s">
        <v>34</v>
      </c>
      <c r="O37" s="59">
        <f>O36/1.1</f>
        <v>9764936.3636363633</v>
      </c>
      <c r="P37" s="60">
        <f>O37/N36</f>
        <v>8917.7501037775</v>
      </c>
      <c r="Q37" s="59">
        <f>Q36/1.1</f>
        <v>1971763.6363636362</v>
      </c>
      <c r="R37" s="60">
        <f>Q37/N36</f>
        <v>1800.6973848069738</v>
      </c>
      <c r="S37" s="60">
        <f>S36/1.1</f>
        <v>11736699.999999998</v>
      </c>
      <c r="T37" s="63">
        <f>S37/N36</f>
        <v>10718.447488584474</v>
      </c>
      <c r="U37" s="58" t="s">
        <v>34</v>
      </c>
      <c r="V37" s="59">
        <f>V36/1.1</f>
        <v>10433709.09090909</v>
      </c>
      <c r="W37" s="59">
        <f>W36/1.1</f>
        <v>2165809.0909090908</v>
      </c>
      <c r="X37" s="64">
        <f>X36/1.1</f>
        <v>12599518.181818182</v>
      </c>
      <c r="Y37" s="51">
        <f>X37/U36</f>
        <v>9706.8707101834989</v>
      </c>
      <c r="Z37" s="62"/>
      <c r="AA37" s="58" t="s">
        <v>34</v>
      </c>
      <c r="AB37" s="59">
        <f>AB36/1.1</f>
        <v>1827499.9999999998</v>
      </c>
      <c r="AC37" s="32">
        <f>AB37/AA36</f>
        <v>633.22938322938319</v>
      </c>
      <c r="AD37" s="32">
        <f>AD36/1.1</f>
        <v>597463.63636363635</v>
      </c>
      <c r="AE37" s="32">
        <f>AD37/AA36</f>
        <v>207.02135702135701</v>
      </c>
      <c r="AF37" s="60">
        <f>AF36/1.1</f>
        <v>2424963.6363636362</v>
      </c>
      <c r="AG37" s="65">
        <f>AF37/AA36</f>
        <v>840.25074025074025</v>
      </c>
      <c r="AH37" s="58" t="s">
        <v>34</v>
      </c>
      <c r="AI37" s="66">
        <f>AI36/1.1</f>
        <v>12261209.09090909</v>
      </c>
      <c r="AJ37" s="59">
        <f>AJ36/1.1</f>
        <v>2763272.7272727271</v>
      </c>
      <c r="AK37" s="60">
        <f>AK36/1.1</f>
        <v>15024481.818181816</v>
      </c>
      <c r="AL37" s="180">
        <f>AL36/1.1</f>
        <v>1297254.5454545454</v>
      </c>
      <c r="AM37" s="181">
        <f>AM36/1.08</f>
        <v>115324.07407407407</v>
      </c>
      <c r="AN37" s="35"/>
      <c r="AO37" s="35"/>
      <c r="AP37" s="35"/>
      <c r="AQ37" s="35"/>
      <c r="AR37" s="67"/>
      <c r="AS37" s="35"/>
      <c r="AT37" s="35"/>
      <c r="AU37" s="67"/>
      <c r="AV37" s="35"/>
      <c r="AW37" s="67"/>
    </row>
    <row r="38" spans="1:50" ht="15.75" customHeight="1">
      <c r="A38" s="31"/>
      <c r="B38" s="68"/>
      <c r="C38" s="166"/>
      <c r="D38" s="90"/>
      <c r="E38" s="31"/>
      <c r="F38" s="69" t="s">
        <v>35</v>
      </c>
      <c r="G38" s="70">
        <f>F36/H38</f>
        <v>25.375</v>
      </c>
      <c r="H38" s="71">
        <v>8</v>
      </c>
      <c r="I38" s="72" t="s">
        <v>36</v>
      </c>
      <c r="J38" s="70"/>
      <c r="K38" s="73" t="s">
        <v>37</v>
      </c>
      <c r="L38" s="74">
        <f>K37/H38</f>
        <v>107852.27272727272</v>
      </c>
      <c r="M38" s="31"/>
      <c r="N38" s="69" t="s">
        <v>35</v>
      </c>
      <c r="O38" s="70">
        <f>N36/P38</f>
        <v>36.5</v>
      </c>
      <c r="P38" s="71">
        <v>30</v>
      </c>
      <c r="Q38" s="72" t="s">
        <v>36</v>
      </c>
      <c r="R38" s="70"/>
      <c r="S38" s="73" t="s">
        <v>37</v>
      </c>
      <c r="T38" s="75">
        <f>S37/P38</f>
        <v>391223.33333333326</v>
      </c>
      <c r="U38" s="31"/>
      <c r="V38" s="31"/>
      <c r="W38" s="31"/>
      <c r="X38" s="33"/>
      <c r="Y38" s="33"/>
      <c r="Z38" s="31"/>
      <c r="AA38" s="31"/>
      <c r="AB38" s="76">
        <v>30</v>
      </c>
      <c r="AC38" s="72" t="s">
        <v>36</v>
      </c>
      <c r="AD38" s="70"/>
      <c r="AE38" s="70"/>
      <c r="AF38" s="73" t="s">
        <v>37</v>
      </c>
      <c r="AG38" s="77">
        <f>AF37/AB38</f>
        <v>80832.121212121201</v>
      </c>
      <c r="AH38" s="31"/>
      <c r="AI38" s="31"/>
      <c r="AJ38" s="31" t="s">
        <v>50</v>
      </c>
      <c r="AK38" s="33"/>
      <c r="AL38" s="33">
        <f>AK37/AN38</f>
        <v>3590.9373370415433</v>
      </c>
      <c r="AM38" s="33"/>
      <c r="AN38" s="78">
        <f>AH36+AA36</f>
        <v>4184</v>
      </c>
      <c r="AO38" s="31" t="s">
        <v>51</v>
      </c>
      <c r="AP38" s="31"/>
      <c r="AQ38" s="31"/>
      <c r="AR38" s="33"/>
      <c r="AS38" s="31"/>
      <c r="AT38" s="31"/>
      <c r="AU38" s="33"/>
      <c r="AV38" s="31"/>
      <c r="AW38" s="33">
        <f>AW36/1.1</f>
        <v>14059409.09090909</v>
      </c>
      <c r="AX38" s="34">
        <f>X36+AF36+AQ36+AR36+AS36+AT36+AM36</f>
        <v>18257360</v>
      </c>
    </row>
    <row r="39" spans="1:50" ht="15.75" customHeight="1">
      <c r="A39" s="31"/>
      <c r="B39" s="68"/>
      <c r="C39" s="166"/>
      <c r="D39" s="90"/>
      <c r="E39" s="79" t="s">
        <v>38</v>
      </c>
      <c r="F39" s="80"/>
      <c r="G39" s="70"/>
      <c r="H39" s="81"/>
      <c r="I39" s="70"/>
      <c r="J39" s="70"/>
      <c r="K39" s="73"/>
      <c r="L39" s="77"/>
      <c r="M39" s="82" t="s">
        <v>39</v>
      </c>
      <c r="N39" s="69"/>
      <c r="O39" s="70"/>
      <c r="P39" s="70"/>
      <c r="Q39" s="70"/>
      <c r="R39" s="70"/>
      <c r="S39" s="73"/>
      <c r="T39" s="77"/>
      <c r="U39" s="31"/>
      <c r="V39" s="31"/>
      <c r="W39" s="31"/>
      <c r="X39" s="33"/>
      <c r="Y39" s="33"/>
      <c r="Z39" s="82" t="s">
        <v>40</v>
      </c>
      <c r="AA39" s="31"/>
      <c r="AB39" s="70"/>
      <c r="AC39" s="70"/>
      <c r="AD39" s="70"/>
      <c r="AE39" s="70"/>
      <c r="AF39" s="70"/>
      <c r="AG39" s="77"/>
      <c r="AH39" s="31"/>
      <c r="AI39" s="31"/>
      <c r="AJ39" s="31" t="s">
        <v>52</v>
      </c>
      <c r="AL39" s="83">
        <f>AK37/AB38</f>
        <v>500816.06060606055</v>
      </c>
      <c r="AM39" s="83"/>
      <c r="AN39" s="31" t="s">
        <v>53</v>
      </c>
      <c r="AO39" s="31"/>
      <c r="AP39" s="31"/>
      <c r="AQ39" s="31"/>
      <c r="AR39" s="33"/>
      <c r="AS39" s="31"/>
      <c r="AT39" s="31"/>
      <c r="AU39" s="33"/>
      <c r="AV39" s="31"/>
      <c r="AW39" s="33"/>
    </row>
    <row r="40" spans="1:50" ht="21" customHeight="1">
      <c r="A40" s="31"/>
      <c r="B40" s="68"/>
      <c r="C40" s="167"/>
      <c r="D40" s="90"/>
      <c r="E40" s="84"/>
      <c r="F40" s="10"/>
      <c r="G40" s="10"/>
      <c r="H40" s="10"/>
      <c r="I40" s="10"/>
      <c r="J40" s="10"/>
      <c r="K40" s="10"/>
      <c r="L40" s="85"/>
      <c r="M40" s="84"/>
      <c r="N40" s="10"/>
      <c r="O40" s="10"/>
      <c r="P40" s="10"/>
      <c r="Q40" s="10"/>
      <c r="R40" s="10"/>
      <c r="S40" s="10"/>
      <c r="T40" s="85"/>
      <c r="U40" s="31"/>
      <c r="V40" s="31"/>
      <c r="W40" s="31"/>
      <c r="X40" s="33"/>
      <c r="Y40" s="31"/>
      <c r="Z40" s="84"/>
      <c r="AA40" s="10"/>
      <c r="AB40" s="10"/>
      <c r="AC40" s="10"/>
      <c r="AD40" s="10"/>
      <c r="AE40" s="10"/>
      <c r="AF40" s="10"/>
      <c r="AG40" s="85"/>
      <c r="AH40" s="31"/>
      <c r="AI40" s="31"/>
      <c r="AJ40" s="31" t="s">
        <v>54</v>
      </c>
      <c r="AK40" s="33">
        <f>AK36+AL36+AM36</f>
        <v>18078460</v>
      </c>
      <c r="AL40" s="83">
        <f>AK40/AB38</f>
        <v>602615.33333333337</v>
      </c>
      <c r="AM40" s="83"/>
      <c r="AN40" s="31" t="s">
        <v>41</v>
      </c>
      <c r="AO40" s="31"/>
      <c r="AP40" s="31"/>
      <c r="AQ40" s="31"/>
      <c r="AR40" s="31"/>
      <c r="AS40" s="31"/>
      <c r="AT40" s="31"/>
      <c r="AU40" s="33"/>
      <c r="AV40" s="31"/>
      <c r="AW40" s="33"/>
    </row>
    <row r="41" spans="1:50" ht="21" customHeight="1">
      <c r="A41" s="31"/>
      <c r="B41" s="68"/>
      <c r="C41" s="167"/>
      <c r="D41" s="90"/>
      <c r="E41" s="86"/>
      <c r="F41" s="87"/>
      <c r="G41" s="87"/>
      <c r="H41" s="87"/>
      <c r="I41" s="87"/>
      <c r="J41" s="87"/>
      <c r="K41" s="87"/>
      <c r="L41" s="88"/>
      <c r="M41" s="86"/>
      <c r="N41" s="87"/>
      <c r="O41" s="87"/>
      <c r="P41" s="87"/>
      <c r="Q41" s="87"/>
      <c r="R41" s="87"/>
      <c r="S41" s="87"/>
      <c r="T41" s="88"/>
      <c r="U41" s="31"/>
      <c r="V41" s="31"/>
      <c r="W41" s="31"/>
      <c r="X41" s="33"/>
      <c r="Y41" s="31"/>
      <c r="Z41" s="86"/>
      <c r="AA41" s="87"/>
      <c r="AB41" s="87"/>
      <c r="AC41" s="87"/>
      <c r="AD41" s="87"/>
      <c r="AE41" s="87"/>
      <c r="AF41" s="87"/>
      <c r="AG41" s="88"/>
      <c r="AH41" s="31"/>
      <c r="AI41" s="31"/>
      <c r="AJ41" s="31" t="s">
        <v>55</v>
      </c>
      <c r="AK41" s="67">
        <f>AK37+AL37+AM37</f>
        <v>16437060.437710436</v>
      </c>
      <c r="AL41" s="83">
        <f>AK41/AB38</f>
        <v>547902.01459034788</v>
      </c>
      <c r="AM41" s="83"/>
      <c r="AN41" s="31" t="s">
        <v>53</v>
      </c>
      <c r="AO41" s="31"/>
      <c r="AP41" s="31"/>
      <c r="AQ41" s="31"/>
      <c r="AR41" s="31"/>
      <c r="AS41" s="31"/>
      <c r="AT41" s="31"/>
      <c r="AU41" s="33"/>
      <c r="AV41" s="31"/>
      <c r="AW41" s="33"/>
    </row>
    <row r="42" spans="1:50" ht="21" customHeight="1">
      <c r="A42" s="31"/>
      <c r="B42" s="68"/>
      <c r="C42" s="167"/>
      <c r="D42" s="90"/>
      <c r="E42" s="86"/>
      <c r="F42" s="87"/>
      <c r="G42" s="87"/>
      <c r="H42" s="87"/>
      <c r="I42" s="87"/>
      <c r="J42" s="87"/>
      <c r="K42" s="87"/>
      <c r="L42" s="88"/>
      <c r="M42" s="86"/>
      <c r="N42" s="87"/>
      <c r="O42" s="87"/>
      <c r="P42" s="87"/>
      <c r="Q42" s="87"/>
      <c r="R42" s="87"/>
      <c r="S42" s="87"/>
      <c r="T42" s="88"/>
      <c r="U42" s="31"/>
      <c r="V42" s="31"/>
      <c r="W42" s="31"/>
      <c r="X42" s="33"/>
      <c r="Y42" s="31"/>
      <c r="Z42" s="86"/>
      <c r="AA42" s="87"/>
      <c r="AB42" s="87"/>
      <c r="AC42" s="87"/>
      <c r="AD42" s="87"/>
      <c r="AE42" s="87"/>
      <c r="AF42" s="87"/>
      <c r="AG42" s="88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3"/>
      <c r="AV42" s="31"/>
      <c r="AW42" s="33"/>
    </row>
    <row r="43" spans="1:50" ht="21" customHeight="1">
      <c r="A43" s="31"/>
      <c r="B43" s="68"/>
      <c r="C43" s="167"/>
      <c r="D43" s="90"/>
      <c r="E43" s="86"/>
      <c r="F43" s="87"/>
      <c r="G43" s="87"/>
      <c r="H43" s="87"/>
      <c r="I43" s="87"/>
      <c r="J43" s="87"/>
      <c r="K43" s="87"/>
      <c r="L43" s="88"/>
      <c r="M43" s="86"/>
      <c r="N43" s="87"/>
      <c r="O43" s="87"/>
      <c r="P43" s="87"/>
      <c r="Q43" s="87"/>
      <c r="R43" s="87"/>
      <c r="S43" s="87"/>
      <c r="T43" s="88"/>
      <c r="U43" s="31"/>
      <c r="V43" s="31"/>
      <c r="W43" s="31"/>
      <c r="X43" s="31"/>
      <c r="Y43" s="31"/>
      <c r="Z43" s="86"/>
      <c r="AA43" s="87"/>
      <c r="AB43" s="87"/>
      <c r="AC43" s="87"/>
      <c r="AD43" s="87"/>
      <c r="AE43" s="87"/>
      <c r="AF43" s="87"/>
      <c r="AG43" s="88"/>
      <c r="AH43" s="31"/>
      <c r="AI43" s="31"/>
      <c r="AJ43" s="31"/>
      <c r="AK43" s="33">
        <f>AK37+AL37</f>
        <v>16321736.363636361</v>
      </c>
      <c r="AL43" s="90" t="s">
        <v>42</v>
      </c>
      <c r="AM43" s="90" t="s">
        <v>61</v>
      </c>
      <c r="AN43" s="90" t="s">
        <v>62</v>
      </c>
      <c r="AO43" s="31"/>
      <c r="AP43" s="31"/>
      <c r="AQ43" s="31"/>
      <c r="AR43" s="31"/>
      <c r="AS43" s="31"/>
      <c r="AT43" s="33"/>
      <c r="AU43" s="31"/>
      <c r="AV43" s="33"/>
    </row>
    <row r="44" spans="1:50" ht="21" customHeight="1">
      <c r="A44" s="31"/>
      <c r="B44" s="68"/>
      <c r="C44" s="167"/>
      <c r="D44" s="90"/>
      <c r="E44" s="91"/>
      <c r="F44" s="92"/>
      <c r="G44" s="92"/>
      <c r="H44" s="92"/>
      <c r="I44" s="92"/>
      <c r="J44" s="92"/>
      <c r="K44" s="92"/>
      <c r="L44" s="93"/>
      <c r="M44" s="91"/>
      <c r="N44" s="92"/>
      <c r="O44" s="92"/>
      <c r="P44" s="92"/>
      <c r="Q44" s="92"/>
      <c r="R44" s="92"/>
      <c r="S44" s="92"/>
      <c r="T44" s="93"/>
      <c r="U44" s="31"/>
      <c r="V44" s="31"/>
      <c r="W44" s="31"/>
      <c r="X44" s="31"/>
      <c r="Y44" s="31"/>
      <c r="Z44" s="91"/>
      <c r="AA44" s="92"/>
      <c r="AB44" s="92"/>
      <c r="AC44" s="92"/>
      <c r="AD44" s="92"/>
      <c r="AE44" s="92"/>
      <c r="AF44" s="92"/>
      <c r="AG44" s="93"/>
      <c r="AH44" s="31"/>
      <c r="AI44" s="35"/>
      <c r="AJ44" s="89" t="s">
        <v>43</v>
      </c>
      <c r="AK44" s="67">
        <f>K45+S45+AF45+AL44</f>
        <v>16104553</v>
      </c>
      <c r="AL44" s="168">
        <f>AM44+AN44</f>
        <v>897600</v>
      </c>
      <c r="AM44" s="35">
        <v>747600</v>
      </c>
      <c r="AN44" s="35">
        <v>150000</v>
      </c>
      <c r="AO44" s="31"/>
      <c r="AP44" s="31"/>
      <c r="AQ44" s="31"/>
      <c r="AR44" s="31"/>
      <c r="AS44" s="31"/>
      <c r="AT44" s="33"/>
      <c r="AU44" s="31"/>
      <c r="AV44" s="33"/>
    </row>
    <row r="45" spans="1:50" ht="21" customHeight="1">
      <c r="A45" s="31"/>
      <c r="B45" s="68"/>
      <c r="C45" s="166"/>
      <c r="D45" s="90"/>
      <c r="E45" s="31"/>
      <c r="F45" s="31"/>
      <c r="G45" s="31"/>
      <c r="H45" s="31"/>
      <c r="I45" s="94"/>
      <c r="J45" s="95" t="s">
        <v>44</v>
      </c>
      <c r="K45" s="169">
        <v>1120000</v>
      </c>
      <c r="L45" s="96" t="s">
        <v>45</v>
      </c>
      <c r="M45" s="35"/>
      <c r="N45" s="35"/>
      <c r="O45" s="35"/>
      <c r="P45" s="35"/>
      <c r="Q45" s="35"/>
      <c r="R45" s="95" t="s">
        <v>46</v>
      </c>
      <c r="S45" s="169">
        <v>11673153</v>
      </c>
      <c r="T45" s="96" t="s">
        <v>45</v>
      </c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94" t="s">
        <v>47</v>
      </c>
      <c r="AF45" s="169">
        <v>2413800</v>
      </c>
      <c r="AG45" s="96" t="s">
        <v>45</v>
      </c>
      <c r="AH45" s="35"/>
      <c r="AI45" s="35"/>
      <c r="AJ45" s="89" t="s">
        <v>48</v>
      </c>
      <c r="AK45" s="67">
        <f>AK44-AK37-AL37</f>
        <v>-217183.3636363619</v>
      </c>
      <c r="AL45" s="67">
        <f>AL44-AL37</f>
        <v>-399654.54545454541</v>
      </c>
      <c r="AM45" s="107">
        <f>AL37/AL44</f>
        <v>1.4452479338842974</v>
      </c>
      <c r="AN45" s="31"/>
      <c r="AO45" s="31"/>
      <c r="AP45" s="31"/>
      <c r="AQ45" s="31"/>
      <c r="AR45" s="33"/>
      <c r="AS45" s="31"/>
      <c r="AT45" s="33"/>
      <c r="AU45" s="31"/>
      <c r="AV45" s="31"/>
    </row>
    <row r="46" spans="1:50" ht="21" customHeight="1">
      <c r="A46" s="31"/>
      <c r="B46" s="68"/>
      <c r="C46" s="166"/>
      <c r="D46" s="90"/>
      <c r="E46" s="31"/>
      <c r="F46" s="31"/>
      <c r="G46" s="31"/>
      <c r="H46" s="31"/>
      <c r="I46" s="94"/>
      <c r="J46" s="94" t="s">
        <v>48</v>
      </c>
      <c r="K46" s="67">
        <f>K45-K37</f>
        <v>257181.81818181823</v>
      </c>
      <c r="L46" s="207">
        <v>1</v>
      </c>
      <c r="M46" s="35"/>
      <c r="N46" s="35"/>
      <c r="O46" s="35"/>
      <c r="P46" s="35"/>
      <c r="Q46" s="35"/>
      <c r="R46" s="94" t="s">
        <v>48</v>
      </c>
      <c r="S46" s="67">
        <f>S45-S37</f>
        <v>-63546.999999998137</v>
      </c>
      <c r="T46" s="208">
        <f>30-P38</f>
        <v>0</v>
      </c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94" t="s">
        <v>48</v>
      </c>
      <c r="AF46" s="67">
        <f>AF45-AF37</f>
        <v>-11163.636363636237</v>
      </c>
      <c r="AG46" s="182">
        <f>T46</f>
        <v>0</v>
      </c>
      <c r="AH46" s="35"/>
      <c r="AI46" s="98"/>
      <c r="AJ46" s="99" t="s">
        <v>49</v>
      </c>
      <c r="AK46" s="100" t="e">
        <f>AK45/T46</f>
        <v>#DIV/0!</v>
      </c>
      <c r="AL46" s="106">
        <f>(AK37+AL37)/AK44</f>
        <v>1.0134858361878385</v>
      </c>
      <c r="AM46" s="106"/>
      <c r="AN46" s="98"/>
      <c r="AO46" s="101"/>
      <c r="AP46" s="31"/>
      <c r="AQ46" s="31"/>
      <c r="AR46" s="31"/>
      <c r="AS46" s="33"/>
      <c r="AT46" s="31"/>
      <c r="AU46" s="33"/>
      <c r="AV46" s="31"/>
      <c r="AW46" s="31"/>
    </row>
    <row r="47" spans="1:50" ht="25.5" customHeight="1">
      <c r="A47" s="101"/>
      <c r="B47" s="102"/>
      <c r="C47" s="170"/>
      <c r="D47" s="115"/>
      <c r="E47" s="101"/>
      <c r="F47" s="101"/>
      <c r="G47" s="101"/>
      <c r="H47" s="101"/>
      <c r="I47" s="103"/>
      <c r="J47" s="99" t="s">
        <v>49</v>
      </c>
      <c r="K47" s="104">
        <f>K46/L46</f>
        <v>257181.81818181823</v>
      </c>
      <c r="L47" s="105">
        <f>K37/K45</f>
        <v>0.77037337662337657</v>
      </c>
      <c r="M47" s="98"/>
      <c r="N47" s="98"/>
      <c r="O47" s="98"/>
      <c r="P47" s="98"/>
      <c r="Q47" s="98"/>
      <c r="R47" s="99" t="s">
        <v>49</v>
      </c>
      <c r="S47" s="100" t="e">
        <f>S46/T46</f>
        <v>#DIV/0!</v>
      </c>
      <c r="T47" s="105">
        <f>S37/S45</f>
        <v>1.0054438590841737</v>
      </c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9" t="s">
        <v>49</v>
      </c>
      <c r="AF47" s="104" t="e">
        <f>AF46/AG46</f>
        <v>#DIV/0!</v>
      </c>
      <c r="AG47" s="105">
        <f>AF37/AF45</f>
        <v>1.0046249218508725</v>
      </c>
      <c r="AH47" s="98"/>
      <c r="AI47" s="31"/>
      <c r="AJ47" s="31"/>
      <c r="AK47" s="33"/>
      <c r="AL47" s="31"/>
      <c r="AM47" s="31"/>
      <c r="AN47" s="31"/>
      <c r="AO47" s="31"/>
      <c r="AP47" s="101"/>
      <c r="AQ47" s="101"/>
      <c r="AR47" s="101"/>
      <c r="AS47" s="108"/>
      <c r="AT47" s="101"/>
      <c r="AU47" s="108"/>
      <c r="AV47" s="101"/>
      <c r="AW47" s="101"/>
    </row>
    <row r="48" spans="1:50" ht="15.75" customHeight="1">
      <c r="A48" s="31"/>
      <c r="B48" s="68"/>
      <c r="C48" s="166"/>
      <c r="D48" s="90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9"/>
      <c r="AJ48" s="109"/>
      <c r="AK48" s="109"/>
      <c r="AL48" s="109"/>
      <c r="AM48" s="109"/>
      <c r="AN48" s="109"/>
      <c r="AO48" s="109"/>
      <c r="AP48" s="31"/>
      <c r="AQ48" s="31"/>
      <c r="AR48" s="31"/>
      <c r="AS48" s="33"/>
      <c r="AT48" s="31"/>
      <c r="AU48" s="33"/>
      <c r="AV48" s="31"/>
      <c r="AW48" s="31"/>
    </row>
    <row r="49" spans="1:49" ht="36" customHeight="1">
      <c r="A49" s="109"/>
      <c r="B49" s="110"/>
      <c r="C49" s="171"/>
      <c r="D49" s="1"/>
      <c r="E49" s="109"/>
      <c r="F49" s="109"/>
      <c r="G49" s="109"/>
      <c r="H49" s="109"/>
      <c r="I49" s="109"/>
      <c r="J49" s="109"/>
      <c r="K49" s="109"/>
      <c r="L49" s="109"/>
      <c r="M49" s="111"/>
      <c r="N49" s="31"/>
      <c r="O49" s="31"/>
      <c r="P49" s="31"/>
      <c r="Q49" s="31"/>
      <c r="R49" s="31"/>
      <c r="S49" s="111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"/>
      <c r="AJ49" s="1"/>
      <c r="AK49" s="1"/>
      <c r="AL49" s="1"/>
      <c r="AM49" s="1"/>
      <c r="AN49" s="1"/>
      <c r="AO49" s="1"/>
      <c r="AP49" s="109"/>
      <c r="AQ49" s="109"/>
      <c r="AR49" s="109"/>
      <c r="AS49" s="112"/>
      <c r="AT49" s="109"/>
      <c r="AU49" s="112"/>
      <c r="AV49" s="109"/>
      <c r="AW49" s="109"/>
    </row>
    <row r="50" spans="1:49" ht="36" customHeight="1">
      <c r="A50" s="1"/>
      <c r="B50" s="113"/>
      <c r="C50" s="123"/>
      <c r="D50" s="1"/>
      <c r="E50" s="1"/>
      <c r="F50" s="1"/>
      <c r="G50" s="1"/>
      <c r="H50" s="1"/>
      <c r="I50" s="1"/>
      <c r="J50" s="1"/>
      <c r="K50" s="1"/>
      <c r="L50" s="1"/>
      <c r="M50" s="114"/>
      <c r="N50" s="31"/>
      <c r="O50" s="31"/>
      <c r="P50" s="31"/>
      <c r="Q50" s="31"/>
      <c r="R50" s="31"/>
      <c r="S50" s="114"/>
      <c r="T50" s="114"/>
      <c r="U50" s="1"/>
      <c r="V50" s="1"/>
      <c r="W50" s="1"/>
      <c r="X50" s="1"/>
      <c r="Y50" s="1"/>
      <c r="Z50" s="1"/>
      <c r="AA50" s="115"/>
      <c r="AB50" s="1"/>
      <c r="AC50" s="1"/>
      <c r="AD50" s="1"/>
      <c r="AE50" s="1"/>
      <c r="AF50" s="1"/>
      <c r="AG50" s="1"/>
      <c r="AH50" s="1"/>
      <c r="AI50" s="109"/>
      <c r="AJ50" s="109"/>
      <c r="AK50" s="109"/>
      <c r="AL50" s="109"/>
      <c r="AM50" s="109"/>
      <c r="AN50" s="109"/>
      <c r="AO50" s="109"/>
      <c r="AP50" s="1"/>
      <c r="AQ50" s="1"/>
      <c r="AR50" s="1"/>
      <c r="AS50" s="116"/>
      <c r="AT50" s="1"/>
      <c r="AU50" s="116"/>
      <c r="AV50" s="1"/>
      <c r="AW50" s="1"/>
    </row>
    <row r="51" spans="1:49" ht="36" customHeight="1">
      <c r="A51" s="109"/>
      <c r="B51" s="110"/>
      <c r="C51" s="171"/>
      <c r="D51" s="1"/>
      <c r="E51" s="109"/>
      <c r="F51" s="109"/>
      <c r="G51" s="109"/>
      <c r="H51" s="109"/>
      <c r="I51" s="109"/>
      <c r="J51" s="109"/>
      <c r="K51" s="109"/>
      <c r="L51" s="1"/>
      <c r="M51" s="114"/>
      <c r="N51" s="31"/>
      <c r="O51" s="31"/>
      <c r="P51" s="31"/>
      <c r="Q51" s="31"/>
      <c r="R51" s="31"/>
      <c r="S51" s="117"/>
      <c r="T51" s="118"/>
      <c r="U51" s="118"/>
      <c r="V51" s="118"/>
      <c r="W51" s="118"/>
      <c r="X51" s="119"/>
      <c r="Y51" s="120"/>
      <c r="Z51" s="121"/>
      <c r="AA51" s="122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12"/>
      <c r="AT51" s="109"/>
      <c r="AU51" s="112"/>
      <c r="AV51" s="109"/>
      <c r="AW51" s="109"/>
    </row>
    <row r="52" spans="1:49" ht="36" customHeight="1">
      <c r="A52" s="109"/>
      <c r="B52" s="110"/>
      <c r="C52" s="171"/>
      <c r="D52" s="1"/>
      <c r="E52" s="109"/>
      <c r="F52" s="109"/>
      <c r="G52" s="109"/>
      <c r="H52" s="109"/>
      <c r="I52" s="109"/>
      <c r="J52" s="109"/>
      <c r="K52" s="109"/>
      <c r="L52" s="1"/>
      <c r="M52" s="114"/>
      <c r="N52" s="31"/>
      <c r="O52" s="31"/>
      <c r="P52" s="31"/>
      <c r="Q52" s="31"/>
      <c r="R52" s="31"/>
      <c r="S52" s="119"/>
      <c r="T52" s="118"/>
      <c r="U52" s="118"/>
      <c r="V52" s="118"/>
      <c r="W52" s="118"/>
      <c r="X52" s="119"/>
      <c r="Y52" s="120"/>
      <c r="Z52" s="121"/>
      <c r="AA52" s="122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12"/>
      <c r="AT52" s="109"/>
      <c r="AU52" s="112"/>
      <c r="AV52" s="109"/>
      <c r="AW52" s="109"/>
    </row>
    <row r="53" spans="1:49" ht="36" customHeight="1">
      <c r="A53" s="109"/>
      <c r="B53" s="110"/>
      <c r="C53" s="171"/>
      <c r="D53" s="1"/>
      <c r="E53" s="109"/>
      <c r="F53" s="109"/>
      <c r="G53" s="109"/>
      <c r="H53" s="109"/>
      <c r="I53" s="109"/>
      <c r="J53" s="109"/>
      <c r="K53" s="109"/>
      <c r="L53" s="1"/>
      <c r="M53" s="114"/>
      <c r="N53" s="31"/>
      <c r="O53" s="31"/>
      <c r="P53" s="31"/>
      <c r="Q53" s="31"/>
      <c r="R53" s="31"/>
      <c r="S53" s="119"/>
      <c r="T53" s="118"/>
      <c r="U53" s="118"/>
      <c r="V53" s="118"/>
      <c r="W53" s="118"/>
      <c r="X53" s="119"/>
      <c r="Y53" s="120"/>
      <c r="Z53" s="121"/>
      <c r="AA53" s="122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12"/>
      <c r="AT53" s="109"/>
      <c r="AU53" s="112"/>
      <c r="AV53" s="109"/>
      <c r="AW53" s="109"/>
    </row>
    <row r="54" spans="1:49" ht="36" customHeight="1">
      <c r="A54" s="109"/>
      <c r="B54" s="110"/>
      <c r="C54" s="171"/>
      <c r="D54" s="1"/>
      <c r="E54" s="109"/>
      <c r="F54" s="109"/>
      <c r="G54" s="109"/>
      <c r="H54" s="109"/>
      <c r="I54" s="109"/>
      <c r="J54" s="109"/>
      <c r="K54" s="109"/>
      <c r="L54" s="1"/>
      <c r="M54" s="114"/>
      <c r="N54" s="31"/>
      <c r="O54" s="31"/>
      <c r="P54" s="31"/>
      <c r="Q54" s="31"/>
      <c r="R54" s="31"/>
      <c r="S54" s="119"/>
      <c r="T54" s="118"/>
      <c r="U54" s="118"/>
      <c r="V54" s="118"/>
      <c r="W54" s="118"/>
      <c r="X54" s="119"/>
      <c r="Y54" s="120"/>
      <c r="Z54" s="121"/>
      <c r="AA54" s="122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12"/>
      <c r="AT54" s="109"/>
      <c r="AU54" s="112"/>
      <c r="AV54" s="109"/>
      <c r="AW54" s="109"/>
    </row>
    <row r="55" spans="1:49" ht="36" customHeight="1">
      <c r="A55" s="109"/>
      <c r="B55" s="110"/>
      <c r="C55" s="171"/>
      <c r="D55" s="1"/>
      <c r="E55" s="109"/>
      <c r="F55" s="109"/>
      <c r="G55" s="109"/>
      <c r="H55" s="109"/>
      <c r="I55" s="109"/>
      <c r="J55" s="109"/>
      <c r="K55" s="109"/>
      <c r="L55" s="109"/>
      <c r="M55" s="111"/>
      <c r="N55" s="31"/>
      <c r="O55" s="31"/>
      <c r="P55" s="31"/>
      <c r="Q55" s="31"/>
      <c r="R55" s="31"/>
      <c r="S55" s="119"/>
      <c r="T55" s="118"/>
      <c r="U55" s="118"/>
      <c r="V55" s="118"/>
      <c r="W55" s="118"/>
      <c r="X55" s="120"/>
      <c r="Y55" s="120"/>
      <c r="Z55" s="121"/>
      <c r="AA55" s="122"/>
      <c r="AB55" s="109"/>
      <c r="AC55" s="109"/>
      <c r="AD55" s="109"/>
      <c r="AE55" s="109"/>
      <c r="AF55" s="109"/>
      <c r="AG55" s="109"/>
      <c r="AH55" s="109"/>
      <c r="AI55" s="31"/>
      <c r="AJ55" s="31"/>
      <c r="AK55" s="31"/>
      <c r="AL55" s="31"/>
      <c r="AM55" s="31"/>
      <c r="AN55" s="31"/>
      <c r="AO55" s="31"/>
      <c r="AP55" s="109"/>
      <c r="AQ55" s="109"/>
      <c r="AR55" s="109"/>
      <c r="AS55" s="112"/>
      <c r="AT55" s="109"/>
      <c r="AU55" s="112"/>
      <c r="AV55" s="109"/>
      <c r="AW55" s="109"/>
    </row>
    <row r="56" spans="1:49" ht="15.75" customHeight="1">
      <c r="A56" s="31"/>
      <c r="B56" s="68"/>
      <c r="C56" s="166"/>
      <c r="D56" s="90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21"/>
      <c r="AA56" s="12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1"/>
      <c r="AW56" s="33"/>
    </row>
    <row r="57" spans="1:49" ht="15.75" customHeight="1">
      <c r="A57" s="31"/>
      <c r="B57" s="68"/>
      <c r="C57" s="166"/>
      <c r="D57" s="90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109"/>
      <c r="AA57" s="109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1"/>
      <c r="AW57" s="33"/>
    </row>
    <row r="58" spans="1:49" ht="15.75" customHeight="1">
      <c r="A58" s="31"/>
      <c r="B58" s="68"/>
      <c r="C58" s="166"/>
      <c r="D58" s="90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1"/>
      <c r="AW58" s="33"/>
    </row>
    <row r="59" spans="1:49" ht="15.75" customHeight="1">
      <c r="A59" s="31"/>
      <c r="B59" s="68"/>
      <c r="C59" s="166"/>
      <c r="D59" s="90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1"/>
      <c r="AW59" s="33"/>
    </row>
    <row r="60" spans="1:49" ht="15.75" customHeight="1">
      <c r="A60" s="31"/>
      <c r="B60" s="68"/>
      <c r="C60" s="166"/>
      <c r="D60" s="90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1"/>
      <c r="AW60" s="33"/>
    </row>
    <row r="61" spans="1:49" ht="15.75" customHeight="1">
      <c r="A61" s="31"/>
      <c r="B61" s="68"/>
      <c r="C61" s="166"/>
      <c r="D61" s="90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1"/>
      <c r="AW61" s="33"/>
    </row>
    <row r="62" spans="1:49" ht="15.75" customHeight="1">
      <c r="A62" s="31"/>
      <c r="B62" s="68"/>
      <c r="C62" s="166"/>
      <c r="D62" s="90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1"/>
      <c r="AW62" s="33"/>
    </row>
    <row r="63" spans="1:49" ht="15.75" customHeight="1">
      <c r="A63" s="31"/>
      <c r="B63" s="68"/>
      <c r="C63" s="166"/>
      <c r="D63" s="90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1"/>
      <c r="AW63" s="33"/>
    </row>
    <row r="64" spans="1:49" ht="15.75" customHeight="1">
      <c r="A64" s="31"/>
      <c r="B64" s="68"/>
      <c r="C64" s="166"/>
      <c r="D64" s="90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1"/>
      <c r="AW64" s="33"/>
    </row>
    <row r="65" spans="1:49" ht="15.75" customHeight="1">
      <c r="A65" s="31"/>
      <c r="B65" s="68"/>
      <c r="C65" s="166"/>
      <c r="D65" s="90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1"/>
      <c r="AW65" s="33"/>
    </row>
    <row r="66" spans="1:49" ht="15.75" customHeight="1">
      <c r="A66" s="31"/>
      <c r="B66" s="68"/>
      <c r="C66" s="166"/>
      <c r="D66" s="90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1"/>
      <c r="AW66" s="33"/>
    </row>
    <row r="67" spans="1:49" ht="15.75" customHeight="1">
      <c r="A67" s="31"/>
      <c r="B67" s="68"/>
      <c r="C67" s="166"/>
      <c r="D67" s="90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1"/>
      <c r="AW67" s="33"/>
    </row>
    <row r="68" spans="1:49" ht="15.75" customHeight="1">
      <c r="A68" s="31"/>
      <c r="B68" s="68"/>
      <c r="C68" s="166"/>
      <c r="D68" s="90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1"/>
      <c r="AW68" s="33"/>
    </row>
    <row r="69" spans="1:49" ht="15.75" customHeight="1">
      <c r="A69" s="31"/>
      <c r="B69" s="68"/>
      <c r="C69" s="166"/>
      <c r="D69" s="90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1"/>
      <c r="AW69" s="33"/>
    </row>
    <row r="70" spans="1:49" ht="15.75" customHeight="1">
      <c r="A70" s="31"/>
      <c r="B70" s="68"/>
      <c r="C70" s="166"/>
      <c r="D70" s="90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1"/>
      <c r="AW70" s="33"/>
    </row>
    <row r="71" spans="1:49" ht="15.75" customHeight="1">
      <c r="A71" s="31"/>
      <c r="B71" s="68"/>
      <c r="C71" s="166"/>
      <c r="D71" s="90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1"/>
      <c r="AW71" s="33"/>
    </row>
    <row r="72" spans="1:49" ht="15.75" customHeight="1">
      <c r="A72" s="31"/>
      <c r="B72" s="68"/>
      <c r="C72" s="166"/>
      <c r="D72" s="90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1"/>
      <c r="AW72" s="33"/>
    </row>
    <row r="73" spans="1:49" ht="15.75" customHeight="1">
      <c r="A73" s="31"/>
      <c r="B73" s="68"/>
      <c r="C73" s="166"/>
      <c r="D73" s="90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1"/>
      <c r="AW73" s="33"/>
    </row>
    <row r="74" spans="1:49" ht="15.75" customHeight="1">
      <c r="A74" s="31"/>
      <c r="B74" s="68"/>
      <c r="C74" s="166"/>
      <c r="D74" s="90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1"/>
      <c r="AW74" s="33"/>
    </row>
    <row r="75" spans="1:49" ht="15.75" customHeight="1">
      <c r="A75" s="31"/>
      <c r="B75" s="68"/>
      <c r="C75" s="166"/>
      <c r="D75" s="90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1"/>
      <c r="AW75" s="33"/>
    </row>
    <row r="76" spans="1:49" ht="15.75" customHeight="1">
      <c r="A76" s="31"/>
      <c r="B76" s="68"/>
      <c r="C76" s="166"/>
      <c r="D76" s="90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1"/>
      <c r="AW76" s="33"/>
    </row>
    <row r="77" spans="1:49" ht="15.75" customHeight="1">
      <c r="A77" s="31"/>
      <c r="B77" s="68"/>
      <c r="C77" s="166"/>
      <c r="D77" s="90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1"/>
      <c r="AW77" s="33"/>
    </row>
    <row r="78" spans="1:49" ht="15.75" customHeight="1">
      <c r="A78" s="31"/>
      <c r="B78" s="68"/>
      <c r="C78" s="166"/>
      <c r="D78" s="90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1"/>
      <c r="AW78" s="33"/>
    </row>
    <row r="79" spans="1:49" ht="15.75" customHeight="1">
      <c r="A79" s="31"/>
      <c r="B79" s="68"/>
      <c r="C79" s="166"/>
      <c r="D79" s="90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3"/>
      <c r="AV79" s="31"/>
      <c r="AW79" s="33"/>
    </row>
    <row r="80" spans="1:49" ht="15.75" customHeight="1">
      <c r="A80" s="31"/>
      <c r="B80" s="68"/>
      <c r="C80" s="166"/>
      <c r="D80" s="90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3"/>
      <c r="AV80" s="31"/>
      <c r="AW80" s="33"/>
    </row>
    <row r="81" spans="1:49" ht="15.75" customHeight="1">
      <c r="A81" s="31"/>
      <c r="B81" s="68"/>
      <c r="C81" s="166"/>
      <c r="D81" s="90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3"/>
      <c r="AV81" s="31"/>
      <c r="AW81" s="33"/>
    </row>
    <row r="82" spans="1:49" ht="15.75" customHeight="1">
      <c r="A82" s="31"/>
      <c r="B82" s="68"/>
      <c r="C82" s="166"/>
      <c r="D82" s="90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3"/>
      <c r="AV82" s="31"/>
      <c r="AW82" s="33"/>
    </row>
    <row r="83" spans="1:49" ht="15.75" customHeight="1">
      <c r="A83" s="31"/>
      <c r="B83" s="68"/>
      <c r="C83" s="166"/>
      <c r="D83" s="90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3"/>
      <c r="AV83" s="31"/>
      <c r="AW83" s="33"/>
    </row>
    <row r="84" spans="1:49" ht="15.75" customHeight="1">
      <c r="A84" s="31"/>
      <c r="B84" s="68"/>
      <c r="C84" s="166"/>
      <c r="D84" s="90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3"/>
      <c r="AV84" s="31"/>
      <c r="AW84" s="33"/>
    </row>
    <row r="85" spans="1:49" ht="15.75" customHeight="1">
      <c r="A85" s="31"/>
      <c r="B85" s="68"/>
      <c r="C85" s="166"/>
      <c r="D85" s="90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3"/>
      <c r="AV85" s="31"/>
      <c r="AW85" s="33"/>
    </row>
    <row r="86" spans="1:49" ht="15.75" customHeight="1">
      <c r="A86" s="31"/>
      <c r="B86" s="68"/>
      <c r="C86" s="166"/>
      <c r="D86" s="90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3"/>
      <c r="AV86" s="31"/>
      <c r="AW86" s="33"/>
    </row>
    <row r="87" spans="1:49" ht="15.75" customHeight="1">
      <c r="A87" s="31"/>
      <c r="B87" s="68"/>
      <c r="C87" s="166"/>
      <c r="D87" s="90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3"/>
      <c r="AV87" s="31"/>
      <c r="AW87" s="33"/>
    </row>
    <row r="88" spans="1:49" ht="15.75" customHeight="1">
      <c r="A88" s="31"/>
      <c r="B88" s="68"/>
      <c r="C88" s="166"/>
      <c r="D88" s="90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3"/>
      <c r="AV88" s="31"/>
      <c r="AW88" s="33"/>
    </row>
    <row r="89" spans="1:49" ht="15.75" customHeight="1">
      <c r="A89" s="31"/>
      <c r="B89" s="68"/>
      <c r="C89" s="166"/>
      <c r="D89" s="90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3"/>
      <c r="AV89" s="31"/>
      <c r="AW89" s="33"/>
    </row>
    <row r="90" spans="1:49" ht="15.75" customHeight="1">
      <c r="A90" s="31"/>
      <c r="B90" s="68"/>
      <c r="C90" s="166"/>
      <c r="D90" s="90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3"/>
      <c r="AV90" s="31"/>
      <c r="AW90" s="33"/>
    </row>
    <row r="91" spans="1:49" ht="15.75" customHeight="1">
      <c r="A91" s="31"/>
      <c r="B91" s="68"/>
      <c r="C91" s="166"/>
      <c r="D91" s="90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3"/>
      <c r="AV91" s="31"/>
      <c r="AW91" s="33"/>
    </row>
    <row r="92" spans="1:49" ht="15.75" customHeight="1">
      <c r="A92" s="31"/>
      <c r="B92" s="68"/>
      <c r="C92" s="166"/>
      <c r="D92" s="90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3"/>
      <c r="AV92" s="31"/>
      <c r="AW92" s="33"/>
    </row>
    <row r="93" spans="1:49" ht="15.75" customHeight="1">
      <c r="A93" s="31"/>
      <c r="B93" s="68"/>
      <c r="C93" s="166"/>
      <c r="D93" s="90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3"/>
      <c r="AV93" s="31"/>
      <c r="AW93" s="33"/>
    </row>
    <row r="94" spans="1:49" ht="15.75" customHeight="1">
      <c r="A94" s="31"/>
      <c r="B94" s="68"/>
      <c r="C94" s="166"/>
      <c r="D94" s="90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3"/>
      <c r="AV94" s="31"/>
      <c r="AW94" s="33"/>
    </row>
    <row r="95" spans="1:49" ht="15.75" customHeight="1">
      <c r="A95" s="31"/>
      <c r="B95" s="68"/>
      <c r="C95" s="166"/>
      <c r="D95" s="90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3"/>
      <c r="AV95" s="31"/>
      <c r="AW95" s="33"/>
    </row>
    <row r="96" spans="1:49" ht="15.75" customHeight="1">
      <c r="A96" s="31"/>
      <c r="B96" s="68"/>
      <c r="C96" s="166"/>
      <c r="D96" s="90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3"/>
      <c r="AV96" s="31"/>
      <c r="AW96" s="33"/>
    </row>
    <row r="97" spans="1:49" ht="15.75" customHeight="1">
      <c r="A97" s="31"/>
      <c r="B97" s="68"/>
      <c r="C97" s="166"/>
      <c r="D97" s="90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3"/>
      <c r="AV97" s="31"/>
      <c r="AW97" s="33"/>
    </row>
    <row r="98" spans="1:49" ht="15.75" customHeight="1">
      <c r="A98" s="31"/>
      <c r="B98" s="68"/>
      <c r="C98" s="166"/>
      <c r="D98" s="90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3"/>
      <c r="AV98" s="31"/>
      <c r="AW98" s="33"/>
    </row>
    <row r="99" spans="1:49" ht="15.75" customHeight="1">
      <c r="A99" s="31"/>
      <c r="B99" s="68"/>
      <c r="C99" s="166"/>
      <c r="D99" s="90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3"/>
      <c r="AV99" s="31"/>
      <c r="AW99" s="33"/>
    </row>
    <row r="100" spans="1:49" ht="15.75" customHeight="1">
      <c r="A100" s="31"/>
      <c r="B100" s="68"/>
      <c r="C100" s="166"/>
      <c r="D100" s="90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3"/>
      <c r="AV100" s="31"/>
      <c r="AW100" s="33"/>
    </row>
    <row r="101" spans="1:49" ht="15.75" customHeight="1">
      <c r="A101" s="31"/>
      <c r="B101" s="68"/>
      <c r="C101" s="166"/>
      <c r="D101" s="90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3"/>
      <c r="AV101" s="31"/>
      <c r="AW101" s="33"/>
    </row>
    <row r="102" spans="1:49" ht="15.75" customHeight="1">
      <c r="A102" s="31"/>
      <c r="B102" s="68"/>
      <c r="C102" s="166"/>
      <c r="D102" s="90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3"/>
      <c r="AV102" s="31"/>
      <c r="AW102" s="33"/>
    </row>
    <row r="103" spans="1:49" ht="15.75" customHeight="1">
      <c r="A103" s="31"/>
      <c r="B103" s="68"/>
      <c r="C103" s="166"/>
      <c r="D103" s="90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3"/>
      <c r="AV103" s="31"/>
      <c r="AW103" s="33"/>
    </row>
    <row r="104" spans="1:49" ht="15.75" customHeight="1">
      <c r="A104" s="31"/>
      <c r="B104" s="68"/>
      <c r="C104" s="166"/>
      <c r="D104" s="90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3"/>
      <c r="AV104" s="31"/>
      <c r="AW104" s="33"/>
    </row>
    <row r="105" spans="1:49" ht="15.75" customHeight="1">
      <c r="A105" s="31"/>
      <c r="B105" s="68"/>
      <c r="C105" s="166"/>
      <c r="D105" s="90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3"/>
      <c r="AV105" s="31"/>
      <c r="AW105" s="33"/>
    </row>
    <row r="106" spans="1:49" ht="15.75" customHeight="1">
      <c r="A106" s="31"/>
      <c r="B106" s="68"/>
      <c r="C106" s="166"/>
      <c r="D106" s="90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3"/>
      <c r="AV106" s="31"/>
      <c r="AW106" s="33"/>
    </row>
    <row r="107" spans="1:49" ht="15.75" customHeight="1">
      <c r="A107" s="31"/>
      <c r="B107" s="68"/>
      <c r="C107" s="166"/>
      <c r="D107" s="90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3"/>
      <c r="AV107" s="31"/>
      <c r="AW107" s="33"/>
    </row>
    <row r="108" spans="1:49" ht="15.75" customHeight="1">
      <c r="A108" s="31"/>
      <c r="B108" s="68"/>
      <c r="C108" s="166"/>
      <c r="D108" s="90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3"/>
      <c r="AV108" s="31"/>
      <c r="AW108" s="33"/>
    </row>
    <row r="109" spans="1:49" ht="15.75" customHeight="1">
      <c r="A109" s="31"/>
      <c r="B109" s="68"/>
      <c r="C109" s="166"/>
      <c r="D109" s="90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3"/>
      <c r="AV109" s="31"/>
      <c r="AW109" s="33"/>
    </row>
    <row r="110" spans="1:49" ht="15.75" customHeight="1">
      <c r="A110" s="31"/>
      <c r="B110" s="68"/>
      <c r="C110" s="166"/>
      <c r="D110" s="90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3"/>
      <c r="AV110" s="31"/>
      <c r="AW110" s="33"/>
    </row>
    <row r="111" spans="1:49" ht="15.75" customHeight="1">
      <c r="A111" s="31"/>
      <c r="B111" s="68"/>
      <c r="C111" s="166"/>
      <c r="D111" s="90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3"/>
      <c r="AV111" s="31"/>
      <c r="AW111" s="33"/>
    </row>
    <row r="112" spans="1:49" ht="15.75" customHeight="1">
      <c r="A112" s="31"/>
      <c r="B112" s="68"/>
      <c r="C112" s="166"/>
      <c r="D112" s="90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3"/>
      <c r="AV112" s="31"/>
      <c r="AW112" s="33"/>
    </row>
    <row r="113" spans="1:49" ht="15.75" customHeight="1">
      <c r="A113" s="31"/>
      <c r="B113" s="68"/>
      <c r="C113" s="166"/>
      <c r="D113" s="90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3"/>
      <c r="AV113" s="31"/>
      <c r="AW113" s="33"/>
    </row>
    <row r="114" spans="1:49" ht="15.75" customHeight="1">
      <c r="A114" s="31"/>
      <c r="B114" s="68"/>
      <c r="C114" s="166"/>
      <c r="D114" s="90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3"/>
      <c r="AV114" s="31"/>
      <c r="AW114" s="33"/>
    </row>
    <row r="115" spans="1:49" ht="15.75" customHeight="1">
      <c r="A115" s="31"/>
      <c r="B115" s="68"/>
      <c r="C115" s="166"/>
      <c r="D115" s="90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3"/>
      <c r="AV115" s="31"/>
      <c r="AW115" s="33"/>
    </row>
    <row r="116" spans="1:49" ht="15.75" customHeight="1">
      <c r="A116" s="31"/>
      <c r="B116" s="68"/>
      <c r="C116" s="166"/>
      <c r="D116" s="90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3"/>
      <c r="AV116" s="31"/>
      <c r="AW116" s="33"/>
    </row>
    <row r="117" spans="1:49" ht="15.75" customHeight="1">
      <c r="A117" s="31"/>
      <c r="B117" s="68"/>
      <c r="C117" s="166"/>
      <c r="D117" s="90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3"/>
      <c r="AV117" s="31"/>
      <c r="AW117" s="33"/>
    </row>
    <row r="118" spans="1:49" ht="15.75" customHeight="1">
      <c r="A118" s="31"/>
      <c r="B118" s="68"/>
      <c r="C118" s="166"/>
      <c r="D118" s="90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3"/>
      <c r="AV118" s="31"/>
      <c r="AW118" s="33"/>
    </row>
    <row r="119" spans="1:49" ht="15.75" customHeight="1">
      <c r="A119" s="31"/>
      <c r="B119" s="68"/>
      <c r="C119" s="166"/>
      <c r="D119" s="90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3"/>
      <c r="AV119" s="31"/>
      <c r="AW119" s="33"/>
    </row>
    <row r="120" spans="1:49" ht="15.75" customHeight="1">
      <c r="A120" s="31"/>
      <c r="B120" s="68"/>
      <c r="C120" s="166"/>
      <c r="D120" s="90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3"/>
      <c r="AV120" s="31"/>
      <c r="AW120" s="33"/>
    </row>
    <row r="121" spans="1:49" ht="15.75" customHeight="1">
      <c r="A121" s="31"/>
      <c r="B121" s="68"/>
      <c r="C121" s="166"/>
      <c r="D121" s="90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3"/>
      <c r="AV121" s="31"/>
      <c r="AW121" s="33"/>
    </row>
    <row r="122" spans="1:49" ht="15.75" customHeight="1">
      <c r="A122" s="31"/>
      <c r="B122" s="68"/>
      <c r="C122" s="166"/>
      <c r="D122" s="90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3"/>
      <c r="AV122" s="31"/>
      <c r="AW122" s="33"/>
    </row>
    <row r="123" spans="1:49" ht="15.75" customHeight="1">
      <c r="A123" s="31"/>
      <c r="B123" s="68"/>
      <c r="C123" s="166"/>
      <c r="D123" s="90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3"/>
      <c r="AV123" s="31"/>
      <c r="AW123" s="33"/>
    </row>
    <row r="124" spans="1:49" ht="15.75" customHeight="1">
      <c r="A124" s="31"/>
      <c r="B124" s="68"/>
      <c r="C124" s="166"/>
      <c r="D124" s="90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3"/>
      <c r="AV124" s="31"/>
      <c r="AW124" s="33"/>
    </row>
    <row r="125" spans="1:49" ht="15.75" customHeight="1">
      <c r="A125" s="31"/>
      <c r="B125" s="68"/>
      <c r="C125" s="166"/>
      <c r="D125" s="90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3"/>
      <c r="AV125" s="31"/>
      <c r="AW125" s="33"/>
    </row>
    <row r="126" spans="1:49" ht="15.75" customHeight="1">
      <c r="A126" s="31"/>
      <c r="B126" s="68"/>
      <c r="C126" s="166"/>
      <c r="D126" s="90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3"/>
      <c r="AV126" s="31"/>
      <c r="AW126" s="33"/>
    </row>
    <row r="127" spans="1:49" ht="15.75" customHeight="1">
      <c r="A127" s="31"/>
      <c r="B127" s="68"/>
      <c r="C127" s="166"/>
      <c r="D127" s="90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3"/>
      <c r="AV127" s="31"/>
      <c r="AW127" s="33"/>
    </row>
    <row r="128" spans="1:49" ht="15.75" customHeight="1">
      <c r="A128" s="31"/>
      <c r="B128" s="68"/>
      <c r="C128" s="166"/>
      <c r="D128" s="90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3"/>
      <c r="AV128" s="31"/>
      <c r="AW128" s="33"/>
    </row>
    <row r="129" spans="1:49" ht="15.75" customHeight="1">
      <c r="A129" s="31"/>
      <c r="B129" s="68"/>
      <c r="C129" s="166"/>
      <c r="D129" s="90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3"/>
      <c r="AV129" s="31"/>
      <c r="AW129" s="33"/>
    </row>
    <row r="130" spans="1:49" ht="15.75" customHeight="1">
      <c r="A130" s="31"/>
      <c r="B130" s="68"/>
      <c r="C130" s="166"/>
      <c r="D130" s="90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3"/>
      <c r="AV130" s="31"/>
      <c r="AW130" s="33"/>
    </row>
    <row r="131" spans="1:49" ht="15.75" customHeight="1">
      <c r="A131" s="31"/>
      <c r="B131" s="68"/>
      <c r="C131" s="166"/>
      <c r="D131" s="90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3"/>
      <c r="AV131" s="31"/>
      <c r="AW131" s="33"/>
    </row>
    <row r="132" spans="1:49" ht="15.75" customHeight="1">
      <c r="A132" s="31"/>
      <c r="B132" s="68"/>
      <c r="C132" s="166"/>
      <c r="D132" s="90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3"/>
      <c r="AV132" s="31"/>
      <c r="AW132" s="33"/>
    </row>
    <row r="133" spans="1:49" ht="15.75" customHeight="1">
      <c r="A133" s="31"/>
      <c r="B133" s="68"/>
      <c r="C133" s="166"/>
      <c r="D133" s="90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3"/>
      <c r="AV133" s="31"/>
      <c r="AW133" s="33"/>
    </row>
    <row r="134" spans="1:49" ht="15.75" customHeight="1">
      <c r="A134" s="31"/>
      <c r="B134" s="68"/>
      <c r="C134" s="166"/>
      <c r="D134" s="90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3"/>
      <c r="AV134" s="31"/>
      <c r="AW134" s="33"/>
    </row>
    <row r="135" spans="1:49" ht="15.75" customHeight="1">
      <c r="A135" s="31"/>
      <c r="B135" s="68"/>
      <c r="C135" s="166"/>
      <c r="D135" s="90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3"/>
      <c r="AV135" s="31"/>
      <c r="AW135" s="33"/>
    </row>
    <row r="136" spans="1:49" ht="15.75" customHeight="1">
      <c r="A136" s="31"/>
      <c r="B136" s="68"/>
      <c r="C136" s="166"/>
      <c r="D136" s="90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3"/>
      <c r="AV136" s="31"/>
      <c r="AW136" s="33"/>
    </row>
    <row r="137" spans="1:49" ht="15.75" customHeight="1">
      <c r="A137" s="31"/>
      <c r="B137" s="68"/>
      <c r="C137" s="166"/>
      <c r="D137" s="90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3"/>
      <c r="AV137" s="31"/>
      <c r="AW137" s="33"/>
    </row>
    <row r="138" spans="1:49" ht="15.75" customHeight="1">
      <c r="A138" s="31"/>
      <c r="B138" s="68"/>
      <c r="C138" s="166"/>
      <c r="D138" s="90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3"/>
      <c r="AV138" s="31"/>
      <c r="AW138" s="33"/>
    </row>
    <row r="139" spans="1:49" ht="15.75" customHeight="1">
      <c r="A139" s="31"/>
      <c r="B139" s="68"/>
      <c r="C139" s="166"/>
      <c r="D139" s="90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3"/>
      <c r="AV139" s="31"/>
      <c r="AW139" s="33"/>
    </row>
    <row r="140" spans="1:49" ht="15.75" customHeight="1">
      <c r="A140" s="31"/>
      <c r="B140" s="68"/>
      <c r="C140" s="166"/>
      <c r="D140" s="90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3"/>
      <c r="AV140" s="31"/>
      <c r="AW140" s="33"/>
    </row>
    <row r="141" spans="1:49" ht="15.75" customHeight="1">
      <c r="A141" s="31"/>
      <c r="B141" s="68"/>
      <c r="C141" s="166"/>
      <c r="D141" s="90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3"/>
      <c r="AV141" s="31"/>
      <c r="AW141" s="33"/>
    </row>
    <row r="142" spans="1:49" ht="15.75" customHeight="1">
      <c r="A142" s="31"/>
      <c r="B142" s="68"/>
      <c r="C142" s="166"/>
      <c r="D142" s="90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3"/>
      <c r="AV142" s="31"/>
      <c r="AW142" s="33"/>
    </row>
    <row r="143" spans="1:49" ht="15.75" customHeight="1">
      <c r="A143" s="31"/>
      <c r="B143" s="68"/>
      <c r="C143" s="166"/>
      <c r="D143" s="90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3"/>
      <c r="AV143" s="31"/>
      <c r="AW143" s="33"/>
    </row>
    <row r="144" spans="1:49" ht="15.75" customHeight="1">
      <c r="A144" s="31"/>
      <c r="B144" s="68"/>
      <c r="C144" s="166"/>
      <c r="D144" s="90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3"/>
      <c r="AV144" s="31"/>
      <c r="AW144" s="33"/>
    </row>
    <row r="145" spans="1:49" ht="15.75" customHeight="1">
      <c r="A145" s="31"/>
      <c r="B145" s="68"/>
      <c r="C145" s="166"/>
      <c r="D145" s="90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3"/>
      <c r="AV145" s="31"/>
      <c r="AW145" s="33"/>
    </row>
    <row r="146" spans="1:49" ht="15.75" customHeight="1">
      <c r="A146" s="31"/>
      <c r="B146" s="68"/>
      <c r="C146" s="166"/>
      <c r="D146" s="90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3"/>
      <c r="AV146" s="31"/>
      <c r="AW146" s="33"/>
    </row>
    <row r="147" spans="1:49" ht="15.75" customHeight="1">
      <c r="A147" s="31"/>
      <c r="B147" s="68"/>
      <c r="C147" s="166"/>
      <c r="D147" s="90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3"/>
      <c r="AV147" s="31"/>
      <c r="AW147" s="33"/>
    </row>
    <row r="148" spans="1:49" ht="15.75" customHeight="1">
      <c r="A148" s="31"/>
      <c r="B148" s="68"/>
      <c r="C148" s="166"/>
      <c r="D148" s="90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3"/>
      <c r="AV148" s="31"/>
      <c r="AW148" s="33"/>
    </row>
    <row r="149" spans="1:49" ht="15.75" customHeight="1">
      <c r="A149" s="31"/>
      <c r="B149" s="68"/>
      <c r="C149" s="166"/>
      <c r="D149" s="90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3"/>
      <c r="AV149" s="31"/>
      <c r="AW149" s="33"/>
    </row>
    <row r="150" spans="1:49" ht="15.75" customHeight="1">
      <c r="A150" s="31"/>
      <c r="B150" s="68"/>
      <c r="C150" s="166"/>
      <c r="D150" s="90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3"/>
      <c r="AV150" s="31"/>
      <c r="AW150" s="33"/>
    </row>
    <row r="151" spans="1:49" ht="15.75" customHeight="1">
      <c r="A151" s="31"/>
      <c r="B151" s="68"/>
      <c r="C151" s="166"/>
      <c r="D151" s="90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3"/>
      <c r="AV151" s="31"/>
      <c r="AW151" s="33"/>
    </row>
    <row r="152" spans="1:49" ht="15.75" customHeight="1">
      <c r="A152" s="31"/>
      <c r="B152" s="68"/>
      <c r="C152" s="166"/>
      <c r="D152" s="90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3"/>
      <c r="AV152" s="31"/>
      <c r="AW152" s="33"/>
    </row>
    <row r="153" spans="1:49" ht="15.75" customHeight="1">
      <c r="A153" s="31"/>
      <c r="B153" s="68"/>
      <c r="C153" s="166"/>
      <c r="D153" s="90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3"/>
      <c r="AV153" s="31"/>
      <c r="AW153" s="33"/>
    </row>
    <row r="154" spans="1:49" ht="15.75" customHeight="1">
      <c r="A154" s="31"/>
      <c r="B154" s="68"/>
      <c r="C154" s="166"/>
      <c r="D154" s="90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3"/>
      <c r="AV154" s="31"/>
      <c r="AW154" s="33"/>
    </row>
    <row r="155" spans="1:49" ht="15.75" customHeight="1">
      <c r="A155" s="31"/>
      <c r="B155" s="68"/>
      <c r="C155" s="166"/>
      <c r="D155" s="90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3"/>
      <c r="AV155" s="31"/>
      <c r="AW155" s="33"/>
    </row>
    <row r="156" spans="1:49" ht="15.75" customHeight="1">
      <c r="A156" s="31"/>
      <c r="B156" s="68"/>
      <c r="C156" s="166"/>
      <c r="D156" s="90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3"/>
      <c r="AV156" s="31"/>
      <c r="AW156" s="33"/>
    </row>
    <row r="157" spans="1:49" ht="15.75" customHeight="1">
      <c r="A157" s="31"/>
      <c r="B157" s="68"/>
      <c r="C157" s="166"/>
      <c r="D157" s="90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3"/>
      <c r="AV157" s="31"/>
      <c r="AW157" s="33"/>
    </row>
    <row r="158" spans="1:49" ht="15.75" customHeight="1">
      <c r="A158" s="31"/>
      <c r="B158" s="68"/>
      <c r="C158" s="166"/>
      <c r="D158" s="90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3"/>
      <c r="AV158" s="31"/>
      <c r="AW158" s="33"/>
    </row>
    <row r="159" spans="1:49" ht="15.75" customHeight="1">
      <c r="A159" s="31"/>
      <c r="B159" s="68"/>
      <c r="C159" s="166"/>
      <c r="D159" s="90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3"/>
      <c r="AV159" s="31"/>
      <c r="AW159" s="33"/>
    </row>
    <row r="160" spans="1:49" ht="15.75" customHeight="1">
      <c r="A160" s="31"/>
      <c r="B160" s="68"/>
      <c r="C160" s="166"/>
      <c r="D160" s="90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3"/>
      <c r="AV160" s="31"/>
      <c r="AW160" s="33"/>
    </row>
    <row r="161" spans="1:49" ht="15.75" customHeight="1">
      <c r="A161" s="31"/>
      <c r="B161" s="68"/>
      <c r="C161" s="166"/>
      <c r="D161" s="90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3"/>
      <c r="AV161" s="31"/>
      <c r="AW161" s="33"/>
    </row>
    <row r="162" spans="1:49" ht="15.75" customHeight="1">
      <c r="A162" s="31"/>
      <c r="B162" s="68"/>
      <c r="C162" s="166"/>
      <c r="D162" s="90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3"/>
      <c r="AV162" s="31"/>
      <c r="AW162" s="33"/>
    </row>
    <row r="163" spans="1:49" ht="15.75" customHeight="1">
      <c r="A163" s="31"/>
      <c r="B163" s="68"/>
      <c r="C163" s="166"/>
      <c r="D163" s="90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3"/>
      <c r="AV163" s="31"/>
      <c r="AW163" s="33"/>
    </row>
    <row r="164" spans="1:49" ht="15.75" customHeight="1">
      <c r="A164" s="31"/>
      <c r="B164" s="68"/>
      <c r="C164" s="166"/>
      <c r="D164" s="90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3"/>
      <c r="AV164" s="31"/>
      <c r="AW164" s="33"/>
    </row>
    <row r="165" spans="1:49" ht="15.75" customHeight="1">
      <c r="A165" s="31"/>
      <c r="B165" s="68"/>
      <c r="C165" s="166"/>
      <c r="D165" s="90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3"/>
      <c r="AV165" s="31"/>
      <c r="AW165" s="33"/>
    </row>
    <row r="166" spans="1:49" ht="15.75" customHeight="1">
      <c r="A166" s="31"/>
      <c r="B166" s="68"/>
      <c r="C166" s="166"/>
      <c r="D166" s="90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3"/>
      <c r="AV166" s="31"/>
      <c r="AW166" s="33"/>
    </row>
    <row r="167" spans="1:49" ht="15.75" customHeight="1">
      <c r="A167" s="31"/>
      <c r="B167" s="68"/>
      <c r="C167" s="166"/>
      <c r="D167" s="90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3"/>
      <c r="AV167" s="31"/>
      <c r="AW167" s="33"/>
    </row>
    <row r="168" spans="1:49" ht="15.75" customHeight="1">
      <c r="A168" s="31"/>
      <c r="B168" s="68"/>
      <c r="C168" s="166"/>
      <c r="D168" s="90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3"/>
      <c r="AV168" s="31"/>
      <c r="AW168" s="33"/>
    </row>
    <row r="169" spans="1:49" ht="15.75" customHeight="1">
      <c r="A169" s="31"/>
      <c r="B169" s="68"/>
      <c r="C169" s="166"/>
      <c r="D169" s="90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3"/>
      <c r="AV169" s="31"/>
      <c r="AW169" s="33"/>
    </row>
    <row r="170" spans="1:49" ht="15.75" customHeight="1">
      <c r="A170" s="31"/>
      <c r="B170" s="68"/>
      <c r="C170" s="166"/>
      <c r="D170" s="90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3"/>
      <c r="AV170" s="31"/>
      <c r="AW170" s="33"/>
    </row>
    <row r="171" spans="1:49" ht="15.75" customHeight="1">
      <c r="A171" s="31"/>
      <c r="B171" s="68"/>
      <c r="C171" s="166"/>
      <c r="D171" s="90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3"/>
      <c r="AV171" s="31"/>
      <c r="AW171" s="33"/>
    </row>
    <row r="172" spans="1:49" ht="15.75" customHeight="1">
      <c r="A172" s="31"/>
      <c r="B172" s="68"/>
      <c r="C172" s="166"/>
      <c r="D172" s="90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3"/>
      <c r="AV172" s="31"/>
      <c r="AW172" s="33"/>
    </row>
    <row r="173" spans="1:49" ht="15.75" customHeight="1">
      <c r="A173" s="31"/>
      <c r="B173" s="68"/>
      <c r="C173" s="166"/>
      <c r="D173" s="90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3"/>
      <c r="AV173" s="31"/>
      <c r="AW173" s="33"/>
    </row>
    <row r="174" spans="1:49" ht="15.75" customHeight="1">
      <c r="A174" s="31"/>
      <c r="B174" s="68"/>
      <c r="C174" s="166"/>
      <c r="D174" s="90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3"/>
      <c r="AV174" s="31"/>
      <c r="AW174" s="33"/>
    </row>
    <row r="175" spans="1:49" ht="15.75" customHeight="1">
      <c r="A175" s="31"/>
      <c r="B175" s="68"/>
      <c r="C175" s="166"/>
      <c r="D175" s="90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3"/>
      <c r="AV175" s="31"/>
      <c r="AW175" s="33"/>
    </row>
    <row r="176" spans="1:49" ht="15.75" customHeight="1">
      <c r="A176" s="31"/>
      <c r="B176" s="68"/>
      <c r="C176" s="166"/>
      <c r="D176" s="90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3"/>
      <c r="AV176" s="31"/>
      <c r="AW176" s="33"/>
    </row>
    <row r="177" spans="1:49" ht="15.75" customHeight="1">
      <c r="A177" s="31"/>
      <c r="B177" s="68"/>
      <c r="C177" s="166"/>
      <c r="D177" s="90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3"/>
      <c r="AV177" s="31"/>
      <c r="AW177" s="33"/>
    </row>
    <row r="178" spans="1:49" ht="15.75" customHeight="1">
      <c r="A178" s="31"/>
      <c r="B178" s="68"/>
      <c r="C178" s="166"/>
      <c r="D178" s="90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3"/>
      <c r="AV178" s="31"/>
      <c r="AW178" s="33"/>
    </row>
    <row r="179" spans="1:49" ht="15.75" customHeight="1">
      <c r="A179" s="31"/>
      <c r="B179" s="68"/>
      <c r="C179" s="166"/>
      <c r="D179" s="90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3"/>
      <c r="AV179" s="31"/>
      <c r="AW179" s="33"/>
    </row>
    <row r="180" spans="1:49" ht="15.75" customHeight="1">
      <c r="A180" s="31"/>
      <c r="B180" s="68"/>
      <c r="C180" s="166"/>
      <c r="D180" s="90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3"/>
      <c r="AV180" s="31"/>
      <c r="AW180" s="33"/>
    </row>
    <row r="181" spans="1:49" ht="15.75" customHeight="1">
      <c r="A181" s="31"/>
      <c r="B181" s="68"/>
      <c r="C181" s="166"/>
      <c r="D181" s="90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3"/>
      <c r="AV181" s="31"/>
      <c r="AW181" s="33"/>
    </row>
    <row r="182" spans="1:49" ht="15.75" customHeight="1">
      <c r="A182" s="31"/>
      <c r="B182" s="68"/>
      <c r="C182" s="166"/>
      <c r="D182" s="90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3"/>
      <c r="AV182" s="31"/>
      <c r="AW182" s="33"/>
    </row>
    <row r="183" spans="1:49" ht="15.75" customHeight="1">
      <c r="A183" s="31"/>
      <c r="B183" s="68"/>
      <c r="C183" s="166"/>
      <c r="D183" s="90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3"/>
      <c r="AV183" s="31"/>
      <c r="AW183" s="33"/>
    </row>
    <row r="184" spans="1:49" ht="15.75" customHeight="1">
      <c r="A184" s="31"/>
      <c r="B184" s="68"/>
      <c r="C184" s="166"/>
      <c r="D184" s="90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3"/>
      <c r="AV184" s="31"/>
      <c r="AW184" s="33"/>
    </row>
    <row r="185" spans="1:49" ht="15.75" customHeight="1">
      <c r="A185" s="31"/>
      <c r="B185" s="68"/>
      <c r="C185" s="166"/>
      <c r="D185" s="90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3"/>
      <c r="AV185" s="31"/>
      <c r="AW185" s="33"/>
    </row>
    <row r="186" spans="1:49" ht="15.75" customHeight="1">
      <c r="A186" s="31"/>
      <c r="B186" s="68"/>
      <c r="C186" s="166"/>
      <c r="D186" s="90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3"/>
      <c r="AV186" s="31"/>
      <c r="AW186" s="33"/>
    </row>
    <row r="187" spans="1:49" ht="15.75" customHeight="1">
      <c r="A187" s="31"/>
      <c r="B187" s="68"/>
      <c r="C187" s="166"/>
      <c r="D187" s="90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3"/>
      <c r="AV187" s="31"/>
      <c r="AW187" s="33"/>
    </row>
    <row r="188" spans="1:49" ht="15.75" customHeight="1">
      <c r="A188" s="31"/>
      <c r="B188" s="68"/>
      <c r="C188" s="166"/>
      <c r="D188" s="90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3"/>
      <c r="AV188" s="31"/>
      <c r="AW188" s="33"/>
    </row>
    <row r="189" spans="1:49" ht="15.75" customHeight="1">
      <c r="A189" s="31"/>
      <c r="B189" s="68"/>
      <c r="C189" s="166"/>
      <c r="D189" s="90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3"/>
      <c r="AV189" s="31"/>
      <c r="AW189" s="33"/>
    </row>
    <row r="190" spans="1:49" ht="15.75" customHeight="1">
      <c r="A190" s="31"/>
      <c r="B190" s="68"/>
      <c r="C190" s="166"/>
      <c r="D190" s="90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3"/>
      <c r="AV190" s="31"/>
      <c r="AW190" s="33"/>
    </row>
    <row r="191" spans="1:49" ht="15.75" customHeight="1">
      <c r="A191" s="31"/>
      <c r="B191" s="68"/>
      <c r="C191" s="166"/>
      <c r="D191" s="90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3"/>
      <c r="AV191" s="31"/>
      <c r="AW191" s="33"/>
    </row>
    <row r="192" spans="1:49" ht="15.75" customHeight="1">
      <c r="A192" s="31"/>
      <c r="B192" s="68"/>
      <c r="C192" s="166"/>
      <c r="D192" s="90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3"/>
      <c r="AV192" s="31"/>
      <c r="AW192" s="33"/>
    </row>
    <row r="193" spans="1:49" ht="15.75" customHeight="1">
      <c r="A193" s="31"/>
      <c r="B193" s="68"/>
      <c r="C193" s="166"/>
      <c r="D193" s="90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3"/>
      <c r="AV193" s="31"/>
      <c r="AW193" s="33"/>
    </row>
    <row r="194" spans="1:49" ht="15.75" customHeight="1">
      <c r="A194" s="31"/>
      <c r="B194" s="68"/>
      <c r="C194" s="166"/>
      <c r="D194" s="90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3"/>
      <c r="AV194" s="31"/>
      <c r="AW194" s="33"/>
    </row>
    <row r="195" spans="1:49" ht="15.75" customHeight="1">
      <c r="A195" s="31"/>
      <c r="B195" s="68"/>
      <c r="C195" s="166"/>
      <c r="D195" s="90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3"/>
      <c r="AV195" s="31"/>
      <c r="AW195" s="33"/>
    </row>
    <row r="196" spans="1:49" ht="15.75" customHeight="1">
      <c r="A196" s="31"/>
      <c r="B196" s="68"/>
      <c r="C196" s="166"/>
      <c r="D196" s="90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3"/>
      <c r="AV196" s="31"/>
      <c r="AW196" s="33"/>
    </row>
    <row r="197" spans="1:49" ht="15.75" customHeight="1">
      <c r="A197" s="31"/>
      <c r="B197" s="68"/>
      <c r="C197" s="166"/>
      <c r="D197" s="90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3"/>
      <c r="AV197" s="31"/>
      <c r="AW197" s="33"/>
    </row>
    <row r="198" spans="1:49" ht="15.75" customHeight="1">
      <c r="A198" s="31"/>
      <c r="B198" s="68"/>
      <c r="C198" s="166"/>
      <c r="D198" s="90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3"/>
      <c r="AV198" s="31"/>
      <c r="AW198" s="33"/>
    </row>
    <row r="199" spans="1:49" ht="15.75" customHeight="1">
      <c r="A199" s="31"/>
      <c r="B199" s="68"/>
      <c r="C199" s="166"/>
      <c r="D199" s="90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3"/>
      <c r="AV199" s="31"/>
      <c r="AW199" s="33"/>
    </row>
    <row r="200" spans="1:49" ht="15.75" customHeight="1">
      <c r="A200" s="31"/>
      <c r="B200" s="68"/>
      <c r="C200" s="166"/>
      <c r="D200" s="90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3"/>
      <c r="AV200" s="31"/>
      <c r="AW200" s="33"/>
    </row>
    <row r="201" spans="1:49" ht="15.75" customHeight="1">
      <c r="A201" s="31"/>
      <c r="B201" s="68"/>
      <c r="C201" s="166"/>
      <c r="D201" s="90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3"/>
      <c r="AV201" s="31"/>
      <c r="AW201" s="33"/>
    </row>
    <row r="202" spans="1:49" ht="15.75" customHeight="1">
      <c r="A202" s="31"/>
      <c r="B202" s="68"/>
      <c r="C202" s="166"/>
      <c r="D202" s="90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3"/>
      <c r="AV202" s="31"/>
      <c r="AW202" s="33"/>
    </row>
    <row r="203" spans="1:49" ht="15.75" customHeight="1">
      <c r="A203" s="31"/>
      <c r="B203" s="68"/>
      <c r="C203" s="166"/>
      <c r="D203" s="90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3"/>
      <c r="AV203" s="31"/>
      <c r="AW203" s="33"/>
    </row>
    <row r="204" spans="1:49" ht="15.75" customHeight="1">
      <c r="A204" s="31"/>
      <c r="B204" s="68"/>
      <c r="C204" s="166"/>
      <c r="D204" s="90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3"/>
      <c r="AV204" s="31"/>
      <c r="AW204" s="33"/>
    </row>
    <row r="205" spans="1:49" ht="15.75" customHeight="1">
      <c r="A205" s="31"/>
      <c r="B205" s="68"/>
      <c r="C205" s="166"/>
      <c r="D205" s="90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3"/>
      <c r="AV205" s="31"/>
      <c r="AW205" s="33"/>
    </row>
    <row r="206" spans="1:49" ht="15.75" customHeight="1">
      <c r="A206" s="31"/>
      <c r="B206" s="68"/>
      <c r="C206" s="166"/>
      <c r="D206" s="90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3"/>
      <c r="AV206" s="31"/>
      <c r="AW206" s="33"/>
    </row>
    <row r="207" spans="1:49" ht="15.75" customHeight="1">
      <c r="A207" s="31"/>
      <c r="B207" s="68"/>
      <c r="C207" s="166"/>
      <c r="D207" s="90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3"/>
      <c r="AV207" s="31"/>
      <c r="AW207" s="33"/>
    </row>
    <row r="208" spans="1:49" ht="15.75" customHeight="1">
      <c r="A208" s="31"/>
      <c r="B208" s="68"/>
      <c r="C208" s="166"/>
      <c r="D208" s="90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3"/>
      <c r="AV208" s="31"/>
      <c r="AW208" s="33"/>
    </row>
    <row r="209" spans="1:49" ht="15.75" customHeight="1">
      <c r="A209" s="31"/>
      <c r="B209" s="68"/>
      <c r="C209" s="166"/>
      <c r="D209" s="90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3"/>
      <c r="AV209" s="31"/>
      <c r="AW209" s="33"/>
    </row>
    <row r="210" spans="1:49" ht="15.75" customHeight="1">
      <c r="A210" s="31"/>
      <c r="B210" s="68"/>
      <c r="C210" s="166"/>
      <c r="D210" s="90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3"/>
      <c r="AV210" s="31"/>
      <c r="AW210" s="33"/>
    </row>
    <row r="211" spans="1:49" ht="15.75" customHeight="1">
      <c r="A211" s="31"/>
      <c r="B211" s="68"/>
      <c r="C211" s="166"/>
      <c r="D211" s="90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3"/>
      <c r="AV211" s="31"/>
      <c r="AW211" s="33"/>
    </row>
    <row r="212" spans="1:49" ht="15.75" customHeight="1">
      <c r="A212" s="31"/>
      <c r="B212" s="68"/>
      <c r="C212" s="166"/>
      <c r="D212" s="90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3"/>
      <c r="AV212" s="31"/>
      <c r="AW212" s="33"/>
    </row>
    <row r="213" spans="1:49" ht="15.75" customHeight="1">
      <c r="A213" s="31"/>
      <c r="B213" s="68"/>
      <c r="C213" s="166"/>
      <c r="D213" s="90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3"/>
      <c r="AV213" s="31"/>
      <c r="AW213" s="33"/>
    </row>
    <row r="214" spans="1:49" ht="15.75" customHeight="1">
      <c r="A214" s="31"/>
      <c r="B214" s="68"/>
      <c r="C214" s="166"/>
      <c r="D214" s="90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3"/>
      <c r="AV214" s="31"/>
      <c r="AW214" s="33"/>
    </row>
    <row r="215" spans="1:49" ht="15.75" customHeight="1">
      <c r="A215" s="31"/>
      <c r="B215" s="68"/>
      <c r="C215" s="166"/>
      <c r="D215" s="90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3"/>
      <c r="AV215" s="31"/>
      <c r="AW215" s="33"/>
    </row>
    <row r="216" spans="1:49" ht="15.75" customHeight="1">
      <c r="A216" s="31"/>
      <c r="B216" s="68"/>
      <c r="C216" s="166"/>
      <c r="D216" s="90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3"/>
      <c r="AV216" s="31"/>
      <c r="AW216" s="33"/>
    </row>
    <row r="217" spans="1:49" ht="15.75" customHeight="1">
      <c r="A217" s="31"/>
      <c r="B217" s="68"/>
      <c r="C217" s="166"/>
      <c r="D217" s="90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3"/>
      <c r="AV217" s="31"/>
      <c r="AW217" s="33"/>
    </row>
    <row r="218" spans="1:49" ht="15.75" customHeight="1">
      <c r="A218" s="31"/>
      <c r="B218" s="68"/>
      <c r="C218" s="166"/>
      <c r="D218" s="90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3"/>
      <c r="AV218" s="31"/>
      <c r="AW218" s="33"/>
    </row>
    <row r="219" spans="1:49" ht="15.75" customHeight="1">
      <c r="A219" s="31"/>
      <c r="B219" s="68"/>
      <c r="C219" s="166"/>
      <c r="D219" s="90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3"/>
      <c r="AV219" s="31"/>
      <c r="AW219" s="33"/>
    </row>
    <row r="220" spans="1:49" ht="15.75" customHeight="1">
      <c r="A220" s="31"/>
      <c r="B220" s="68"/>
      <c r="C220" s="166"/>
      <c r="D220" s="90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3"/>
      <c r="AV220" s="31"/>
      <c r="AW220" s="33"/>
    </row>
    <row r="221" spans="1:49" ht="15.75" customHeight="1">
      <c r="A221" s="31"/>
      <c r="B221" s="68"/>
      <c r="C221" s="166"/>
      <c r="D221" s="90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3"/>
      <c r="AV221" s="31"/>
      <c r="AW221" s="33"/>
    </row>
    <row r="222" spans="1:49" ht="15.75" customHeight="1">
      <c r="A222" s="31"/>
      <c r="B222" s="68"/>
      <c r="C222" s="166"/>
      <c r="D222" s="90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3"/>
      <c r="AV222" s="31"/>
      <c r="AW222" s="33"/>
    </row>
    <row r="223" spans="1:49" ht="15.75" customHeight="1">
      <c r="A223" s="31"/>
      <c r="B223" s="68"/>
      <c r="C223" s="166"/>
      <c r="D223" s="90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3"/>
      <c r="AV223" s="31"/>
      <c r="AW223" s="33"/>
    </row>
    <row r="224" spans="1:49" ht="15.75" customHeight="1">
      <c r="A224" s="31"/>
      <c r="B224" s="68"/>
      <c r="C224" s="166"/>
      <c r="D224" s="90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3"/>
      <c r="AV224" s="31"/>
      <c r="AW224" s="33"/>
    </row>
    <row r="225" spans="1:49" ht="15.75" customHeight="1">
      <c r="A225" s="31"/>
      <c r="B225" s="68"/>
      <c r="C225" s="166"/>
      <c r="D225" s="90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3"/>
      <c r="AV225" s="31"/>
      <c r="AW225" s="33"/>
    </row>
    <row r="226" spans="1:49" ht="15.75" customHeight="1">
      <c r="A226" s="31"/>
      <c r="B226" s="68"/>
      <c r="C226" s="166"/>
      <c r="D226" s="90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3"/>
      <c r="AV226" s="31"/>
      <c r="AW226" s="33"/>
    </row>
    <row r="227" spans="1:49" ht="15.75" customHeight="1">
      <c r="A227" s="31"/>
      <c r="B227" s="68"/>
      <c r="C227" s="166"/>
      <c r="D227" s="90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3"/>
      <c r="AV227" s="31"/>
      <c r="AW227" s="33"/>
    </row>
    <row r="228" spans="1:49" ht="15.75" customHeight="1">
      <c r="A228" s="31"/>
      <c r="B228" s="68"/>
      <c r="C228" s="166"/>
      <c r="D228" s="90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3"/>
      <c r="AV228" s="31"/>
      <c r="AW228" s="33"/>
    </row>
    <row r="229" spans="1:49" ht="15.75" customHeight="1">
      <c r="A229" s="31"/>
      <c r="B229" s="68"/>
      <c r="C229" s="166"/>
      <c r="D229" s="90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3"/>
      <c r="AV229" s="31"/>
      <c r="AW229" s="33"/>
    </row>
    <row r="230" spans="1:49" ht="15.75" customHeight="1">
      <c r="A230" s="31"/>
      <c r="B230" s="68"/>
      <c r="C230" s="166"/>
      <c r="D230" s="90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3"/>
      <c r="AV230" s="31"/>
      <c r="AW230" s="33"/>
    </row>
    <row r="231" spans="1:49" ht="15.75" customHeight="1">
      <c r="A231" s="31"/>
      <c r="B231" s="68"/>
      <c r="C231" s="166"/>
      <c r="D231" s="90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3"/>
      <c r="AV231" s="31"/>
      <c r="AW231" s="33"/>
    </row>
    <row r="232" spans="1:49" ht="15.75" customHeight="1">
      <c r="A232" s="31"/>
      <c r="B232" s="68"/>
      <c r="C232" s="166"/>
      <c r="D232" s="90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3"/>
      <c r="AV232" s="31"/>
      <c r="AW232" s="33"/>
    </row>
    <row r="233" spans="1:49" ht="15.75" customHeight="1">
      <c r="A233" s="31"/>
      <c r="B233" s="68"/>
      <c r="C233" s="166"/>
      <c r="D233" s="90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3"/>
      <c r="AV233" s="31"/>
      <c r="AW233" s="33"/>
    </row>
    <row r="234" spans="1:49" ht="15.75" customHeight="1">
      <c r="A234" s="31"/>
      <c r="B234" s="68"/>
      <c r="C234" s="166"/>
      <c r="D234" s="90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3"/>
      <c r="AV234" s="31"/>
      <c r="AW234" s="33"/>
    </row>
    <row r="235" spans="1:49" ht="15.75" customHeight="1">
      <c r="A235" s="31"/>
      <c r="B235" s="68"/>
      <c r="C235" s="166"/>
      <c r="D235" s="90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3"/>
      <c r="AV235" s="31"/>
      <c r="AW235" s="33"/>
    </row>
    <row r="236" spans="1:49" ht="15.75" customHeight="1">
      <c r="A236" s="31"/>
      <c r="B236" s="68"/>
      <c r="C236" s="166"/>
      <c r="D236" s="90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3"/>
      <c r="AV236" s="31"/>
      <c r="AW236" s="33"/>
    </row>
    <row r="237" spans="1:49" ht="15.75" customHeight="1">
      <c r="A237" s="31"/>
      <c r="B237" s="68"/>
      <c r="C237" s="166"/>
      <c r="D237" s="90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3"/>
      <c r="AV237" s="31"/>
      <c r="AW237" s="33"/>
    </row>
    <row r="238" spans="1:49" ht="15.75" customHeight="1">
      <c r="A238" s="31"/>
      <c r="B238" s="68"/>
      <c r="C238" s="166"/>
      <c r="D238" s="90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3"/>
      <c r="AV238" s="31"/>
      <c r="AW238" s="33"/>
    </row>
    <row r="239" spans="1:49" ht="15.75" customHeight="1">
      <c r="A239" s="31"/>
      <c r="B239" s="68"/>
      <c r="C239" s="166"/>
      <c r="D239" s="90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3"/>
      <c r="AV239" s="31"/>
      <c r="AW239" s="33"/>
    </row>
    <row r="240" spans="1:49" ht="15.75" customHeight="1">
      <c r="A240" s="31"/>
      <c r="B240" s="68"/>
      <c r="C240" s="166"/>
      <c r="D240" s="90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3"/>
      <c r="AV240" s="31"/>
      <c r="AW240" s="33"/>
    </row>
    <row r="241" spans="1:49" ht="15.75" customHeight="1">
      <c r="A241" s="31"/>
      <c r="B241" s="68"/>
      <c r="C241" s="166"/>
      <c r="D241" s="90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3"/>
      <c r="AV241" s="31"/>
      <c r="AW241" s="33"/>
    </row>
    <row r="242" spans="1:49" ht="15.75" customHeight="1">
      <c r="A242" s="31"/>
      <c r="B242" s="68"/>
      <c r="C242" s="166"/>
      <c r="D242" s="90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3"/>
      <c r="AV242" s="31"/>
      <c r="AW242" s="33"/>
    </row>
    <row r="243" spans="1:49" ht="15.75" customHeight="1">
      <c r="A243" s="31"/>
      <c r="B243" s="68"/>
      <c r="C243" s="166"/>
      <c r="D243" s="90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3"/>
      <c r="AV243" s="31"/>
      <c r="AW243" s="33"/>
    </row>
    <row r="244" spans="1:49" ht="15.75" customHeight="1">
      <c r="A244" s="31"/>
      <c r="B244" s="68"/>
      <c r="C244" s="166"/>
      <c r="D244" s="90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3"/>
      <c r="AV244" s="31"/>
      <c r="AW244" s="33"/>
    </row>
    <row r="245" spans="1:49" ht="15.75" customHeight="1">
      <c r="A245" s="31"/>
      <c r="B245" s="68"/>
      <c r="C245" s="166"/>
      <c r="D245" s="90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3"/>
      <c r="AV245" s="31"/>
      <c r="AW245" s="33"/>
    </row>
    <row r="246" spans="1:49" ht="15.75" customHeight="1">
      <c r="A246" s="31"/>
      <c r="B246" s="68"/>
      <c r="C246" s="166"/>
      <c r="D246" s="90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3"/>
      <c r="AV246" s="31"/>
      <c r="AW246" s="33"/>
    </row>
    <row r="247" spans="1:49" ht="15.75" customHeight="1">
      <c r="A247" s="31"/>
      <c r="B247" s="68"/>
      <c r="C247" s="166"/>
      <c r="D247" s="90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3"/>
      <c r="AV247" s="31"/>
      <c r="AW247" s="33"/>
    </row>
    <row r="248" spans="1:49" ht="15.75" customHeight="1"/>
    <row r="249" spans="1:49" ht="15.75" customHeight="1"/>
    <row r="250" spans="1:49" ht="15.75" customHeight="1"/>
    <row r="251" spans="1:49" ht="15.75" customHeight="1"/>
    <row r="252" spans="1:49" ht="15.75" customHeight="1"/>
    <row r="253" spans="1:49" ht="15.75" customHeight="1"/>
    <row r="254" spans="1:49" ht="15.75" customHeight="1"/>
    <row r="255" spans="1:49" ht="15.75" customHeight="1"/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Z3:AG3"/>
    <mergeCell ref="AH3:AM3"/>
    <mergeCell ref="AN3:AU3"/>
    <mergeCell ref="E40:L44"/>
    <mergeCell ref="M40:T44"/>
    <mergeCell ref="Z40:AG44"/>
    <mergeCell ref="B3:B4"/>
    <mergeCell ref="E3:L3"/>
    <mergeCell ref="M3:T3"/>
    <mergeCell ref="U3:Y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２０２5.04</vt:lpstr>
      <vt:lpstr>2025.05</vt:lpstr>
      <vt:lpstr>2025.06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2026-02-11T10:20:36Z</dcterms:created>
  <dcterms:modified xsi:type="dcterms:W3CDTF">2026-02-11T10:50:40Z</dcterms:modified>
</cp:coreProperties>
</file>