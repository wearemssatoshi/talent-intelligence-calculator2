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F021A4A3-C38E-644B-BBE5-4E41805704B9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5.07" sheetId="1" r:id="rId1"/>
    <sheet name="2025.08" sheetId="2" r:id="rId2"/>
    <sheet name="2025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3" l="1"/>
  <c r="L45" i="3"/>
  <c r="AL43" i="3"/>
  <c r="AK43" i="3"/>
  <c r="AB37" i="3"/>
  <c r="AG45" i="3" s="1"/>
  <c r="AE36" i="3"/>
  <c r="AD36" i="3"/>
  <c r="AB36" i="3"/>
  <c r="AC36" i="3" s="1"/>
  <c r="AT35" i="3"/>
  <c r="AS35" i="3"/>
  <c r="AR35" i="3"/>
  <c r="AQ35" i="3"/>
  <c r="AP35" i="3"/>
  <c r="AO35" i="3"/>
  <c r="AN35" i="3"/>
  <c r="AM35" i="3"/>
  <c r="AM36" i="3" s="1"/>
  <c r="AE35" i="3"/>
  <c r="AD35" i="3"/>
  <c r="AC35" i="3"/>
  <c r="AB35" i="3"/>
  <c r="AA35" i="3"/>
  <c r="Z35" i="3"/>
  <c r="M35" i="3"/>
  <c r="I35" i="3"/>
  <c r="G35" i="3"/>
  <c r="G36" i="3" s="1"/>
  <c r="H36" i="3" s="1"/>
  <c r="F35" i="3"/>
  <c r="G37" i="3" s="1"/>
  <c r="E35" i="3"/>
  <c r="C35" i="3"/>
  <c r="AU34" i="3"/>
  <c r="AX34" i="3" s="1"/>
  <c r="AL34" i="3"/>
  <c r="AH34" i="3"/>
  <c r="AG34" i="3"/>
  <c r="AF34" i="3"/>
  <c r="AE34" i="3"/>
  <c r="AC34" i="3"/>
  <c r="W34" i="3"/>
  <c r="AJ34" i="3" s="1"/>
  <c r="U34" i="3"/>
  <c r="Q34" i="3"/>
  <c r="R34" i="3" s="1"/>
  <c r="O34" i="3"/>
  <c r="V34" i="3" s="1"/>
  <c r="AI34" i="3" s="1"/>
  <c r="N34" i="3"/>
  <c r="L34" i="3"/>
  <c r="K34" i="3"/>
  <c r="J34" i="3"/>
  <c r="H34" i="3"/>
  <c r="AU33" i="3"/>
  <c r="AX33" i="3" s="1"/>
  <c r="AL33" i="3"/>
  <c r="AJ33" i="3"/>
  <c r="AG33" i="3"/>
  <c r="AF33" i="3"/>
  <c r="AE33" i="3"/>
  <c r="AC33" i="3"/>
  <c r="V33" i="3"/>
  <c r="AI33" i="3" s="1"/>
  <c r="Q33" i="3"/>
  <c r="W33" i="3" s="1"/>
  <c r="O33" i="3"/>
  <c r="S33" i="3" s="1"/>
  <c r="N33" i="3"/>
  <c r="U33" i="3" s="1"/>
  <c r="L33" i="3"/>
  <c r="K33" i="3"/>
  <c r="X33" i="3" s="1"/>
  <c r="AK33" i="3" s="1"/>
  <c r="J33" i="3"/>
  <c r="H33" i="3"/>
  <c r="AU32" i="3"/>
  <c r="AX32" i="3" s="1"/>
  <c r="AL32" i="3"/>
  <c r="AI32" i="3"/>
  <c r="AF32" i="3"/>
  <c r="AG32" i="3" s="1"/>
  <c r="AE32" i="3"/>
  <c r="AC32" i="3"/>
  <c r="W32" i="3"/>
  <c r="AJ32" i="3" s="1"/>
  <c r="U32" i="3"/>
  <c r="Q32" i="3"/>
  <c r="O32" i="3"/>
  <c r="V32" i="3" s="1"/>
  <c r="N32" i="3"/>
  <c r="AH32" i="3" s="1"/>
  <c r="L32" i="3"/>
  <c r="K32" i="3"/>
  <c r="J32" i="3"/>
  <c r="H32" i="3"/>
  <c r="AX31" i="3"/>
  <c r="AW31" i="3"/>
  <c r="AU31" i="3"/>
  <c r="AL31" i="3"/>
  <c r="AJ31" i="3"/>
  <c r="AH31" i="3"/>
  <c r="AF31" i="3"/>
  <c r="AG31" i="3" s="1"/>
  <c r="AE31" i="3"/>
  <c r="AC31" i="3"/>
  <c r="W31" i="3"/>
  <c r="V31" i="3"/>
  <c r="AI31" i="3" s="1"/>
  <c r="Q31" i="3"/>
  <c r="S31" i="3" s="1"/>
  <c r="T31" i="3" s="1"/>
  <c r="O31" i="3"/>
  <c r="N31" i="3"/>
  <c r="U31" i="3" s="1"/>
  <c r="K31" i="3"/>
  <c r="X31" i="3" s="1"/>
  <c r="AK31" i="3" s="1"/>
  <c r="J31" i="3"/>
  <c r="H31" i="3"/>
  <c r="AW30" i="3"/>
  <c r="AU30" i="3"/>
  <c r="AX30" i="3" s="1"/>
  <c r="AL30" i="3"/>
  <c r="AJ30" i="3"/>
  <c r="AI30" i="3"/>
  <c r="AH30" i="3"/>
  <c r="AG30" i="3"/>
  <c r="AF30" i="3"/>
  <c r="AE30" i="3"/>
  <c r="AC30" i="3"/>
  <c r="W30" i="3"/>
  <c r="V30" i="3"/>
  <c r="U30" i="3"/>
  <c r="S30" i="3"/>
  <c r="T30" i="3" s="1"/>
  <c r="Q30" i="3"/>
  <c r="R30" i="3" s="1"/>
  <c r="P30" i="3"/>
  <c r="O30" i="3"/>
  <c r="N30" i="3"/>
  <c r="L30" i="3"/>
  <c r="K30" i="3"/>
  <c r="X30" i="3" s="1"/>
  <c r="AK30" i="3" s="1"/>
  <c r="J30" i="3"/>
  <c r="H30" i="3"/>
  <c r="AU29" i="3"/>
  <c r="AL29" i="3"/>
  <c r="AI29" i="3"/>
  <c r="AH29" i="3"/>
  <c r="AF29" i="3"/>
  <c r="AG29" i="3" s="1"/>
  <c r="AE29" i="3"/>
  <c r="AC29" i="3"/>
  <c r="V29" i="3"/>
  <c r="U29" i="3"/>
  <c r="T29" i="3"/>
  <c r="S29" i="3"/>
  <c r="R29" i="3"/>
  <c r="Q29" i="3"/>
  <c r="W29" i="3" s="1"/>
  <c r="AJ29" i="3" s="1"/>
  <c r="O29" i="3"/>
  <c r="P29" i="3" s="1"/>
  <c r="N29" i="3"/>
  <c r="L29" i="3"/>
  <c r="K29" i="3"/>
  <c r="X29" i="3" s="1"/>
  <c r="AK29" i="3" s="1"/>
  <c r="J29" i="3"/>
  <c r="H29" i="3"/>
  <c r="AX28" i="3"/>
  <c r="AU28" i="3"/>
  <c r="AW28" i="3" s="1"/>
  <c r="AL28" i="3"/>
  <c r="AH28" i="3"/>
  <c r="AG28" i="3"/>
  <c r="AF28" i="3"/>
  <c r="AE28" i="3"/>
  <c r="AC28" i="3"/>
  <c r="U28" i="3"/>
  <c r="Q28" i="3"/>
  <c r="O28" i="3"/>
  <c r="P28" i="3" s="1"/>
  <c r="N28" i="3"/>
  <c r="L28" i="3"/>
  <c r="K28" i="3"/>
  <c r="J28" i="3"/>
  <c r="H28" i="3"/>
  <c r="AW27" i="3"/>
  <c r="AU27" i="3"/>
  <c r="AL27" i="3"/>
  <c r="AH27" i="3"/>
  <c r="AF27" i="3"/>
  <c r="AX27" i="3" s="1"/>
  <c r="AE27" i="3"/>
  <c r="AC27" i="3"/>
  <c r="V27" i="3"/>
  <c r="AI27" i="3" s="1"/>
  <c r="S27" i="3"/>
  <c r="T27" i="3" s="1"/>
  <c r="R27" i="3"/>
  <c r="Q27" i="3"/>
  <c r="W27" i="3" s="1"/>
  <c r="AJ27" i="3" s="1"/>
  <c r="P27" i="3"/>
  <c r="O27" i="3"/>
  <c r="N27" i="3"/>
  <c r="U27" i="3" s="1"/>
  <c r="L27" i="3"/>
  <c r="K27" i="3"/>
  <c r="X27" i="3" s="1"/>
  <c r="AK27" i="3" s="1"/>
  <c r="J27" i="3"/>
  <c r="H27" i="3"/>
  <c r="AU26" i="3"/>
  <c r="AL26" i="3"/>
  <c r="AF26" i="3"/>
  <c r="AG26" i="3" s="1"/>
  <c r="AE26" i="3"/>
  <c r="AC26" i="3"/>
  <c r="U26" i="3"/>
  <c r="Q26" i="3"/>
  <c r="W26" i="3" s="1"/>
  <c r="AJ26" i="3" s="1"/>
  <c r="O26" i="3"/>
  <c r="N26" i="3"/>
  <c r="AH26" i="3" s="1"/>
  <c r="L26" i="3"/>
  <c r="K26" i="3"/>
  <c r="J26" i="3"/>
  <c r="H26" i="3"/>
  <c r="AX25" i="3"/>
  <c r="AW25" i="3"/>
  <c r="AU25" i="3"/>
  <c r="AL25" i="3"/>
  <c r="AF25" i="3"/>
  <c r="AG25" i="3" s="1"/>
  <c r="AE25" i="3"/>
  <c r="AC25" i="3"/>
  <c r="Q25" i="3"/>
  <c r="W25" i="3" s="1"/>
  <c r="AJ25" i="3" s="1"/>
  <c r="O25" i="3"/>
  <c r="V25" i="3" s="1"/>
  <c r="AI25" i="3" s="1"/>
  <c r="N25" i="3"/>
  <c r="K25" i="3"/>
  <c r="L25" i="3" s="1"/>
  <c r="J25" i="3"/>
  <c r="H25" i="3"/>
  <c r="AU24" i="3"/>
  <c r="AW24" i="3" s="1"/>
  <c r="AL24" i="3"/>
  <c r="AH24" i="3"/>
  <c r="AG24" i="3"/>
  <c r="AF24" i="3"/>
  <c r="AE24" i="3"/>
  <c r="AC24" i="3"/>
  <c r="W24" i="3"/>
  <c r="AJ24" i="3" s="1"/>
  <c r="Q24" i="3"/>
  <c r="R24" i="3" s="1"/>
  <c r="O24" i="3"/>
  <c r="V24" i="3" s="1"/>
  <c r="AI24" i="3" s="1"/>
  <c r="N24" i="3"/>
  <c r="U24" i="3" s="1"/>
  <c r="L24" i="3"/>
  <c r="K24" i="3"/>
  <c r="J24" i="3"/>
  <c r="H24" i="3"/>
  <c r="AU23" i="3"/>
  <c r="AW23" i="3" s="1"/>
  <c r="AL23" i="3"/>
  <c r="AJ23" i="3"/>
  <c r="AG23" i="3"/>
  <c r="AF23" i="3"/>
  <c r="AE23" i="3"/>
  <c r="AC23" i="3"/>
  <c r="W23" i="3"/>
  <c r="V23" i="3"/>
  <c r="AI23" i="3" s="1"/>
  <c r="Q23" i="3"/>
  <c r="O23" i="3"/>
  <c r="S23" i="3" s="1"/>
  <c r="N23" i="3"/>
  <c r="U23" i="3" s="1"/>
  <c r="L23" i="3"/>
  <c r="K23" i="3"/>
  <c r="X23" i="3" s="1"/>
  <c r="AK23" i="3" s="1"/>
  <c r="J23" i="3"/>
  <c r="H23" i="3"/>
  <c r="AU22" i="3"/>
  <c r="AX22" i="3" s="1"/>
  <c r="AL22" i="3"/>
  <c r="AI22" i="3"/>
  <c r="AF22" i="3"/>
  <c r="AG22" i="3" s="1"/>
  <c r="AE22" i="3"/>
  <c r="AC22" i="3"/>
  <c r="W22" i="3"/>
  <c r="AJ22" i="3" s="1"/>
  <c r="U22" i="3"/>
  <c r="Q22" i="3"/>
  <c r="O22" i="3"/>
  <c r="V22" i="3" s="1"/>
  <c r="N22" i="3"/>
  <c r="AH22" i="3" s="1"/>
  <c r="L22" i="3"/>
  <c r="K22" i="3"/>
  <c r="J22" i="3"/>
  <c r="H22" i="3"/>
  <c r="AX21" i="3"/>
  <c r="AW21" i="3"/>
  <c r="AU21" i="3"/>
  <c r="AL21" i="3"/>
  <c r="AJ21" i="3"/>
  <c r="AH21" i="3"/>
  <c r="AF21" i="3"/>
  <c r="AG21" i="3" s="1"/>
  <c r="AE21" i="3"/>
  <c r="AC21" i="3"/>
  <c r="W21" i="3"/>
  <c r="V21" i="3"/>
  <c r="AI21" i="3" s="1"/>
  <c r="Q21" i="3"/>
  <c r="S21" i="3" s="1"/>
  <c r="T21" i="3" s="1"/>
  <c r="O21" i="3"/>
  <c r="N21" i="3"/>
  <c r="U21" i="3" s="1"/>
  <c r="L21" i="3"/>
  <c r="K21" i="3"/>
  <c r="X21" i="3" s="1"/>
  <c r="AK21" i="3" s="1"/>
  <c r="J21" i="3"/>
  <c r="H21" i="3"/>
  <c r="AW20" i="3"/>
  <c r="AU20" i="3"/>
  <c r="AX20" i="3" s="1"/>
  <c r="AL20" i="3"/>
  <c r="AJ20" i="3"/>
  <c r="AI20" i="3"/>
  <c r="AH20" i="3"/>
  <c r="AG20" i="3"/>
  <c r="AF20" i="3"/>
  <c r="AE20" i="3"/>
  <c r="AC20" i="3"/>
  <c r="W20" i="3"/>
  <c r="V20" i="3"/>
  <c r="U20" i="3"/>
  <c r="S20" i="3"/>
  <c r="T20" i="3" s="1"/>
  <c r="R20" i="3"/>
  <c r="Q20" i="3"/>
  <c r="P20" i="3"/>
  <c r="O20" i="3"/>
  <c r="N20" i="3"/>
  <c r="L20" i="3"/>
  <c r="K20" i="3"/>
  <c r="J20" i="3"/>
  <c r="H20" i="3"/>
  <c r="AU19" i="3"/>
  <c r="AL19" i="3"/>
  <c r="AI19" i="3"/>
  <c r="AH19" i="3"/>
  <c r="AF19" i="3"/>
  <c r="AG19" i="3" s="1"/>
  <c r="AE19" i="3"/>
  <c r="AC19" i="3"/>
  <c r="V19" i="3"/>
  <c r="U19" i="3"/>
  <c r="S19" i="3"/>
  <c r="T19" i="3" s="1"/>
  <c r="R19" i="3"/>
  <c r="Q19" i="3"/>
  <c r="W19" i="3" s="1"/>
  <c r="AJ19" i="3" s="1"/>
  <c r="O19" i="3"/>
  <c r="P19" i="3" s="1"/>
  <c r="N19" i="3"/>
  <c r="K19" i="3"/>
  <c r="X19" i="3" s="1"/>
  <c r="AK19" i="3" s="1"/>
  <c r="J19" i="3"/>
  <c r="H19" i="3"/>
  <c r="AX18" i="3"/>
  <c r="AW18" i="3"/>
  <c r="AU18" i="3"/>
  <c r="AL18" i="3"/>
  <c r="AH18" i="3"/>
  <c r="AF18" i="3"/>
  <c r="AG18" i="3" s="1"/>
  <c r="AE18" i="3"/>
  <c r="AC18" i="3"/>
  <c r="U18" i="3"/>
  <c r="Q18" i="3"/>
  <c r="O18" i="3"/>
  <c r="V18" i="3" s="1"/>
  <c r="AI18" i="3" s="1"/>
  <c r="N18" i="3"/>
  <c r="P18" i="3" s="1"/>
  <c r="L18" i="3"/>
  <c r="K18" i="3"/>
  <c r="J18" i="3"/>
  <c r="H18" i="3"/>
  <c r="AX17" i="3"/>
  <c r="AW17" i="3"/>
  <c r="AU17" i="3"/>
  <c r="AL17" i="3"/>
  <c r="AH17" i="3"/>
  <c r="AF17" i="3"/>
  <c r="AG17" i="3" s="1"/>
  <c r="AE17" i="3"/>
  <c r="AC17" i="3"/>
  <c r="V17" i="3"/>
  <c r="AI17" i="3" s="1"/>
  <c r="Q17" i="3"/>
  <c r="W17" i="3" s="1"/>
  <c r="AJ17" i="3" s="1"/>
  <c r="P17" i="3"/>
  <c r="O17" i="3"/>
  <c r="N17" i="3"/>
  <c r="U17" i="3" s="1"/>
  <c r="L17" i="3"/>
  <c r="K17" i="3"/>
  <c r="J17" i="3"/>
  <c r="H17" i="3"/>
  <c r="AU16" i="3"/>
  <c r="AL16" i="3"/>
  <c r="AF16" i="3"/>
  <c r="AG16" i="3" s="1"/>
  <c r="AE16" i="3"/>
  <c r="AC16" i="3"/>
  <c r="U16" i="3"/>
  <c r="Q16" i="3"/>
  <c r="W16" i="3" s="1"/>
  <c r="AJ16" i="3" s="1"/>
  <c r="O16" i="3"/>
  <c r="N16" i="3"/>
  <c r="AH16" i="3" s="1"/>
  <c r="L16" i="3"/>
  <c r="K16" i="3"/>
  <c r="J16" i="3"/>
  <c r="H16" i="3"/>
  <c r="AU15" i="3"/>
  <c r="AW15" i="3" s="1"/>
  <c r="AL15" i="3"/>
  <c r="AF15" i="3"/>
  <c r="AG15" i="3" s="1"/>
  <c r="AE15" i="3"/>
  <c r="AC15" i="3"/>
  <c r="Q15" i="3"/>
  <c r="W15" i="3" s="1"/>
  <c r="AJ15" i="3" s="1"/>
  <c r="O15" i="3"/>
  <c r="N15" i="3"/>
  <c r="L15" i="3"/>
  <c r="K15" i="3"/>
  <c r="J15" i="3"/>
  <c r="H15" i="3"/>
  <c r="AU14" i="3"/>
  <c r="AX14" i="3" s="1"/>
  <c r="AL14" i="3"/>
  <c r="AG14" i="3"/>
  <c r="AF14" i="3"/>
  <c r="AE14" i="3"/>
  <c r="AC14" i="3"/>
  <c r="W14" i="3"/>
  <c r="AJ14" i="3" s="1"/>
  <c r="Q14" i="3"/>
  <c r="O14" i="3"/>
  <c r="V14" i="3" s="1"/>
  <c r="AI14" i="3" s="1"/>
  <c r="N14" i="3"/>
  <c r="L14" i="3"/>
  <c r="K14" i="3"/>
  <c r="J14" i="3"/>
  <c r="H14" i="3"/>
  <c r="AU13" i="3"/>
  <c r="AX13" i="3" s="1"/>
  <c r="AL13" i="3"/>
  <c r="AG13" i="3"/>
  <c r="AF13" i="3"/>
  <c r="AE13" i="3"/>
  <c r="AC13" i="3"/>
  <c r="W13" i="3"/>
  <c r="AJ13" i="3" s="1"/>
  <c r="V13" i="3"/>
  <c r="AI13" i="3" s="1"/>
  <c r="Q13" i="3"/>
  <c r="O13" i="3"/>
  <c r="S13" i="3" s="1"/>
  <c r="N13" i="3"/>
  <c r="U13" i="3" s="1"/>
  <c r="L13" i="3"/>
  <c r="K13" i="3"/>
  <c r="X13" i="3" s="1"/>
  <c r="AK13" i="3" s="1"/>
  <c r="J13" i="3"/>
  <c r="H13" i="3"/>
  <c r="AU12" i="3"/>
  <c r="AX12" i="3" s="1"/>
  <c r="AL12" i="3"/>
  <c r="AJ12" i="3"/>
  <c r="AI12" i="3"/>
  <c r="AF12" i="3"/>
  <c r="AG12" i="3" s="1"/>
  <c r="AE12" i="3"/>
  <c r="AC12" i="3"/>
  <c r="W12" i="3"/>
  <c r="V12" i="3"/>
  <c r="U12" i="3"/>
  <c r="Q12" i="3"/>
  <c r="O12" i="3"/>
  <c r="S12" i="3" s="1"/>
  <c r="N12" i="3"/>
  <c r="AH12" i="3" s="1"/>
  <c r="L12" i="3"/>
  <c r="K12" i="3"/>
  <c r="J12" i="3"/>
  <c r="H12" i="3"/>
  <c r="AX11" i="3"/>
  <c r="AW11" i="3"/>
  <c r="AU11" i="3"/>
  <c r="AL11" i="3"/>
  <c r="AJ11" i="3"/>
  <c r="AI11" i="3"/>
  <c r="AH11" i="3"/>
  <c r="AG11" i="3"/>
  <c r="AF11" i="3"/>
  <c r="AE11" i="3"/>
  <c r="AC11" i="3"/>
  <c r="W11" i="3"/>
  <c r="V11" i="3"/>
  <c r="U11" i="3"/>
  <c r="Q11" i="3"/>
  <c r="S11" i="3" s="1"/>
  <c r="T11" i="3" s="1"/>
  <c r="O11" i="3"/>
  <c r="N11" i="3"/>
  <c r="P11" i="3" s="1"/>
  <c r="K11" i="3"/>
  <c r="L11" i="3" s="1"/>
  <c r="J11" i="3"/>
  <c r="H11" i="3"/>
  <c r="AW10" i="3"/>
  <c r="AU10" i="3"/>
  <c r="AX10" i="3" s="1"/>
  <c r="AL10" i="3"/>
  <c r="AJ10" i="3"/>
  <c r="AI10" i="3"/>
  <c r="AH10" i="3"/>
  <c r="AG10" i="3"/>
  <c r="AF10" i="3"/>
  <c r="AE10" i="3"/>
  <c r="AC10" i="3"/>
  <c r="W10" i="3"/>
  <c r="V10" i="3"/>
  <c r="U10" i="3"/>
  <c r="S10" i="3"/>
  <c r="T10" i="3" s="1"/>
  <c r="Q10" i="3"/>
  <c r="R10" i="3" s="1"/>
  <c r="P10" i="3"/>
  <c r="O10" i="3"/>
  <c r="N10" i="3"/>
  <c r="K10" i="3"/>
  <c r="J10" i="3"/>
  <c r="H10" i="3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U9" i="3"/>
  <c r="AX9" i="3" s="1"/>
  <c r="AL9" i="3"/>
  <c r="AI9" i="3"/>
  <c r="AH9" i="3"/>
  <c r="AG9" i="3"/>
  <c r="AF9" i="3"/>
  <c r="AE9" i="3"/>
  <c r="AC9" i="3"/>
  <c r="V9" i="3"/>
  <c r="U9" i="3"/>
  <c r="S9" i="3"/>
  <c r="T9" i="3" s="1"/>
  <c r="R9" i="3"/>
  <c r="Q9" i="3"/>
  <c r="W9" i="3" s="1"/>
  <c r="AJ9" i="3" s="1"/>
  <c r="O9" i="3"/>
  <c r="P9" i="3" s="1"/>
  <c r="N9" i="3"/>
  <c r="L9" i="3"/>
  <c r="K9" i="3"/>
  <c r="J9" i="3"/>
  <c r="H9" i="3"/>
  <c r="B9" i="3"/>
  <c r="AX8" i="3"/>
  <c r="AW8" i="3"/>
  <c r="AU8" i="3"/>
  <c r="AL8" i="3"/>
  <c r="AH8" i="3"/>
  <c r="AF8" i="3"/>
  <c r="AG8" i="3" s="1"/>
  <c r="AE8" i="3"/>
  <c r="AC8" i="3"/>
  <c r="U8" i="3"/>
  <c r="Q8" i="3"/>
  <c r="R8" i="3" s="1"/>
  <c r="O8" i="3"/>
  <c r="P8" i="3" s="1"/>
  <c r="N8" i="3"/>
  <c r="L8" i="3"/>
  <c r="K8" i="3"/>
  <c r="J8" i="3"/>
  <c r="H8" i="3"/>
  <c r="B8" i="3"/>
  <c r="AX7" i="3"/>
  <c r="AW7" i="3"/>
  <c r="AU7" i="3"/>
  <c r="AL7" i="3"/>
  <c r="AH7" i="3"/>
  <c r="AF7" i="3"/>
  <c r="AG7" i="3" s="1"/>
  <c r="AE7" i="3"/>
  <c r="AC7" i="3"/>
  <c r="V7" i="3"/>
  <c r="AI7" i="3" s="1"/>
  <c r="Q7" i="3"/>
  <c r="P7" i="3"/>
  <c r="O7" i="3"/>
  <c r="N7" i="3"/>
  <c r="U7" i="3" s="1"/>
  <c r="L7" i="3"/>
  <c r="K7" i="3"/>
  <c r="J7" i="3"/>
  <c r="H7" i="3"/>
  <c r="B7" i="3"/>
  <c r="AU6" i="3"/>
  <c r="AX6" i="3" s="1"/>
  <c r="AL6" i="3"/>
  <c r="AF6" i="3"/>
  <c r="AG6" i="3" s="1"/>
  <c r="AE6" i="3"/>
  <c r="AC6" i="3"/>
  <c r="U6" i="3"/>
  <c r="Q6" i="3"/>
  <c r="R6" i="3" s="1"/>
  <c r="O6" i="3"/>
  <c r="N6" i="3"/>
  <c r="AH6" i="3" s="1"/>
  <c r="L6" i="3"/>
  <c r="K6" i="3"/>
  <c r="J6" i="3"/>
  <c r="H6" i="3"/>
  <c r="B6" i="3"/>
  <c r="AU5" i="3"/>
  <c r="AL5" i="3"/>
  <c r="AF5" i="3"/>
  <c r="AG5" i="3" s="1"/>
  <c r="AE5" i="3"/>
  <c r="AC5" i="3"/>
  <c r="Q5" i="3"/>
  <c r="W5" i="3" s="1"/>
  <c r="O5" i="3"/>
  <c r="N5" i="3"/>
  <c r="L5" i="3"/>
  <c r="K5" i="3"/>
  <c r="J5" i="3"/>
  <c r="H5" i="3"/>
  <c r="B5" i="3"/>
  <c r="AG46" i="2"/>
  <c r="T46" i="2"/>
  <c r="L46" i="2"/>
  <c r="AL44" i="2"/>
  <c r="AK44" i="2"/>
  <c r="AM37" i="2"/>
  <c r="AB37" i="2"/>
  <c r="AC37" i="2" s="1"/>
  <c r="AT36" i="2"/>
  <c r="AS36" i="2"/>
  <c r="AR36" i="2"/>
  <c r="AQ36" i="2"/>
  <c r="AP36" i="2"/>
  <c r="AO36" i="2"/>
  <c r="AN36" i="2"/>
  <c r="AM36" i="2"/>
  <c r="AD36" i="2"/>
  <c r="AD37" i="2" s="1"/>
  <c r="AE37" i="2" s="1"/>
  <c r="AB36" i="2"/>
  <c r="AA36" i="2"/>
  <c r="Z36" i="2"/>
  <c r="M36" i="2"/>
  <c r="I36" i="2"/>
  <c r="I37" i="2" s="1"/>
  <c r="J37" i="2" s="1"/>
  <c r="G36" i="2"/>
  <c r="G37" i="2" s="1"/>
  <c r="H37" i="2" s="1"/>
  <c r="L37" i="2" s="1"/>
  <c r="F36" i="2"/>
  <c r="G38" i="2" s="1"/>
  <c r="E36" i="2"/>
  <c r="C36" i="2"/>
  <c r="AW35" i="2"/>
  <c r="AU35" i="2"/>
  <c r="AL35" i="2"/>
  <c r="AF35" i="2"/>
  <c r="AE35" i="2"/>
  <c r="AC35" i="2"/>
  <c r="U35" i="2"/>
  <c r="Y35" i="2" s="1"/>
  <c r="R35" i="2"/>
  <c r="Q35" i="2"/>
  <c r="W35" i="2" s="1"/>
  <c r="AJ35" i="2" s="1"/>
  <c r="P35" i="2"/>
  <c r="O35" i="2"/>
  <c r="S35" i="2" s="1"/>
  <c r="T35" i="2" s="1"/>
  <c r="N35" i="2"/>
  <c r="AH35" i="2" s="1"/>
  <c r="L35" i="2"/>
  <c r="K35" i="2"/>
  <c r="X35" i="2" s="1"/>
  <c r="AK35" i="2" s="1"/>
  <c r="J35" i="2"/>
  <c r="H35" i="2"/>
  <c r="AX34" i="2"/>
  <c r="AU34" i="2"/>
  <c r="AW34" i="2" s="1"/>
  <c r="AL34" i="2"/>
  <c r="AH34" i="2"/>
  <c r="AG34" i="2"/>
  <c r="AF34" i="2"/>
  <c r="AE34" i="2"/>
  <c r="AC34" i="2"/>
  <c r="Q34" i="2"/>
  <c r="O34" i="2"/>
  <c r="S34" i="2" s="1"/>
  <c r="T34" i="2" s="1"/>
  <c r="N34" i="2"/>
  <c r="U34" i="2" s="1"/>
  <c r="K34" i="2"/>
  <c r="X34" i="2" s="1"/>
  <c r="AK34" i="2" s="1"/>
  <c r="J34" i="2"/>
  <c r="H34" i="2"/>
  <c r="AW33" i="2"/>
  <c r="AU33" i="2"/>
  <c r="AX33" i="2" s="1"/>
  <c r="AL33" i="2"/>
  <c r="AG33" i="2"/>
  <c r="AF33" i="2"/>
  <c r="AE33" i="2"/>
  <c r="AC33" i="2"/>
  <c r="W33" i="2"/>
  <c r="AJ33" i="2" s="1"/>
  <c r="Q33" i="2"/>
  <c r="P33" i="2"/>
  <c r="O33" i="2"/>
  <c r="S33" i="2" s="1"/>
  <c r="X33" i="2" s="1"/>
  <c r="AK33" i="2" s="1"/>
  <c r="N33" i="2"/>
  <c r="R33" i="2" s="1"/>
  <c r="L33" i="2"/>
  <c r="K33" i="2"/>
  <c r="J33" i="2"/>
  <c r="H33" i="2"/>
  <c r="AU32" i="2"/>
  <c r="AL32" i="2"/>
  <c r="AF32" i="2"/>
  <c r="AG32" i="2" s="1"/>
  <c r="AE32" i="2"/>
  <c r="AC32" i="2"/>
  <c r="W32" i="2"/>
  <c r="AJ32" i="2" s="1"/>
  <c r="Q32" i="2"/>
  <c r="O32" i="2"/>
  <c r="N32" i="2"/>
  <c r="R32" i="2" s="1"/>
  <c r="L32" i="2"/>
  <c r="K32" i="2"/>
  <c r="J32" i="2"/>
  <c r="H32" i="2"/>
  <c r="AU31" i="2"/>
  <c r="AX31" i="2" s="1"/>
  <c r="AL31" i="2"/>
  <c r="AJ31" i="2"/>
  <c r="AG31" i="2"/>
  <c r="AF31" i="2"/>
  <c r="AE31" i="2"/>
  <c r="AC31" i="2"/>
  <c r="W31" i="2"/>
  <c r="V31" i="2"/>
  <c r="AI31" i="2" s="1"/>
  <c r="Q31" i="2"/>
  <c r="O31" i="2"/>
  <c r="P31" i="2" s="1"/>
  <c r="N31" i="2"/>
  <c r="L31" i="2"/>
  <c r="K31" i="2"/>
  <c r="J31" i="2"/>
  <c r="H31" i="2"/>
  <c r="AW30" i="2"/>
  <c r="AU30" i="2"/>
  <c r="AL30" i="2"/>
  <c r="AI30" i="2"/>
  <c r="AF30" i="2"/>
  <c r="AG30" i="2" s="1"/>
  <c r="AE30" i="2"/>
  <c r="AC30" i="2"/>
  <c r="W30" i="2"/>
  <c r="AJ30" i="2" s="1"/>
  <c r="V30" i="2"/>
  <c r="U30" i="2"/>
  <c r="Y30" i="2" s="1"/>
  <c r="Q30" i="2"/>
  <c r="O30" i="2"/>
  <c r="S30" i="2" s="1"/>
  <c r="X30" i="2" s="1"/>
  <c r="AK30" i="2" s="1"/>
  <c r="N30" i="2"/>
  <c r="P30" i="2" s="1"/>
  <c r="L30" i="2"/>
  <c r="K30" i="2"/>
  <c r="J30" i="2"/>
  <c r="H30" i="2"/>
  <c r="AU29" i="2"/>
  <c r="AX29" i="2" s="1"/>
  <c r="AL29" i="2"/>
  <c r="AJ29" i="2"/>
  <c r="AH29" i="2"/>
  <c r="AG29" i="2"/>
  <c r="AF29" i="2"/>
  <c r="AE29" i="2"/>
  <c r="AC29" i="2"/>
  <c r="W29" i="2"/>
  <c r="V29" i="2"/>
  <c r="AI29" i="2" s="1"/>
  <c r="U29" i="2"/>
  <c r="Q29" i="2"/>
  <c r="R29" i="2" s="1"/>
  <c r="O29" i="2"/>
  <c r="S29" i="2" s="1"/>
  <c r="T29" i="2" s="1"/>
  <c r="N29" i="2"/>
  <c r="L29" i="2"/>
  <c r="K29" i="2"/>
  <c r="J29" i="2"/>
  <c r="H29" i="2"/>
  <c r="AW28" i="2"/>
  <c r="AU28" i="2"/>
  <c r="AX28" i="2" s="1"/>
  <c r="AL28" i="2"/>
  <c r="AI28" i="2"/>
  <c r="AH28" i="2"/>
  <c r="AG28" i="2"/>
  <c r="AF28" i="2"/>
  <c r="AE28" i="2"/>
  <c r="AC28" i="2"/>
  <c r="V28" i="2"/>
  <c r="U28" i="2"/>
  <c r="S28" i="2"/>
  <c r="T28" i="2" s="1"/>
  <c r="Q28" i="2"/>
  <c r="W28" i="2" s="1"/>
  <c r="AJ28" i="2" s="1"/>
  <c r="O28" i="2"/>
  <c r="N28" i="2"/>
  <c r="R28" i="2" s="1"/>
  <c r="K28" i="2"/>
  <c r="X28" i="2" s="1"/>
  <c r="AK28" i="2" s="1"/>
  <c r="J28" i="2"/>
  <c r="H28" i="2"/>
  <c r="AU27" i="2"/>
  <c r="AW27" i="2" s="1"/>
  <c r="AL27" i="2"/>
  <c r="AH27" i="2"/>
  <c r="AF27" i="2"/>
  <c r="AG27" i="2" s="1"/>
  <c r="AE27" i="2"/>
  <c r="AC27" i="2"/>
  <c r="U27" i="2"/>
  <c r="Y27" i="2" s="1"/>
  <c r="T27" i="2"/>
  <c r="S27" i="2"/>
  <c r="X27" i="2" s="1"/>
  <c r="AK27" i="2" s="1"/>
  <c r="R27" i="2"/>
  <c r="Q27" i="2"/>
  <c r="W27" i="2" s="1"/>
  <c r="AJ27" i="2" s="1"/>
  <c r="O27" i="2"/>
  <c r="V27" i="2" s="1"/>
  <c r="AI27" i="2" s="1"/>
  <c r="N27" i="2"/>
  <c r="L27" i="2"/>
  <c r="K27" i="2"/>
  <c r="J27" i="2"/>
  <c r="H27" i="2"/>
  <c r="AX26" i="2"/>
  <c r="AW26" i="2"/>
  <c r="AU26" i="2"/>
  <c r="AL26" i="2"/>
  <c r="AH26" i="2"/>
  <c r="AG26" i="2"/>
  <c r="AF26" i="2"/>
  <c r="AE26" i="2"/>
  <c r="AC26" i="2"/>
  <c r="V26" i="2"/>
  <c r="AI26" i="2" s="1"/>
  <c r="S26" i="2"/>
  <c r="T26" i="2" s="1"/>
  <c r="Q26" i="2"/>
  <c r="P26" i="2"/>
  <c r="O26" i="2"/>
  <c r="N26" i="2"/>
  <c r="U26" i="2" s="1"/>
  <c r="L26" i="2"/>
  <c r="K26" i="2"/>
  <c r="J26" i="2"/>
  <c r="H26" i="2"/>
  <c r="AW25" i="2"/>
  <c r="AU25" i="2"/>
  <c r="AL25" i="2"/>
  <c r="AH25" i="2"/>
  <c r="AF25" i="2"/>
  <c r="AE25" i="2"/>
  <c r="AC25" i="2"/>
  <c r="U25" i="2"/>
  <c r="Y25" i="2" s="1"/>
  <c r="S25" i="2"/>
  <c r="T25" i="2" s="1"/>
  <c r="R25" i="2"/>
  <c r="Q25" i="2"/>
  <c r="W25" i="2" s="1"/>
  <c r="AJ25" i="2" s="1"/>
  <c r="P25" i="2"/>
  <c r="O25" i="2"/>
  <c r="V25" i="2" s="1"/>
  <c r="AI25" i="2" s="1"/>
  <c r="N25" i="2"/>
  <c r="L25" i="2"/>
  <c r="K25" i="2"/>
  <c r="X25" i="2" s="1"/>
  <c r="AK25" i="2" s="1"/>
  <c r="J25" i="2"/>
  <c r="H25" i="2"/>
  <c r="AU24" i="2"/>
  <c r="AW24" i="2" s="1"/>
  <c r="AL24" i="2"/>
  <c r="AF24" i="2"/>
  <c r="AG24" i="2" s="1"/>
  <c r="AE24" i="2"/>
  <c r="AC24" i="2"/>
  <c r="Q24" i="2"/>
  <c r="O24" i="2"/>
  <c r="N24" i="2"/>
  <c r="AH24" i="2" s="1"/>
  <c r="L24" i="2"/>
  <c r="K24" i="2"/>
  <c r="J24" i="2"/>
  <c r="H24" i="2"/>
  <c r="AX23" i="2"/>
  <c r="AW23" i="2"/>
  <c r="AU23" i="2"/>
  <c r="AL23" i="2"/>
  <c r="AG23" i="2"/>
  <c r="AF23" i="2"/>
  <c r="AE23" i="2"/>
  <c r="AC23" i="2"/>
  <c r="X23" i="2"/>
  <c r="AK23" i="2" s="1"/>
  <c r="Q23" i="2"/>
  <c r="R23" i="2" s="1"/>
  <c r="P23" i="2"/>
  <c r="O23" i="2"/>
  <c r="S23" i="2" s="1"/>
  <c r="N23" i="2"/>
  <c r="L23" i="2"/>
  <c r="K23" i="2"/>
  <c r="J23" i="2"/>
  <c r="H23" i="2"/>
  <c r="AU22" i="2"/>
  <c r="AL22" i="2"/>
  <c r="AF22" i="2"/>
  <c r="AG22" i="2" s="1"/>
  <c r="AE22" i="2"/>
  <c r="AC22" i="2"/>
  <c r="W22" i="2"/>
  <c r="AJ22" i="2" s="1"/>
  <c r="Q22" i="2"/>
  <c r="O22" i="2"/>
  <c r="N22" i="2"/>
  <c r="R22" i="2" s="1"/>
  <c r="L22" i="2"/>
  <c r="K22" i="2"/>
  <c r="J22" i="2"/>
  <c r="H22" i="2"/>
  <c r="AU21" i="2"/>
  <c r="AX21" i="2" s="1"/>
  <c r="AL21" i="2"/>
  <c r="AJ21" i="2"/>
  <c r="AG21" i="2"/>
  <c r="AF21" i="2"/>
  <c r="AE21" i="2"/>
  <c r="AC21" i="2"/>
  <c r="W21" i="2"/>
  <c r="V21" i="2"/>
  <c r="AI21" i="2" s="1"/>
  <c r="Q21" i="2"/>
  <c r="O21" i="2"/>
  <c r="N21" i="2"/>
  <c r="K21" i="2"/>
  <c r="L21" i="2" s="1"/>
  <c r="J21" i="2"/>
  <c r="H21" i="2"/>
  <c r="AW20" i="2"/>
  <c r="AU20" i="2"/>
  <c r="AL20" i="2"/>
  <c r="AK20" i="2"/>
  <c r="AI20" i="2"/>
  <c r="AF20" i="2"/>
  <c r="AG20" i="2" s="1"/>
  <c r="AE20" i="2"/>
  <c r="AC20" i="2"/>
  <c r="X20" i="2"/>
  <c r="W20" i="2"/>
  <c r="AJ20" i="2" s="1"/>
  <c r="V20" i="2"/>
  <c r="U20" i="2"/>
  <c r="Y20" i="2" s="1"/>
  <c r="S20" i="2"/>
  <c r="Q20" i="2"/>
  <c r="O20" i="2"/>
  <c r="N20" i="2"/>
  <c r="P20" i="2" s="1"/>
  <c r="L20" i="2"/>
  <c r="K20" i="2"/>
  <c r="J20" i="2"/>
  <c r="H20" i="2"/>
  <c r="AU19" i="2"/>
  <c r="AX19" i="2" s="1"/>
  <c r="AL19" i="2"/>
  <c r="AJ19" i="2"/>
  <c r="AH19" i="2"/>
  <c r="AG19" i="2"/>
  <c r="AF19" i="2"/>
  <c r="AE19" i="2"/>
  <c r="AC19" i="2"/>
  <c r="W19" i="2"/>
  <c r="V19" i="2"/>
  <c r="AI19" i="2" s="1"/>
  <c r="U19" i="2"/>
  <c r="Y19" i="2" s="1"/>
  <c r="T19" i="2"/>
  <c r="S19" i="2"/>
  <c r="Q19" i="2"/>
  <c r="R19" i="2" s="1"/>
  <c r="O19" i="2"/>
  <c r="P19" i="2" s="1"/>
  <c r="N19" i="2"/>
  <c r="L19" i="2"/>
  <c r="K19" i="2"/>
  <c r="X19" i="2" s="1"/>
  <c r="AK19" i="2" s="1"/>
  <c r="J19" i="2"/>
  <c r="H19" i="2"/>
  <c r="AW18" i="2"/>
  <c r="AU18" i="2"/>
  <c r="AL18" i="2"/>
  <c r="AI18" i="2"/>
  <c r="AH18" i="2"/>
  <c r="AG18" i="2"/>
  <c r="AF18" i="2"/>
  <c r="AX18" i="2" s="1"/>
  <c r="AE18" i="2"/>
  <c r="AC18" i="2"/>
  <c r="V18" i="2"/>
  <c r="U18" i="2"/>
  <c r="S18" i="2"/>
  <c r="T18" i="2" s="1"/>
  <c r="R18" i="2"/>
  <c r="Q18" i="2"/>
  <c r="W18" i="2" s="1"/>
  <c r="AJ18" i="2" s="1"/>
  <c r="O18" i="2"/>
  <c r="N18" i="2"/>
  <c r="P18" i="2" s="1"/>
  <c r="L18" i="2"/>
  <c r="K18" i="2"/>
  <c r="J18" i="2"/>
  <c r="H18" i="2"/>
  <c r="AU17" i="2"/>
  <c r="AW17" i="2" s="1"/>
  <c r="AL17" i="2"/>
  <c r="AH17" i="2"/>
  <c r="AF17" i="2"/>
  <c r="AE17" i="2"/>
  <c r="AC17" i="2"/>
  <c r="U17" i="2"/>
  <c r="S17" i="2"/>
  <c r="T17" i="2" s="1"/>
  <c r="R17" i="2"/>
  <c r="Q17" i="2"/>
  <c r="W17" i="2" s="1"/>
  <c r="AJ17" i="2" s="1"/>
  <c r="O17" i="2"/>
  <c r="V17" i="2" s="1"/>
  <c r="AI17" i="2" s="1"/>
  <c r="N17" i="2"/>
  <c r="L17" i="2"/>
  <c r="K17" i="2"/>
  <c r="J17" i="2"/>
  <c r="H17" i="2"/>
  <c r="AX16" i="2"/>
  <c r="AW16" i="2"/>
  <c r="AU16" i="2"/>
  <c r="AL16" i="2"/>
  <c r="AH16" i="2"/>
  <c r="AF16" i="2"/>
  <c r="AG16" i="2" s="1"/>
  <c r="AE16" i="2"/>
  <c r="AC16" i="2"/>
  <c r="V16" i="2"/>
  <c r="AI16" i="2" s="1"/>
  <c r="S16" i="2"/>
  <c r="T16" i="2" s="1"/>
  <c r="R16" i="2"/>
  <c r="Q16" i="2"/>
  <c r="W16" i="2" s="1"/>
  <c r="AJ16" i="2" s="1"/>
  <c r="P16" i="2"/>
  <c r="O16" i="2"/>
  <c r="N16" i="2"/>
  <c r="U16" i="2" s="1"/>
  <c r="L16" i="2"/>
  <c r="K16" i="2"/>
  <c r="J16" i="2"/>
  <c r="H16" i="2"/>
  <c r="AX15" i="2"/>
  <c r="AW15" i="2"/>
  <c r="AU15" i="2"/>
  <c r="AL15" i="2"/>
  <c r="AF15" i="2"/>
  <c r="AG15" i="2" s="1"/>
  <c r="AE15" i="2"/>
  <c r="AC15" i="2"/>
  <c r="U15" i="2"/>
  <c r="Q15" i="2"/>
  <c r="P15" i="2"/>
  <c r="O15" i="2"/>
  <c r="V15" i="2" s="1"/>
  <c r="AI15" i="2" s="1"/>
  <c r="N15" i="2"/>
  <c r="AH15" i="2" s="1"/>
  <c r="L15" i="2"/>
  <c r="K15" i="2"/>
  <c r="J15" i="2"/>
  <c r="H15" i="2"/>
  <c r="AU14" i="2"/>
  <c r="AW14" i="2" s="1"/>
  <c r="AL14" i="2"/>
  <c r="AF14" i="2"/>
  <c r="AG14" i="2" s="1"/>
  <c r="AE14" i="2"/>
  <c r="AC14" i="2"/>
  <c r="Q14" i="2"/>
  <c r="O14" i="2"/>
  <c r="N14" i="2"/>
  <c r="AH14" i="2" s="1"/>
  <c r="K14" i="2"/>
  <c r="L14" i="2" s="1"/>
  <c r="J14" i="2"/>
  <c r="H14" i="2"/>
  <c r="AW13" i="2"/>
  <c r="AU13" i="2"/>
  <c r="AX13" i="2" s="1"/>
  <c r="AL13" i="2"/>
  <c r="AG13" i="2"/>
  <c r="AF13" i="2"/>
  <c r="AE13" i="2"/>
  <c r="AC13" i="2"/>
  <c r="Q13" i="2"/>
  <c r="R13" i="2" s="1"/>
  <c r="P13" i="2"/>
  <c r="O13" i="2"/>
  <c r="N13" i="2"/>
  <c r="L13" i="2"/>
  <c r="K13" i="2"/>
  <c r="J13" i="2"/>
  <c r="H13" i="2"/>
  <c r="AU12" i="2"/>
  <c r="AL12" i="2"/>
  <c r="AF12" i="2"/>
  <c r="AG12" i="2" s="1"/>
  <c r="AE12" i="2"/>
  <c r="AC12" i="2"/>
  <c r="W12" i="2"/>
  <c r="AJ12" i="2" s="1"/>
  <c r="Q12" i="2"/>
  <c r="O12" i="2"/>
  <c r="N12" i="2"/>
  <c r="L12" i="2"/>
  <c r="K12" i="2"/>
  <c r="J12" i="2"/>
  <c r="H12" i="2"/>
  <c r="AU11" i="2"/>
  <c r="AX11" i="2" s="1"/>
  <c r="AL11" i="2"/>
  <c r="AJ11" i="2"/>
  <c r="AG11" i="2"/>
  <c r="AF11" i="2"/>
  <c r="AE11" i="2"/>
  <c r="AC11" i="2"/>
  <c r="W11" i="2"/>
  <c r="V11" i="2"/>
  <c r="AI11" i="2" s="1"/>
  <c r="Q11" i="2"/>
  <c r="O11" i="2"/>
  <c r="N11" i="2"/>
  <c r="L11" i="2"/>
  <c r="K11" i="2"/>
  <c r="J11" i="2"/>
  <c r="H11" i="2"/>
  <c r="AW10" i="2"/>
  <c r="AU10" i="2"/>
  <c r="AX10" i="2" s="1"/>
  <c r="AL10" i="2"/>
  <c r="AI10" i="2"/>
  <c r="AF10" i="2"/>
  <c r="AG10" i="2" s="1"/>
  <c r="AE10" i="2"/>
  <c r="AC10" i="2"/>
  <c r="W10" i="2"/>
  <c r="AJ10" i="2" s="1"/>
  <c r="V10" i="2"/>
  <c r="S10" i="2"/>
  <c r="Q10" i="2"/>
  <c r="O10" i="2"/>
  <c r="N10" i="2"/>
  <c r="U10" i="2" s="1"/>
  <c r="Y10" i="2" s="1"/>
  <c r="L10" i="2"/>
  <c r="K10" i="2"/>
  <c r="X10" i="2" s="1"/>
  <c r="AK10" i="2" s="1"/>
  <c r="J10" i="2"/>
  <c r="H10" i="2"/>
  <c r="AU9" i="2"/>
  <c r="AX9" i="2" s="1"/>
  <c r="AL9" i="2"/>
  <c r="AJ9" i="2"/>
  <c r="AI9" i="2"/>
  <c r="AH9" i="2"/>
  <c r="AG9" i="2"/>
  <c r="AF9" i="2"/>
  <c r="AE9" i="2"/>
  <c r="AC9" i="2"/>
  <c r="W9" i="2"/>
  <c r="V9" i="2"/>
  <c r="U9" i="2"/>
  <c r="S9" i="2"/>
  <c r="T9" i="2" s="1"/>
  <c r="Q9" i="2"/>
  <c r="R9" i="2" s="1"/>
  <c r="O9" i="2"/>
  <c r="P9" i="2" s="1"/>
  <c r="N9" i="2"/>
  <c r="L9" i="2"/>
  <c r="K9" i="2"/>
  <c r="X9" i="2" s="1"/>
  <c r="AK9" i="2" s="1"/>
  <c r="J9" i="2"/>
  <c r="H9" i="2"/>
  <c r="AW8" i="2"/>
  <c r="AU8" i="2"/>
  <c r="AX8" i="2" s="1"/>
  <c r="AL8" i="2"/>
  <c r="AJ8" i="2"/>
  <c r="AI8" i="2"/>
  <c r="AH8" i="2"/>
  <c r="AG8" i="2"/>
  <c r="AF8" i="2"/>
  <c r="AE8" i="2"/>
  <c r="AC8" i="2"/>
  <c r="V8" i="2"/>
  <c r="U8" i="2"/>
  <c r="T8" i="2"/>
  <c r="S8" i="2"/>
  <c r="R8" i="2"/>
  <c r="Q8" i="2"/>
  <c r="W8" i="2" s="1"/>
  <c r="O8" i="2"/>
  <c r="N8" i="2"/>
  <c r="P8" i="2" s="1"/>
  <c r="L8" i="2"/>
  <c r="K8" i="2"/>
  <c r="X8" i="2" s="1"/>
  <c r="AK8" i="2" s="1"/>
  <c r="J8" i="2"/>
  <c r="H8" i="2"/>
  <c r="AX7" i="2"/>
  <c r="AU7" i="2"/>
  <c r="AW7" i="2" s="1"/>
  <c r="AL7" i="2"/>
  <c r="AH7" i="2"/>
  <c r="AF7" i="2"/>
  <c r="AG7" i="2" s="1"/>
  <c r="AE7" i="2"/>
  <c r="AC7" i="2"/>
  <c r="W7" i="2"/>
  <c r="AJ7" i="2" s="1"/>
  <c r="U7" i="2"/>
  <c r="Q7" i="2"/>
  <c r="S7" i="2" s="1"/>
  <c r="T7" i="2" s="1"/>
  <c r="O7" i="2"/>
  <c r="V7" i="2" s="1"/>
  <c r="AI7" i="2" s="1"/>
  <c r="N7" i="2"/>
  <c r="L7" i="2"/>
  <c r="K7" i="2"/>
  <c r="J7" i="2"/>
  <c r="H7" i="2"/>
  <c r="AW6" i="2"/>
  <c r="AU6" i="2"/>
  <c r="AL6" i="2"/>
  <c r="AH6" i="2"/>
  <c r="AF6" i="2"/>
  <c r="AX6" i="2" s="1"/>
  <c r="AE6" i="2"/>
  <c r="AC6" i="2"/>
  <c r="V6" i="2"/>
  <c r="AI6" i="2" s="1"/>
  <c r="Q6" i="2"/>
  <c r="W6" i="2" s="1"/>
  <c r="AJ6" i="2" s="1"/>
  <c r="P6" i="2"/>
  <c r="O6" i="2"/>
  <c r="N6" i="2"/>
  <c r="U6" i="2" s="1"/>
  <c r="K6" i="2"/>
  <c r="J6" i="2"/>
  <c r="H6" i="2"/>
  <c r="AU5" i="2"/>
  <c r="AX5" i="2" s="1"/>
  <c r="AL5" i="2"/>
  <c r="AH5" i="2"/>
  <c r="AG5" i="2"/>
  <c r="AF5" i="2"/>
  <c r="AE5" i="2"/>
  <c r="AC5" i="2"/>
  <c r="U5" i="2"/>
  <c r="S5" i="2"/>
  <c r="R5" i="2"/>
  <c r="Q5" i="2"/>
  <c r="W5" i="2" s="1"/>
  <c r="P5" i="2"/>
  <c r="O5" i="2"/>
  <c r="N5" i="2"/>
  <c r="L5" i="2"/>
  <c r="K5" i="2"/>
  <c r="J5" i="2"/>
  <c r="H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F1" i="2"/>
  <c r="T46" i="1"/>
  <c r="L46" i="1"/>
  <c r="AL44" i="1"/>
  <c r="AB37" i="1"/>
  <c r="AC37" i="1" s="1"/>
  <c r="H37" i="1"/>
  <c r="L37" i="1" s="1"/>
  <c r="G37" i="1"/>
  <c r="AT36" i="1"/>
  <c r="AS36" i="1"/>
  <c r="AR36" i="1"/>
  <c r="AQ36" i="1"/>
  <c r="AP36" i="1"/>
  <c r="AO36" i="1"/>
  <c r="AN36" i="1"/>
  <c r="AM36" i="1"/>
  <c r="AM37" i="1" s="1"/>
  <c r="AE36" i="1"/>
  <c r="AD36" i="1"/>
  <c r="AD37" i="1" s="1"/>
  <c r="AE37" i="1" s="1"/>
  <c r="AC36" i="1"/>
  <c r="AB36" i="1"/>
  <c r="AA36" i="1"/>
  <c r="Z36" i="1"/>
  <c r="M36" i="1"/>
  <c r="I36" i="1"/>
  <c r="I37" i="1" s="1"/>
  <c r="J37" i="1" s="1"/>
  <c r="G36" i="1"/>
  <c r="H36" i="1" s="1"/>
  <c r="F36" i="1"/>
  <c r="G38" i="1" s="1"/>
  <c r="E36" i="1"/>
  <c r="C36" i="1"/>
  <c r="AU35" i="1"/>
  <c r="AX35" i="1" s="1"/>
  <c r="AL35" i="1"/>
  <c r="AG35" i="1"/>
  <c r="AF35" i="1"/>
  <c r="AE35" i="1"/>
  <c r="AC35" i="1"/>
  <c r="W35" i="1"/>
  <c r="AJ35" i="1" s="1"/>
  <c r="Q35" i="1"/>
  <c r="R35" i="1" s="1"/>
  <c r="O35" i="1"/>
  <c r="V35" i="1" s="1"/>
  <c r="AI35" i="1" s="1"/>
  <c r="N35" i="1"/>
  <c r="U35" i="1" s="1"/>
  <c r="K35" i="1"/>
  <c r="J35" i="1"/>
  <c r="H35" i="1"/>
  <c r="AX34" i="1"/>
  <c r="AU34" i="1"/>
  <c r="AW34" i="1" s="1"/>
  <c r="AL34" i="1"/>
  <c r="AF34" i="1"/>
  <c r="AG34" i="1" s="1"/>
  <c r="AE34" i="1"/>
  <c r="AC34" i="1"/>
  <c r="W34" i="1"/>
  <c r="AJ34" i="1" s="1"/>
  <c r="Q34" i="1"/>
  <c r="R34" i="1" s="1"/>
  <c r="O34" i="1"/>
  <c r="S34" i="1" s="1"/>
  <c r="X34" i="1" s="1"/>
  <c r="AK34" i="1" s="1"/>
  <c r="N34" i="1"/>
  <c r="AH34" i="1" s="1"/>
  <c r="L34" i="1"/>
  <c r="K34" i="1"/>
  <c r="H34" i="1"/>
  <c r="AU33" i="1"/>
  <c r="AX33" i="1" s="1"/>
  <c r="AL33" i="1"/>
  <c r="AJ33" i="1"/>
  <c r="AI33" i="1"/>
  <c r="AG33" i="1"/>
  <c r="AF33" i="1"/>
  <c r="AE33" i="1"/>
  <c r="AC33" i="1"/>
  <c r="W33" i="1"/>
  <c r="V33" i="1"/>
  <c r="U33" i="1"/>
  <c r="Q33" i="1"/>
  <c r="R33" i="1" s="1"/>
  <c r="O33" i="1"/>
  <c r="P33" i="1" s="1"/>
  <c r="N33" i="1"/>
  <c r="AH33" i="1" s="1"/>
  <c r="L33" i="1"/>
  <c r="K33" i="1"/>
  <c r="J33" i="1"/>
  <c r="H33" i="1"/>
  <c r="AU32" i="1"/>
  <c r="AX32" i="1" s="1"/>
  <c r="AL32" i="1"/>
  <c r="AJ32" i="1"/>
  <c r="AI32" i="1"/>
  <c r="AH32" i="1"/>
  <c r="AF32" i="1"/>
  <c r="AG32" i="1" s="1"/>
  <c r="AE32" i="1"/>
  <c r="AC32" i="1"/>
  <c r="X32" i="1"/>
  <c r="AK32" i="1" s="1"/>
  <c r="W32" i="1"/>
  <c r="V32" i="1"/>
  <c r="U32" i="1"/>
  <c r="Y32" i="1" s="1"/>
  <c r="T32" i="1"/>
  <c r="S32" i="1"/>
  <c r="Q32" i="1"/>
  <c r="O32" i="1"/>
  <c r="P32" i="1" s="1"/>
  <c r="N32" i="1"/>
  <c r="R32" i="1" s="1"/>
  <c r="L32" i="1"/>
  <c r="K32" i="1"/>
  <c r="J32" i="1"/>
  <c r="H32" i="1"/>
  <c r="AX31" i="1"/>
  <c r="AU31" i="1"/>
  <c r="AW31" i="1" s="1"/>
  <c r="AL31" i="1"/>
  <c r="AI31" i="1"/>
  <c r="AH31" i="1"/>
  <c r="AG31" i="1"/>
  <c r="AF31" i="1"/>
  <c r="AE31" i="1"/>
  <c r="AC31" i="1"/>
  <c r="V31" i="1"/>
  <c r="U31" i="1"/>
  <c r="S31" i="1"/>
  <c r="T31" i="1" s="1"/>
  <c r="Q31" i="1"/>
  <c r="W31" i="1" s="1"/>
  <c r="AJ31" i="1" s="1"/>
  <c r="O31" i="1"/>
  <c r="P31" i="1" s="1"/>
  <c r="N31" i="1"/>
  <c r="L31" i="1"/>
  <c r="K31" i="1"/>
  <c r="X31" i="1" s="1"/>
  <c r="AK31" i="1" s="1"/>
  <c r="J31" i="1"/>
  <c r="H31" i="1"/>
  <c r="AW30" i="1"/>
  <c r="AU30" i="1"/>
  <c r="AL30" i="1"/>
  <c r="AH30" i="1"/>
  <c r="AF30" i="1"/>
  <c r="AE30" i="1"/>
  <c r="AC30" i="1"/>
  <c r="V30" i="1"/>
  <c r="AI30" i="1" s="1"/>
  <c r="U30" i="1"/>
  <c r="Y30" i="1" s="1"/>
  <c r="S30" i="1"/>
  <c r="T30" i="1" s="1"/>
  <c r="R30" i="1"/>
  <c r="Q30" i="1"/>
  <c r="W30" i="1" s="1"/>
  <c r="AJ30" i="1" s="1"/>
  <c r="P30" i="1"/>
  <c r="O30" i="1"/>
  <c r="N30" i="1"/>
  <c r="K30" i="1"/>
  <c r="X30" i="1" s="1"/>
  <c r="J30" i="1"/>
  <c r="H30" i="1"/>
  <c r="AX29" i="1"/>
  <c r="AU29" i="1"/>
  <c r="AW29" i="1" s="1"/>
  <c r="AL29" i="1"/>
  <c r="AH29" i="1"/>
  <c r="AF29" i="1"/>
  <c r="AG29" i="1" s="1"/>
  <c r="AE29" i="1"/>
  <c r="AC29" i="1"/>
  <c r="U29" i="1"/>
  <c r="Q29" i="1"/>
  <c r="O29" i="1"/>
  <c r="V29" i="1" s="1"/>
  <c r="AI29" i="1" s="1"/>
  <c r="N29" i="1"/>
  <c r="L29" i="1"/>
  <c r="K29" i="1"/>
  <c r="J29" i="1"/>
  <c r="H29" i="1"/>
  <c r="AX28" i="1"/>
  <c r="AW28" i="1"/>
  <c r="AU28" i="1"/>
  <c r="AL28" i="1"/>
  <c r="AF28" i="1"/>
  <c r="AG28" i="1" s="1"/>
  <c r="AE28" i="1"/>
  <c r="AC28" i="1"/>
  <c r="Q28" i="1"/>
  <c r="W28" i="1" s="1"/>
  <c r="AJ28" i="1" s="1"/>
  <c r="P28" i="1"/>
  <c r="O28" i="1"/>
  <c r="V28" i="1" s="1"/>
  <c r="AI28" i="1" s="1"/>
  <c r="N28" i="1"/>
  <c r="U28" i="1" s="1"/>
  <c r="L28" i="1"/>
  <c r="K28" i="1"/>
  <c r="J28" i="1"/>
  <c r="H28" i="1"/>
  <c r="AU27" i="1"/>
  <c r="AL27" i="1"/>
  <c r="AG27" i="1"/>
  <c r="AF27" i="1"/>
  <c r="AE27" i="1"/>
  <c r="AC27" i="1"/>
  <c r="W27" i="1"/>
  <c r="AJ27" i="1" s="1"/>
  <c r="Q27" i="1"/>
  <c r="R27" i="1" s="1"/>
  <c r="O27" i="1"/>
  <c r="N27" i="1"/>
  <c r="U27" i="1" s="1"/>
  <c r="L27" i="1"/>
  <c r="K27" i="1"/>
  <c r="J27" i="1"/>
  <c r="H27" i="1"/>
  <c r="AU26" i="1"/>
  <c r="AX26" i="1" s="1"/>
  <c r="AL26" i="1"/>
  <c r="AF26" i="1"/>
  <c r="AG26" i="1" s="1"/>
  <c r="AE26" i="1"/>
  <c r="AC26" i="1"/>
  <c r="X26" i="1"/>
  <c r="AK26" i="1" s="1"/>
  <c r="Q26" i="1"/>
  <c r="W26" i="1" s="1"/>
  <c r="AJ26" i="1" s="1"/>
  <c r="O26" i="1"/>
  <c r="S26" i="1" s="1"/>
  <c r="N26" i="1"/>
  <c r="L26" i="1"/>
  <c r="K26" i="1"/>
  <c r="J26" i="1"/>
  <c r="H26" i="1"/>
  <c r="AX25" i="1"/>
  <c r="AU25" i="1"/>
  <c r="AW25" i="1" s="1"/>
  <c r="AL25" i="1"/>
  <c r="AF25" i="1"/>
  <c r="AG25" i="1" s="1"/>
  <c r="AE25" i="1"/>
  <c r="AC25" i="1"/>
  <c r="W25" i="1"/>
  <c r="AJ25" i="1" s="1"/>
  <c r="Q25" i="1"/>
  <c r="R25" i="1" s="1"/>
  <c r="O25" i="1"/>
  <c r="S25" i="1" s="1"/>
  <c r="X25" i="1" s="1"/>
  <c r="AK25" i="1" s="1"/>
  <c r="N25" i="1"/>
  <c r="AH25" i="1" s="1"/>
  <c r="L25" i="1"/>
  <c r="K25" i="1"/>
  <c r="J25" i="1"/>
  <c r="H25" i="1"/>
  <c r="AW24" i="1"/>
  <c r="AU24" i="1"/>
  <c r="AX24" i="1" s="1"/>
  <c r="AL24" i="1"/>
  <c r="AJ24" i="1"/>
  <c r="AH24" i="1"/>
  <c r="AG24" i="1"/>
  <c r="AF24" i="1"/>
  <c r="AE24" i="1"/>
  <c r="AC24" i="1"/>
  <c r="W24" i="1"/>
  <c r="V24" i="1"/>
  <c r="AI24" i="1" s="1"/>
  <c r="Q24" i="1"/>
  <c r="R24" i="1" s="1"/>
  <c r="P24" i="1"/>
  <c r="O24" i="1"/>
  <c r="S24" i="1" s="1"/>
  <c r="T24" i="1" s="1"/>
  <c r="N24" i="1"/>
  <c r="U24" i="1" s="1"/>
  <c r="L24" i="1"/>
  <c r="K24" i="1"/>
  <c r="X24" i="1" s="1"/>
  <c r="AK24" i="1" s="1"/>
  <c r="J24" i="1"/>
  <c r="H24" i="1"/>
  <c r="AU23" i="1"/>
  <c r="AX23" i="1" s="1"/>
  <c r="AL23" i="1"/>
  <c r="AJ23" i="1"/>
  <c r="AI23" i="1"/>
  <c r="AG23" i="1"/>
  <c r="AF23" i="1"/>
  <c r="AE23" i="1"/>
  <c r="AC23" i="1"/>
  <c r="W23" i="1"/>
  <c r="V23" i="1"/>
  <c r="U23" i="1"/>
  <c r="Q23" i="1"/>
  <c r="O23" i="1"/>
  <c r="P23" i="1" s="1"/>
  <c r="N23" i="1"/>
  <c r="R23" i="1" s="1"/>
  <c r="K23" i="1"/>
  <c r="J23" i="1"/>
  <c r="H23" i="1"/>
  <c r="AU22" i="1"/>
  <c r="AX22" i="1" s="1"/>
  <c r="AL22" i="1"/>
  <c r="AJ22" i="1"/>
  <c r="AI22" i="1"/>
  <c r="AH22" i="1"/>
  <c r="AF22" i="1"/>
  <c r="AG22" i="1" s="1"/>
  <c r="AE22" i="1"/>
  <c r="AC22" i="1"/>
  <c r="X22" i="1"/>
  <c r="AK22" i="1" s="1"/>
  <c r="W22" i="1"/>
  <c r="V22" i="1"/>
  <c r="U22" i="1"/>
  <c r="Y22" i="1" s="1"/>
  <c r="T22" i="1"/>
  <c r="S22" i="1"/>
  <c r="Q22" i="1"/>
  <c r="O22" i="1"/>
  <c r="P22" i="1" s="1"/>
  <c r="N22" i="1"/>
  <c r="R22" i="1" s="1"/>
  <c r="L22" i="1"/>
  <c r="K22" i="1"/>
  <c r="J22" i="1"/>
  <c r="H22" i="1"/>
  <c r="AX21" i="1"/>
  <c r="AW21" i="1"/>
  <c r="AU21" i="1"/>
  <c r="AL21" i="1"/>
  <c r="AI21" i="1"/>
  <c r="AH21" i="1"/>
  <c r="AG21" i="1"/>
  <c r="AF21" i="1"/>
  <c r="AE21" i="1"/>
  <c r="AC21" i="1"/>
  <c r="W21" i="1"/>
  <c r="AJ21" i="1" s="1"/>
  <c r="V21" i="1"/>
  <c r="U21" i="1"/>
  <c r="S21" i="1"/>
  <c r="T21" i="1" s="1"/>
  <c r="Q21" i="1"/>
  <c r="R21" i="1" s="1"/>
  <c r="O21" i="1"/>
  <c r="P21" i="1" s="1"/>
  <c r="N21" i="1"/>
  <c r="L21" i="1"/>
  <c r="K21" i="1"/>
  <c r="X21" i="1" s="1"/>
  <c r="AK21" i="1" s="1"/>
  <c r="J21" i="1"/>
  <c r="H21" i="1"/>
  <c r="AW20" i="1"/>
  <c r="AU20" i="1"/>
  <c r="AL20" i="1"/>
  <c r="AH20" i="1"/>
  <c r="AF20" i="1"/>
  <c r="AE20" i="1"/>
  <c r="AC20" i="1"/>
  <c r="V20" i="1"/>
  <c r="AI20" i="1" s="1"/>
  <c r="U20" i="1"/>
  <c r="Y20" i="1" s="1"/>
  <c r="S20" i="1"/>
  <c r="T20" i="1" s="1"/>
  <c r="R20" i="1"/>
  <c r="Q20" i="1"/>
  <c r="W20" i="1" s="1"/>
  <c r="AJ20" i="1" s="1"/>
  <c r="P20" i="1"/>
  <c r="O20" i="1"/>
  <c r="N20" i="1"/>
  <c r="L20" i="1"/>
  <c r="K20" i="1"/>
  <c r="X20" i="1" s="1"/>
  <c r="J20" i="1"/>
  <c r="H20" i="1"/>
  <c r="AU19" i="1"/>
  <c r="AW19" i="1" s="1"/>
  <c r="AL19" i="1"/>
  <c r="AH19" i="1"/>
  <c r="AF19" i="1"/>
  <c r="AG19" i="1" s="1"/>
  <c r="AE19" i="1"/>
  <c r="AC19" i="1"/>
  <c r="U19" i="1"/>
  <c r="R19" i="1"/>
  <c r="Q19" i="1"/>
  <c r="W19" i="1" s="1"/>
  <c r="AJ19" i="1" s="1"/>
  <c r="O19" i="1"/>
  <c r="V19" i="1" s="1"/>
  <c r="AI19" i="1" s="1"/>
  <c r="N19" i="1"/>
  <c r="L19" i="1"/>
  <c r="K19" i="1"/>
  <c r="J19" i="1"/>
  <c r="H19" i="1"/>
  <c r="AX18" i="1"/>
  <c r="AW18" i="1"/>
  <c r="AU18" i="1"/>
  <c r="AL18" i="1"/>
  <c r="AH18" i="1"/>
  <c r="AF18" i="1"/>
  <c r="AG18" i="1" s="1"/>
  <c r="AE18" i="1"/>
  <c r="AC18" i="1"/>
  <c r="Q18" i="1"/>
  <c r="P18" i="1"/>
  <c r="O18" i="1"/>
  <c r="V18" i="1" s="1"/>
  <c r="AI18" i="1" s="1"/>
  <c r="N18" i="1"/>
  <c r="U18" i="1" s="1"/>
  <c r="L18" i="1"/>
  <c r="K18" i="1"/>
  <c r="J18" i="1"/>
  <c r="H18" i="1"/>
  <c r="AU17" i="1"/>
  <c r="AX17" i="1" s="1"/>
  <c r="AL17" i="1"/>
  <c r="AG17" i="1"/>
  <c r="AF17" i="1"/>
  <c r="AE17" i="1"/>
  <c r="AC17" i="1"/>
  <c r="W17" i="1"/>
  <c r="AJ17" i="1" s="1"/>
  <c r="U17" i="1"/>
  <c r="Q17" i="1"/>
  <c r="R17" i="1" s="1"/>
  <c r="O17" i="1"/>
  <c r="V17" i="1" s="1"/>
  <c r="AI17" i="1" s="1"/>
  <c r="N17" i="1"/>
  <c r="AH17" i="1" s="1"/>
  <c r="L17" i="1"/>
  <c r="K17" i="1"/>
  <c r="J17" i="1"/>
  <c r="H17" i="1"/>
  <c r="AU16" i="1"/>
  <c r="AL16" i="1"/>
  <c r="AF16" i="1"/>
  <c r="AG16" i="1" s="1"/>
  <c r="AE16" i="1"/>
  <c r="AC16" i="1"/>
  <c r="Q16" i="1"/>
  <c r="W16" i="1" s="1"/>
  <c r="AJ16" i="1" s="1"/>
  <c r="O16" i="1"/>
  <c r="N16" i="1"/>
  <c r="K16" i="1"/>
  <c r="L16" i="1" s="1"/>
  <c r="J16" i="1"/>
  <c r="H16" i="1"/>
  <c r="AX15" i="1"/>
  <c r="AU15" i="1"/>
  <c r="AW15" i="1" s="1"/>
  <c r="AL15" i="1"/>
  <c r="AG15" i="1"/>
  <c r="AF15" i="1"/>
  <c r="AE15" i="1"/>
  <c r="AC15" i="1"/>
  <c r="Q15" i="1"/>
  <c r="O15" i="1"/>
  <c r="P15" i="1" s="1"/>
  <c r="N15" i="1"/>
  <c r="L15" i="1"/>
  <c r="K15" i="1"/>
  <c r="J15" i="1"/>
  <c r="H15" i="1"/>
  <c r="AW14" i="1"/>
  <c r="AU14" i="1"/>
  <c r="AX14" i="1" s="1"/>
  <c r="AL14" i="1"/>
  <c r="AJ14" i="1"/>
  <c r="AH14" i="1"/>
  <c r="AF14" i="1"/>
  <c r="AG14" i="1" s="1"/>
  <c r="AE14" i="1"/>
  <c r="AC14" i="1"/>
  <c r="W14" i="1"/>
  <c r="V14" i="1"/>
  <c r="AI14" i="1" s="1"/>
  <c r="R14" i="1"/>
  <c r="Q14" i="1"/>
  <c r="P14" i="1"/>
  <c r="O14" i="1"/>
  <c r="S14" i="1" s="1"/>
  <c r="T14" i="1" s="1"/>
  <c r="N14" i="1"/>
  <c r="U14" i="1" s="1"/>
  <c r="L14" i="1"/>
  <c r="K14" i="1"/>
  <c r="J14" i="1"/>
  <c r="H14" i="1"/>
  <c r="AU13" i="1"/>
  <c r="AL13" i="1"/>
  <c r="AG13" i="1"/>
  <c r="AF13" i="1"/>
  <c r="AE13" i="1"/>
  <c r="AC13" i="1"/>
  <c r="U13" i="1"/>
  <c r="Q13" i="1"/>
  <c r="R13" i="1" s="1"/>
  <c r="O13" i="1"/>
  <c r="N13" i="1"/>
  <c r="AH13" i="1" s="1"/>
  <c r="L13" i="1"/>
  <c r="K13" i="1"/>
  <c r="J13" i="1"/>
  <c r="H13" i="1"/>
  <c r="AW12" i="1"/>
  <c r="AU12" i="1"/>
  <c r="AL12" i="1"/>
  <c r="AJ12" i="1"/>
  <c r="AI12" i="1"/>
  <c r="AH12" i="1"/>
  <c r="AF12" i="1"/>
  <c r="AG12" i="1" s="1"/>
  <c r="AE12" i="1"/>
  <c r="AC12" i="1"/>
  <c r="X12" i="1"/>
  <c r="W12" i="1"/>
  <c r="V12" i="1"/>
  <c r="U12" i="1"/>
  <c r="Y12" i="1" s="1"/>
  <c r="T12" i="1"/>
  <c r="S12" i="1"/>
  <c r="R12" i="1"/>
  <c r="Q12" i="1"/>
  <c r="O12" i="1"/>
  <c r="N12" i="1"/>
  <c r="P12" i="1" s="1"/>
  <c r="L12" i="1"/>
  <c r="K12" i="1"/>
  <c r="J12" i="1"/>
  <c r="H12" i="1"/>
  <c r="AX11" i="1"/>
  <c r="AU11" i="1"/>
  <c r="AW11" i="1" s="1"/>
  <c r="AL11" i="1"/>
  <c r="AH11" i="1"/>
  <c r="AG11" i="1"/>
  <c r="AF11" i="1"/>
  <c r="AE11" i="1"/>
  <c r="AC11" i="1"/>
  <c r="W11" i="1"/>
  <c r="AJ11" i="1" s="1"/>
  <c r="U11" i="1"/>
  <c r="S11" i="1"/>
  <c r="T11" i="1" s="1"/>
  <c r="Q11" i="1"/>
  <c r="R11" i="1" s="1"/>
  <c r="O11" i="1"/>
  <c r="P11" i="1" s="1"/>
  <c r="N11" i="1"/>
  <c r="L11" i="1"/>
  <c r="K11" i="1"/>
  <c r="J11" i="1"/>
  <c r="H11" i="1"/>
  <c r="AW10" i="1"/>
  <c r="AU10" i="1"/>
  <c r="AL10" i="1"/>
  <c r="AF10" i="1"/>
  <c r="AX10" i="1" s="1"/>
  <c r="AE10" i="1"/>
  <c r="AC10" i="1"/>
  <c r="V10" i="1"/>
  <c r="AI10" i="1" s="1"/>
  <c r="S10" i="1"/>
  <c r="R10" i="1"/>
  <c r="Q10" i="1"/>
  <c r="W10" i="1" s="1"/>
  <c r="AJ10" i="1" s="1"/>
  <c r="P10" i="1"/>
  <c r="O10" i="1"/>
  <c r="N10" i="1"/>
  <c r="U10" i="1" s="1"/>
  <c r="K10" i="1"/>
  <c r="J10" i="1"/>
  <c r="H10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U9" i="1"/>
  <c r="AW9" i="1" s="1"/>
  <c r="AL9" i="1"/>
  <c r="AH9" i="1"/>
  <c r="AF9" i="1"/>
  <c r="AG9" i="1" s="1"/>
  <c r="AE9" i="1"/>
  <c r="AC9" i="1"/>
  <c r="U9" i="1"/>
  <c r="Q9" i="1"/>
  <c r="W9" i="1" s="1"/>
  <c r="AJ9" i="1" s="1"/>
  <c r="O9" i="1"/>
  <c r="N9" i="1"/>
  <c r="L9" i="1"/>
  <c r="K9" i="1"/>
  <c r="J9" i="1"/>
  <c r="H9" i="1"/>
  <c r="AX8" i="1"/>
  <c r="AW8" i="1"/>
  <c r="AU8" i="1"/>
  <c r="AL8" i="1"/>
  <c r="AF8" i="1"/>
  <c r="AG8" i="1" s="1"/>
  <c r="AE8" i="1"/>
  <c r="AC8" i="1"/>
  <c r="V8" i="1"/>
  <c r="AI8" i="1" s="1"/>
  <c r="Q8" i="1"/>
  <c r="O8" i="1"/>
  <c r="N8" i="1"/>
  <c r="U8" i="1" s="1"/>
  <c r="L8" i="1"/>
  <c r="K8" i="1"/>
  <c r="J8" i="1"/>
  <c r="H8" i="1"/>
  <c r="AU7" i="1"/>
  <c r="AX7" i="1" s="1"/>
  <c r="AL7" i="1"/>
  <c r="AG7" i="1"/>
  <c r="AF7" i="1"/>
  <c r="AE7" i="1"/>
  <c r="AC7" i="1"/>
  <c r="W7" i="1"/>
  <c r="AJ7" i="1" s="1"/>
  <c r="U7" i="1"/>
  <c r="Q7" i="1"/>
  <c r="R7" i="1" s="1"/>
  <c r="O7" i="1"/>
  <c r="V7" i="1" s="1"/>
  <c r="AI7" i="1" s="1"/>
  <c r="N7" i="1"/>
  <c r="AH7" i="1" s="1"/>
  <c r="L7" i="1"/>
  <c r="K7" i="1"/>
  <c r="J7" i="1"/>
  <c r="H7" i="1"/>
  <c r="B7" i="1"/>
  <c r="B8" i="1" s="1"/>
  <c r="B9" i="1" s="1"/>
  <c r="AU6" i="1"/>
  <c r="AL6" i="1"/>
  <c r="AJ6" i="1"/>
  <c r="AF6" i="1"/>
  <c r="AE6" i="1"/>
  <c r="AC6" i="1"/>
  <c r="Q6" i="1"/>
  <c r="W6" i="1" s="1"/>
  <c r="O6" i="1"/>
  <c r="N6" i="1"/>
  <c r="L6" i="1"/>
  <c r="K6" i="1"/>
  <c r="K36" i="1" s="1"/>
  <c r="J6" i="1"/>
  <c r="H6" i="1"/>
  <c r="AX5" i="1"/>
  <c r="AU5" i="1"/>
  <c r="AL5" i="1"/>
  <c r="AG5" i="1"/>
  <c r="AF5" i="1"/>
  <c r="AE5" i="1"/>
  <c r="AC5" i="1"/>
  <c r="Q5" i="1"/>
  <c r="O5" i="1"/>
  <c r="S5" i="1" s="1"/>
  <c r="N5" i="1"/>
  <c r="L5" i="1"/>
  <c r="K5" i="1"/>
  <c r="J5" i="1"/>
  <c r="H5" i="1"/>
  <c r="B5" i="1"/>
  <c r="B6" i="1" s="1"/>
  <c r="AW26" i="3" l="1"/>
  <c r="AX26" i="3"/>
  <c r="Y31" i="3"/>
  <c r="U5" i="3"/>
  <c r="AH5" i="3"/>
  <c r="N35" i="3"/>
  <c r="O37" i="3" s="1"/>
  <c r="X6" i="3"/>
  <c r="Y9" i="3"/>
  <c r="AX16" i="3"/>
  <c r="AW16" i="3"/>
  <c r="Y12" i="3"/>
  <c r="Y21" i="3"/>
  <c r="W7" i="3"/>
  <c r="AJ7" i="3" s="1"/>
  <c r="S7" i="3"/>
  <c r="T7" i="3" s="1"/>
  <c r="R7" i="3"/>
  <c r="AH14" i="3"/>
  <c r="U14" i="3"/>
  <c r="V16" i="3"/>
  <c r="AI16" i="3" s="1"/>
  <c r="S16" i="3"/>
  <c r="X16" i="3" s="1"/>
  <c r="P16" i="3"/>
  <c r="AX19" i="3"/>
  <c r="P26" i="3"/>
  <c r="V26" i="3"/>
  <c r="AI26" i="3" s="1"/>
  <c r="S26" i="3"/>
  <c r="T26" i="3" s="1"/>
  <c r="V5" i="3"/>
  <c r="O35" i="3"/>
  <c r="S5" i="3"/>
  <c r="P5" i="3"/>
  <c r="U15" i="3"/>
  <c r="Y15" i="3" s="1"/>
  <c r="AH15" i="3"/>
  <c r="T15" i="3"/>
  <c r="AJ5" i="3"/>
  <c r="V6" i="3"/>
  <c r="AI6" i="3" s="1"/>
  <c r="S6" i="3"/>
  <c r="AW6" i="3"/>
  <c r="X9" i="3"/>
  <c r="AK9" i="3" s="1"/>
  <c r="X10" i="3"/>
  <c r="AK10" i="3" s="1"/>
  <c r="X17" i="3"/>
  <c r="AK17" i="3" s="1"/>
  <c r="Y19" i="3"/>
  <c r="Y22" i="3"/>
  <c r="AX29" i="3"/>
  <c r="P6" i="3"/>
  <c r="R14" i="3"/>
  <c r="S18" i="3"/>
  <c r="W18" i="3"/>
  <c r="AJ18" i="3" s="1"/>
  <c r="R18" i="3"/>
  <c r="Y20" i="3"/>
  <c r="Y30" i="3"/>
  <c r="Y33" i="3"/>
  <c r="W8" i="3"/>
  <c r="AJ8" i="3" s="1"/>
  <c r="S8" i="3"/>
  <c r="V15" i="3"/>
  <c r="AI15" i="3" s="1"/>
  <c r="S15" i="3"/>
  <c r="X15" i="3" s="1"/>
  <c r="AK15" i="3" s="1"/>
  <c r="P15" i="3"/>
  <c r="AL35" i="3"/>
  <c r="AL36" i="3" s="1"/>
  <c r="AM44" i="3" s="1"/>
  <c r="Y13" i="3"/>
  <c r="Y17" i="3"/>
  <c r="Y23" i="3"/>
  <c r="Y27" i="3"/>
  <c r="R28" i="3"/>
  <c r="S28" i="3"/>
  <c r="W28" i="3"/>
  <c r="AJ28" i="3" s="1"/>
  <c r="Y29" i="3"/>
  <c r="L36" i="3"/>
  <c r="X34" i="3"/>
  <c r="AW5" i="3"/>
  <c r="AU35" i="3"/>
  <c r="AX5" i="3"/>
  <c r="X12" i="3"/>
  <c r="AK12" i="3" s="1"/>
  <c r="X20" i="3"/>
  <c r="AK20" i="3" s="1"/>
  <c r="P25" i="3"/>
  <c r="U25" i="3"/>
  <c r="AH25" i="3"/>
  <c r="J35" i="3"/>
  <c r="I36" i="3"/>
  <c r="J36" i="3" s="1"/>
  <c r="R17" i="3"/>
  <c r="AW14" i="3"/>
  <c r="S17" i="3"/>
  <c r="T17" i="3" s="1"/>
  <c r="R26" i="3"/>
  <c r="L31" i="3"/>
  <c r="P34" i="3"/>
  <c r="AW34" i="3"/>
  <c r="AF35" i="3"/>
  <c r="AF1" i="3"/>
  <c r="L10" i="3"/>
  <c r="AW13" i="3"/>
  <c r="R25" i="3"/>
  <c r="P33" i="3"/>
  <c r="AW33" i="3"/>
  <c r="K35" i="3"/>
  <c r="P14" i="3"/>
  <c r="AX15" i="3"/>
  <c r="P13" i="3"/>
  <c r="R15" i="3"/>
  <c r="T6" i="3"/>
  <c r="V8" i="3"/>
  <c r="AI8" i="3" s="1"/>
  <c r="P12" i="3"/>
  <c r="AW12" i="3"/>
  <c r="T16" i="3"/>
  <c r="L19" i="3"/>
  <c r="P22" i="3"/>
  <c r="AW22" i="3"/>
  <c r="AX23" i="3"/>
  <c r="S25" i="3"/>
  <c r="X25" i="3" s="1"/>
  <c r="AK25" i="3" s="1"/>
  <c r="V28" i="3"/>
  <c r="AI28" i="3" s="1"/>
  <c r="P32" i="3"/>
  <c r="AW32" i="3"/>
  <c r="R16" i="3"/>
  <c r="P24" i="3"/>
  <c r="AG27" i="3"/>
  <c r="R5" i="3"/>
  <c r="X11" i="3"/>
  <c r="AK11" i="3" s="1"/>
  <c r="P23" i="3"/>
  <c r="AX24" i="3"/>
  <c r="R13" i="3"/>
  <c r="S14" i="3"/>
  <c r="X14" i="3" s="1"/>
  <c r="AK14" i="3" s="1"/>
  <c r="P21" i="3"/>
  <c r="R23" i="3"/>
  <c r="S24" i="3"/>
  <c r="P31" i="3"/>
  <c r="R33" i="3"/>
  <c r="S34" i="3"/>
  <c r="T34" i="3" s="1"/>
  <c r="R22" i="3"/>
  <c r="R32" i="3"/>
  <c r="W6" i="3"/>
  <c r="AJ6" i="3" s="1"/>
  <c r="AW9" i="3"/>
  <c r="R11" i="3"/>
  <c r="T13" i="3"/>
  <c r="AH13" i="3"/>
  <c r="AW19" i="3"/>
  <c r="R21" i="3"/>
  <c r="S22" i="3"/>
  <c r="X22" i="3" s="1"/>
  <c r="AK22" i="3" s="1"/>
  <c r="T23" i="3"/>
  <c r="AH23" i="3"/>
  <c r="AW29" i="3"/>
  <c r="R31" i="3"/>
  <c r="S32" i="3"/>
  <c r="X32" i="3" s="1"/>
  <c r="AK32" i="3" s="1"/>
  <c r="T33" i="3"/>
  <c r="AH33" i="3"/>
  <c r="Q35" i="3"/>
  <c r="R12" i="3"/>
  <c r="T12" i="3"/>
  <c r="T22" i="3"/>
  <c r="T32" i="3"/>
  <c r="H35" i="3"/>
  <c r="X11" i="2"/>
  <c r="AK11" i="2" s="1"/>
  <c r="AJ5" i="2"/>
  <c r="AX12" i="2"/>
  <c r="AX36" i="2" s="1"/>
  <c r="AW12" i="2"/>
  <c r="R12" i="2"/>
  <c r="U12" i="2"/>
  <c r="Y12" i="2" s="1"/>
  <c r="AH12" i="2"/>
  <c r="T12" i="2"/>
  <c r="P11" i="2"/>
  <c r="S14" i="2"/>
  <c r="X14" i="2" s="1"/>
  <c r="AK14" i="2" s="1"/>
  <c r="V14" i="2"/>
  <c r="AI14" i="2" s="1"/>
  <c r="AX14" i="2"/>
  <c r="Y17" i="2"/>
  <c r="X18" i="2"/>
  <c r="AK18" i="2" s="1"/>
  <c r="Y29" i="2"/>
  <c r="AL36" i="2"/>
  <c r="AL37" i="2" s="1"/>
  <c r="AX24" i="2"/>
  <c r="K36" i="2"/>
  <c r="AG6" i="2"/>
  <c r="P32" i="2"/>
  <c r="V32" i="2"/>
  <c r="AI32" i="2" s="1"/>
  <c r="S32" i="2"/>
  <c r="X32" i="2" s="1"/>
  <c r="AK32" i="2" s="1"/>
  <c r="X17" i="2"/>
  <c r="AK17" i="2" s="1"/>
  <c r="R24" i="2"/>
  <c r="W24" i="2"/>
  <c r="AJ24" i="2" s="1"/>
  <c r="Y28" i="2"/>
  <c r="AG35" i="2"/>
  <c r="AX35" i="2"/>
  <c r="N36" i="2"/>
  <c r="O38" i="2" s="1"/>
  <c r="X7" i="2"/>
  <c r="AK7" i="2" s="1"/>
  <c r="S15" i="2"/>
  <c r="X15" i="2" s="1"/>
  <c r="W15" i="2"/>
  <c r="AJ15" i="2" s="1"/>
  <c r="AX22" i="2"/>
  <c r="AW22" i="2"/>
  <c r="Y8" i="2"/>
  <c r="P22" i="2"/>
  <c r="V22" i="2"/>
  <c r="AI22" i="2" s="1"/>
  <c r="S22" i="2"/>
  <c r="X22" i="2" s="1"/>
  <c r="AK22" i="2" s="1"/>
  <c r="AW5" i="2"/>
  <c r="R11" i="2"/>
  <c r="X16" i="2"/>
  <c r="AK16" i="2" s="1"/>
  <c r="S24" i="2"/>
  <c r="P24" i="2"/>
  <c r="V24" i="2"/>
  <c r="AI24" i="2" s="1"/>
  <c r="X26" i="2"/>
  <c r="AK26" i="2" s="1"/>
  <c r="R34" i="2"/>
  <c r="W34" i="2"/>
  <c r="AJ34" i="2" s="1"/>
  <c r="S6" i="2"/>
  <c r="T6" i="2" s="1"/>
  <c r="Y9" i="2"/>
  <c r="R14" i="2"/>
  <c r="W14" i="2"/>
  <c r="AJ14" i="2" s="1"/>
  <c r="P21" i="2"/>
  <c r="R7" i="2"/>
  <c r="U13" i="2"/>
  <c r="AH13" i="2"/>
  <c r="AG17" i="2"/>
  <c r="AX17" i="2"/>
  <c r="R21" i="2"/>
  <c r="U23" i="2"/>
  <c r="Y23" i="2" s="1"/>
  <c r="AH23" i="2"/>
  <c r="T23" i="2"/>
  <c r="AG25" i="2"/>
  <c r="AX25" i="2"/>
  <c r="U31" i="2"/>
  <c r="AH31" i="2"/>
  <c r="P10" i="2"/>
  <c r="AH10" i="2"/>
  <c r="AH36" i="2" s="1"/>
  <c r="AN38" i="2" s="1"/>
  <c r="T10" i="2"/>
  <c r="R10" i="2"/>
  <c r="U11" i="2"/>
  <c r="AH11" i="2"/>
  <c r="R15" i="2"/>
  <c r="AX32" i="2"/>
  <c r="AW32" i="2"/>
  <c r="Y34" i="2"/>
  <c r="AU36" i="2"/>
  <c r="Y5" i="2"/>
  <c r="R6" i="2"/>
  <c r="P14" i="2"/>
  <c r="U21" i="2"/>
  <c r="Y21" i="2" s="1"/>
  <c r="AH21" i="2"/>
  <c r="O36" i="2"/>
  <c r="V5" i="2"/>
  <c r="AF36" i="2"/>
  <c r="S13" i="2"/>
  <c r="X13" i="2" s="1"/>
  <c r="AK13" i="2" s="1"/>
  <c r="V13" i="2"/>
  <c r="AI13" i="2" s="1"/>
  <c r="T5" i="2"/>
  <c r="S36" i="2"/>
  <c r="P12" i="2"/>
  <c r="V12" i="2"/>
  <c r="AI12" i="2" s="1"/>
  <c r="S12" i="2"/>
  <c r="X12" i="2" s="1"/>
  <c r="AK12" i="2" s="1"/>
  <c r="X29" i="2"/>
  <c r="AK29" i="2" s="1"/>
  <c r="R31" i="2"/>
  <c r="Q36" i="2"/>
  <c r="X6" i="2"/>
  <c r="AK6" i="2" s="1"/>
  <c r="L6" i="2"/>
  <c r="Y7" i="2"/>
  <c r="R26" i="2"/>
  <c r="W26" i="2"/>
  <c r="AJ26" i="2" s="1"/>
  <c r="AW9" i="2"/>
  <c r="U14" i="2"/>
  <c r="Y14" i="2" s="1"/>
  <c r="AW19" i="2"/>
  <c r="AX20" i="2"/>
  <c r="U24" i="2"/>
  <c r="P29" i="2"/>
  <c r="AW29" i="2"/>
  <c r="AX30" i="2"/>
  <c r="T33" i="2"/>
  <c r="AH33" i="2"/>
  <c r="V35" i="2"/>
  <c r="AI35" i="2" s="1"/>
  <c r="H36" i="2"/>
  <c r="S11" i="2"/>
  <c r="T11" i="2" s="1"/>
  <c r="R20" i="2"/>
  <c r="S21" i="2"/>
  <c r="X21" i="2" s="1"/>
  <c r="AK21" i="2" s="1"/>
  <c r="T22" i="2"/>
  <c r="AH22" i="2"/>
  <c r="P28" i="2"/>
  <c r="R30" i="2"/>
  <c r="S31" i="2"/>
  <c r="X31" i="2" s="1"/>
  <c r="AK31" i="2" s="1"/>
  <c r="AH32" i="2"/>
  <c r="U33" i="2"/>
  <c r="Y33" i="2" s="1"/>
  <c r="V34" i="2"/>
  <c r="AI34" i="2" s="1"/>
  <c r="X5" i="2"/>
  <c r="P7" i="2"/>
  <c r="P17" i="2"/>
  <c r="U22" i="2"/>
  <c r="Y22" i="2" s="1"/>
  <c r="V23" i="2"/>
  <c r="AI23" i="2" s="1"/>
  <c r="P27" i="2"/>
  <c r="U32" i="2"/>
  <c r="V33" i="2"/>
  <c r="AI33" i="2" s="1"/>
  <c r="L34" i="2"/>
  <c r="J36" i="2"/>
  <c r="W13" i="2"/>
  <c r="AJ13" i="2" s="1"/>
  <c r="T20" i="2"/>
  <c r="AH20" i="2"/>
  <c r="W23" i="2"/>
  <c r="AJ23" i="2" s="1"/>
  <c r="AX27" i="2"/>
  <c r="T30" i="2"/>
  <c r="AH30" i="2"/>
  <c r="P34" i="2"/>
  <c r="AW11" i="2"/>
  <c r="T15" i="2"/>
  <c r="AW21" i="2"/>
  <c r="L28" i="2"/>
  <c r="AW31" i="2"/>
  <c r="T14" i="2"/>
  <c r="AW27" i="1"/>
  <c r="AX27" i="1"/>
  <c r="K37" i="1"/>
  <c r="L36" i="1"/>
  <c r="Y8" i="1"/>
  <c r="AH8" i="1"/>
  <c r="V9" i="1"/>
  <c r="AI9" i="1" s="1"/>
  <c r="S9" i="1"/>
  <c r="T9" i="1" s="1"/>
  <c r="P9" i="1"/>
  <c r="S15" i="1"/>
  <c r="X15" i="1" s="1"/>
  <c r="AK15" i="1" s="1"/>
  <c r="R15" i="1"/>
  <c r="V27" i="1"/>
  <c r="AI27" i="1" s="1"/>
  <c r="S27" i="1"/>
  <c r="X27" i="1" s="1"/>
  <c r="AK27" i="1" s="1"/>
  <c r="P27" i="1"/>
  <c r="AG6" i="1"/>
  <c r="AF1" i="1"/>
  <c r="AF36" i="1"/>
  <c r="P13" i="1"/>
  <c r="S13" i="1"/>
  <c r="X13" i="1" s="1"/>
  <c r="W15" i="1"/>
  <c r="AJ15" i="1" s="1"/>
  <c r="AK20" i="1"/>
  <c r="W29" i="1"/>
  <c r="AJ29" i="1" s="1"/>
  <c r="R29" i="1"/>
  <c r="X33" i="1"/>
  <c r="AK33" i="1" s="1"/>
  <c r="U6" i="1"/>
  <c r="AH6" i="1"/>
  <c r="P7" i="1"/>
  <c r="P8" i="1"/>
  <c r="R9" i="1"/>
  <c r="AX9" i="1"/>
  <c r="P17" i="1"/>
  <c r="W18" i="1"/>
  <c r="AJ18" i="1" s="1"/>
  <c r="S18" i="1"/>
  <c r="R18" i="1"/>
  <c r="Y24" i="1"/>
  <c r="AK30" i="1"/>
  <c r="AX13" i="1"/>
  <c r="AW13" i="1"/>
  <c r="AG20" i="1"/>
  <c r="AX20" i="1"/>
  <c r="AG30" i="1"/>
  <c r="AX30" i="1"/>
  <c r="AH5" i="1"/>
  <c r="T5" i="1"/>
  <c r="N36" i="1"/>
  <c r="O38" i="1" s="1"/>
  <c r="W8" i="1"/>
  <c r="AJ8" i="1" s="1"/>
  <c r="S8" i="1"/>
  <c r="X8" i="1" s="1"/>
  <c r="AK8" i="1" s="1"/>
  <c r="R8" i="1"/>
  <c r="AX6" i="1"/>
  <c r="AW6" i="1"/>
  <c r="S7" i="1"/>
  <c r="X7" i="1" s="1"/>
  <c r="AX12" i="1"/>
  <c r="V13" i="1"/>
  <c r="AI13" i="1" s="1"/>
  <c r="U16" i="1"/>
  <c r="AH16" i="1"/>
  <c r="AX16" i="1"/>
  <c r="AW16" i="1"/>
  <c r="S17" i="1"/>
  <c r="X17" i="1" s="1"/>
  <c r="AW17" i="1"/>
  <c r="Q36" i="1"/>
  <c r="R5" i="1"/>
  <c r="AL36" i="1"/>
  <c r="AL37" i="1" s="1"/>
  <c r="AM45" i="1" s="1"/>
  <c r="R6" i="1"/>
  <c r="AW7" i="1"/>
  <c r="X11" i="1"/>
  <c r="S16" i="1"/>
  <c r="X16" i="1" s="1"/>
  <c r="AK16" i="1" s="1"/>
  <c r="P16" i="1"/>
  <c r="V16" i="1"/>
  <c r="AI16" i="1" s="1"/>
  <c r="S6" i="1"/>
  <c r="X6" i="1" s="1"/>
  <c r="AK6" i="1" s="1"/>
  <c r="O36" i="1"/>
  <c r="P6" i="1"/>
  <c r="U5" i="1"/>
  <c r="AU36" i="1"/>
  <c r="V6" i="1"/>
  <c r="AI6" i="1" s="1"/>
  <c r="X10" i="1"/>
  <c r="AK10" i="1" s="1"/>
  <c r="L10" i="1"/>
  <c r="AK12" i="1"/>
  <c r="X14" i="1"/>
  <c r="AK14" i="1" s="1"/>
  <c r="U26" i="1"/>
  <c r="Y26" i="1" s="1"/>
  <c r="AH26" i="1"/>
  <c r="T26" i="1"/>
  <c r="R26" i="1"/>
  <c r="AL45" i="1"/>
  <c r="W5" i="1"/>
  <c r="AX36" i="1"/>
  <c r="X9" i="1"/>
  <c r="AK9" i="1" s="1"/>
  <c r="AG10" i="1"/>
  <c r="R16" i="1"/>
  <c r="AX19" i="1"/>
  <c r="Y21" i="1"/>
  <c r="X29" i="1"/>
  <c r="Y31" i="1"/>
  <c r="X5" i="1"/>
  <c r="Y14" i="1"/>
  <c r="AH15" i="1"/>
  <c r="T15" i="1"/>
  <c r="U15" i="1"/>
  <c r="Y15" i="1" s="1"/>
  <c r="U34" i="1"/>
  <c r="Y34" i="1" s="1"/>
  <c r="S23" i="1"/>
  <c r="T23" i="1" s="1"/>
  <c r="U25" i="1"/>
  <c r="Y25" i="1" s="1"/>
  <c r="V26" i="1"/>
  <c r="AI26" i="1" s="1"/>
  <c r="S33" i="1"/>
  <c r="V5" i="1"/>
  <c r="T13" i="1"/>
  <c r="V15" i="1"/>
  <c r="AI15" i="1" s="1"/>
  <c r="P19" i="1"/>
  <c r="AH23" i="1"/>
  <c r="V25" i="1"/>
  <c r="AI25" i="1" s="1"/>
  <c r="P29" i="1"/>
  <c r="R31" i="1"/>
  <c r="T33" i="1"/>
  <c r="V34" i="1"/>
  <c r="AI34" i="1" s="1"/>
  <c r="J36" i="1"/>
  <c r="AK44" i="1"/>
  <c r="AW35" i="1"/>
  <c r="T10" i="1"/>
  <c r="AH10" i="1"/>
  <c r="W13" i="1"/>
  <c r="AJ13" i="1" s="1"/>
  <c r="S19" i="1"/>
  <c r="T19" i="1" s="1"/>
  <c r="L23" i="1"/>
  <c r="P26" i="1"/>
  <c r="AW26" i="1"/>
  <c r="R28" i="1"/>
  <c r="S29" i="1"/>
  <c r="T29" i="1" s="1"/>
  <c r="P35" i="1"/>
  <c r="P5" i="1"/>
  <c r="AW5" i="1"/>
  <c r="V11" i="1"/>
  <c r="AI11" i="1" s="1"/>
  <c r="P25" i="1"/>
  <c r="S28" i="1"/>
  <c r="P34" i="1"/>
  <c r="AH28" i="1"/>
  <c r="S35" i="1"/>
  <c r="T35" i="1" s="1"/>
  <c r="T7" i="1"/>
  <c r="AW23" i="1"/>
  <c r="T27" i="1"/>
  <c r="AH27" i="1"/>
  <c r="L30" i="1"/>
  <c r="AW33" i="1"/>
  <c r="AH35" i="1"/>
  <c r="AW22" i="1"/>
  <c r="AW32" i="1"/>
  <c r="T25" i="1"/>
  <c r="T34" i="1"/>
  <c r="AK16" i="3" l="1"/>
  <c r="Y16" i="3"/>
  <c r="AK6" i="3"/>
  <c r="Y6" i="3"/>
  <c r="AF36" i="3"/>
  <c r="AG35" i="3"/>
  <c r="T18" i="3"/>
  <c r="X18" i="3"/>
  <c r="K36" i="3"/>
  <c r="L35" i="3"/>
  <c r="Y25" i="3"/>
  <c r="X24" i="3"/>
  <c r="T24" i="3"/>
  <c r="X28" i="3"/>
  <c r="T28" i="3"/>
  <c r="S35" i="3"/>
  <c r="X5" i="3"/>
  <c r="T5" i="3"/>
  <c r="Y34" i="3"/>
  <c r="AK34" i="3"/>
  <c r="X26" i="3"/>
  <c r="O36" i="3"/>
  <c r="P36" i="3" s="1"/>
  <c r="P35" i="3"/>
  <c r="AH35" i="3"/>
  <c r="AN37" i="3" s="1"/>
  <c r="AI5" i="3"/>
  <c r="AI35" i="3" s="1"/>
  <c r="AI36" i="3" s="1"/>
  <c r="V35" i="3"/>
  <c r="V36" i="3" s="1"/>
  <c r="T14" i="3"/>
  <c r="U35" i="3"/>
  <c r="Y5" i="3"/>
  <c r="X7" i="3"/>
  <c r="AX35" i="3"/>
  <c r="Y14" i="3"/>
  <c r="T25" i="3"/>
  <c r="Q36" i="3"/>
  <c r="R36" i="3" s="1"/>
  <c r="R35" i="3"/>
  <c r="X8" i="3"/>
  <c r="T8" i="3"/>
  <c r="AL44" i="3"/>
  <c r="W35" i="3"/>
  <c r="W36" i="3" s="1"/>
  <c r="Y32" i="3"/>
  <c r="Y11" i="3"/>
  <c r="AW35" i="3"/>
  <c r="AW37" i="3" s="1"/>
  <c r="AJ35" i="3"/>
  <c r="AJ36" i="3" s="1"/>
  <c r="Y10" i="3"/>
  <c r="T36" i="2"/>
  <c r="S37" i="2"/>
  <c r="Y11" i="2"/>
  <c r="Y13" i="2"/>
  <c r="U36" i="2"/>
  <c r="AM45" i="2"/>
  <c r="AL45" i="2"/>
  <c r="Y6" i="2"/>
  <c r="T24" i="2"/>
  <c r="X24" i="2"/>
  <c r="AK24" i="2" s="1"/>
  <c r="Q37" i="2"/>
  <c r="R37" i="2" s="1"/>
  <c r="R36" i="2"/>
  <c r="V36" i="2"/>
  <c r="V37" i="2" s="1"/>
  <c r="AI5" i="2"/>
  <c r="AI36" i="2" s="1"/>
  <c r="AI37" i="2" s="1"/>
  <c r="T31" i="2"/>
  <c r="AW36" i="2"/>
  <c r="AW38" i="2" s="1"/>
  <c r="AK5" i="2"/>
  <c r="AG36" i="2"/>
  <c r="AF37" i="2"/>
  <c r="P36" i="2"/>
  <c r="O37" i="2"/>
  <c r="P37" i="2" s="1"/>
  <c r="Y15" i="2"/>
  <c r="AK15" i="2"/>
  <c r="Y32" i="2"/>
  <c r="T32" i="2"/>
  <c r="T21" i="2"/>
  <c r="Y31" i="2"/>
  <c r="Y16" i="2"/>
  <c r="AJ36" i="2"/>
  <c r="AJ37" i="2" s="1"/>
  <c r="Y26" i="2"/>
  <c r="T13" i="2"/>
  <c r="Y18" i="2"/>
  <c r="W36" i="2"/>
  <c r="W37" i="2" s="1"/>
  <c r="K37" i="2"/>
  <c r="L36" i="2"/>
  <c r="AK13" i="1"/>
  <c r="Y13" i="1"/>
  <c r="AK29" i="1"/>
  <c r="Y29" i="1"/>
  <c r="W36" i="1"/>
  <c r="W37" i="1" s="1"/>
  <c r="AJ5" i="1"/>
  <c r="AJ36" i="1" s="1"/>
  <c r="AJ37" i="1" s="1"/>
  <c r="Y11" i="1"/>
  <c r="AK11" i="1"/>
  <c r="X18" i="1"/>
  <c r="T18" i="1"/>
  <c r="AK17" i="1"/>
  <c r="Y17" i="1"/>
  <c r="S36" i="1"/>
  <c r="X23" i="1"/>
  <c r="L38" i="1"/>
  <c r="K46" i="1"/>
  <c r="K47" i="1" s="1"/>
  <c r="L47" i="1"/>
  <c r="Y33" i="1"/>
  <c r="T17" i="1"/>
  <c r="Y16" i="1"/>
  <c r="T16" i="1"/>
  <c r="Y5" i="1"/>
  <c r="U36" i="1"/>
  <c r="Q37" i="1"/>
  <c r="R37" i="1" s="1"/>
  <c r="R36" i="1"/>
  <c r="T28" i="1"/>
  <c r="X28" i="1"/>
  <c r="X35" i="1"/>
  <c r="Y6" i="1"/>
  <c r="AW36" i="1"/>
  <c r="AW38" i="1" s="1"/>
  <c r="O37" i="1"/>
  <c r="P37" i="1" s="1"/>
  <c r="P36" i="1"/>
  <c r="Y10" i="1"/>
  <c r="V36" i="1"/>
  <c r="V37" i="1" s="1"/>
  <c r="AI5" i="1"/>
  <c r="AI36" i="1" s="1"/>
  <c r="AI37" i="1" s="1"/>
  <c r="X19" i="1"/>
  <c r="T8" i="1"/>
  <c r="AH36" i="1"/>
  <c r="AN38" i="1" s="1"/>
  <c r="T6" i="1"/>
  <c r="AG36" i="1"/>
  <c r="AF37" i="1"/>
  <c r="Y9" i="1"/>
  <c r="AK5" i="1"/>
  <c r="Y7" i="1"/>
  <c r="AK7" i="1"/>
  <c r="Y27" i="1"/>
  <c r="AK7" i="3" l="1"/>
  <c r="Y7" i="3"/>
  <c r="AK8" i="3"/>
  <c r="Y8" i="3"/>
  <c r="AK28" i="3"/>
  <c r="Y28" i="3"/>
  <c r="AK18" i="3"/>
  <c r="Y18" i="3"/>
  <c r="S36" i="3"/>
  <c r="T35" i="3"/>
  <c r="AG46" i="3"/>
  <c r="AF45" i="3"/>
  <c r="AF46" i="3" s="1"/>
  <c r="AG37" i="3"/>
  <c r="AG36" i="3"/>
  <c r="L37" i="3"/>
  <c r="K45" i="3"/>
  <c r="K46" i="3" s="1"/>
  <c r="L46" i="3"/>
  <c r="AK5" i="3"/>
  <c r="X35" i="3"/>
  <c r="AK24" i="3"/>
  <c r="Y24" i="3"/>
  <c r="AK26" i="3"/>
  <c r="Y26" i="3"/>
  <c r="AK36" i="2"/>
  <c r="X36" i="2"/>
  <c r="L38" i="2"/>
  <c r="L47" i="2"/>
  <c r="K46" i="2"/>
  <c r="K47" i="2" s="1"/>
  <c r="S46" i="2"/>
  <c r="S47" i="2" s="1"/>
  <c r="T47" i="2"/>
  <c r="T37" i="2"/>
  <c r="T38" i="2"/>
  <c r="Y24" i="2"/>
  <c r="AG47" i="2"/>
  <c r="AG38" i="2"/>
  <c r="AG37" i="2"/>
  <c r="AF46" i="2"/>
  <c r="AF47" i="2" s="1"/>
  <c r="AK18" i="1"/>
  <c r="Y18" i="1"/>
  <c r="AK19" i="1"/>
  <c r="Y19" i="1"/>
  <c r="AK23" i="1"/>
  <c r="AK36" i="1" s="1"/>
  <c r="Y23" i="1"/>
  <c r="AG47" i="1"/>
  <c r="AG38" i="1"/>
  <c r="AG37" i="1"/>
  <c r="AF46" i="1"/>
  <c r="AF47" i="1" s="1"/>
  <c r="AK35" i="1"/>
  <c r="Y35" i="1"/>
  <c r="AK28" i="1"/>
  <c r="Y28" i="1"/>
  <c r="X36" i="1"/>
  <c r="S37" i="1"/>
  <c r="T36" i="1"/>
  <c r="T37" i="3" l="1"/>
  <c r="T46" i="3"/>
  <c r="T36" i="3"/>
  <c r="S45" i="3"/>
  <c r="S46" i="3" s="1"/>
  <c r="AK35" i="3"/>
  <c r="Y35" i="3"/>
  <c r="X36" i="3"/>
  <c r="Y36" i="3" s="1"/>
  <c r="Y36" i="2"/>
  <c r="X37" i="2"/>
  <c r="Y37" i="2" s="1"/>
  <c r="AK37" i="2"/>
  <c r="AK40" i="2"/>
  <c r="AL40" i="2" s="1"/>
  <c r="AK40" i="1"/>
  <c r="AL40" i="1" s="1"/>
  <c r="AK37" i="1"/>
  <c r="S46" i="1"/>
  <c r="S47" i="1" s="1"/>
  <c r="T47" i="1"/>
  <c r="T37" i="1"/>
  <c r="T38" i="1"/>
  <c r="Y36" i="1"/>
  <c r="X37" i="1"/>
  <c r="Y37" i="1" s="1"/>
  <c r="AK39" i="3" l="1"/>
  <c r="AL39" i="3" s="1"/>
  <c r="AK36" i="3"/>
  <c r="AK41" i="2"/>
  <c r="AL41" i="2" s="1"/>
  <c r="AL39" i="2"/>
  <c r="AL46" i="2"/>
  <c r="AL38" i="2"/>
  <c r="AK43" i="2"/>
  <c r="AK45" i="2"/>
  <c r="AK46" i="2" s="1"/>
  <c r="AK41" i="1"/>
  <c r="AL41" i="1" s="1"/>
  <c r="AL39" i="1"/>
  <c r="AL46" i="1"/>
  <c r="AL38" i="1"/>
  <c r="AK43" i="1"/>
  <c r="AK45" i="1"/>
  <c r="AK46" i="1" s="1"/>
  <c r="AL38" i="3" l="1"/>
  <c r="AL45" i="3"/>
  <c r="AL37" i="3"/>
  <c r="AK42" i="3"/>
  <c r="AK40" i="3"/>
  <c r="AL40" i="3" s="1"/>
  <c r="AK44" i="3"/>
  <c r="AK45" i="3" s="1"/>
</calcChain>
</file>

<file path=xl/sharedStrings.xml><?xml version="1.0" encoding="utf-8"?>
<sst xmlns="http://schemas.openxmlformats.org/spreadsheetml/2006/main" count="385" uniqueCount="80">
  <si>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</si>
  <si>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</si>
  <si>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</si>
  <si>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</si>
  <si>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</si>
  <si>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</si>
  <si>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</si>
  <si>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</si>
  <si>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</si>
  <si>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</si>
  <si>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</si>
  <si>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</si>
  <si>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</si>
  <si>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</si>
  <si>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</si>
  <si>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</si>
  <si>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</si>
  <si>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</si>
  <si>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</si>
  <si>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</si>
  <si>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</si>
  <si>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</si>
  <si>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</si>
  <si>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</si>
  <si>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</si>
  <si>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</si>
  <si>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</si>
  <si>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</si>
  <si>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</si>
  <si>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</si>
  <si>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</si>
  <si>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</si>
  <si>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</si>
  <si>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</si>
  <si>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</si>
  <si>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</si>
  <si>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</si>
  <si>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</si>
  <si>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</si>
  <si>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</si>
  <si>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</si>
  <si>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</si>
  <si>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</si>
  <si>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</si>
  <si>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</si>
  <si>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</si>
  <si>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</si>
  <si>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</si>
  <si>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</si>
  <si>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</si>
  <si>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</si>
  <si>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</si>
  <si>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</si>
  <si>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</si>
  <si>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</si>
  <si>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</si>
  <si>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</t>
    <rPh sb="3" eb="5">
      <t>キュウギョウ</t>
    </rPh>
    <phoneticPr fontId="2"/>
  </si>
  <si>
    <t>夜景PT</t>
    <rPh sb="0" eb="2">
      <t>ヤケイ</t>
    </rPh>
    <phoneticPr fontId="2"/>
  </si>
  <si>
    <t>席料予算</t>
    <rPh sb="0" eb="2">
      <t>セキリョウ</t>
    </rPh>
    <rPh sb="2" eb="4">
      <t>ヨサン</t>
    </rPh>
    <phoneticPr fontId="2"/>
  </si>
  <si>
    <t>その他</t>
    <rPh sb="2" eb="3">
      <t>タ</t>
    </rPh>
    <phoneticPr fontId="2"/>
  </si>
  <si>
    <t>レストラン＋T/O（人数は含まず）＋南京錠売上
 +もーりすカレーTOTAL</t>
    <phoneticPr fontId="2"/>
  </si>
  <si>
    <t>席料+南京錠+花</t>
    <phoneticPr fontId="2"/>
  </si>
  <si>
    <t>食品物販</t>
    <rPh sb="0" eb="4">
      <t>ショクヒンブッパン</t>
    </rPh>
    <phoneticPr fontId="2"/>
  </si>
  <si>
    <t>ランチ休業ディナー貸切</t>
    <rPh sb="3" eb="5">
      <t>キュウギョウ</t>
    </rPh>
    <rPh sb="9" eb="11">
      <t>カシキリ</t>
    </rPh>
    <phoneticPr fontId="2"/>
  </si>
  <si>
    <t>ランチ休業ディナーダイニング貸切</t>
    <rPh sb="3" eb="5">
      <t>キュウギョウ</t>
    </rPh>
    <rPh sb="14" eb="16">
      <t>カシキリ</t>
    </rPh>
    <phoneticPr fontId="2"/>
  </si>
  <si>
    <t>ランチ休業 団体19名</t>
    <rPh sb="3" eb="5">
      <t>キュウギョウ</t>
    </rPh>
    <rPh sb="6" eb="8">
      <t>ダンタイ</t>
    </rPh>
    <rPh sb="10" eb="11">
      <t>メイ</t>
    </rPh>
    <phoneticPr fontId="2"/>
  </si>
  <si>
    <t>婚礼ランチなし</t>
    <rPh sb="0" eb="2">
      <t>コンレイ</t>
    </rPh>
    <phoneticPr fontId="2"/>
  </si>
  <si>
    <t>ケーブルカー故障による運休</t>
    <rPh sb="6" eb="8">
      <t>コショウ</t>
    </rPh>
    <rPh sb="11" eb="13">
      <t>ウンキュウ</t>
    </rPh>
    <phoneticPr fontId="2"/>
  </si>
  <si>
    <t>ランチ休業、運休</t>
    <rPh sb="3" eb="5">
      <t>キュウギョウ</t>
    </rPh>
    <rPh sb="6" eb="8">
      <t>ウンキュウ</t>
    </rPh>
    <phoneticPr fontId="2"/>
  </si>
  <si>
    <t>ランチ休業、運休,豊平川花火</t>
    <rPh sb="3" eb="5">
      <t>キュウギョウ</t>
    </rPh>
    <rPh sb="6" eb="8">
      <t>ウンキュウ</t>
    </rPh>
    <rPh sb="9" eb="14">
      <t>トヨヒラガワハナビ</t>
    </rPh>
    <phoneticPr fontId="2"/>
  </si>
  <si>
    <t>RＷ－バス営業</t>
    <rPh sb="5" eb="7">
      <t>エイギョウ</t>
    </rPh>
    <phoneticPr fontId="2"/>
  </si>
  <si>
    <t>ランチ休業　ＲW終日運休</t>
    <rPh sb="3" eb="5">
      <t>キュウギョウ</t>
    </rPh>
    <rPh sb="8" eb="12">
      <t>シュウジツウンキュウ</t>
    </rPh>
    <phoneticPr fontId="2"/>
  </si>
  <si>
    <t>ランチ休業  団体貸切</t>
    <rPh sb="3" eb="5">
      <t>キュウギョウ</t>
    </rPh>
    <rPh sb="7" eb="9">
      <t>ダンタイ</t>
    </rPh>
    <rPh sb="9" eb="11">
      <t>カシキリ</t>
    </rPh>
    <phoneticPr fontId="2"/>
  </si>
  <si>
    <t>ランチ休業ボランジェ</t>
    <rPh sb="3" eb="5">
      <t>キュウギョウ</t>
    </rPh>
    <phoneticPr fontId="2"/>
  </si>
  <si>
    <t xml:space="preserve">ランチ休業　雷Ｒw運休 </t>
    <rPh sb="3" eb="5">
      <t>キュウギョウ</t>
    </rPh>
    <rPh sb="6" eb="7">
      <t>カミナリ</t>
    </rPh>
    <rPh sb="9" eb="11">
      <t>ウンキュウ</t>
    </rPh>
    <phoneticPr fontId="2"/>
  </si>
  <si>
    <t>ランチ休業 風Rw運休</t>
    <rPh sb="3" eb="5">
      <t>キュウギョウ</t>
    </rPh>
    <rPh sb="6" eb="7">
      <t>カゼ</t>
    </rPh>
    <rPh sb="9" eb="11">
      <t>ウンキュウ</t>
    </rPh>
    <phoneticPr fontId="2"/>
  </si>
  <si>
    <t>モエレ花火大会</t>
    <rPh sb="3" eb="7">
      <t>ハナビタイカイ</t>
    </rPh>
    <phoneticPr fontId="2"/>
  </si>
  <si>
    <t>始発運休17：00再開・ドーム花火</t>
    <rPh sb="0" eb="2">
      <t>シハツ</t>
    </rPh>
    <rPh sb="2" eb="4">
      <t>ウンキュウ</t>
    </rPh>
    <rPh sb="9" eb="11">
      <t>サイカイ</t>
    </rPh>
    <rPh sb="15" eb="17">
      <t>ハナビ</t>
    </rPh>
    <phoneticPr fontId="2"/>
  </si>
  <si>
    <t>強風の為終日運休</t>
    <rPh sb="0" eb="2">
      <t>キョウフウ</t>
    </rPh>
    <rPh sb="3" eb="4">
      <t>タメ</t>
    </rPh>
    <rPh sb="4" eb="8">
      <t>シュウジツウンキュウ</t>
    </rPh>
    <phoneticPr fontId="2"/>
  </si>
  <si>
    <t>ランチ休業 始発→14：30運休</t>
    <rPh sb="3" eb="5">
      <t>キュウギョウ</t>
    </rPh>
    <rPh sb="6" eb="8">
      <t>シハツ</t>
    </rPh>
    <rPh sb="14" eb="16">
      <t>ウンキュウ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</si>
</sst>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90" formatCode="0.0_ "/>
  </numFmts>
  <fonts count="2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9"/>
      <color theme="4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sz val="9"/>
      <name val="游ゴシック Medium"/>
      <family val="3"/>
      <charset val="128"/>
    </font>
    <font>
      <sz val="9"/>
      <color rgb="FFEE0000"/>
      <name val="游ゴシック Medium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176" fontId="3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/>
    <xf numFmtId="0" fontId="11" fillId="0" borderId="3" xfId="0" applyFont="1" applyBorder="1" applyAlignment="1">
      <alignment horizontal="center" vertical="center" wrapText="1"/>
    </xf>
    <xf numFmtId="0" fontId="9" fillId="0" borderId="4" xfId="0" applyFont="1" applyBorder="1" applyAlignment="1"/>
    <xf numFmtId="0" fontId="9" fillId="0" borderId="5" xfId="0" applyFont="1" applyBorder="1" applyAlignment="1"/>
    <xf numFmtId="0" fontId="11" fillId="4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/>
    <xf numFmtId="0" fontId="3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38" fontId="3" fillId="0" borderId="15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38" fontId="6" fillId="0" borderId="15" xfId="0" applyNumberFormat="1" applyFont="1" applyBorder="1" applyAlignment="1"/>
    <xf numFmtId="38" fontId="3" fillId="0" borderId="0" xfId="0" applyNumberFormat="1" applyFont="1" applyAlignment="1"/>
    <xf numFmtId="0" fontId="6" fillId="0" borderId="0" xfId="0" applyFont="1" applyAlignment="1"/>
    <xf numFmtId="0" fontId="14" fillId="0" borderId="24" xfId="0" applyFont="1" applyBorder="1" applyAlignment="1"/>
    <xf numFmtId="38" fontId="6" fillId="0" borderId="25" xfId="0" applyNumberFormat="1" applyFont="1" applyBorder="1" applyAlignment="1"/>
    <xf numFmtId="179" fontId="6" fillId="0" borderId="26" xfId="0" applyNumberFormat="1" applyFont="1" applyBorder="1" applyAlignment="1"/>
    <xf numFmtId="180" fontId="6" fillId="0" borderId="25" xfId="0" applyNumberFormat="1" applyFont="1" applyBorder="1" applyAlignment="1"/>
    <xf numFmtId="38" fontId="15" fillId="0" borderId="26" xfId="0" applyNumberFormat="1" applyFont="1" applyBorder="1" applyAlignment="1"/>
    <xf numFmtId="38" fontId="6" fillId="0" borderId="26" xfId="0" applyNumberFormat="1" applyFont="1" applyBorder="1" applyAlignment="1"/>
    <xf numFmtId="38" fontId="6" fillId="0" borderId="24" xfId="0" applyNumberFormat="1" applyFont="1" applyBorder="1" applyAlignment="1"/>
    <xf numFmtId="38" fontId="6" fillId="5" borderId="25" xfId="0" applyNumberFormat="1" applyFont="1" applyFill="1" applyBorder="1" applyAlignment="1"/>
    <xf numFmtId="182" fontId="6" fillId="0" borderId="25" xfId="0" applyNumberFormat="1" applyFont="1" applyBorder="1" applyAlignment="1">
      <alignment shrinkToFit="1"/>
    </xf>
    <xf numFmtId="181" fontId="6" fillId="0" borderId="26" xfId="0" applyNumberFormat="1" applyFont="1" applyBorder="1" applyAlignment="1"/>
    <xf numFmtId="38" fontId="15" fillId="0" borderId="25" xfId="0" applyNumberFormat="1" applyFont="1" applyBorder="1" applyAlignment="1"/>
    <xf numFmtId="38" fontId="11" fillId="5" borderId="25" xfId="0" applyNumberFormat="1" applyFont="1" applyFill="1" applyBorder="1" applyAlignment="1"/>
    <xf numFmtId="182" fontId="16" fillId="0" borderId="26" xfId="0" applyNumberFormat="1" applyFont="1" applyBorder="1" applyAlignment="1">
      <alignment shrinkToFit="1"/>
    </xf>
    <xf numFmtId="38" fontId="16" fillId="0" borderId="25" xfId="0" applyNumberFormat="1" applyFont="1" applyBorder="1" applyAlignment="1"/>
    <xf numFmtId="38" fontId="15" fillId="5" borderId="25" xfId="0" applyNumberFormat="1" applyFont="1" applyFill="1" applyBorder="1" applyAlignment="1"/>
    <xf numFmtId="182" fontId="15" fillId="0" borderId="26" xfId="0" applyNumberFormat="1" applyFont="1" applyBorder="1" applyAlignment="1">
      <alignment shrinkToFit="1"/>
    </xf>
    <xf numFmtId="38" fontId="16" fillId="0" borderId="26" xfId="0" applyNumberFormat="1" applyFont="1" applyBorder="1" applyAlignment="1"/>
    <xf numFmtId="38" fontId="10" fillId="5" borderId="25" xfId="0" applyNumberFormat="1" applyFont="1" applyFill="1" applyBorder="1" applyAlignment="1"/>
    <xf numFmtId="182" fontId="15" fillId="0" borderId="26" xfId="0" applyNumberFormat="1" applyFont="1" applyBorder="1" applyAlignment="1"/>
    <xf numFmtId="38" fontId="6" fillId="5" borderId="15" xfId="0" applyNumberFormat="1" applyFont="1" applyFill="1" applyBorder="1" applyAlignment="1"/>
    <xf numFmtId="38" fontId="6" fillId="8" borderId="15" xfId="0" applyNumberFormat="1" applyFont="1" applyFill="1" applyBorder="1" applyAlignment="1"/>
    <xf numFmtId="0" fontId="14" fillId="0" borderId="0" xfId="0" applyFont="1" applyAlignment="1"/>
    <xf numFmtId="0" fontId="6" fillId="0" borderId="6" xfId="0" applyFont="1" applyBorder="1" applyAlignment="1"/>
    <xf numFmtId="38" fontId="15" fillId="0" borderId="15" xfId="0" applyNumberFormat="1" applyFont="1" applyBorder="1" applyAlignment="1"/>
    <xf numFmtId="38" fontId="11" fillId="5" borderId="15" xfId="0" applyNumberFormat="1" applyFont="1" applyFill="1" applyBorder="1" applyAlignment="1"/>
    <xf numFmtId="182" fontId="6" fillId="0" borderId="0" xfId="0" applyNumberFormat="1" applyFont="1" applyAlignment="1">
      <alignment shrinkToFit="1"/>
    </xf>
    <xf numFmtId="179" fontId="6" fillId="0" borderId="0" xfId="0" applyNumberFormat="1" applyFont="1" applyAlignment="1"/>
    <xf numFmtId="182" fontId="16" fillId="0" borderId="0" xfId="0" applyNumberFormat="1" applyFont="1" applyAlignment="1"/>
    <xf numFmtId="38" fontId="15" fillId="5" borderId="15" xfId="0" applyNumberFormat="1" applyFont="1" applyFill="1" applyBorder="1" applyAlignment="1"/>
    <xf numFmtId="182" fontId="6" fillId="0" borderId="0" xfId="0" applyNumberFormat="1" applyFont="1" applyAlignment="1"/>
    <xf numFmtId="38" fontId="16" fillId="0" borderId="15" xfId="0" applyNumberFormat="1" applyFont="1" applyBorder="1" applyAlignment="1"/>
    <xf numFmtId="38" fontId="6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>
      <alignment horizontal="right"/>
    </xf>
    <xf numFmtId="183" fontId="6" fillId="0" borderId="0" xfId="0" applyNumberFormat="1" applyFont="1" applyAlignment="1"/>
    <xf numFmtId="183" fontId="6" fillId="6" borderId="0" xfId="0" applyNumberFormat="1" applyFont="1" applyFill="1" applyAlignment="1"/>
    <xf numFmtId="183" fontId="17" fillId="0" borderId="0" xfId="0" applyNumberFormat="1" applyFont="1" applyAlignment="1"/>
    <xf numFmtId="183" fontId="6" fillId="0" borderId="0" xfId="0" applyNumberFormat="1" applyFont="1" applyAlignment="1">
      <alignment horizontal="right"/>
    </xf>
    <xf numFmtId="184" fontId="15" fillId="0" borderId="0" xfId="0" applyNumberFormat="1" applyFont="1" applyAlignment="1"/>
    <xf numFmtId="184" fontId="15" fillId="0" borderId="0" xfId="0" applyNumberFormat="1" applyFont="1" applyAlignment="1">
      <alignment shrinkToFit="1"/>
    </xf>
    <xf numFmtId="183" fontId="6" fillId="4" borderId="0" xfId="0" applyNumberFormat="1" applyFont="1" applyFill="1" applyAlignment="1"/>
    <xf numFmtId="184" fontId="6" fillId="0" borderId="0" xfId="0" applyNumberFormat="1" applyFont="1" applyAlignment="1"/>
    <xf numFmtId="3" fontId="3" fillId="0" borderId="0" xfId="0" applyNumberFormat="1" applyFont="1" applyAlignment="1"/>
    <xf numFmtId="0" fontId="3" fillId="0" borderId="18" xfId="0" applyFont="1" applyBorder="1" applyAlignment="1"/>
    <xf numFmtId="0" fontId="3" fillId="0" borderId="23" xfId="0" applyFont="1" applyBorder="1" applyAlignment="1">
      <alignment horizontal="right"/>
    </xf>
    <xf numFmtId="183" fontId="6" fillId="8" borderId="0" xfId="0" applyNumberFormat="1" applyFont="1" applyFill="1" applyAlignment="1"/>
    <xf numFmtId="0" fontId="3" fillId="0" borderId="27" xfId="0" applyFont="1" applyBorder="1" applyAlignment="1"/>
    <xf numFmtId="185" fontId="3" fillId="0" borderId="0" xfId="0" applyNumberFormat="1" applyFont="1" applyAlignment="1"/>
    <xf numFmtId="0" fontId="4" fillId="0" borderId="1" xfId="0" applyFont="1" applyBorder="1" applyAlignment="1">
      <alignment horizontal="left" vertical="top" wrapText="1"/>
    </xf>
    <xf numFmtId="0" fontId="9" fillId="0" borderId="22" xfId="0" applyFont="1" applyBorder="1" applyAlignment="1"/>
    <xf numFmtId="0" fontId="9" fillId="0" borderId="23" xfId="0" applyFont="1" applyBorder="1" applyAlignment="1"/>
    <xf numFmtId="0" fontId="5" fillId="0" borderId="0" xfId="0" applyFont="1" applyAlignment="1"/>
    <xf numFmtId="0" fontId="9" fillId="0" borderId="27" xfId="0" applyFont="1" applyBorder="1" applyAlignme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16" xfId="0" applyFont="1" applyBorder="1" applyAlignment="1"/>
    <xf numFmtId="0" fontId="9" fillId="0" borderId="19" xfId="0" applyFont="1" applyBorder="1" applyAlignment="1"/>
    <xf numFmtId="0" fontId="9" fillId="0" borderId="18" xfId="0" applyFont="1" applyBorder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84" fontId="11" fillId="0" borderId="0" xfId="0" applyNumberFormat="1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84" fontId="10" fillId="0" borderId="0" xfId="0" applyNumberFormat="1" applyFont="1">
      <alignment vertical="center"/>
    </xf>
    <xf numFmtId="10" fontId="10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186" fontId="6" fillId="0" borderId="0" xfId="0" applyNumberFormat="1" applyFont="1" applyAlignment="1"/>
    <xf numFmtId="38" fontId="18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8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38" fontId="20" fillId="0" borderId="0" xfId="0" applyNumberFormat="1" applyFont="1">
      <alignment vertical="center"/>
    </xf>
    <xf numFmtId="0" fontId="20" fillId="0" borderId="0" xfId="0" applyFont="1">
      <alignment vertical="center"/>
    </xf>
    <xf numFmtId="0" fontId="3" fillId="0" borderId="0" xfId="0" applyFont="1">
      <alignment vertical="center"/>
    </xf>
    <xf numFmtId="38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 shrinkToFit="1"/>
    </xf>
    <xf numFmtId="176" fontId="21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0" borderId="28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 shrinkToFit="1"/>
    </xf>
    <xf numFmtId="177" fontId="3" fillId="0" borderId="29" xfId="0" applyNumberFormat="1" applyFont="1" applyBorder="1" applyAlignment="1">
      <alignment horizontal="center" vertical="center" wrapText="1"/>
    </xf>
    <xf numFmtId="178" fontId="4" fillId="0" borderId="16" xfId="0" applyNumberFormat="1" applyFont="1" applyBorder="1">
      <alignment vertical="center"/>
    </xf>
    <xf numFmtId="38" fontId="3" fillId="0" borderId="16" xfId="0" applyNumberFormat="1" applyFont="1" applyBorder="1" applyAlignment="1">
      <alignment horizontal="center" vertical="center"/>
    </xf>
    <xf numFmtId="179" fontId="3" fillId="0" borderId="17" xfId="0" applyNumberFormat="1" applyFont="1" applyBorder="1">
      <alignment vertical="center"/>
    </xf>
    <xf numFmtId="180" fontId="3" fillId="2" borderId="17" xfId="0" applyNumberFormat="1" applyFont="1" applyFill="1" applyBorder="1">
      <alignment vertical="center"/>
    </xf>
    <xf numFmtId="38" fontId="3" fillId="6" borderId="17" xfId="0" applyNumberFormat="1" applyFont="1" applyFill="1" applyBorder="1">
      <alignment vertical="center"/>
    </xf>
    <xf numFmtId="38" fontId="6" fillId="0" borderId="18" xfId="0" applyNumberFormat="1" applyFont="1" applyBorder="1">
      <alignment vertical="center"/>
    </xf>
    <xf numFmtId="38" fontId="6" fillId="0" borderId="16" xfId="0" applyNumberFormat="1" applyFont="1" applyBorder="1">
      <alignment vertical="center"/>
    </xf>
    <xf numFmtId="38" fontId="11" fillId="2" borderId="17" xfId="0" applyNumberFormat="1" applyFont="1" applyFill="1" applyBorder="1">
      <alignment vertical="center"/>
    </xf>
    <xf numFmtId="40" fontId="3" fillId="0" borderId="19" xfId="0" applyNumberFormat="1" applyFont="1" applyBorder="1">
      <alignment vertical="center"/>
    </xf>
    <xf numFmtId="181" fontId="3" fillId="0" borderId="17" xfId="0" applyNumberFormat="1" applyFont="1" applyBorder="1">
      <alignment vertical="center"/>
    </xf>
    <xf numFmtId="180" fontId="3" fillId="3" borderId="17" xfId="0" applyNumberFormat="1" applyFont="1" applyFill="1" applyBorder="1">
      <alignment vertical="center"/>
    </xf>
    <xf numFmtId="38" fontId="3" fillId="0" borderId="17" xfId="0" applyNumberFormat="1" applyFont="1" applyBorder="1">
      <alignment vertical="center"/>
    </xf>
    <xf numFmtId="38" fontId="11" fillId="0" borderId="15" xfId="0" applyNumberFormat="1" applyFont="1" applyBorder="1">
      <alignment vertical="center"/>
    </xf>
    <xf numFmtId="180" fontId="3" fillId="0" borderId="20" xfId="0" applyNumberFormat="1" applyFont="1" applyBorder="1">
      <alignment vertical="center"/>
    </xf>
    <xf numFmtId="38" fontId="3" fillId="7" borderId="16" xfId="0" applyNumberFormat="1" applyFont="1" applyFill="1" applyBorder="1">
      <alignment vertical="center"/>
    </xf>
    <xf numFmtId="179" fontId="3" fillId="4" borderId="17" xfId="0" applyNumberFormat="1" applyFont="1" applyFill="1" applyBorder="1">
      <alignment vertical="center"/>
    </xf>
    <xf numFmtId="180" fontId="3" fillId="0" borderId="17" xfId="0" applyNumberFormat="1" applyFont="1" applyBorder="1">
      <alignment vertical="center"/>
    </xf>
    <xf numFmtId="38" fontId="3" fillId="3" borderId="15" xfId="0" applyNumberFormat="1" applyFont="1" applyFill="1" applyBorder="1">
      <alignment vertical="center"/>
    </xf>
    <xf numFmtId="38" fontId="11" fillId="0" borderId="16" xfId="0" applyNumberFormat="1" applyFont="1" applyBorder="1">
      <alignment vertical="center"/>
    </xf>
    <xf numFmtId="38" fontId="3" fillId="0" borderId="15" xfId="0" applyNumberFormat="1" applyFont="1" applyBorder="1">
      <alignment vertical="center"/>
    </xf>
    <xf numFmtId="38" fontId="6" fillId="0" borderId="15" xfId="0" applyNumberFormat="1" applyFont="1" applyBorder="1">
      <alignment vertical="center"/>
    </xf>
    <xf numFmtId="38" fontId="3" fillId="7" borderId="15" xfId="0" applyNumberFormat="1" applyFont="1" applyFill="1" applyBorder="1">
      <alignment vertical="center"/>
    </xf>
    <xf numFmtId="178" fontId="4" fillId="0" borderId="6" xfId="0" applyNumberFormat="1" applyFont="1" applyBorder="1">
      <alignment vertical="center"/>
    </xf>
    <xf numFmtId="180" fontId="3" fillId="0" borderId="21" xfId="0" applyNumberFormat="1" applyFont="1" applyBorder="1">
      <alignment vertical="center"/>
    </xf>
    <xf numFmtId="38" fontId="11" fillId="8" borderId="16" xfId="0" applyNumberFormat="1" applyFont="1" applyFill="1" applyBorder="1">
      <alignment vertical="center"/>
    </xf>
    <xf numFmtId="178" fontId="13" fillId="0" borderId="6" xfId="0" applyNumberFormat="1" applyFont="1" applyBorder="1">
      <alignment vertical="center"/>
    </xf>
    <xf numFmtId="178" fontId="12" fillId="0" borderId="6" xfId="0" applyNumberFormat="1" applyFont="1" applyBorder="1">
      <alignment vertical="center"/>
    </xf>
    <xf numFmtId="38" fontId="6" fillId="8" borderId="16" xfId="0" applyNumberFormat="1" applyFont="1" applyFill="1" applyBorder="1">
      <alignment vertical="center"/>
    </xf>
    <xf numFmtId="38" fontId="6" fillId="0" borderId="25" xfId="0" applyNumberFormat="1" applyFont="1" applyBorder="1" applyAlignment="1">
      <alignment shrinkToFit="1"/>
    </xf>
    <xf numFmtId="38" fontId="6" fillId="0" borderId="26" xfId="0" applyNumberFormat="1" applyFont="1" applyBorder="1" applyAlignment="1">
      <alignment horizontal="center"/>
    </xf>
    <xf numFmtId="0" fontId="6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" fillId="0" borderId="27" xfId="0" applyFont="1" applyBorder="1" applyAlignment="1">
      <alignment shrinkToFit="1"/>
    </xf>
    <xf numFmtId="38" fontId="6" fillId="9" borderId="0" xfId="0" applyNumberFormat="1" applyFont="1" applyFill="1" applyAlignment="1">
      <alignment horizontal="right"/>
    </xf>
    <xf numFmtId="38" fontId="6" fillId="9" borderId="0" xfId="0" applyNumberFormat="1" applyFont="1" applyFill="1" applyAlignment="1"/>
    <xf numFmtId="0" fontId="18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center"/>
    </xf>
    <xf numFmtId="178" fontId="22" fillId="0" borderId="16" xfId="0" applyNumberFormat="1" applyFont="1" applyBorder="1">
      <alignment vertical="center"/>
    </xf>
    <xf numFmtId="178" fontId="22" fillId="0" borderId="6" xfId="0" applyNumberFormat="1" applyFont="1" applyBorder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38" fontId="6" fillId="0" borderId="30" xfId="0" applyNumberFormat="1" applyFont="1" applyBorder="1" applyAlignment="1"/>
    <xf numFmtId="38" fontId="6" fillId="0" borderId="4" xfId="0" applyNumberFormat="1" applyFont="1" applyBorder="1" applyAlignment="1"/>
    <xf numFmtId="38" fontId="6" fillId="0" borderId="31" xfId="0" applyNumberFormat="1" applyFont="1" applyBorder="1" applyAlignment="1"/>
    <xf numFmtId="0" fontId="6" fillId="10" borderId="0" xfId="0" applyFont="1" applyFill="1" applyAlignment="1"/>
    <xf numFmtId="38" fontId="4" fillId="0" borderId="6" xfId="0" applyNumberFormat="1" applyFont="1" applyBorder="1" applyAlignment="1">
      <alignment vertical="center" shrinkToFit="1"/>
    </xf>
    <xf numFmtId="38" fontId="5" fillId="0" borderId="0" xfId="0" applyNumberFormat="1" applyFont="1">
      <alignment vertical="center"/>
    </xf>
    <xf numFmtId="190" fontId="6" fillId="5" borderId="0" xfId="0" applyNumberFormat="1" applyFont="1" applyFill="1" applyAlignment="1"/>
    <xf numFmtId="190" fontId="6" fillId="10" borderId="0" xfId="0" applyNumberFormat="1" applyFont="1" applyFill="1" applyAlignment="1"/>
    <xf numFmtId="38" fontId="6" fillId="10" borderId="15" xfId="0" applyNumberFormat="1" applyFont="1" applyFill="1" applyBorder="1">
      <alignment vertical="center"/>
    </xf>
    <xf numFmtId="38" fontId="6" fillId="11" borderId="15" xfId="0" applyNumberFormat="1" applyFont="1" applyFill="1" applyBorder="1">
      <alignment vertical="center"/>
    </xf>
    <xf numFmtId="178" fontId="23" fillId="0" borderId="6" xfId="0" applyNumberFormat="1" applyFont="1" applyBorder="1">
      <alignment vertical="center"/>
    </xf>
    <xf numFmtId="178" fontId="23" fillId="12" borderId="6" xfId="0" applyNumberFormat="1" applyFont="1" applyFill="1" applyBorder="1">
      <alignment vertical="center"/>
    </xf>
    <xf numFmtId="38" fontId="4" fillId="12" borderId="6" xfId="0" applyNumberFormat="1" applyFont="1" applyFill="1" applyBorder="1" applyAlignment="1">
      <alignment vertical="center" shrinkToFit="1"/>
    </xf>
    <xf numFmtId="180" fontId="3" fillId="12" borderId="17" xfId="0" applyNumberFormat="1" applyFont="1" applyFill="1" applyBorder="1">
      <alignment vertical="center"/>
    </xf>
    <xf numFmtId="178" fontId="22" fillId="12" borderId="6" xfId="0" applyNumberFormat="1" applyFont="1" applyFill="1" applyBorder="1">
      <alignment vertical="center"/>
    </xf>
    <xf numFmtId="178" fontId="13" fillId="12" borderId="6" xfId="0" applyNumberFormat="1" applyFont="1" applyFill="1" applyBorder="1">
      <alignment vertical="center"/>
    </xf>
    <xf numFmtId="0" fontId="3" fillId="13" borderId="0" xfId="0" applyFont="1" applyFill="1">
      <alignment vertical="center"/>
    </xf>
    <xf numFmtId="178" fontId="22" fillId="13" borderId="6" xfId="0" applyNumberFormat="1" applyFont="1" applyFill="1" applyBorder="1">
      <alignment vertical="center"/>
    </xf>
    <xf numFmtId="38" fontId="4" fillId="13" borderId="6" xfId="0" applyNumberFormat="1" applyFont="1" applyFill="1" applyBorder="1" applyAlignment="1">
      <alignment vertical="center" shrinkToFit="1"/>
    </xf>
    <xf numFmtId="178" fontId="22" fillId="11" borderId="6" xfId="0" applyNumberFormat="1" applyFont="1" applyFill="1" applyBorder="1">
      <alignment vertical="center"/>
    </xf>
    <xf numFmtId="180" fontId="3" fillId="14" borderId="17" xfId="0" applyNumberFormat="1" applyFont="1" applyFill="1" applyBorder="1">
      <alignment vertical="center"/>
    </xf>
    <xf numFmtId="178" fontId="13" fillId="11" borderId="6" xfId="0" applyNumberFormat="1" applyFont="1" applyFill="1" applyBorder="1">
      <alignment vertical="center"/>
    </xf>
    <xf numFmtId="38" fontId="4" fillId="11" borderId="6" xfId="0" applyNumberFormat="1" applyFont="1" applyFill="1" applyBorder="1" applyAlignment="1">
      <alignment vertical="center" shrinkToFit="1"/>
    </xf>
    <xf numFmtId="178" fontId="12" fillId="11" borderId="6" xfId="0" applyNumberFormat="1" applyFont="1" applyFill="1" applyBorder="1">
      <alignment vertical="center"/>
    </xf>
    <xf numFmtId="178" fontId="4" fillId="11" borderId="6" xfId="0" applyNumberFormat="1" applyFont="1" applyFill="1" applyBorder="1">
      <alignment vertical="center"/>
    </xf>
    <xf numFmtId="0" fontId="1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10</xdr:col>
      <xdr:colOff>121324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493376</xdr:colOff>
      <xdr:row>45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X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68" customWidth="1"/>
    <col min="4" max="4" width="4.7109375" style="169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1460210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2">
        <v>2025</v>
      </c>
      <c r="B2" s="123">
        <v>7</v>
      </c>
      <c r="C2" s="124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5"/>
      <c r="D3" s="126"/>
      <c r="E3" s="127" t="s">
        <v>3</v>
      </c>
      <c r="F3" s="10"/>
      <c r="G3" s="10"/>
      <c r="H3" s="10"/>
      <c r="I3" s="10"/>
      <c r="J3" s="10"/>
      <c r="K3" s="10"/>
      <c r="L3" s="10"/>
      <c r="M3" s="128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60</v>
      </c>
      <c r="AI3" s="172"/>
      <c r="AJ3" s="172"/>
      <c r="AK3" s="172"/>
      <c r="AL3" s="172"/>
      <c r="AM3" s="173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29" t="s">
        <v>8</v>
      </c>
      <c r="D4" s="130" t="s">
        <v>57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61</v>
      </c>
      <c r="AM4" s="24" t="s">
        <v>62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19"/>
      <c r="B5" s="170">
        <f>DATE($A$2,$B$2,1)</f>
        <v>45839</v>
      </c>
      <c r="C5" s="178" t="s">
        <v>56</v>
      </c>
      <c r="D5" s="132">
        <v>68</v>
      </c>
      <c r="E5" s="133"/>
      <c r="F5" s="134"/>
      <c r="G5" s="135"/>
      <c r="H5" s="136" t="e">
        <f t="shared" ref="H5:H35" si="0">ROUNDDOWN(G5/1.1,0)/F5</f>
        <v>#DIV/0!</v>
      </c>
      <c r="I5" s="135"/>
      <c r="J5" s="137" t="e">
        <f t="shared" ref="J5:J29" si="1">ROUNDDOWN(I5/1.1,0)/F5</f>
        <v>#DIV/0!</v>
      </c>
      <c r="K5" s="138">
        <f>G5+I5</f>
        <v>0</v>
      </c>
      <c r="L5" s="139" t="str">
        <f t="shared" ref="L5:L29" si="2">IF(F5="","",K5/F5)</f>
        <v/>
      </c>
      <c r="M5" s="140"/>
      <c r="N5" s="141">
        <f>AN5-F5</f>
        <v>29</v>
      </c>
      <c r="O5" s="142">
        <f>AO5-G5</f>
        <v>305990</v>
      </c>
      <c r="P5" s="136">
        <f t="shared" ref="P5:P31" si="3">ROUNDDOWN(O5/1.1,0)/N5</f>
        <v>9592.1379310344819</v>
      </c>
      <c r="Q5" s="142">
        <f>AP5-I5</f>
        <v>55790</v>
      </c>
      <c r="R5" s="137">
        <f t="shared" ref="R5:R31" si="4">ROUNDDOWN(Q5/1.1,0)/N5</f>
        <v>1748.8965517241379</v>
      </c>
      <c r="S5" s="143">
        <f>O5+Q5</f>
        <v>361780</v>
      </c>
      <c r="T5" s="139">
        <f t="shared" ref="T5:T31" si="5">IF(N5="","",S5/N5)</f>
        <v>12475.172413793103</v>
      </c>
      <c r="U5" s="144">
        <f t="shared" ref="U5:V20" si="6">F5+N5</f>
        <v>29</v>
      </c>
      <c r="V5" s="142">
        <f t="shared" si="6"/>
        <v>305990</v>
      </c>
      <c r="W5" s="142">
        <f t="shared" ref="W5:W31" si="7">I5+Q5</f>
        <v>55790</v>
      </c>
      <c r="X5" s="145">
        <f>K5+S5</f>
        <v>361780</v>
      </c>
      <c r="Y5" s="142">
        <f t="shared" ref="Y5:Y31" si="8">IF(U5="","",X5/U5)</f>
        <v>12475.172413793103</v>
      </c>
      <c r="Z5" s="146"/>
      <c r="AA5" s="147">
        <v>59</v>
      </c>
      <c r="AB5" s="135">
        <v>39050</v>
      </c>
      <c r="AC5" s="136">
        <f t="shared" ref="AC5:AC31" si="9">AB5/AA5</f>
        <v>661.86440677966107</v>
      </c>
      <c r="AD5" s="135">
        <v>13700</v>
      </c>
      <c r="AE5" s="137">
        <f t="shared" ref="AE5:AE31" si="10">AD5/AA5</f>
        <v>232.20338983050848</v>
      </c>
      <c r="AF5" s="148">
        <f>AB5+AD5</f>
        <v>52750</v>
      </c>
      <c r="AG5" s="139">
        <f t="shared" ref="AG5:AG31" si="11">IF(AA5="","",AF5/AA5)</f>
        <v>894.06779661016947</v>
      </c>
      <c r="AH5" s="144">
        <f t="shared" ref="AH5:AH31" si="12">SUM(F5,N5)</f>
        <v>29</v>
      </c>
      <c r="AI5" s="142">
        <f t="shared" ref="AI5:AI31" si="13">V5+AB5</f>
        <v>345040</v>
      </c>
      <c r="AJ5" s="142">
        <f t="shared" ref="AJ5:AJ31" si="14">W5+AD5</f>
        <v>69490</v>
      </c>
      <c r="AK5" s="149">
        <f>X5+AF5</f>
        <v>414530</v>
      </c>
      <c r="AL5" s="142">
        <f t="shared" ref="AL5:AL31" si="15">AQ5+AR5+AS5</f>
        <v>91750</v>
      </c>
      <c r="AM5" s="142">
        <v>4800</v>
      </c>
      <c r="AN5" s="150">
        <v>29</v>
      </c>
      <c r="AO5" s="150">
        <v>305990</v>
      </c>
      <c r="AP5" s="150">
        <v>55790</v>
      </c>
      <c r="AQ5" s="151">
        <v>34100</v>
      </c>
      <c r="AR5" s="151">
        <v>57650</v>
      </c>
      <c r="AS5" s="151"/>
      <c r="AT5" s="151">
        <v>5500</v>
      </c>
      <c r="AU5" s="152">
        <f>SUM(AO5:AS5)</f>
        <v>453530</v>
      </c>
      <c r="AV5" s="119">
        <v>1</v>
      </c>
      <c r="AW5" s="120">
        <f>AT5+AU5</f>
        <v>459030</v>
      </c>
      <c r="AX5" s="179">
        <f t="shared" ref="AX5:AX35" si="16">AU5+AF5+AM5+AT5</f>
        <v>516580</v>
      </c>
    </row>
    <row r="6" spans="1:50" ht="13.5" customHeight="1">
      <c r="A6" s="119"/>
      <c r="B6" s="171">
        <f t="shared" ref="B6:B35" si="17">B5+1</f>
        <v>45840</v>
      </c>
      <c r="C6" s="178" t="s">
        <v>63</v>
      </c>
      <c r="D6" s="132">
        <v>65</v>
      </c>
      <c r="E6" s="133"/>
      <c r="F6" s="134"/>
      <c r="G6" s="135"/>
      <c r="H6" s="136" t="e">
        <f t="shared" si="0"/>
        <v>#DIV/0!</v>
      </c>
      <c r="I6" s="135"/>
      <c r="J6" s="137" t="e">
        <f t="shared" si="1"/>
        <v>#DIV/0!</v>
      </c>
      <c r="K6" s="138">
        <f>G6+I6</f>
        <v>0</v>
      </c>
      <c r="L6" s="139" t="str">
        <f t="shared" si="2"/>
        <v/>
      </c>
      <c r="M6" s="140"/>
      <c r="N6" s="141">
        <f t="shared" ref="N6:O21" si="18">AN6-F6</f>
        <v>32</v>
      </c>
      <c r="O6" s="142">
        <f t="shared" si="18"/>
        <v>358040</v>
      </c>
      <c r="P6" s="136">
        <f t="shared" si="3"/>
        <v>10171.5625</v>
      </c>
      <c r="Q6" s="142">
        <f t="shared" ref="Q6:Q31" si="19">AP6-I6</f>
        <v>105400</v>
      </c>
      <c r="R6" s="137">
        <f t="shared" si="4"/>
        <v>2994.3125</v>
      </c>
      <c r="S6" s="143">
        <f t="shared" ref="S6:S31" si="20">O6+Q6</f>
        <v>463440</v>
      </c>
      <c r="T6" s="139">
        <f t="shared" si="5"/>
        <v>14482.5</v>
      </c>
      <c r="U6" s="144">
        <f t="shared" si="6"/>
        <v>32</v>
      </c>
      <c r="V6" s="142">
        <f t="shared" si="6"/>
        <v>358040</v>
      </c>
      <c r="W6" s="142">
        <f t="shared" si="7"/>
        <v>105400</v>
      </c>
      <c r="X6" s="145">
        <f t="shared" ref="X6:X31" si="21">K6+S6</f>
        <v>463440</v>
      </c>
      <c r="Y6" s="142">
        <f t="shared" si="8"/>
        <v>14482.5</v>
      </c>
      <c r="Z6" s="146"/>
      <c r="AA6" s="147">
        <v>53</v>
      </c>
      <c r="AB6" s="135">
        <v>35650</v>
      </c>
      <c r="AC6" s="136">
        <f t="shared" si="9"/>
        <v>672.64150943396226</v>
      </c>
      <c r="AD6" s="135">
        <v>13220</v>
      </c>
      <c r="AE6" s="137">
        <f t="shared" si="10"/>
        <v>249.43396226415095</v>
      </c>
      <c r="AF6" s="148">
        <f t="shared" ref="AF6:AF31" si="22">AB6+AD6</f>
        <v>48870</v>
      </c>
      <c r="AG6" s="139">
        <f t="shared" si="11"/>
        <v>922.07547169811323</v>
      </c>
      <c r="AH6" s="144">
        <f t="shared" si="12"/>
        <v>32</v>
      </c>
      <c r="AI6" s="142">
        <f t="shared" si="13"/>
        <v>393690</v>
      </c>
      <c r="AJ6" s="142">
        <f t="shared" si="14"/>
        <v>118620</v>
      </c>
      <c r="AK6" s="149">
        <f t="shared" ref="AK6:AK31" si="23">X6+AF6</f>
        <v>512310</v>
      </c>
      <c r="AL6" s="142">
        <f t="shared" si="15"/>
        <v>0</v>
      </c>
      <c r="AM6" s="142">
        <v>18600</v>
      </c>
      <c r="AN6" s="150">
        <v>32</v>
      </c>
      <c r="AO6" s="150">
        <v>358040</v>
      </c>
      <c r="AP6" s="150">
        <v>105400</v>
      </c>
      <c r="AQ6" s="183"/>
      <c r="AR6" s="151"/>
      <c r="AS6" s="151"/>
      <c r="AT6" s="151"/>
      <c r="AU6" s="152">
        <f t="shared" ref="AU6:AU31" si="24">SUM(AO6:AS6)</f>
        <v>463440</v>
      </c>
      <c r="AV6" s="119">
        <v>2</v>
      </c>
      <c r="AW6" s="120">
        <f t="shared" ref="AW6:AW31" si="25">AT6+AU6</f>
        <v>463440</v>
      </c>
      <c r="AX6" s="179">
        <f t="shared" si="16"/>
        <v>530910</v>
      </c>
    </row>
    <row r="7" spans="1:50" ht="13.5" customHeight="1">
      <c r="A7" s="119"/>
      <c r="B7" s="171">
        <f t="shared" si="17"/>
        <v>45841</v>
      </c>
      <c r="C7" s="178" t="s">
        <v>64</v>
      </c>
      <c r="D7" s="132">
        <v>88</v>
      </c>
      <c r="E7" s="133"/>
      <c r="F7" s="134"/>
      <c r="G7" s="135"/>
      <c r="H7" s="136" t="e">
        <f t="shared" si="0"/>
        <v>#DIV/0!</v>
      </c>
      <c r="I7" s="135"/>
      <c r="J7" s="137" t="e">
        <f t="shared" si="1"/>
        <v>#DIV/0!</v>
      </c>
      <c r="K7" s="138">
        <f>G7+I7</f>
        <v>0</v>
      </c>
      <c r="L7" s="139" t="str">
        <f t="shared" si="2"/>
        <v/>
      </c>
      <c r="M7" s="140"/>
      <c r="N7" s="141">
        <f t="shared" si="18"/>
        <v>28</v>
      </c>
      <c r="O7" s="142">
        <f t="shared" si="18"/>
        <v>332200</v>
      </c>
      <c r="P7" s="136">
        <f t="shared" si="3"/>
        <v>10785.714285714286</v>
      </c>
      <c r="Q7" s="142">
        <f t="shared" si="19"/>
        <v>101190</v>
      </c>
      <c r="R7" s="137">
        <f t="shared" si="4"/>
        <v>3285.3571428571427</v>
      </c>
      <c r="S7" s="143">
        <f t="shared" si="20"/>
        <v>433390</v>
      </c>
      <c r="T7" s="139">
        <f t="shared" si="5"/>
        <v>15478.214285714286</v>
      </c>
      <c r="U7" s="144">
        <f t="shared" si="6"/>
        <v>28</v>
      </c>
      <c r="V7" s="142">
        <f t="shared" si="6"/>
        <v>332200</v>
      </c>
      <c r="W7" s="142">
        <f t="shared" si="7"/>
        <v>101190</v>
      </c>
      <c r="X7" s="145">
        <f t="shared" si="21"/>
        <v>433390</v>
      </c>
      <c r="Y7" s="142">
        <f t="shared" si="8"/>
        <v>15478.214285714286</v>
      </c>
      <c r="Z7" s="146"/>
      <c r="AA7" s="147">
        <v>95</v>
      </c>
      <c r="AB7" s="135">
        <v>50100</v>
      </c>
      <c r="AC7" s="136">
        <f t="shared" si="9"/>
        <v>527.36842105263156</v>
      </c>
      <c r="AD7" s="135">
        <v>22610</v>
      </c>
      <c r="AE7" s="137">
        <f t="shared" si="10"/>
        <v>238</v>
      </c>
      <c r="AF7" s="148">
        <f t="shared" si="22"/>
        <v>72710</v>
      </c>
      <c r="AG7" s="139">
        <f t="shared" si="11"/>
        <v>765.36842105263156</v>
      </c>
      <c r="AH7" s="144">
        <f t="shared" si="12"/>
        <v>28</v>
      </c>
      <c r="AI7" s="142">
        <f t="shared" si="13"/>
        <v>382300</v>
      </c>
      <c r="AJ7" s="142">
        <f t="shared" si="14"/>
        <v>123800</v>
      </c>
      <c r="AK7" s="149">
        <f t="shared" si="23"/>
        <v>506100</v>
      </c>
      <c r="AL7" s="142">
        <f t="shared" si="15"/>
        <v>11000</v>
      </c>
      <c r="AM7" s="142">
        <v>14400</v>
      </c>
      <c r="AN7" s="150">
        <v>28</v>
      </c>
      <c r="AO7" s="150">
        <v>332200</v>
      </c>
      <c r="AP7" s="150">
        <v>101190</v>
      </c>
      <c r="AQ7" s="183">
        <v>11000</v>
      </c>
      <c r="AR7" s="151"/>
      <c r="AS7" s="151"/>
      <c r="AT7" s="151"/>
      <c r="AU7" s="152">
        <f t="shared" si="24"/>
        <v>444390</v>
      </c>
      <c r="AV7" s="119">
        <v>3</v>
      </c>
      <c r="AW7" s="120">
        <f t="shared" si="25"/>
        <v>444390</v>
      </c>
      <c r="AX7" s="179">
        <f t="shared" si="16"/>
        <v>531500</v>
      </c>
    </row>
    <row r="8" spans="1:50" ht="13.5" customHeight="1">
      <c r="A8" s="119"/>
      <c r="B8" s="171">
        <f t="shared" si="17"/>
        <v>45842</v>
      </c>
      <c r="C8" s="178" t="s">
        <v>56</v>
      </c>
      <c r="D8" s="132">
        <v>94</v>
      </c>
      <c r="E8" s="133"/>
      <c r="F8" s="134"/>
      <c r="G8" s="135"/>
      <c r="H8" s="136" t="e">
        <f t="shared" si="0"/>
        <v>#DIV/0!</v>
      </c>
      <c r="I8" s="135"/>
      <c r="J8" s="137" t="e">
        <f t="shared" si="1"/>
        <v>#DIV/0!</v>
      </c>
      <c r="K8" s="138">
        <f>G8+I8</f>
        <v>0</v>
      </c>
      <c r="L8" s="139" t="str">
        <f t="shared" si="2"/>
        <v/>
      </c>
      <c r="M8" s="140"/>
      <c r="N8" s="141">
        <f t="shared" si="18"/>
        <v>38</v>
      </c>
      <c r="O8" s="142">
        <f t="shared" si="18"/>
        <v>364170</v>
      </c>
      <c r="P8" s="136">
        <f t="shared" si="3"/>
        <v>8712.1842105263149</v>
      </c>
      <c r="Q8" s="142">
        <f t="shared" si="19"/>
        <v>56510</v>
      </c>
      <c r="R8" s="137">
        <f t="shared" si="4"/>
        <v>1351.8947368421052</v>
      </c>
      <c r="S8" s="143">
        <f t="shared" si="20"/>
        <v>420680</v>
      </c>
      <c r="T8" s="139">
        <f t="shared" si="5"/>
        <v>11070.526315789473</v>
      </c>
      <c r="U8" s="144">
        <f t="shared" si="6"/>
        <v>38</v>
      </c>
      <c r="V8" s="142">
        <f t="shared" si="6"/>
        <v>364170</v>
      </c>
      <c r="W8" s="142">
        <f t="shared" si="7"/>
        <v>56510</v>
      </c>
      <c r="X8" s="145">
        <f t="shared" si="21"/>
        <v>420680</v>
      </c>
      <c r="Y8" s="142">
        <f t="shared" si="8"/>
        <v>11070.526315789473</v>
      </c>
      <c r="Z8" s="146"/>
      <c r="AA8" s="147">
        <v>65</v>
      </c>
      <c r="AB8" s="135">
        <v>46500</v>
      </c>
      <c r="AC8" s="136">
        <f t="shared" si="9"/>
        <v>715.38461538461536</v>
      </c>
      <c r="AD8" s="135">
        <v>13290</v>
      </c>
      <c r="AE8" s="137">
        <f t="shared" si="10"/>
        <v>204.46153846153845</v>
      </c>
      <c r="AF8" s="148">
        <f t="shared" si="22"/>
        <v>59790</v>
      </c>
      <c r="AG8" s="139">
        <f t="shared" si="11"/>
        <v>919.84615384615381</v>
      </c>
      <c r="AH8" s="144">
        <f t="shared" si="12"/>
        <v>38</v>
      </c>
      <c r="AI8" s="142">
        <f t="shared" si="13"/>
        <v>410670</v>
      </c>
      <c r="AJ8" s="142">
        <f t="shared" si="14"/>
        <v>69800</v>
      </c>
      <c r="AK8" s="155">
        <f t="shared" si="23"/>
        <v>480470</v>
      </c>
      <c r="AL8" s="142">
        <f t="shared" si="15"/>
        <v>41160</v>
      </c>
      <c r="AM8" s="142">
        <v>4200</v>
      </c>
      <c r="AN8" s="150">
        <v>38</v>
      </c>
      <c r="AO8" s="150">
        <v>364170</v>
      </c>
      <c r="AP8" s="150">
        <v>56510</v>
      </c>
      <c r="AQ8" s="151">
        <v>39600</v>
      </c>
      <c r="AR8" s="151">
        <v>1560</v>
      </c>
      <c r="AS8" s="151"/>
      <c r="AT8" s="151"/>
      <c r="AU8" s="152">
        <f t="shared" si="24"/>
        <v>461840</v>
      </c>
      <c r="AV8" s="119">
        <v>4</v>
      </c>
      <c r="AW8" s="120">
        <f t="shared" si="25"/>
        <v>461840</v>
      </c>
      <c r="AX8" s="179">
        <f t="shared" si="16"/>
        <v>525830</v>
      </c>
    </row>
    <row r="9" spans="1:50" ht="13.5" customHeight="1">
      <c r="A9" s="119"/>
      <c r="B9" s="156">
        <f t="shared" si="17"/>
        <v>45843</v>
      </c>
      <c r="C9" s="178"/>
      <c r="D9" s="132">
        <v>100</v>
      </c>
      <c r="E9" s="133"/>
      <c r="F9" s="134">
        <v>35</v>
      </c>
      <c r="G9" s="135">
        <v>77924</v>
      </c>
      <c r="H9" s="136">
        <f t="shared" si="0"/>
        <v>2024</v>
      </c>
      <c r="I9" s="135">
        <v>14850</v>
      </c>
      <c r="J9" s="137">
        <f t="shared" si="1"/>
        <v>385.71428571428572</v>
      </c>
      <c r="K9" s="138">
        <f>G9+I9</f>
        <v>92774</v>
      </c>
      <c r="L9" s="139">
        <f t="shared" si="2"/>
        <v>2650.6857142857143</v>
      </c>
      <c r="M9" s="140"/>
      <c r="N9" s="141">
        <f t="shared" si="18"/>
        <v>32</v>
      </c>
      <c r="O9" s="142">
        <f t="shared" si="18"/>
        <v>280240</v>
      </c>
      <c r="P9" s="136">
        <f t="shared" si="3"/>
        <v>7961.34375</v>
      </c>
      <c r="Q9" s="142">
        <f t="shared" si="19"/>
        <v>50650</v>
      </c>
      <c r="R9" s="137">
        <f t="shared" si="4"/>
        <v>1438.90625</v>
      </c>
      <c r="S9" s="143">
        <f t="shared" si="20"/>
        <v>330890</v>
      </c>
      <c r="T9" s="139">
        <f t="shared" si="5"/>
        <v>10340.3125</v>
      </c>
      <c r="U9" s="144">
        <f t="shared" si="6"/>
        <v>67</v>
      </c>
      <c r="V9" s="142">
        <f t="shared" si="6"/>
        <v>358164</v>
      </c>
      <c r="W9" s="142">
        <f t="shared" si="7"/>
        <v>65500</v>
      </c>
      <c r="X9" s="145">
        <f t="shared" si="21"/>
        <v>423664</v>
      </c>
      <c r="Y9" s="142">
        <f t="shared" si="8"/>
        <v>6323.3432835820895</v>
      </c>
      <c r="Z9" s="146"/>
      <c r="AA9" s="147">
        <v>144</v>
      </c>
      <c r="AB9" s="135">
        <v>105950</v>
      </c>
      <c r="AC9" s="136">
        <f t="shared" si="9"/>
        <v>735.76388888888891</v>
      </c>
      <c r="AD9" s="135">
        <v>34640</v>
      </c>
      <c r="AE9" s="137">
        <f t="shared" si="10"/>
        <v>240.55555555555554</v>
      </c>
      <c r="AF9" s="148">
        <f t="shared" si="22"/>
        <v>140590</v>
      </c>
      <c r="AG9" s="139">
        <f t="shared" si="11"/>
        <v>976.31944444444446</v>
      </c>
      <c r="AH9" s="144">
        <f t="shared" si="12"/>
        <v>67</v>
      </c>
      <c r="AI9" s="142">
        <f t="shared" si="13"/>
        <v>464114</v>
      </c>
      <c r="AJ9" s="142">
        <f t="shared" si="14"/>
        <v>100140</v>
      </c>
      <c r="AK9" s="149">
        <f t="shared" si="23"/>
        <v>564254</v>
      </c>
      <c r="AL9" s="142">
        <f t="shared" si="15"/>
        <v>27410</v>
      </c>
      <c r="AM9" s="142">
        <v>4200</v>
      </c>
      <c r="AN9" s="150">
        <v>67</v>
      </c>
      <c r="AO9" s="150">
        <v>358164</v>
      </c>
      <c r="AP9" s="150">
        <v>65500</v>
      </c>
      <c r="AQ9" s="151">
        <v>25850</v>
      </c>
      <c r="AR9" s="151">
        <v>1560</v>
      </c>
      <c r="AS9" s="151"/>
      <c r="AT9" s="151"/>
      <c r="AU9" s="152">
        <f t="shared" si="24"/>
        <v>451074</v>
      </c>
      <c r="AV9" s="119">
        <v>5</v>
      </c>
      <c r="AW9" s="120">
        <f t="shared" si="25"/>
        <v>451074</v>
      </c>
      <c r="AX9" s="179">
        <f t="shared" si="16"/>
        <v>595864</v>
      </c>
    </row>
    <row r="10" spans="1:50" ht="13.5" customHeight="1">
      <c r="A10" s="119"/>
      <c r="B10" s="184">
        <f t="shared" si="17"/>
        <v>45844</v>
      </c>
      <c r="C10" s="178"/>
      <c r="D10" s="132">
        <v>90</v>
      </c>
      <c r="E10" s="133"/>
      <c r="F10" s="134">
        <v>27</v>
      </c>
      <c r="G10" s="135">
        <v>74074</v>
      </c>
      <c r="H10" s="136">
        <f t="shared" si="0"/>
        <v>2494.0740740740739</v>
      </c>
      <c r="I10" s="135">
        <v>8990</v>
      </c>
      <c r="J10" s="137">
        <f t="shared" si="1"/>
        <v>302.66666666666669</v>
      </c>
      <c r="K10" s="138">
        <f t="shared" ref="K10:K35" si="26">G10+I10</f>
        <v>83064</v>
      </c>
      <c r="L10" s="139">
        <f t="shared" si="2"/>
        <v>3076.4444444444443</v>
      </c>
      <c r="M10" s="140"/>
      <c r="N10" s="141">
        <f t="shared" si="18"/>
        <v>38</v>
      </c>
      <c r="O10" s="142">
        <f t="shared" si="18"/>
        <v>355910</v>
      </c>
      <c r="P10" s="136">
        <f t="shared" si="3"/>
        <v>8514.5789473684217</v>
      </c>
      <c r="Q10" s="142">
        <f t="shared" si="19"/>
        <v>68400</v>
      </c>
      <c r="R10" s="137">
        <f t="shared" si="4"/>
        <v>1636.3421052631579</v>
      </c>
      <c r="S10" s="143">
        <f t="shared" si="20"/>
        <v>424310</v>
      </c>
      <c r="T10" s="139">
        <f t="shared" si="5"/>
        <v>11166.052631578947</v>
      </c>
      <c r="U10" s="144">
        <f t="shared" si="6"/>
        <v>65</v>
      </c>
      <c r="V10" s="142">
        <f t="shared" si="6"/>
        <v>429984</v>
      </c>
      <c r="W10" s="142">
        <f t="shared" si="7"/>
        <v>77390</v>
      </c>
      <c r="X10" s="145">
        <f t="shared" si="21"/>
        <v>507374</v>
      </c>
      <c r="Y10" s="142">
        <f t="shared" si="8"/>
        <v>7805.7538461538461</v>
      </c>
      <c r="Z10" s="146"/>
      <c r="AA10" s="147">
        <v>143</v>
      </c>
      <c r="AB10" s="135">
        <v>133950</v>
      </c>
      <c r="AC10" s="136">
        <f t="shared" si="9"/>
        <v>936.71328671328672</v>
      </c>
      <c r="AD10" s="135">
        <v>19550</v>
      </c>
      <c r="AE10" s="137">
        <f t="shared" si="10"/>
        <v>136.71328671328672</v>
      </c>
      <c r="AF10" s="148">
        <f t="shared" si="22"/>
        <v>153500</v>
      </c>
      <c r="AG10" s="139">
        <f t="shared" si="11"/>
        <v>1073.4265734265734</v>
      </c>
      <c r="AH10" s="154">
        <f t="shared" si="12"/>
        <v>65</v>
      </c>
      <c r="AI10" s="142">
        <f t="shared" si="13"/>
        <v>563934</v>
      </c>
      <c r="AJ10" s="142">
        <f t="shared" si="14"/>
        <v>96940</v>
      </c>
      <c r="AK10" s="149">
        <f t="shared" si="23"/>
        <v>660874</v>
      </c>
      <c r="AL10" s="142">
        <f t="shared" si="15"/>
        <v>43910</v>
      </c>
      <c r="AM10" s="142">
        <v>5200</v>
      </c>
      <c r="AN10" s="150">
        <v>65</v>
      </c>
      <c r="AO10" s="150">
        <v>429984</v>
      </c>
      <c r="AP10" s="150">
        <v>77390</v>
      </c>
      <c r="AQ10" s="151">
        <v>42350</v>
      </c>
      <c r="AR10" s="151">
        <v>1560</v>
      </c>
      <c r="AS10" s="151"/>
      <c r="AT10" s="151">
        <v>8800</v>
      </c>
      <c r="AU10" s="152">
        <f>SUM(AO10:AS10)</f>
        <v>551284</v>
      </c>
      <c r="AV10" s="119">
        <v>6</v>
      </c>
      <c r="AW10" s="120">
        <f>AT10+AU10</f>
        <v>560084</v>
      </c>
      <c r="AX10" s="179">
        <f t="shared" si="16"/>
        <v>718784</v>
      </c>
    </row>
    <row r="11" spans="1:50" ht="13.5" customHeight="1">
      <c r="A11" s="119"/>
      <c r="B11" s="171">
        <f t="shared" si="17"/>
        <v>45845</v>
      </c>
      <c r="C11" s="178" t="s">
        <v>56</v>
      </c>
      <c r="D11" s="132">
        <v>94</v>
      </c>
      <c r="E11" s="133"/>
      <c r="F11" s="134"/>
      <c r="G11" s="135"/>
      <c r="H11" s="136" t="e">
        <f t="shared" si="0"/>
        <v>#DIV/0!</v>
      </c>
      <c r="I11" s="135"/>
      <c r="J11" s="137" t="e">
        <f t="shared" si="1"/>
        <v>#DIV/0!</v>
      </c>
      <c r="K11" s="138">
        <f t="shared" si="26"/>
        <v>0</v>
      </c>
      <c r="L11" s="139" t="str">
        <f t="shared" si="2"/>
        <v/>
      </c>
      <c r="M11" s="140"/>
      <c r="N11" s="141">
        <f t="shared" si="18"/>
        <v>39</v>
      </c>
      <c r="O11" s="142">
        <f t="shared" si="18"/>
        <v>364130</v>
      </c>
      <c r="P11" s="136">
        <f t="shared" si="3"/>
        <v>8487.8717948717949</v>
      </c>
      <c r="Q11" s="142">
        <f t="shared" si="19"/>
        <v>82870</v>
      </c>
      <c r="R11" s="137">
        <f t="shared" si="4"/>
        <v>1931.6923076923076</v>
      </c>
      <c r="S11" s="143">
        <f t="shared" si="20"/>
        <v>447000</v>
      </c>
      <c r="T11" s="139">
        <f t="shared" si="5"/>
        <v>11461.538461538461</v>
      </c>
      <c r="U11" s="144">
        <f t="shared" si="6"/>
        <v>39</v>
      </c>
      <c r="V11" s="142">
        <f t="shared" si="6"/>
        <v>364130</v>
      </c>
      <c r="W11" s="142">
        <f t="shared" si="7"/>
        <v>82870</v>
      </c>
      <c r="X11" s="145">
        <f t="shared" si="21"/>
        <v>447000</v>
      </c>
      <c r="Y11" s="142">
        <f t="shared" si="8"/>
        <v>11461.538461538461</v>
      </c>
      <c r="Z11" s="146"/>
      <c r="AA11" s="147">
        <v>110</v>
      </c>
      <c r="AB11" s="135">
        <v>77950</v>
      </c>
      <c r="AC11" s="136">
        <f t="shared" si="9"/>
        <v>708.63636363636363</v>
      </c>
      <c r="AD11" s="135">
        <v>14950</v>
      </c>
      <c r="AE11" s="137">
        <f t="shared" si="10"/>
        <v>135.90909090909091</v>
      </c>
      <c r="AF11" s="148">
        <f t="shared" si="22"/>
        <v>92900</v>
      </c>
      <c r="AG11" s="139">
        <f t="shared" si="11"/>
        <v>844.5454545454545</v>
      </c>
      <c r="AH11" s="154">
        <f t="shared" si="12"/>
        <v>39</v>
      </c>
      <c r="AI11" s="142">
        <f t="shared" si="13"/>
        <v>442080</v>
      </c>
      <c r="AJ11" s="142">
        <f t="shared" si="14"/>
        <v>97820</v>
      </c>
      <c r="AK11" s="149">
        <f t="shared" si="23"/>
        <v>539900</v>
      </c>
      <c r="AL11" s="142">
        <f t="shared" si="15"/>
        <v>87900</v>
      </c>
      <c r="AM11" s="142">
        <v>1800</v>
      </c>
      <c r="AN11" s="150">
        <v>39</v>
      </c>
      <c r="AO11" s="150">
        <v>364130</v>
      </c>
      <c r="AP11" s="150">
        <v>82870</v>
      </c>
      <c r="AQ11" s="151">
        <v>42900</v>
      </c>
      <c r="AR11" s="151">
        <v>45000</v>
      </c>
      <c r="AS11" s="151"/>
      <c r="AT11" s="151"/>
      <c r="AU11" s="152">
        <f t="shared" si="24"/>
        <v>534900</v>
      </c>
      <c r="AV11" s="119">
        <v>7</v>
      </c>
      <c r="AW11" s="120">
        <f t="shared" si="25"/>
        <v>534900</v>
      </c>
      <c r="AX11" s="179">
        <f t="shared" si="16"/>
        <v>629600</v>
      </c>
    </row>
    <row r="12" spans="1:50" ht="13.5" customHeight="1">
      <c r="A12" s="119"/>
      <c r="B12" s="171">
        <f t="shared" si="17"/>
        <v>45846</v>
      </c>
      <c r="C12" s="178" t="s">
        <v>56</v>
      </c>
      <c r="D12" s="132">
        <v>100</v>
      </c>
      <c r="E12" s="133"/>
      <c r="F12" s="134"/>
      <c r="G12" s="135"/>
      <c r="H12" s="136" t="e">
        <f t="shared" si="0"/>
        <v>#DIV/0!</v>
      </c>
      <c r="I12" s="135"/>
      <c r="J12" s="137" t="e">
        <f t="shared" si="1"/>
        <v>#DIV/0!</v>
      </c>
      <c r="K12" s="138">
        <f t="shared" si="26"/>
        <v>0</v>
      </c>
      <c r="L12" s="139" t="str">
        <f t="shared" si="2"/>
        <v/>
      </c>
      <c r="M12" s="140"/>
      <c r="N12" s="141">
        <f t="shared" si="18"/>
        <v>40</v>
      </c>
      <c r="O12" s="142">
        <f t="shared" si="18"/>
        <v>357210</v>
      </c>
      <c r="P12" s="136">
        <f t="shared" si="3"/>
        <v>8118.4</v>
      </c>
      <c r="Q12" s="142">
        <f t="shared" si="19"/>
        <v>79180</v>
      </c>
      <c r="R12" s="158">
        <f t="shared" si="4"/>
        <v>1799.5250000000001</v>
      </c>
      <c r="S12" s="143">
        <f t="shared" si="20"/>
        <v>436390</v>
      </c>
      <c r="T12" s="139">
        <f t="shared" si="5"/>
        <v>10909.75</v>
      </c>
      <c r="U12" s="144">
        <f t="shared" si="6"/>
        <v>40</v>
      </c>
      <c r="V12" s="142">
        <f t="shared" si="6"/>
        <v>357210</v>
      </c>
      <c r="W12" s="142">
        <f t="shared" si="7"/>
        <v>79180</v>
      </c>
      <c r="X12" s="145">
        <f t="shared" si="21"/>
        <v>436390</v>
      </c>
      <c r="Y12" s="142">
        <f t="shared" si="8"/>
        <v>10909.75</v>
      </c>
      <c r="Z12" s="146"/>
      <c r="AA12" s="147">
        <v>105</v>
      </c>
      <c r="AB12" s="135">
        <v>71550</v>
      </c>
      <c r="AC12" s="136">
        <f t="shared" si="9"/>
        <v>681.42857142857144</v>
      </c>
      <c r="AD12" s="135">
        <v>20830</v>
      </c>
      <c r="AE12" s="137">
        <f t="shared" si="10"/>
        <v>198.38095238095238</v>
      </c>
      <c r="AF12" s="148">
        <f t="shared" si="22"/>
        <v>92380</v>
      </c>
      <c r="AG12" s="139">
        <f t="shared" si="11"/>
        <v>879.80952380952385</v>
      </c>
      <c r="AH12" s="154">
        <f t="shared" si="12"/>
        <v>40</v>
      </c>
      <c r="AI12" s="142">
        <f t="shared" si="13"/>
        <v>428760</v>
      </c>
      <c r="AJ12" s="142">
        <f t="shared" si="14"/>
        <v>100010</v>
      </c>
      <c r="AK12" s="149">
        <f t="shared" si="23"/>
        <v>528770</v>
      </c>
      <c r="AL12" s="142">
        <f t="shared" si="15"/>
        <v>46200</v>
      </c>
      <c r="AM12" s="142">
        <v>4800</v>
      </c>
      <c r="AN12" s="150">
        <v>40</v>
      </c>
      <c r="AO12" s="150">
        <v>357210</v>
      </c>
      <c r="AP12" s="150">
        <v>79180</v>
      </c>
      <c r="AQ12" s="151">
        <v>46200</v>
      </c>
      <c r="AR12" s="151"/>
      <c r="AS12" s="151"/>
      <c r="AT12" s="151"/>
      <c r="AU12" s="152">
        <f t="shared" si="24"/>
        <v>482590</v>
      </c>
      <c r="AV12" s="119">
        <v>8</v>
      </c>
      <c r="AW12" s="120">
        <f t="shared" si="25"/>
        <v>482590</v>
      </c>
      <c r="AX12" s="179">
        <f t="shared" si="16"/>
        <v>579770</v>
      </c>
    </row>
    <row r="13" spans="1:50" ht="13.5" customHeight="1">
      <c r="A13" s="119"/>
      <c r="B13" s="171">
        <f t="shared" si="17"/>
        <v>45847</v>
      </c>
      <c r="C13" s="178" t="s">
        <v>56</v>
      </c>
      <c r="D13" s="132">
        <v>97</v>
      </c>
      <c r="E13" s="133"/>
      <c r="F13" s="134"/>
      <c r="G13" s="135"/>
      <c r="H13" s="136" t="e">
        <f t="shared" si="0"/>
        <v>#DIV/0!</v>
      </c>
      <c r="I13" s="135"/>
      <c r="J13" s="137" t="e">
        <f t="shared" si="1"/>
        <v>#DIV/0!</v>
      </c>
      <c r="K13" s="138">
        <f t="shared" si="26"/>
        <v>0</v>
      </c>
      <c r="L13" s="139" t="str">
        <f t="shared" si="2"/>
        <v/>
      </c>
      <c r="M13" s="140"/>
      <c r="N13" s="141">
        <f t="shared" si="18"/>
        <v>36</v>
      </c>
      <c r="O13" s="142">
        <f t="shared" si="18"/>
        <v>331050</v>
      </c>
      <c r="P13" s="136">
        <f t="shared" si="3"/>
        <v>8359.8333333333339</v>
      </c>
      <c r="Q13" s="142">
        <f t="shared" si="19"/>
        <v>40900</v>
      </c>
      <c r="R13" s="137">
        <f t="shared" si="4"/>
        <v>1032.8055555555557</v>
      </c>
      <c r="S13" s="143">
        <f t="shared" si="20"/>
        <v>371950</v>
      </c>
      <c r="T13" s="139">
        <f t="shared" si="5"/>
        <v>10331.944444444445</v>
      </c>
      <c r="U13" s="144">
        <f t="shared" si="6"/>
        <v>36</v>
      </c>
      <c r="V13" s="142">
        <f t="shared" si="6"/>
        <v>331050</v>
      </c>
      <c r="W13" s="142">
        <f t="shared" si="7"/>
        <v>40900</v>
      </c>
      <c r="X13" s="145">
        <f t="shared" si="21"/>
        <v>371950</v>
      </c>
      <c r="Y13" s="142">
        <f t="shared" si="8"/>
        <v>10331.944444444445</v>
      </c>
      <c r="Z13" s="146"/>
      <c r="AA13" s="147">
        <v>83</v>
      </c>
      <c r="AB13" s="135">
        <v>59550</v>
      </c>
      <c r="AC13" s="136">
        <f t="shared" si="9"/>
        <v>717.46987951807228</v>
      </c>
      <c r="AD13" s="135">
        <v>16220</v>
      </c>
      <c r="AE13" s="137">
        <f t="shared" si="10"/>
        <v>195.42168674698794</v>
      </c>
      <c r="AF13" s="148">
        <f t="shared" si="22"/>
        <v>75770</v>
      </c>
      <c r="AG13" s="139">
        <f t="shared" si="11"/>
        <v>912.89156626506019</v>
      </c>
      <c r="AH13" s="154">
        <f t="shared" si="12"/>
        <v>36</v>
      </c>
      <c r="AI13" s="142">
        <f t="shared" si="13"/>
        <v>390600</v>
      </c>
      <c r="AJ13" s="142">
        <f t="shared" si="14"/>
        <v>57120</v>
      </c>
      <c r="AK13" s="149">
        <f t="shared" si="23"/>
        <v>447720</v>
      </c>
      <c r="AL13" s="142">
        <f t="shared" si="15"/>
        <v>36300</v>
      </c>
      <c r="AM13" s="142"/>
      <c r="AN13" s="150">
        <v>36</v>
      </c>
      <c r="AO13" s="150">
        <v>331050</v>
      </c>
      <c r="AP13" s="150">
        <v>40900</v>
      </c>
      <c r="AQ13" s="151">
        <v>36300</v>
      </c>
      <c r="AR13" s="151"/>
      <c r="AS13" s="151"/>
      <c r="AT13" s="151">
        <v>3300</v>
      </c>
      <c r="AU13" s="152">
        <f t="shared" si="24"/>
        <v>408250</v>
      </c>
      <c r="AV13" s="119">
        <v>9</v>
      </c>
      <c r="AW13" s="120">
        <f t="shared" si="25"/>
        <v>411550</v>
      </c>
      <c r="AX13" s="179">
        <f t="shared" si="16"/>
        <v>487320</v>
      </c>
    </row>
    <row r="14" spans="1:50" ht="13.5" customHeight="1">
      <c r="A14" s="119"/>
      <c r="B14" s="171">
        <f t="shared" si="17"/>
        <v>45848</v>
      </c>
      <c r="C14" s="178" t="s">
        <v>56</v>
      </c>
      <c r="D14" s="132">
        <v>96</v>
      </c>
      <c r="E14" s="133"/>
      <c r="F14" s="134"/>
      <c r="G14" s="135"/>
      <c r="H14" s="136" t="e">
        <f t="shared" si="0"/>
        <v>#DIV/0!</v>
      </c>
      <c r="I14" s="135"/>
      <c r="J14" s="137" t="e">
        <f t="shared" si="1"/>
        <v>#DIV/0!</v>
      </c>
      <c r="K14" s="138">
        <f t="shared" si="26"/>
        <v>0</v>
      </c>
      <c r="L14" s="139" t="str">
        <f t="shared" si="2"/>
        <v/>
      </c>
      <c r="M14" s="140"/>
      <c r="N14" s="141">
        <f t="shared" si="18"/>
        <v>39</v>
      </c>
      <c r="O14" s="142">
        <f t="shared" si="18"/>
        <v>350830</v>
      </c>
      <c r="P14" s="136">
        <f t="shared" si="3"/>
        <v>8177.8461538461543</v>
      </c>
      <c r="Q14" s="142">
        <f t="shared" si="19"/>
        <v>70060</v>
      </c>
      <c r="R14" s="137">
        <f t="shared" si="4"/>
        <v>1633.0769230769231</v>
      </c>
      <c r="S14" s="143">
        <f t="shared" si="20"/>
        <v>420890</v>
      </c>
      <c r="T14" s="139">
        <f t="shared" si="5"/>
        <v>10792.051282051281</v>
      </c>
      <c r="U14" s="144">
        <f t="shared" si="6"/>
        <v>39</v>
      </c>
      <c r="V14" s="142">
        <f t="shared" si="6"/>
        <v>350830</v>
      </c>
      <c r="W14" s="142">
        <f t="shared" si="7"/>
        <v>70060</v>
      </c>
      <c r="X14" s="145">
        <f t="shared" si="21"/>
        <v>420890</v>
      </c>
      <c r="Y14" s="142">
        <f t="shared" si="8"/>
        <v>10792.051282051281</v>
      </c>
      <c r="Z14" s="146"/>
      <c r="AA14" s="147">
        <v>82</v>
      </c>
      <c r="AB14" s="135">
        <v>54650</v>
      </c>
      <c r="AC14" s="136">
        <f t="shared" si="9"/>
        <v>666.46341463414637</v>
      </c>
      <c r="AD14" s="135">
        <v>17150</v>
      </c>
      <c r="AE14" s="137">
        <f t="shared" si="10"/>
        <v>209.14634146341464</v>
      </c>
      <c r="AF14" s="148">
        <f t="shared" si="22"/>
        <v>71800</v>
      </c>
      <c r="AG14" s="139">
        <f t="shared" si="11"/>
        <v>875.60975609756099</v>
      </c>
      <c r="AH14" s="154">
        <f t="shared" si="12"/>
        <v>39</v>
      </c>
      <c r="AI14" s="142">
        <f t="shared" si="13"/>
        <v>405480</v>
      </c>
      <c r="AJ14" s="142">
        <f t="shared" si="14"/>
        <v>87210</v>
      </c>
      <c r="AK14" s="155">
        <f t="shared" si="23"/>
        <v>492690</v>
      </c>
      <c r="AL14" s="142">
        <f t="shared" si="15"/>
        <v>38650</v>
      </c>
      <c r="AM14" s="142">
        <v>2400</v>
      </c>
      <c r="AN14" s="150">
        <v>39</v>
      </c>
      <c r="AO14" s="150">
        <v>350830</v>
      </c>
      <c r="AP14" s="150">
        <v>70060</v>
      </c>
      <c r="AQ14" s="151">
        <v>37090</v>
      </c>
      <c r="AR14" s="151">
        <v>1560</v>
      </c>
      <c r="AS14" s="151"/>
      <c r="AT14" s="151">
        <v>19800</v>
      </c>
      <c r="AU14" s="152">
        <f t="shared" si="24"/>
        <v>459540</v>
      </c>
      <c r="AV14" s="119">
        <v>10</v>
      </c>
      <c r="AW14" s="120">
        <f t="shared" si="25"/>
        <v>479340</v>
      </c>
      <c r="AX14" s="179">
        <f t="shared" si="16"/>
        <v>553540</v>
      </c>
    </row>
    <row r="15" spans="1:50" ht="13.5" customHeight="1">
      <c r="A15" s="119"/>
      <c r="B15" s="171">
        <f>B14+1</f>
        <v>45849</v>
      </c>
      <c r="C15" s="178" t="s">
        <v>56</v>
      </c>
      <c r="D15" s="132">
        <v>98</v>
      </c>
      <c r="E15" s="133"/>
      <c r="F15" s="134"/>
      <c r="G15" s="135"/>
      <c r="H15" s="136" t="e">
        <f t="shared" si="0"/>
        <v>#DIV/0!</v>
      </c>
      <c r="I15" s="135"/>
      <c r="J15" s="137" t="e">
        <f t="shared" si="1"/>
        <v>#DIV/0!</v>
      </c>
      <c r="K15" s="138">
        <f t="shared" si="26"/>
        <v>0</v>
      </c>
      <c r="L15" s="139" t="str">
        <f t="shared" si="2"/>
        <v/>
      </c>
      <c r="M15" s="140"/>
      <c r="N15" s="141">
        <f t="shared" si="18"/>
        <v>39</v>
      </c>
      <c r="O15" s="142">
        <f t="shared" si="18"/>
        <v>348400</v>
      </c>
      <c r="P15" s="136">
        <f t="shared" si="3"/>
        <v>8121.2051282051279</v>
      </c>
      <c r="Q15" s="142">
        <f t="shared" si="19"/>
        <v>69700</v>
      </c>
      <c r="R15" s="137">
        <f t="shared" si="4"/>
        <v>1624.6923076923076</v>
      </c>
      <c r="S15" s="143">
        <f t="shared" si="20"/>
        <v>418100</v>
      </c>
      <c r="T15" s="139">
        <f t="shared" si="5"/>
        <v>10720.51282051282</v>
      </c>
      <c r="U15" s="144">
        <f t="shared" si="6"/>
        <v>39</v>
      </c>
      <c r="V15" s="142">
        <f t="shared" si="6"/>
        <v>348400</v>
      </c>
      <c r="W15" s="142">
        <f t="shared" si="7"/>
        <v>69700</v>
      </c>
      <c r="X15" s="145">
        <f t="shared" si="21"/>
        <v>418100</v>
      </c>
      <c r="Y15" s="142">
        <f t="shared" si="8"/>
        <v>10720.51282051282</v>
      </c>
      <c r="Z15" s="146"/>
      <c r="AA15" s="147">
        <v>109</v>
      </c>
      <c r="AB15" s="135">
        <v>71200</v>
      </c>
      <c r="AC15" s="136">
        <f t="shared" si="9"/>
        <v>653.21100917431193</v>
      </c>
      <c r="AD15" s="135">
        <v>24670</v>
      </c>
      <c r="AE15" s="137">
        <f t="shared" si="10"/>
        <v>226.3302752293578</v>
      </c>
      <c r="AF15" s="148">
        <f t="shared" si="22"/>
        <v>95870</v>
      </c>
      <c r="AG15" s="139">
        <f t="shared" si="11"/>
        <v>879.54128440366969</v>
      </c>
      <c r="AH15" s="154">
        <f t="shared" si="12"/>
        <v>39</v>
      </c>
      <c r="AI15" s="142">
        <f t="shared" si="13"/>
        <v>419600</v>
      </c>
      <c r="AJ15" s="142">
        <f t="shared" si="14"/>
        <v>94370</v>
      </c>
      <c r="AK15" s="149">
        <f t="shared" si="23"/>
        <v>513970</v>
      </c>
      <c r="AL15" s="142">
        <f t="shared" si="15"/>
        <v>44550</v>
      </c>
      <c r="AM15" s="142">
        <v>1800</v>
      </c>
      <c r="AN15" s="150">
        <v>39</v>
      </c>
      <c r="AO15" s="150">
        <v>348400</v>
      </c>
      <c r="AP15" s="150">
        <v>69700</v>
      </c>
      <c r="AQ15" s="151">
        <v>42900</v>
      </c>
      <c r="AR15" s="151">
        <v>1650</v>
      </c>
      <c r="AS15" s="151"/>
      <c r="AT15" s="151"/>
      <c r="AU15" s="152">
        <f t="shared" si="24"/>
        <v>462650</v>
      </c>
      <c r="AV15" s="119">
        <v>11</v>
      </c>
      <c r="AW15" s="120">
        <f t="shared" si="25"/>
        <v>462650</v>
      </c>
      <c r="AX15" s="179">
        <f t="shared" si="16"/>
        <v>560320</v>
      </c>
    </row>
    <row r="16" spans="1:50" ht="13.5" customHeight="1">
      <c r="A16" s="119"/>
      <c r="B16" s="156">
        <f t="shared" si="17"/>
        <v>45850</v>
      </c>
      <c r="C16" s="178"/>
      <c r="D16" s="132">
        <v>100</v>
      </c>
      <c r="E16" s="133"/>
      <c r="F16" s="134">
        <v>34</v>
      </c>
      <c r="G16" s="135">
        <v>159060</v>
      </c>
      <c r="H16" s="136">
        <f t="shared" si="0"/>
        <v>4252.9411764705883</v>
      </c>
      <c r="I16" s="135">
        <v>40060</v>
      </c>
      <c r="J16" s="137">
        <f t="shared" si="1"/>
        <v>1071.1176470588234</v>
      </c>
      <c r="K16" s="138">
        <f t="shared" si="26"/>
        <v>199120</v>
      </c>
      <c r="L16" s="139">
        <f t="shared" si="2"/>
        <v>5856.4705882352937</v>
      </c>
      <c r="M16" s="140"/>
      <c r="N16" s="141">
        <f t="shared" si="18"/>
        <v>37</v>
      </c>
      <c r="O16" s="142">
        <f t="shared" si="18"/>
        <v>328940</v>
      </c>
      <c r="P16" s="136">
        <f t="shared" si="3"/>
        <v>8082.0540540540542</v>
      </c>
      <c r="Q16" s="142">
        <f t="shared" si="19"/>
        <v>72380</v>
      </c>
      <c r="R16" s="137">
        <f t="shared" si="4"/>
        <v>1778.3783783783783</v>
      </c>
      <c r="S16" s="143">
        <f t="shared" si="20"/>
        <v>401320</v>
      </c>
      <c r="T16" s="139">
        <f t="shared" si="5"/>
        <v>10846.486486486487</v>
      </c>
      <c r="U16" s="144">
        <f t="shared" si="6"/>
        <v>71</v>
      </c>
      <c r="V16" s="142">
        <f t="shared" si="6"/>
        <v>488000</v>
      </c>
      <c r="W16" s="142">
        <f t="shared" si="7"/>
        <v>112440</v>
      </c>
      <c r="X16" s="145">
        <f t="shared" si="21"/>
        <v>600440</v>
      </c>
      <c r="Y16" s="142">
        <f t="shared" si="8"/>
        <v>8456.9014084507035</v>
      </c>
      <c r="Z16" s="146"/>
      <c r="AA16" s="147">
        <v>198</v>
      </c>
      <c r="AB16" s="135">
        <v>160600</v>
      </c>
      <c r="AC16" s="136">
        <f>AB16/AA16</f>
        <v>811.11111111111109</v>
      </c>
      <c r="AD16" s="135">
        <v>37380</v>
      </c>
      <c r="AE16" s="137">
        <f t="shared" si="10"/>
        <v>188.78787878787878</v>
      </c>
      <c r="AF16" s="148">
        <f t="shared" si="22"/>
        <v>197980</v>
      </c>
      <c r="AG16" s="139">
        <f t="shared" si="11"/>
        <v>999.89898989898995</v>
      </c>
      <c r="AH16" s="154">
        <f t="shared" si="12"/>
        <v>71</v>
      </c>
      <c r="AI16" s="142">
        <f t="shared" si="13"/>
        <v>648600</v>
      </c>
      <c r="AJ16" s="142">
        <f t="shared" si="14"/>
        <v>149820</v>
      </c>
      <c r="AK16" s="149">
        <f t="shared" si="23"/>
        <v>798420</v>
      </c>
      <c r="AL16" s="142">
        <f t="shared" si="15"/>
        <v>56650</v>
      </c>
      <c r="AM16" s="142">
        <v>2400</v>
      </c>
      <c r="AN16" s="150">
        <v>71</v>
      </c>
      <c r="AO16" s="150">
        <v>488000</v>
      </c>
      <c r="AP16" s="150">
        <v>112440</v>
      </c>
      <c r="AQ16" s="151">
        <v>56650</v>
      </c>
      <c r="AR16" s="151"/>
      <c r="AS16" s="151"/>
      <c r="AT16" s="151"/>
      <c r="AU16" s="152">
        <f t="shared" si="24"/>
        <v>657090</v>
      </c>
      <c r="AV16" s="119">
        <v>12</v>
      </c>
      <c r="AW16" s="120">
        <f t="shared" si="25"/>
        <v>657090</v>
      </c>
      <c r="AX16" s="179">
        <f t="shared" si="16"/>
        <v>857470</v>
      </c>
    </row>
    <row r="17" spans="1:50" ht="13.5" customHeight="1">
      <c r="A17" s="119"/>
      <c r="B17" s="184">
        <f t="shared" si="17"/>
        <v>45851</v>
      </c>
      <c r="C17" s="178"/>
      <c r="D17" s="132">
        <v>98</v>
      </c>
      <c r="E17" s="133"/>
      <c r="F17" s="134">
        <v>22</v>
      </c>
      <c r="G17" s="135">
        <v>80740</v>
      </c>
      <c r="H17" s="136">
        <f t="shared" si="0"/>
        <v>3336.3636363636365</v>
      </c>
      <c r="I17" s="135">
        <v>18960</v>
      </c>
      <c r="J17" s="137">
        <f t="shared" si="1"/>
        <v>783.4545454545455</v>
      </c>
      <c r="K17" s="138">
        <f t="shared" si="26"/>
        <v>99700</v>
      </c>
      <c r="L17" s="139">
        <f t="shared" si="2"/>
        <v>4531.818181818182</v>
      </c>
      <c r="M17" s="140"/>
      <c r="N17" s="141">
        <f t="shared" si="18"/>
        <v>36</v>
      </c>
      <c r="O17" s="142">
        <f t="shared" si="18"/>
        <v>355670</v>
      </c>
      <c r="P17" s="136">
        <f t="shared" si="3"/>
        <v>8981.5555555555547</v>
      </c>
      <c r="Q17" s="142">
        <f t="shared" si="19"/>
        <v>57390</v>
      </c>
      <c r="R17" s="137">
        <f t="shared" si="4"/>
        <v>1449.2222222222222</v>
      </c>
      <c r="S17" s="143">
        <f t="shared" si="20"/>
        <v>413060</v>
      </c>
      <c r="T17" s="139">
        <f t="shared" si="5"/>
        <v>11473.888888888889</v>
      </c>
      <c r="U17" s="144">
        <f t="shared" si="6"/>
        <v>58</v>
      </c>
      <c r="V17" s="142">
        <f t="shared" si="6"/>
        <v>436410</v>
      </c>
      <c r="W17" s="142">
        <f t="shared" si="7"/>
        <v>76350</v>
      </c>
      <c r="X17" s="145">
        <f t="shared" si="21"/>
        <v>512760</v>
      </c>
      <c r="Y17" s="142">
        <f t="shared" si="8"/>
        <v>8840.689655172413</v>
      </c>
      <c r="Z17" s="146"/>
      <c r="AA17" s="147">
        <v>181</v>
      </c>
      <c r="AB17" s="135">
        <v>164750</v>
      </c>
      <c r="AC17" s="136">
        <f t="shared" si="9"/>
        <v>910.22099447513813</v>
      </c>
      <c r="AD17" s="135">
        <v>31460</v>
      </c>
      <c r="AE17" s="137">
        <f t="shared" si="10"/>
        <v>173.81215469613261</v>
      </c>
      <c r="AF17" s="148">
        <f t="shared" si="22"/>
        <v>196210</v>
      </c>
      <c r="AG17" s="139">
        <f t="shared" si="11"/>
        <v>1084.0331491712707</v>
      </c>
      <c r="AH17" s="154">
        <f t="shared" si="12"/>
        <v>58</v>
      </c>
      <c r="AI17" s="142">
        <f t="shared" si="13"/>
        <v>601160</v>
      </c>
      <c r="AJ17" s="142">
        <f t="shared" si="14"/>
        <v>107810</v>
      </c>
      <c r="AK17" s="149">
        <f t="shared" si="23"/>
        <v>708970</v>
      </c>
      <c r="AL17" s="142">
        <f t="shared" si="15"/>
        <v>49500</v>
      </c>
      <c r="AM17" s="142">
        <v>2400</v>
      </c>
      <c r="AN17" s="150">
        <v>58</v>
      </c>
      <c r="AO17" s="150">
        <v>436410</v>
      </c>
      <c r="AP17" s="150">
        <v>76350</v>
      </c>
      <c r="AQ17" s="151">
        <v>49500</v>
      </c>
      <c r="AR17" s="151"/>
      <c r="AS17" s="151"/>
      <c r="AT17" s="151"/>
      <c r="AU17" s="152">
        <f t="shared" si="24"/>
        <v>562260</v>
      </c>
      <c r="AV17" s="119">
        <v>13</v>
      </c>
      <c r="AW17" s="120">
        <f t="shared" si="25"/>
        <v>562260</v>
      </c>
      <c r="AX17" s="179">
        <f t="shared" si="16"/>
        <v>760870</v>
      </c>
    </row>
    <row r="18" spans="1:50" ht="13.5" customHeight="1">
      <c r="A18" s="119"/>
      <c r="B18" s="171">
        <f t="shared" si="17"/>
        <v>45852</v>
      </c>
      <c r="C18" s="178" t="s">
        <v>65</v>
      </c>
      <c r="D18" s="132">
        <v>0</v>
      </c>
      <c r="E18" s="133"/>
      <c r="F18" s="134"/>
      <c r="G18" s="135"/>
      <c r="H18" s="136" t="e">
        <f t="shared" si="0"/>
        <v>#DIV/0!</v>
      </c>
      <c r="I18" s="135"/>
      <c r="J18" s="137" t="e">
        <f t="shared" si="1"/>
        <v>#DIV/0!</v>
      </c>
      <c r="K18" s="138">
        <f t="shared" si="26"/>
        <v>0</v>
      </c>
      <c r="L18" s="139" t="str">
        <f t="shared" si="2"/>
        <v/>
      </c>
      <c r="M18" s="140"/>
      <c r="N18" s="141">
        <f t="shared" si="18"/>
        <v>39</v>
      </c>
      <c r="O18" s="142">
        <f t="shared" si="18"/>
        <v>326450</v>
      </c>
      <c r="P18" s="136">
        <f t="shared" si="3"/>
        <v>7609.5384615384619</v>
      </c>
      <c r="Q18" s="142">
        <f t="shared" si="19"/>
        <v>91130</v>
      </c>
      <c r="R18" s="137">
        <f t="shared" si="4"/>
        <v>2124.2307692307691</v>
      </c>
      <c r="S18" s="143">
        <f t="shared" si="20"/>
        <v>417580</v>
      </c>
      <c r="T18" s="139">
        <f t="shared" si="5"/>
        <v>10707.179487179486</v>
      </c>
      <c r="U18" s="144">
        <f t="shared" si="6"/>
        <v>39</v>
      </c>
      <c r="V18" s="142">
        <f t="shared" si="6"/>
        <v>326450</v>
      </c>
      <c r="W18" s="142">
        <f t="shared" si="7"/>
        <v>91130</v>
      </c>
      <c r="X18" s="145">
        <f t="shared" si="21"/>
        <v>417580</v>
      </c>
      <c r="Y18" s="142">
        <f t="shared" si="8"/>
        <v>10707.179487179486</v>
      </c>
      <c r="Z18" s="146"/>
      <c r="AA18" s="147">
        <v>72</v>
      </c>
      <c r="AB18" s="135">
        <v>54100</v>
      </c>
      <c r="AC18" s="136">
        <f t="shared" si="9"/>
        <v>751.38888888888891</v>
      </c>
      <c r="AD18" s="135">
        <v>5770</v>
      </c>
      <c r="AE18" s="137">
        <f t="shared" si="10"/>
        <v>80.138888888888886</v>
      </c>
      <c r="AF18" s="148">
        <f t="shared" si="22"/>
        <v>59870</v>
      </c>
      <c r="AG18" s="139">
        <f t="shared" si="11"/>
        <v>831.52777777777783</v>
      </c>
      <c r="AH18" s="154">
        <f t="shared" si="12"/>
        <v>39</v>
      </c>
      <c r="AI18" s="142">
        <f t="shared" si="13"/>
        <v>380550</v>
      </c>
      <c r="AJ18" s="142">
        <f t="shared" si="14"/>
        <v>96900</v>
      </c>
      <c r="AK18" s="149">
        <f t="shared" si="23"/>
        <v>477450</v>
      </c>
      <c r="AL18" s="142">
        <f t="shared" si="15"/>
        <v>62650</v>
      </c>
      <c r="AM18" s="142">
        <v>13800</v>
      </c>
      <c r="AN18" s="150">
        <v>39</v>
      </c>
      <c r="AO18" s="150">
        <v>326450</v>
      </c>
      <c r="AP18" s="150">
        <v>91130</v>
      </c>
      <c r="AQ18" s="182">
        <v>11000</v>
      </c>
      <c r="AR18" s="151">
        <v>51650</v>
      </c>
      <c r="AS18" s="151"/>
      <c r="AT18" s="151">
        <v>93100</v>
      </c>
      <c r="AU18" s="152">
        <f t="shared" si="24"/>
        <v>480230</v>
      </c>
      <c r="AV18" s="119">
        <v>14</v>
      </c>
      <c r="AW18" s="120">
        <f t="shared" si="25"/>
        <v>573330</v>
      </c>
      <c r="AX18" s="179">
        <f t="shared" si="16"/>
        <v>647000</v>
      </c>
    </row>
    <row r="19" spans="1:50" ht="13.5" customHeight="1">
      <c r="A19" s="119"/>
      <c r="B19" s="171">
        <f t="shared" si="17"/>
        <v>45853</v>
      </c>
      <c r="C19" s="178" t="s">
        <v>56</v>
      </c>
      <c r="D19" s="132">
        <v>20</v>
      </c>
      <c r="E19" s="133"/>
      <c r="F19" s="134"/>
      <c r="G19" s="135"/>
      <c r="H19" s="136" t="e">
        <f t="shared" si="0"/>
        <v>#DIV/0!</v>
      </c>
      <c r="I19" s="135"/>
      <c r="J19" s="137" t="e">
        <f t="shared" si="1"/>
        <v>#DIV/0!</v>
      </c>
      <c r="K19" s="138">
        <f t="shared" si="26"/>
        <v>0</v>
      </c>
      <c r="L19" s="139" t="str">
        <f t="shared" si="2"/>
        <v/>
      </c>
      <c r="M19" s="140"/>
      <c r="N19" s="141">
        <f t="shared" si="18"/>
        <v>39</v>
      </c>
      <c r="O19" s="142">
        <f t="shared" si="18"/>
        <v>356740</v>
      </c>
      <c r="P19" s="136">
        <f t="shared" si="3"/>
        <v>8315.6153846153848</v>
      </c>
      <c r="Q19" s="142">
        <f t="shared" si="19"/>
        <v>59520</v>
      </c>
      <c r="R19" s="158">
        <f t="shared" si="4"/>
        <v>1387.4102564102564</v>
      </c>
      <c r="S19" s="143">
        <f t="shared" si="20"/>
        <v>416260</v>
      </c>
      <c r="T19" s="139">
        <f t="shared" si="5"/>
        <v>10673.333333333334</v>
      </c>
      <c r="U19" s="144">
        <f t="shared" si="6"/>
        <v>39</v>
      </c>
      <c r="V19" s="142">
        <f t="shared" si="6"/>
        <v>356740</v>
      </c>
      <c r="W19" s="142">
        <f t="shared" si="7"/>
        <v>59520</v>
      </c>
      <c r="X19" s="145">
        <f t="shared" si="21"/>
        <v>416260</v>
      </c>
      <c r="Y19" s="142">
        <f t="shared" si="8"/>
        <v>10673.333333333334</v>
      </c>
      <c r="Z19" s="146"/>
      <c r="AA19" s="147">
        <v>50</v>
      </c>
      <c r="AB19" s="135">
        <v>36800</v>
      </c>
      <c r="AC19" s="136">
        <f t="shared" si="9"/>
        <v>736</v>
      </c>
      <c r="AD19" s="135">
        <v>12420</v>
      </c>
      <c r="AE19" s="137">
        <f t="shared" si="10"/>
        <v>248.4</v>
      </c>
      <c r="AF19" s="148">
        <f t="shared" si="22"/>
        <v>49220</v>
      </c>
      <c r="AG19" s="139">
        <f t="shared" si="11"/>
        <v>984.4</v>
      </c>
      <c r="AH19" s="154">
        <f t="shared" si="12"/>
        <v>39</v>
      </c>
      <c r="AI19" s="142">
        <f t="shared" si="13"/>
        <v>393540</v>
      </c>
      <c r="AJ19" s="142">
        <f t="shared" si="14"/>
        <v>71940</v>
      </c>
      <c r="AK19" s="149">
        <f t="shared" si="23"/>
        <v>465480</v>
      </c>
      <c r="AL19" s="142">
        <f t="shared" si="15"/>
        <v>33610</v>
      </c>
      <c r="AM19" s="142">
        <v>7200</v>
      </c>
      <c r="AN19" s="150">
        <v>39</v>
      </c>
      <c r="AO19" s="150">
        <v>356740</v>
      </c>
      <c r="AP19" s="150">
        <v>59520</v>
      </c>
      <c r="AQ19" s="151">
        <v>30400</v>
      </c>
      <c r="AR19" s="151">
        <v>3210</v>
      </c>
      <c r="AS19" s="151"/>
      <c r="AT19" s="151">
        <v>19800</v>
      </c>
      <c r="AU19" s="152">
        <f t="shared" si="24"/>
        <v>449870</v>
      </c>
      <c r="AV19" s="119">
        <v>15</v>
      </c>
      <c r="AW19" s="120">
        <f t="shared" si="25"/>
        <v>469670</v>
      </c>
      <c r="AX19" s="179">
        <f t="shared" si="16"/>
        <v>526090</v>
      </c>
    </row>
    <row r="20" spans="1:50" ht="13.5" customHeight="1">
      <c r="A20" s="119"/>
      <c r="B20" s="171">
        <f t="shared" si="17"/>
        <v>45854</v>
      </c>
      <c r="C20" s="178" t="s">
        <v>56</v>
      </c>
      <c r="D20" s="132">
        <v>80</v>
      </c>
      <c r="E20" s="133"/>
      <c r="F20" s="134"/>
      <c r="G20" s="135"/>
      <c r="H20" s="136" t="e">
        <f t="shared" si="0"/>
        <v>#DIV/0!</v>
      </c>
      <c r="I20" s="135"/>
      <c r="J20" s="136" t="e">
        <f t="shared" si="1"/>
        <v>#DIV/0!</v>
      </c>
      <c r="K20" s="138">
        <f t="shared" si="26"/>
        <v>0</v>
      </c>
      <c r="L20" s="139" t="str">
        <f t="shared" si="2"/>
        <v/>
      </c>
      <c r="M20" s="140"/>
      <c r="N20" s="141">
        <f t="shared" si="18"/>
        <v>41</v>
      </c>
      <c r="O20" s="142">
        <f t="shared" si="18"/>
        <v>379760</v>
      </c>
      <c r="P20" s="136">
        <f t="shared" si="3"/>
        <v>8420.3902439024387</v>
      </c>
      <c r="Q20" s="142">
        <f t="shared" si="19"/>
        <v>64700</v>
      </c>
      <c r="R20" s="158">
        <f t="shared" si="4"/>
        <v>1434.5853658536585</v>
      </c>
      <c r="S20" s="143">
        <f t="shared" si="20"/>
        <v>444460</v>
      </c>
      <c r="T20" s="139">
        <f t="shared" si="5"/>
        <v>10840.487804878048</v>
      </c>
      <c r="U20" s="144">
        <f t="shared" si="6"/>
        <v>41</v>
      </c>
      <c r="V20" s="142">
        <f t="shared" si="6"/>
        <v>379760</v>
      </c>
      <c r="W20" s="142">
        <f t="shared" si="7"/>
        <v>64700</v>
      </c>
      <c r="X20" s="145">
        <f t="shared" si="21"/>
        <v>444460</v>
      </c>
      <c r="Y20" s="142">
        <f t="shared" si="8"/>
        <v>10840.487804878048</v>
      </c>
      <c r="Z20" s="146"/>
      <c r="AA20" s="147">
        <v>88</v>
      </c>
      <c r="AB20" s="135">
        <v>82050</v>
      </c>
      <c r="AC20" s="136">
        <f t="shared" si="9"/>
        <v>932.38636363636363</v>
      </c>
      <c r="AD20" s="135">
        <v>11170</v>
      </c>
      <c r="AE20" s="137">
        <f t="shared" si="10"/>
        <v>126.93181818181819</v>
      </c>
      <c r="AF20" s="148">
        <f t="shared" si="22"/>
        <v>93220</v>
      </c>
      <c r="AG20" s="139">
        <f t="shared" si="11"/>
        <v>1059.3181818181818</v>
      </c>
      <c r="AH20" s="154">
        <f t="shared" si="12"/>
        <v>41</v>
      </c>
      <c r="AI20" s="150">
        <f t="shared" si="13"/>
        <v>461810</v>
      </c>
      <c r="AJ20" s="150">
        <f t="shared" si="14"/>
        <v>75870</v>
      </c>
      <c r="AK20" s="149">
        <f t="shared" si="23"/>
        <v>537680</v>
      </c>
      <c r="AL20" s="142">
        <f t="shared" si="15"/>
        <v>38650</v>
      </c>
      <c r="AM20" s="142">
        <v>4000</v>
      </c>
      <c r="AN20" s="150">
        <v>41</v>
      </c>
      <c r="AO20" s="150">
        <v>379760</v>
      </c>
      <c r="AP20" s="150">
        <v>64700</v>
      </c>
      <c r="AQ20" s="151">
        <v>37000</v>
      </c>
      <c r="AR20" s="151">
        <v>1650</v>
      </c>
      <c r="AS20" s="151"/>
      <c r="AT20" s="151">
        <v>25300</v>
      </c>
      <c r="AU20" s="152">
        <f t="shared" si="24"/>
        <v>483110</v>
      </c>
      <c r="AV20" s="119">
        <v>16</v>
      </c>
      <c r="AW20" s="120">
        <f>AT20+AU20</f>
        <v>508410</v>
      </c>
      <c r="AX20" s="179">
        <f t="shared" si="16"/>
        <v>605630</v>
      </c>
    </row>
    <row r="21" spans="1:50" ht="15.75" customHeight="1">
      <c r="A21" s="119"/>
      <c r="B21" s="171">
        <f t="shared" si="17"/>
        <v>45855</v>
      </c>
      <c r="C21" s="178" t="s">
        <v>56</v>
      </c>
      <c r="D21" s="132">
        <v>94</v>
      </c>
      <c r="E21" s="133"/>
      <c r="F21" s="134"/>
      <c r="G21" s="135"/>
      <c r="H21" s="136" t="e">
        <f t="shared" si="0"/>
        <v>#DIV/0!</v>
      </c>
      <c r="I21" s="135"/>
      <c r="J21" s="136" t="e">
        <f t="shared" si="1"/>
        <v>#DIV/0!</v>
      </c>
      <c r="K21" s="138">
        <f t="shared" si="26"/>
        <v>0</v>
      </c>
      <c r="L21" s="139" t="str">
        <f t="shared" si="2"/>
        <v/>
      </c>
      <c r="M21" s="140"/>
      <c r="N21" s="141">
        <f t="shared" si="18"/>
        <v>39</v>
      </c>
      <c r="O21" s="142">
        <f t="shared" si="18"/>
        <v>385370</v>
      </c>
      <c r="P21" s="136">
        <f t="shared" si="3"/>
        <v>8982.9743589743593</v>
      </c>
      <c r="Q21" s="142">
        <f t="shared" si="19"/>
        <v>50610</v>
      </c>
      <c r="R21" s="158">
        <f t="shared" si="4"/>
        <v>1179.7179487179487</v>
      </c>
      <c r="S21" s="143">
        <f>O21+Q21</f>
        <v>435980</v>
      </c>
      <c r="T21" s="139">
        <f t="shared" si="5"/>
        <v>11178.974358974359</v>
      </c>
      <c r="U21" s="144">
        <f t="shared" ref="U21:V35" si="27">F21+N21</f>
        <v>39</v>
      </c>
      <c r="V21" s="142">
        <f t="shared" si="27"/>
        <v>385370</v>
      </c>
      <c r="W21" s="142">
        <f t="shared" si="7"/>
        <v>50610</v>
      </c>
      <c r="X21" s="145">
        <f>K21+S21</f>
        <v>435980</v>
      </c>
      <c r="Y21" s="142">
        <f t="shared" si="8"/>
        <v>11178.974358974359</v>
      </c>
      <c r="Z21" s="146"/>
      <c r="AA21" s="147">
        <v>86</v>
      </c>
      <c r="AB21" s="135">
        <v>65600</v>
      </c>
      <c r="AC21" s="136">
        <f t="shared" si="9"/>
        <v>762.79069767441865</v>
      </c>
      <c r="AD21" s="135">
        <v>21750</v>
      </c>
      <c r="AE21" s="137">
        <f t="shared" si="10"/>
        <v>252.90697674418604</v>
      </c>
      <c r="AF21" s="148">
        <f t="shared" si="22"/>
        <v>87350</v>
      </c>
      <c r="AG21" s="139">
        <f t="shared" si="11"/>
        <v>1015.6976744186046</v>
      </c>
      <c r="AH21" s="154">
        <f t="shared" si="12"/>
        <v>39</v>
      </c>
      <c r="AI21" s="150">
        <f t="shared" si="13"/>
        <v>450970</v>
      </c>
      <c r="AJ21" s="150">
        <f t="shared" si="14"/>
        <v>72360</v>
      </c>
      <c r="AK21" s="149">
        <f>X21+AF21</f>
        <v>523330</v>
      </c>
      <c r="AL21" s="142">
        <f>AQ21+AR21+AS21</f>
        <v>45100</v>
      </c>
      <c r="AM21" s="142"/>
      <c r="AN21" s="150">
        <v>39</v>
      </c>
      <c r="AO21" s="150">
        <v>385370</v>
      </c>
      <c r="AP21" s="150">
        <v>50610</v>
      </c>
      <c r="AQ21" s="151">
        <v>45100</v>
      </c>
      <c r="AR21" s="151"/>
      <c r="AS21" s="151"/>
      <c r="AT21" s="151"/>
      <c r="AU21" s="152">
        <f t="shared" si="24"/>
        <v>481080</v>
      </c>
      <c r="AV21" s="119">
        <v>17</v>
      </c>
      <c r="AW21" s="120">
        <f t="shared" si="25"/>
        <v>481080</v>
      </c>
      <c r="AX21" s="179">
        <f t="shared" si="16"/>
        <v>568430</v>
      </c>
    </row>
    <row r="22" spans="1:50" ht="15.75" customHeight="1">
      <c r="A22" s="119"/>
      <c r="B22" s="171">
        <f t="shared" si="17"/>
        <v>45856</v>
      </c>
      <c r="C22" s="178" t="s">
        <v>56</v>
      </c>
      <c r="D22" s="132">
        <v>45</v>
      </c>
      <c r="E22" s="133"/>
      <c r="F22" s="134"/>
      <c r="G22" s="135"/>
      <c r="H22" s="136" t="e">
        <f t="shared" si="0"/>
        <v>#DIV/0!</v>
      </c>
      <c r="I22" s="135"/>
      <c r="J22" s="136" t="e">
        <f t="shared" si="1"/>
        <v>#DIV/0!</v>
      </c>
      <c r="K22" s="138">
        <f t="shared" si="26"/>
        <v>0</v>
      </c>
      <c r="L22" s="139" t="str">
        <f t="shared" si="2"/>
        <v/>
      </c>
      <c r="M22" s="140"/>
      <c r="N22" s="141">
        <f t="shared" ref="N22:O35" si="28">AN22-F22</f>
        <v>44</v>
      </c>
      <c r="O22" s="142">
        <f t="shared" si="28"/>
        <v>387550</v>
      </c>
      <c r="P22" s="136">
        <f t="shared" si="3"/>
        <v>8007.227272727273</v>
      </c>
      <c r="Q22" s="142">
        <f t="shared" si="19"/>
        <v>54690</v>
      </c>
      <c r="R22" s="158">
        <f t="shared" si="4"/>
        <v>1129.9545454545455</v>
      </c>
      <c r="S22" s="143">
        <f t="shared" si="20"/>
        <v>442240</v>
      </c>
      <c r="T22" s="139">
        <f t="shared" si="5"/>
        <v>10050.90909090909</v>
      </c>
      <c r="U22" s="144">
        <f t="shared" si="27"/>
        <v>44</v>
      </c>
      <c r="V22" s="142">
        <f t="shared" si="27"/>
        <v>387550</v>
      </c>
      <c r="W22" s="142">
        <f t="shared" si="7"/>
        <v>54690</v>
      </c>
      <c r="X22" s="145">
        <f t="shared" si="21"/>
        <v>442240</v>
      </c>
      <c r="Y22" s="142">
        <f t="shared" si="8"/>
        <v>10050.90909090909</v>
      </c>
      <c r="Z22" s="146"/>
      <c r="AA22" s="147">
        <v>51</v>
      </c>
      <c r="AB22" s="135">
        <v>36750</v>
      </c>
      <c r="AC22" s="136">
        <f t="shared" si="9"/>
        <v>720.58823529411768</v>
      </c>
      <c r="AD22" s="135">
        <v>8900</v>
      </c>
      <c r="AE22" s="137">
        <f t="shared" si="10"/>
        <v>174.50980392156862</v>
      </c>
      <c r="AF22" s="148">
        <f t="shared" si="22"/>
        <v>45650</v>
      </c>
      <c r="AG22" s="139">
        <f t="shared" si="11"/>
        <v>895.0980392156863</v>
      </c>
      <c r="AH22" s="154">
        <f t="shared" si="12"/>
        <v>44</v>
      </c>
      <c r="AI22" s="150">
        <f t="shared" si="13"/>
        <v>424300</v>
      </c>
      <c r="AJ22" s="150">
        <f t="shared" si="14"/>
        <v>63590</v>
      </c>
      <c r="AK22" s="149">
        <f t="shared" si="23"/>
        <v>487890</v>
      </c>
      <c r="AL22" s="142">
        <f t="shared" si="15"/>
        <v>45100</v>
      </c>
      <c r="AM22" s="142"/>
      <c r="AN22" s="150">
        <v>44</v>
      </c>
      <c r="AO22" s="150">
        <v>387550</v>
      </c>
      <c r="AP22" s="150">
        <v>54690</v>
      </c>
      <c r="AQ22" s="151">
        <v>45100</v>
      </c>
      <c r="AR22" s="151"/>
      <c r="AS22" s="151"/>
      <c r="AT22" s="151"/>
      <c r="AU22" s="152">
        <f t="shared" si="24"/>
        <v>487340</v>
      </c>
      <c r="AV22" s="119">
        <v>18</v>
      </c>
      <c r="AW22" s="120">
        <f t="shared" si="25"/>
        <v>487340</v>
      </c>
      <c r="AX22" s="179">
        <f t="shared" si="16"/>
        <v>532990</v>
      </c>
    </row>
    <row r="23" spans="1:50" ht="15.75" customHeight="1">
      <c r="A23" s="119"/>
      <c r="B23" s="156">
        <f t="shared" si="17"/>
        <v>45857</v>
      </c>
      <c r="C23" s="178"/>
      <c r="D23" s="132">
        <v>85</v>
      </c>
      <c r="E23" s="133"/>
      <c r="F23" s="134">
        <v>21</v>
      </c>
      <c r="G23" s="135">
        <v>73920</v>
      </c>
      <c r="H23" s="136">
        <f t="shared" si="0"/>
        <v>3200</v>
      </c>
      <c r="I23" s="135">
        <v>19670</v>
      </c>
      <c r="J23" s="136">
        <f t="shared" si="1"/>
        <v>851.47619047619048</v>
      </c>
      <c r="K23" s="138">
        <f t="shared" si="26"/>
        <v>93590</v>
      </c>
      <c r="L23" s="139">
        <f t="shared" si="2"/>
        <v>4456.666666666667</v>
      </c>
      <c r="M23" s="140"/>
      <c r="N23" s="141">
        <f t="shared" si="28"/>
        <v>45</v>
      </c>
      <c r="O23" s="142">
        <f t="shared" si="28"/>
        <v>407330</v>
      </c>
      <c r="P23" s="136">
        <f t="shared" si="3"/>
        <v>8228.8888888888887</v>
      </c>
      <c r="Q23" s="142">
        <f t="shared" si="19"/>
        <v>87220</v>
      </c>
      <c r="R23" s="158">
        <f t="shared" si="4"/>
        <v>1762</v>
      </c>
      <c r="S23" s="143">
        <f t="shared" si="20"/>
        <v>494550</v>
      </c>
      <c r="T23" s="139">
        <f t="shared" si="5"/>
        <v>10990</v>
      </c>
      <c r="U23" s="144">
        <f t="shared" si="27"/>
        <v>66</v>
      </c>
      <c r="V23" s="142">
        <f t="shared" si="27"/>
        <v>481250</v>
      </c>
      <c r="W23" s="142">
        <f t="shared" si="7"/>
        <v>106890</v>
      </c>
      <c r="X23" s="145">
        <f t="shared" si="21"/>
        <v>588140</v>
      </c>
      <c r="Y23" s="142">
        <f t="shared" si="8"/>
        <v>8911.2121212121219</v>
      </c>
      <c r="Z23" s="146"/>
      <c r="AA23" s="147">
        <v>81</v>
      </c>
      <c r="AB23" s="135">
        <v>83550</v>
      </c>
      <c r="AC23" s="136">
        <f t="shared" si="9"/>
        <v>1031.4814814814815</v>
      </c>
      <c r="AD23" s="135">
        <v>11230</v>
      </c>
      <c r="AE23" s="137">
        <f t="shared" si="10"/>
        <v>138.64197530864197</v>
      </c>
      <c r="AF23" s="148">
        <f t="shared" si="22"/>
        <v>94780</v>
      </c>
      <c r="AG23" s="139">
        <f t="shared" si="11"/>
        <v>1170.1234567901236</v>
      </c>
      <c r="AH23" s="154">
        <f t="shared" si="12"/>
        <v>66</v>
      </c>
      <c r="AI23" s="150">
        <f t="shared" si="13"/>
        <v>564800</v>
      </c>
      <c r="AJ23" s="150">
        <f t="shared" si="14"/>
        <v>118120</v>
      </c>
      <c r="AK23" s="149">
        <f t="shared" si="23"/>
        <v>682920</v>
      </c>
      <c r="AL23" s="142">
        <f t="shared" si="15"/>
        <v>54560</v>
      </c>
      <c r="AM23" s="142"/>
      <c r="AN23" s="150">
        <v>66</v>
      </c>
      <c r="AO23" s="150">
        <v>481250</v>
      </c>
      <c r="AP23" s="150">
        <v>106890</v>
      </c>
      <c r="AQ23" s="151">
        <v>51700</v>
      </c>
      <c r="AR23" s="151">
        <v>2860</v>
      </c>
      <c r="AS23" s="151"/>
      <c r="AT23" s="151">
        <v>33000</v>
      </c>
      <c r="AU23" s="152">
        <f t="shared" si="24"/>
        <v>642700</v>
      </c>
      <c r="AV23" s="119">
        <v>19</v>
      </c>
      <c r="AW23" s="120">
        <f t="shared" si="25"/>
        <v>675700</v>
      </c>
      <c r="AX23" s="179">
        <f t="shared" si="16"/>
        <v>770480</v>
      </c>
    </row>
    <row r="24" spans="1:50" ht="15.75" customHeight="1">
      <c r="A24" s="119"/>
      <c r="B24" s="184">
        <f t="shared" si="17"/>
        <v>45858</v>
      </c>
      <c r="C24" s="178" t="s">
        <v>66</v>
      </c>
      <c r="D24" s="132">
        <v>98</v>
      </c>
      <c r="E24" s="133"/>
      <c r="F24" s="134"/>
      <c r="G24" s="135"/>
      <c r="H24" s="136" t="e">
        <f t="shared" si="0"/>
        <v>#DIV/0!</v>
      </c>
      <c r="I24" s="135"/>
      <c r="J24" s="136" t="e">
        <f t="shared" si="1"/>
        <v>#DIV/0!</v>
      </c>
      <c r="K24" s="138">
        <f t="shared" si="26"/>
        <v>0</v>
      </c>
      <c r="L24" s="139" t="str">
        <f t="shared" si="2"/>
        <v/>
      </c>
      <c r="M24" s="140"/>
      <c r="N24" s="141">
        <f t="shared" si="28"/>
        <v>58</v>
      </c>
      <c r="O24" s="142">
        <f t="shared" si="28"/>
        <v>828000</v>
      </c>
      <c r="P24" s="136">
        <f t="shared" si="3"/>
        <v>12978.051724137931</v>
      </c>
      <c r="Q24" s="142">
        <f t="shared" si="19"/>
        <v>278400</v>
      </c>
      <c r="R24" s="158">
        <f t="shared" si="4"/>
        <v>4363.6206896551721</v>
      </c>
      <c r="S24" s="143">
        <f t="shared" si="20"/>
        <v>1106400</v>
      </c>
      <c r="T24" s="139">
        <f t="shared" si="5"/>
        <v>19075.862068965518</v>
      </c>
      <c r="U24" s="144">
        <f t="shared" si="27"/>
        <v>58</v>
      </c>
      <c r="V24" s="142">
        <f t="shared" si="27"/>
        <v>828000</v>
      </c>
      <c r="W24" s="142">
        <f t="shared" si="7"/>
        <v>278400</v>
      </c>
      <c r="X24" s="145">
        <f t="shared" si="21"/>
        <v>1106400</v>
      </c>
      <c r="Y24" s="142">
        <f t="shared" si="8"/>
        <v>19075.862068965518</v>
      </c>
      <c r="Z24" s="146"/>
      <c r="AA24" s="147">
        <v>122</v>
      </c>
      <c r="AB24" s="135">
        <v>104950</v>
      </c>
      <c r="AC24" s="136">
        <f t="shared" si="9"/>
        <v>860.24590163934431</v>
      </c>
      <c r="AD24" s="135">
        <v>40370</v>
      </c>
      <c r="AE24" s="137">
        <f t="shared" si="10"/>
        <v>330.90163934426232</v>
      </c>
      <c r="AF24" s="148">
        <f t="shared" si="22"/>
        <v>145320</v>
      </c>
      <c r="AG24" s="139">
        <f t="shared" si="11"/>
        <v>1191.1475409836066</v>
      </c>
      <c r="AH24" s="154">
        <f t="shared" si="12"/>
        <v>58</v>
      </c>
      <c r="AI24" s="150">
        <f t="shared" si="13"/>
        <v>932950</v>
      </c>
      <c r="AJ24" s="150">
        <f t="shared" si="14"/>
        <v>318770</v>
      </c>
      <c r="AK24" s="149">
        <f>X24+AF24</f>
        <v>1251720</v>
      </c>
      <c r="AL24" s="142">
        <f t="shared" si="15"/>
        <v>0</v>
      </c>
      <c r="AM24" s="142"/>
      <c r="AN24" s="150">
        <v>58</v>
      </c>
      <c r="AO24" s="150">
        <v>828000</v>
      </c>
      <c r="AP24" s="150">
        <v>278400</v>
      </c>
      <c r="AQ24" s="151"/>
      <c r="AR24" s="151"/>
      <c r="AS24" s="151"/>
      <c r="AT24" s="151"/>
      <c r="AU24" s="152">
        <f>SUM(AO24:AS24)</f>
        <v>1106400</v>
      </c>
      <c r="AV24" s="119">
        <v>20</v>
      </c>
      <c r="AW24" s="120">
        <f t="shared" si="25"/>
        <v>1106400</v>
      </c>
      <c r="AX24" s="179">
        <f t="shared" si="16"/>
        <v>1251720</v>
      </c>
    </row>
    <row r="25" spans="1:50" ht="15.75" customHeight="1">
      <c r="A25" s="119"/>
      <c r="B25" s="185">
        <f t="shared" si="17"/>
        <v>45859</v>
      </c>
      <c r="C25" s="186" t="s">
        <v>67</v>
      </c>
      <c r="D25" s="132">
        <v>96</v>
      </c>
      <c r="E25" s="133"/>
      <c r="F25" s="134">
        <v>14</v>
      </c>
      <c r="G25" s="135">
        <v>63960</v>
      </c>
      <c r="H25" s="136">
        <f t="shared" si="0"/>
        <v>4153.2142857142853</v>
      </c>
      <c r="I25" s="135">
        <v>14880</v>
      </c>
      <c r="J25" s="136">
        <f t="shared" si="1"/>
        <v>966.21428571428567</v>
      </c>
      <c r="K25" s="138">
        <f t="shared" si="26"/>
        <v>78840</v>
      </c>
      <c r="L25" s="139">
        <f t="shared" si="2"/>
        <v>5631.4285714285716</v>
      </c>
      <c r="M25" s="140"/>
      <c r="N25" s="141">
        <f t="shared" si="28"/>
        <v>27</v>
      </c>
      <c r="O25" s="142">
        <f t="shared" si="28"/>
        <v>335160</v>
      </c>
      <c r="P25" s="136">
        <f t="shared" si="3"/>
        <v>11284.814814814816</v>
      </c>
      <c r="Q25" s="142">
        <f t="shared" si="19"/>
        <v>47010</v>
      </c>
      <c r="R25" s="158">
        <f t="shared" si="4"/>
        <v>1582.8148148148148</v>
      </c>
      <c r="S25" s="143">
        <f t="shared" si="20"/>
        <v>382170</v>
      </c>
      <c r="T25" s="139">
        <f t="shared" si="5"/>
        <v>14154.444444444445</v>
      </c>
      <c r="U25" s="144">
        <f>F25+N25</f>
        <v>41</v>
      </c>
      <c r="V25" s="142">
        <f t="shared" si="27"/>
        <v>399120</v>
      </c>
      <c r="W25" s="142">
        <f t="shared" si="7"/>
        <v>61890</v>
      </c>
      <c r="X25" s="145">
        <f t="shared" si="21"/>
        <v>461010</v>
      </c>
      <c r="Y25" s="142">
        <f t="shared" si="8"/>
        <v>11244.146341463415</v>
      </c>
      <c r="Z25" s="146"/>
      <c r="AA25" s="187">
        <v>0</v>
      </c>
      <c r="AB25" s="135">
        <v>0</v>
      </c>
      <c r="AC25" s="136" t="e">
        <f t="shared" si="9"/>
        <v>#DIV/0!</v>
      </c>
      <c r="AD25" s="135">
        <v>0</v>
      </c>
      <c r="AE25" s="137" t="e">
        <f t="shared" si="10"/>
        <v>#DIV/0!</v>
      </c>
      <c r="AF25" s="148">
        <f t="shared" si="22"/>
        <v>0</v>
      </c>
      <c r="AG25" s="139" t="e">
        <f t="shared" si="11"/>
        <v>#DIV/0!</v>
      </c>
      <c r="AH25" s="154">
        <f t="shared" si="12"/>
        <v>41</v>
      </c>
      <c r="AI25" s="150">
        <f t="shared" si="13"/>
        <v>399120</v>
      </c>
      <c r="AJ25" s="150">
        <f t="shared" si="14"/>
        <v>61890</v>
      </c>
      <c r="AK25" s="149">
        <f>X25+AF25</f>
        <v>461010</v>
      </c>
      <c r="AL25" s="142">
        <f t="shared" si="15"/>
        <v>84500</v>
      </c>
      <c r="AM25" s="142"/>
      <c r="AN25" s="150">
        <v>41</v>
      </c>
      <c r="AO25" s="150">
        <v>399120</v>
      </c>
      <c r="AP25" s="150">
        <v>61890</v>
      </c>
      <c r="AQ25" s="151">
        <v>38500</v>
      </c>
      <c r="AR25" s="151">
        <v>46000</v>
      </c>
      <c r="AS25" s="151"/>
      <c r="AT25" s="151">
        <v>14300</v>
      </c>
      <c r="AU25" s="152">
        <f t="shared" si="24"/>
        <v>545510</v>
      </c>
      <c r="AV25" s="119">
        <v>21</v>
      </c>
      <c r="AW25" s="120">
        <f t="shared" si="25"/>
        <v>559810</v>
      </c>
      <c r="AX25" s="179">
        <f t="shared" si="16"/>
        <v>559810</v>
      </c>
    </row>
    <row r="26" spans="1:50" ht="15.75" customHeight="1">
      <c r="A26" s="119"/>
      <c r="B26" s="188">
        <f t="shared" si="17"/>
        <v>45860</v>
      </c>
      <c r="C26" s="186" t="s">
        <v>68</v>
      </c>
      <c r="D26" s="132">
        <v>88</v>
      </c>
      <c r="E26" s="133"/>
      <c r="F26" s="134"/>
      <c r="G26" s="135"/>
      <c r="H26" s="136" t="e">
        <f t="shared" si="0"/>
        <v>#DIV/0!</v>
      </c>
      <c r="I26" s="135"/>
      <c r="J26" s="136" t="e">
        <f t="shared" si="1"/>
        <v>#DIV/0!</v>
      </c>
      <c r="K26" s="138">
        <f t="shared" si="26"/>
        <v>0</v>
      </c>
      <c r="L26" s="139" t="str">
        <f t="shared" si="2"/>
        <v/>
      </c>
      <c r="M26" s="140"/>
      <c r="N26" s="141">
        <f t="shared" si="28"/>
        <v>35</v>
      </c>
      <c r="O26" s="142">
        <f t="shared" si="28"/>
        <v>307980</v>
      </c>
      <c r="P26" s="136">
        <f t="shared" si="3"/>
        <v>7999.4571428571426</v>
      </c>
      <c r="Q26" s="142">
        <f t="shared" si="19"/>
        <v>45070</v>
      </c>
      <c r="R26" s="158">
        <f t="shared" si="4"/>
        <v>1170.6285714285714</v>
      </c>
      <c r="S26" s="143">
        <f t="shared" si="20"/>
        <v>353050</v>
      </c>
      <c r="T26" s="139">
        <f t="shared" si="5"/>
        <v>10087.142857142857</v>
      </c>
      <c r="U26" s="144">
        <f t="shared" si="27"/>
        <v>35</v>
      </c>
      <c r="V26" s="142">
        <f t="shared" si="27"/>
        <v>307980</v>
      </c>
      <c r="W26" s="142">
        <f t="shared" si="7"/>
        <v>45070</v>
      </c>
      <c r="X26" s="145">
        <f t="shared" si="21"/>
        <v>353050</v>
      </c>
      <c r="Y26" s="142">
        <f t="shared" si="8"/>
        <v>10087.142857142857</v>
      </c>
      <c r="Z26" s="146"/>
      <c r="AA26" s="187">
        <v>0</v>
      </c>
      <c r="AB26" s="135">
        <v>0</v>
      </c>
      <c r="AC26" s="136" t="e">
        <f t="shared" si="9"/>
        <v>#DIV/0!</v>
      </c>
      <c r="AD26" s="135">
        <v>0</v>
      </c>
      <c r="AE26" s="137" t="e">
        <f t="shared" si="10"/>
        <v>#DIV/0!</v>
      </c>
      <c r="AF26" s="148">
        <f t="shared" si="22"/>
        <v>0</v>
      </c>
      <c r="AG26" s="139" t="e">
        <f t="shared" si="11"/>
        <v>#DIV/0!</v>
      </c>
      <c r="AH26" s="154">
        <f t="shared" si="12"/>
        <v>35</v>
      </c>
      <c r="AI26" s="150">
        <f t="shared" si="13"/>
        <v>307980</v>
      </c>
      <c r="AJ26" s="150">
        <f t="shared" si="14"/>
        <v>45070</v>
      </c>
      <c r="AK26" s="149">
        <f>X26+AF26</f>
        <v>353050</v>
      </c>
      <c r="AL26" s="142">
        <f t="shared" si="15"/>
        <v>33000</v>
      </c>
      <c r="AM26" s="142"/>
      <c r="AN26" s="150">
        <v>35</v>
      </c>
      <c r="AO26" s="150">
        <v>307980</v>
      </c>
      <c r="AP26" s="150">
        <v>45070</v>
      </c>
      <c r="AQ26" s="151">
        <v>33000</v>
      </c>
      <c r="AR26" s="151"/>
      <c r="AS26" s="151"/>
      <c r="AT26" s="151"/>
      <c r="AU26" s="152">
        <f t="shared" si="24"/>
        <v>386050</v>
      </c>
      <c r="AV26" s="119">
        <v>22</v>
      </c>
      <c r="AW26" s="120">
        <f t="shared" si="25"/>
        <v>386050</v>
      </c>
      <c r="AX26" s="179">
        <f t="shared" si="16"/>
        <v>386050</v>
      </c>
    </row>
    <row r="27" spans="1:50" ht="15.75" customHeight="1">
      <c r="A27" s="119"/>
      <c r="B27" s="188">
        <f t="shared" si="17"/>
        <v>45861</v>
      </c>
      <c r="C27" s="186" t="s">
        <v>68</v>
      </c>
      <c r="D27" s="132">
        <v>97</v>
      </c>
      <c r="E27" s="133"/>
      <c r="F27" s="134"/>
      <c r="G27" s="135"/>
      <c r="H27" s="136" t="e">
        <f t="shared" si="0"/>
        <v>#DIV/0!</v>
      </c>
      <c r="I27" s="135"/>
      <c r="J27" s="136" t="e">
        <f t="shared" si="1"/>
        <v>#DIV/0!</v>
      </c>
      <c r="K27" s="138">
        <f t="shared" si="26"/>
        <v>0</v>
      </c>
      <c r="L27" s="139" t="str">
        <f t="shared" si="2"/>
        <v/>
      </c>
      <c r="M27" s="140"/>
      <c r="N27" s="141">
        <f t="shared" si="28"/>
        <v>39</v>
      </c>
      <c r="O27" s="142">
        <f t="shared" si="28"/>
        <v>352610</v>
      </c>
      <c r="P27" s="136">
        <f t="shared" si="3"/>
        <v>8219.3333333333339</v>
      </c>
      <c r="Q27" s="142">
        <f t="shared" si="19"/>
        <v>57110</v>
      </c>
      <c r="R27" s="137">
        <f t="shared" si="4"/>
        <v>1331.2307692307693</v>
      </c>
      <c r="S27" s="143">
        <f t="shared" si="20"/>
        <v>409720</v>
      </c>
      <c r="T27" s="139">
        <f t="shared" si="5"/>
        <v>10505.641025641025</v>
      </c>
      <c r="U27" s="144">
        <f t="shared" si="27"/>
        <v>39</v>
      </c>
      <c r="V27" s="142">
        <f t="shared" si="27"/>
        <v>352610</v>
      </c>
      <c r="W27" s="142">
        <f t="shared" si="7"/>
        <v>57110</v>
      </c>
      <c r="X27" s="145">
        <f t="shared" si="21"/>
        <v>409720</v>
      </c>
      <c r="Y27" s="142">
        <f t="shared" si="8"/>
        <v>10505.641025641025</v>
      </c>
      <c r="Z27" s="146"/>
      <c r="AA27" s="187">
        <v>0</v>
      </c>
      <c r="AB27" s="135">
        <v>0</v>
      </c>
      <c r="AC27" s="136" t="e">
        <f t="shared" si="9"/>
        <v>#DIV/0!</v>
      </c>
      <c r="AD27" s="135">
        <v>0</v>
      </c>
      <c r="AE27" s="137" t="e">
        <f t="shared" si="10"/>
        <v>#DIV/0!</v>
      </c>
      <c r="AF27" s="148">
        <f t="shared" si="22"/>
        <v>0</v>
      </c>
      <c r="AG27" s="139" t="e">
        <f t="shared" si="11"/>
        <v>#DIV/0!</v>
      </c>
      <c r="AH27" s="154">
        <f t="shared" si="12"/>
        <v>39</v>
      </c>
      <c r="AI27" s="150">
        <f t="shared" si="13"/>
        <v>352610</v>
      </c>
      <c r="AJ27" s="150">
        <f t="shared" si="14"/>
        <v>57110</v>
      </c>
      <c r="AK27" s="149">
        <f>X27+AF27</f>
        <v>409720</v>
      </c>
      <c r="AL27" s="142">
        <f t="shared" si="15"/>
        <v>44040</v>
      </c>
      <c r="AM27" s="142"/>
      <c r="AN27" s="150">
        <v>39</v>
      </c>
      <c r="AO27" s="150">
        <v>352610</v>
      </c>
      <c r="AP27" s="150">
        <v>57110</v>
      </c>
      <c r="AQ27" s="151">
        <v>38500</v>
      </c>
      <c r="AR27" s="151">
        <v>5540</v>
      </c>
      <c r="AS27" s="151"/>
      <c r="AT27" s="151"/>
      <c r="AU27" s="152">
        <f t="shared" si="24"/>
        <v>453760</v>
      </c>
      <c r="AV27" s="119">
        <v>23</v>
      </c>
      <c r="AW27" s="120">
        <f t="shared" si="25"/>
        <v>453760</v>
      </c>
      <c r="AX27" s="179">
        <f t="shared" si="16"/>
        <v>453760</v>
      </c>
    </row>
    <row r="28" spans="1:50" ht="15.75" customHeight="1">
      <c r="A28" s="119"/>
      <c r="B28" s="188">
        <f t="shared" si="17"/>
        <v>45862</v>
      </c>
      <c r="C28" s="186" t="s">
        <v>68</v>
      </c>
      <c r="D28" s="132">
        <v>98</v>
      </c>
      <c r="E28" s="133"/>
      <c r="F28" s="134"/>
      <c r="G28" s="135"/>
      <c r="H28" s="136" t="e">
        <f t="shared" si="0"/>
        <v>#DIV/0!</v>
      </c>
      <c r="I28" s="135"/>
      <c r="J28" s="136" t="e">
        <f t="shared" si="1"/>
        <v>#DIV/0!</v>
      </c>
      <c r="K28" s="138">
        <f t="shared" si="26"/>
        <v>0</v>
      </c>
      <c r="L28" s="139" t="str">
        <f t="shared" si="2"/>
        <v/>
      </c>
      <c r="M28" s="140"/>
      <c r="N28" s="141">
        <f t="shared" si="28"/>
        <v>37</v>
      </c>
      <c r="O28" s="142">
        <f t="shared" si="28"/>
        <v>352900</v>
      </c>
      <c r="P28" s="136">
        <f t="shared" si="3"/>
        <v>8670.7567567567567</v>
      </c>
      <c r="Q28" s="142">
        <f t="shared" si="19"/>
        <v>38860</v>
      </c>
      <c r="R28" s="137">
        <f t="shared" si="4"/>
        <v>954.78378378378375</v>
      </c>
      <c r="S28" s="143">
        <f t="shared" si="20"/>
        <v>391760</v>
      </c>
      <c r="T28" s="139">
        <f t="shared" si="5"/>
        <v>10588.108108108108</v>
      </c>
      <c r="U28" s="144">
        <f t="shared" si="27"/>
        <v>37</v>
      </c>
      <c r="V28" s="142">
        <f t="shared" si="27"/>
        <v>352900</v>
      </c>
      <c r="W28" s="142">
        <f t="shared" si="7"/>
        <v>38860</v>
      </c>
      <c r="X28" s="145">
        <f t="shared" si="21"/>
        <v>391760</v>
      </c>
      <c r="Y28" s="142">
        <f t="shared" si="8"/>
        <v>10588.108108108108</v>
      </c>
      <c r="Z28" s="146"/>
      <c r="AA28" s="187">
        <v>0</v>
      </c>
      <c r="AB28" s="135">
        <v>0</v>
      </c>
      <c r="AC28" s="136" t="e">
        <f t="shared" si="9"/>
        <v>#DIV/0!</v>
      </c>
      <c r="AD28" s="135">
        <v>0</v>
      </c>
      <c r="AE28" s="137" t="e">
        <f t="shared" si="10"/>
        <v>#DIV/0!</v>
      </c>
      <c r="AF28" s="148">
        <f t="shared" si="22"/>
        <v>0</v>
      </c>
      <c r="AG28" s="139" t="e">
        <f t="shared" si="11"/>
        <v>#DIV/0!</v>
      </c>
      <c r="AH28" s="154">
        <f t="shared" si="12"/>
        <v>37</v>
      </c>
      <c r="AI28" s="150">
        <f t="shared" si="13"/>
        <v>352900</v>
      </c>
      <c r="AJ28" s="150">
        <f t="shared" si="14"/>
        <v>38860</v>
      </c>
      <c r="AK28" s="149">
        <f t="shared" si="23"/>
        <v>391760</v>
      </c>
      <c r="AL28" s="142">
        <f t="shared" si="15"/>
        <v>41800</v>
      </c>
      <c r="AM28" s="142"/>
      <c r="AN28" s="150">
        <v>37</v>
      </c>
      <c r="AO28" s="150">
        <v>352900</v>
      </c>
      <c r="AP28" s="150">
        <v>38860</v>
      </c>
      <c r="AQ28" s="151">
        <v>41800</v>
      </c>
      <c r="AR28" s="151"/>
      <c r="AS28" s="151"/>
      <c r="AT28" s="151"/>
      <c r="AU28" s="152">
        <f>SUM(AO28:AS28)</f>
        <v>433560</v>
      </c>
      <c r="AV28" s="119">
        <v>24</v>
      </c>
      <c r="AW28" s="120">
        <f t="shared" si="25"/>
        <v>433560</v>
      </c>
      <c r="AX28" s="179">
        <f t="shared" si="16"/>
        <v>433560</v>
      </c>
    </row>
    <row r="29" spans="1:50" ht="15.75" customHeight="1">
      <c r="A29" s="119"/>
      <c r="B29" s="188">
        <f t="shared" si="17"/>
        <v>45863</v>
      </c>
      <c r="C29" s="186" t="s">
        <v>69</v>
      </c>
      <c r="D29" s="132">
        <v>97</v>
      </c>
      <c r="E29" s="133"/>
      <c r="F29" s="134"/>
      <c r="G29" s="135"/>
      <c r="H29" s="136" t="e">
        <f t="shared" si="0"/>
        <v>#DIV/0!</v>
      </c>
      <c r="I29" s="135"/>
      <c r="J29" s="136" t="e">
        <f t="shared" si="1"/>
        <v>#DIV/0!</v>
      </c>
      <c r="K29" s="138">
        <f t="shared" si="26"/>
        <v>0</v>
      </c>
      <c r="L29" s="139" t="str">
        <f t="shared" si="2"/>
        <v/>
      </c>
      <c r="M29" s="140"/>
      <c r="N29" s="141">
        <f t="shared" si="28"/>
        <v>38</v>
      </c>
      <c r="O29" s="142">
        <f t="shared" si="28"/>
        <v>341920</v>
      </c>
      <c r="P29" s="136">
        <f t="shared" si="3"/>
        <v>8179.894736842105</v>
      </c>
      <c r="Q29" s="142">
        <f t="shared" si="19"/>
        <v>48180</v>
      </c>
      <c r="R29" s="137">
        <f t="shared" si="4"/>
        <v>1152.6315789473683</v>
      </c>
      <c r="S29" s="143">
        <f t="shared" si="20"/>
        <v>390100</v>
      </c>
      <c r="T29" s="139">
        <f t="shared" si="5"/>
        <v>10265.78947368421</v>
      </c>
      <c r="U29" s="144">
        <f t="shared" si="27"/>
        <v>38</v>
      </c>
      <c r="V29" s="142">
        <f t="shared" si="27"/>
        <v>341920</v>
      </c>
      <c r="W29" s="142">
        <f t="shared" si="7"/>
        <v>48180</v>
      </c>
      <c r="X29" s="145">
        <f t="shared" si="21"/>
        <v>390100</v>
      </c>
      <c r="Y29" s="142">
        <f t="shared" si="8"/>
        <v>10265.78947368421</v>
      </c>
      <c r="Z29" s="146"/>
      <c r="AA29" s="187">
        <v>0</v>
      </c>
      <c r="AB29" s="135">
        <v>0</v>
      </c>
      <c r="AC29" s="136" t="e">
        <f t="shared" si="9"/>
        <v>#DIV/0!</v>
      </c>
      <c r="AD29" s="135">
        <v>0</v>
      </c>
      <c r="AE29" s="137" t="e">
        <f t="shared" si="10"/>
        <v>#DIV/0!</v>
      </c>
      <c r="AF29" s="148">
        <f t="shared" si="22"/>
        <v>0</v>
      </c>
      <c r="AG29" s="139" t="e">
        <f t="shared" si="11"/>
        <v>#DIV/0!</v>
      </c>
      <c r="AH29" s="154">
        <f t="shared" si="12"/>
        <v>38</v>
      </c>
      <c r="AI29" s="150">
        <f t="shared" si="13"/>
        <v>341920</v>
      </c>
      <c r="AJ29" s="150">
        <f t="shared" si="14"/>
        <v>48180</v>
      </c>
      <c r="AK29" s="149">
        <f t="shared" si="23"/>
        <v>390100</v>
      </c>
      <c r="AL29" s="142">
        <f t="shared" si="15"/>
        <v>35200</v>
      </c>
      <c r="AM29" s="142"/>
      <c r="AN29" s="150">
        <v>38</v>
      </c>
      <c r="AO29" s="150">
        <v>341920</v>
      </c>
      <c r="AP29" s="150">
        <v>48180</v>
      </c>
      <c r="AQ29" s="151">
        <v>35200</v>
      </c>
      <c r="AR29" s="151"/>
      <c r="AS29" s="151"/>
      <c r="AT29" s="151">
        <v>3300</v>
      </c>
      <c r="AU29" s="152">
        <f t="shared" si="24"/>
        <v>425300</v>
      </c>
      <c r="AV29" s="119">
        <v>25</v>
      </c>
      <c r="AW29" s="120">
        <f t="shared" si="25"/>
        <v>428600</v>
      </c>
      <c r="AX29" s="179">
        <f t="shared" si="16"/>
        <v>428600</v>
      </c>
    </row>
    <row r="30" spans="1:50" ht="15.75" customHeight="1">
      <c r="A30" s="119"/>
      <c r="B30" s="189">
        <f t="shared" si="17"/>
        <v>45864</v>
      </c>
      <c r="C30" s="186" t="s">
        <v>67</v>
      </c>
      <c r="D30" s="132">
        <v>85</v>
      </c>
      <c r="E30" s="133"/>
      <c r="F30" s="134">
        <v>23</v>
      </c>
      <c r="G30" s="135">
        <v>94490</v>
      </c>
      <c r="H30" s="136">
        <f t="shared" si="0"/>
        <v>3734.782608695652</v>
      </c>
      <c r="I30" s="135">
        <v>15560</v>
      </c>
      <c r="J30" s="136">
        <f>ROUNDDOWN(I30/1.1,0)/F30</f>
        <v>615</v>
      </c>
      <c r="K30" s="138">
        <f t="shared" si="26"/>
        <v>110050</v>
      </c>
      <c r="L30" s="139">
        <f>IF(F30="","",K30/F30)</f>
        <v>4784.782608695652</v>
      </c>
      <c r="M30" s="140"/>
      <c r="N30" s="141">
        <f t="shared" si="28"/>
        <v>36</v>
      </c>
      <c r="O30" s="142">
        <f t="shared" si="28"/>
        <v>368760</v>
      </c>
      <c r="P30" s="136">
        <f t="shared" si="3"/>
        <v>9312.1111111111113</v>
      </c>
      <c r="Q30" s="142">
        <f t="shared" si="19"/>
        <v>63700</v>
      </c>
      <c r="R30" s="136">
        <f t="shared" si="4"/>
        <v>1608.5833333333333</v>
      </c>
      <c r="S30" s="143">
        <f t="shared" si="20"/>
        <v>432460</v>
      </c>
      <c r="T30" s="139">
        <f t="shared" si="5"/>
        <v>12012.777777777777</v>
      </c>
      <c r="U30" s="144">
        <f t="shared" si="27"/>
        <v>59</v>
      </c>
      <c r="V30" s="142">
        <f t="shared" si="27"/>
        <v>463250</v>
      </c>
      <c r="W30" s="142">
        <f t="shared" si="7"/>
        <v>79260</v>
      </c>
      <c r="X30" s="145">
        <f t="shared" si="21"/>
        <v>542510</v>
      </c>
      <c r="Y30" s="142">
        <f t="shared" si="8"/>
        <v>9195.0847457627115</v>
      </c>
      <c r="Z30" s="146"/>
      <c r="AA30" s="187">
        <v>0</v>
      </c>
      <c r="AB30" s="135">
        <v>0</v>
      </c>
      <c r="AC30" s="136" t="e">
        <f t="shared" si="9"/>
        <v>#DIV/0!</v>
      </c>
      <c r="AD30" s="135">
        <v>0</v>
      </c>
      <c r="AE30" s="137" t="e">
        <f t="shared" si="10"/>
        <v>#DIV/0!</v>
      </c>
      <c r="AF30" s="148">
        <f t="shared" si="22"/>
        <v>0</v>
      </c>
      <c r="AG30" s="139" t="e">
        <f t="shared" si="11"/>
        <v>#DIV/0!</v>
      </c>
      <c r="AH30" s="154">
        <f t="shared" si="12"/>
        <v>59</v>
      </c>
      <c r="AI30" s="150">
        <f t="shared" si="13"/>
        <v>463250</v>
      </c>
      <c r="AJ30" s="150">
        <f t="shared" si="14"/>
        <v>79260</v>
      </c>
      <c r="AK30" s="149">
        <f t="shared" si="23"/>
        <v>542510</v>
      </c>
      <c r="AL30" s="142">
        <f t="shared" si="15"/>
        <v>48400</v>
      </c>
      <c r="AM30" s="142"/>
      <c r="AN30" s="150">
        <v>59</v>
      </c>
      <c r="AO30" s="150">
        <v>463250</v>
      </c>
      <c r="AP30" s="150">
        <v>79260</v>
      </c>
      <c r="AQ30" s="151">
        <v>48400</v>
      </c>
      <c r="AR30" s="151"/>
      <c r="AS30" s="151"/>
      <c r="AT30" s="151"/>
      <c r="AU30" s="152">
        <f>SUM(AO30:AS30)</f>
        <v>590910</v>
      </c>
      <c r="AV30" s="119">
        <v>26</v>
      </c>
      <c r="AW30" s="120">
        <f t="shared" si="25"/>
        <v>590910</v>
      </c>
      <c r="AX30" s="179">
        <f t="shared" si="16"/>
        <v>590910</v>
      </c>
    </row>
    <row r="31" spans="1:50" ht="15.75" customHeight="1">
      <c r="A31" s="119"/>
      <c r="B31" s="185">
        <f t="shared" si="17"/>
        <v>45865</v>
      </c>
      <c r="C31" s="186" t="s">
        <v>67</v>
      </c>
      <c r="D31" s="132">
        <v>0</v>
      </c>
      <c r="E31" s="133"/>
      <c r="F31" s="134">
        <v>15</v>
      </c>
      <c r="G31" s="135">
        <v>61380</v>
      </c>
      <c r="H31" s="136">
        <f t="shared" si="0"/>
        <v>3720</v>
      </c>
      <c r="I31" s="135">
        <v>7510</v>
      </c>
      <c r="J31" s="136">
        <f>ROUNDDOWN(I31/1.1,0)/F31</f>
        <v>455.13333333333333</v>
      </c>
      <c r="K31" s="138">
        <f t="shared" si="26"/>
        <v>68890</v>
      </c>
      <c r="L31" s="139">
        <f>IF(F31="","",K31/F31)</f>
        <v>4592.666666666667</v>
      </c>
      <c r="M31" s="140"/>
      <c r="N31" s="141">
        <f t="shared" si="28"/>
        <v>35</v>
      </c>
      <c r="O31" s="142">
        <f t="shared" si="28"/>
        <v>317920</v>
      </c>
      <c r="P31" s="136">
        <f t="shared" si="3"/>
        <v>8257.6571428571424</v>
      </c>
      <c r="Q31" s="142">
        <f t="shared" si="19"/>
        <v>57680</v>
      </c>
      <c r="R31" s="136">
        <f t="shared" si="4"/>
        <v>1498.1714285714286</v>
      </c>
      <c r="S31" s="143">
        <f t="shared" si="20"/>
        <v>375600</v>
      </c>
      <c r="T31" s="139">
        <f t="shared" si="5"/>
        <v>10731.428571428571</v>
      </c>
      <c r="U31" s="144">
        <f t="shared" si="27"/>
        <v>50</v>
      </c>
      <c r="V31" s="142">
        <f t="shared" si="27"/>
        <v>379300</v>
      </c>
      <c r="W31" s="142">
        <f t="shared" si="7"/>
        <v>65190</v>
      </c>
      <c r="X31" s="145">
        <f t="shared" si="21"/>
        <v>444490</v>
      </c>
      <c r="Y31" s="142">
        <f t="shared" si="8"/>
        <v>8889.7999999999993</v>
      </c>
      <c r="Z31" s="146"/>
      <c r="AA31" s="187">
        <v>0</v>
      </c>
      <c r="AB31" s="135">
        <v>0</v>
      </c>
      <c r="AC31" s="136" t="e">
        <f t="shared" si="9"/>
        <v>#DIV/0!</v>
      </c>
      <c r="AD31" s="135">
        <v>0</v>
      </c>
      <c r="AE31" s="137" t="e">
        <f t="shared" si="10"/>
        <v>#DIV/0!</v>
      </c>
      <c r="AF31" s="148">
        <f t="shared" si="22"/>
        <v>0</v>
      </c>
      <c r="AG31" s="139" t="e">
        <f t="shared" si="11"/>
        <v>#DIV/0!</v>
      </c>
      <c r="AH31" s="154">
        <f t="shared" si="12"/>
        <v>50</v>
      </c>
      <c r="AI31" s="150">
        <f t="shared" si="13"/>
        <v>379300</v>
      </c>
      <c r="AJ31" s="150">
        <f t="shared" si="14"/>
        <v>65190</v>
      </c>
      <c r="AK31" s="149">
        <f t="shared" si="23"/>
        <v>444490</v>
      </c>
      <c r="AL31" s="142">
        <f t="shared" si="15"/>
        <v>43450</v>
      </c>
      <c r="AM31" s="142"/>
      <c r="AN31" s="150">
        <v>50</v>
      </c>
      <c r="AO31" s="150">
        <v>379300</v>
      </c>
      <c r="AP31" s="150">
        <v>65190</v>
      </c>
      <c r="AQ31" s="151">
        <v>43450</v>
      </c>
      <c r="AR31" s="151"/>
      <c r="AS31" s="151"/>
      <c r="AT31" s="151"/>
      <c r="AU31" s="152">
        <f t="shared" si="24"/>
        <v>487940</v>
      </c>
      <c r="AV31" s="119">
        <v>27</v>
      </c>
      <c r="AW31" s="120">
        <f t="shared" si="25"/>
        <v>487940</v>
      </c>
      <c r="AX31" s="179">
        <f t="shared" si="16"/>
        <v>487940</v>
      </c>
    </row>
    <row r="32" spans="1:50" ht="15.75" customHeight="1">
      <c r="A32" s="119"/>
      <c r="B32" s="188">
        <f t="shared" si="17"/>
        <v>45866</v>
      </c>
      <c r="C32" s="186" t="s">
        <v>68</v>
      </c>
      <c r="D32" s="132">
        <v>60</v>
      </c>
      <c r="E32" s="133"/>
      <c r="F32" s="134"/>
      <c r="G32" s="135"/>
      <c r="H32" s="136" t="e">
        <f t="shared" si="0"/>
        <v>#DIV/0!</v>
      </c>
      <c r="I32" s="135"/>
      <c r="J32" s="136" t="e">
        <f>ROUNDDOWN(I32/1.1,0)/F32</f>
        <v>#DIV/0!</v>
      </c>
      <c r="K32" s="138">
        <f t="shared" si="26"/>
        <v>0</v>
      </c>
      <c r="L32" s="139" t="str">
        <f>IF(F32="","",K32/F32)</f>
        <v/>
      </c>
      <c r="M32" s="140"/>
      <c r="N32" s="141">
        <f t="shared" si="28"/>
        <v>28</v>
      </c>
      <c r="O32" s="142">
        <f t="shared" si="28"/>
        <v>251260</v>
      </c>
      <c r="P32" s="136">
        <f>ROUNDDOWN(O32/1.1,0)/N32</f>
        <v>8157.7857142857147</v>
      </c>
      <c r="Q32" s="142">
        <f>AP32-I32</f>
        <v>36940</v>
      </c>
      <c r="R32" s="136">
        <f>ROUNDDOWN(Q32/1.1,0)/N32</f>
        <v>1199.3214285714287</v>
      </c>
      <c r="S32" s="143">
        <f>O32+Q32</f>
        <v>288200</v>
      </c>
      <c r="T32" s="139">
        <f>IF(N32="","",S32/N32)</f>
        <v>10292.857142857143</v>
      </c>
      <c r="U32" s="144">
        <f t="shared" si="27"/>
        <v>28</v>
      </c>
      <c r="V32" s="142">
        <f>G32+O32</f>
        <v>251260</v>
      </c>
      <c r="W32" s="142">
        <f>I32+Q32</f>
        <v>36940</v>
      </c>
      <c r="X32" s="145">
        <f>K32+S32</f>
        <v>288200</v>
      </c>
      <c r="Y32" s="142">
        <f>IF(U32="","",X32/U32)</f>
        <v>10292.857142857143</v>
      </c>
      <c r="Z32" s="146"/>
      <c r="AA32" s="187">
        <v>0</v>
      </c>
      <c r="AB32" s="135">
        <v>0</v>
      </c>
      <c r="AC32" s="136" t="e">
        <f>AB32/AA32</f>
        <v>#DIV/0!</v>
      </c>
      <c r="AD32" s="135">
        <v>0</v>
      </c>
      <c r="AE32" s="137" t="e">
        <f>AD32/AA32</f>
        <v>#DIV/0!</v>
      </c>
      <c r="AF32" s="148">
        <f>AB32+AD32</f>
        <v>0</v>
      </c>
      <c r="AG32" s="139" t="e">
        <f>IF(AA32="","",AF32/AA32)</f>
        <v>#DIV/0!</v>
      </c>
      <c r="AH32" s="154">
        <f>SUM(F32,N32)</f>
        <v>28</v>
      </c>
      <c r="AI32" s="150">
        <f>V32+AB32</f>
        <v>251260</v>
      </c>
      <c r="AJ32" s="150">
        <f>W32+AD32</f>
        <v>36940</v>
      </c>
      <c r="AK32" s="149">
        <f>X32+AF32</f>
        <v>288200</v>
      </c>
      <c r="AL32" s="142">
        <f>AQ32+AR32+AS32</f>
        <v>29200</v>
      </c>
      <c r="AM32" s="142"/>
      <c r="AN32" s="150">
        <v>28</v>
      </c>
      <c r="AO32" s="150">
        <v>251260</v>
      </c>
      <c r="AP32" s="150">
        <v>36940</v>
      </c>
      <c r="AQ32" s="151">
        <v>24200</v>
      </c>
      <c r="AR32" s="151">
        <v>5000</v>
      </c>
      <c r="AS32" s="151"/>
      <c r="AT32" s="151"/>
      <c r="AU32" s="152">
        <f>SUM(AO32:AS32)</f>
        <v>317400</v>
      </c>
      <c r="AV32" s="119">
        <v>26</v>
      </c>
      <c r="AW32" s="120">
        <f>AT32+AU32</f>
        <v>317400</v>
      </c>
      <c r="AX32" s="179">
        <f t="shared" si="16"/>
        <v>317400</v>
      </c>
    </row>
    <row r="33" spans="1:50" ht="15.75" customHeight="1">
      <c r="A33" s="119"/>
      <c r="B33" s="188">
        <f t="shared" si="17"/>
        <v>45867</v>
      </c>
      <c r="C33" s="186" t="s">
        <v>68</v>
      </c>
      <c r="D33" s="132">
        <v>80</v>
      </c>
      <c r="E33" s="133"/>
      <c r="F33" s="134"/>
      <c r="G33" s="135"/>
      <c r="H33" s="136" t="e">
        <f t="shared" si="0"/>
        <v>#DIV/0!</v>
      </c>
      <c r="I33" s="135"/>
      <c r="J33" s="136" t="e">
        <f>ROUNDDOWN(I33/1.1,0)/F33</f>
        <v>#DIV/0!</v>
      </c>
      <c r="K33" s="138">
        <f t="shared" si="26"/>
        <v>0</v>
      </c>
      <c r="L33" s="139" t="str">
        <f>IF(F33="","",K33/F33)</f>
        <v/>
      </c>
      <c r="M33" s="140"/>
      <c r="N33" s="141">
        <f t="shared" si="28"/>
        <v>32</v>
      </c>
      <c r="O33" s="142">
        <f t="shared" si="28"/>
        <v>342000</v>
      </c>
      <c r="P33" s="136">
        <f>ROUNDDOWN(O33/1.1,0)/N33</f>
        <v>9715.90625</v>
      </c>
      <c r="Q33" s="142">
        <f>AP33-I33</f>
        <v>85260</v>
      </c>
      <c r="R33" s="136">
        <f>ROUNDDOWN(Q33/1.1,0)/N33</f>
        <v>2422.15625</v>
      </c>
      <c r="S33" s="143">
        <f>O33+Q33</f>
        <v>427260</v>
      </c>
      <c r="T33" s="139">
        <f>IF(N33="","",S33/N33)</f>
        <v>13351.875</v>
      </c>
      <c r="U33" s="144">
        <f t="shared" si="27"/>
        <v>32</v>
      </c>
      <c r="V33" s="142">
        <f>G33+O33</f>
        <v>342000</v>
      </c>
      <c r="W33" s="142">
        <f>I33+Q33</f>
        <v>85260</v>
      </c>
      <c r="X33" s="145">
        <f>K33+S33</f>
        <v>427260</v>
      </c>
      <c r="Y33" s="142">
        <f>IF(U33="","",X33/U33)</f>
        <v>13351.875</v>
      </c>
      <c r="Z33" s="146"/>
      <c r="AA33" s="187">
        <v>0</v>
      </c>
      <c r="AB33" s="135">
        <v>0</v>
      </c>
      <c r="AC33" s="136" t="e">
        <f>AB33/AA33</f>
        <v>#DIV/0!</v>
      </c>
      <c r="AD33" s="135">
        <v>0</v>
      </c>
      <c r="AE33" s="137" t="e">
        <f>AD33/AA33</f>
        <v>#DIV/0!</v>
      </c>
      <c r="AF33" s="148">
        <f>AB33+AD33</f>
        <v>0</v>
      </c>
      <c r="AG33" s="139" t="e">
        <f>IF(AA33="","",AF33/AA33)</f>
        <v>#DIV/0!</v>
      </c>
      <c r="AH33" s="154">
        <f>SUM(F33,N33)</f>
        <v>32</v>
      </c>
      <c r="AI33" s="150">
        <f>V33+AB33</f>
        <v>342000</v>
      </c>
      <c r="AJ33" s="150">
        <f>W33+AD33</f>
        <v>85260</v>
      </c>
      <c r="AK33" s="149">
        <f>X33+AF33</f>
        <v>427260</v>
      </c>
      <c r="AL33" s="142">
        <f>AQ33+AR33+AS33</f>
        <v>25300</v>
      </c>
      <c r="AM33" s="142"/>
      <c r="AN33" s="150">
        <v>32</v>
      </c>
      <c r="AO33" s="150">
        <v>342000</v>
      </c>
      <c r="AP33" s="150">
        <v>85260</v>
      </c>
      <c r="AQ33" s="151">
        <v>25300</v>
      </c>
      <c r="AR33" s="151"/>
      <c r="AS33" s="151"/>
      <c r="AT33" s="151"/>
      <c r="AU33" s="152">
        <f>SUM(AO33:AS33)</f>
        <v>452560</v>
      </c>
      <c r="AV33" s="119">
        <v>27</v>
      </c>
      <c r="AW33" s="120">
        <f>AT33+AU33</f>
        <v>452560</v>
      </c>
      <c r="AX33" s="179">
        <f t="shared" si="16"/>
        <v>452560</v>
      </c>
    </row>
    <row r="34" spans="1:50" ht="15.75" customHeight="1">
      <c r="A34" s="190" t="s">
        <v>70</v>
      </c>
      <c r="B34" s="191">
        <f t="shared" si="17"/>
        <v>45868</v>
      </c>
      <c r="C34" s="192" t="s">
        <v>56</v>
      </c>
      <c r="D34" s="132">
        <v>85</v>
      </c>
      <c r="E34" s="133"/>
      <c r="F34" s="134"/>
      <c r="G34" s="135"/>
      <c r="H34" s="136" t="e">
        <f t="shared" si="0"/>
        <v>#DIV/0!</v>
      </c>
      <c r="I34" s="135"/>
      <c r="K34" s="138">
        <f t="shared" si="26"/>
        <v>0</v>
      </c>
      <c r="L34" s="139" t="str">
        <f>IF(F34="","",K34/F34)</f>
        <v/>
      </c>
      <c r="M34" s="140"/>
      <c r="N34" s="141">
        <f t="shared" si="28"/>
        <v>31</v>
      </c>
      <c r="O34" s="142">
        <f t="shared" si="28"/>
        <v>274280</v>
      </c>
      <c r="P34" s="136">
        <f>ROUNDDOWN(O34/1.1,0)/N34</f>
        <v>8043.3870967741932</v>
      </c>
      <c r="Q34" s="142">
        <f>AP34-I34</f>
        <v>45450</v>
      </c>
      <c r="R34" s="136">
        <f>ROUNDDOWN(Q34/1.1,0)/N34</f>
        <v>1332.8387096774193</v>
      </c>
      <c r="S34" s="143">
        <f>O34+Q34</f>
        <v>319730</v>
      </c>
      <c r="T34" s="139">
        <f>IF(N34="","",S34/N34)</f>
        <v>10313.870967741936</v>
      </c>
      <c r="U34" s="144">
        <f t="shared" si="27"/>
        <v>31</v>
      </c>
      <c r="V34" s="142">
        <f>G34+O34</f>
        <v>274280</v>
      </c>
      <c r="W34" s="142">
        <f>I34+Q34</f>
        <v>45450</v>
      </c>
      <c r="X34" s="145">
        <f>K34+S34</f>
        <v>319730</v>
      </c>
      <c r="Y34" s="142">
        <f>IF(U34="","",X34/U34)</f>
        <v>10313.870967741936</v>
      </c>
      <c r="Z34" s="146"/>
      <c r="AA34" s="147">
        <v>94</v>
      </c>
      <c r="AB34" s="135">
        <v>63950</v>
      </c>
      <c r="AC34" s="136">
        <f>AB34/AA34</f>
        <v>680.31914893617022</v>
      </c>
      <c r="AD34" s="135">
        <v>13340</v>
      </c>
      <c r="AE34" s="137">
        <f>AD34/AA34</f>
        <v>141.91489361702128</v>
      </c>
      <c r="AF34" s="148">
        <f>AB34+AD34</f>
        <v>77290</v>
      </c>
      <c r="AG34" s="139">
        <f>IF(AA34="","",AF34/AA34)</f>
        <v>822.23404255319144</v>
      </c>
      <c r="AH34" s="154">
        <f>SUM(F34,N34)</f>
        <v>31</v>
      </c>
      <c r="AI34" s="150">
        <f>V34+AB34</f>
        <v>338230</v>
      </c>
      <c r="AJ34" s="150">
        <f>W34+AD34</f>
        <v>58790</v>
      </c>
      <c r="AK34" s="149">
        <f>X34+AF34</f>
        <v>397020</v>
      </c>
      <c r="AL34" s="142">
        <f>AQ34+AR34+AS34</f>
        <v>33000</v>
      </c>
      <c r="AM34" s="142">
        <v>2400</v>
      </c>
      <c r="AN34" s="150">
        <v>31</v>
      </c>
      <c r="AO34" s="150">
        <v>274280</v>
      </c>
      <c r="AP34" s="150">
        <v>45450</v>
      </c>
      <c r="AQ34" s="151">
        <v>33000</v>
      </c>
      <c r="AR34" s="151"/>
      <c r="AS34" s="151"/>
      <c r="AT34" s="151"/>
      <c r="AU34" s="152">
        <f>SUM(AO34:AS34)</f>
        <v>352730</v>
      </c>
      <c r="AV34" s="119">
        <v>27</v>
      </c>
      <c r="AW34" s="120">
        <f>AT34+AU34</f>
        <v>352730</v>
      </c>
      <c r="AX34" s="179">
        <f t="shared" si="16"/>
        <v>432420</v>
      </c>
    </row>
    <row r="35" spans="1:50" ht="15.75" customHeight="1" thickBot="1">
      <c r="A35" s="190" t="s">
        <v>70</v>
      </c>
      <c r="B35" s="191">
        <f t="shared" si="17"/>
        <v>45869</v>
      </c>
      <c r="C35" s="192" t="s">
        <v>56</v>
      </c>
      <c r="D35" s="132">
        <v>98</v>
      </c>
      <c r="E35" s="133"/>
      <c r="F35" s="134"/>
      <c r="G35" s="135"/>
      <c r="H35" s="136" t="e">
        <f t="shared" si="0"/>
        <v>#DIV/0!</v>
      </c>
      <c r="I35" s="135"/>
      <c r="J35" s="136" t="e">
        <f>ROUNDDOWN(I34/1.1,0)/F34</f>
        <v>#DIV/0!</v>
      </c>
      <c r="K35" s="138">
        <f t="shared" si="26"/>
        <v>0</v>
      </c>
      <c r="L35" s="139"/>
      <c r="M35" s="140"/>
      <c r="N35" s="141">
        <f t="shared" si="28"/>
        <v>40</v>
      </c>
      <c r="O35" s="142">
        <f t="shared" si="28"/>
        <v>358820</v>
      </c>
      <c r="P35" s="136">
        <f>ROUNDDOWN(O35/1.1,0)/N35</f>
        <v>8155</v>
      </c>
      <c r="Q35" s="142">
        <f>AP35-I35</f>
        <v>101970</v>
      </c>
      <c r="R35" s="136">
        <f>ROUNDDOWN(Q35/1.1,0)/N35</f>
        <v>2317.5</v>
      </c>
      <c r="S35" s="143">
        <f>O35+Q35</f>
        <v>460790</v>
      </c>
      <c r="T35" s="139">
        <f>IF(N35="","",S35/N35)</f>
        <v>11519.75</v>
      </c>
      <c r="U35" s="144">
        <f t="shared" si="27"/>
        <v>40</v>
      </c>
      <c r="V35" s="142">
        <f>G35+O35</f>
        <v>358820</v>
      </c>
      <c r="W35" s="142">
        <f>I35+Q35</f>
        <v>101970</v>
      </c>
      <c r="X35" s="145">
        <f>K35+S35</f>
        <v>460790</v>
      </c>
      <c r="Y35" s="142">
        <f>IF(U35="","",X35/U35)</f>
        <v>11519.75</v>
      </c>
      <c r="Z35" s="146"/>
      <c r="AA35" s="147">
        <v>66</v>
      </c>
      <c r="AB35" s="135">
        <v>56250</v>
      </c>
      <c r="AC35" s="136">
        <f>AB35/AA35</f>
        <v>852.27272727272725</v>
      </c>
      <c r="AD35" s="135">
        <v>10750</v>
      </c>
      <c r="AE35" s="137">
        <f>AD35/AA35</f>
        <v>162.87878787878788</v>
      </c>
      <c r="AF35" s="148">
        <f>AB35+AD35</f>
        <v>67000</v>
      </c>
      <c r="AG35" s="139">
        <f>IF(AA35="","",AF35/AA35)</f>
        <v>1015.1515151515151</v>
      </c>
      <c r="AH35" s="154">
        <f>SUM(F35,N35)</f>
        <v>40</v>
      </c>
      <c r="AI35" s="150">
        <f>V35+AB35</f>
        <v>415070</v>
      </c>
      <c r="AJ35" s="150">
        <f>W35+AD35</f>
        <v>112720</v>
      </c>
      <c r="AK35" s="149">
        <f>X35+AF35</f>
        <v>527790</v>
      </c>
      <c r="AL35" s="142">
        <f>AQ35+AR35+AS35</f>
        <v>22000</v>
      </c>
      <c r="AM35" s="142">
        <v>3600</v>
      </c>
      <c r="AN35" s="150">
        <v>40</v>
      </c>
      <c r="AO35" s="150">
        <v>358820</v>
      </c>
      <c r="AP35" s="150">
        <v>101970</v>
      </c>
      <c r="AQ35" s="151">
        <v>22000</v>
      </c>
      <c r="AR35" s="151"/>
      <c r="AS35" s="151"/>
      <c r="AT35" s="151"/>
      <c r="AU35" s="152">
        <f>SUM(AO35:AS35)</f>
        <v>482790</v>
      </c>
      <c r="AV35" s="119"/>
      <c r="AW35" s="120">
        <f>AT35+AU35</f>
        <v>482790</v>
      </c>
      <c r="AX35" s="179">
        <f t="shared" si="16"/>
        <v>553390</v>
      </c>
    </row>
    <row r="36" spans="1:50" ht="15.75" customHeight="1" thickTop="1" thickBot="1">
      <c r="A36" s="34"/>
      <c r="B36" s="35" t="s">
        <v>25</v>
      </c>
      <c r="C36" s="159">
        <f>SUM(C5:C35)</f>
        <v>0</v>
      </c>
      <c r="D36" s="160"/>
      <c r="E36" s="37">
        <f>SUM(E5:E35)</f>
        <v>0</v>
      </c>
      <c r="F36" s="38">
        <f>SUM(F5:F35)</f>
        <v>191</v>
      </c>
      <c r="G36" s="39">
        <f>SUM(G5:G35)</f>
        <v>685548</v>
      </c>
      <c r="H36" s="40">
        <f>G36/F36</f>
        <v>3589.256544502618</v>
      </c>
      <c r="I36" s="36">
        <f>SUM(I5:I35)</f>
        <v>140480</v>
      </c>
      <c r="J36" s="41">
        <f>I36/F36</f>
        <v>735.49738219895289</v>
      </c>
      <c r="K36" s="42">
        <f>SUM(K5:K35)</f>
        <v>826028</v>
      </c>
      <c r="L36" s="43">
        <f>K36/F36</f>
        <v>4324.7539267015709</v>
      </c>
      <c r="M36" s="44">
        <f>SUM(M5:M35)</f>
        <v>0</v>
      </c>
      <c r="N36" s="38">
        <f>SUM(N5:N35)</f>
        <v>1146</v>
      </c>
      <c r="O36" s="39">
        <f>SUM(O5:O35)</f>
        <v>11107590</v>
      </c>
      <c r="P36" s="40">
        <f>O36/N36</f>
        <v>9692.4869109947649</v>
      </c>
      <c r="Q36" s="45">
        <f>SUM(Q5:Q35)</f>
        <v>2223920</v>
      </c>
      <c r="R36" s="41">
        <f>Q36/N36</f>
        <v>1940.5933682373472</v>
      </c>
      <c r="S36" s="46">
        <f>SUM(S5:S35)</f>
        <v>13331510</v>
      </c>
      <c r="T36" s="47">
        <f>S36/N36</f>
        <v>11633.080279232112</v>
      </c>
      <c r="U36" s="38">
        <f>SUM(U5:U35)</f>
        <v>1337</v>
      </c>
      <c r="V36" s="48">
        <f>SUM(V5:V35)</f>
        <v>11793138</v>
      </c>
      <c r="W36" s="45">
        <f>SUM(W5:W35)</f>
        <v>2364400</v>
      </c>
      <c r="X36" s="49">
        <f>SUM(X5:X35)</f>
        <v>14157538</v>
      </c>
      <c r="Y36" s="50">
        <f>X36/U36</f>
        <v>10589.033657442034</v>
      </c>
      <c r="Z36" s="37">
        <f>SUM(Z5:Z35)</f>
        <v>0</v>
      </c>
      <c r="AA36" s="38">
        <f>SUM(AA5:AA35)</f>
        <v>2137</v>
      </c>
      <c r="AB36" s="51">
        <f>SUM(AB5:AB35)</f>
        <v>1655450</v>
      </c>
      <c r="AC36" s="40">
        <f>AB36/AA36</f>
        <v>774.66073935423492</v>
      </c>
      <c r="AD36" s="36">
        <f>SUM(AD5:AD35)</f>
        <v>415370</v>
      </c>
      <c r="AE36" s="41">
        <f>AD36/AA36</f>
        <v>194.37061300889096</v>
      </c>
      <c r="AF36" s="52">
        <f>SUM(AF5:AF35)</f>
        <v>2070820</v>
      </c>
      <c r="AG36" s="53">
        <f>AF36/AA36</f>
        <v>969.03135236312585</v>
      </c>
      <c r="AH36" s="38">
        <f t="shared" ref="AH36:AU36" si="29">SUM(AH5:AH35)</f>
        <v>1337</v>
      </c>
      <c r="AI36" s="48">
        <f t="shared" si="29"/>
        <v>13448588</v>
      </c>
      <c r="AJ36" s="45">
        <f t="shared" si="29"/>
        <v>2779770</v>
      </c>
      <c r="AK36" s="46">
        <f t="shared" si="29"/>
        <v>16228358</v>
      </c>
      <c r="AL36" s="36">
        <f t="shared" si="29"/>
        <v>1294540</v>
      </c>
      <c r="AM36" s="174">
        <f t="shared" si="29"/>
        <v>98000</v>
      </c>
      <c r="AN36" s="54">
        <f t="shared" si="29"/>
        <v>1337</v>
      </c>
      <c r="AO36" s="54">
        <f t="shared" si="29"/>
        <v>11793138</v>
      </c>
      <c r="AP36" s="54">
        <f t="shared" si="29"/>
        <v>2364400</v>
      </c>
      <c r="AQ36" s="54">
        <f t="shared" si="29"/>
        <v>1068090</v>
      </c>
      <c r="AR36" s="54">
        <f t="shared" si="29"/>
        <v>226450</v>
      </c>
      <c r="AS36" s="54">
        <f t="shared" si="29"/>
        <v>0</v>
      </c>
      <c r="AT36" s="54">
        <f t="shared" si="29"/>
        <v>226200</v>
      </c>
      <c r="AU36" s="54">
        <f t="shared" si="29"/>
        <v>15452078</v>
      </c>
      <c r="AV36" s="34"/>
      <c r="AW36" s="55">
        <f>SUM(AW5:AW35)</f>
        <v>15678278</v>
      </c>
      <c r="AX36" s="55">
        <f>SUM(AX5:AX35)</f>
        <v>17847098</v>
      </c>
    </row>
    <row r="37" spans="1:50" ht="15.75" customHeight="1" thickTop="1">
      <c r="A37" s="34"/>
      <c r="B37" s="56"/>
      <c r="C37" s="161"/>
      <c r="D37" s="88"/>
      <c r="E37" s="34"/>
      <c r="F37" s="57" t="s">
        <v>34</v>
      </c>
      <c r="G37" s="58">
        <f>G36/1.1</f>
        <v>623225.45454545447</v>
      </c>
      <c r="H37" s="59">
        <f>G37/F36</f>
        <v>3262.9604950023795</v>
      </c>
      <c r="I37" s="32">
        <f>I36/1.1</f>
        <v>127709.0909090909</v>
      </c>
      <c r="J37" s="59">
        <f>I37/F36</f>
        <v>668.63398381722982</v>
      </c>
      <c r="K37" s="54">
        <f>K36/1.1</f>
        <v>750934.54545454541</v>
      </c>
      <c r="L37" s="60">
        <f>H37+J37</f>
        <v>3931.5944788196093</v>
      </c>
      <c r="M37" s="61"/>
      <c r="N37" s="57" t="s">
        <v>34</v>
      </c>
      <c r="O37" s="58">
        <f>O36/1.1</f>
        <v>10097809.09090909</v>
      </c>
      <c r="P37" s="59">
        <f>O37/N36</f>
        <v>8811.3517372679671</v>
      </c>
      <c r="Q37" s="58">
        <f>Q36/1.1</f>
        <v>2021745.4545454544</v>
      </c>
      <c r="R37" s="59">
        <f>Q37/N36</f>
        <v>1764.1757893066792</v>
      </c>
      <c r="S37" s="59">
        <f>S36/1.1</f>
        <v>12119554.545454545</v>
      </c>
      <c r="T37" s="62">
        <f>S37/N36</f>
        <v>10575.527526574646</v>
      </c>
      <c r="U37" s="57" t="s">
        <v>34</v>
      </c>
      <c r="V37" s="58">
        <f>V36/1.1</f>
        <v>10721034.545454545</v>
      </c>
      <c r="W37" s="58">
        <f>W36/1.1</f>
        <v>2149454.5454545454</v>
      </c>
      <c r="X37" s="63">
        <f>X36/1.1</f>
        <v>12870489.09090909</v>
      </c>
      <c r="Y37" s="50">
        <f>X37/U36</f>
        <v>9626.3942340382127</v>
      </c>
      <c r="Z37" s="61"/>
      <c r="AA37" s="57" t="s">
        <v>34</v>
      </c>
      <c r="AB37" s="58">
        <f>AB36/1.1</f>
        <v>1504954.5454545454</v>
      </c>
      <c r="AC37" s="32">
        <f>AB37/AA36</f>
        <v>704.23703577657716</v>
      </c>
      <c r="AD37" s="32">
        <f>AD36/1.1</f>
        <v>377609.09090909088</v>
      </c>
      <c r="AE37" s="32">
        <f>AD37/AA36</f>
        <v>176.70055728080996</v>
      </c>
      <c r="AF37" s="59">
        <f>AF36/1.1</f>
        <v>1882563.6363636362</v>
      </c>
      <c r="AG37" s="64">
        <f>AF37/AA36</f>
        <v>880.93759305738706</v>
      </c>
      <c r="AH37" s="57" t="s">
        <v>34</v>
      </c>
      <c r="AI37" s="65">
        <f>AI36/1.1</f>
        <v>12225989.09090909</v>
      </c>
      <c r="AJ37" s="58">
        <f>AJ36/1.1</f>
        <v>2527063.6363636362</v>
      </c>
      <c r="AK37" s="59">
        <f>AK36/1.1</f>
        <v>14753052.727272727</v>
      </c>
      <c r="AL37" s="175">
        <f>AL36/1.1</f>
        <v>1176854.5454545454</v>
      </c>
      <c r="AM37" s="176">
        <f>AM36/1.08</f>
        <v>90740.74074074073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15.75" customHeight="1">
      <c r="A38" s="31"/>
      <c r="B38" s="67"/>
      <c r="C38" s="162"/>
      <c r="D38" s="89"/>
      <c r="E38" s="31"/>
      <c r="F38" s="68" t="s">
        <v>35</v>
      </c>
      <c r="G38" s="69">
        <f>F36/H38</f>
        <v>23.875</v>
      </c>
      <c r="H38" s="70">
        <v>8</v>
      </c>
      <c r="I38" s="71" t="s">
        <v>36</v>
      </c>
      <c r="J38" s="69"/>
      <c r="K38" s="72" t="s">
        <v>37</v>
      </c>
      <c r="L38" s="73">
        <f>K37/H38</f>
        <v>93866.818181818177</v>
      </c>
      <c r="M38" s="31"/>
      <c r="N38" s="68" t="s">
        <v>35</v>
      </c>
      <c r="O38" s="69">
        <f>N36/P38</f>
        <v>36.967741935483872</v>
      </c>
      <c r="P38" s="70">
        <v>31</v>
      </c>
      <c r="Q38" s="71" t="s">
        <v>36</v>
      </c>
      <c r="R38" s="69"/>
      <c r="S38" s="72" t="s">
        <v>37</v>
      </c>
      <c r="T38" s="74">
        <f>S37/P38</f>
        <v>390953.3724340176</v>
      </c>
      <c r="U38" s="31"/>
      <c r="V38" s="31"/>
      <c r="W38" s="31"/>
      <c r="X38" s="33"/>
      <c r="Y38" s="33"/>
      <c r="Z38" s="31"/>
      <c r="AA38" s="31"/>
      <c r="AB38" s="75">
        <v>22</v>
      </c>
      <c r="AC38" s="71" t="s">
        <v>36</v>
      </c>
      <c r="AD38" s="69"/>
      <c r="AE38" s="69"/>
      <c r="AF38" s="72" t="s">
        <v>37</v>
      </c>
      <c r="AG38" s="76">
        <f>AF37/AB38</f>
        <v>85571.074380165286</v>
      </c>
      <c r="AH38" s="31"/>
      <c r="AI38" s="31"/>
      <c r="AJ38" s="31" t="s">
        <v>50</v>
      </c>
      <c r="AK38" s="33"/>
      <c r="AL38" s="33">
        <f>AK37/AN38</f>
        <v>4246.7048725597942</v>
      </c>
      <c r="AM38" s="33"/>
      <c r="AN38" s="77">
        <f>AH36+AA36</f>
        <v>3474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14252979.999999998</v>
      </c>
    </row>
    <row r="39" spans="1:50" ht="15.75" customHeight="1">
      <c r="A39" s="31"/>
      <c r="B39" s="67"/>
      <c r="C39" s="162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52</v>
      </c>
      <c r="AL39" s="82">
        <f>AK37/AB38</f>
        <v>670593.30578512396</v>
      </c>
      <c r="AM39" s="82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63"/>
      <c r="D40" s="89"/>
      <c r="E40" s="83"/>
      <c r="F40" s="10"/>
      <c r="G40" s="10"/>
      <c r="H40" s="10"/>
      <c r="I40" s="10"/>
      <c r="J40" s="10"/>
      <c r="K40" s="10"/>
      <c r="L40" s="84"/>
      <c r="M40" s="83"/>
      <c r="N40" s="10"/>
      <c r="O40" s="10"/>
      <c r="P40" s="10"/>
      <c r="Q40" s="10"/>
      <c r="R40" s="10"/>
      <c r="S40" s="10"/>
      <c r="T40" s="84"/>
      <c r="U40" s="31"/>
      <c r="V40" s="31"/>
      <c r="W40" s="31"/>
      <c r="X40" s="33"/>
      <c r="Y40" s="31"/>
      <c r="Z40" s="83"/>
      <c r="AA40" s="10"/>
      <c r="AB40" s="10"/>
      <c r="AC40" s="10"/>
      <c r="AD40" s="10"/>
      <c r="AE40" s="10"/>
      <c r="AF40" s="10"/>
      <c r="AG40" s="84"/>
      <c r="AH40" s="31"/>
      <c r="AI40" s="31"/>
      <c r="AJ40" s="31" t="s">
        <v>54</v>
      </c>
      <c r="AK40" s="33">
        <f>AK36+AL36+AM36</f>
        <v>17620898</v>
      </c>
      <c r="AL40" s="82">
        <f>AK40/AB38</f>
        <v>800949.90909090906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63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 t="s">
        <v>55</v>
      </c>
      <c r="AK41" s="66">
        <f>AK37+AL37+AM37</f>
        <v>16020648.013468012</v>
      </c>
      <c r="AL41" s="82">
        <f>AK41/AB38</f>
        <v>728211.27333945513</v>
      </c>
      <c r="AM41" s="82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63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3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63"/>
      <c r="D43" s="89"/>
      <c r="E43" s="85"/>
      <c r="F43" s="86"/>
      <c r="G43" s="86"/>
      <c r="H43" s="86"/>
      <c r="I43" s="86"/>
      <c r="J43" s="86"/>
      <c r="K43" s="86"/>
      <c r="L43" s="87"/>
      <c r="M43" s="85"/>
      <c r="N43" s="86"/>
      <c r="O43" s="86"/>
      <c r="P43" s="86"/>
      <c r="Q43" s="86"/>
      <c r="R43" s="86"/>
      <c r="S43" s="86"/>
      <c r="T43" s="87"/>
      <c r="U43" s="31"/>
      <c r="V43" s="31"/>
      <c r="W43" s="31"/>
      <c r="X43" s="31"/>
      <c r="Y43" s="31"/>
      <c r="Z43" s="85"/>
      <c r="AA43" s="86"/>
      <c r="AB43" s="86"/>
      <c r="AC43" s="86"/>
      <c r="AD43" s="86"/>
      <c r="AE43" s="86"/>
      <c r="AF43" s="86"/>
      <c r="AG43" s="87"/>
      <c r="AH43" s="31"/>
      <c r="AI43" s="31"/>
      <c r="AJ43" s="31"/>
      <c r="AK43" s="33">
        <f>AK37+AL37</f>
        <v>15929907.272727272</v>
      </c>
      <c r="AL43" s="89" t="s">
        <v>42</v>
      </c>
      <c r="AM43" s="89" t="s">
        <v>58</v>
      </c>
      <c r="AN43" s="89" t="s">
        <v>59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63"/>
      <c r="D44" s="89"/>
      <c r="E44" s="90"/>
      <c r="F44" s="91"/>
      <c r="G44" s="91"/>
      <c r="H44" s="91"/>
      <c r="I44" s="91"/>
      <c r="J44" s="91"/>
      <c r="K44" s="91"/>
      <c r="L44" s="92"/>
      <c r="M44" s="90"/>
      <c r="N44" s="91"/>
      <c r="O44" s="91"/>
      <c r="P44" s="91"/>
      <c r="Q44" s="91"/>
      <c r="R44" s="91"/>
      <c r="S44" s="91"/>
      <c r="T44" s="92"/>
      <c r="U44" s="31"/>
      <c r="V44" s="31"/>
      <c r="W44" s="31"/>
      <c r="X44" s="31"/>
      <c r="Y44" s="31"/>
      <c r="Z44" s="90"/>
      <c r="AA44" s="91"/>
      <c r="AB44" s="91"/>
      <c r="AC44" s="91"/>
      <c r="AD44" s="91"/>
      <c r="AE44" s="91"/>
      <c r="AF44" s="91"/>
      <c r="AG44" s="92"/>
      <c r="AH44" s="31"/>
      <c r="AI44" s="34"/>
      <c r="AJ44" s="88" t="s">
        <v>43</v>
      </c>
      <c r="AK44" s="66">
        <f>K45+S45+AF45+AL44</f>
        <v>16936306</v>
      </c>
      <c r="AL44" s="164">
        <f>AM44+AN44</f>
        <v>925600</v>
      </c>
      <c r="AM44" s="34">
        <v>775600</v>
      </c>
      <c r="AN44" s="34">
        <v>150000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7"/>
      <c r="C45" s="162"/>
      <c r="D45" s="89"/>
      <c r="E45" s="31"/>
      <c r="F45" s="31"/>
      <c r="G45" s="31"/>
      <c r="H45" s="31"/>
      <c r="I45" s="93"/>
      <c r="J45" s="94" t="s">
        <v>44</v>
      </c>
      <c r="K45" s="165">
        <v>1120000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65">
        <v>12566706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65">
        <v>2324000</v>
      </c>
      <c r="AG45" s="95" t="s">
        <v>45</v>
      </c>
      <c r="AH45" s="34"/>
      <c r="AI45" s="34"/>
      <c r="AJ45" s="88" t="s">
        <v>48</v>
      </c>
      <c r="AK45" s="66">
        <f>AK44-AK37-AL37</f>
        <v>1006398.727272728</v>
      </c>
      <c r="AL45" s="66">
        <f>AL44-AL37</f>
        <v>-251254.54545454541</v>
      </c>
      <c r="AM45" s="105">
        <f>AL37/AL44</f>
        <v>1.2714504596527068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7"/>
      <c r="C46" s="162"/>
      <c r="D46" s="89"/>
      <c r="E46" s="31"/>
      <c r="F46" s="31"/>
      <c r="G46" s="31"/>
      <c r="H46" s="31"/>
      <c r="I46" s="93"/>
      <c r="J46" s="93" t="s">
        <v>48</v>
      </c>
      <c r="K46" s="66">
        <f>K45-K37</f>
        <v>369065.45454545459</v>
      </c>
      <c r="L46" s="180">
        <f>8-H38</f>
        <v>0</v>
      </c>
      <c r="M46" s="34"/>
      <c r="N46" s="34"/>
      <c r="O46" s="34"/>
      <c r="P46" s="34"/>
      <c r="Q46" s="34"/>
      <c r="R46" s="93" t="s">
        <v>48</v>
      </c>
      <c r="S46" s="66">
        <f>S45-S37</f>
        <v>447151.45454545505</v>
      </c>
      <c r="T46" s="181">
        <f>31-P38</f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441436.36363636376</v>
      </c>
      <c r="AG46" s="177">
        <v>1</v>
      </c>
      <c r="AH46" s="34"/>
      <c r="AI46" s="96"/>
      <c r="AJ46" s="97" t="s">
        <v>49</v>
      </c>
      <c r="AK46" s="98" t="e">
        <f>AK45/T46</f>
        <v>#DIV/0!</v>
      </c>
      <c r="AL46" s="104">
        <f>(AK37+AL37)/AK44</f>
        <v>0.94057743599621257</v>
      </c>
      <c r="AM46" s="104"/>
      <c r="AN46" s="96"/>
      <c r="AO46" s="99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99"/>
      <c r="B47" s="100"/>
      <c r="C47" s="166"/>
      <c r="D47" s="113"/>
      <c r="E47" s="99"/>
      <c r="F47" s="99"/>
      <c r="G47" s="99"/>
      <c r="H47" s="99"/>
      <c r="I47" s="101"/>
      <c r="J47" s="97" t="s">
        <v>49</v>
      </c>
      <c r="K47" s="102" t="e">
        <f>K46/L46</f>
        <v>#DIV/0!</v>
      </c>
      <c r="L47" s="103">
        <f>K37/K45</f>
        <v>0.67047727272727264</v>
      </c>
      <c r="M47" s="96"/>
      <c r="N47" s="96"/>
      <c r="O47" s="96"/>
      <c r="P47" s="96"/>
      <c r="Q47" s="96"/>
      <c r="R47" s="97" t="s">
        <v>49</v>
      </c>
      <c r="S47" s="98" t="e">
        <f>S46/T46</f>
        <v>#DIV/0!</v>
      </c>
      <c r="T47" s="103">
        <f>S37/S45</f>
        <v>0.96441776750841035</v>
      </c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7" t="s">
        <v>49</v>
      </c>
      <c r="AF47" s="102">
        <f>AF46/AG46</f>
        <v>441436.36363636376</v>
      </c>
      <c r="AG47" s="103">
        <f>AF37/AF45</f>
        <v>0.81005319981223589</v>
      </c>
      <c r="AH47" s="96"/>
      <c r="AI47" s="31"/>
      <c r="AJ47" s="31"/>
      <c r="AK47" s="33"/>
      <c r="AL47" s="31"/>
      <c r="AM47" s="31"/>
      <c r="AN47" s="31"/>
      <c r="AO47" s="31"/>
      <c r="AP47" s="99"/>
      <c r="AQ47" s="99"/>
      <c r="AR47" s="99"/>
      <c r="AS47" s="106"/>
      <c r="AT47" s="99"/>
      <c r="AU47" s="106"/>
      <c r="AV47" s="99"/>
      <c r="AW47" s="99"/>
    </row>
    <row r="48" spans="1:50" ht="15.75" customHeight="1">
      <c r="A48" s="31"/>
      <c r="B48" s="67"/>
      <c r="C48" s="162"/>
      <c r="D48" s="8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7"/>
      <c r="AJ48" s="107"/>
      <c r="AK48" s="107"/>
      <c r="AL48" s="107"/>
      <c r="AM48" s="107"/>
      <c r="AN48" s="107"/>
      <c r="AO48" s="107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7"/>
      <c r="B49" s="108"/>
      <c r="C49" s="167"/>
      <c r="D49" s="1"/>
      <c r="E49" s="107"/>
      <c r="F49" s="107"/>
      <c r="G49" s="107"/>
      <c r="H49" s="107"/>
      <c r="I49" s="107"/>
      <c r="J49" s="107"/>
      <c r="K49" s="107"/>
      <c r="L49" s="107"/>
      <c r="M49" s="109"/>
      <c r="N49" s="31"/>
      <c r="O49" s="31"/>
      <c r="P49" s="31"/>
      <c r="Q49" s="31"/>
      <c r="R49" s="31"/>
      <c r="S49" s="109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"/>
      <c r="AJ49" s="1"/>
      <c r="AK49" s="1"/>
      <c r="AL49" s="1"/>
      <c r="AM49" s="1"/>
      <c r="AN49" s="1"/>
      <c r="AO49" s="1"/>
      <c r="AP49" s="107"/>
      <c r="AQ49" s="107"/>
      <c r="AR49" s="107"/>
      <c r="AS49" s="110"/>
      <c r="AT49" s="107"/>
      <c r="AU49" s="110"/>
      <c r="AV49" s="107"/>
      <c r="AW49" s="107"/>
    </row>
    <row r="50" spans="1:49" ht="36" customHeight="1">
      <c r="A50" s="1"/>
      <c r="B50" s="111"/>
      <c r="C50" s="121"/>
      <c r="D50" s="1"/>
      <c r="E50" s="1"/>
      <c r="F50" s="1"/>
      <c r="G50" s="1"/>
      <c r="H50" s="1"/>
      <c r="I50" s="1"/>
      <c r="J50" s="1"/>
      <c r="K50" s="1"/>
      <c r="L50" s="1"/>
      <c r="M50" s="112"/>
      <c r="N50" s="31"/>
      <c r="O50" s="31"/>
      <c r="P50" s="31"/>
      <c r="Q50" s="31"/>
      <c r="R50" s="31"/>
      <c r="S50" s="112"/>
      <c r="T50" s="112"/>
      <c r="U50" s="1"/>
      <c r="V50" s="1"/>
      <c r="W50" s="1"/>
      <c r="X50" s="1"/>
      <c r="Y50" s="1"/>
      <c r="Z50" s="1"/>
      <c r="AA50" s="113"/>
      <c r="AB50" s="1"/>
      <c r="AC50" s="1"/>
      <c r="AD50" s="1"/>
      <c r="AE50" s="1"/>
      <c r="AF50" s="1"/>
      <c r="AG50" s="1"/>
      <c r="AH50" s="1"/>
      <c r="AI50" s="107"/>
      <c r="AJ50" s="107"/>
      <c r="AK50" s="107"/>
      <c r="AL50" s="107"/>
      <c r="AM50" s="107"/>
      <c r="AN50" s="107"/>
      <c r="AO50" s="107"/>
      <c r="AP50" s="1"/>
      <c r="AQ50" s="1"/>
      <c r="AR50" s="1"/>
      <c r="AS50" s="114"/>
      <c r="AT50" s="1"/>
      <c r="AU50" s="114"/>
      <c r="AV50" s="1"/>
      <c r="AW50" s="1"/>
    </row>
    <row r="51" spans="1:49" ht="36" customHeight="1">
      <c r="A51" s="107"/>
      <c r="B51" s="108"/>
      <c r="C51" s="167"/>
      <c r="D51" s="1"/>
      <c r="E51" s="107"/>
      <c r="F51" s="107"/>
      <c r="G51" s="107"/>
      <c r="H51" s="107"/>
      <c r="I51" s="107"/>
      <c r="J51" s="107"/>
      <c r="K51" s="107"/>
      <c r="L51" s="1"/>
      <c r="M51" s="112"/>
      <c r="N51" s="31"/>
      <c r="O51" s="31"/>
      <c r="P51" s="31"/>
      <c r="Q51" s="31"/>
      <c r="R51" s="31"/>
      <c r="S51" s="115"/>
      <c r="T51" s="116"/>
      <c r="U51" s="116"/>
      <c r="V51" s="116"/>
      <c r="W51" s="116"/>
      <c r="X51" s="117"/>
      <c r="Y51" s="118"/>
      <c r="Z51" s="119"/>
      <c r="AA51" s="120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10"/>
      <c r="AT51" s="107"/>
      <c r="AU51" s="110"/>
      <c r="AV51" s="107"/>
      <c r="AW51" s="107"/>
    </row>
    <row r="52" spans="1:49" ht="36" customHeight="1">
      <c r="A52" s="107"/>
      <c r="B52" s="108"/>
      <c r="C52" s="167"/>
      <c r="D52" s="1"/>
      <c r="E52" s="107"/>
      <c r="F52" s="107"/>
      <c r="G52" s="107"/>
      <c r="H52" s="107"/>
      <c r="I52" s="107"/>
      <c r="J52" s="107"/>
      <c r="K52" s="107"/>
      <c r="L52" s="1"/>
      <c r="M52" s="112"/>
      <c r="N52" s="31"/>
      <c r="O52" s="31"/>
      <c r="P52" s="31"/>
      <c r="Q52" s="31"/>
      <c r="R52" s="31"/>
      <c r="S52" s="117"/>
      <c r="T52" s="116"/>
      <c r="U52" s="116"/>
      <c r="V52" s="116"/>
      <c r="W52" s="116"/>
      <c r="X52" s="117"/>
      <c r="Y52" s="118"/>
      <c r="Z52" s="119"/>
      <c r="AA52" s="120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10"/>
      <c r="AT52" s="107"/>
      <c r="AU52" s="110"/>
      <c r="AV52" s="107"/>
      <c r="AW52" s="107"/>
    </row>
    <row r="53" spans="1:49" ht="36" customHeight="1">
      <c r="A53" s="107"/>
      <c r="B53" s="108"/>
      <c r="C53" s="167"/>
      <c r="D53" s="1"/>
      <c r="E53" s="107"/>
      <c r="F53" s="107"/>
      <c r="G53" s="107"/>
      <c r="H53" s="107"/>
      <c r="I53" s="107"/>
      <c r="J53" s="107"/>
      <c r="K53" s="107"/>
      <c r="L53" s="1"/>
      <c r="M53" s="112"/>
      <c r="N53" s="31"/>
      <c r="O53" s="31"/>
      <c r="P53" s="31"/>
      <c r="Q53" s="31"/>
      <c r="R53" s="31"/>
      <c r="S53" s="117"/>
      <c r="T53" s="116"/>
      <c r="U53" s="116"/>
      <c r="V53" s="116"/>
      <c r="W53" s="116"/>
      <c r="X53" s="117"/>
      <c r="Y53" s="118"/>
      <c r="Z53" s="119"/>
      <c r="AA53" s="120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10"/>
      <c r="AT53" s="107"/>
      <c r="AU53" s="110"/>
      <c r="AV53" s="107"/>
      <c r="AW53" s="107"/>
    </row>
    <row r="54" spans="1:49" ht="36" customHeight="1">
      <c r="A54" s="107"/>
      <c r="B54" s="108"/>
      <c r="C54" s="167"/>
      <c r="D54" s="1"/>
      <c r="E54" s="107"/>
      <c r="F54" s="107"/>
      <c r="G54" s="107"/>
      <c r="H54" s="107"/>
      <c r="I54" s="107"/>
      <c r="J54" s="107"/>
      <c r="K54" s="107"/>
      <c r="L54" s="1"/>
      <c r="M54" s="112"/>
      <c r="N54" s="31"/>
      <c r="O54" s="31"/>
      <c r="P54" s="31"/>
      <c r="Q54" s="31"/>
      <c r="R54" s="31"/>
      <c r="S54" s="117"/>
      <c r="T54" s="116"/>
      <c r="U54" s="116"/>
      <c r="V54" s="116"/>
      <c r="W54" s="116"/>
      <c r="X54" s="117"/>
      <c r="Y54" s="118"/>
      <c r="Z54" s="119"/>
      <c r="AA54" s="120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10"/>
      <c r="AT54" s="107"/>
      <c r="AU54" s="110"/>
      <c r="AV54" s="107"/>
      <c r="AW54" s="107"/>
    </row>
    <row r="55" spans="1:49" ht="36" customHeight="1">
      <c r="A55" s="107"/>
      <c r="B55" s="108"/>
      <c r="C55" s="167"/>
      <c r="D55" s="1"/>
      <c r="E55" s="107"/>
      <c r="F55" s="107"/>
      <c r="G55" s="107"/>
      <c r="H55" s="107"/>
      <c r="I55" s="107"/>
      <c r="J55" s="107"/>
      <c r="K55" s="107"/>
      <c r="L55" s="107"/>
      <c r="M55" s="109"/>
      <c r="N55" s="31"/>
      <c r="O55" s="31"/>
      <c r="P55" s="31"/>
      <c r="Q55" s="31"/>
      <c r="R55" s="31"/>
      <c r="S55" s="117"/>
      <c r="T55" s="116"/>
      <c r="U55" s="116"/>
      <c r="V55" s="116"/>
      <c r="W55" s="116"/>
      <c r="X55" s="118"/>
      <c r="Y55" s="118"/>
      <c r="Z55" s="119"/>
      <c r="AA55" s="120"/>
      <c r="AB55" s="107"/>
      <c r="AC55" s="107"/>
      <c r="AD55" s="107"/>
      <c r="AE55" s="107"/>
      <c r="AF55" s="107"/>
      <c r="AG55" s="107"/>
      <c r="AH55" s="107"/>
      <c r="AI55" s="31"/>
      <c r="AJ55" s="31"/>
      <c r="AK55" s="31"/>
      <c r="AL55" s="31"/>
      <c r="AM55" s="31"/>
      <c r="AN55" s="31"/>
      <c r="AO55" s="31"/>
      <c r="AP55" s="107"/>
      <c r="AQ55" s="107"/>
      <c r="AR55" s="107"/>
      <c r="AS55" s="110"/>
      <c r="AT55" s="107"/>
      <c r="AU55" s="110"/>
      <c r="AV55" s="107"/>
      <c r="AW55" s="107"/>
    </row>
    <row r="56" spans="1:49" ht="15.75" customHeight="1">
      <c r="A56" s="31"/>
      <c r="B56" s="67"/>
      <c r="C56" s="162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19"/>
      <c r="AA56" s="11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62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7"/>
      <c r="AA57" s="107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62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62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62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62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62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62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62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62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62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62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62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62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62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62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62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62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62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62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62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62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62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62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62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62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62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62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62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62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62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62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62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62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62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62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62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62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62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62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62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62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62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62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62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62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62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62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62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62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62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62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62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62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62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62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62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62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62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62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62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62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62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62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62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62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62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62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62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62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62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62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62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62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62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62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62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62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62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62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62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62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62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62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62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62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62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62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62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62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62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62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62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62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62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62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62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62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62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62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62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62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62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62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62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62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62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62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62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62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62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62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62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62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62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62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62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62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62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62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62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62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62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62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62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62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62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62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62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62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62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62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62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62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62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62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62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62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62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62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62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62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62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62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62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62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62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62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62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62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62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62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62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62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62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62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62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62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62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62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62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62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62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62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62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62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62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62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62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62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62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62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62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62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62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62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62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62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62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62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62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62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62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62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62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62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62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62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62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62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62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62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40:L44"/>
    <mergeCell ref="M40:T44"/>
    <mergeCell ref="Z40:AG44"/>
    <mergeCell ref="AH3:AM3"/>
    <mergeCell ref="AN3:AU3"/>
    <mergeCell ref="B3:B4"/>
    <mergeCell ref="E3:L3"/>
    <mergeCell ref="M3:T3"/>
    <mergeCell ref="U3:Y3"/>
    <mergeCell ref="Z3:AG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X1000"/>
  <sheetViews>
    <sheetView zoomScale="94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68" customWidth="1"/>
    <col min="4" max="4" width="4.7109375" style="169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1328560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2">
        <v>2025</v>
      </c>
      <c r="B2" s="123">
        <v>8</v>
      </c>
      <c r="C2" s="124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5"/>
      <c r="D3" s="126"/>
      <c r="E3" s="127" t="s">
        <v>3</v>
      </c>
      <c r="F3" s="10"/>
      <c r="G3" s="10"/>
      <c r="H3" s="10"/>
      <c r="I3" s="10"/>
      <c r="J3" s="10"/>
      <c r="K3" s="10"/>
      <c r="L3" s="10"/>
      <c r="M3" s="128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60</v>
      </c>
      <c r="AI3" s="172"/>
      <c r="AJ3" s="172"/>
      <c r="AK3" s="172"/>
      <c r="AL3" s="172"/>
      <c r="AM3" s="173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29" t="s">
        <v>8</v>
      </c>
      <c r="D4" s="130" t="s">
        <v>57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61</v>
      </c>
      <c r="AM4" s="24" t="s">
        <v>62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90" t="s">
        <v>70</v>
      </c>
      <c r="B5" s="170">
        <f>DATE($A$2,$B$2,1)</f>
        <v>45870</v>
      </c>
      <c r="C5" s="178" t="s">
        <v>56</v>
      </c>
      <c r="D5" s="132">
        <v>96</v>
      </c>
      <c r="E5" s="133"/>
      <c r="F5" s="134"/>
      <c r="G5" s="135"/>
      <c r="H5" s="136" t="e">
        <f t="shared" ref="H5:H35" si="0">ROUNDDOWN(G5/1.1,0)/F5</f>
        <v>#DIV/0!</v>
      </c>
      <c r="I5" s="135"/>
      <c r="J5" s="137" t="e">
        <f t="shared" ref="J5:J29" si="1">ROUNDDOWN(I5/1.1,0)/F5</f>
        <v>#DIV/0!</v>
      </c>
      <c r="K5" s="138">
        <f>G5+I5</f>
        <v>0</v>
      </c>
      <c r="L5" s="139" t="str">
        <f t="shared" ref="L5:L35" si="2">IF(F5="","",K5/F5)</f>
        <v/>
      </c>
      <c r="M5" s="140"/>
      <c r="N5" s="141">
        <f>AN5-F5</f>
        <v>41</v>
      </c>
      <c r="O5" s="142">
        <f>AO5-G5</f>
        <v>386540</v>
      </c>
      <c r="P5" s="136">
        <f t="shared" ref="P5:P31" si="3">ROUNDDOWN(O5/1.1,0)/N5</f>
        <v>8570.7317073170725</v>
      </c>
      <c r="Q5" s="142">
        <f>AP5-I5</f>
        <v>80180</v>
      </c>
      <c r="R5" s="137">
        <f t="shared" ref="R5:R31" si="4">ROUNDDOWN(Q5/1.1,0)/N5</f>
        <v>1777.8048780487804</v>
      </c>
      <c r="S5" s="143">
        <f>O5+Q5</f>
        <v>466720</v>
      </c>
      <c r="T5" s="139">
        <f t="shared" ref="T5:T31" si="5">IF(N5="","",S5/N5)</f>
        <v>11383.414634146342</v>
      </c>
      <c r="U5" s="144">
        <f t="shared" ref="U5:V20" si="6">F5+N5</f>
        <v>41</v>
      </c>
      <c r="V5" s="142">
        <f t="shared" si="6"/>
        <v>386540</v>
      </c>
      <c r="W5" s="142">
        <f t="shared" ref="W5:W31" si="7">I5+Q5</f>
        <v>80180</v>
      </c>
      <c r="X5" s="145">
        <f>K5+S5</f>
        <v>466720</v>
      </c>
      <c r="Y5" s="142">
        <f t="shared" ref="Y5:Y31" si="8">IF(U5="","",X5/U5)</f>
        <v>11383.414634146342</v>
      </c>
      <c r="Z5" s="146"/>
      <c r="AA5" s="147">
        <v>70</v>
      </c>
      <c r="AB5" s="135">
        <v>60550</v>
      </c>
      <c r="AC5" s="136">
        <f t="shared" ref="AC5:AC31" si="9">AB5/AA5</f>
        <v>865</v>
      </c>
      <c r="AD5" s="135">
        <v>19510</v>
      </c>
      <c r="AE5" s="137">
        <f t="shared" ref="AE5:AE31" si="10">AD5/AA5</f>
        <v>278.71428571428572</v>
      </c>
      <c r="AF5" s="148">
        <f>AB5+AD5</f>
        <v>80060</v>
      </c>
      <c r="AG5" s="139">
        <f t="shared" ref="AG5:AG31" si="11">IF(AA5="","",AF5/AA5)</f>
        <v>1143.7142857142858</v>
      </c>
      <c r="AH5" s="144">
        <f t="shared" ref="AH5:AH31" si="12">SUM(F5,N5)</f>
        <v>41</v>
      </c>
      <c r="AI5" s="142">
        <f t="shared" ref="AI5:AI31" si="13">V5+AB5</f>
        <v>447090</v>
      </c>
      <c r="AJ5" s="142">
        <f t="shared" ref="AJ5:AJ31" si="14">W5+AD5</f>
        <v>99690</v>
      </c>
      <c r="AK5" s="149">
        <f>X5+AF5</f>
        <v>546780</v>
      </c>
      <c r="AL5" s="142">
        <f t="shared" ref="AL5:AL31" si="15">AQ5+AR5+AS5</f>
        <v>35200</v>
      </c>
      <c r="AM5" s="142">
        <v>2150</v>
      </c>
      <c r="AN5" s="150">
        <v>41</v>
      </c>
      <c r="AO5" s="150">
        <v>386540</v>
      </c>
      <c r="AP5" s="150">
        <v>80180</v>
      </c>
      <c r="AQ5" s="151">
        <v>35200</v>
      </c>
      <c r="AR5" s="151"/>
      <c r="AS5" s="151"/>
      <c r="AT5" s="151"/>
      <c r="AU5" s="152">
        <f>SUM(AO5:AS5)</f>
        <v>501920</v>
      </c>
      <c r="AV5" s="119">
        <v>1</v>
      </c>
      <c r="AW5" s="120">
        <f>AT5+AU5</f>
        <v>501920</v>
      </c>
      <c r="AX5" s="179">
        <f t="shared" ref="AX5:AX35" si="16">AU5+AF5+AM5+AT5</f>
        <v>584130</v>
      </c>
    </row>
    <row r="6" spans="1:50" ht="13.5" customHeight="1">
      <c r="A6" s="190" t="s">
        <v>70</v>
      </c>
      <c r="B6" s="156">
        <f t="shared" ref="B6:B35" si="17">B5+1</f>
        <v>45871</v>
      </c>
      <c r="C6" s="178"/>
      <c r="D6" s="132">
        <v>91</v>
      </c>
      <c r="E6" s="133"/>
      <c r="F6" s="134">
        <v>27</v>
      </c>
      <c r="G6" s="135">
        <v>75570</v>
      </c>
      <c r="H6" s="136">
        <f t="shared" si="0"/>
        <v>2544.4444444444443</v>
      </c>
      <c r="I6" s="135">
        <v>12570</v>
      </c>
      <c r="J6" s="137">
        <f t="shared" si="1"/>
        <v>423.22222222222223</v>
      </c>
      <c r="K6" s="138">
        <f>G6+I6</f>
        <v>88140</v>
      </c>
      <c r="L6" s="139">
        <f t="shared" si="2"/>
        <v>3264.4444444444443</v>
      </c>
      <c r="M6" s="140"/>
      <c r="N6" s="141">
        <f t="shared" ref="N6:O21" si="18">AN6-F6</f>
        <v>40</v>
      </c>
      <c r="O6" s="142">
        <f t="shared" si="18"/>
        <v>369190</v>
      </c>
      <c r="P6" s="136">
        <f t="shared" si="3"/>
        <v>8390.6749999999993</v>
      </c>
      <c r="Q6" s="142">
        <f t="shared" ref="Q6:Q31" si="19">AP6-I6</f>
        <v>81820</v>
      </c>
      <c r="R6" s="137">
        <f t="shared" si="4"/>
        <v>1859.5250000000001</v>
      </c>
      <c r="S6" s="143">
        <f t="shared" ref="S6:S31" si="20">O6+Q6</f>
        <v>451010</v>
      </c>
      <c r="T6" s="139">
        <f t="shared" si="5"/>
        <v>11275.25</v>
      </c>
      <c r="U6" s="144">
        <f t="shared" si="6"/>
        <v>67</v>
      </c>
      <c r="V6" s="142">
        <f t="shared" si="6"/>
        <v>444760</v>
      </c>
      <c r="W6" s="142">
        <f t="shared" si="7"/>
        <v>94390</v>
      </c>
      <c r="X6" s="145">
        <f t="shared" ref="X6:X31" si="21">K6+S6</f>
        <v>539150</v>
      </c>
      <c r="Y6" s="142">
        <f t="shared" si="8"/>
        <v>8047.0149253731342</v>
      </c>
      <c r="Z6" s="146"/>
      <c r="AA6" s="147">
        <v>81</v>
      </c>
      <c r="AB6" s="135">
        <v>78050</v>
      </c>
      <c r="AC6" s="136">
        <f t="shared" si="9"/>
        <v>963.58024691358025</v>
      </c>
      <c r="AD6" s="135">
        <v>7840</v>
      </c>
      <c r="AE6" s="137">
        <f t="shared" si="10"/>
        <v>96.790123456790127</v>
      </c>
      <c r="AF6" s="148">
        <f t="shared" ref="AF6:AF31" si="22">AB6+AD6</f>
        <v>85890</v>
      </c>
      <c r="AG6" s="139">
        <f t="shared" si="11"/>
        <v>1060.3703703703704</v>
      </c>
      <c r="AH6" s="144">
        <f t="shared" si="12"/>
        <v>67</v>
      </c>
      <c r="AI6" s="142">
        <f t="shared" si="13"/>
        <v>522810</v>
      </c>
      <c r="AJ6" s="142">
        <f t="shared" si="14"/>
        <v>102230</v>
      </c>
      <c r="AK6" s="149">
        <f t="shared" ref="AK6:AK31" si="23">X6+AF6</f>
        <v>625040</v>
      </c>
      <c r="AL6" s="142">
        <f t="shared" si="15"/>
        <v>37400</v>
      </c>
      <c r="AM6" s="142"/>
      <c r="AN6" s="150">
        <v>67</v>
      </c>
      <c r="AO6" s="150">
        <v>444760</v>
      </c>
      <c r="AP6" s="150">
        <v>94390</v>
      </c>
      <c r="AQ6" s="183">
        <v>35750</v>
      </c>
      <c r="AR6" s="151">
        <v>1650</v>
      </c>
      <c r="AS6" s="151"/>
      <c r="AT6" s="151">
        <v>33000</v>
      </c>
      <c r="AU6" s="152">
        <f t="shared" ref="AU6:AU31" si="24">SUM(AO6:AS6)</f>
        <v>576550</v>
      </c>
      <c r="AV6" s="119">
        <v>2</v>
      </c>
      <c r="AW6" s="120">
        <f t="shared" ref="AW6:AW31" si="25">AT6+AU6</f>
        <v>609550</v>
      </c>
      <c r="AX6" s="179">
        <f t="shared" si="16"/>
        <v>695440</v>
      </c>
    </row>
    <row r="7" spans="1:50" ht="13.5" customHeight="1">
      <c r="A7" s="190" t="s">
        <v>70</v>
      </c>
      <c r="B7" s="157">
        <f t="shared" si="17"/>
        <v>45872</v>
      </c>
      <c r="C7" s="178"/>
      <c r="D7" s="132">
        <v>90</v>
      </c>
      <c r="E7" s="133"/>
      <c r="F7" s="134">
        <v>35</v>
      </c>
      <c r="G7" s="135">
        <v>129470</v>
      </c>
      <c r="H7" s="136">
        <f t="shared" si="0"/>
        <v>3362.8571428571427</v>
      </c>
      <c r="I7" s="135">
        <v>17710</v>
      </c>
      <c r="J7" s="137">
        <f t="shared" si="1"/>
        <v>460</v>
      </c>
      <c r="K7" s="138">
        <f>G7+I7</f>
        <v>147180</v>
      </c>
      <c r="L7" s="139">
        <f t="shared" si="2"/>
        <v>4205.1428571428569</v>
      </c>
      <c r="M7" s="140"/>
      <c r="N7" s="141">
        <f t="shared" si="18"/>
        <v>35</v>
      </c>
      <c r="O7" s="142">
        <f t="shared" si="18"/>
        <v>330000</v>
      </c>
      <c r="P7" s="136">
        <f t="shared" si="3"/>
        <v>8571.4285714285706</v>
      </c>
      <c r="Q7" s="142">
        <f t="shared" si="19"/>
        <v>62420</v>
      </c>
      <c r="R7" s="137">
        <f t="shared" si="4"/>
        <v>1621.2857142857142</v>
      </c>
      <c r="S7" s="143">
        <f t="shared" si="20"/>
        <v>392420</v>
      </c>
      <c r="T7" s="139">
        <f t="shared" si="5"/>
        <v>11212</v>
      </c>
      <c r="U7" s="144">
        <f t="shared" si="6"/>
        <v>70</v>
      </c>
      <c r="V7" s="142">
        <f t="shared" si="6"/>
        <v>459470</v>
      </c>
      <c r="W7" s="142">
        <f t="shared" si="7"/>
        <v>80130</v>
      </c>
      <c r="X7" s="145">
        <f t="shared" si="21"/>
        <v>539600</v>
      </c>
      <c r="Y7" s="142">
        <f t="shared" si="8"/>
        <v>7708.5714285714284</v>
      </c>
      <c r="Z7" s="146"/>
      <c r="AA7" s="147">
        <v>116</v>
      </c>
      <c r="AB7" s="135">
        <v>116900</v>
      </c>
      <c r="AC7" s="136">
        <f t="shared" si="9"/>
        <v>1007.7586206896551</v>
      </c>
      <c r="AD7" s="135">
        <v>13180</v>
      </c>
      <c r="AE7" s="137">
        <f t="shared" si="10"/>
        <v>113.62068965517241</v>
      </c>
      <c r="AF7" s="148">
        <f t="shared" si="22"/>
        <v>130080</v>
      </c>
      <c r="AG7" s="139">
        <f t="shared" si="11"/>
        <v>1121.3793103448277</v>
      </c>
      <c r="AH7" s="144">
        <f t="shared" si="12"/>
        <v>70</v>
      </c>
      <c r="AI7" s="142">
        <f t="shared" si="13"/>
        <v>576370</v>
      </c>
      <c r="AJ7" s="142">
        <f t="shared" si="14"/>
        <v>93310</v>
      </c>
      <c r="AK7" s="149">
        <f t="shared" si="23"/>
        <v>669680</v>
      </c>
      <c r="AL7" s="142">
        <f t="shared" si="15"/>
        <v>42810</v>
      </c>
      <c r="AM7" s="142">
        <v>800</v>
      </c>
      <c r="AN7" s="150">
        <v>70</v>
      </c>
      <c r="AO7" s="150">
        <v>459470</v>
      </c>
      <c r="AP7" s="150">
        <v>80130</v>
      </c>
      <c r="AQ7" s="183">
        <v>39600</v>
      </c>
      <c r="AR7" s="151">
        <v>3210</v>
      </c>
      <c r="AS7" s="151"/>
      <c r="AT7" s="151">
        <v>70000</v>
      </c>
      <c r="AU7" s="152">
        <f t="shared" si="24"/>
        <v>582410</v>
      </c>
      <c r="AV7" s="119">
        <v>3</v>
      </c>
      <c r="AW7" s="120">
        <f t="shared" si="25"/>
        <v>652410</v>
      </c>
      <c r="AX7" s="179">
        <f t="shared" si="16"/>
        <v>783290</v>
      </c>
    </row>
    <row r="8" spans="1:50" ht="13.5" customHeight="1">
      <c r="A8" s="190" t="s">
        <v>70</v>
      </c>
      <c r="B8" s="171">
        <f t="shared" si="17"/>
        <v>45873</v>
      </c>
      <c r="C8" s="178" t="s">
        <v>56</v>
      </c>
      <c r="D8" s="132">
        <v>89</v>
      </c>
      <c r="E8" s="133"/>
      <c r="F8" s="134"/>
      <c r="G8" s="135"/>
      <c r="H8" s="136" t="e">
        <f t="shared" si="0"/>
        <v>#DIV/0!</v>
      </c>
      <c r="I8" s="135"/>
      <c r="J8" s="137" t="e">
        <f t="shared" si="1"/>
        <v>#DIV/0!</v>
      </c>
      <c r="K8" s="138">
        <f>G8+I8</f>
        <v>0</v>
      </c>
      <c r="L8" s="139" t="str">
        <f t="shared" si="2"/>
        <v/>
      </c>
      <c r="M8" s="140"/>
      <c r="N8" s="141">
        <f t="shared" si="18"/>
        <v>44</v>
      </c>
      <c r="O8" s="142">
        <f t="shared" si="18"/>
        <v>346120</v>
      </c>
      <c r="P8" s="136">
        <f t="shared" si="3"/>
        <v>7151.227272727273</v>
      </c>
      <c r="Q8" s="142">
        <f t="shared" si="19"/>
        <v>65270</v>
      </c>
      <c r="R8" s="137">
        <f t="shared" si="4"/>
        <v>1348.5454545454545</v>
      </c>
      <c r="S8" s="143">
        <f t="shared" si="20"/>
        <v>411390</v>
      </c>
      <c r="T8" s="139">
        <f t="shared" si="5"/>
        <v>9349.7727272727279</v>
      </c>
      <c r="U8" s="144">
        <f t="shared" si="6"/>
        <v>44</v>
      </c>
      <c r="V8" s="142">
        <f t="shared" si="6"/>
        <v>346120</v>
      </c>
      <c r="W8" s="142">
        <f t="shared" si="7"/>
        <v>65270</v>
      </c>
      <c r="X8" s="145">
        <f t="shared" si="21"/>
        <v>411390</v>
      </c>
      <c r="Y8" s="142">
        <f t="shared" si="8"/>
        <v>9349.7727272727279</v>
      </c>
      <c r="Z8" s="146"/>
      <c r="AA8" s="147">
        <v>44</v>
      </c>
      <c r="AB8" s="135">
        <v>40450</v>
      </c>
      <c r="AC8" s="136">
        <f t="shared" si="9"/>
        <v>919.31818181818187</v>
      </c>
      <c r="AD8" s="135">
        <v>12940</v>
      </c>
      <c r="AE8" s="137">
        <f t="shared" si="10"/>
        <v>294.09090909090907</v>
      </c>
      <c r="AF8" s="148">
        <f t="shared" si="22"/>
        <v>53390</v>
      </c>
      <c r="AG8" s="139">
        <f t="shared" si="11"/>
        <v>1213.409090909091</v>
      </c>
      <c r="AH8" s="144">
        <f t="shared" si="12"/>
        <v>44</v>
      </c>
      <c r="AI8" s="142">
        <f t="shared" si="13"/>
        <v>386570</v>
      </c>
      <c r="AJ8" s="142">
        <f t="shared" si="14"/>
        <v>78210</v>
      </c>
      <c r="AK8" s="155">
        <f t="shared" si="23"/>
        <v>464780</v>
      </c>
      <c r="AL8" s="142">
        <f t="shared" si="15"/>
        <v>71360</v>
      </c>
      <c r="AM8" s="142"/>
      <c r="AN8" s="150">
        <v>44</v>
      </c>
      <c r="AO8" s="150">
        <v>346120</v>
      </c>
      <c r="AP8" s="150">
        <v>65270</v>
      </c>
      <c r="AQ8" s="151">
        <v>41800</v>
      </c>
      <c r="AR8" s="151">
        <v>29560</v>
      </c>
      <c r="AS8" s="151"/>
      <c r="AT8" s="151"/>
      <c r="AU8" s="152">
        <f t="shared" si="24"/>
        <v>482750</v>
      </c>
      <c r="AV8" s="119">
        <v>4</v>
      </c>
      <c r="AW8" s="120">
        <f t="shared" si="25"/>
        <v>482750</v>
      </c>
      <c r="AX8" s="179">
        <f t="shared" si="16"/>
        <v>536140</v>
      </c>
    </row>
    <row r="9" spans="1:50" ht="13.5" customHeight="1">
      <c r="A9" s="190" t="s">
        <v>70</v>
      </c>
      <c r="B9" s="171">
        <f t="shared" si="17"/>
        <v>45874</v>
      </c>
      <c r="C9" s="178" t="s">
        <v>56</v>
      </c>
      <c r="D9" s="132">
        <v>85</v>
      </c>
      <c r="E9" s="133"/>
      <c r="F9" s="134"/>
      <c r="G9" s="135"/>
      <c r="H9" s="136" t="e">
        <f t="shared" si="0"/>
        <v>#DIV/0!</v>
      </c>
      <c r="I9" s="135"/>
      <c r="J9" s="137" t="e">
        <f t="shared" si="1"/>
        <v>#DIV/0!</v>
      </c>
      <c r="K9" s="138">
        <f>G9+I9</f>
        <v>0</v>
      </c>
      <c r="L9" s="139" t="str">
        <f t="shared" si="2"/>
        <v/>
      </c>
      <c r="M9" s="140"/>
      <c r="N9" s="141">
        <f t="shared" si="18"/>
        <v>44</v>
      </c>
      <c r="O9" s="142">
        <f t="shared" si="18"/>
        <v>365580</v>
      </c>
      <c r="P9" s="136">
        <f t="shared" si="3"/>
        <v>7553.295454545455</v>
      </c>
      <c r="Q9" s="142">
        <f t="shared" si="19"/>
        <v>75180</v>
      </c>
      <c r="R9" s="137">
        <f t="shared" si="4"/>
        <v>1553.2954545454545</v>
      </c>
      <c r="S9" s="143">
        <f t="shared" si="20"/>
        <v>440760</v>
      </c>
      <c r="T9" s="139">
        <f t="shared" si="5"/>
        <v>10017.272727272728</v>
      </c>
      <c r="U9" s="144">
        <f t="shared" si="6"/>
        <v>44</v>
      </c>
      <c r="V9" s="142">
        <f t="shared" si="6"/>
        <v>365580</v>
      </c>
      <c r="W9" s="142">
        <f t="shared" si="7"/>
        <v>75180</v>
      </c>
      <c r="X9" s="145">
        <f t="shared" si="21"/>
        <v>440760</v>
      </c>
      <c r="Y9" s="142">
        <f t="shared" si="8"/>
        <v>10017.272727272728</v>
      </c>
      <c r="Z9" s="146"/>
      <c r="AA9" s="147">
        <v>49</v>
      </c>
      <c r="AB9" s="135">
        <v>43900</v>
      </c>
      <c r="AC9" s="136">
        <f t="shared" si="9"/>
        <v>895.91836734693879</v>
      </c>
      <c r="AD9" s="135">
        <v>8200</v>
      </c>
      <c r="AE9" s="137">
        <f t="shared" si="10"/>
        <v>167.34693877551021</v>
      </c>
      <c r="AF9" s="148">
        <f t="shared" si="22"/>
        <v>52100</v>
      </c>
      <c r="AG9" s="139">
        <f t="shared" si="11"/>
        <v>1063.2653061224489</v>
      </c>
      <c r="AH9" s="144">
        <f t="shared" si="12"/>
        <v>44</v>
      </c>
      <c r="AI9" s="142">
        <f t="shared" si="13"/>
        <v>409480</v>
      </c>
      <c r="AJ9" s="142">
        <f t="shared" si="14"/>
        <v>83380</v>
      </c>
      <c r="AK9" s="149">
        <f t="shared" si="23"/>
        <v>492860</v>
      </c>
      <c r="AL9" s="142">
        <f t="shared" si="15"/>
        <v>42350</v>
      </c>
      <c r="AM9" s="142"/>
      <c r="AN9" s="150">
        <v>44</v>
      </c>
      <c r="AO9" s="150">
        <v>365580</v>
      </c>
      <c r="AP9" s="150">
        <v>75180</v>
      </c>
      <c r="AQ9" s="151">
        <v>40700</v>
      </c>
      <c r="AR9" s="151">
        <v>1650</v>
      </c>
      <c r="AS9" s="151"/>
      <c r="AT9" s="151"/>
      <c r="AU9" s="152">
        <f t="shared" si="24"/>
        <v>483110</v>
      </c>
      <c r="AV9" s="119">
        <v>5</v>
      </c>
      <c r="AW9" s="120">
        <f t="shared" si="25"/>
        <v>483110</v>
      </c>
      <c r="AX9" s="179">
        <f t="shared" si="16"/>
        <v>535210</v>
      </c>
    </row>
    <row r="10" spans="1:50" ht="13.5" customHeight="1">
      <c r="A10" s="190" t="s">
        <v>70</v>
      </c>
      <c r="B10" s="171">
        <f t="shared" si="17"/>
        <v>45875</v>
      </c>
      <c r="C10" s="178" t="s">
        <v>56</v>
      </c>
      <c r="D10" s="132">
        <v>88</v>
      </c>
      <c r="E10" s="133"/>
      <c r="F10" s="134"/>
      <c r="G10" s="135"/>
      <c r="H10" s="136" t="e">
        <f t="shared" si="0"/>
        <v>#DIV/0!</v>
      </c>
      <c r="I10" s="135"/>
      <c r="J10" s="137" t="e">
        <f t="shared" si="1"/>
        <v>#DIV/0!</v>
      </c>
      <c r="K10" s="138">
        <f t="shared" ref="K10:K35" si="26">G10+I10</f>
        <v>0</v>
      </c>
      <c r="L10" s="139" t="str">
        <f t="shared" si="2"/>
        <v/>
      </c>
      <c r="M10" s="140"/>
      <c r="N10" s="141">
        <f t="shared" si="18"/>
        <v>35</v>
      </c>
      <c r="O10" s="142">
        <f t="shared" si="18"/>
        <v>316710</v>
      </c>
      <c r="P10" s="136">
        <f t="shared" si="3"/>
        <v>8226.2285714285717</v>
      </c>
      <c r="Q10" s="142">
        <f t="shared" si="19"/>
        <v>49300</v>
      </c>
      <c r="R10" s="137">
        <f t="shared" si="4"/>
        <v>1280.5142857142857</v>
      </c>
      <c r="S10" s="143">
        <f t="shared" si="20"/>
        <v>366010</v>
      </c>
      <c r="T10" s="139">
        <f t="shared" si="5"/>
        <v>10457.428571428571</v>
      </c>
      <c r="U10" s="144">
        <f t="shared" si="6"/>
        <v>35</v>
      </c>
      <c r="V10" s="142">
        <f t="shared" si="6"/>
        <v>316710</v>
      </c>
      <c r="W10" s="142">
        <f t="shared" si="7"/>
        <v>49300</v>
      </c>
      <c r="X10" s="145">
        <f t="shared" si="21"/>
        <v>366010</v>
      </c>
      <c r="Y10" s="142">
        <f t="shared" si="8"/>
        <v>10457.428571428571</v>
      </c>
      <c r="Z10" s="146"/>
      <c r="AA10" s="147">
        <v>72</v>
      </c>
      <c r="AB10" s="135">
        <v>73350</v>
      </c>
      <c r="AC10" s="136">
        <f t="shared" si="9"/>
        <v>1018.75</v>
      </c>
      <c r="AD10" s="135">
        <v>13730</v>
      </c>
      <c r="AE10" s="137">
        <f t="shared" si="10"/>
        <v>190.69444444444446</v>
      </c>
      <c r="AF10" s="148">
        <f t="shared" si="22"/>
        <v>87080</v>
      </c>
      <c r="AG10" s="139">
        <f t="shared" si="11"/>
        <v>1209.4444444444443</v>
      </c>
      <c r="AH10" s="154">
        <f t="shared" si="12"/>
        <v>35</v>
      </c>
      <c r="AI10" s="142">
        <f t="shared" si="13"/>
        <v>390060</v>
      </c>
      <c r="AJ10" s="142">
        <f t="shared" si="14"/>
        <v>63030</v>
      </c>
      <c r="AK10" s="149">
        <f t="shared" si="23"/>
        <v>453090</v>
      </c>
      <c r="AL10" s="142">
        <f t="shared" si="15"/>
        <v>42260</v>
      </c>
      <c r="AM10" s="142"/>
      <c r="AN10" s="150">
        <v>35</v>
      </c>
      <c r="AO10" s="150">
        <v>316710</v>
      </c>
      <c r="AP10" s="150">
        <v>49300</v>
      </c>
      <c r="AQ10" s="151">
        <v>40700</v>
      </c>
      <c r="AR10" s="151">
        <v>1560</v>
      </c>
      <c r="AS10" s="151"/>
      <c r="AT10" s="151"/>
      <c r="AU10" s="152">
        <f>SUM(AO10:AS10)</f>
        <v>408270</v>
      </c>
      <c r="AV10" s="119">
        <v>6</v>
      </c>
      <c r="AW10" s="120">
        <f>AT10+AU10</f>
        <v>408270</v>
      </c>
      <c r="AX10" s="179">
        <f t="shared" si="16"/>
        <v>495350</v>
      </c>
    </row>
    <row r="11" spans="1:50" ht="13.5" customHeight="1">
      <c r="A11" s="190" t="s">
        <v>70</v>
      </c>
      <c r="B11" s="171">
        <f t="shared" si="17"/>
        <v>45876</v>
      </c>
      <c r="C11" s="178" t="s">
        <v>71</v>
      </c>
      <c r="D11" s="132">
        <v>65</v>
      </c>
      <c r="E11" s="133"/>
      <c r="F11" s="134"/>
      <c r="G11" s="135"/>
      <c r="H11" s="136" t="e">
        <f t="shared" si="0"/>
        <v>#DIV/0!</v>
      </c>
      <c r="I11" s="135"/>
      <c r="J11" s="137" t="e">
        <f t="shared" si="1"/>
        <v>#DIV/0!</v>
      </c>
      <c r="K11" s="138">
        <f t="shared" si="26"/>
        <v>0</v>
      </c>
      <c r="L11" s="139" t="str">
        <f t="shared" si="2"/>
        <v/>
      </c>
      <c r="M11" s="140"/>
      <c r="N11" s="141">
        <f t="shared" si="18"/>
        <v>38</v>
      </c>
      <c r="O11" s="142">
        <f t="shared" si="18"/>
        <v>302410</v>
      </c>
      <c r="P11" s="136">
        <f t="shared" si="3"/>
        <v>7234.6842105263158</v>
      </c>
      <c r="Q11" s="142">
        <f t="shared" si="19"/>
        <v>75310</v>
      </c>
      <c r="R11" s="137">
        <f t="shared" si="4"/>
        <v>1801.6578947368421</v>
      </c>
      <c r="S11" s="143">
        <f t="shared" si="20"/>
        <v>377720</v>
      </c>
      <c r="T11" s="139">
        <f t="shared" si="5"/>
        <v>9940</v>
      </c>
      <c r="U11" s="144">
        <f t="shared" si="6"/>
        <v>38</v>
      </c>
      <c r="V11" s="142">
        <f t="shared" si="6"/>
        <v>302410</v>
      </c>
      <c r="W11" s="142">
        <f t="shared" si="7"/>
        <v>75310</v>
      </c>
      <c r="X11" s="145">
        <f t="shared" si="21"/>
        <v>377720</v>
      </c>
      <c r="Y11" s="142">
        <f t="shared" si="8"/>
        <v>9940</v>
      </c>
      <c r="Z11" s="146"/>
      <c r="AA11" s="147">
        <v>4</v>
      </c>
      <c r="AB11" s="135">
        <v>4800</v>
      </c>
      <c r="AC11" s="136">
        <f t="shared" si="9"/>
        <v>1200</v>
      </c>
      <c r="AD11" s="135">
        <v>0</v>
      </c>
      <c r="AE11" s="137">
        <f t="shared" si="10"/>
        <v>0</v>
      </c>
      <c r="AF11" s="148">
        <f t="shared" si="22"/>
        <v>4800</v>
      </c>
      <c r="AG11" s="139">
        <f t="shared" si="11"/>
        <v>1200</v>
      </c>
      <c r="AH11" s="154">
        <f t="shared" si="12"/>
        <v>38</v>
      </c>
      <c r="AI11" s="142">
        <f t="shared" si="13"/>
        <v>307210</v>
      </c>
      <c r="AJ11" s="142">
        <f t="shared" si="14"/>
        <v>75310</v>
      </c>
      <c r="AK11" s="149">
        <f t="shared" si="23"/>
        <v>382520</v>
      </c>
      <c r="AL11" s="142">
        <f t="shared" si="15"/>
        <v>28750</v>
      </c>
      <c r="AM11" s="142"/>
      <c r="AN11" s="150">
        <v>38</v>
      </c>
      <c r="AO11" s="150">
        <v>302410</v>
      </c>
      <c r="AP11" s="150">
        <v>75310</v>
      </c>
      <c r="AQ11" s="151">
        <v>27100</v>
      </c>
      <c r="AR11" s="151">
        <v>1650</v>
      </c>
      <c r="AS11" s="151"/>
      <c r="AT11" s="151">
        <v>19800</v>
      </c>
      <c r="AU11" s="152">
        <f t="shared" si="24"/>
        <v>406470</v>
      </c>
      <c r="AV11" s="119">
        <v>7</v>
      </c>
      <c r="AW11" s="120">
        <f t="shared" si="25"/>
        <v>426270</v>
      </c>
      <c r="AX11" s="179">
        <f t="shared" si="16"/>
        <v>431070</v>
      </c>
    </row>
    <row r="12" spans="1:50" ht="13.5" customHeight="1">
      <c r="A12" s="190" t="s">
        <v>70</v>
      </c>
      <c r="B12" s="171">
        <f t="shared" si="17"/>
        <v>45877</v>
      </c>
      <c r="C12" s="178" t="s">
        <v>71</v>
      </c>
      <c r="D12" s="132">
        <v>88</v>
      </c>
      <c r="E12" s="133"/>
      <c r="F12" s="134"/>
      <c r="G12" s="135"/>
      <c r="H12" s="136" t="e">
        <f t="shared" si="0"/>
        <v>#DIV/0!</v>
      </c>
      <c r="I12" s="135"/>
      <c r="J12" s="137" t="e">
        <f t="shared" si="1"/>
        <v>#DIV/0!</v>
      </c>
      <c r="K12" s="138">
        <f t="shared" si="26"/>
        <v>0</v>
      </c>
      <c r="L12" s="139" t="str">
        <f t="shared" si="2"/>
        <v/>
      </c>
      <c r="M12" s="140"/>
      <c r="N12" s="141">
        <f t="shared" si="18"/>
        <v>40</v>
      </c>
      <c r="O12" s="142">
        <f t="shared" si="18"/>
        <v>393600</v>
      </c>
      <c r="P12" s="136">
        <f t="shared" si="3"/>
        <v>8945.4500000000007</v>
      </c>
      <c r="Q12" s="142">
        <f t="shared" si="19"/>
        <v>53600</v>
      </c>
      <c r="R12" s="158">
        <f t="shared" si="4"/>
        <v>1218.175</v>
      </c>
      <c r="S12" s="143">
        <f t="shared" si="20"/>
        <v>447200</v>
      </c>
      <c r="T12" s="139">
        <f t="shared" si="5"/>
        <v>11180</v>
      </c>
      <c r="U12" s="144">
        <f t="shared" si="6"/>
        <v>40</v>
      </c>
      <c r="V12" s="142">
        <f t="shared" si="6"/>
        <v>393600</v>
      </c>
      <c r="W12" s="142">
        <f t="shared" si="7"/>
        <v>53600</v>
      </c>
      <c r="X12" s="145">
        <f t="shared" si="21"/>
        <v>447200</v>
      </c>
      <c r="Y12" s="142">
        <f t="shared" si="8"/>
        <v>11180</v>
      </c>
      <c r="Z12" s="146"/>
      <c r="AA12" s="147">
        <v>12</v>
      </c>
      <c r="AB12" s="135">
        <v>15650</v>
      </c>
      <c r="AC12" s="136">
        <f t="shared" si="9"/>
        <v>1304.1666666666667</v>
      </c>
      <c r="AD12" s="135">
        <v>2800</v>
      </c>
      <c r="AE12" s="137">
        <f t="shared" si="10"/>
        <v>233.33333333333334</v>
      </c>
      <c r="AF12" s="148">
        <f t="shared" si="22"/>
        <v>18450</v>
      </c>
      <c r="AG12" s="139">
        <f t="shared" si="11"/>
        <v>1537.5</v>
      </c>
      <c r="AH12" s="154">
        <f t="shared" si="12"/>
        <v>40</v>
      </c>
      <c r="AI12" s="142">
        <f t="shared" si="13"/>
        <v>409250</v>
      </c>
      <c r="AJ12" s="142">
        <f t="shared" si="14"/>
        <v>56400</v>
      </c>
      <c r="AK12" s="149">
        <f t="shared" si="23"/>
        <v>465650</v>
      </c>
      <c r="AL12" s="142">
        <f t="shared" si="15"/>
        <v>46200</v>
      </c>
      <c r="AM12" s="142"/>
      <c r="AN12" s="150">
        <v>40</v>
      </c>
      <c r="AO12" s="150">
        <v>393600</v>
      </c>
      <c r="AP12" s="150">
        <v>53600</v>
      </c>
      <c r="AQ12" s="151">
        <v>46200</v>
      </c>
      <c r="AR12" s="151"/>
      <c r="AS12" s="151"/>
      <c r="AT12" s="151">
        <v>3300</v>
      </c>
      <c r="AU12" s="152">
        <f t="shared" si="24"/>
        <v>493400</v>
      </c>
      <c r="AV12" s="119">
        <v>8</v>
      </c>
      <c r="AW12" s="120">
        <f t="shared" si="25"/>
        <v>496700</v>
      </c>
      <c r="AX12" s="179">
        <f t="shared" si="16"/>
        <v>515150</v>
      </c>
    </row>
    <row r="13" spans="1:50" ht="13.5" customHeight="1">
      <c r="A13" s="190" t="s">
        <v>70</v>
      </c>
      <c r="B13" s="156">
        <f t="shared" si="17"/>
        <v>45878</v>
      </c>
      <c r="C13" s="178"/>
      <c r="D13" s="132">
        <v>98</v>
      </c>
      <c r="E13" s="133"/>
      <c r="F13" s="134">
        <v>23</v>
      </c>
      <c r="G13" s="135">
        <v>87230</v>
      </c>
      <c r="H13" s="136">
        <f t="shared" si="0"/>
        <v>3447.8260869565215</v>
      </c>
      <c r="I13" s="135">
        <v>16610</v>
      </c>
      <c r="J13" s="137">
        <f t="shared" si="1"/>
        <v>656.52173913043475</v>
      </c>
      <c r="K13" s="138">
        <f t="shared" si="26"/>
        <v>103840</v>
      </c>
      <c r="L13" s="139">
        <f t="shared" si="2"/>
        <v>4514.782608695652</v>
      </c>
      <c r="M13" s="140"/>
      <c r="N13" s="141">
        <f t="shared" si="18"/>
        <v>41</v>
      </c>
      <c r="O13" s="142">
        <f t="shared" si="18"/>
        <v>370890</v>
      </c>
      <c r="P13" s="136">
        <f t="shared" si="3"/>
        <v>8223.707317073171</v>
      </c>
      <c r="Q13" s="142">
        <f t="shared" si="19"/>
        <v>85540</v>
      </c>
      <c r="R13" s="137">
        <f t="shared" si="4"/>
        <v>1896.6585365853659</v>
      </c>
      <c r="S13" s="143">
        <f t="shared" si="20"/>
        <v>456430</v>
      </c>
      <c r="T13" s="139">
        <f t="shared" si="5"/>
        <v>11132.439024390244</v>
      </c>
      <c r="U13" s="144">
        <f t="shared" si="6"/>
        <v>64</v>
      </c>
      <c r="V13" s="142">
        <f t="shared" si="6"/>
        <v>458120</v>
      </c>
      <c r="W13" s="142">
        <f t="shared" si="7"/>
        <v>102150</v>
      </c>
      <c r="X13" s="145">
        <f t="shared" si="21"/>
        <v>560270</v>
      </c>
      <c r="Y13" s="142">
        <f t="shared" si="8"/>
        <v>8754.21875</v>
      </c>
      <c r="Z13" s="146"/>
      <c r="AA13" s="147">
        <v>87</v>
      </c>
      <c r="AB13" s="135">
        <v>70150</v>
      </c>
      <c r="AC13" s="136">
        <f t="shared" si="9"/>
        <v>806.32183908045977</v>
      </c>
      <c r="AD13" s="135">
        <v>8880</v>
      </c>
      <c r="AE13" s="137">
        <f t="shared" si="10"/>
        <v>102.06896551724138</v>
      </c>
      <c r="AF13" s="148">
        <f t="shared" si="22"/>
        <v>79030</v>
      </c>
      <c r="AG13" s="139">
        <f t="shared" si="11"/>
        <v>908.39080459770116</v>
      </c>
      <c r="AH13" s="154">
        <f t="shared" si="12"/>
        <v>64</v>
      </c>
      <c r="AI13" s="142">
        <f t="shared" si="13"/>
        <v>528270</v>
      </c>
      <c r="AJ13" s="142">
        <f t="shared" si="14"/>
        <v>111030</v>
      </c>
      <c r="AK13" s="149">
        <f t="shared" si="23"/>
        <v>639300</v>
      </c>
      <c r="AL13" s="142">
        <f t="shared" si="15"/>
        <v>41910</v>
      </c>
      <c r="AM13" s="142"/>
      <c r="AN13" s="150">
        <v>64</v>
      </c>
      <c r="AO13" s="150">
        <v>458120</v>
      </c>
      <c r="AP13" s="150">
        <v>102150</v>
      </c>
      <c r="AQ13" s="151">
        <v>40700</v>
      </c>
      <c r="AR13" s="151">
        <v>1210</v>
      </c>
      <c r="AS13" s="151"/>
      <c r="AT13" s="151"/>
      <c r="AU13" s="152">
        <f t="shared" si="24"/>
        <v>602180</v>
      </c>
      <c r="AV13" s="119">
        <v>9</v>
      </c>
      <c r="AW13" s="120">
        <f t="shared" si="25"/>
        <v>602180</v>
      </c>
      <c r="AX13" s="179">
        <f t="shared" si="16"/>
        <v>681210</v>
      </c>
    </row>
    <row r="14" spans="1:50" ht="13.5" customHeight="1">
      <c r="A14" s="190" t="s">
        <v>70</v>
      </c>
      <c r="B14" s="157">
        <f t="shared" si="17"/>
        <v>45879</v>
      </c>
      <c r="C14" s="178"/>
      <c r="D14" s="132">
        <v>95</v>
      </c>
      <c r="E14" s="133"/>
      <c r="F14" s="134">
        <v>27</v>
      </c>
      <c r="G14" s="135">
        <v>111980</v>
      </c>
      <c r="H14" s="136">
        <f t="shared" si="0"/>
        <v>3770.3703703703704</v>
      </c>
      <c r="I14" s="135">
        <v>10190</v>
      </c>
      <c r="J14" s="137">
        <f t="shared" si="1"/>
        <v>343.07407407407408</v>
      </c>
      <c r="K14" s="138">
        <f t="shared" si="26"/>
        <v>122170</v>
      </c>
      <c r="L14" s="139">
        <f t="shared" si="2"/>
        <v>4524.8148148148148</v>
      </c>
      <c r="M14" s="140"/>
      <c r="N14" s="141">
        <f t="shared" si="18"/>
        <v>38</v>
      </c>
      <c r="O14" s="142">
        <f t="shared" si="18"/>
        <v>311460</v>
      </c>
      <c r="P14" s="136">
        <f t="shared" si="3"/>
        <v>7451.1842105263158</v>
      </c>
      <c r="Q14" s="142">
        <f t="shared" si="19"/>
        <v>47100</v>
      </c>
      <c r="R14" s="137">
        <f t="shared" si="4"/>
        <v>1126.7894736842106</v>
      </c>
      <c r="S14" s="143">
        <f t="shared" si="20"/>
        <v>358560</v>
      </c>
      <c r="T14" s="139">
        <f t="shared" si="5"/>
        <v>9435.78947368421</v>
      </c>
      <c r="U14" s="144">
        <f t="shared" si="6"/>
        <v>65</v>
      </c>
      <c r="V14" s="142">
        <f t="shared" si="6"/>
        <v>423440</v>
      </c>
      <c r="W14" s="142">
        <f t="shared" si="7"/>
        <v>57290</v>
      </c>
      <c r="X14" s="145">
        <f t="shared" si="21"/>
        <v>480730</v>
      </c>
      <c r="Y14" s="142">
        <f t="shared" si="8"/>
        <v>7395.8461538461543</v>
      </c>
      <c r="Z14" s="146"/>
      <c r="AA14" s="147">
        <v>126</v>
      </c>
      <c r="AB14" s="135">
        <v>110150</v>
      </c>
      <c r="AC14" s="136">
        <f t="shared" si="9"/>
        <v>874.20634920634916</v>
      </c>
      <c r="AD14" s="135">
        <v>19040</v>
      </c>
      <c r="AE14" s="137">
        <f t="shared" si="10"/>
        <v>151.11111111111111</v>
      </c>
      <c r="AF14" s="148">
        <f t="shared" si="22"/>
        <v>129190</v>
      </c>
      <c r="AG14" s="139">
        <f t="shared" si="11"/>
        <v>1025.3174603174602</v>
      </c>
      <c r="AH14" s="154">
        <f t="shared" si="12"/>
        <v>65</v>
      </c>
      <c r="AI14" s="142">
        <f t="shared" si="13"/>
        <v>533590</v>
      </c>
      <c r="AJ14" s="142">
        <f t="shared" si="14"/>
        <v>76330</v>
      </c>
      <c r="AK14" s="155">
        <f t="shared" si="23"/>
        <v>609920</v>
      </c>
      <c r="AL14" s="142">
        <f t="shared" si="15"/>
        <v>51700</v>
      </c>
      <c r="AM14" s="142"/>
      <c r="AN14" s="150">
        <v>65</v>
      </c>
      <c r="AO14" s="150">
        <v>423440</v>
      </c>
      <c r="AP14" s="150">
        <v>57290</v>
      </c>
      <c r="AQ14" s="151">
        <v>51700</v>
      </c>
      <c r="AR14" s="151"/>
      <c r="AS14" s="151"/>
      <c r="AT14" s="151"/>
      <c r="AU14" s="152">
        <f t="shared" si="24"/>
        <v>532430</v>
      </c>
      <c r="AV14" s="119">
        <v>10</v>
      </c>
      <c r="AW14" s="120">
        <f t="shared" si="25"/>
        <v>532430</v>
      </c>
      <c r="AX14" s="179">
        <f t="shared" si="16"/>
        <v>661620</v>
      </c>
    </row>
    <row r="15" spans="1:50" ht="13.5" customHeight="1">
      <c r="A15" s="190" t="s">
        <v>70</v>
      </c>
      <c r="B15" s="157">
        <f>B14+1</f>
        <v>45880</v>
      </c>
      <c r="C15" s="178"/>
      <c r="D15" s="132">
        <v>95</v>
      </c>
      <c r="E15" s="133"/>
      <c r="F15" s="134">
        <v>28</v>
      </c>
      <c r="G15" s="135">
        <v>89540</v>
      </c>
      <c r="H15" s="136">
        <f t="shared" si="0"/>
        <v>2907.1428571428573</v>
      </c>
      <c r="I15" s="135">
        <v>24070</v>
      </c>
      <c r="J15" s="137">
        <f t="shared" si="1"/>
        <v>781.46428571428567</v>
      </c>
      <c r="K15" s="138">
        <f t="shared" si="26"/>
        <v>113610</v>
      </c>
      <c r="L15" s="139">
        <f t="shared" si="2"/>
        <v>4057.5</v>
      </c>
      <c r="M15" s="140"/>
      <c r="N15" s="141">
        <f t="shared" si="18"/>
        <v>38</v>
      </c>
      <c r="O15" s="142">
        <f t="shared" si="18"/>
        <v>370240</v>
      </c>
      <c r="P15" s="136">
        <f t="shared" si="3"/>
        <v>8857.394736842105</v>
      </c>
      <c r="Q15" s="142">
        <f t="shared" si="19"/>
        <v>61530</v>
      </c>
      <c r="R15" s="137">
        <f t="shared" si="4"/>
        <v>1472</v>
      </c>
      <c r="S15" s="143">
        <f t="shared" si="20"/>
        <v>431770</v>
      </c>
      <c r="T15" s="139">
        <f t="shared" si="5"/>
        <v>11362.368421052632</v>
      </c>
      <c r="U15" s="144">
        <f t="shared" si="6"/>
        <v>66</v>
      </c>
      <c r="V15" s="142">
        <f t="shared" si="6"/>
        <v>459780</v>
      </c>
      <c r="W15" s="142">
        <f t="shared" si="7"/>
        <v>85600</v>
      </c>
      <c r="X15" s="145">
        <f t="shared" si="21"/>
        <v>545380</v>
      </c>
      <c r="Y15" s="142">
        <f t="shared" si="8"/>
        <v>8263.3333333333339</v>
      </c>
      <c r="Z15" s="146"/>
      <c r="AA15" s="147">
        <v>142</v>
      </c>
      <c r="AB15" s="135">
        <v>127550</v>
      </c>
      <c r="AC15" s="136">
        <f t="shared" si="9"/>
        <v>898.23943661971828</v>
      </c>
      <c r="AD15" s="135">
        <v>20230</v>
      </c>
      <c r="AE15" s="137">
        <f t="shared" si="10"/>
        <v>142.46478873239437</v>
      </c>
      <c r="AF15" s="148">
        <f t="shared" si="22"/>
        <v>147780</v>
      </c>
      <c r="AG15" s="139">
        <f t="shared" si="11"/>
        <v>1040.7042253521126</v>
      </c>
      <c r="AH15" s="154">
        <f t="shared" si="12"/>
        <v>66</v>
      </c>
      <c r="AI15" s="142">
        <f t="shared" si="13"/>
        <v>587330</v>
      </c>
      <c r="AJ15" s="142">
        <f t="shared" si="14"/>
        <v>105830</v>
      </c>
      <c r="AK15" s="149">
        <f t="shared" si="23"/>
        <v>693160</v>
      </c>
      <c r="AL15" s="142">
        <f t="shared" si="15"/>
        <v>91550</v>
      </c>
      <c r="AM15" s="142"/>
      <c r="AN15" s="150">
        <v>66</v>
      </c>
      <c r="AO15" s="150">
        <v>459780</v>
      </c>
      <c r="AP15" s="150">
        <v>85600</v>
      </c>
      <c r="AQ15" s="151">
        <v>44550</v>
      </c>
      <c r="AR15" s="151">
        <v>47000</v>
      </c>
      <c r="AS15" s="151"/>
      <c r="AT15" s="151">
        <v>3300</v>
      </c>
      <c r="AU15" s="152">
        <f t="shared" si="24"/>
        <v>636930</v>
      </c>
      <c r="AV15" s="119">
        <v>11</v>
      </c>
      <c r="AW15" s="120">
        <f t="shared" si="25"/>
        <v>640230</v>
      </c>
      <c r="AX15" s="179">
        <f t="shared" si="16"/>
        <v>788010</v>
      </c>
    </row>
    <row r="16" spans="1:50" ht="13.5" customHeight="1">
      <c r="A16" s="190" t="s">
        <v>70</v>
      </c>
      <c r="B16" s="171">
        <f t="shared" si="17"/>
        <v>45881</v>
      </c>
      <c r="C16" s="178" t="s">
        <v>56</v>
      </c>
      <c r="D16" s="132">
        <v>96</v>
      </c>
      <c r="E16" s="133"/>
      <c r="F16" s="134"/>
      <c r="G16" s="135"/>
      <c r="H16" s="136" t="e">
        <f t="shared" si="0"/>
        <v>#DIV/0!</v>
      </c>
      <c r="I16" s="135"/>
      <c r="J16" s="137" t="e">
        <f t="shared" si="1"/>
        <v>#DIV/0!</v>
      </c>
      <c r="K16" s="138">
        <f t="shared" si="26"/>
        <v>0</v>
      </c>
      <c r="L16" s="139" t="str">
        <f t="shared" si="2"/>
        <v/>
      </c>
      <c r="M16" s="140"/>
      <c r="N16" s="141">
        <f t="shared" si="18"/>
        <v>42</v>
      </c>
      <c r="O16" s="142">
        <f t="shared" si="18"/>
        <v>351750</v>
      </c>
      <c r="P16" s="136">
        <f t="shared" si="3"/>
        <v>7613.6190476190477</v>
      </c>
      <c r="Q16" s="142">
        <f t="shared" si="19"/>
        <v>66480</v>
      </c>
      <c r="R16" s="137">
        <f t="shared" si="4"/>
        <v>1438.952380952381</v>
      </c>
      <c r="S16" s="143">
        <f t="shared" si="20"/>
        <v>418230</v>
      </c>
      <c r="T16" s="139">
        <f t="shared" si="5"/>
        <v>9957.8571428571431</v>
      </c>
      <c r="U16" s="144">
        <f t="shared" si="6"/>
        <v>42</v>
      </c>
      <c r="V16" s="142">
        <f t="shared" si="6"/>
        <v>351750</v>
      </c>
      <c r="W16" s="142">
        <f t="shared" si="7"/>
        <v>66480</v>
      </c>
      <c r="X16" s="145">
        <f t="shared" si="21"/>
        <v>418230</v>
      </c>
      <c r="Y16" s="142">
        <f t="shared" si="8"/>
        <v>9957.8571428571431</v>
      </c>
      <c r="Z16" s="146"/>
      <c r="AA16" s="147">
        <v>105</v>
      </c>
      <c r="AB16" s="135">
        <v>101300</v>
      </c>
      <c r="AC16" s="136">
        <f>AB16/AA16</f>
        <v>964.76190476190482</v>
      </c>
      <c r="AD16" s="135">
        <v>13960</v>
      </c>
      <c r="AE16" s="137">
        <f t="shared" si="10"/>
        <v>132.95238095238096</v>
      </c>
      <c r="AF16" s="148">
        <f t="shared" si="22"/>
        <v>115260</v>
      </c>
      <c r="AG16" s="139">
        <f t="shared" si="11"/>
        <v>1097.7142857142858</v>
      </c>
      <c r="AH16" s="154">
        <f t="shared" si="12"/>
        <v>42</v>
      </c>
      <c r="AI16" s="142">
        <f t="shared" si="13"/>
        <v>453050</v>
      </c>
      <c r="AJ16" s="142">
        <f t="shared" si="14"/>
        <v>80440</v>
      </c>
      <c r="AK16" s="149">
        <f t="shared" si="23"/>
        <v>533490</v>
      </c>
      <c r="AL16" s="142">
        <f t="shared" si="15"/>
        <v>38500</v>
      </c>
      <c r="AM16" s="142">
        <v>800</v>
      </c>
      <c r="AN16" s="150">
        <v>42</v>
      </c>
      <c r="AO16" s="150">
        <v>351750</v>
      </c>
      <c r="AP16" s="150">
        <v>66480</v>
      </c>
      <c r="AQ16" s="151">
        <v>38500</v>
      </c>
      <c r="AR16" s="151"/>
      <c r="AS16" s="151"/>
      <c r="AT16" s="151"/>
      <c r="AU16" s="152">
        <f t="shared" si="24"/>
        <v>456730</v>
      </c>
      <c r="AV16" s="119">
        <v>12</v>
      </c>
      <c r="AW16" s="120">
        <f t="shared" si="25"/>
        <v>456730</v>
      </c>
      <c r="AX16" s="179">
        <f t="shared" si="16"/>
        <v>572790</v>
      </c>
    </row>
    <row r="17" spans="1:50" ht="13.5" customHeight="1">
      <c r="A17" s="190" t="s">
        <v>70</v>
      </c>
      <c r="B17" s="171">
        <f t="shared" si="17"/>
        <v>45882</v>
      </c>
      <c r="C17" s="178" t="s">
        <v>56</v>
      </c>
      <c r="D17" s="132">
        <v>95</v>
      </c>
      <c r="E17" s="133"/>
      <c r="F17" s="134"/>
      <c r="G17" s="135"/>
      <c r="H17" s="136" t="e">
        <f t="shared" si="0"/>
        <v>#DIV/0!</v>
      </c>
      <c r="I17" s="135"/>
      <c r="J17" s="137" t="e">
        <f t="shared" si="1"/>
        <v>#DIV/0!</v>
      </c>
      <c r="K17" s="138">
        <f t="shared" si="26"/>
        <v>0</v>
      </c>
      <c r="L17" s="139" t="str">
        <f t="shared" si="2"/>
        <v/>
      </c>
      <c r="M17" s="140"/>
      <c r="N17" s="141">
        <f t="shared" si="18"/>
        <v>34</v>
      </c>
      <c r="O17" s="142">
        <f t="shared" si="18"/>
        <v>323480</v>
      </c>
      <c r="P17" s="136">
        <f t="shared" si="3"/>
        <v>8649.176470588236</v>
      </c>
      <c r="Q17" s="142">
        <f t="shared" si="19"/>
        <v>67600</v>
      </c>
      <c r="R17" s="137">
        <f t="shared" si="4"/>
        <v>1807.4705882352941</v>
      </c>
      <c r="S17" s="143">
        <f t="shared" si="20"/>
        <v>391080</v>
      </c>
      <c r="T17" s="139">
        <f t="shared" si="5"/>
        <v>11502.35294117647</v>
      </c>
      <c r="U17" s="144">
        <f t="shared" si="6"/>
        <v>34</v>
      </c>
      <c r="V17" s="142">
        <f t="shared" si="6"/>
        <v>323480</v>
      </c>
      <c r="W17" s="142">
        <f t="shared" si="7"/>
        <v>67600</v>
      </c>
      <c r="X17" s="145">
        <f t="shared" si="21"/>
        <v>391080</v>
      </c>
      <c r="Y17" s="142">
        <f t="shared" si="8"/>
        <v>11502.35294117647</v>
      </c>
      <c r="Z17" s="146"/>
      <c r="AA17" s="147">
        <v>118</v>
      </c>
      <c r="AB17" s="135">
        <v>119300</v>
      </c>
      <c r="AC17" s="136">
        <f t="shared" si="9"/>
        <v>1011.0169491525423</v>
      </c>
      <c r="AD17" s="135">
        <v>14610</v>
      </c>
      <c r="AE17" s="137">
        <f t="shared" si="10"/>
        <v>123.8135593220339</v>
      </c>
      <c r="AF17" s="148">
        <f t="shared" si="22"/>
        <v>133910</v>
      </c>
      <c r="AG17" s="139">
        <f t="shared" si="11"/>
        <v>1134.8305084745762</v>
      </c>
      <c r="AH17" s="154">
        <f t="shared" si="12"/>
        <v>34</v>
      </c>
      <c r="AI17" s="142">
        <f t="shared" si="13"/>
        <v>442780</v>
      </c>
      <c r="AJ17" s="142">
        <f t="shared" si="14"/>
        <v>82210</v>
      </c>
      <c r="AK17" s="149">
        <f t="shared" si="23"/>
        <v>524990</v>
      </c>
      <c r="AL17" s="142">
        <f t="shared" si="15"/>
        <v>33000</v>
      </c>
      <c r="AM17" s="142"/>
      <c r="AN17" s="150">
        <v>34</v>
      </c>
      <c r="AO17" s="150">
        <v>323480</v>
      </c>
      <c r="AP17" s="150">
        <v>67600</v>
      </c>
      <c r="AQ17" s="151">
        <v>33000</v>
      </c>
      <c r="AR17" s="151"/>
      <c r="AS17" s="151"/>
      <c r="AT17" s="151"/>
      <c r="AU17" s="152">
        <f t="shared" si="24"/>
        <v>424080</v>
      </c>
      <c r="AV17" s="119">
        <v>13</v>
      </c>
      <c r="AW17" s="120">
        <f t="shared" si="25"/>
        <v>424080</v>
      </c>
      <c r="AX17" s="179">
        <f t="shared" si="16"/>
        <v>557990</v>
      </c>
    </row>
    <row r="18" spans="1:50" ht="13.5" customHeight="1">
      <c r="A18" s="190" t="s">
        <v>70</v>
      </c>
      <c r="B18" s="171">
        <f t="shared" si="17"/>
        <v>45883</v>
      </c>
      <c r="C18" s="178" t="s">
        <v>72</v>
      </c>
      <c r="D18" s="132">
        <v>91</v>
      </c>
      <c r="E18" s="133"/>
      <c r="F18" s="134"/>
      <c r="G18" s="135"/>
      <c r="H18" s="136" t="e">
        <f t="shared" si="0"/>
        <v>#DIV/0!</v>
      </c>
      <c r="I18" s="135"/>
      <c r="J18" s="137" t="e">
        <f t="shared" si="1"/>
        <v>#DIV/0!</v>
      </c>
      <c r="K18" s="138">
        <f t="shared" si="26"/>
        <v>0</v>
      </c>
      <c r="L18" s="139" t="str">
        <f t="shared" si="2"/>
        <v/>
      </c>
      <c r="M18" s="140"/>
      <c r="N18" s="141">
        <f t="shared" si="18"/>
        <v>40</v>
      </c>
      <c r="O18" s="142">
        <f t="shared" si="18"/>
        <v>484000</v>
      </c>
      <c r="P18" s="136">
        <f t="shared" si="3"/>
        <v>11000</v>
      </c>
      <c r="Q18" s="142">
        <f t="shared" si="19"/>
        <v>136000</v>
      </c>
      <c r="R18" s="137">
        <f t="shared" si="4"/>
        <v>3090.9</v>
      </c>
      <c r="S18" s="143">
        <f t="shared" si="20"/>
        <v>620000</v>
      </c>
      <c r="T18" s="139">
        <f t="shared" si="5"/>
        <v>15500</v>
      </c>
      <c r="U18" s="144">
        <f t="shared" si="6"/>
        <v>40</v>
      </c>
      <c r="V18" s="142">
        <f t="shared" si="6"/>
        <v>484000</v>
      </c>
      <c r="W18" s="142">
        <f t="shared" si="7"/>
        <v>136000</v>
      </c>
      <c r="X18" s="145">
        <f t="shared" si="21"/>
        <v>620000</v>
      </c>
      <c r="Y18" s="142">
        <f t="shared" si="8"/>
        <v>15500</v>
      </c>
      <c r="Z18" s="146"/>
      <c r="AA18" s="147">
        <v>100</v>
      </c>
      <c r="AB18" s="135">
        <v>92800</v>
      </c>
      <c r="AC18" s="136">
        <f t="shared" si="9"/>
        <v>928</v>
      </c>
      <c r="AD18" s="135">
        <v>18350</v>
      </c>
      <c r="AE18" s="137">
        <f t="shared" si="10"/>
        <v>183.5</v>
      </c>
      <c r="AF18" s="148">
        <f t="shared" si="22"/>
        <v>111150</v>
      </c>
      <c r="AG18" s="139">
        <f t="shared" si="11"/>
        <v>1111.5</v>
      </c>
      <c r="AH18" s="154">
        <f t="shared" si="12"/>
        <v>40</v>
      </c>
      <c r="AI18" s="142">
        <f t="shared" si="13"/>
        <v>576800</v>
      </c>
      <c r="AJ18" s="142">
        <f t="shared" si="14"/>
        <v>154350</v>
      </c>
      <c r="AK18" s="149">
        <f t="shared" si="23"/>
        <v>731150</v>
      </c>
      <c r="AL18" s="142">
        <f t="shared" si="15"/>
        <v>0</v>
      </c>
      <c r="AM18" s="142"/>
      <c r="AN18" s="150">
        <v>40</v>
      </c>
      <c r="AO18" s="150">
        <v>484000</v>
      </c>
      <c r="AP18" s="150">
        <v>136000</v>
      </c>
      <c r="AQ18" s="151"/>
      <c r="AR18" s="151"/>
      <c r="AS18" s="151"/>
      <c r="AT18" s="151"/>
      <c r="AU18" s="152">
        <f t="shared" si="24"/>
        <v>620000</v>
      </c>
      <c r="AV18" s="119">
        <v>14</v>
      </c>
      <c r="AW18" s="120">
        <f t="shared" si="25"/>
        <v>620000</v>
      </c>
      <c r="AX18" s="179">
        <f t="shared" si="16"/>
        <v>731150</v>
      </c>
    </row>
    <row r="19" spans="1:50" ht="13.5" customHeight="1">
      <c r="A19" s="190" t="s">
        <v>70</v>
      </c>
      <c r="B19" s="171">
        <f t="shared" si="17"/>
        <v>45884</v>
      </c>
      <c r="C19" s="178" t="s">
        <v>56</v>
      </c>
      <c r="D19" s="132">
        <v>98</v>
      </c>
      <c r="E19" s="133"/>
      <c r="F19" s="134"/>
      <c r="G19" s="135"/>
      <c r="H19" s="136" t="e">
        <f t="shared" si="0"/>
        <v>#DIV/0!</v>
      </c>
      <c r="I19" s="135"/>
      <c r="J19" s="137" t="e">
        <f t="shared" si="1"/>
        <v>#DIV/0!</v>
      </c>
      <c r="K19" s="138">
        <f t="shared" si="26"/>
        <v>0</v>
      </c>
      <c r="L19" s="139" t="str">
        <f t="shared" si="2"/>
        <v/>
      </c>
      <c r="M19" s="140"/>
      <c r="N19" s="141">
        <f t="shared" si="18"/>
        <v>40</v>
      </c>
      <c r="O19" s="142">
        <f t="shared" si="18"/>
        <v>390980</v>
      </c>
      <c r="P19" s="136">
        <f t="shared" si="3"/>
        <v>8885.9</v>
      </c>
      <c r="Q19" s="142">
        <f t="shared" si="19"/>
        <v>113700</v>
      </c>
      <c r="R19" s="158">
        <f t="shared" si="4"/>
        <v>2584.0749999999998</v>
      </c>
      <c r="S19" s="143">
        <f t="shared" si="20"/>
        <v>504680</v>
      </c>
      <c r="T19" s="139">
        <f t="shared" si="5"/>
        <v>12617</v>
      </c>
      <c r="U19" s="144">
        <f t="shared" si="6"/>
        <v>40</v>
      </c>
      <c r="V19" s="142">
        <f t="shared" si="6"/>
        <v>390980</v>
      </c>
      <c r="W19" s="142">
        <f t="shared" si="7"/>
        <v>113700</v>
      </c>
      <c r="X19" s="145">
        <f t="shared" si="21"/>
        <v>504680</v>
      </c>
      <c r="Y19" s="142">
        <f t="shared" si="8"/>
        <v>12617</v>
      </c>
      <c r="Z19" s="146"/>
      <c r="AA19" s="147">
        <v>102</v>
      </c>
      <c r="AB19" s="135">
        <v>86300</v>
      </c>
      <c r="AC19" s="136">
        <f t="shared" si="9"/>
        <v>846.07843137254906</v>
      </c>
      <c r="AD19" s="135">
        <v>14090</v>
      </c>
      <c r="AE19" s="137">
        <f t="shared" si="10"/>
        <v>138.13725490196077</v>
      </c>
      <c r="AF19" s="148">
        <f t="shared" si="22"/>
        <v>100390</v>
      </c>
      <c r="AG19" s="139">
        <f t="shared" si="11"/>
        <v>984.21568627450984</v>
      </c>
      <c r="AH19" s="154">
        <f t="shared" si="12"/>
        <v>40</v>
      </c>
      <c r="AI19" s="142">
        <f t="shared" si="13"/>
        <v>477280</v>
      </c>
      <c r="AJ19" s="142">
        <f t="shared" si="14"/>
        <v>127790</v>
      </c>
      <c r="AK19" s="149">
        <f t="shared" si="23"/>
        <v>605070</v>
      </c>
      <c r="AL19" s="142">
        <f t="shared" si="15"/>
        <v>41800</v>
      </c>
      <c r="AM19" s="142"/>
      <c r="AN19" s="150">
        <v>40</v>
      </c>
      <c r="AO19" s="150">
        <v>390980</v>
      </c>
      <c r="AP19" s="150">
        <v>113700</v>
      </c>
      <c r="AQ19" s="151">
        <v>41800</v>
      </c>
      <c r="AR19" s="151"/>
      <c r="AS19" s="151"/>
      <c r="AT19" s="151"/>
      <c r="AU19" s="152">
        <f t="shared" si="24"/>
        <v>546480</v>
      </c>
      <c r="AV19" s="119">
        <v>15</v>
      </c>
      <c r="AW19" s="120">
        <f t="shared" si="25"/>
        <v>546480</v>
      </c>
      <c r="AX19" s="179">
        <f t="shared" si="16"/>
        <v>646870</v>
      </c>
    </row>
    <row r="20" spans="1:50" ht="13.5" customHeight="1">
      <c r="A20" s="190" t="s">
        <v>70</v>
      </c>
      <c r="B20" s="156">
        <f t="shared" si="17"/>
        <v>45885</v>
      </c>
      <c r="C20" s="178"/>
      <c r="D20" s="132">
        <v>95</v>
      </c>
      <c r="E20" s="133"/>
      <c r="F20" s="134">
        <v>30</v>
      </c>
      <c r="G20" s="135">
        <v>127710</v>
      </c>
      <c r="H20" s="136">
        <f t="shared" si="0"/>
        <v>3870</v>
      </c>
      <c r="I20" s="135">
        <v>22770</v>
      </c>
      <c r="J20" s="136">
        <f t="shared" si="1"/>
        <v>690</v>
      </c>
      <c r="K20" s="138">
        <f t="shared" si="26"/>
        <v>150480</v>
      </c>
      <c r="L20" s="139">
        <f t="shared" si="2"/>
        <v>5016</v>
      </c>
      <c r="M20" s="140"/>
      <c r="N20" s="141">
        <f t="shared" si="18"/>
        <v>38</v>
      </c>
      <c r="O20" s="142">
        <f t="shared" si="18"/>
        <v>329220</v>
      </c>
      <c r="P20" s="136">
        <f t="shared" si="3"/>
        <v>7876.0526315789475</v>
      </c>
      <c r="Q20" s="142">
        <f t="shared" si="19"/>
        <v>53100</v>
      </c>
      <c r="R20" s="158">
        <f t="shared" si="4"/>
        <v>1270.3157894736842</v>
      </c>
      <c r="S20" s="143">
        <f t="shared" si="20"/>
        <v>382320</v>
      </c>
      <c r="T20" s="139">
        <f t="shared" si="5"/>
        <v>10061.052631578947</v>
      </c>
      <c r="U20" s="144">
        <f t="shared" si="6"/>
        <v>68</v>
      </c>
      <c r="V20" s="142">
        <f t="shared" si="6"/>
        <v>456930</v>
      </c>
      <c r="W20" s="142">
        <f t="shared" si="7"/>
        <v>75870</v>
      </c>
      <c r="X20" s="145">
        <f t="shared" si="21"/>
        <v>532800</v>
      </c>
      <c r="Y20" s="142">
        <f t="shared" si="8"/>
        <v>7835.2941176470586</v>
      </c>
      <c r="Z20" s="146"/>
      <c r="AA20" s="147">
        <v>123</v>
      </c>
      <c r="AB20" s="135">
        <v>103750</v>
      </c>
      <c r="AC20" s="136">
        <f t="shared" si="9"/>
        <v>843.4959349593496</v>
      </c>
      <c r="AD20" s="135">
        <v>18140</v>
      </c>
      <c r="AE20" s="137">
        <f t="shared" si="10"/>
        <v>147.47967479674796</v>
      </c>
      <c r="AF20" s="148">
        <f t="shared" si="22"/>
        <v>121890</v>
      </c>
      <c r="AG20" s="139">
        <f t="shared" si="11"/>
        <v>990.97560975609758</v>
      </c>
      <c r="AH20" s="154">
        <f t="shared" si="12"/>
        <v>68</v>
      </c>
      <c r="AI20" s="150">
        <f t="shared" si="13"/>
        <v>560680</v>
      </c>
      <c r="AJ20" s="150">
        <f t="shared" si="14"/>
        <v>94010</v>
      </c>
      <c r="AK20" s="149">
        <f t="shared" si="23"/>
        <v>654690</v>
      </c>
      <c r="AL20" s="142">
        <f t="shared" si="15"/>
        <v>38500</v>
      </c>
      <c r="AM20" s="142"/>
      <c r="AN20" s="150">
        <v>68</v>
      </c>
      <c r="AO20" s="150">
        <v>456930</v>
      </c>
      <c r="AP20" s="150">
        <v>75870</v>
      </c>
      <c r="AQ20" s="151">
        <v>38500</v>
      </c>
      <c r="AR20" s="151"/>
      <c r="AS20" s="151"/>
      <c r="AT20" s="151"/>
      <c r="AU20" s="152">
        <f t="shared" si="24"/>
        <v>571300</v>
      </c>
      <c r="AV20" s="119">
        <v>16</v>
      </c>
      <c r="AW20" s="120">
        <f>AT20+AU20</f>
        <v>571300</v>
      </c>
      <c r="AX20" s="179">
        <f t="shared" si="16"/>
        <v>693190</v>
      </c>
    </row>
    <row r="21" spans="1:50" ht="15.75" customHeight="1">
      <c r="A21" s="190" t="s">
        <v>70</v>
      </c>
      <c r="B21" s="157">
        <f t="shared" si="17"/>
        <v>45886</v>
      </c>
      <c r="C21" s="178"/>
      <c r="D21" s="132">
        <v>94</v>
      </c>
      <c r="E21" s="133"/>
      <c r="F21" s="134">
        <v>19</v>
      </c>
      <c r="G21" s="135">
        <v>75460</v>
      </c>
      <c r="H21" s="136">
        <f t="shared" si="0"/>
        <v>3610.5263157894738</v>
      </c>
      <c r="I21" s="135">
        <v>6420</v>
      </c>
      <c r="J21" s="136">
        <f t="shared" si="1"/>
        <v>307.15789473684208</v>
      </c>
      <c r="K21" s="138">
        <f t="shared" si="26"/>
        <v>81880</v>
      </c>
      <c r="L21" s="139">
        <f t="shared" si="2"/>
        <v>4309.4736842105267</v>
      </c>
      <c r="M21" s="140"/>
      <c r="N21" s="141">
        <f t="shared" si="18"/>
        <v>41</v>
      </c>
      <c r="O21" s="142">
        <f t="shared" si="18"/>
        <v>369480</v>
      </c>
      <c r="P21" s="136">
        <f t="shared" si="3"/>
        <v>8192.4390243902435</v>
      </c>
      <c r="Q21" s="142">
        <f t="shared" si="19"/>
        <v>95070</v>
      </c>
      <c r="R21" s="158">
        <f t="shared" si="4"/>
        <v>2107.9756097560976</v>
      </c>
      <c r="S21" s="143">
        <f>O21+Q21</f>
        <v>464550</v>
      </c>
      <c r="T21" s="139">
        <f t="shared" si="5"/>
        <v>11330.487804878048</v>
      </c>
      <c r="U21" s="144">
        <f t="shared" ref="U21:V35" si="27">F21+N21</f>
        <v>60</v>
      </c>
      <c r="V21" s="142">
        <f t="shared" si="27"/>
        <v>444940</v>
      </c>
      <c r="W21" s="142">
        <f t="shared" si="7"/>
        <v>101490</v>
      </c>
      <c r="X21" s="145">
        <f>K21+S21</f>
        <v>546430</v>
      </c>
      <c r="Y21" s="142">
        <f t="shared" si="8"/>
        <v>9107.1666666666661</v>
      </c>
      <c r="Z21" s="146"/>
      <c r="AA21" s="147">
        <v>36</v>
      </c>
      <c r="AB21" s="135">
        <v>24300</v>
      </c>
      <c r="AC21" s="136">
        <f t="shared" si="9"/>
        <v>675</v>
      </c>
      <c r="AD21" s="135">
        <v>5220</v>
      </c>
      <c r="AE21" s="137">
        <f t="shared" si="10"/>
        <v>145</v>
      </c>
      <c r="AF21" s="148">
        <f t="shared" si="22"/>
        <v>29520</v>
      </c>
      <c r="AG21" s="139">
        <f t="shared" si="11"/>
        <v>820</v>
      </c>
      <c r="AH21" s="154">
        <f t="shared" si="12"/>
        <v>60</v>
      </c>
      <c r="AI21" s="150">
        <f t="shared" si="13"/>
        <v>469240</v>
      </c>
      <c r="AJ21" s="150">
        <f t="shared" si="14"/>
        <v>106710</v>
      </c>
      <c r="AK21" s="149">
        <f>X21+AF21</f>
        <v>575950</v>
      </c>
      <c r="AL21" s="142">
        <f>AQ21+AR21+AS21</f>
        <v>35750</v>
      </c>
      <c r="AM21" s="142"/>
      <c r="AN21" s="150">
        <v>60</v>
      </c>
      <c r="AO21" s="150">
        <v>444940</v>
      </c>
      <c r="AP21" s="150">
        <v>101490</v>
      </c>
      <c r="AQ21" s="151">
        <v>34100</v>
      </c>
      <c r="AR21" s="151">
        <v>1650</v>
      </c>
      <c r="AS21" s="151"/>
      <c r="AT21" s="151">
        <v>11000</v>
      </c>
      <c r="AU21" s="152">
        <f t="shared" si="24"/>
        <v>582180</v>
      </c>
      <c r="AV21" s="119">
        <v>17</v>
      </c>
      <c r="AW21" s="120">
        <f t="shared" si="25"/>
        <v>593180</v>
      </c>
      <c r="AX21" s="179">
        <f t="shared" si="16"/>
        <v>622700</v>
      </c>
    </row>
    <row r="22" spans="1:50" ht="15.75" customHeight="1">
      <c r="A22" s="190" t="s">
        <v>70</v>
      </c>
      <c r="B22" s="171">
        <f t="shared" si="17"/>
        <v>45887</v>
      </c>
      <c r="C22" s="178" t="s">
        <v>56</v>
      </c>
      <c r="D22" s="132">
        <v>91</v>
      </c>
      <c r="E22" s="133"/>
      <c r="F22" s="134"/>
      <c r="G22" s="135"/>
      <c r="H22" s="136" t="e">
        <f t="shared" si="0"/>
        <v>#DIV/0!</v>
      </c>
      <c r="I22" s="135"/>
      <c r="J22" s="136" t="e">
        <f t="shared" si="1"/>
        <v>#DIV/0!</v>
      </c>
      <c r="K22" s="138">
        <f t="shared" si="26"/>
        <v>0</v>
      </c>
      <c r="L22" s="139" t="str">
        <f t="shared" si="2"/>
        <v/>
      </c>
      <c r="M22" s="140"/>
      <c r="N22" s="141">
        <f t="shared" ref="N22:O35" si="28">AN22-F22</f>
        <v>38</v>
      </c>
      <c r="O22" s="142">
        <f t="shared" si="28"/>
        <v>376260</v>
      </c>
      <c r="P22" s="136">
        <f t="shared" si="3"/>
        <v>9001.4210526315783</v>
      </c>
      <c r="Q22" s="142">
        <f t="shared" si="19"/>
        <v>55210</v>
      </c>
      <c r="R22" s="158">
        <f t="shared" si="4"/>
        <v>1320.7894736842106</v>
      </c>
      <c r="S22" s="143">
        <f t="shared" si="20"/>
        <v>431470</v>
      </c>
      <c r="T22" s="139">
        <f t="shared" si="5"/>
        <v>11354.473684210527</v>
      </c>
      <c r="U22" s="144">
        <f t="shared" si="27"/>
        <v>38</v>
      </c>
      <c r="V22" s="142">
        <f t="shared" si="27"/>
        <v>376260</v>
      </c>
      <c r="W22" s="142">
        <f t="shared" si="7"/>
        <v>55210</v>
      </c>
      <c r="X22" s="145">
        <f t="shared" si="21"/>
        <v>431470</v>
      </c>
      <c r="Y22" s="142">
        <f t="shared" si="8"/>
        <v>11354.473684210527</v>
      </c>
      <c r="Z22" s="146"/>
      <c r="AA22" s="147">
        <v>65</v>
      </c>
      <c r="AB22" s="135">
        <v>59250</v>
      </c>
      <c r="AC22" s="136">
        <f t="shared" si="9"/>
        <v>911.53846153846155</v>
      </c>
      <c r="AD22" s="135">
        <v>10620</v>
      </c>
      <c r="AE22" s="137">
        <f t="shared" si="10"/>
        <v>163.38461538461539</v>
      </c>
      <c r="AF22" s="148">
        <f t="shared" si="22"/>
        <v>69870</v>
      </c>
      <c r="AG22" s="139">
        <f t="shared" si="11"/>
        <v>1074.9230769230769</v>
      </c>
      <c r="AH22" s="154">
        <f t="shared" si="12"/>
        <v>38</v>
      </c>
      <c r="AI22" s="150">
        <f t="shared" si="13"/>
        <v>435510</v>
      </c>
      <c r="AJ22" s="150">
        <f t="shared" si="14"/>
        <v>65830</v>
      </c>
      <c r="AK22" s="149">
        <f t="shared" si="23"/>
        <v>501340</v>
      </c>
      <c r="AL22" s="142">
        <f t="shared" si="15"/>
        <v>37400</v>
      </c>
      <c r="AM22" s="142"/>
      <c r="AN22" s="150">
        <v>38</v>
      </c>
      <c r="AO22" s="150">
        <v>376260</v>
      </c>
      <c r="AP22" s="150">
        <v>55210</v>
      </c>
      <c r="AQ22" s="151">
        <v>37400</v>
      </c>
      <c r="AR22" s="151"/>
      <c r="AS22" s="151"/>
      <c r="AT22" s="151"/>
      <c r="AU22" s="152">
        <f t="shared" si="24"/>
        <v>468870</v>
      </c>
      <c r="AV22" s="119">
        <v>18</v>
      </c>
      <c r="AW22" s="120">
        <f t="shared" si="25"/>
        <v>468870</v>
      </c>
      <c r="AX22" s="179">
        <f t="shared" si="16"/>
        <v>538740</v>
      </c>
    </row>
    <row r="23" spans="1:50" ht="15.75" customHeight="1">
      <c r="A23" s="190" t="s">
        <v>70</v>
      </c>
      <c r="B23" s="171">
        <f t="shared" si="17"/>
        <v>45888</v>
      </c>
      <c r="C23" s="178" t="s">
        <v>56</v>
      </c>
      <c r="D23" s="132">
        <v>93</v>
      </c>
      <c r="E23" s="133"/>
      <c r="F23" s="134"/>
      <c r="G23" s="135"/>
      <c r="H23" s="136" t="e">
        <f t="shared" si="0"/>
        <v>#DIV/0!</v>
      </c>
      <c r="I23" s="135"/>
      <c r="J23" s="136" t="e">
        <f t="shared" si="1"/>
        <v>#DIV/0!</v>
      </c>
      <c r="K23" s="138">
        <f t="shared" si="26"/>
        <v>0</v>
      </c>
      <c r="L23" s="139" t="str">
        <f t="shared" si="2"/>
        <v/>
      </c>
      <c r="M23" s="140"/>
      <c r="N23" s="141">
        <f t="shared" si="28"/>
        <v>39</v>
      </c>
      <c r="O23" s="142">
        <f t="shared" si="28"/>
        <v>291930</v>
      </c>
      <c r="P23" s="136">
        <f t="shared" si="3"/>
        <v>6804.8717948717949</v>
      </c>
      <c r="Q23" s="142">
        <f t="shared" si="19"/>
        <v>62710</v>
      </c>
      <c r="R23" s="158">
        <f t="shared" si="4"/>
        <v>1461.7692307692307</v>
      </c>
      <c r="S23" s="143">
        <f t="shared" si="20"/>
        <v>354640</v>
      </c>
      <c r="T23" s="139">
        <f t="shared" si="5"/>
        <v>9093.3333333333339</v>
      </c>
      <c r="U23" s="144">
        <f t="shared" si="27"/>
        <v>39</v>
      </c>
      <c r="V23" s="142">
        <f t="shared" si="27"/>
        <v>291930</v>
      </c>
      <c r="W23" s="142">
        <f t="shared" si="7"/>
        <v>62710</v>
      </c>
      <c r="X23" s="145">
        <f t="shared" si="21"/>
        <v>354640</v>
      </c>
      <c r="Y23" s="142">
        <f t="shared" si="8"/>
        <v>9093.3333333333339</v>
      </c>
      <c r="Z23" s="146"/>
      <c r="AA23" s="147">
        <v>44</v>
      </c>
      <c r="AB23" s="135">
        <v>41150</v>
      </c>
      <c r="AC23" s="136">
        <f t="shared" si="9"/>
        <v>935.22727272727275</v>
      </c>
      <c r="AD23" s="135">
        <v>5670</v>
      </c>
      <c r="AE23" s="137">
        <f t="shared" si="10"/>
        <v>128.86363636363637</v>
      </c>
      <c r="AF23" s="148">
        <f t="shared" si="22"/>
        <v>46820</v>
      </c>
      <c r="AG23" s="139">
        <f t="shared" si="11"/>
        <v>1064.090909090909</v>
      </c>
      <c r="AH23" s="154">
        <f t="shared" si="12"/>
        <v>39</v>
      </c>
      <c r="AI23" s="150">
        <f t="shared" si="13"/>
        <v>333080</v>
      </c>
      <c r="AJ23" s="150">
        <f t="shared" si="14"/>
        <v>68380</v>
      </c>
      <c r="AK23" s="149">
        <f t="shared" si="23"/>
        <v>401460</v>
      </c>
      <c r="AL23" s="142">
        <f t="shared" si="15"/>
        <v>13200</v>
      </c>
      <c r="AM23" s="142"/>
      <c r="AN23" s="150">
        <v>39</v>
      </c>
      <c r="AO23" s="150">
        <v>291930</v>
      </c>
      <c r="AP23" s="150">
        <v>62710</v>
      </c>
      <c r="AQ23" s="151">
        <v>13200</v>
      </c>
      <c r="AR23" s="151"/>
      <c r="AS23" s="151"/>
      <c r="AT23" s="151"/>
      <c r="AU23" s="152">
        <f t="shared" si="24"/>
        <v>367840</v>
      </c>
      <c r="AV23" s="119">
        <v>19</v>
      </c>
      <c r="AW23" s="120">
        <f t="shared" si="25"/>
        <v>367840</v>
      </c>
      <c r="AX23" s="179">
        <f t="shared" si="16"/>
        <v>414660</v>
      </c>
    </row>
    <row r="24" spans="1:50" ht="15.75" customHeight="1">
      <c r="A24" s="190" t="s">
        <v>70</v>
      </c>
      <c r="B24" s="171">
        <f t="shared" si="17"/>
        <v>45889</v>
      </c>
      <c r="C24" s="178" t="s">
        <v>56</v>
      </c>
      <c r="D24" s="132">
        <v>85</v>
      </c>
      <c r="E24" s="133"/>
      <c r="F24" s="134"/>
      <c r="G24" s="135"/>
      <c r="H24" s="136" t="e">
        <f t="shared" si="0"/>
        <v>#DIV/0!</v>
      </c>
      <c r="I24" s="135"/>
      <c r="J24" s="136" t="e">
        <f t="shared" si="1"/>
        <v>#DIV/0!</v>
      </c>
      <c r="K24" s="138">
        <f t="shared" si="26"/>
        <v>0</v>
      </c>
      <c r="L24" s="139" t="str">
        <f t="shared" si="2"/>
        <v/>
      </c>
      <c r="M24" s="140"/>
      <c r="N24" s="141">
        <f t="shared" si="28"/>
        <v>41</v>
      </c>
      <c r="O24" s="142">
        <f t="shared" si="28"/>
        <v>350190</v>
      </c>
      <c r="P24" s="136">
        <f t="shared" si="3"/>
        <v>7764.7317073170734</v>
      </c>
      <c r="Q24" s="142">
        <f t="shared" si="19"/>
        <v>41390</v>
      </c>
      <c r="R24" s="158">
        <f t="shared" si="4"/>
        <v>917.73170731707319</v>
      </c>
      <c r="S24" s="143">
        <f t="shared" si="20"/>
        <v>391580</v>
      </c>
      <c r="T24" s="139">
        <f t="shared" si="5"/>
        <v>9550.7317073170725</v>
      </c>
      <c r="U24" s="144">
        <f t="shared" si="27"/>
        <v>41</v>
      </c>
      <c r="V24" s="142">
        <f t="shared" si="27"/>
        <v>350190</v>
      </c>
      <c r="W24" s="142">
        <f t="shared" si="7"/>
        <v>41390</v>
      </c>
      <c r="X24" s="145">
        <f t="shared" si="21"/>
        <v>391580</v>
      </c>
      <c r="Y24" s="142">
        <f t="shared" si="8"/>
        <v>9550.7317073170725</v>
      </c>
      <c r="Z24" s="146"/>
      <c r="AA24" s="147">
        <v>41</v>
      </c>
      <c r="AB24" s="135">
        <v>27100</v>
      </c>
      <c r="AC24" s="136">
        <f t="shared" si="9"/>
        <v>660.97560975609758</v>
      </c>
      <c r="AD24" s="135">
        <v>4290</v>
      </c>
      <c r="AE24" s="137">
        <f t="shared" si="10"/>
        <v>104.63414634146342</v>
      </c>
      <c r="AF24" s="148">
        <f t="shared" si="22"/>
        <v>31390</v>
      </c>
      <c r="AG24" s="139">
        <f t="shared" si="11"/>
        <v>765.60975609756099</v>
      </c>
      <c r="AH24" s="154">
        <f t="shared" si="12"/>
        <v>41</v>
      </c>
      <c r="AI24" s="150">
        <f t="shared" si="13"/>
        <v>377290</v>
      </c>
      <c r="AJ24" s="150">
        <f t="shared" si="14"/>
        <v>45680</v>
      </c>
      <c r="AK24" s="149">
        <f>X24+AF24</f>
        <v>422970</v>
      </c>
      <c r="AL24" s="142">
        <f t="shared" si="15"/>
        <v>85700</v>
      </c>
      <c r="AM24" s="142"/>
      <c r="AN24" s="150">
        <v>41</v>
      </c>
      <c r="AO24" s="150">
        <v>350190</v>
      </c>
      <c r="AP24" s="150">
        <v>41390</v>
      </c>
      <c r="AQ24" s="151">
        <v>40700</v>
      </c>
      <c r="AR24" s="151">
        <v>45000</v>
      </c>
      <c r="AS24" s="151"/>
      <c r="AT24" s="151">
        <v>207280</v>
      </c>
      <c r="AU24" s="152">
        <f>SUM(AO24:AS24)</f>
        <v>477280</v>
      </c>
      <c r="AV24" s="119">
        <v>20</v>
      </c>
      <c r="AW24" s="120">
        <f t="shared" si="25"/>
        <v>684560</v>
      </c>
      <c r="AX24" s="179">
        <f t="shared" si="16"/>
        <v>715950</v>
      </c>
    </row>
    <row r="25" spans="1:50" ht="15.75" customHeight="1">
      <c r="A25" s="190" t="s">
        <v>70</v>
      </c>
      <c r="B25" s="193">
        <f t="shared" si="17"/>
        <v>45890</v>
      </c>
      <c r="C25" s="178" t="s">
        <v>56</v>
      </c>
      <c r="D25" s="132">
        <v>98</v>
      </c>
      <c r="E25" s="133"/>
      <c r="F25" s="134"/>
      <c r="G25" s="135"/>
      <c r="H25" s="136" t="e">
        <f t="shared" si="0"/>
        <v>#DIV/0!</v>
      </c>
      <c r="I25" s="135"/>
      <c r="J25" s="136" t="e">
        <f t="shared" si="1"/>
        <v>#DIV/0!</v>
      </c>
      <c r="K25" s="138">
        <f t="shared" si="26"/>
        <v>0</v>
      </c>
      <c r="L25" s="139" t="str">
        <f t="shared" si="2"/>
        <v/>
      </c>
      <c r="M25" s="140"/>
      <c r="N25" s="141">
        <f t="shared" si="28"/>
        <v>42</v>
      </c>
      <c r="O25" s="142">
        <f t="shared" si="28"/>
        <v>336640</v>
      </c>
      <c r="P25" s="136">
        <f t="shared" si="3"/>
        <v>7286.5714285714284</v>
      </c>
      <c r="Q25" s="142">
        <f t="shared" si="19"/>
        <v>70000</v>
      </c>
      <c r="R25" s="158">
        <f t="shared" si="4"/>
        <v>1515.1428571428571</v>
      </c>
      <c r="S25" s="143">
        <f t="shared" si="20"/>
        <v>406640</v>
      </c>
      <c r="T25" s="139">
        <f t="shared" si="5"/>
        <v>9681.9047619047615</v>
      </c>
      <c r="U25" s="144">
        <f>F25+N25</f>
        <v>42</v>
      </c>
      <c r="V25" s="142">
        <f t="shared" si="27"/>
        <v>336640</v>
      </c>
      <c r="W25" s="142">
        <f t="shared" si="7"/>
        <v>70000</v>
      </c>
      <c r="X25" s="145">
        <f t="shared" si="21"/>
        <v>406640</v>
      </c>
      <c r="Y25" s="142">
        <f t="shared" si="8"/>
        <v>9681.9047619047615</v>
      </c>
      <c r="Z25" s="146"/>
      <c r="AA25" s="194">
        <v>52</v>
      </c>
      <c r="AB25" s="135">
        <v>52300</v>
      </c>
      <c r="AC25" s="136">
        <f t="shared" si="9"/>
        <v>1005.7692307692307</v>
      </c>
      <c r="AD25" s="135">
        <v>10170</v>
      </c>
      <c r="AE25" s="137">
        <f t="shared" si="10"/>
        <v>195.57692307692307</v>
      </c>
      <c r="AF25" s="148">
        <f t="shared" si="22"/>
        <v>62470</v>
      </c>
      <c r="AG25" s="139">
        <f t="shared" si="11"/>
        <v>1201.3461538461538</v>
      </c>
      <c r="AH25" s="154">
        <f t="shared" si="12"/>
        <v>42</v>
      </c>
      <c r="AI25" s="150">
        <f t="shared" si="13"/>
        <v>388940</v>
      </c>
      <c r="AJ25" s="150">
        <f t="shared" si="14"/>
        <v>80170</v>
      </c>
      <c r="AK25" s="149">
        <f>X25+AF25</f>
        <v>469110</v>
      </c>
      <c r="AL25" s="142">
        <f t="shared" si="15"/>
        <v>42900</v>
      </c>
      <c r="AM25" s="142"/>
      <c r="AN25" s="150">
        <v>42</v>
      </c>
      <c r="AO25" s="150">
        <v>336640</v>
      </c>
      <c r="AP25" s="150">
        <v>70000</v>
      </c>
      <c r="AQ25" s="151">
        <v>42900</v>
      </c>
      <c r="AR25" s="151"/>
      <c r="AS25" s="151"/>
      <c r="AT25" s="151"/>
      <c r="AU25" s="152">
        <f t="shared" si="24"/>
        <v>449540</v>
      </c>
      <c r="AV25" s="119">
        <v>21</v>
      </c>
      <c r="AW25" s="120">
        <f t="shared" si="25"/>
        <v>449540</v>
      </c>
      <c r="AX25" s="179">
        <f t="shared" si="16"/>
        <v>512010</v>
      </c>
    </row>
    <row r="26" spans="1:50" ht="15.75" customHeight="1">
      <c r="A26" s="119"/>
      <c r="B26" s="193">
        <f t="shared" si="17"/>
        <v>45891</v>
      </c>
      <c r="C26" s="178" t="s">
        <v>73</v>
      </c>
      <c r="D26" s="132">
        <v>80</v>
      </c>
      <c r="E26" s="133"/>
      <c r="F26" s="134"/>
      <c r="G26" s="135"/>
      <c r="H26" s="136" t="e">
        <f t="shared" si="0"/>
        <v>#DIV/0!</v>
      </c>
      <c r="I26" s="135"/>
      <c r="J26" s="136" t="e">
        <f t="shared" si="1"/>
        <v>#DIV/0!</v>
      </c>
      <c r="K26" s="138">
        <f t="shared" si="26"/>
        <v>0</v>
      </c>
      <c r="L26" s="139" t="str">
        <f t="shared" si="2"/>
        <v/>
      </c>
      <c r="M26" s="140"/>
      <c r="N26" s="141">
        <f t="shared" si="28"/>
        <v>10</v>
      </c>
      <c r="O26" s="142">
        <f t="shared" si="28"/>
        <v>121000</v>
      </c>
      <c r="P26" s="136">
        <f t="shared" si="3"/>
        <v>11000</v>
      </c>
      <c r="Q26" s="142">
        <f t="shared" si="19"/>
        <v>62900</v>
      </c>
      <c r="R26" s="158">
        <f t="shared" si="4"/>
        <v>5718.1</v>
      </c>
      <c r="S26" s="143">
        <f t="shared" si="20"/>
        <v>183900</v>
      </c>
      <c r="T26" s="139">
        <f t="shared" si="5"/>
        <v>18390</v>
      </c>
      <c r="U26" s="144">
        <f t="shared" si="27"/>
        <v>10</v>
      </c>
      <c r="V26" s="142">
        <f t="shared" si="27"/>
        <v>121000</v>
      </c>
      <c r="W26" s="142">
        <f t="shared" si="7"/>
        <v>62900</v>
      </c>
      <c r="X26" s="145">
        <f t="shared" si="21"/>
        <v>183900</v>
      </c>
      <c r="Y26" s="142">
        <f t="shared" si="8"/>
        <v>18390</v>
      </c>
      <c r="Z26" s="146"/>
      <c r="AA26" s="194">
        <v>89</v>
      </c>
      <c r="AB26" s="135">
        <v>70450</v>
      </c>
      <c r="AC26" s="136">
        <f t="shared" si="9"/>
        <v>791.57303370786519</v>
      </c>
      <c r="AD26" s="135">
        <v>16430</v>
      </c>
      <c r="AE26" s="137">
        <f t="shared" si="10"/>
        <v>184.6067415730337</v>
      </c>
      <c r="AF26" s="148">
        <f t="shared" si="22"/>
        <v>86880</v>
      </c>
      <c r="AG26" s="139">
        <f t="shared" si="11"/>
        <v>976.17977528089887</v>
      </c>
      <c r="AH26" s="154">
        <f t="shared" si="12"/>
        <v>10</v>
      </c>
      <c r="AI26" s="150">
        <f t="shared" si="13"/>
        <v>191450</v>
      </c>
      <c r="AJ26" s="150">
        <f t="shared" si="14"/>
        <v>79330</v>
      </c>
      <c r="AK26" s="149">
        <f>X26+AF26</f>
        <v>270780</v>
      </c>
      <c r="AL26" s="142">
        <f t="shared" si="15"/>
        <v>0</v>
      </c>
      <c r="AM26" s="142"/>
      <c r="AN26" s="150">
        <v>10</v>
      </c>
      <c r="AO26" s="150">
        <v>121000</v>
      </c>
      <c r="AP26" s="150">
        <v>62900</v>
      </c>
      <c r="AQ26" s="151"/>
      <c r="AR26" s="151"/>
      <c r="AS26" s="151"/>
      <c r="AT26" s="151"/>
      <c r="AU26" s="152">
        <f t="shared" si="24"/>
        <v>183900</v>
      </c>
      <c r="AV26" s="119">
        <v>22</v>
      </c>
      <c r="AW26" s="120">
        <f t="shared" si="25"/>
        <v>183900</v>
      </c>
      <c r="AX26" s="179">
        <f t="shared" si="16"/>
        <v>270780</v>
      </c>
    </row>
    <row r="27" spans="1:50" ht="15.75" customHeight="1">
      <c r="A27" s="119"/>
      <c r="B27" s="195">
        <f t="shared" si="17"/>
        <v>45892</v>
      </c>
      <c r="C27" s="196"/>
      <c r="D27" s="132">
        <v>60</v>
      </c>
      <c r="E27" s="133"/>
      <c r="F27" s="134">
        <v>9</v>
      </c>
      <c r="G27" s="135">
        <v>97290</v>
      </c>
      <c r="H27" s="136">
        <f t="shared" si="0"/>
        <v>9827.2222222222226</v>
      </c>
      <c r="I27" s="135">
        <v>21000</v>
      </c>
      <c r="J27" s="136">
        <f t="shared" si="1"/>
        <v>2121.1111111111113</v>
      </c>
      <c r="K27" s="138">
        <f t="shared" si="26"/>
        <v>118290</v>
      </c>
      <c r="L27" s="139">
        <f t="shared" si="2"/>
        <v>13143.333333333334</v>
      </c>
      <c r="M27" s="140"/>
      <c r="N27" s="141">
        <f t="shared" si="28"/>
        <v>40</v>
      </c>
      <c r="O27" s="142">
        <f t="shared" si="28"/>
        <v>371690</v>
      </c>
      <c r="P27" s="136">
        <f t="shared" si="3"/>
        <v>8447.5</v>
      </c>
      <c r="Q27" s="142">
        <f t="shared" si="19"/>
        <v>77360</v>
      </c>
      <c r="R27" s="137">
        <f t="shared" si="4"/>
        <v>1758.175</v>
      </c>
      <c r="S27" s="143">
        <f t="shared" si="20"/>
        <v>449050</v>
      </c>
      <c r="T27" s="139">
        <f t="shared" si="5"/>
        <v>11226.25</v>
      </c>
      <c r="U27" s="144">
        <f t="shared" si="27"/>
        <v>49</v>
      </c>
      <c r="V27" s="142">
        <f t="shared" si="27"/>
        <v>468980</v>
      </c>
      <c r="W27" s="142">
        <f t="shared" si="7"/>
        <v>98360</v>
      </c>
      <c r="X27" s="145">
        <f t="shared" si="21"/>
        <v>567340</v>
      </c>
      <c r="Y27" s="142">
        <f t="shared" si="8"/>
        <v>11578.367346938776</v>
      </c>
      <c r="Z27" s="146"/>
      <c r="AA27" s="194">
        <v>125</v>
      </c>
      <c r="AB27" s="135">
        <v>98350</v>
      </c>
      <c r="AC27" s="136">
        <f t="shared" si="9"/>
        <v>786.8</v>
      </c>
      <c r="AD27" s="135">
        <v>14860</v>
      </c>
      <c r="AE27" s="137">
        <f t="shared" si="10"/>
        <v>118.88</v>
      </c>
      <c r="AF27" s="148">
        <f t="shared" si="22"/>
        <v>113210</v>
      </c>
      <c r="AG27" s="139">
        <f t="shared" si="11"/>
        <v>905.68</v>
      </c>
      <c r="AH27" s="154">
        <f t="shared" si="12"/>
        <v>49</v>
      </c>
      <c r="AI27" s="150">
        <f t="shared" si="13"/>
        <v>567330</v>
      </c>
      <c r="AJ27" s="150">
        <f t="shared" si="14"/>
        <v>113220</v>
      </c>
      <c r="AK27" s="149">
        <f>X27+AF27</f>
        <v>680550</v>
      </c>
      <c r="AL27" s="142">
        <f t="shared" si="15"/>
        <v>66430</v>
      </c>
      <c r="AM27" s="142"/>
      <c r="AN27" s="150">
        <v>49</v>
      </c>
      <c r="AO27" s="150">
        <v>468980</v>
      </c>
      <c r="AP27" s="150">
        <v>98360</v>
      </c>
      <c r="AQ27" s="151">
        <v>64870</v>
      </c>
      <c r="AR27" s="151">
        <v>1560</v>
      </c>
      <c r="AS27" s="151"/>
      <c r="AT27" s="151">
        <v>49380</v>
      </c>
      <c r="AU27" s="152">
        <f t="shared" si="24"/>
        <v>633770</v>
      </c>
      <c r="AV27" s="119">
        <v>23</v>
      </c>
      <c r="AW27" s="120">
        <f t="shared" si="25"/>
        <v>683150</v>
      </c>
      <c r="AX27" s="179">
        <f t="shared" si="16"/>
        <v>796360</v>
      </c>
    </row>
    <row r="28" spans="1:50" ht="15.75" customHeight="1">
      <c r="A28" s="119"/>
      <c r="B28" s="197">
        <f t="shared" si="17"/>
        <v>45893</v>
      </c>
      <c r="C28" s="196"/>
      <c r="D28" s="132">
        <v>93</v>
      </c>
      <c r="E28" s="133"/>
      <c r="F28" s="134">
        <v>31</v>
      </c>
      <c r="G28" s="135">
        <v>118360</v>
      </c>
      <c r="H28" s="136">
        <f t="shared" si="0"/>
        <v>3470.9677419354839</v>
      </c>
      <c r="I28" s="135">
        <v>17290</v>
      </c>
      <c r="J28" s="136">
        <f t="shared" si="1"/>
        <v>507.03225806451616</v>
      </c>
      <c r="K28" s="138">
        <f t="shared" si="26"/>
        <v>135650</v>
      </c>
      <c r="L28" s="139">
        <f t="shared" si="2"/>
        <v>4375.8064516129034</v>
      </c>
      <c r="M28" s="140"/>
      <c r="N28" s="141">
        <f t="shared" si="28"/>
        <v>41</v>
      </c>
      <c r="O28" s="142">
        <f t="shared" si="28"/>
        <v>338600</v>
      </c>
      <c r="P28" s="136">
        <f t="shared" si="3"/>
        <v>7507.7560975609758</v>
      </c>
      <c r="Q28" s="142">
        <f t="shared" si="19"/>
        <v>43670</v>
      </c>
      <c r="R28" s="137">
        <f t="shared" si="4"/>
        <v>968.29268292682923</v>
      </c>
      <c r="S28" s="143">
        <f t="shared" si="20"/>
        <v>382270</v>
      </c>
      <c r="T28" s="139">
        <f t="shared" si="5"/>
        <v>9323.6585365853662</v>
      </c>
      <c r="U28" s="144">
        <f t="shared" si="27"/>
        <v>72</v>
      </c>
      <c r="V28" s="142">
        <f t="shared" si="27"/>
        <v>456960</v>
      </c>
      <c r="W28" s="142">
        <f t="shared" si="7"/>
        <v>60960</v>
      </c>
      <c r="X28" s="145">
        <f t="shared" si="21"/>
        <v>517920</v>
      </c>
      <c r="Y28" s="142">
        <f t="shared" si="8"/>
        <v>7193.333333333333</v>
      </c>
      <c r="Z28" s="146"/>
      <c r="AA28" s="194">
        <v>136</v>
      </c>
      <c r="AB28" s="135">
        <v>127450</v>
      </c>
      <c r="AC28" s="136">
        <f t="shared" si="9"/>
        <v>937.13235294117646</v>
      </c>
      <c r="AD28" s="135">
        <v>18050</v>
      </c>
      <c r="AE28" s="137">
        <f t="shared" si="10"/>
        <v>132.72058823529412</v>
      </c>
      <c r="AF28" s="148">
        <f t="shared" si="22"/>
        <v>145500</v>
      </c>
      <c r="AG28" s="139">
        <f t="shared" si="11"/>
        <v>1069.8529411764705</v>
      </c>
      <c r="AH28" s="154">
        <f t="shared" si="12"/>
        <v>72</v>
      </c>
      <c r="AI28" s="150">
        <f t="shared" si="13"/>
        <v>584410</v>
      </c>
      <c r="AJ28" s="150">
        <f t="shared" si="14"/>
        <v>79010</v>
      </c>
      <c r="AK28" s="149">
        <f t="shared" si="23"/>
        <v>663420</v>
      </c>
      <c r="AL28" s="142">
        <f t="shared" si="15"/>
        <v>57220</v>
      </c>
      <c r="AM28" s="142"/>
      <c r="AN28" s="150">
        <v>72</v>
      </c>
      <c r="AO28" s="150">
        <v>456960</v>
      </c>
      <c r="AP28" s="150">
        <v>60960</v>
      </c>
      <c r="AQ28" s="151">
        <v>54450</v>
      </c>
      <c r="AR28" s="151">
        <v>2770</v>
      </c>
      <c r="AS28" s="151"/>
      <c r="AT28" s="151"/>
      <c r="AU28" s="152">
        <f>SUM(AO28:AS28)</f>
        <v>575140</v>
      </c>
      <c r="AV28" s="119">
        <v>24</v>
      </c>
      <c r="AW28" s="120">
        <f t="shared" si="25"/>
        <v>575140</v>
      </c>
      <c r="AX28" s="179">
        <f t="shared" si="16"/>
        <v>720640</v>
      </c>
    </row>
    <row r="29" spans="1:50" ht="15.75" customHeight="1">
      <c r="A29" s="119"/>
      <c r="B29" s="193">
        <f t="shared" si="17"/>
        <v>45894</v>
      </c>
      <c r="C29" s="178" t="s">
        <v>56</v>
      </c>
      <c r="D29" s="132">
        <v>95</v>
      </c>
      <c r="E29" s="133"/>
      <c r="F29" s="134"/>
      <c r="G29" s="135"/>
      <c r="H29" s="136" t="e">
        <f t="shared" si="0"/>
        <v>#DIV/0!</v>
      </c>
      <c r="I29" s="135"/>
      <c r="J29" s="136" t="e">
        <f t="shared" si="1"/>
        <v>#DIV/0!</v>
      </c>
      <c r="K29" s="138">
        <f t="shared" si="26"/>
        <v>0</v>
      </c>
      <c r="L29" s="139" t="str">
        <f t="shared" si="2"/>
        <v/>
      </c>
      <c r="M29" s="140"/>
      <c r="N29" s="141">
        <f t="shared" si="28"/>
        <v>42</v>
      </c>
      <c r="O29" s="142">
        <f t="shared" si="28"/>
        <v>377860</v>
      </c>
      <c r="P29" s="136">
        <f t="shared" si="3"/>
        <v>8178.7857142857147</v>
      </c>
      <c r="Q29" s="142">
        <f t="shared" si="19"/>
        <v>52090</v>
      </c>
      <c r="R29" s="137">
        <f t="shared" si="4"/>
        <v>1127.4761904761904</v>
      </c>
      <c r="S29" s="143">
        <f t="shared" si="20"/>
        <v>429950</v>
      </c>
      <c r="T29" s="139">
        <f t="shared" si="5"/>
        <v>10236.904761904761</v>
      </c>
      <c r="U29" s="144">
        <f t="shared" si="27"/>
        <v>42</v>
      </c>
      <c r="V29" s="142">
        <f t="shared" si="27"/>
        <v>377860</v>
      </c>
      <c r="W29" s="142">
        <f t="shared" si="7"/>
        <v>52090</v>
      </c>
      <c r="X29" s="145">
        <f t="shared" si="21"/>
        <v>429950</v>
      </c>
      <c r="Y29" s="142">
        <f t="shared" si="8"/>
        <v>10236.904761904761</v>
      </c>
      <c r="Z29" s="146"/>
      <c r="AA29" s="194">
        <v>82</v>
      </c>
      <c r="AB29" s="135">
        <v>54500</v>
      </c>
      <c r="AC29" s="136">
        <f t="shared" si="9"/>
        <v>664.63414634146341</v>
      </c>
      <c r="AD29" s="135">
        <v>18100</v>
      </c>
      <c r="AE29" s="137">
        <f t="shared" si="10"/>
        <v>220.73170731707316</v>
      </c>
      <c r="AF29" s="148">
        <f t="shared" si="22"/>
        <v>72600</v>
      </c>
      <c r="AG29" s="139">
        <f t="shared" si="11"/>
        <v>885.36585365853659</v>
      </c>
      <c r="AH29" s="154">
        <f t="shared" si="12"/>
        <v>42</v>
      </c>
      <c r="AI29" s="150">
        <f t="shared" si="13"/>
        <v>432360</v>
      </c>
      <c r="AJ29" s="150">
        <f t="shared" si="14"/>
        <v>70190</v>
      </c>
      <c r="AK29" s="149">
        <f t="shared" si="23"/>
        <v>502550</v>
      </c>
      <c r="AL29" s="142">
        <f t="shared" si="15"/>
        <v>95400</v>
      </c>
      <c r="AM29" s="142"/>
      <c r="AN29" s="150">
        <v>42</v>
      </c>
      <c r="AO29" s="150">
        <v>377860</v>
      </c>
      <c r="AP29" s="150">
        <v>52090</v>
      </c>
      <c r="AQ29" s="151">
        <v>37400</v>
      </c>
      <c r="AR29" s="151">
        <v>58000</v>
      </c>
      <c r="AS29" s="151"/>
      <c r="AT29" s="151"/>
      <c r="AU29" s="152">
        <f t="shared" si="24"/>
        <v>525350</v>
      </c>
      <c r="AV29" s="119">
        <v>25</v>
      </c>
      <c r="AW29" s="120">
        <f t="shared" si="25"/>
        <v>525350</v>
      </c>
      <c r="AX29" s="179">
        <f t="shared" si="16"/>
        <v>597950</v>
      </c>
    </row>
    <row r="30" spans="1:50" ht="15.75" customHeight="1">
      <c r="A30" s="119"/>
      <c r="B30" s="193">
        <f t="shared" si="17"/>
        <v>45895</v>
      </c>
      <c r="C30" s="178" t="s">
        <v>74</v>
      </c>
      <c r="D30" s="132">
        <v>0</v>
      </c>
      <c r="E30" s="133"/>
      <c r="F30" s="134"/>
      <c r="G30" s="135"/>
      <c r="H30" s="136" t="e">
        <f t="shared" si="0"/>
        <v>#DIV/0!</v>
      </c>
      <c r="I30" s="135"/>
      <c r="J30" s="136" t="e">
        <f>ROUNDDOWN(I30/1.1,0)/F30</f>
        <v>#DIV/0!</v>
      </c>
      <c r="K30" s="138">
        <f t="shared" si="26"/>
        <v>0</v>
      </c>
      <c r="L30" s="139" t="str">
        <f t="shared" si="2"/>
        <v/>
      </c>
      <c r="M30" s="140"/>
      <c r="N30" s="141">
        <f t="shared" si="28"/>
        <v>27</v>
      </c>
      <c r="O30" s="142">
        <f t="shared" si="28"/>
        <v>215880</v>
      </c>
      <c r="P30" s="136">
        <f t="shared" si="3"/>
        <v>7268.666666666667</v>
      </c>
      <c r="Q30" s="142">
        <f t="shared" si="19"/>
        <v>41270</v>
      </c>
      <c r="R30" s="136">
        <f t="shared" si="4"/>
        <v>1389.5555555555557</v>
      </c>
      <c r="S30" s="143">
        <f t="shared" si="20"/>
        <v>257150</v>
      </c>
      <c r="T30" s="139">
        <f t="shared" si="5"/>
        <v>9524.0740740740748</v>
      </c>
      <c r="U30" s="144">
        <f t="shared" si="27"/>
        <v>27</v>
      </c>
      <c r="V30" s="142">
        <f t="shared" si="27"/>
        <v>215880</v>
      </c>
      <c r="W30" s="142">
        <f t="shared" si="7"/>
        <v>41270</v>
      </c>
      <c r="X30" s="145">
        <f t="shared" si="21"/>
        <v>257150</v>
      </c>
      <c r="Y30" s="142">
        <f t="shared" si="8"/>
        <v>9524.0740740740748</v>
      </c>
      <c r="Z30" s="146"/>
      <c r="AA30" s="194">
        <v>26</v>
      </c>
      <c r="AB30" s="135">
        <v>19050</v>
      </c>
      <c r="AC30" s="136">
        <f t="shared" si="9"/>
        <v>732.69230769230774</v>
      </c>
      <c r="AD30" s="135">
        <v>7270</v>
      </c>
      <c r="AE30" s="137">
        <f t="shared" si="10"/>
        <v>279.61538461538464</v>
      </c>
      <c r="AF30" s="148">
        <f t="shared" si="22"/>
        <v>26320</v>
      </c>
      <c r="AG30" s="139">
        <f t="shared" si="11"/>
        <v>1012.3076923076923</v>
      </c>
      <c r="AH30" s="154">
        <f t="shared" si="12"/>
        <v>27</v>
      </c>
      <c r="AI30" s="150">
        <f t="shared" si="13"/>
        <v>234930</v>
      </c>
      <c r="AJ30" s="150">
        <f t="shared" si="14"/>
        <v>48540</v>
      </c>
      <c r="AK30" s="149">
        <f t="shared" si="23"/>
        <v>283470</v>
      </c>
      <c r="AL30" s="142">
        <f t="shared" si="15"/>
        <v>20260</v>
      </c>
      <c r="AM30" s="142"/>
      <c r="AN30" s="150">
        <v>27</v>
      </c>
      <c r="AO30" s="150">
        <v>215880</v>
      </c>
      <c r="AP30" s="150">
        <v>41270</v>
      </c>
      <c r="AQ30" s="151">
        <v>18700</v>
      </c>
      <c r="AR30" s="151">
        <v>1560</v>
      </c>
      <c r="AS30" s="151"/>
      <c r="AT30" s="151"/>
      <c r="AU30" s="152">
        <f>SUM(AO30:AS30)</f>
        <v>277410</v>
      </c>
      <c r="AV30" s="119">
        <v>26</v>
      </c>
      <c r="AW30" s="120">
        <f t="shared" si="25"/>
        <v>277410</v>
      </c>
      <c r="AX30" s="179">
        <f t="shared" si="16"/>
        <v>303730</v>
      </c>
    </row>
    <row r="31" spans="1:50" ht="15.75" customHeight="1">
      <c r="A31" s="119"/>
      <c r="B31" s="193">
        <f t="shared" si="17"/>
        <v>45896</v>
      </c>
      <c r="C31" s="178" t="s">
        <v>75</v>
      </c>
      <c r="D31" s="132">
        <v>85</v>
      </c>
      <c r="E31" s="133"/>
      <c r="F31" s="134"/>
      <c r="G31" s="135"/>
      <c r="H31" s="136" t="e">
        <f t="shared" si="0"/>
        <v>#DIV/0!</v>
      </c>
      <c r="I31" s="135"/>
      <c r="J31" s="136" t="e">
        <f>ROUNDDOWN(I31/1.1,0)/F31</f>
        <v>#DIV/0!</v>
      </c>
      <c r="K31" s="138">
        <f t="shared" si="26"/>
        <v>0</v>
      </c>
      <c r="L31" s="139" t="str">
        <f t="shared" si="2"/>
        <v/>
      </c>
      <c r="M31" s="140"/>
      <c r="N31" s="141">
        <f t="shared" si="28"/>
        <v>40</v>
      </c>
      <c r="O31" s="142">
        <f t="shared" si="28"/>
        <v>364040</v>
      </c>
      <c r="P31" s="136">
        <f t="shared" si="3"/>
        <v>8273.625</v>
      </c>
      <c r="Q31" s="142">
        <f t="shared" si="19"/>
        <v>78980</v>
      </c>
      <c r="R31" s="136">
        <f t="shared" si="4"/>
        <v>1795</v>
      </c>
      <c r="S31" s="143">
        <f t="shared" si="20"/>
        <v>443020</v>
      </c>
      <c r="T31" s="139">
        <f t="shared" si="5"/>
        <v>11075.5</v>
      </c>
      <c r="U31" s="144">
        <f t="shared" si="27"/>
        <v>40</v>
      </c>
      <c r="V31" s="142">
        <f t="shared" si="27"/>
        <v>364040</v>
      </c>
      <c r="W31" s="142">
        <f t="shared" si="7"/>
        <v>78980</v>
      </c>
      <c r="X31" s="145">
        <f t="shared" si="21"/>
        <v>443020</v>
      </c>
      <c r="Y31" s="142">
        <f t="shared" si="8"/>
        <v>11075.5</v>
      </c>
      <c r="Z31" s="146"/>
      <c r="AA31" s="194">
        <v>30</v>
      </c>
      <c r="AB31" s="135">
        <v>23300</v>
      </c>
      <c r="AC31" s="136">
        <f t="shared" si="9"/>
        <v>776.66666666666663</v>
      </c>
      <c r="AD31" s="135">
        <v>2500</v>
      </c>
      <c r="AE31" s="137">
        <f t="shared" si="10"/>
        <v>83.333333333333329</v>
      </c>
      <c r="AF31" s="148">
        <f t="shared" si="22"/>
        <v>25800</v>
      </c>
      <c r="AG31" s="139">
        <f t="shared" si="11"/>
        <v>860</v>
      </c>
      <c r="AH31" s="154">
        <f t="shared" si="12"/>
        <v>40</v>
      </c>
      <c r="AI31" s="150">
        <f t="shared" si="13"/>
        <v>387340</v>
      </c>
      <c r="AJ31" s="150">
        <f t="shared" si="14"/>
        <v>81480</v>
      </c>
      <c r="AK31" s="149">
        <f t="shared" si="23"/>
        <v>468820</v>
      </c>
      <c r="AL31" s="142">
        <f t="shared" si="15"/>
        <v>39600</v>
      </c>
      <c r="AM31" s="142">
        <v>400</v>
      </c>
      <c r="AN31" s="150">
        <v>40</v>
      </c>
      <c r="AO31" s="150">
        <v>364040</v>
      </c>
      <c r="AP31" s="150">
        <v>78980</v>
      </c>
      <c r="AQ31" s="151">
        <v>39600</v>
      </c>
      <c r="AR31" s="151"/>
      <c r="AS31" s="151"/>
      <c r="AT31" s="151">
        <v>49500</v>
      </c>
      <c r="AU31" s="152">
        <f t="shared" si="24"/>
        <v>482620</v>
      </c>
      <c r="AV31" s="119">
        <v>27</v>
      </c>
      <c r="AW31" s="120">
        <f t="shared" si="25"/>
        <v>532120</v>
      </c>
      <c r="AX31" s="179">
        <f t="shared" si="16"/>
        <v>558320</v>
      </c>
    </row>
    <row r="32" spans="1:50" ht="15.75" customHeight="1">
      <c r="A32" s="119"/>
      <c r="B32" s="193">
        <f t="shared" si="17"/>
        <v>45897</v>
      </c>
      <c r="C32" s="178" t="s">
        <v>56</v>
      </c>
      <c r="D32" s="132">
        <v>92</v>
      </c>
      <c r="E32" s="133"/>
      <c r="F32" s="134"/>
      <c r="G32" s="135"/>
      <c r="H32" s="136" t="e">
        <f t="shared" si="0"/>
        <v>#DIV/0!</v>
      </c>
      <c r="I32" s="135"/>
      <c r="J32" s="136" t="e">
        <f>ROUNDDOWN(I32/1.1,0)/F32</f>
        <v>#DIV/0!</v>
      </c>
      <c r="K32" s="138">
        <f t="shared" si="26"/>
        <v>0</v>
      </c>
      <c r="L32" s="139" t="str">
        <f t="shared" si="2"/>
        <v/>
      </c>
      <c r="M32" s="140"/>
      <c r="N32" s="141">
        <f t="shared" si="28"/>
        <v>36</v>
      </c>
      <c r="O32" s="142">
        <f t="shared" si="28"/>
        <v>304560</v>
      </c>
      <c r="P32" s="136">
        <f>ROUNDDOWN(O32/1.1,0)/N32</f>
        <v>7690.8888888888887</v>
      </c>
      <c r="Q32" s="142">
        <f>AP32-I32</f>
        <v>56720</v>
      </c>
      <c r="R32" s="136">
        <f>ROUNDDOWN(Q32/1.1,0)/N32</f>
        <v>1432.3055555555557</v>
      </c>
      <c r="S32" s="143">
        <f>O32+Q32</f>
        <v>361280</v>
      </c>
      <c r="T32" s="139">
        <f>IF(N32="","",S32/N32)</f>
        <v>10035.555555555555</v>
      </c>
      <c r="U32" s="144">
        <f t="shared" si="27"/>
        <v>36</v>
      </c>
      <c r="V32" s="142">
        <f>G32+O32</f>
        <v>304560</v>
      </c>
      <c r="W32" s="142">
        <f>I32+Q32</f>
        <v>56720</v>
      </c>
      <c r="X32" s="145">
        <f>K32+S32</f>
        <v>361280</v>
      </c>
      <c r="Y32" s="142">
        <f>IF(U32="","",X32/U32)</f>
        <v>10035.555555555555</v>
      </c>
      <c r="Z32" s="146"/>
      <c r="AA32" s="194">
        <v>57</v>
      </c>
      <c r="AB32" s="135">
        <v>48150</v>
      </c>
      <c r="AC32" s="136">
        <f>AB32/AA32</f>
        <v>844.73684210526312</v>
      </c>
      <c r="AD32" s="135">
        <v>7350</v>
      </c>
      <c r="AE32" s="137">
        <f>AD32/AA32</f>
        <v>128.94736842105263</v>
      </c>
      <c r="AF32" s="148">
        <f>AB32+AD32</f>
        <v>55500</v>
      </c>
      <c r="AG32" s="139">
        <f>IF(AA32="","",AF32/AA32)</f>
        <v>973.68421052631584</v>
      </c>
      <c r="AH32" s="154">
        <f>SUM(F32,N32)</f>
        <v>36</v>
      </c>
      <c r="AI32" s="150">
        <f>V32+AB32</f>
        <v>352710</v>
      </c>
      <c r="AJ32" s="150">
        <f>W32+AD32</f>
        <v>64070</v>
      </c>
      <c r="AK32" s="149">
        <f>X32+AF32</f>
        <v>416780</v>
      </c>
      <c r="AL32" s="142">
        <f>AQ32+AR32+AS32</f>
        <v>31900</v>
      </c>
      <c r="AM32" s="142">
        <v>2000</v>
      </c>
      <c r="AN32" s="150">
        <v>36</v>
      </c>
      <c r="AO32" s="150">
        <v>304560</v>
      </c>
      <c r="AP32" s="150">
        <v>56720</v>
      </c>
      <c r="AQ32" s="151">
        <v>31900</v>
      </c>
      <c r="AR32" s="151"/>
      <c r="AS32" s="151"/>
      <c r="AT32" s="151"/>
      <c r="AU32" s="152">
        <f>SUM(AO32:AS32)</f>
        <v>393180</v>
      </c>
      <c r="AV32" s="119">
        <v>26</v>
      </c>
      <c r="AW32" s="120">
        <f>AT32+AU32</f>
        <v>393180</v>
      </c>
      <c r="AX32" s="179">
        <f t="shared" si="16"/>
        <v>450680</v>
      </c>
    </row>
    <row r="33" spans="1:50" ht="15.75" customHeight="1">
      <c r="A33" s="119"/>
      <c r="B33" s="193">
        <f t="shared" si="17"/>
        <v>45898</v>
      </c>
      <c r="C33" s="178" t="s">
        <v>56</v>
      </c>
      <c r="D33" s="132">
        <v>78</v>
      </c>
      <c r="E33" s="133"/>
      <c r="F33" s="134"/>
      <c r="G33" s="135"/>
      <c r="H33" s="136" t="e">
        <f t="shared" si="0"/>
        <v>#DIV/0!</v>
      </c>
      <c r="I33" s="135"/>
      <c r="J33" s="136" t="e">
        <f>ROUNDDOWN(I33/1.1,0)/F33</f>
        <v>#DIV/0!</v>
      </c>
      <c r="K33" s="138">
        <f t="shared" si="26"/>
        <v>0</v>
      </c>
      <c r="L33" s="139" t="str">
        <f t="shared" si="2"/>
        <v/>
      </c>
      <c r="M33" s="140"/>
      <c r="N33" s="141">
        <f t="shared" si="28"/>
        <v>38</v>
      </c>
      <c r="O33" s="142">
        <f t="shared" si="28"/>
        <v>360530</v>
      </c>
      <c r="P33" s="136">
        <f>ROUNDDOWN(O33/1.1,0)/N33</f>
        <v>8625.105263157895</v>
      </c>
      <c r="Q33" s="142">
        <f>AP33-I33</f>
        <v>57050</v>
      </c>
      <c r="R33" s="136">
        <f>ROUNDDOWN(Q33/1.1,0)/N33</f>
        <v>1364.8157894736842</v>
      </c>
      <c r="S33" s="143">
        <f>O33+Q33</f>
        <v>417580</v>
      </c>
      <c r="T33" s="139">
        <f>IF(N33="","",S33/N33)</f>
        <v>10988.947368421053</v>
      </c>
      <c r="U33" s="144">
        <f t="shared" si="27"/>
        <v>38</v>
      </c>
      <c r="V33" s="142">
        <f>G33+O33</f>
        <v>360530</v>
      </c>
      <c r="W33" s="142">
        <f>I33+Q33</f>
        <v>57050</v>
      </c>
      <c r="X33" s="145">
        <f>K33+S33</f>
        <v>417580</v>
      </c>
      <c r="Y33" s="142">
        <f>IF(U33="","",X33/U33)</f>
        <v>10988.947368421053</v>
      </c>
      <c r="Z33" s="146"/>
      <c r="AA33" s="194">
        <v>30</v>
      </c>
      <c r="AB33" s="135">
        <v>21650</v>
      </c>
      <c r="AC33" s="136">
        <f>AB33/AA33</f>
        <v>721.66666666666663</v>
      </c>
      <c r="AD33" s="135">
        <v>9400</v>
      </c>
      <c r="AE33" s="137">
        <f>AD33/AA33</f>
        <v>313.33333333333331</v>
      </c>
      <c r="AF33" s="148">
        <f>AB33+AD33</f>
        <v>31050</v>
      </c>
      <c r="AG33" s="139">
        <f>IF(AA33="","",AF33/AA33)</f>
        <v>1035</v>
      </c>
      <c r="AH33" s="154">
        <f>SUM(F33,N33)</f>
        <v>38</v>
      </c>
      <c r="AI33" s="150">
        <f>V33+AB33</f>
        <v>382180</v>
      </c>
      <c r="AJ33" s="150">
        <f>W33+AD33</f>
        <v>66450</v>
      </c>
      <c r="AK33" s="149">
        <f>X33+AF33</f>
        <v>448630</v>
      </c>
      <c r="AL33" s="142">
        <f>AQ33+AR33+AS33</f>
        <v>35200</v>
      </c>
      <c r="AM33" s="142"/>
      <c r="AN33" s="150">
        <v>38</v>
      </c>
      <c r="AO33" s="150">
        <v>360530</v>
      </c>
      <c r="AP33" s="150">
        <v>57050</v>
      </c>
      <c r="AQ33" s="151">
        <v>35200</v>
      </c>
      <c r="AR33" s="151"/>
      <c r="AS33" s="151"/>
      <c r="AT33" s="151"/>
      <c r="AU33" s="152">
        <f>SUM(AO33:AS33)</f>
        <v>452780</v>
      </c>
      <c r="AV33" s="119">
        <v>27</v>
      </c>
      <c r="AW33" s="120">
        <f>AT33+AU33</f>
        <v>452780</v>
      </c>
      <c r="AX33" s="179">
        <f t="shared" si="16"/>
        <v>483830</v>
      </c>
    </row>
    <row r="34" spans="1:50" ht="15.75" customHeight="1">
      <c r="A34" s="119"/>
      <c r="B34" s="156">
        <f t="shared" si="17"/>
        <v>45899</v>
      </c>
      <c r="C34" s="178"/>
      <c r="D34" s="132">
        <v>74</v>
      </c>
      <c r="E34" s="133"/>
      <c r="F34" s="134">
        <v>22</v>
      </c>
      <c r="G34" s="135">
        <v>97130</v>
      </c>
      <c r="H34" s="136">
        <f t="shared" si="0"/>
        <v>4013.6363636363635</v>
      </c>
      <c r="I34" s="135">
        <v>17110</v>
      </c>
      <c r="J34" s="136">
        <f>ROUNDDOWN(I34/1.1,0)/F34</f>
        <v>707</v>
      </c>
      <c r="K34" s="138">
        <f t="shared" si="26"/>
        <v>114240</v>
      </c>
      <c r="L34" s="139">
        <f t="shared" si="2"/>
        <v>5192.727272727273</v>
      </c>
      <c r="M34" s="140"/>
      <c r="N34" s="141">
        <f t="shared" si="28"/>
        <v>40</v>
      </c>
      <c r="O34" s="142">
        <f t="shared" si="28"/>
        <v>406550</v>
      </c>
      <c r="P34" s="136">
        <f>ROUNDDOWN(O34/1.1,0)/N34</f>
        <v>9239.75</v>
      </c>
      <c r="Q34" s="142">
        <f>AP34-I34</f>
        <v>72370</v>
      </c>
      <c r="R34" s="136">
        <f>ROUNDDOWN(Q34/1.1,0)/N34</f>
        <v>1644.75</v>
      </c>
      <c r="S34" s="143">
        <f>O34+Q34</f>
        <v>478920</v>
      </c>
      <c r="T34" s="139">
        <f>IF(N34="","",S34/N34)</f>
        <v>11973</v>
      </c>
      <c r="U34" s="144">
        <f t="shared" si="27"/>
        <v>62</v>
      </c>
      <c r="V34" s="142">
        <f>G34+O34</f>
        <v>503680</v>
      </c>
      <c r="W34" s="142">
        <f>I34+Q34</f>
        <v>89480</v>
      </c>
      <c r="X34" s="145">
        <f>K34+S34</f>
        <v>593160</v>
      </c>
      <c r="Y34" s="142">
        <f>IF(U34="","",X34/U34)</f>
        <v>9567.0967741935492</v>
      </c>
      <c r="Z34" s="146"/>
      <c r="AA34" s="147">
        <v>33</v>
      </c>
      <c r="AB34" s="135">
        <v>20600</v>
      </c>
      <c r="AC34" s="136">
        <f>AB34/AA34</f>
        <v>624.24242424242425</v>
      </c>
      <c r="AD34" s="135">
        <v>4300</v>
      </c>
      <c r="AE34" s="137">
        <f>AD34/AA34</f>
        <v>130.30303030303031</v>
      </c>
      <c r="AF34" s="148">
        <f>AB34+AD34</f>
        <v>24900</v>
      </c>
      <c r="AG34" s="139">
        <f>IF(AA34="","",AF34/AA34)</f>
        <v>754.5454545454545</v>
      </c>
      <c r="AH34" s="154">
        <f>SUM(F34,N34)</f>
        <v>62</v>
      </c>
      <c r="AI34" s="150">
        <f>V34+AB34</f>
        <v>524280</v>
      </c>
      <c r="AJ34" s="150">
        <f>W34+AD34</f>
        <v>93780</v>
      </c>
      <c r="AK34" s="149">
        <f>X34+AF34</f>
        <v>618060</v>
      </c>
      <c r="AL34" s="142">
        <f>AQ34+AR34+AS34</f>
        <v>36760</v>
      </c>
      <c r="AM34" s="142"/>
      <c r="AN34" s="150">
        <v>62</v>
      </c>
      <c r="AO34" s="150">
        <v>503680</v>
      </c>
      <c r="AP34" s="150">
        <v>89480</v>
      </c>
      <c r="AQ34" s="151">
        <v>35200</v>
      </c>
      <c r="AR34" s="151">
        <v>1560</v>
      </c>
      <c r="AS34" s="151"/>
      <c r="AT34" s="151"/>
      <c r="AU34" s="152">
        <f>SUM(AO34:AS34)</f>
        <v>629920</v>
      </c>
      <c r="AV34" s="119">
        <v>27</v>
      </c>
      <c r="AW34" s="120">
        <f>AT34+AU34</f>
        <v>629920</v>
      </c>
      <c r="AX34" s="179">
        <f t="shared" si="16"/>
        <v>654820</v>
      </c>
    </row>
    <row r="35" spans="1:50" ht="15.75" customHeight="1" thickBot="1">
      <c r="A35" s="119"/>
      <c r="B35" s="157">
        <f t="shared" si="17"/>
        <v>45900</v>
      </c>
      <c r="C35" s="178"/>
      <c r="D35" s="132">
        <v>90</v>
      </c>
      <c r="E35" s="133"/>
      <c r="F35" s="134">
        <v>32</v>
      </c>
      <c r="G35" s="135">
        <v>103950</v>
      </c>
      <c r="H35" s="136">
        <f t="shared" si="0"/>
        <v>2953.125</v>
      </c>
      <c r="I35" s="135">
        <v>24660</v>
      </c>
      <c r="J35" s="136">
        <f>ROUNDDOWN(I34/1.1,0)/F34</f>
        <v>707</v>
      </c>
      <c r="K35" s="138">
        <f t="shared" si="26"/>
        <v>128610</v>
      </c>
      <c r="L35" s="139">
        <f t="shared" si="2"/>
        <v>4019.0625</v>
      </c>
      <c r="M35" s="140"/>
      <c r="N35" s="141">
        <f t="shared" si="28"/>
        <v>38</v>
      </c>
      <c r="O35" s="142">
        <f t="shared" si="28"/>
        <v>316880</v>
      </c>
      <c r="P35" s="136">
        <f>ROUNDDOWN(O35/1.1,0)/N35</f>
        <v>7580.8421052631575</v>
      </c>
      <c r="Q35" s="142">
        <f>AP35-I35</f>
        <v>75250</v>
      </c>
      <c r="R35" s="136">
        <f>ROUNDDOWN(Q35/1.1,0)/N35</f>
        <v>1800.2368421052631</v>
      </c>
      <c r="S35" s="143">
        <f>O35+Q35</f>
        <v>392130</v>
      </c>
      <c r="T35" s="139">
        <f>IF(N35="","",S35/N35)</f>
        <v>10319.21052631579</v>
      </c>
      <c r="U35" s="144">
        <f t="shared" si="27"/>
        <v>70</v>
      </c>
      <c r="V35" s="142">
        <f>G35+O35</f>
        <v>420830</v>
      </c>
      <c r="W35" s="142">
        <f>I35+Q35</f>
        <v>99910</v>
      </c>
      <c r="X35" s="145">
        <f>K35+S35</f>
        <v>520740</v>
      </c>
      <c r="Y35" s="142">
        <f>IF(U35="","",X35/U35)</f>
        <v>7439.1428571428569</v>
      </c>
      <c r="Z35" s="146"/>
      <c r="AA35" s="147">
        <v>115</v>
      </c>
      <c r="AB35" s="135">
        <v>80550</v>
      </c>
      <c r="AC35" s="136">
        <f>AB35/AA35</f>
        <v>700.43478260869563</v>
      </c>
      <c r="AD35" s="135">
        <v>23030</v>
      </c>
      <c r="AE35" s="137">
        <f>AD35/AA35</f>
        <v>200.2608695652174</v>
      </c>
      <c r="AF35" s="148">
        <f>AB35+AD35</f>
        <v>103580</v>
      </c>
      <c r="AG35" s="139">
        <f>IF(AA35="","",AF35/AA35)</f>
        <v>900.695652173913</v>
      </c>
      <c r="AH35" s="154">
        <f>SUM(F35,N35)</f>
        <v>70</v>
      </c>
      <c r="AI35" s="150">
        <f>V35+AB35</f>
        <v>501380</v>
      </c>
      <c r="AJ35" s="150">
        <f>W35+AD35</f>
        <v>122940</v>
      </c>
      <c r="AK35" s="149">
        <f>X35+AF35</f>
        <v>624320</v>
      </c>
      <c r="AL35" s="142">
        <f>AQ35+AR35+AS35</f>
        <v>35750</v>
      </c>
      <c r="AM35" s="142"/>
      <c r="AN35" s="150">
        <v>70</v>
      </c>
      <c r="AO35" s="150">
        <v>420830</v>
      </c>
      <c r="AP35" s="150">
        <v>99910</v>
      </c>
      <c r="AQ35" s="151">
        <v>35750</v>
      </c>
      <c r="AR35" s="151"/>
      <c r="AS35" s="151"/>
      <c r="AT35" s="151">
        <v>5500</v>
      </c>
      <c r="AU35" s="152">
        <f>SUM(AO35:AS35)</f>
        <v>556490</v>
      </c>
      <c r="AV35" s="119"/>
      <c r="AW35" s="120">
        <f>AT35+AU35</f>
        <v>561990</v>
      </c>
      <c r="AX35" s="179">
        <f t="shared" si="16"/>
        <v>665570</v>
      </c>
    </row>
    <row r="36" spans="1:50" ht="15.75" customHeight="1" thickTop="1" thickBot="1">
      <c r="A36" s="34"/>
      <c r="B36" s="35" t="s">
        <v>25</v>
      </c>
      <c r="C36" s="159">
        <f>SUM(C5:C35)</f>
        <v>0</v>
      </c>
      <c r="D36" s="160"/>
      <c r="E36" s="37">
        <f>SUM(E5:E35)</f>
        <v>0</v>
      </c>
      <c r="F36" s="38">
        <f>SUM(F5:F35)</f>
        <v>283</v>
      </c>
      <c r="G36" s="39">
        <f>SUM(G5:G35)</f>
        <v>1113690</v>
      </c>
      <c r="H36" s="40">
        <f>G36/F36</f>
        <v>3935.3003533568904</v>
      </c>
      <c r="I36" s="36">
        <f>SUM(I5:I35)</f>
        <v>190400</v>
      </c>
      <c r="J36" s="41">
        <f>I36/F36</f>
        <v>672.79151943462898</v>
      </c>
      <c r="K36" s="42">
        <f>SUM(K5:K35)</f>
        <v>1304090</v>
      </c>
      <c r="L36" s="43">
        <f>K36/F36</f>
        <v>4608.0918727915196</v>
      </c>
      <c r="M36" s="44">
        <f>SUM(M5:M35)</f>
        <v>0</v>
      </c>
      <c r="N36" s="38">
        <f>SUM(N5:N35)</f>
        <v>1181</v>
      </c>
      <c r="O36" s="39">
        <f>SUM(O5:O35)</f>
        <v>10644260</v>
      </c>
      <c r="P36" s="40">
        <f>O36/N36</f>
        <v>9012.9212531752746</v>
      </c>
      <c r="Q36" s="45">
        <f>SUM(Q5:Q35)</f>
        <v>2116170</v>
      </c>
      <c r="R36" s="41">
        <f>Q36/N36</f>
        <v>1791.8458933107536</v>
      </c>
      <c r="S36" s="46">
        <f>SUM(S5:S35)</f>
        <v>12760430</v>
      </c>
      <c r="T36" s="47">
        <f>S36/N36</f>
        <v>10804.767146486029</v>
      </c>
      <c r="U36" s="38">
        <f>SUM(U5:U35)</f>
        <v>1464</v>
      </c>
      <c r="V36" s="48">
        <f>SUM(V5:V35)</f>
        <v>11757950</v>
      </c>
      <c r="W36" s="45">
        <f>SUM(W5:W35)</f>
        <v>2306570</v>
      </c>
      <c r="X36" s="49">
        <f>SUM(X5:X35)</f>
        <v>14064520</v>
      </c>
      <c r="Y36" s="50">
        <f>X36/U36</f>
        <v>9606.9125683060101</v>
      </c>
      <c r="Z36" s="37">
        <f>SUM(Z5:Z35)</f>
        <v>0</v>
      </c>
      <c r="AA36" s="38">
        <f>SUM(AA5:AA35)</f>
        <v>2312</v>
      </c>
      <c r="AB36" s="51">
        <f>SUM(AB5:AB35)</f>
        <v>2013100</v>
      </c>
      <c r="AC36" s="40"/>
      <c r="AD36" s="36">
        <f>SUM(AD5:AD35)</f>
        <v>362760</v>
      </c>
      <c r="AE36" s="41"/>
      <c r="AF36" s="52">
        <f>SUM(AF5:AF35)</f>
        <v>2375860</v>
      </c>
      <c r="AG36" s="53">
        <f>AF36/AA36</f>
        <v>1027.621107266436</v>
      </c>
      <c r="AH36" s="38">
        <f t="shared" ref="AH36:AU36" si="29">SUM(AH5:AH35)</f>
        <v>1464</v>
      </c>
      <c r="AI36" s="48">
        <f t="shared" si="29"/>
        <v>13771050</v>
      </c>
      <c r="AJ36" s="45">
        <f t="shared" si="29"/>
        <v>2669330</v>
      </c>
      <c r="AK36" s="46">
        <f t="shared" si="29"/>
        <v>16440380</v>
      </c>
      <c r="AL36" s="36">
        <f t="shared" si="29"/>
        <v>1316760</v>
      </c>
      <c r="AM36" s="174">
        <f t="shared" si="29"/>
        <v>6150</v>
      </c>
      <c r="AN36" s="54">
        <f t="shared" si="29"/>
        <v>1464</v>
      </c>
      <c r="AO36" s="54">
        <f t="shared" si="29"/>
        <v>11757950</v>
      </c>
      <c r="AP36" s="54">
        <f t="shared" si="29"/>
        <v>2306570</v>
      </c>
      <c r="AQ36" s="54">
        <f t="shared" si="29"/>
        <v>1117170</v>
      </c>
      <c r="AR36" s="54">
        <f t="shared" si="29"/>
        <v>199590</v>
      </c>
      <c r="AS36" s="54">
        <f t="shared" si="29"/>
        <v>0</v>
      </c>
      <c r="AT36" s="54">
        <f t="shared" si="29"/>
        <v>452060</v>
      </c>
      <c r="AU36" s="54">
        <f t="shared" si="29"/>
        <v>15381280</v>
      </c>
      <c r="AV36" s="34"/>
      <c r="AW36" s="55">
        <f>SUM(AW5:AW35)</f>
        <v>15833340</v>
      </c>
      <c r="AX36" s="55">
        <f>SUM(AX5:AX35)</f>
        <v>18215350</v>
      </c>
    </row>
    <row r="37" spans="1:50" ht="15.75" customHeight="1" thickTop="1">
      <c r="A37" s="34"/>
      <c r="B37" s="56"/>
      <c r="C37" s="161"/>
      <c r="D37" s="88"/>
      <c r="E37" s="34"/>
      <c r="F37" s="57" t="s">
        <v>34</v>
      </c>
      <c r="G37" s="58">
        <f>G36/1.1</f>
        <v>1012445.4545454545</v>
      </c>
      <c r="H37" s="59">
        <f>G37/F36</f>
        <v>3577.5457757789909</v>
      </c>
      <c r="I37" s="32">
        <f>I36/1.1</f>
        <v>173090.90909090909</v>
      </c>
      <c r="J37" s="59">
        <f>I37/F36</f>
        <v>611.62865403148089</v>
      </c>
      <c r="K37" s="54">
        <f>K36/1.1</f>
        <v>1185536.3636363635</v>
      </c>
      <c r="L37" s="60">
        <f>H37+J37</f>
        <v>4189.1744298104713</v>
      </c>
      <c r="M37" s="61"/>
      <c r="N37" s="57" t="s">
        <v>34</v>
      </c>
      <c r="O37" s="58">
        <f>O36/1.1</f>
        <v>9676600</v>
      </c>
      <c r="P37" s="59">
        <f>O37/N36</f>
        <v>8193.564775613886</v>
      </c>
      <c r="Q37" s="58">
        <f>Q36/1.1</f>
        <v>1923790.9090909089</v>
      </c>
      <c r="R37" s="59">
        <f>Q37/N36</f>
        <v>1628.950812100685</v>
      </c>
      <c r="S37" s="59">
        <f>S36/1.1</f>
        <v>11600390.909090908</v>
      </c>
      <c r="T37" s="62">
        <f>S37/N36</f>
        <v>9822.5155877145717</v>
      </c>
      <c r="U37" s="57" t="s">
        <v>34</v>
      </c>
      <c r="V37" s="58">
        <f>V36/1.1</f>
        <v>10689045.454545453</v>
      </c>
      <c r="W37" s="58">
        <f>W36/1.1</f>
        <v>2096881.8181818181</v>
      </c>
      <c r="X37" s="63">
        <f>X36/1.1</f>
        <v>12785927.272727272</v>
      </c>
      <c r="Y37" s="50">
        <f>X37/U36</f>
        <v>8733.5568802781909</v>
      </c>
      <c r="Z37" s="61"/>
      <c r="AA37" s="57" t="s">
        <v>34</v>
      </c>
      <c r="AB37" s="58">
        <f>AB36/1.1</f>
        <v>1830090.9090909089</v>
      </c>
      <c r="AC37" s="32">
        <f>AB37/AA36</f>
        <v>791.56181189053154</v>
      </c>
      <c r="AD37" s="32">
        <f>AD36/1.1</f>
        <v>329781.81818181818</v>
      </c>
      <c r="AE37" s="32">
        <f>AD37/AA36</f>
        <v>142.63919471531929</v>
      </c>
      <c r="AF37" s="59">
        <f>AF36/1.1</f>
        <v>2159872.7272727271</v>
      </c>
      <c r="AG37" s="64">
        <f>AF37/AA36</f>
        <v>934.20100660585081</v>
      </c>
      <c r="AH37" s="57" t="s">
        <v>34</v>
      </c>
      <c r="AI37" s="65">
        <f>AI36/1.1</f>
        <v>12519136.363636363</v>
      </c>
      <c r="AJ37" s="58">
        <f>AJ36/1.1</f>
        <v>2426663.6363636362</v>
      </c>
      <c r="AK37" s="59">
        <f>AK36/1.1</f>
        <v>14945799.999999998</v>
      </c>
      <c r="AL37" s="175">
        <f>AL36/1.1</f>
        <v>1197054.5454545454</v>
      </c>
      <c r="AM37" s="176">
        <f>AM36/1.08</f>
        <v>5694.4444444444443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15.75" customHeight="1">
      <c r="A38" s="31"/>
      <c r="B38" s="67"/>
      <c r="C38" s="162"/>
      <c r="D38" s="89"/>
      <c r="E38" s="31"/>
      <c r="F38" s="68" t="s">
        <v>35</v>
      </c>
      <c r="G38" s="69">
        <f>F36/H38</f>
        <v>25.727272727272727</v>
      </c>
      <c r="H38" s="70">
        <v>11</v>
      </c>
      <c r="I38" s="71" t="s">
        <v>36</v>
      </c>
      <c r="J38" s="69"/>
      <c r="K38" s="72" t="s">
        <v>37</v>
      </c>
      <c r="L38" s="73">
        <f>K37/H38</f>
        <v>107776.03305785124</v>
      </c>
      <c r="M38" s="31"/>
      <c r="N38" s="68" t="s">
        <v>35</v>
      </c>
      <c r="O38" s="69">
        <f>N36/P38</f>
        <v>38.096774193548384</v>
      </c>
      <c r="P38" s="70">
        <v>31</v>
      </c>
      <c r="Q38" s="71" t="s">
        <v>36</v>
      </c>
      <c r="R38" s="69"/>
      <c r="S38" s="72" t="s">
        <v>37</v>
      </c>
      <c r="T38" s="74">
        <f>S37/P38</f>
        <v>374206.15835777123</v>
      </c>
      <c r="U38" s="31"/>
      <c r="V38" s="31"/>
      <c r="W38" s="31"/>
      <c r="X38" s="33"/>
      <c r="Y38" s="33"/>
      <c r="Z38" s="31"/>
      <c r="AA38" s="31"/>
      <c r="AB38" s="75">
        <v>31</v>
      </c>
      <c r="AC38" s="71" t="s">
        <v>36</v>
      </c>
      <c r="AD38" s="69"/>
      <c r="AE38" s="69"/>
      <c r="AF38" s="72" t="s">
        <v>37</v>
      </c>
      <c r="AG38" s="76">
        <f>AF37/AB38</f>
        <v>69673.313782991201</v>
      </c>
      <c r="AH38" s="31"/>
      <c r="AI38" s="31"/>
      <c r="AJ38" s="31" t="s">
        <v>50</v>
      </c>
      <c r="AK38" s="33"/>
      <c r="AL38" s="33">
        <f>AK37/AN38</f>
        <v>3958.1038135593217</v>
      </c>
      <c r="AM38" s="33"/>
      <c r="AN38" s="77">
        <f>AH36+AA36</f>
        <v>3776</v>
      </c>
      <c r="AO38" s="31" t="s">
        <v>51</v>
      </c>
      <c r="AP38" s="31"/>
      <c r="AQ38" s="31"/>
      <c r="AR38" s="33"/>
      <c r="AS38" s="31"/>
      <c r="AT38" s="31"/>
      <c r="AU38" s="33"/>
      <c r="AV38" s="31"/>
      <c r="AW38" s="33">
        <f>AW36/1.1</f>
        <v>14393945.454545453</v>
      </c>
      <c r="AX38" s="33"/>
    </row>
    <row r="39" spans="1:50" ht="15.75" customHeight="1">
      <c r="A39" s="31"/>
      <c r="B39" s="67"/>
      <c r="C39" s="162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52</v>
      </c>
      <c r="AL39" s="82">
        <f>AK37/AB38</f>
        <v>482122.58064516122</v>
      </c>
      <c r="AM39" s="82"/>
      <c r="AN39" s="31" t="s">
        <v>53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63"/>
      <c r="D40" s="89"/>
      <c r="E40" s="83"/>
      <c r="F40" s="10"/>
      <c r="G40" s="10"/>
      <c r="H40" s="10"/>
      <c r="I40" s="10"/>
      <c r="J40" s="10"/>
      <c r="K40" s="10"/>
      <c r="L40" s="84"/>
      <c r="M40" s="83"/>
      <c r="N40" s="10"/>
      <c r="O40" s="10"/>
      <c r="P40" s="10"/>
      <c r="Q40" s="10"/>
      <c r="R40" s="10"/>
      <c r="S40" s="10"/>
      <c r="T40" s="84"/>
      <c r="U40" s="31"/>
      <c r="V40" s="31"/>
      <c r="W40" s="31"/>
      <c r="X40" s="33"/>
      <c r="Y40" s="31"/>
      <c r="Z40" s="83"/>
      <c r="AA40" s="10"/>
      <c r="AB40" s="10"/>
      <c r="AC40" s="10"/>
      <c r="AD40" s="10"/>
      <c r="AE40" s="10"/>
      <c r="AF40" s="10"/>
      <c r="AG40" s="84"/>
      <c r="AH40" s="31"/>
      <c r="AI40" s="31"/>
      <c r="AJ40" s="31" t="s">
        <v>54</v>
      </c>
      <c r="AK40" s="33">
        <f>AK36+AL36+AM36</f>
        <v>17763290</v>
      </c>
      <c r="AL40" s="82">
        <f>AK40/AB38</f>
        <v>573009.3548387097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63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 t="s">
        <v>55</v>
      </c>
      <c r="AK41" s="66">
        <f>AK37+AL37+AM37</f>
        <v>16148548.989898987</v>
      </c>
      <c r="AL41" s="82">
        <f>AK41/AB38</f>
        <v>520920.93515803182</v>
      </c>
      <c r="AM41" s="82"/>
      <c r="AN41" s="31" t="s">
        <v>53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63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3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63"/>
      <c r="D43" s="89"/>
      <c r="E43" s="85"/>
      <c r="F43" s="86"/>
      <c r="G43" s="86"/>
      <c r="H43" s="86"/>
      <c r="I43" s="86"/>
      <c r="J43" s="86"/>
      <c r="K43" s="86"/>
      <c r="L43" s="87"/>
      <c r="M43" s="85"/>
      <c r="N43" s="86"/>
      <c r="O43" s="86"/>
      <c r="P43" s="86"/>
      <c r="Q43" s="86"/>
      <c r="R43" s="86"/>
      <c r="S43" s="86"/>
      <c r="T43" s="87"/>
      <c r="U43" s="31"/>
      <c r="V43" s="31"/>
      <c r="W43" s="31"/>
      <c r="X43" s="31"/>
      <c r="Y43" s="31"/>
      <c r="Z43" s="85"/>
      <c r="AA43" s="86"/>
      <c r="AB43" s="86"/>
      <c r="AC43" s="86"/>
      <c r="AD43" s="86"/>
      <c r="AE43" s="86"/>
      <c r="AF43" s="86"/>
      <c r="AG43" s="87"/>
      <c r="AH43" s="31"/>
      <c r="AI43" s="31"/>
      <c r="AJ43" s="31"/>
      <c r="AK43" s="33">
        <f>AK37+AL37</f>
        <v>16142854.545454543</v>
      </c>
      <c r="AL43" s="89" t="s">
        <v>42</v>
      </c>
      <c r="AM43" s="89" t="s">
        <v>58</v>
      </c>
      <c r="AN43" s="89" t="s">
        <v>59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63"/>
      <c r="D44" s="89"/>
      <c r="E44" s="90"/>
      <c r="F44" s="91"/>
      <c r="G44" s="91"/>
      <c r="H44" s="91"/>
      <c r="I44" s="91"/>
      <c r="J44" s="91"/>
      <c r="K44" s="91"/>
      <c r="L44" s="92"/>
      <c r="M44" s="90"/>
      <c r="N44" s="91"/>
      <c r="O44" s="91"/>
      <c r="P44" s="91"/>
      <c r="Q44" s="91"/>
      <c r="R44" s="91"/>
      <c r="S44" s="91"/>
      <c r="T44" s="92"/>
      <c r="U44" s="31"/>
      <c r="V44" s="31"/>
      <c r="W44" s="31"/>
      <c r="X44" s="31"/>
      <c r="Y44" s="31"/>
      <c r="Z44" s="90"/>
      <c r="AA44" s="91"/>
      <c r="AB44" s="91"/>
      <c r="AC44" s="91"/>
      <c r="AD44" s="91"/>
      <c r="AE44" s="91"/>
      <c r="AF44" s="91"/>
      <c r="AG44" s="92"/>
      <c r="AH44" s="31"/>
      <c r="AI44" s="34"/>
      <c r="AJ44" s="88" t="s">
        <v>43</v>
      </c>
      <c r="AK44" s="66">
        <f>K45+S45+AF45+AL44</f>
        <v>16841594</v>
      </c>
      <c r="AL44" s="164">
        <f>AM44+AN44</f>
        <v>896200</v>
      </c>
      <c r="AM44" s="34">
        <v>746200</v>
      </c>
      <c r="AN44" s="34">
        <v>150000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7"/>
      <c r="C45" s="162"/>
      <c r="D45" s="89"/>
      <c r="E45" s="31"/>
      <c r="F45" s="31"/>
      <c r="G45" s="31"/>
      <c r="H45" s="31"/>
      <c r="I45" s="93"/>
      <c r="J45" s="94" t="s">
        <v>44</v>
      </c>
      <c r="K45" s="165">
        <v>1386000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65">
        <v>11963394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65">
        <v>2596000</v>
      </c>
      <c r="AG45" s="95" t="s">
        <v>45</v>
      </c>
      <c r="AH45" s="34"/>
      <c r="AI45" s="34"/>
      <c r="AJ45" s="88" t="s">
        <v>48</v>
      </c>
      <c r="AK45" s="66">
        <f>AK44-AK37-AL37</f>
        <v>698739.45454545645</v>
      </c>
      <c r="AL45" s="66">
        <f>AL44-AL37</f>
        <v>-300854.54545454541</v>
      </c>
      <c r="AM45" s="105">
        <f>AL37/AL44</f>
        <v>1.335700229250776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7"/>
      <c r="C46" s="162"/>
      <c r="D46" s="89"/>
      <c r="E46" s="31"/>
      <c r="F46" s="31"/>
      <c r="G46" s="31"/>
      <c r="H46" s="31"/>
      <c r="I46" s="93"/>
      <c r="J46" s="93" t="s">
        <v>48</v>
      </c>
      <c r="K46" s="66">
        <f>K45-K37</f>
        <v>200463.63636363647</v>
      </c>
      <c r="L46" s="180">
        <f>11-H38</f>
        <v>0</v>
      </c>
      <c r="M46" s="34"/>
      <c r="N46" s="34"/>
      <c r="O46" s="34"/>
      <c r="P46" s="34"/>
      <c r="Q46" s="34"/>
      <c r="R46" s="93" t="s">
        <v>48</v>
      </c>
      <c r="S46" s="66">
        <f>S45-S37</f>
        <v>363003.09090909176</v>
      </c>
      <c r="T46" s="181">
        <f>31-P38</f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436127.27272727294</v>
      </c>
      <c r="AG46" s="181">
        <f>31-AB38</f>
        <v>0</v>
      </c>
      <c r="AH46" s="34"/>
      <c r="AI46" s="96"/>
      <c r="AJ46" s="97" t="s">
        <v>49</v>
      </c>
      <c r="AK46" s="98" t="e">
        <f>AK45/T46</f>
        <v>#DIV/0!</v>
      </c>
      <c r="AL46" s="104">
        <f>(AK37+AL37)/AK44</f>
        <v>0.95851108543850083</v>
      </c>
      <c r="AM46" s="104"/>
      <c r="AN46" s="96"/>
      <c r="AO46" s="99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99"/>
      <c r="B47" s="100"/>
      <c r="C47" s="166"/>
      <c r="D47" s="113"/>
      <c r="E47" s="99"/>
      <c r="F47" s="99"/>
      <c r="G47" s="99"/>
      <c r="H47" s="99"/>
      <c r="I47" s="101"/>
      <c r="J47" s="97" t="s">
        <v>49</v>
      </c>
      <c r="K47" s="102" t="e">
        <f>K46/L46</f>
        <v>#DIV/0!</v>
      </c>
      <c r="L47" s="103">
        <f>K37/K45</f>
        <v>0.85536534172897805</v>
      </c>
      <c r="M47" s="96"/>
      <c r="N47" s="96"/>
      <c r="O47" s="96"/>
      <c r="P47" s="96"/>
      <c r="Q47" s="96"/>
      <c r="R47" s="97" t="s">
        <v>49</v>
      </c>
      <c r="S47" s="98" t="e">
        <f>S46/T46</f>
        <v>#DIV/0!</v>
      </c>
      <c r="T47" s="103">
        <f>S37/S45</f>
        <v>0.96965718165688664</v>
      </c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7" t="s">
        <v>49</v>
      </c>
      <c r="AF47" s="102" t="e">
        <f>AF46/AG46</f>
        <v>#DIV/0!</v>
      </c>
      <c r="AG47" s="103">
        <f>AF37/AF45</f>
        <v>0.83200028015128158</v>
      </c>
      <c r="AH47" s="96"/>
      <c r="AI47" s="31"/>
      <c r="AJ47" s="31"/>
      <c r="AK47" s="33"/>
      <c r="AL47" s="31"/>
      <c r="AM47" s="31"/>
      <c r="AN47" s="31"/>
      <c r="AO47" s="31"/>
      <c r="AP47" s="99"/>
      <c r="AQ47" s="99"/>
      <c r="AR47" s="99"/>
      <c r="AS47" s="106"/>
      <c r="AT47" s="99"/>
      <c r="AU47" s="106"/>
      <c r="AV47" s="99"/>
      <c r="AW47" s="99"/>
    </row>
    <row r="48" spans="1:50" ht="15.75" customHeight="1">
      <c r="A48" s="31"/>
      <c r="B48" s="67"/>
      <c r="C48" s="162"/>
      <c r="D48" s="8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7"/>
      <c r="AJ48" s="107"/>
      <c r="AK48" s="107"/>
      <c r="AL48" s="107"/>
      <c r="AM48" s="107"/>
      <c r="AN48" s="107"/>
      <c r="AO48" s="107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7"/>
      <c r="B49" s="108"/>
      <c r="C49" s="167"/>
      <c r="D49" s="1"/>
      <c r="E49" s="107"/>
      <c r="F49" s="107"/>
      <c r="G49" s="107"/>
      <c r="H49" s="107"/>
      <c r="I49" s="107"/>
      <c r="J49" s="107"/>
      <c r="K49" s="107"/>
      <c r="L49" s="107"/>
      <c r="M49" s="109"/>
      <c r="N49" s="31"/>
      <c r="O49" s="31"/>
      <c r="P49" s="31"/>
      <c r="Q49" s="31"/>
      <c r="R49" s="31"/>
      <c r="S49" s="109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"/>
      <c r="AJ49" s="1"/>
      <c r="AK49" s="1"/>
      <c r="AL49" s="1"/>
      <c r="AM49" s="1"/>
      <c r="AN49" s="1"/>
      <c r="AO49" s="1"/>
      <c r="AP49" s="107"/>
      <c r="AQ49" s="107"/>
      <c r="AR49" s="107"/>
      <c r="AS49" s="110"/>
      <c r="AT49" s="107"/>
      <c r="AU49" s="110"/>
      <c r="AV49" s="107"/>
      <c r="AW49" s="107"/>
    </row>
    <row r="50" spans="1:49" ht="36" customHeight="1">
      <c r="A50" s="1"/>
      <c r="B50" s="111"/>
      <c r="C50" s="121"/>
      <c r="D50" s="1"/>
      <c r="E50" s="1"/>
      <c r="F50" s="1"/>
      <c r="G50" s="1"/>
      <c r="H50" s="1"/>
      <c r="I50" s="1"/>
      <c r="J50" s="1"/>
      <c r="K50" s="1"/>
      <c r="L50" s="1"/>
      <c r="M50" s="112"/>
      <c r="N50" s="31"/>
      <c r="O50" s="31"/>
      <c r="P50" s="31"/>
      <c r="Q50" s="31"/>
      <c r="R50" s="31"/>
      <c r="S50" s="112"/>
      <c r="T50" s="112"/>
      <c r="U50" s="1"/>
      <c r="V50" s="1"/>
      <c r="W50" s="1"/>
      <c r="X50" s="1"/>
      <c r="Y50" s="1"/>
      <c r="Z50" s="1"/>
      <c r="AA50" s="113"/>
      <c r="AB50" s="1"/>
      <c r="AC50" s="1"/>
      <c r="AD50" s="1"/>
      <c r="AE50" s="1"/>
      <c r="AF50" s="1"/>
      <c r="AG50" s="1"/>
      <c r="AH50" s="1"/>
      <c r="AI50" s="107"/>
      <c r="AJ50" s="107"/>
      <c r="AK50" s="107"/>
      <c r="AL50" s="107"/>
      <c r="AM50" s="107"/>
      <c r="AN50" s="107"/>
      <c r="AO50" s="107"/>
      <c r="AP50" s="1"/>
      <c r="AQ50" s="1"/>
      <c r="AR50" s="1"/>
      <c r="AS50" s="114"/>
      <c r="AT50" s="1"/>
      <c r="AU50" s="114"/>
      <c r="AV50" s="1"/>
      <c r="AW50" s="1"/>
    </row>
    <row r="51" spans="1:49" ht="36" customHeight="1">
      <c r="A51" s="107"/>
      <c r="B51" s="108"/>
      <c r="C51" s="167"/>
      <c r="D51" s="1"/>
      <c r="E51" s="107"/>
      <c r="F51" s="107"/>
      <c r="G51" s="107"/>
      <c r="H51" s="107"/>
      <c r="I51" s="107"/>
      <c r="J51" s="107"/>
      <c r="K51" s="107"/>
      <c r="L51" s="1"/>
      <c r="M51" s="112"/>
      <c r="N51" s="31"/>
      <c r="O51" s="31"/>
      <c r="P51" s="31"/>
      <c r="Q51" s="31"/>
      <c r="R51" s="31"/>
      <c r="S51" s="115"/>
      <c r="T51" s="116"/>
      <c r="U51" s="116"/>
      <c r="V51" s="116"/>
      <c r="W51" s="116"/>
      <c r="X51" s="117"/>
      <c r="Y51" s="118"/>
      <c r="Z51" s="119"/>
      <c r="AA51" s="120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10"/>
      <c r="AT51" s="107"/>
      <c r="AU51" s="110"/>
      <c r="AV51" s="107"/>
      <c r="AW51" s="107"/>
    </row>
    <row r="52" spans="1:49" ht="36" customHeight="1">
      <c r="A52" s="107"/>
      <c r="B52" s="108"/>
      <c r="C52" s="167"/>
      <c r="D52" s="1"/>
      <c r="E52" s="107"/>
      <c r="F52" s="107"/>
      <c r="G52" s="107"/>
      <c r="H52" s="107"/>
      <c r="I52" s="107"/>
      <c r="J52" s="107"/>
      <c r="K52" s="107"/>
      <c r="L52" s="1"/>
      <c r="M52" s="112"/>
      <c r="N52" s="31"/>
      <c r="O52" s="31"/>
      <c r="P52" s="31"/>
      <c r="Q52" s="31"/>
      <c r="R52" s="31"/>
      <c r="S52" s="117"/>
      <c r="T52" s="116"/>
      <c r="U52" s="116"/>
      <c r="V52" s="116"/>
      <c r="W52" s="116"/>
      <c r="X52" s="117"/>
      <c r="Y52" s="118"/>
      <c r="Z52" s="119"/>
      <c r="AA52" s="120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10"/>
      <c r="AT52" s="107"/>
      <c r="AU52" s="110"/>
      <c r="AV52" s="107"/>
      <c r="AW52" s="107"/>
    </row>
    <row r="53" spans="1:49" ht="36" customHeight="1">
      <c r="A53" s="107"/>
      <c r="B53" s="108"/>
      <c r="C53" s="167"/>
      <c r="D53" s="1"/>
      <c r="E53" s="107"/>
      <c r="F53" s="107"/>
      <c r="G53" s="107"/>
      <c r="H53" s="107"/>
      <c r="I53" s="107"/>
      <c r="J53" s="107"/>
      <c r="K53" s="107"/>
      <c r="L53" s="1"/>
      <c r="M53" s="112"/>
      <c r="N53" s="31"/>
      <c r="O53" s="31"/>
      <c r="P53" s="31"/>
      <c r="Q53" s="31"/>
      <c r="R53" s="31"/>
      <c r="S53" s="117"/>
      <c r="T53" s="116"/>
      <c r="U53" s="116"/>
      <c r="V53" s="116"/>
      <c r="W53" s="116"/>
      <c r="X53" s="117"/>
      <c r="Y53" s="118"/>
      <c r="Z53" s="119"/>
      <c r="AA53" s="120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10"/>
      <c r="AT53" s="107"/>
      <c r="AU53" s="110"/>
      <c r="AV53" s="107"/>
      <c r="AW53" s="107"/>
    </row>
    <row r="54" spans="1:49" ht="36" customHeight="1">
      <c r="A54" s="107"/>
      <c r="B54" s="108"/>
      <c r="C54" s="167"/>
      <c r="D54" s="1"/>
      <c r="E54" s="107"/>
      <c r="F54" s="107"/>
      <c r="G54" s="107"/>
      <c r="H54" s="107"/>
      <c r="I54" s="107"/>
      <c r="J54" s="107"/>
      <c r="K54" s="107"/>
      <c r="L54" s="1"/>
      <c r="M54" s="112"/>
      <c r="N54" s="31"/>
      <c r="O54" s="31"/>
      <c r="P54" s="31"/>
      <c r="Q54" s="31"/>
      <c r="R54" s="31"/>
      <c r="S54" s="117"/>
      <c r="T54" s="116"/>
      <c r="U54" s="116"/>
      <c r="V54" s="116"/>
      <c r="W54" s="116"/>
      <c r="X54" s="117"/>
      <c r="Y54" s="118"/>
      <c r="Z54" s="119"/>
      <c r="AA54" s="120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10"/>
      <c r="AT54" s="107"/>
      <c r="AU54" s="110"/>
      <c r="AV54" s="107"/>
      <c r="AW54" s="107"/>
    </row>
    <row r="55" spans="1:49" ht="36" customHeight="1">
      <c r="A55" s="107"/>
      <c r="B55" s="108"/>
      <c r="C55" s="167"/>
      <c r="D55" s="1"/>
      <c r="E55" s="107"/>
      <c r="F55" s="107"/>
      <c r="G55" s="107"/>
      <c r="H55" s="107"/>
      <c r="I55" s="107"/>
      <c r="J55" s="107"/>
      <c r="K55" s="107"/>
      <c r="L55" s="107"/>
      <c r="M55" s="109"/>
      <c r="N55" s="31"/>
      <c r="O55" s="31"/>
      <c r="P55" s="31"/>
      <c r="Q55" s="31"/>
      <c r="R55" s="31"/>
      <c r="S55" s="117"/>
      <c r="T55" s="116"/>
      <c r="U55" s="116"/>
      <c r="V55" s="116"/>
      <c r="W55" s="116"/>
      <c r="X55" s="118"/>
      <c r="Y55" s="118"/>
      <c r="Z55" s="119"/>
      <c r="AA55" s="120"/>
      <c r="AB55" s="107"/>
      <c r="AC55" s="107"/>
      <c r="AD55" s="107"/>
      <c r="AE55" s="107"/>
      <c r="AF55" s="107"/>
      <c r="AG55" s="107"/>
      <c r="AH55" s="107"/>
      <c r="AI55" s="31"/>
      <c r="AJ55" s="31"/>
      <c r="AK55" s="31"/>
      <c r="AL55" s="31"/>
      <c r="AM55" s="31"/>
      <c r="AN55" s="31"/>
      <c r="AO55" s="31"/>
      <c r="AP55" s="107"/>
      <c r="AQ55" s="107"/>
      <c r="AR55" s="107"/>
      <c r="AS55" s="110"/>
      <c r="AT55" s="107"/>
      <c r="AU55" s="110"/>
      <c r="AV55" s="107"/>
      <c r="AW55" s="107"/>
    </row>
    <row r="56" spans="1:49" ht="15.75" customHeight="1">
      <c r="A56" s="31"/>
      <c r="B56" s="67"/>
      <c r="C56" s="162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19"/>
      <c r="AA56" s="119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62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7"/>
      <c r="AA57" s="107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62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62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62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62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62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62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62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62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62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62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62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62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62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62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62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62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62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62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62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62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62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62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62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62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62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62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62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62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62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62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62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62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62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62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62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62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62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62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62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62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62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62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62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62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62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62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62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62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62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62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62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62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62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62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62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62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62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62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62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62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62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62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62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62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62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62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62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62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62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62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62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62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62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62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62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62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62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62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62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62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62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62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62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62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62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62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62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62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62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62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62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62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62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62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62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62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62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62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62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62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62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62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62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62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62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62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62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62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62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62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62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62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62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62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62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62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62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62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62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62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62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62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62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62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62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62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62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62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62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62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62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62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62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62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62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62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62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62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62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62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62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62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62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62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62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62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62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62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62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62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62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62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62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62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62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62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62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62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62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62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62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62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62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62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62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62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62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62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62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62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62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62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62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62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62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62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62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62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62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62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62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62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62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62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62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62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62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62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62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62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E40:L44"/>
    <mergeCell ref="M40:T44"/>
    <mergeCell ref="Z40:AG44"/>
    <mergeCell ref="AH3:AM3"/>
    <mergeCell ref="AN3:AU3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X999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68" customWidth="1"/>
    <col min="4" max="4" width="4.7109375" style="169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>
        <f>SUM(AF5:AF19)</f>
        <v>1030820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2">
        <v>2025</v>
      </c>
      <c r="B2" s="123">
        <v>9</v>
      </c>
      <c r="C2" s="124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5"/>
      <c r="D3" s="126"/>
      <c r="E3" s="127" t="s">
        <v>3</v>
      </c>
      <c r="F3" s="10"/>
      <c r="G3" s="10"/>
      <c r="H3" s="10"/>
      <c r="I3" s="10"/>
      <c r="J3" s="10"/>
      <c r="K3" s="10"/>
      <c r="L3" s="10"/>
      <c r="M3" s="128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60</v>
      </c>
      <c r="AI3" s="172"/>
      <c r="AJ3" s="172"/>
      <c r="AK3" s="172"/>
      <c r="AL3" s="172"/>
      <c r="AM3" s="173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29" t="s">
        <v>8</v>
      </c>
      <c r="D4" s="130" t="s">
        <v>57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61</v>
      </c>
      <c r="AM4" s="24" t="s">
        <v>62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19"/>
      <c r="B5" s="131">
        <f>DATE($A$2,$B$2,1)</f>
        <v>45901</v>
      </c>
      <c r="C5" s="178" t="s">
        <v>56</v>
      </c>
      <c r="D5" s="132">
        <v>92</v>
      </c>
      <c r="E5" s="133"/>
      <c r="F5" s="134"/>
      <c r="G5" s="135"/>
      <c r="H5" s="136" t="e">
        <f t="shared" ref="H5:H34" si="0">ROUNDDOWN(G5/1.1,0)/F5</f>
        <v>#DIV/0!</v>
      </c>
      <c r="I5" s="135"/>
      <c r="J5" s="137" t="e">
        <f t="shared" ref="J5:J29" si="1">ROUNDDOWN(I5/1.1,0)/F5</f>
        <v>#DIV/0!</v>
      </c>
      <c r="K5" s="138">
        <f>G5+I5</f>
        <v>0</v>
      </c>
      <c r="L5" s="139" t="str">
        <f t="shared" ref="L5:L34" si="2">IF(F5="","",K5/F5)</f>
        <v/>
      </c>
      <c r="M5" s="140"/>
      <c r="N5" s="141">
        <f>AN5-F5</f>
        <v>40</v>
      </c>
      <c r="O5" s="142">
        <f>AO5-G5</f>
        <v>330880</v>
      </c>
      <c r="P5" s="136">
        <f t="shared" ref="P5:P31" si="3">ROUNDDOWN(O5/1.1,0)/N5</f>
        <v>7520</v>
      </c>
      <c r="Q5" s="142">
        <f>AP5-I5</f>
        <v>52230</v>
      </c>
      <c r="R5" s="137">
        <f t="shared" ref="R5:R31" si="4">ROUNDDOWN(Q5/1.1,0)/N5</f>
        <v>1187.0250000000001</v>
      </c>
      <c r="S5" s="143">
        <f>O5+Q5</f>
        <v>383110</v>
      </c>
      <c r="T5" s="139">
        <f t="shared" ref="T5:T31" si="5">IF(N5="","",S5/N5)</f>
        <v>9577.75</v>
      </c>
      <c r="U5" s="144">
        <f t="shared" ref="U5:V20" si="6">F5+N5</f>
        <v>40</v>
      </c>
      <c r="V5" s="142">
        <f t="shared" si="6"/>
        <v>330880</v>
      </c>
      <c r="W5" s="142">
        <f t="shared" ref="W5:W31" si="7">I5+Q5</f>
        <v>52230</v>
      </c>
      <c r="X5" s="145">
        <f>K5+S5</f>
        <v>383110</v>
      </c>
      <c r="Y5" s="142">
        <f t="shared" ref="Y5:Y31" si="8">IF(U5="","",X5/U5)</f>
        <v>9577.75</v>
      </c>
      <c r="Z5" s="146"/>
      <c r="AA5" s="147">
        <v>31</v>
      </c>
      <c r="AB5" s="135">
        <v>23550</v>
      </c>
      <c r="AC5" s="136">
        <f t="shared" ref="AC5:AC31" si="9">AB5/AA5</f>
        <v>759.67741935483866</v>
      </c>
      <c r="AD5" s="135">
        <v>4940</v>
      </c>
      <c r="AE5" s="137">
        <f t="shared" ref="AE5:AE31" si="10">AD5/AA5</f>
        <v>159.35483870967741</v>
      </c>
      <c r="AF5" s="148">
        <f>AB5+AD5</f>
        <v>28490</v>
      </c>
      <c r="AG5" s="139">
        <f t="shared" ref="AG5:AG31" si="11">IF(AA5="","",AF5/AA5)</f>
        <v>919.0322580645161</v>
      </c>
      <c r="AH5" s="144">
        <f t="shared" ref="AH5:AH31" si="12">SUM(F5,N5)</f>
        <v>40</v>
      </c>
      <c r="AI5" s="142">
        <f t="shared" ref="AI5:AI31" si="13">V5+AB5</f>
        <v>354430</v>
      </c>
      <c r="AJ5" s="142">
        <f t="shared" ref="AJ5:AJ31" si="14">W5+AD5</f>
        <v>57170</v>
      </c>
      <c r="AK5" s="149">
        <f>X5+AF5</f>
        <v>411600</v>
      </c>
      <c r="AL5" s="142">
        <f t="shared" ref="AL5:AL31" si="15">AQ5+AR5+AS5</f>
        <v>70900</v>
      </c>
      <c r="AM5" s="142"/>
      <c r="AN5" s="150">
        <v>40</v>
      </c>
      <c r="AO5" s="150">
        <v>330880</v>
      </c>
      <c r="AP5" s="150">
        <v>52230</v>
      </c>
      <c r="AQ5" s="151">
        <v>42900</v>
      </c>
      <c r="AR5" s="151">
        <v>28000</v>
      </c>
      <c r="AS5" s="151"/>
      <c r="AT5" s="151">
        <v>3300</v>
      </c>
      <c r="AU5" s="152">
        <f>SUM(AO5:AS5)</f>
        <v>454010</v>
      </c>
      <c r="AV5" s="119">
        <v>1</v>
      </c>
      <c r="AW5" s="120">
        <f>AT5+AU5</f>
        <v>457310</v>
      </c>
      <c r="AX5" s="179">
        <f t="shared" ref="AX5:AX34" si="16">AU5+AF5+AM5+AT5</f>
        <v>485800</v>
      </c>
    </row>
    <row r="6" spans="1:50" ht="13.5" customHeight="1">
      <c r="A6" s="119"/>
      <c r="B6" s="153">
        <f t="shared" ref="B6:B34" si="17">B5+1</f>
        <v>45902</v>
      </c>
      <c r="C6" s="178" t="s">
        <v>56</v>
      </c>
      <c r="D6" s="132">
        <v>3</v>
      </c>
      <c r="E6" s="133"/>
      <c r="F6" s="134"/>
      <c r="G6" s="135"/>
      <c r="H6" s="136" t="e">
        <f t="shared" si="0"/>
        <v>#DIV/0!</v>
      </c>
      <c r="I6" s="135"/>
      <c r="J6" s="137" t="e">
        <f t="shared" si="1"/>
        <v>#DIV/0!</v>
      </c>
      <c r="K6" s="138">
        <f>G6+I6</f>
        <v>0</v>
      </c>
      <c r="L6" s="139" t="str">
        <f t="shared" si="2"/>
        <v/>
      </c>
      <c r="M6" s="140"/>
      <c r="N6" s="141">
        <f t="shared" ref="N6:O21" si="18">AN6-F6</f>
        <v>30</v>
      </c>
      <c r="O6" s="142">
        <f t="shared" si="18"/>
        <v>257730</v>
      </c>
      <c r="P6" s="136">
        <f t="shared" si="3"/>
        <v>7810</v>
      </c>
      <c r="Q6" s="142">
        <f t="shared" ref="Q6:Q31" si="19">AP6-I6</f>
        <v>54700</v>
      </c>
      <c r="R6" s="137">
        <f t="shared" si="4"/>
        <v>1657.5666666666666</v>
      </c>
      <c r="S6" s="143">
        <f t="shared" ref="S6:S31" si="20">O6+Q6</f>
        <v>312430</v>
      </c>
      <c r="T6" s="139">
        <f t="shared" si="5"/>
        <v>10414.333333333334</v>
      </c>
      <c r="U6" s="144">
        <f t="shared" si="6"/>
        <v>30</v>
      </c>
      <c r="V6" s="142">
        <f t="shared" si="6"/>
        <v>257730</v>
      </c>
      <c r="W6" s="142">
        <f t="shared" si="7"/>
        <v>54700</v>
      </c>
      <c r="X6" s="145">
        <f t="shared" ref="X6:X31" si="21">K6+S6</f>
        <v>312430</v>
      </c>
      <c r="Y6" s="142">
        <f t="shared" si="8"/>
        <v>10414.333333333334</v>
      </c>
      <c r="Z6" s="146"/>
      <c r="AA6" s="147">
        <v>20</v>
      </c>
      <c r="AB6" s="135">
        <v>12100</v>
      </c>
      <c r="AC6" s="136">
        <f t="shared" si="9"/>
        <v>605</v>
      </c>
      <c r="AD6" s="135">
        <v>3120</v>
      </c>
      <c r="AE6" s="137">
        <f t="shared" si="10"/>
        <v>156</v>
      </c>
      <c r="AF6" s="148">
        <f t="shared" ref="AF6:AF31" si="22">AB6+AD6</f>
        <v>15220</v>
      </c>
      <c r="AG6" s="139">
        <f t="shared" si="11"/>
        <v>761</v>
      </c>
      <c r="AH6" s="144">
        <f t="shared" si="12"/>
        <v>30</v>
      </c>
      <c r="AI6" s="142">
        <f t="shared" si="13"/>
        <v>269830</v>
      </c>
      <c r="AJ6" s="142">
        <f t="shared" si="14"/>
        <v>57820</v>
      </c>
      <c r="AK6" s="149">
        <f t="shared" ref="AK6:AK31" si="23">X6+AF6</f>
        <v>327650</v>
      </c>
      <c r="AL6" s="142">
        <f t="shared" si="15"/>
        <v>29700</v>
      </c>
      <c r="AM6" s="142"/>
      <c r="AN6" s="150">
        <v>30</v>
      </c>
      <c r="AO6" s="150">
        <v>257730</v>
      </c>
      <c r="AP6" s="150">
        <v>54700</v>
      </c>
      <c r="AQ6" s="183">
        <v>29700</v>
      </c>
      <c r="AR6" s="151"/>
      <c r="AS6" s="151"/>
      <c r="AT6" s="151"/>
      <c r="AU6" s="152">
        <f t="shared" ref="AU6:AU31" si="24">SUM(AO6:AS6)</f>
        <v>342130</v>
      </c>
      <c r="AV6" s="119">
        <v>2</v>
      </c>
      <c r="AW6" s="120">
        <f t="shared" ref="AW6:AW31" si="25">AT6+AU6</f>
        <v>342130</v>
      </c>
      <c r="AX6" s="179">
        <f t="shared" si="16"/>
        <v>357350</v>
      </c>
    </row>
    <row r="7" spans="1:50" ht="13.5" customHeight="1">
      <c r="A7" s="119"/>
      <c r="B7" s="153">
        <f t="shared" si="17"/>
        <v>45903</v>
      </c>
      <c r="C7" s="178" t="s">
        <v>56</v>
      </c>
      <c r="D7" s="132">
        <v>98</v>
      </c>
      <c r="E7" s="133"/>
      <c r="F7" s="134"/>
      <c r="G7" s="135"/>
      <c r="H7" s="136" t="e">
        <f t="shared" si="0"/>
        <v>#DIV/0!</v>
      </c>
      <c r="I7" s="135"/>
      <c r="J7" s="137" t="e">
        <f t="shared" si="1"/>
        <v>#DIV/0!</v>
      </c>
      <c r="K7" s="138">
        <f>G7+I7</f>
        <v>0</v>
      </c>
      <c r="L7" s="139" t="str">
        <f t="shared" si="2"/>
        <v/>
      </c>
      <c r="M7" s="140"/>
      <c r="N7" s="141">
        <f t="shared" si="18"/>
        <v>41</v>
      </c>
      <c r="O7" s="142">
        <f t="shared" si="18"/>
        <v>356070</v>
      </c>
      <c r="P7" s="136">
        <f t="shared" si="3"/>
        <v>7895.1219512195121</v>
      </c>
      <c r="Q7" s="142">
        <f t="shared" si="19"/>
        <v>66130</v>
      </c>
      <c r="R7" s="137">
        <f t="shared" si="4"/>
        <v>1466.2926829268292</v>
      </c>
      <c r="S7" s="143">
        <f t="shared" si="20"/>
        <v>422200</v>
      </c>
      <c r="T7" s="139">
        <f t="shared" si="5"/>
        <v>10297.560975609756</v>
      </c>
      <c r="U7" s="144">
        <f t="shared" si="6"/>
        <v>41</v>
      </c>
      <c r="V7" s="142">
        <f t="shared" si="6"/>
        <v>356070</v>
      </c>
      <c r="W7" s="142">
        <f t="shared" si="7"/>
        <v>66130</v>
      </c>
      <c r="X7" s="145">
        <f t="shared" si="21"/>
        <v>422200</v>
      </c>
      <c r="Y7" s="142">
        <f t="shared" si="8"/>
        <v>10297.560975609756</v>
      </c>
      <c r="Z7" s="146"/>
      <c r="AA7" s="147">
        <v>134</v>
      </c>
      <c r="AB7" s="135">
        <v>90600</v>
      </c>
      <c r="AC7" s="136">
        <f t="shared" si="9"/>
        <v>676.11940298507466</v>
      </c>
      <c r="AD7" s="135">
        <v>28230</v>
      </c>
      <c r="AE7" s="137">
        <f t="shared" si="10"/>
        <v>210.67164179104478</v>
      </c>
      <c r="AF7" s="148">
        <f t="shared" si="22"/>
        <v>118830</v>
      </c>
      <c r="AG7" s="139">
        <f t="shared" si="11"/>
        <v>886.79104477611941</v>
      </c>
      <c r="AH7" s="144">
        <f t="shared" si="12"/>
        <v>41</v>
      </c>
      <c r="AI7" s="142">
        <f t="shared" si="13"/>
        <v>446670</v>
      </c>
      <c r="AJ7" s="142">
        <f t="shared" si="14"/>
        <v>94360</v>
      </c>
      <c r="AK7" s="149">
        <f t="shared" si="23"/>
        <v>541030</v>
      </c>
      <c r="AL7" s="142">
        <f t="shared" si="15"/>
        <v>44550</v>
      </c>
      <c r="AM7" s="142"/>
      <c r="AN7" s="150">
        <v>41</v>
      </c>
      <c r="AO7" s="150">
        <v>356070</v>
      </c>
      <c r="AP7" s="150">
        <v>66130</v>
      </c>
      <c r="AQ7" s="183">
        <v>42900</v>
      </c>
      <c r="AR7" s="151">
        <v>1650</v>
      </c>
      <c r="AS7" s="151"/>
      <c r="AT7" s="151"/>
      <c r="AU7" s="152">
        <f t="shared" si="24"/>
        <v>466750</v>
      </c>
      <c r="AV7" s="119">
        <v>3</v>
      </c>
      <c r="AW7" s="120">
        <f t="shared" si="25"/>
        <v>466750</v>
      </c>
      <c r="AX7" s="179">
        <f t="shared" si="16"/>
        <v>585580</v>
      </c>
    </row>
    <row r="8" spans="1:50" ht="13.5" customHeight="1">
      <c r="A8" s="119"/>
      <c r="B8" s="153">
        <f t="shared" si="17"/>
        <v>45904</v>
      </c>
      <c r="C8" s="178" t="s">
        <v>56</v>
      </c>
      <c r="D8" s="132">
        <v>98</v>
      </c>
      <c r="E8" s="133"/>
      <c r="F8" s="134"/>
      <c r="G8" s="135"/>
      <c r="H8" s="136" t="e">
        <f t="shared" si="0"/>
        <v>#DIV/0!</v>
      </c>
      <c r="I8" s="135"/>
      <c r="J8" s="137" t="e">
        <f t="shared" si="1"/>
        <v>#DIV/0!</v>
      </c>
      <c r="K8" s="138">
        <f>G8+I8</f>
        <v>0</v>
      </c>
      <c r="L8" s="139" t="str">
        <f t="shared" si="2"/>
        <v/>
      </c>
      <c r="M8" s="140"/>
      <c r="N8" s="141">
        <f t="shared" si="18"/>
        <v>36</v>
      </c>
      <c r="O8" s="142">
        <f t="shared" si="18"/>
        <v>301620</v>
      </c>
      <c r="P8" s="136">
        <f t="shared" si="3"/>
        <v>7616.666666666667</v>
      </c>
      <c r="Q8" s="142">
        <f t="shared" si="19"/>
        <v>50740</v>
      </c>
      <c r="R8" s="137">
        <f t="shared" si="4"/>
        <v>1281.3055555555557</v>
      </c>
      <c r="S8" s="143">
        <f t="shared" si="20"/>
        <v>352360</v>
      </c>
      <c r="T8" s="139">
        <f t="shared" si="5"/>
        <v>9787.7777777777774</v>
      </c>
      <c r="U8" s="144">
        <f t="shared" si="6"/>
        <v>36</v>
      </c>
      <c r="V8" s="142">
        <f t="shared" si="6"/>
        <v>301620</v>
      </c>
      <c r="W8" s="142">
        <f t="shared" si="7"/>
        <v>50740</v>
      </c>
      <c r="X8" s="145">
        <f t="shared" si="21"/>
        <v>352360</v>
      </c>
      <c r="Y8" s="142">
        <f t="shared" si="8"/>
        <v>9787.7777777777774</v>
      </c>
      <c r="Z8" s="146"/>
      <c r="AA8" s="147">
        <v>133</v>
      </c>
      <c r="AB8" s="135">
        <v>70100</v>
      </c>
      <c r="AC8" s="136">
        <f t="shared" si="9"/>
        <v>527.06766917293237</v>
      </c>
      <c r="AD8" s="135">
        <v>20590</v>
      </c>
      <c r="AE8" s="137">
        <f t="shared" si="10"/>
        <v>154.81203007518798</v>
      </c>
      <c r="AF8" s="148">
        <f t="shared" si="22"/>
        <v>90690</v>
      </c>
      <c r="AG8" s="139">
        <f t="shared" si="11"/>
        <v>681.87969924812035</v>
      </c>
      <c r="AH8" s="144">
        <f t="shared" si="12"/>
        <v>36</v>
      </c>
      <c r="AI8" s="142">
        <f t="shared" si="13"/>
        <v>371720</v>
      </c>
      <c r="AJ8" s="142">
        <f t="shared" si="14"/>
        <v>71330</v>
      </c>
      <c r="AK8" s="155">
        <f t="shared" si="23"/>
        <v>443050</v>
      </c>
      <c r="AL8" s="142">
        <f t="shared" si="15"/>
        <v>34650</v>
      </c>
      <c r="AM8" s="142"/>
      <c r="AN8" s="150">
        <v>36</v>
      </c>
      <c r="AO8" s="150">
        <v>301620</v>
      </c>
      <c r="AP8" s="150">
        <v>50740</v>
      </c>
      <c r="AQ8" s="151">
        <v>34650</v>
      </c>
      <c r="AR8" s="151"/>
      <c r="AS8" s="151"/>
      <c r="AT8" s="151"/>
      <c r="AU8" s="152">
        <f t="shared" si="24"/>
        <v>387010</v>
      </c>
      <c r="AV8" s="119">
        <v>4</v>
      </c>
      <c r="AW8" s="120">
        <f t="shared" si="25"/>
        <v>387010</v>
      </c>
      <c r="AX8" s="179">
        <f t="shared" si="16"/>
        <v>477700</v>
      </c>
    </row>
    <row r="9" spans="1:50" ht="13.5" customHeight="1">
      <c r="A9" s="119"/>
      <c r="B9" s="153">
        <f t="shared" si="17"/>
        <v>45905</v>
      </c>
      <c r="C9" s="178" t="s">
        <v>56</v>
      </c>
      <c r="D9" s="132">
        <v>98</v>
      </c>
      <c r="E9" s="133"/>
      <c r="F9" s="134"/>
      <c r="G9" s="135"/>
      <c r="H9" s="136" t="e">
        <f t="shared" si="0"/>
        <v>#DIV/0!</v>
      </c>
      <c r="I9" s="135"/>
      <c r="J9" s="137" t="e">
        <f t="shared" si="1"/>
        <v>#DIV/0!</v>
      </c>
      <c r="K9" s="138">
        <f>G9+I9</f>
        <v>0</v>
      </c>
      <c r="L9" s="139" t="str">
        <f t="shared" si="2"/>
        <v/>
      </c>
      <c r="M9" s="140"/>
      <c r="N9" s="141">
        <f t="shared" si="18"/>
        <v>37</v>
      </c>
      <c r="O9" s="142">
        <f t="shared" si="18"/>
        <v>353540</v>
      </c>
      <c r="P9" s="136">
        <f t="shared" si="3"/>
        <v>8686.4864864864867</v>
      </c>
      <c r="Q9" s="142">
        <f t="shared" si="19"/>
        <v>67850</v>
      </c>
      <c r="R9" s="137">
        <f t="shared" si="4"/>
        <v>1667.0540540540539</v>
      </c>
      <c r="S9" s="143">
        <f t="shared" si="20"/>
        <v>421390</v>
      </c>
      <c r="T9" s="139">
        <f t="shared" si="5"/>
        <v>11388.918918918918</v>
      </c>
      <c r="U9" s="144">
        <f t="shared" si="6"/>
        <v>37</v>
      </c>
      <c r="V9" s="142">
        <f t="shared" si="6"/>
        <v>353540</v>
      </c>
      <c r="W9" s="142">
        <f t="shared" si="7"/>
        <v>67850</v>
      </c>
      <c r="X9" s="145">
        <f t="shared" si="21"/>
        <v>421390</v>
      </c>
      <c r="Y9" s="142">
        <f t="shared" si="8"/>
        <v>11388.918918918918</v>
      </c>
      <c r="Z9" s="146"/>
      <c r="AA9" s="147">
        <v>64</v>
      </c>
      <c r="AB9" s="135">
        <v>43950</v>
      </c>
      <c r="AC9" s="136">
        <f t="shared" si="9"/>
        <v>686.71875</v>
      </c>
      <c r="AD9" s="135">
        <v>14540</v>
      </c>
      <c r="AE9" s="137">
        <f t="shared" si="10"/>
        <v>227.1875</v>
      </c>
      <c r="AF9" s="148">
        <f t="shared" si="22"/>
        <v>58490</v>
      </c>
      <c r="AG9" s="139">
        <f t="shared" si="11"/>
        <v>913.90625</v>
      </c>
      <c r="AH9" s="144">
        <f t="shared" si="12"/>
        <v>37</v>
      </c>
      <c r="AI9" s="142">
        <f t="shared" si="13"/>
        <v>397490</v>
      </c>
      <c r="AJ9" s="142">
        <f t="shared" si="14"/>
        <v>82390</v>
      </c>
      <c r="AK9" s="149">
        <f t="shared" si="23"/>
        <v>479880</v>
      </c>
      <c r="AL9" s="142">
        <f t="shared" si="15"/>
        <v>49500</v>
      </c>
      <c r="AM9" s="142"/>
      <c r="AN9" s="150">
        <v>37</v>
      </c>
      <c r="AO9" s="150">
        <v>353540</v>
      </c>
      <c r="AP9" s="150">
        <v>67850</v>
      </c>
      <c r="AQ9" s="151">
        <v>49500</v>
      </c>
      <c r="AR9" s="151"/>
      <c r="AS9" s="151"/>
      <c r="AT9" s="151"/>
      <c r="AU9" s="152">
        <f t="shared" si="24"/>
        <v>470890</v>
      </c>
      <c r="AV9" s="119">
        <v>5</v>
      </c>
      <c r="AW9" s="120">
        <f t="shared" si="25"/>
        <v>470890</v>
      </c>
      <c r="AX9" s="179">
        <f t="shared" si="16"/>
        <v>529380</v>
      </c>
    </row>
    <row r="10" spans="1:50" ht="13.5" customHeight="1">
      <c r="A10" s="119"/>
      <c r="B10" s="156">
        <f t="shared" si="17"/>
        <v>45906</v>
      </c>
      <c r="C10" s="178" t="s">
        <v>76</v>
      </c>
      <c r="D10" s="132">
        <v>99</v>
      </c>
      <c r="E10" s="133"/>
      <c r="F10" s="134">
        <v>23</v>
      </c>
      <c r="G10" s="135">
        <v>82280</v>
      </c>
      <c r="H10" s="136">
        <f t="shared" si="0"/>
        <v>3252.1739130434785</v>
      </c>
      <c r="I10" s="135">
        <v>34610</v>
      </c>
      <c r="J10" s="137">
        <f t="shared" si="1"/>
        <v>1367.9565217391305</v>
      </c>
      <c r="K10" s="138">
        <f t="shared" ref="K10:K34" si="26">G10+I10</f>
        <v>116890</v>
      </c>
      <c r="L10" s="139">
        <f t="shared" si="2"/>
        <v>5082.173913043478</v>
      </c>
      <c r="M10" s="140"/>
      <c r="N10" s="141">
        <f t="shared" si="18"/>
        <v>38</v>
      </c>
      <c r="O10" s="142">
        <f t="shared" si="18"/>
        <v>368060</v>
      </c>
      <c r="P10" s="136">
        <f t="shared" si="3"/>
        <v>8805.2631578947367</v>
      </c>
      <c r="Q10" s="142">
        <f t="shared" si="19"/>
        <v>63410</v>
      </c>
      <c r="R10" s="137">
        <f t="shared" si="4"/>
        <v>1516.9736842105262</v>
      </c>
      <c r="S10" s="143">
        <f t="shared" si="20"/>
        <v>431470</v>
      </c>
      <c r="T10" s="139">
        <f t="shared" si="5"/>
        <v>11354.473684210527</v>
      </c>
      <c r="U10" s="144">
        <f t="shared" si="6"/>
        <v>61</v>
      </c>
      <c r="V10" s="142">
        <f t="shared" si="6"/>
        <v>450340</v>
      </c>
      <c r="W10" s="142">
        <f t="shared" si="7"/>
        <v>98020</v>
      </c>
      <c r="X10" s="145">
        <f t="shared" si="21"/>
        <v>548360</v>
      </c>
      <c r="Y10" s="142">
        <f t="shared" si="8"/>
        <v>8989.5081967213118</v>
      </c>
      <c r="Z10" s="146"/>
      <c r="AA10" s="147">
        <v>116</v>
      </c>
      <c r="AB10" s="135">
        <v>72150</v>
      </c>
      <c r="AC10" s="136">
        <f t="shared" si="9"/>
        <v>621.98275862068965</v>
      </c>
      <c r="AD10" s="135">
        <v>20440</v>
      </c>
      <c r="AE10" s="137">
        <f t="shared" si="10"/>
        <v>176.20689655172413</v>
      </c>
      <c r="AF10" s="148">
        <f t="shared" si="22"/>
        <v>92590</v>
      </c>
      <c r="AG10" s="139">
        <f t="shared" si="11"/>
        <v>798.18965517241384</v>
      </c>
      <c r="AH10" s="154">
        <f t="shared" si="12"/>
        <v>61</v>
      </c>
      <c r="AI10" s="142">
        <f t="shared" si="13"/>
        <v>522490</v>
      </c>
      <c r="AJ10" s="142">
        <f t="shared" si="14"/>
        <v>118460</v>
      </c>
      <c r="AK10" s="149">
        <f t="shared" si="23"/>
        <v>640950</v>
      </c>
      <c r="AL10" s="142">
        <f t="shared" si="15"/>
        <v>50050</v>
      </c>
      <c r="AM10" s="142"/>
      <c r="AN10" s="150">
        <v>61</v>
      </c>
      <c r="AO10" s="150">
        <v>450340</v>
      </c>
      <c r="AP10" s="150">
        <v>98020</v>
      </c>
      <c r="AQ10" s="151">
        <v>50050</v>
      </c>
      <c r="AR10" s="151"/>
      <c r="AS10" s="151"/>
      <c r="AT10" s="151">
        <v>3300</v>
      </c>
      <c r="AU10" s="152">
        <f>SUM(AO10:AS10)</f>
        <v>598410</v>
      </c>
      <c r="AV10" s="119">
        <v>6</v>
      </c>
      <c r="AW10" s="120">
        <f>AT10+AU10</f>
        <v>601710</v>
      </c>
      <c r="AX10" s="179">
        <f t="shared" si="16"/>
        <v>694300</v>
      </c>
    </row>
    <row r="11" spans="1:50" ht="13.5" customHeight="1">
      <c r="A11" s="119"/>
      <c r="B11" s="157">
        <f t="shared" si="17"/>
        <v>45907</v>
      </c>
      <c r="C11" s="178"/>
      <c r="D11" s="132">
        <v>78</v>
      </c>
      <c r="E11" s="133"/>
      <c r="F11" s="134">
        <v>23</v>
      </c>
      <c r="G11" s="135">
        <v>98010</v>
      </c>
      <c r="H11" s="136">
        <f t="shared" si="0"/>
        <v>3873.913043478261</v>
      </c>
      <c r="I11" s="135">
        <v>17370</v>
      </c>
      <c r="J11" s="137">
        <f t="shared" si="1"/>
        <v>686.52173913043475</v>
      </c>
      <c r="K11" s="138">
        <f t="shared" si="26"/>
        <v>115380</v>
      </c>
      <c r="L11" s="139">
        <f t="shared" si="2"/>
        <v>5016.521739130435</v>
      </c>
      <c r="M11" s="140"/>
      <c r="N11" s="141">
        <f t="shared" si="18"/>
        <v>43</v>
      </c>
      <c r="O11" s="142">
        <f t="shared" si="18"/>
        <v>414150</v>
      </c>
      <c r="P11" s="136">
        <f t="shared" si="3"/>
        <v>8755.8139534883721</v>
      </c>
      <c r="Q11" s="142">
        <f t="shared" si="19"/>
        <v>64260</v>
      </c>
      <c r="R11" s="137">
        <f t="shared" si="4"/>
        <v>1358.5581395348838</v>
      </c>
      <c r="S11" s="143">
        <f t="shared" si="20"/>
        <v>478410</v>
      </c>
      <c r="T11" s="139">
        <f t="shared" si="5"/>
        <v>11125.813953488372</v>
      </c>
      <c r="U11" s="144">
        <f t="shared" si="6"/>
        <v>66</v>
      </c>
      <c r="V11" s="142">
        <f t="shared" si="6"/>
        <v>512160</v>
      </c>
      <c r="W11" s="142">
        <f t="shared" si="7"/>
        <v>81630</v>
      </c>
      <c r="X11" s="145">
        <f t="shared" si="21"/>
        <v>593790</v>
      </c>
      <c r="Y11" s="142">
        <f t="shared" si="8"/>
        <v>8996.818181818182</v>
      </c>
      <c r="Z11" s="146"/>
      <c r="AA11" s="147">
        <v>74</v>
      </c>
      <c r="AB11" s="135">
        <v>55650</v>
      </c>
      <c r="AC11" s="136">
        <f t="shared" si="9"/>
        <v>752.02702702702697</v>
      </c>
      <c r="AD11" s="135">
        <v>11070</v>
      </c>
      <c r="AE11" s="137">
        <f t="shared" si="10"/>
        <v>149.59459459459458</v>
      </c>
      <c r="AF11" s="148">
        <f t="shared" si="22"/>
        <v>66720</v>
      </c>
      <c r="AG11" s="139">
        <f t="shared" si="11"/>
        <v>901.62162162162167</v>
      </c>
      <c r="AH11" s="154">
        <f t="shared" si="12"/>
        <v>66</v>
      </c>
      <c r="AI11" s="142">
        <f t="shared" si="13"/>
        <v>567810</v>
      </c>
      <c r="AJ11" s="142">
        <f t="shared" si="14"/>
        <v>92700</v>
      </c>
      <c r="AK11" s="149">
        <f t="shared" si="23"/>
        <v>660510</v>
      </c>
      <c r="AL11" s="142">
        <f t="shared" si="15"/>
        <v>59400</v>
      </c>
      <c r="AM11" s="142"/>
      <c r="AN11" s="150">
        <v>66</v>
      </c>
      <c r="AO11" s="150">
        <v>512160</v>
      </c>
      <c r="AP11" s="150">
        <v>81630</v>
      </c>
      <c r="AQ11" s="151">
        <v>59400</v>
      </c>
      <c r="AR11" s="151"/>
      <c r="AS11" s="151"/>
      <c r="AT11" s="151"/>
      <c r="AU11" s="152">
        <f t="shared" si="24"/>
        <v>653190</v>
      </c>
      <c r="AV11" s="119">
        <v>7</v>
      </c>
      <c r="AW11" s="120">
        <f t="shared" si="25"/>
        <v>653190</v>
      </c>
      <c r="AX11" s="179">
        <f t="shared" si="16"/>
        <v>719910</v>
      </c>
    </row>
    <row r="12" spans="1:50" ht="13.5" customHeight="1">
      <c r="A12" s="119"/>
      <c r="B12" s="153">
        <f t="shared" si="17"/>
        <v>45908</v>
      </c>
      <c r="C12" s="178" t="s">
        <v>56</v>
      </c>
      <c r="D12" s="132">
        <v>93</v>
      </c>
      <c r="E12" s="133"/>
      <c r="F12" s="134"/>
      <c r="G12" s="135"/>
      <c r="H12" s="136" t="e">
        <f t="shared" si="0"/>
        <v>#DIV/0!</v>
      </c>
      <c r="I12" s="135"/>
      <c r="J12" s="137" t="e">
        <f t="shared" si="1"/>
        <v>#DIV/0!</v>
      </c>
      <c r="K12" s="138">
        <f t="shared" si="26"/>
        <v>0</v>
      </c>
      <c r="L12" s="139" t="str">
        <f t="shared" si="2"/>
        <v/>
      </c>
      <c r="M12" s="140"/>
      <c r="N12" s="141">
        <f t="shared" si="18"/>
        <v>32</v>
      </c>
      <c r="O12" s="142">
        <f t="shared" si="18"/>
        <v>272580</v>
      </c>
      <c r="P12" s="136">
        <f t="shared" si="3"/>
        <v>7743.75</v>
      </c>
      <c r="Q12" s="142">
        <f t="shared" si="19"/>
        <v>48200</v>
      </c>
      <c r="R12" s="158">
        <f t="shared" si="4"/>
        <v>1369.3125</v>
      </c>
      <c r="S12" s="143">
        <f t="shared" si="20"/>
        <v>320780</v>
      </c>
      <c r="T12" s="139">
        <f t="shared" si="5"/>
        <v>10024.375</v>
      </c>
      <c r="U12" s="144">
        <f t="shared" si="6"/>
        <v>32</v>
      </c>
      <c r="V12" s="142">
        <f t="shared" si="6"/>
        <v>272580</v>
      </c>
      <c r="W12" s="142">
        <f t="shared" si="7"/>
        <v>48200</v>
      </c>
      <c r="X12" s="145">
        <f t="shared" si="21"/>
        <v>320780</v>
      </c>
      <c r="Y12" s="142">
        <f t="shared" si="8"/>
        <v>10024.375</v>
      </c>
      <c r="Z12" s="146"/>
      <c r="AA12" s="147">
        <v>109</v>
      </c>
      <c r="AB12" s="135">
        <v>73050</v>
      </c>
      <c r="AC12" s="136">
        <f t="shared" si="9"/>
        <v>670.18348623853205</v>
      </c>
      <c r="AD12" s="135">
        <v>18210</v>
      </c>
      <c r="AE12" s="137">
        <f t="shared" si="10"/>
        <v>167.06422018348624</v>
      </c>
      <c r="AF12" s="148">
        <f t="shared" si="22"/>
        <v>91260</v>
      </c>
      <c r="AG12" s="139">
        <f t="shared" si="11"/>
        <v>837.24770642201838</v>
      </c>
      <c r="AH12" s="154">
        <f t="shared" si="12"/>
        <v>32</v>
      </c>
      <c r="AI12" s="142">
        <f t="shared" si="13"/>
        <v>345630</v>
      </c>
      <c r="AJ12" s="142">
        <f t="shared" si="14"/>
        <v>66410</v>
      </c>
      <c r="AK12" s="149">
        <f t="shared" si="23"/>
        <v>412040</v>
      </c>
      <c r="AL12" s="142">
        <f t="shared" si="15"/>
        <v>46200</v>
      </c>
      <c r="AM12" s="142"/>
      <c r="AN12" s="150">
        <v>32</v>
      </c>
      <c r="AO12" s="150">
        <v>272580</v>
      </c>
      <c r="AP12" s="150">
        <v>48200</v>
      </c>
      <c r="AQ12" s="151">
        <v>46200</v>
      </c>
      <c r="AR12" s="151"/>
      <c r="AS12" s="151"/>
      <c r="AT12" s="151"/>
      <c r="AU12" s="152">
        <f t="shared" si="24"/>
        <v>366980</v>
      </c>
      <c r="AV12" s="119">
        <v>8</v>
      </c>
      <c r="AW12" s="120">
        <f t="shared" si="25"/>
        <v>366980</v>
      </c>
      <c r="AX12" s="179">
        <f t="shared" si="16"/>
        <v>458240</v>
      </c>
    </row>
    <row r="13" spans="1:50" ht="13.5" customHeight="1">
      <c r="A13" s="119"/>
      <c r="B13" s="153">
        <f t="shared" si="17"/>
        <v>45909</v>
      </c>
      <c r="C13" s="178" t="s">
        <v>56</v>
      </c>
      <c r="D13" s="132">
        <v>75</v>
      </c>
      <c r="E13" s="133"/>
      <c r="F13" s="134"/>
      <c r="G13" s="135"/>
      <c r="H13" s="136" t="e">
        <f t="shared" si="0"/>
        <v>#DIV/0!</v>
      </c>
      <c r="I13" s="135"/>
      <c r="J13" s="137" t="e">
        <f t="shared" si="1"/>
        <v>#DIV/0!</v>
      </c>
      <c r="K13" s="138">
        <f t="shared" si="26"/>
        <v>0</v>
      </c>
      <c r="L13" s="139" t="str">
        <f t="shared" si="2"/>
        <v/>
      </c>
      <c r="M13" s="140"/>
      <c r="N13" s="141">
        <f t="shared" si="18"/>
        <v>40</v>
      </c>
      <c r="O13" s="142">
        <f t="shared" si="18"/>
        <v>357060</v>
      </c>
      <c r="P13" s="136">
        <f t="shared" si="3"/>
        <v>8115</v>
      </c>
      <c r="Q13" s="142">
        <f t="shared" si="19"/>
        <v>70470</v>
      </c>
      <c r="R13" s="137">
        <f t="shared" si="4"/>
        <v>1601.575</v>
      </c>
      <c r="S13" s="143">
        <f t="shared" si="20"/>
        <v>427530</v>
      </c>
      <c r="T13" s="139">
        <f t="shared" si="5"/>
        <v>10688.25</v>
      </c>
      <c r="U13" s="144">
        <f t="shared" si="6"/>
        <v>40</v>
      </c>
      <c r="V13" s="142">
        <f t="shared" si="6"/>
        <v>357060</v>
      </c>
      <c r="W13" s="142">
        <f t="shared" si="7"/>
        <v>70470</v>
      </c>
      <c r="X13" s="145">
        <f t="shared" si="21"/>
        <v>427530</v>
      </c>
      <c r="Y13" s="142">
        <f t="shared" si="8"/>
        <v>10688.25</v>
      </c>
      <c r="Z13" s="146"/>
      <c r="AA13" s="147">
        <v>59</v>
      </c>
      <c r="AB13" s="135">
        <v>38050</v>
      </c>
      <c r="AC13" s="136">
        <f t="shared" si="9"/>
        <v>644.91525423728808</v>
      </c>
      <c r="AD13" s="135">
        <v>10260</v>
      </c>
      <c r="AE13" s="137">
        <f t="shared" si="10"/>
        <v>173.89830508474577</v>
      </c>
      <c r="AF13" s="148">
        <f t="shared" si="22"/>
        <v>48310</v>
      </c>
      <c r="AG13" s="139">
        <f t="shared" si="11"/>
        <v>818.81355932203394</v>
      </c>
      <c r="AH13" s="154">
        <f t="shared" si="12"/>
        <v>40</v>
      </c>
      <c r="AI13" s="142">
        <f t="shared" si="13"/>
        <v>395110</v>
      </c>
      <c r="AJ13" s="142">
        <f t="shared" si="14"/>
        <v>80730</v>
      </c>
      <c r="AK13" s="149">
        <f t="shared" si="23"/>
        <v>475840</v>
      </c>
      <c r="AL13" s="142">
        <f t="shared" si="15"/>
        <v>90150</v>
      </c>
      <c r="AM13" s="142"/>
      <c r="AN13" s="150">
        <v>40</v>
      </c>
      <c r="AO13" s="150">
        <v>357060</v>
      </c>
      <c r="AP13" s="150">
        <v>70470</v>
      </c>
      <c r="AQ13" s="151">
        <v>49500</v>
      </c>
      <c r="AR13" s="151">
        <v>40650</v>
      </c>
      <c r="AS13" s="151"/>
      <c r="AT13" s="151"/>
      <c r="AU13" s="152">
        <f t="shared" si="24"/>
        <v>517680</v>
      </c>
      <c r="AV13" s="119">
        <v>9</v>
      </c>
      <c r="AW13" s="120">
        <f t="shared" si="25"/>
        <v>517680</v>
      </c>
      <c r="AX13" s="179">
        <f t="shared" si="16"/>
        <v>565990</v>
      </c>
    </row>
    <row r="14" spans="1:50" ht="13.5" customHeight="1">
      <c r="A14" s="119"/>
      <c r="B14" s="153">
        <f t="shared" si="17"/>
        <v>45910</v>
      </c>
      <c r="C14" s="178" t="s">
        <v>56</v>
      </c>
      <c r="D14" s="132">
        <v>98</v>
      </c>
      <c r="E14" s="133"/>
      <c r="F14" s="134"/>
      <c r="G14" s="135"/>
      <c r="H14" s="136" t="e">
        <f t="shared" si="0"/>
        <v>#DIV/0!</v>
      </c>
      <c r="I14" s="135"/>
      <c r="J14" s="137" t="e">
        <f t="shared" si="1"/>
        <v>#DIV/0!</v>
      </c>
      <c r="K14" s="138">
        <f t="shared" si="26"/>
        <v>0</v>
      </c>
      <c r="L14" s="139" t="str">
        <f t="shared" si="2"/>
        <v/>
      </c>
      <c r="M14" s="140"/>
      <c r="N14" s="141">
        <f t="shared" si="18"/>
        <v>41</v>
      </c>
      <c r="O14" s="142">
        <f t="shared" si="18"/>
        <v>347820</v>
      </c>
      <c r="P14" s="136">
        <f t="shared" si="3"/>
        <v>7712.1951219512193</v>
      </c>
      <c r="Q14" s="142">
        <f t="shared" si="19"/>
        <v>69310</v>
      </c>
      <c r="R14" s="137">
        <f t="shared" si="4"/>
        <v>1536.8048780487804</v>
      </c>
      <c r="S14" s="143">
        <f t="shared" si="20"/>
        <v>417130</v>
      </c>
      <c r="T14" s="139">
        <f t="shared" si="5"/>
        <v>10173.90243902439</v>
      </c>
      <c r="U14" s="144">
        <f t="shared" si="6"/>
        <v>41</v>
      </c>
      <c r="V14" s="142">
        <f t="shared" si="6"/>
        <v>347820</v>
      </c>
      <c r="W14" s="142">
        <f t="shared" si="7"/>
        <v>69310</v>
      </c>
      <c r="X14" s="145">
        <f t="shared" si="21"/>
        <v>417130</v>
      </c>
      <c r="Y14" s="142">
        <f t="shared" si="8"/>
        <v>10173.90243902439</v>
      </c>
      <c r="Z14" s="146"/>
      <c r="AA14" s="147">
        <v>58</v>
      </c>
      <c r="AB14" s="135">
        <v>39200</v>
      </c>
      <c r="AC14" s="136">
        <f t="shared" si="9"/>
        <v>675.86206896551721</v>
      </c>
      <c r="AD14" s="135">
        <v>13500</v>
      </c>
      <c r="AE14" s="137">
        <f t="shared" si="10"/>
        <v>232.75862068965517</v>
      </c>
      <c r="AF14" s="148">
        <f t="shared" si="22"/>
        <v>52700</v>
      </c>
      <c r="AG14" s="139">
        <f t="shared" si="11"/>
        <v>908.62068965517244</v>
      </c>
      <c r="AH14" s="154">
        <f t="shared" si="12"/>
        <v>41</v>
      </c>
      <c r="AI14" s="142">
        <f t="shared" si="13"/>
        <v>387020</v>
      </c>
      <c r="AJ14" s="142">
        <f t="shared" si="14"/>
        <v>82810</v>
      </c>
      <c r="AK14" s="155">
        <f t="shared" si="23"/>
        <v>469830</v>
      </c>
      <c r="AL14" s="142">
        <f t="shared" si="15"/>
        <v>42100</v>
      </c>
      <c r="AM14" s="142"/>
      <c r="AN14" s="150">
        <v>41</v>
      </c>
      <c r="AO14" s="150">
        <v>347820</v>
      </c>
      <c r="AP14" s="150">
        <v>69310</v>
      </c>
      <c r="AQ14" s="151">
        <v>38800</v>
      </c>
      <c r="AR14" s="151">
        <v>3300</v>
      </c>
      <c r="AS14" s="151"/>
      <c r="AT14" s="151">
        <v>39600</v>
      </c>
      <c r="AU14" s="152">
        <f t="shared" si="24"/>
        <v>459230</v>
      </c>
      <c r="AV14" s="119">
        <v>10</v>
      </c>
      <c r="AW14" s="120">
        <f t="shared" si="25"/>
        <v>498830</v>
      </c>
      <c r="AX14" s="179">
        <f t="shared" si="16"/>
        <v>551530</v>
      </c>
    </row>
    <row r="15" spans="1:50" ht="13.5" customHeight="1">
      <c r="A15" s="119"/>
      <c r="B15" s="153">
        <f>B14+1</f>
        <v>45911</v>
      </c>
      <c r="C15" s="178" t="s">
        <v>56</v>
      </c>
      <c r="D15" s="132">
        <v>96</v>
      </c>
      <c r="E15" s="133"/>
      <c r="F15" s="134"/>
      <c r="G15" s="135"/>
      <c r="H15" s="136" t="e">
        <f t="shared" si="0"/>
        <v>#DIV/0!</v>
      </c>
      <c r="I15" s="135"/>
      <c r="J15" s="137" t="e">
        <f t="shared" si="1"/>
        <v>#DIV/0!</v>
      </c>
      <c r="K15" s="138">
        <f t="shared" si="26"/>
        <v>0</v>
      </c>
      <c r="L15" s="139" t="str">
        <f t="shared" si="2"/>
        <v/>
      </c>
      <c r="M15" s="140"/>
      <c r="N15" s="141">
        <f t="shared" si="18"/>
        <v>45</v>
      </c>
      <c r="O15" s="142">
        <f t="shared" si="18"/>
        <v>377520</v>
      </c>
      <c r="P15" s="136">
        <f t="shared" si="3"/>
        <v>7626.666666666667</v>
      </c>
      <c r="Q15" s="142">
        <f t="shared" si="19"/>
        <v>64490</v>
      </c>
      <c r="R15" s="137">
        <f t="shared" si="4"/>
        <v>1302.8222222222223</v>
      </c>
      <c r="S15" s="143">
        <f t="shared" si="20"/>
        <v>442010</v>
      </c>
      <c r="T15" s="139">
        <f t="shared" si="5"/>
        <v>9822.4444444444453</v>
      </c>
      <c r="U15" s="144">
        <f t="shared" si="6"/>
        <v>45</v>
      </c>
      <c r="V15" s="142">
        <f t="shared" si="6"/>
        <v>377520</v>
      </c>
      <c r="W15" s="142">
        <f t="shared" si="7"/>
        <v>64490</v>
      </c>
      <c r="X15" s="145">
        <f t="shared" si="21"/>
        <v>442010</v>
      </c>
      <c r="Y15" s="142">
        <f t="shared" si="8"/>
        <v>9822.4444444444453</v>
      </c>
      <c r="Z15" s="146"/>
      <c r="AA15" s="147">
        <v>71</v>
      </c>
      <c r="AB15" s="135">
        <v>37950</v>
      </c>
      <c r="AC15" s="136">
        <f t="shared" si="9"/>
        <v>534.50704225352115</v>
      </c>
      <c r="AD15" s="135">
        <v>15670</v>
      </c>
      <c r="AE15" s="137">
        <f t="shared" si="10"/>
        <v>220.70422535211267</v>
      </c>
      <c r="AF15" s="148">
        <f t="shared" si="22"/>
        <v>53620</v>
      </c>
      <c r="AG15" s="139">
        <f t="shared" si="11"/>
        <v>755.21126760563379</v>
      </c>
      <c r="AH15" s="154">
        <f t="shared" si="12"/>
        <v>45</v>
      </c>
      <c r="AI15" s="142">
        <f t="shared" si="13"/>
        <v>415470</v>
      </c>
      <c r="AJ15" s="142">
        <f t="shared" si="14"/>
        <v>80160</v>
      </c>
      <c r="AK15" s="149">
        <f t="shared" si="23"/>
        <v>495630</v>
      </c>
      <c r="AL15" s="142">
        <f t="shared" si="15"/>
        <v>46200</v>
      </c>
      <c r="AM15" s="142"/>
      <c r="AN15" s="150">
        <v>45</v>
      </c>
      <c r="AO15" s="150">
        <v>377520</v>
      </c>
      <c r="AP15" s="150">
        <v>64490</v>
      </c>
      <c r="AQ15" s="151">
        <v>46200</v>
      </c>
      <c r="AR15" s="151"/>
      <c r="AS15" s="151"/>
      <c r="AT15" s="151"/>
      <c r="AU15" s="152">
        <f t="shared" si="24"/>
        <v>488210</v>
      </c>
      <c r="AV15" s="119">
        <v>11</v>
      </c>
      <c r="AW15" s="120">
        <f t="shared" si="25"/>
        <v>488210</v>
      </c>
      <c r="AX15" s="179">
        <f t="shared" si="16"/>
        <v>541830</v>
      </c>
    </row>
    <row r="16" spans="1:50" ht="13.5" customHeight="1">
      <c r="A16" s="119"/>
      <c r="B16" s="153">
        <f t="shared" si="17"/>
        <v>45912</v>
      </c>
      <c r="C16" s="178" t="s">
        <v>56</v>
      </c>
      <c r="D16" s="132">
        <v>98</v>
      </c>
      <c r="E16" s="133"/>
      <c r="F16" s="134"/>
      <c r="G16" s="135"/>
      <c r="H16" s="136" t="e">
        <f t="shared" si="0"/>
        <v>#DIV/0!</v>
      </c>
      <c r="I16" s="135"/>
      <c r="J16" s="137" t="e">
        <f t="shared" si="1"/>
        <v>#DIV/0!</v>
      </c>
      <c r="K16" s="138">
        <f t="shared" si="26"/>
        <v>0</v>
      </c>
      <c r="L16" s="139" t="str">
        <f t="shared" si="2"/>
        <v/>
      </c>
      <c r="M16" s="140"/>
      <c r="N16" s="141">
        <f t="shared" si="18"/>
        <v>38</v>
      </c>
      <c r="O16" s="142">
        <f t="shared" si="18"/>
        <v>363110</v>
      </c>
      <c r="P16" s="136">
        <f t="shared" si="3"/>
        <v>8686.8421052631584</v>
      </c>
      <c r="Q16" s="142">
        <f t="shared" si="19"/>
        <v>67770</v>
      </c>
      <c r="R16" s="137">
        <f t="shared" si="4"/>
        <v>1621.2894736842106</v>
      </c>
      <c r="S16" s="143">
        <f t="shared" si="20"/>
        <v>430880</v>
      </c>
      <c r="T16" s="139">
        <f t="shared" si="5"/>
        <v>11338.947368421053</v>
      </c>
      <c r="U16" s="144">
        <f t="shared" si="6"/>
        <v>38</v>
      </c>
      <c r="V16" s="142">
        <f t="shared" si="6"/>
        <v>363110</v>
      </c>
      <c r="W16" s="142">
        <f t="shared" si="7"/>
        <v>67770</v>
      </c>
      <c r="X16" s="145">
        <f t="shared" si="21"/>
        <v>430880</v>
      </c>
      <c r="Y16" s="142">
        <f t="shared" si="8"/>
        <v>11338.947368421053</v>
      </c>
      <c r="Z16" s="146"/>
      <c r="AA16" s="147">
        <v>100</v>
      </c>
      <c r="AB16" s="135">
        <v>46250</v>
      </c>
      <c r="AC16" s="136">
        <f>AB16/AA16</f>
        <v>462.5</v>
      </c>
      <c r="AD16" s="135">
        <v>23840</v>
      </c>
      <c r="AE16" s="137">
        <f t="shared" si="10"/>
        <v>238.4</v>
      </c>
      <c r="AF16" s="148">
        <f t="shared" si="22"/>
        <v>70090</v>
      </c>
      <c r="AG16" s="139">
        <f t="shared" si="11"/>
        <v>700.9</v>
      </c>
      <c r="AH16" s="154">
        <f t="shared" si="12"/>
        <v>38</v>
      </c>
      <c r="AI16" s="142">
        <f t="shared" si="13"/>
        <v>409360</v>
      </c>
      <c r="AJ16" s="142">
        <f t="shared" si="14"/>
        <v>91610</v>
      </c>
      <c r="AK16" s="149">
        <f t="shared" si="23"/>
        <v>500970</v>
      </c>
      <c r="AL16" s="142">
        <f t="shared" si="15"/>
        <v>44000</v>
      </c>
      <c r="AM16" s="142"/>
      <c r="AN16" s="150">
        <v>38</v>
      </c>
      <c r="AO16" s="150">
        <v>363110</v>
      </c>
      <c r="AP16" s="150">
        <v>67770</v>
      </c>
      <c r="AQ16" s="151">
        <v>44000</v>
      </c>
      <c r="AR16" s="151"/>
      <c r="AS16" s="151"/>
      <c r="AT16" s="151"/>
      <c r="AU16" s="152">
        <f t="shared" si="24"/>
        <v>474880</v>
      </c>
      <c r="AV16" s="119">
        <v>12</v>
      </c>
      <c r="AW16" s="120">
        <f t="shared" si="25"/>
        <v>474880</v>
      </c>
      <c r="AX16" s="179">
        <f t="shared" si="16"/>
        <v>544970</v>
      </c>
    </row>
    <row r="17" spans="1:50" ht="13.5" customHeight="1">
      <c r="A17" s="119"/>
      <c r="B17" s="156">
        <f t="shared" si="17"/>
        <v>45913</v>
      </c>
      <c r="C17" s="178"/>
      <c r="D17" s="132">
        <v>0</v>
      </c>
      <c r="E17" s="133"/>
      <c r="F17" s="134">
        <v>23</v>
      </c>
      <c r="G17" s="135">
        <v>88110</v>
      </c>
      <c r="H17" s="136">
        <f t="shared" si="0"/>
        <v>3482.608695652174</v>
      </c>
      <c r="I17" s="135">
        <v>22790</v>
      </c>
      <c r="J17" s="137">
        <f t="shared" si="1"/>
        <v>900.78260869565213</v>
      </c>
      <c r="K17" s="138">
        <f t="shared" si="26"/>
        <v>110900</v>
      </c>
      <c r="L17" s="139">
        <f t="shared" si="2"/>
        <v>4821.739130434783</v>
      </c>
      <c r="M17" s="140"/>
      <c r="N17" s="141">
        <f t="shared" si="18"/>
        <v>40</v>
      </c>
      <c r="O17" s="142">
        <f t="shared" si="18"/>
        <v>390720</v>
      </c>
      <c r="P17" s="136">
        <f t="shared" si="3"/>
        <v>8880</v>
      </c>
      <c r="Q17" s="142">
        <f t="shared" si="19"/>
        <v>90590</v>
      </c>
      <c r="R17" s="137">
        <f t="shared" si="4"/>
        <v>2058.85</v>
      </c>
      <c r="S17" s="143">
        <f t="shared" si="20"/>
        <v>481310</v>
      </c>
      <c r="T17" s="139">
        <f t="shared" si="5"/>
        <v>12032.75</v>
      </c>
      <c r="U17" s="144">
        <f t="shared" si="6"/>
        <v>63</v>
      </c>
      <c r="V17" s="142">
        <f t="shared" si="6"/>
        <v>478830</v>
      </c>
      <c r="W17" s="142">
        <f t="shared" si="7"/>
        <v>113380</v>
      </c>
      <c r="X17" s="145">
        <f t="shared" si="21"/>
        <v>592210</v>
      </c>
      <c r="Y17" s="142">
        <f t="shared" si="8"/>
        <v>9400.1587301587297</v>
      </c>
      <c r="Z17" s="146"/>
      <c r="AA17" s="147">
        <v>33</v>
      </c>
      <c r="AB17" s="135">
        <v>23350</v>
      </c>
      <c r="AC17" s="136">
        <f t="shared" si="9"/>
        <v>707.57575757575762</v>
      </c>
      <c r="AD17" s="135">
        <v>7740</v>
      </c>
      <c r="AE17" s="137">
        <f t="shared" si="10"/>
        <v>234.54545454545453</v>
      </c>
      <c r="AF17" s="148">
        <f t="shared" si="22"/>
        <v>31090</v>
      </c>
      <c r="AG17" s="139">
        <f t="shared" si="11"/>
        <v>942.12121212121212</v>
      </c>
      <c r="AH17" s="154">
        <f t="shared" si="12"/>
        <v>63</v>
      </c>
      <c r="AI17" s="142">
        <f t="shared" si="13"/>
        <v>502180</v>
      </c>
      <c r="AJ17" s="142">
        <f t="shared" si="14"/>
        <v>121120</v>
      </c>
      <c r="AK17" s="149">
        <f t="shared" si="23"/>
        <v>623300</v>
      </c>
      <c r="AL17" s="142">
        <f t="shared" si="15"/>
        <v>34100</v>
      </c>
      <c r="AM17" s="142"/>
      <c r="AN17" s="150">
        <v>63</v>
      </c>
      <c r="AO17" s="150">
        <v>478830</v>
      </c>
      <c r="AP17" s="150">
        <v>113380</v>
      </c>
      <c r="AQ17" s="151">
        <v>32450</v>
      </c>
      <c r="AR17" s="151">
        <v>1650</v>
      </c>
      <c r="AS17" s="151"/>
      <c r="AT17" s="151">
        <v>3300</v>
      </c>
      <c r="AU17" s="152">
        <f t="shared" si="24"/>
        <v>626310</v>
      </c>
      <c r="AV17" s="119">
        <v>13</v>
      </c>
      <c r="AW17" s="120">
        <f t="shared" si="25"/>
        <v>629610</v>
      </c>
      <c r="AX17" s="179">
        <f t="shared" si="16"/>
        <v>660700</v>
      </c>
    </row>
    <row r="18" spans="1:50" ht="13.5" customHeight="1">
      <c r="A18" s="119"/>
      <c r="B18" s="157">
        <f t="shared" si="17"/>
        <v>45914</v>
      </c>
      <c r="C18" s="178" t="s">
        <v>77</v>
      </c>
      <c r="D18" s="132">
        <v>98</v>
      </c>
      <c r="E18" s="133"/>
      <c r="F18" s="134">
        <v>17</v>
      </c>
      <c r="G18" s="135">
        <v>74360</v>
      </c>
      <c r="H18" s="136">
        <f t="shared" si="0"/>
        <v>3976.4705882352941</v>
      </c>
      <c r="I18" s="135">
        <v>11230</v>
      </c>
      <c r="J18" s="137">
        <f t="shared" si="1"/>
        <v>600.52941176470586</v>
      </c>
      <c r="K18" s="138">
        <f t="shared" si="26"/>
        <v>85590</v>
      </c>
      <c r="L18" s="139">
        <f t="shared" si="2"/>
        <v>5034.7058823529414</v>
      </c>
      <c r="M18" s="140"/>
      <c r="N18" s="141">
        <f t="shared" si="18"/>
        <v>39</v>
      </c>
      <c r="O18" s="142">
        <f t="shared" si="18"/>
        <v>384670</v>
      </c>
      <c r="P18" s="136">
        <f t="shared" si="3"/>
        <v>8966.6666666666661</v>
      </c>
      <c r="Q18" s="142">
        <f t="shared" si="19"/>
        <v>81830</v>
      </c>
      <c r="R18" s="137">
        <f t="shared" si="4"/>
        <v>1907.4358974358975</v>
      </c>
      <c r="S18" s="143">
        <f t="shared" si="20"/>
        <v>466500</v>
      </c>
      <c r="T18" s="139">
        <f t="shared" si="5"/>
        <v>11961.538461538461</v>
      </c>
      <c r="U18" s="144">
        <f t="shared" si="6"/>
        <v>56</v>
      </c>
      <c r="V18" s="142">
        <f t="shared" si="6"/>
        <v>459030</v>
      </c>
      <c r="W18" s="142">
        <f t="shared" si="7"/>
        <v>93060</v>
      </c>
      <c r="X18" s="145">
        <f t="shared" si="21"/>
        <v>552090</v>
      </c>
      <c r="Y18" s="142">
        <f t="shared" si="8"/>
        <v>9858.75</v>
      </c>
      <c r="Z18" s="146"/>
      <c r="AA18" s="147">
        <v>59</v>
      </c>
      <c r="AB18" s="135">
        <v>43800</v>
      </c>
      <c r="AC18" s="136">
        <f t="shared" si="9"/>
        <v>742.37288135593224</v>
      </c>
      <c r="AD18" s="135">
        <v>15650</v>
      </c>
      <c r="AE18" s="137">
        <f t="shared" si="10"/>
        <v>265.25423728813558</v>
      </c>
      <c r="AF18" s="148">
        <f t="shared" si="22"/>
        <v>59450</v>
      </c>
      <c r="AG18" s="139">
        <f t="shared" si="11"/>
        <v>1007.6271186440678</v>
      </c>
      <c r="AH18" s="154">
        <f t="shared" si="12"/>
        <v>56</v>
      </c>
      <c r="AI18" s="142">
        <f t="shared" si="13"/>
        <v>502830</v>
      </c>
      <c r="AJ18" s="142">
        <f t="shared" si="14"/>
        <v>108710</v>
      </c>
      <c r="AK18" s="149">
        <f t="shared" si="23"/>
        <v>611540</v>
      </c>
      <c r="AL18" s="142">
        <f t="shared" si="15"/>
        <v>52800</v>
      </c>
      <c r="AM18" s="142"/>
      <c r="AN18" s="150">
        <v>56</v>
      </c>
      <c r="AO18" s="150">
        <v>459030</v>
      </c>
      <c r="AP18" s="150">
        <v>93060</v>
      </c>
      <c r="AQ18" s="151">
        <v>51150</v>
      </c>
      <c r="AR18" s="151">
        <v>1650</v>
      </c>
      <c r="AS18" s="151"/>
      <c r="AT18" s="151"/>
      <c r="AU18" s="152">
        <f t="shared" si="24"/>
        <v>604890</v>
      </c>
      <c r="AV18" s="119">
        <v>14</v>
      </c>
      <c r="AW18" s="120">
        <f t="shared" si="25"/>
        <v>604890</v>
      </c>
      <c r="AX18" s="179">
        <f t="shared" si="16"/>
        <v>664340</v>
      </c>
    </row>
    <row r="19" spans="1:50" ht="13.5" customHeight="1">
      <c r="A19" s="119"/>
      <c r="B19" s="157">
        <f t="shared" si="17"/>
        <v>45915</v>
      </c>
      <c r="C19" s="178" t="s">
        <v>56</v>
      </c>
      <c r="D19" s="132">
        <v>96</v>
      </c>
      <c r="E19" s="133"/>
      <c r="F19" s="134">
        <v>19</v>
      </c>
      <c r="G19" s="135">
        <v>58630</v>
      </c>
      <c r="H19" s="136">
        <f t="shared" si="0"/>
        <v>2805.2631578947367</v>
      </c>
      <c r="I19" s="135">
        <v>6220</v>
      </c>
      <c r="J19" s="137">
        <f t="shared" si="1"/>
        <v>297.57894736842104</v>
      </c>
      <c r="K19" s="138">
        <f t="shared" si="26"/>
        <v>64850</v>
      </c>
      <c r="L19" s="139">
        <f t="shared" si="2"/>
        <v>3413.1578947368421</v>
      </c>
      <c r="M19" s="140"/>
      <c r="N19" s="141">
        <f t="shared" si="18"/>
        <v>40</v>
      </c>
      <c r="O19" s="142">
        <f t="shared" si="18"/>
        <v>423170</v>
      </c>
      <c r="P19" s="136">
        <f t="shared" si="3"/>
        <v>9617.5</v>
      </c>
      <c r="Q19" s="142">
        <f t="shared" si="19"/>
        <v>69420</v>
      </c>
      <c r="R19" s="158">
        <f t="shared" si="4"/>
        <v>1577.7249999999999</v>
      </c>
      <c r="S19" s="143">
        <f t="shared" si="20"/>
        <v>492590</v>
      </c>
      <c r="T19" s="139">
        <f t="shared" si="5"/>
        <v>12314.75</v>
      </c>
      <c r="U19" s="144">
        <f t="shared" si="6"/>
        <v>59</v>
      </c>
      <c r="V19" s="142">
        <f t="shared" si="6"/>
        <v>481800</v>
      </c>
      <c r="W19" s="142">
        <f t="shared" si="7"/>
        <v>75640</v>
      </c>
      <c r="X19" s="145">
        <f t="shared" si="21"/>
        <v>557440</v>
      </c>
      <c r="Y19" s="142">
        <f t="shared" si="8"/>
        <v>9448.1355932203387</v>
      </c>
      <c r="Z19" s="146"/>
      <c r="AA19" s="147">
        <v>152</v>
      </c>
      <c r="AB19" s="135">
        <v>130100</v>
      </c>
      <c r="AC19" s="136">
        <f t="shared" si="9"/>
        <v>855.92105263157896</v>
      </c>
      <c r="AD19" s="135">
        <v>23170</v>
      </c>
      <c r="AE19" s="137">
        <f t="shared" si="10"/>
        <v>152.43421052631578</v>
      </c>
      <c r="AF19" s="148">
        <f t="shared" si="22"/>
        <v>153270</v>
      </c>
      <c r="AG19" s="139">
        <f t="shared" si="11"/>
        <v>1008.3552631578947</v>
      </c>
      <c r="AH19" s="154">
        <f t="shared" si="12"/>
        <v>59</v>
      </c>
      <c r="AI19" s="142">
        <f t="shared" si="13"/>
        <v>611900</v>
      </c>
      <c r="AJ19" s="142">
        <f t="shared" si="14"/>
        <v>98810</v>
      </c>
      <c r="AK19" s="149">
        <f t="shared" si="23"/>
        <v>710710</v>
      </c>
      <c r="AL19" s="142">
        <f t="shared" si="15"/>
        <v>47300</v>
      </c>
      <c r="AM19" s="142"/>
      <c r="AN19" s="150">
        <v>59</v>
      </c>
      <c r="AO19" s="150">
        <v>481800</v>
      </c>
      <c r="AP19" s="150">
        <v>75640</v>
      </c>
      <c r="AQ19" s="151">
        <v>47300</v>
      </c>
      <c r="AR19" s="151"/>
      <c r="AS19" s="151"/>
      <c r="AT19" s="151"/>
      <c r="AU19" s="152">
        <f t="shared" si="24"/>
        <v>604740</v>
      </c>
      <c r="AV19" s="119">
        <v>15</v>
      </c>
      <c r="AW19" s="120">
        <f t="shared" si="25"/>
        <v>604740</v>
      </c>
      <c r="AX19" s="179">
        <f t="shared" si="16"/>
        <v>758010</v>
      </c>
    </row>
    <row r="20" spans="1:50" ht="13.5" customHeight="1">
      <c r="A20" s="119"/>
      <c r="B20" s="153">
        <f t="shared" si="17"/>
        <v>45916</v>
      </c>
      <c r="C20" s="178" t="s">
        <v>56</v>
      </c>
      <c r="D20" s="132">
        <v>99</v>
      </c>
      <c r="E20" s="133"/>
      <c r="F20" s="134"/>
      <c r="G20" s="135"/>
      <c r="H20" s="136" t="e">
        <f t="shared" si="0"/>
        <v>#DIV/0!</v>
      </c>
      <c r="I20" s="135"/>
      <c r="J20" s="136" t="e">
        <f t="shared" si="1"/>
        <v>#DIV/0!</v>
      </c>
      <c r="K20" s="138">
        <f t="shared" si="26"/>
        <v>0</v>
      </c>
      <c r="L20" s="139" t="str">
        <f t="shared" si="2"/>
        <v/>
      </c>
      <c r="M20" s="140"/>
      <c r="N20" s="141">
        <f t="shared" si="18"/>
        <v>34</v>
      </c>
      <c r="O20" s="142">
        <f t="shared" si="18"/>
        <v>308660</v>
      </c>
      <c r="P20" s="136">
        <f t="shared" si="3"/>
        <v>8252.9411764705874</v>
      </c>
      <c r="Q20" s="142">
        <f t="shared" si="19"/>
        <v>67950</v>
      </c>
      <c r="R20" s="158">
        <f t="shared" si="4"/>
        <v>1816.8235294117646</v>
      </c>
      <c r="S20" s="143">
        <f t="shared" si="20"/>
        <v>376610</v>
      </c>
      <c r="T20" s="139">
        <f t="shared" si="5"/>
        <v>11076.764705882353</v>
      </c>
      <c r="U20" s="144">
        <f t="shared" si="6"/>
        <v>34</v>
      </c>
      <c r="V20" s="142">
        <f t="shared" si="6"/>
        <v>308660</v>
      </c>
      <c r="W20" s="142">
        <f t="shared" si="7"/>
        <v>67950</v>
      </c>
      <c r="X20" s="145">
        <f t="shared" si="21"/>
        <v>376610</v>
      </c>
      <c r="Y20" s="142">
        <f t="shared" si="8"/>
        <v>11076.764705882353</v>
      </c>
      <c r="Z20" s="146"/>
      <c r="AA20" s="147">
        <v>92</v>
      </c>
      <c r="AB20" s="135">
        <v>63450</v>
      </c>
      <c r="AC20" s="136">
        <f t="shared" si="9"/>
        <v>689.67391304347825</v>
      </c>
      <c r="AD20" s="135">
        <v>19770</v>
      </c>
      <c r="AE20" s="137">
        <f t="shared" si="10"/>
        <v>214.89130434782609</v>
      </c>
      <c r="AF20" s="148">
        <f t="shared" si="22"/>
        <v>83220</v>
      </c>
      <c r="AG20" s="139">
        <f t="shared" si="11"/>
        <v>904.56521739130437</v>
      </c>
      <c r="AH20" s="154">
        <f t="shared" si="12"/>
        <v>34</v>
      </c>
      <c r="AI20" s="150">
        <f t="shared" si="13"/>
        <v>372110</v>
      </c>
      <c r="AJ20" s="150">
        <f t="shared" si="14"/>
        <v>87720</v>
      </c>
      <c r="AK20" s="149">
        <f t="shared" si="23"/>
        <v>459830</v>
      </c>
      <c r="AL20" s="142">
        <f t="shared" si="15"/>
        <v>38500</v>
      </c>
      <c r="AM20" s="142"/>
      <c r="AN20" s="150">
        <v>34</v>
      </c>
      <c r="AO20" s="150">
        <v>308660</v>
      </c>
      <c r="AP20" s="150">
        <v>67950</v>
      </c>
      <c r="AQ20" s="151">
        <v>38500</v>
      </c>
      <c r="AR20" s="151"/>
      <c r="AS20" s="151"/>
      <c r="AT20" s="151"/>
      <c r="AU20" s="152">
        <f t="shared" si="24"/>
        <v>415110</v>
      </c>
      <c r="AV20" s="119">
        <v>16</v>
      </c>
      <c r="AW20" s="120">
        <f>AT20+AU20</f>
        <v>415110</v>
      </c>
      <c r="AX20" s="179">
        <f t="shared" si="16"/>
        <v>498330</v>
      </c>
    </row>
    <row r="21" spans="1:50" ht="15.75" customHeight="1">
      <c r="A21" s="119"/>
      <c r="B21" s="153">
        <f t="shared" si="17"/>
        <v>45917</v>
      </c>
      <c r="C21" s="178" t="s">
        <v>56</v>
      </c>
      <c r="D21" s="132">
        <v>90</v>
      </c>
      <c r="E21" s="133"/>
      <c r="F21" s="134"/>
      <c r="G21" s="135"/>
      <c r="H21" s="136" t="e">
        <f t="shared" si="0"/>
        <v>#DIV/0!</v>
      </c>
      <c r="I21" s="135"/>
      <c r="J21" s="136" t="e">
        <f t="shared" si="1"/>
        <v>#DIV/0!</v>
      </c>
      <c r="K21" s="138">
        <f t="shared" si="26"/>
        <v>0</v>
      </c>
      <c r="L21" s="139" t="str">
        <f t="shared" si="2"/>
        <v/>
      </c>
      <c r="M21" s="140"/>
      <c r="N21" s="141">
        <f t="shared" si="18"/>
        <v>40</v>
      </c>
      <c r="O21" s="142">
        <f t="shared" si="18"/>
        <v>383350</v>
      </c>
      <c r="P21" s="136">
        <f t="shared" si="3"/>
        <v>8712.5</v>
      </c>
      <c r="Q21" s="142">
        <f t="shared" si="19"/>
        <v>71440</v>
      </c>
      <c r="R21" s="158">
        <f t="shared" si="4"/>
        <v>1623.625</v>
      </c>
      <c r="S21" s="143">
        <f>O21+Q21</f>
        <v>454790</v>
      </c>
      <c r="T21" s="139">
        <f t="shared" si="5"/>
        <v>11369.75</v>
      </c>
      <c r="U21" s="144">
        <f t="shared" ref="U21:V34" si="27">F21+N21</f>
        <v>40</v>
      </c>
      <c r="V21" s="142">
        <f t="shared" si="27"/>
        <v>383350</v>
      </c>
      <c r="W21" s="142">
        <f t="shared" si="7"/>
        <v>71440</v>
      </c>
      <c r="X21" s="145">
        <f>K21+S21</f>
        <v>454790</v>
      </c>
      <c r="Y21" s="142">
        <f t="shared" si="8"/>
        <v>11369.75</v>
      </c>
      <c r="Z21" s="146"/>
      <c r="AA21" s="147">
        <v>60</v>
      </c>
      <c r="AB21" s="135">
        <v>29650</v>
      </c>
      <c r="AC21" s="136">
        <f t="shared" si="9"/>
        <v>494.16666666666669</v>
      </c>
      <c r="AD21" s="135">
        <v>22740</v>
      </c>
      <c r="AE21" s="137">
        <f t="shared" si="10"/>
        <v>379</v>
      </c>
      <c r="AF21" s="148">
        <f t="shared" si="22"/>
        <v>52390</v>
      </c>
      <c r="AG21" s="139">
        <f t="shared" si="11"/>
        <v>873.16666666666663</v>
      </c>
      <c r="AH21" s="154">
        <f t="shared" si="12"/>
        <v>40</v>
      </c>
      <c r="AI21" s="150">
        <f t="shared" si="13"/>
        <v>413000</v>
      </c>
      <c r="AJ21" s="150">
        <f t="shared" si="14"/>
        <v>94180</v>
      </c>
      <c r="AK21" s="149">
        <f>X21+AF21</f>
        <v>507180</v>
      </c>
      <c r="AL21" s="142">
        <f>AQ21+AR21+AS21</f>
        <v>49960</v>
      </c>
      <c r="AM21" s="142"/>
      <c r="AN21" s="150">
        <v>40</v>
      </c>
      <c r="AO21" s="150">
        <v>383350</v>
      </c>
      <c r="AP21" s="150">
        <v>71440</v>
      </c>
      <c r="AQ21" s="151">
        <v>48400</v>
      </c>
      <c r="AR21" s="151">
        <v>1560</v>
      </c>
      <c r="AS21" s="151"/>
      <c r="AT21" s="151"/>
      <c r="AU21" s="152">
        <f t="shared" si="24"/>
        <v>504750</v>
      </c>
      <c r="AV21" s="119">
        <v>17</v>
      </c>
      <c r="AW21" s="120">
        <f t="shared" si="25"/>
        <v>504750</v>
      </c>
      <c r="AX21" s="179">
        <f t="shared" si="16"/>
        <v>557140</v>
      </c>
    </row>
    <row r="22" spans="1:50" ht="15.75" customHeight="1">
      <c r="A22" s="119"/>
      <c r="B22" s="153">
        <f t="shared" si="17"/>
        <v>45918</v>
      </c>
      <c r="C22" s="178" t="s">
        <v>56</v>
      </c>
      <c r="D22" s="132">
        <v>98</v>
      </c>
      <c r="E22" s="133"/>
      <c r="F22" s="134"/>
      <c r="G22" s="135"/>
      <c r="H22" s="136" t="e">
        <f t="shared" si="0"/>
        <v>#DIV/0!</v>
      </c>
      <c r="I22" s="135"/>
      <c r="J22" s="136" t="e">
        <f t="shared" si="1"/>
        <v>#DIV/0!</v>
      </c>
      <c r="K22" s="138">
        <f t="shared" si="26"/>
        <v>0</v>
      </c>
      <c r="L22" s="139" t="str">
        <f t="shared" si="2"/>
        <v/>
      </c>
      <c r="M22" s="140"/>
      <c r="N22" s="141">
        <f t="shared" ref="N22:O34" si="28">AN22-F22</f>
        <v>42</v>
      </c>
      <c r="O22" s="142">
        <f t="shared" si="28"/>
        <v>408870</v>
      </c>
      <c r="P22" s="136">
        <f t="shared" si="3"/>
        <v>8850</v>
      </c>
      <c r="Q22" s="142">
        <f t="shared" si="19"/>
        <v>80630</v>
      </c>
      <c r="R22" s="158">
        <f t="shared" si="4"/>
        <v>1745.2380952380952</v>
      </c>
      <c r="S22" s="143">
        <f t="shared" si="20"/>
        <v>489500</v>
      </c>
      <c r="T22" s="139">
        <f t="shared" si="5"/>
        <v>11654.761904761905</v>
      </c>
      <c r="U22" s="144">
        <f t="shared" si="27"/>
        <v>42</v>
      </c>
      <c r="V22" s="142">
        <f t="shared" si="27"/>
        <v>408870</v>
      </c>
      <c r="W22" s="142">
        <f t="shared" si="7"/>
        <v>80630</v>
      </c>
      <c r="X22" s="145">
        <f t="shared" si="21"/>
        <v>489500</v>
      </c>
      <c r="Y22" s="142">
        <f t="shared" si="8"/>
        <v>11654.761904761905</v>
      </c>
      <c r="Z22" s="146"/>
      <c r="AA22" s="147">
        <v>64</v>
      </c>
      <c r="AB22" s="135">
        <v>32550</v>
      </c>
      <c r="AC22" s="136">
        <f t="shared" si="9"/>
        <v>508.59375</v>
      </c>
      <c r="AD22" s="135">
        <v>14570</v>
      </c>
      <c r="AE22" s="137">
        <f t="shared" si="10"/>
        <v>227.65625</v>
      </c>
      <c r="AF22" s="148">
        <f t="shared" si="22"/>
        <v>47120</v>
      </c>
      <c r="AG22" s="139">
        <f t="shared" si="11"/>
        <v>736.25</v>
      </c>
      <c r="AH22" s="154">
        <f t="shared" si="12"/>
        <v>42</v>
      </c>
      <c r="AI22" s="150">
        <f t="shared" si="13"/>
        <v>441420</v>
      </c>
      <c r="AJ22" s="150">
        <f t="shared" si="14"/>
        <v>95200</v>
      </c>
      <c r="AK22" s="149">
        <f t="shared" si="23"/>
        <v>536620</v>
      </c>
      <c r="AL22" s="142">
        <f t="shared" si="15"/>
        <v>113860</v>
      </c>
      <c r="AM22" s="142"/>
      <c r="AN22" s="150">
        <v>42</v>
      </c>
      <c r="AO22" s="150">
        <v>408870</v>
      </c>
      <c r="AP22" s="150">
        <v>80630</v>
      </c>
      <c r="AQ22" s="151">
        <v>47300</v>
      </c>
      <c r="AR22" s="151">
        <v>66560</v>
      </c>
      <c r="AS22" s="151"/>
      <c r="AT22" s="151"/>
      <c r="AU22" s="152">
        <f t="shared" si="24"/>
        <v>603360</v>
      </c>
      <c r="AV22" s="119">
        <v>18</v>
      </c>
      <c r="AW22" s="120">
        <f t="shared" si="25"/>
        <v>603360</v>
      </c>
      <c r="AX22" s="179">
        <f t="shared" si="16"/>
        <v>650480</v>
      </c>
    </row>
    <row r="23" spans="1:50" ht="15.75" customHeight="1">
      <c r="A23" s="119"/>
      <c r="B23" s="153">
        <f t="shared" si="17"/>
        <v>45919</v>
      </c>
      <c r="C23" s="178" t="s">
        <v>56</v>
      </c>
      <c r="D23" s="132">
        <v>99</v>
      </c>
      <c r="E23" s="133"/>
      <c r="F23" s="134"/>
      <c r="G23" s="135"/>
      <c r="H23" s="136" t="e">
        <f t="shared" si="0"/>
        <v>#DIV/0!</v>
      </c>
      <c r="I23" s="135"/>
      <c r="J23" s="136" t="e">
        <f t="shared" si="1"/>
        <v>#DIV/0!</v>
      </c>
      <c r="K23" s="138">
        <f t="shared" si="26"/>
        <v>0</v>
      </c>
      <c r="L23" s="139" t="str">
        <f t="shared" si="2"/>
        <v/>
      </c>
      <c r="M23" s="140"/>
      <c r="N23" s="141">
        <f t="shared" si="28"/>
        <v>40</v>
      </c>
      <c r="O23" s="142">
        <f t="shared" si="28"/>
        <v>427020</v>
      </c>
      <c r="P23" s="136">
        <f t="shared" si="3"/>
        <v>9705</v>
      </c>
      <c r="Q23" s="142">
        <f t="shared" si="19"/>
        <v>84570</v>
      </c>
      <c r="R23" s="158">
        <f t="shared" si="4"/>
        <v>1922.0250000000001</v>
      </c>
      <c r="S23" s="143">
        <f t="shared" si="20"/>
        <v>511590</v>
      </c>
      <c r="T23" s="139">
        <f t="shared" si="5"/>
        <v>12789.75</v>
      </c>
      <c r="U23" s="144">
        <f t="shared" si="27"/>
        <v>40</v>
      </c>
      <c r="V23" s="142">
        <f t="shared" si="27"/>
        <v>427020</v>
      </c>
      <c r="W23" s="142">
        <f t="shared" si="7"/>
        <v>84570</v>
      </c>
      <c r="X23" s="145">
        <f t="shared" si="21"/>
        <v>511590</v>
      </c>
      <c r="Y23" s="142">
        <f t="shared" si="8"/>
        <v>12789.75</v>
      </c>
      <c r="Z23" s="146"/>
      <c r="AA23" s="147">
        <v>86</v>
      </c>
      <c r="AB23" s="135">
        <v>50600</v>
      </c>
      <c r="AC23" s="136">
        <f t="shared" si="9"/>
        <v>588.37209302325584</v>
      </c>
      <c r="AD23" s="135">
        <v>18670</v>
      </c>
      <c r="AE23" s="137">
        <f t="shared" si="10"/>
        <v>217.09302325581396</v>
      </c>
      <c r="AF23" s="148">
        <f t="shared" si="22"/>
        <v>69270</v>
      </c>
      <c r="AG23" s="139">
        <f t="shared" si="11"/>
        <v>805.46511627906978</v>
      </c>
      <c r="AH23" s="154">
        <f t="shared" si="12"/>
        <v>40</v>
      </c>
      <c r="AI23" s="150">
        <f t="shared" si="13"/>
        <v>477620</v>
      </c>
      <c r="AJ23" s="150">
        <f t="shared" si="14"/>
        <v>103240</v>
      </c>
      <c r="AK23" s="149">
        <f t="shared" si="23"/>
        <v>580860</v>
      </c>
      <c r="AL23" s="142">
        <f t="shared" si="15"/>
        <v>46200</v>
      </c>
      <c r="AM23" s="142"/>
      <c r="AN23" s="150">
        <v>40</v>
      </c>
      <c r="AO23" s="150">
        <v>427020</v>
      </c>
      <c r="AP23" s="150">
        <v>84570</v>
      </c>
      <c r="AQ23" s="151">
        <v>46200</v>
      </c>
      <c r="AR23" s="151"/>
      <c r="AS23" s="151"/>
      <c r="AT23" s="151"/>
      <c r="AU23" s="152">
        <f t="shared" si="24"/>
        <v>557790</v>
      </c>
      <c r="AV23" s="119">
        <v>19</v>
      </c>
      <c r="AW23" s="120">
        <f t="shared" si="25"/>
        <v>557790</v>
      </c>
      <c r="AX23" s="179">
        <f t="shared" si="16"/>
        <v>627060</v>
      </c>
    </row>
    <row r="24" spans="1:50" ht="15.75" customHeight="1">
      <c r="A24" s="119"/>
      <c r="B24" s="156">
        <f t="shared" si="17"/>
        <v>45920</v>
      </c>
      <c r="C24" s="178"/>
      <c r="D24" s="132">
        <v>30</v>
      </c>
      <c r="E24" s="133"/>
      <c r="F24" s="134">
        <v>20</v>
      </c>
      <c r="G24" s="135">
        <v>70400</v>
      </c>
      <c r="H24" s="136">
        <f t="shared" si="0"/>
        <v>3200</v>
      </c>
      <c r="I24" s="135">
        <v>59600</v>
      </c>
      <c r="J24" s="136">
        <f t="shared" si="1"/>
        <v>2709.05</v>
      </c>
      <c r="K24" s="138">
        <f t="shared" si="26"/>
        <v>130000</v>
      </c>
      <c r="L24" s="139">
        <f t="shared" si="2"/>
        <v>6500</v>
      </c>
      <c r="M24" s="140"/>
      <c r="N24" s="141">
        <f t="shared" si="28"/>
        <v>39</v>
      </c>
      <c r="O24" s="142">
        <f t="shared" si="28"/>
        <v>360800</v>
      </c>
      <c r="P24" s="136">
        <f t="shared" si="3"/>
        <v>8410.2564102564102</v>
      </c>
      <c r="Q24" s="142">
        <f t="shared" si="19"/>
        <v>43620</v>
      </c>
      <c r="R24" s="158">
        <f t="shared" si="4"/>
        <v>1016.7692307692307</v>
      </c>
      <c r="S24" s="143">
        <f t="shared" si="20"/>
        <v>404420</v>
      </c>
      <c r="T24" s="139">
        <f t="shared" si="5"/>
        <v>10369.74358974359</v>
      </c>
      <c r="U24" s="144">
        <f t="shared" si="27"/>
        <v>59</v>
      </c>
      <c r="V24" s="142">
        <f t="shared" si="27"/>
        <v>431200</v>
      </c>
      <c r="W24" s="142">
        <f t="shared" si="7"/>
        <v>103220</v>
      </c>
      <c r="X24" s="145">
        <f t="shared" si="21"/>
        <v>534420</v>
      </c>
      <c r="Y24" s="142">
        <f t="shared" si="8"/>
        <v>9057.9661016949158</v>
      </c>
      <c r="Z24" s="146"/>
      <c r="AA24" s="147">
        <v>61</v>
      </c>
      <c r="AB24" s="135">
        <v>40350</v>
      </c>
      <c r="AC24" s="136">
        <f t="shared" si="9"/>
        <v>661.47540983606552</v>
      </c>
      <c r="AD24" s="135">
        <v>13240</v>
      </c>
      <c r="AE24" s="137">
        <f t="shared" si="10"/>
        <v>217.04918032786884</v>
      </c>
      <c r="AF24" s="148">
        <f t="shared" si="22"/>
        <v>53590</v>
      </c>
      <c r="AG24" s="139">
        <f t="shared" si="11"/>
        <v>878.52459016393448</v>
      </c>
      <c r="AH24" s="154">
        <f t="shared" si="12"/>
        <v>59</v>
      </c>
      <c r="AI24" s="150">
        <f t="shared" si="13"/>
        <v>471550</v>
      </c>
      <c r="AJ24" s="150">
        <f t="shared" si="14"/>
        <v>116460</v>
      </c>
      <c r="AK24" s="149">
        <f>X24+AF24</f>
        <v>588010</v>
      </c>
      <c r="AL24" s="142">
        <f t="shared" si="15"/>
        <v>47300</v>
      </c>
      <c r="AM24" s="142"/>
      <c r="AN24" s="150">
        <v>59</v>
      </c>
      <c r="AO24" s="150">
        <v>431200</v>
      </c>
      <c r="AP24" s="150">
        <v>103220</v>
      </c>
      <c r="AQ24" s="151">
        <v>47300</v>
      </c>
      <c r="AR24" s="151"/>
      <c r="AS24" s="151"/>
      <c r="AT24" s="151"/>
      <c r="AU24" s="152">
        <f>SUM(AO24:AS24)</f>
        <v>581720</v>
      </c>
      <c r="AV24" s="119">
        <v>20</v>
      </c>
      <c r="AW24" s="120">
        <f t="shared" si="25"/>
        <v>581720</v>
      </c>
      <c r="AX24" s="179">
        <f t="shared" si="16"/>
        <v>635310</v>
      </c>
    </row>
    <row r="25" spans="1:50" ht="15.75" customHeight="1">
      <c r="A25" s="119"/>
      <c r="B25" s="197">
        <f t="shared" si="17"/>
        <v>45921</v>
      </c>
      <c r="C25" s="178" t="s">
        <v>78</v>
      </c>
      <c r="D25" s="132">
        <v>90</v>
      </c>
      <c r="E25" s="133"/>
      <c r="F25" s="134">
        <v>11</v>
      </c>
      <c r="G25" s="135">
        <v>50160</v>
      </c>
      <c r="H25" s="136">
        <f t="shared" si="0"/>
        <v>4145.454545454545</v>
      </c>
      <c r="I25" s="135">
        <v>2950</v>
      </c>
      <c r="J25" s="136">
        <f t="shared" si="1"/>
        <v>243.72727272727272</v>
      </c>
      <c r="K25" s="138">
        <f t="shared" si="26"/>
        <v>53110</v>
      </c>
      <c r="L25" s="139">
        <f t="shared" si="2"/>
        <v>4828.181818181818</v>
      </c>
      <c r="M25" s="140"/>
      <c r="N25" s="141">
        <f t="shared" si="28"/>
        <v>40</v>
      </c>
      <c r="O25" s="142">
        <f t="shared" si="28"/>
        <v>372790</v>
      </c>
      <c r="P25" s="136">
        <f t="shared" si="3"/>
        <v>8472.5</v>
      </c>
      <c r="Q25" s="142">
        <f t="shared" si="19"/>
        <v>80140</v>
      </c>
      <c r="R25" s="158">
        <f t="shared" si="4"/>
        <v>1821.35</v>
      </c>
      <c r="S25" s="143">
        <f t="shared" si="20"/>
        <v>452930</v>
      </c>
      <c r="T25" s="139">
        <f t="shared" si="5"/>
        <v>11323.25</v>
      </c>
      <c r="U25" s="144">
        <f>F25+N25</f>
        <v>51</v>
      </c>
      <c r="V25" s="142">
        <f t="shared" si="27"/>
        <v>422950</v>
      </c>
      <c r="W25" s="142">
        <f t="shared" si="7"/>
        <v>83090</v>
      </c>
      <c r="X25" s="145">
        <f t="shared" si="21"/>
        <v>506040</v>
      </c>
      <c r="Y25" s="142">
        <f t="shared" si="8"/>
        <v>9922.3529411764703</v>
      </c>
      <c r="Z25" s="146"/>
      <c r="AA25" s="194">
        <v>31</v>
      </c>
      <c r="AB25" s="135">
        <v>13550</v>
      </c>
      <c r="AC25" s="136">
        <f t="shared" si="9"/>
        <v>437.09677419354841</v>
      </c>
      <c r="AD25" s="135">
        <v>7800</v>
      </c>
      <c r="AE25" s="137">
        <f t="shared" si="10"/>
        <v>251.61290322580646</v>
      </c>
      <c r="AF25" s="148">
        <f t="shared" si="22"/>
        <v>21350</v>
      </c>
      <c r="AG25" s="139">
        <f t="shared" si="11"/>
        <v>688.70967741935488</v>
      </c>
      <c r="AH25" s="154">
        <f t="shared" si="12"/>
        <v>51</v>
      </c>
      <c r="AI25" s="150">
        <f t="shared" si="13"/>
        <v>436500</v>
      </c>
      <c r="AJ25" s="150">
        <f t="shared" si="14"/>
        <v>90890</v>
      </c>
      <c r="AK25" s="149">
        <f>X25+AF25</f>
        <v>527390</v>
      </c>
      <c r="AL25" s="142">
        <f t="shared" si="15"/>
        <v>50050</v>
      </c>
      <c r="AM25" s="142"/>
      <c r="AN25" s="150">
        <v>51</v>
      </c>
      <c r="AO25" s="150">
        <v>422950</v>
      </c>
      <c r="AP25" s="150">
        <v>83090</v>
      </c>
      <c r="AQ25" s="151">
        <v>48400</v>
      </c>
      <c r="AR25" s="151">
        <v>1650</v>
      </c>
      <c r="AS25" s="151"/>
      <c r="AT25" s="151">
        <v>70000</v>
      </c>
      <c r="AU25" s="152">
        <f t="shared" si="24"/>
        <v>556090</v>
      </c>
      <c r="AV25" s="119">
        <v>21</v>
      </c>
      <c r="AW25" s="120">
        <f t="shared" si="25"/>
        <v>626090</v>
      </c>
      <c r="AX25" s="179">
        <f t="shared" si="16"/>
        <v>647440</v>
      </c>
    </row>
    <row r="26" spans="1:50" ht="15.75" customHeight="1">
      <c r="A26" s="119"/>
      <c r="B26" s="198">
        <f t="shared" si="17"/>
        <v>45922</v>
      </c>
      <c r="C26" s="178" t="s">
        <v>56</v>
      </c>
      <c r="D26" s="132">
        <v>97</v>
      </c>
      <c r="E26" s="133"/>
      <c r="F26" s="134"/>
      <c r="G26" s="135"/>
      <c r="H26" s="136" t="e">
        <f t="shared" si="0"/>
        <v>#DIV/0!</v>
      </c>
      <c r="I26" s="135"/>
      <c r="J26" s="136" t="e">
        <f t="shared" si="1"/>
        <v>#DIV/0!</v>
      </c>
      <c r="K26" s="138">
        <f t="shared" si="26"/>
        <v>0</v>
      </c>
      <c r="L26" s="139" t="str">
        <f t="shared" si="2"/>
        <v/>
      </c>
      <c r="M26" s="140"/>
      <c r="N26" s="141">
        <f t="shared" si="28"/>
        <v>41</v>
      </c>
      <c r="O26" s="142">
        <f t="shared" si="28"/>
        <v>387640</v>
      </c>
      <c r="P26" s="136">
        <f t="shared" si="3"/>
        <v>8595.121951219513</v>
      </c>
      <c r="Q26" s="142">
        <f t="shared" si="19"/>
        <v>73930</v>
      </c>
      <c r="R26" s="158">
        <f t="shared" si="4"/>
        <v>1639.2439024390244</v>
      </c>
      <c r="S26" s="143">
        <f t="shared" si="20"/>
        <v>461570</v>
      </c>
      <c r="T26" s="139">
        <f t="shared" si="5"/>
        <v>11257.804878048781</v>
      </c>
      <c r="U26" s="144">
        <f t="shared" si="27"/>
        <v>41</v>
      </c>
      <c r="V26" s="142">
        <f t="shared" si="27"/>
        <v>387640</v>
      </c>
      <c r="W26" s="142">
        <f t="shared" si="7"/>
        <v>73930</v>
      </c>
      <c r="X26" s="145">
        <f t="shared" si="21"/>
        <v>461570</v>
      </c>
      <c r="Y26" s="142">
        <f t="shared" si="8"/>
        <v>11257.804878048781</v>
      </c>
      <c r="Z26" s="146"/>
      <c r="AA26" s="194">
        <v>60</v>
      </c>
      <c r="AB26" s="135">
        <v>33350</v>
      </c>
      <c r="AC26" s="136">
        <f t="shared" si="9"/>
        <v>555.83333333333337</v>
      </c>
      <c r="AD26" s="135">
        <v>11390</v>
      </c>
      <c r="AE26" s="137">
        <f t="shared" si="10"/>
        <v>189.83333333333334</v>
      </c>
      <c r="AF26" s="148">
        <f t="shared" si="22"/>
        <v>44740</v>
      </c>
      <c r="AG26" s="139">
        <f t="shared" si="11"/>
        <v>745.66666666666663</v>
      </c>
      <c r="AH26" s="154">
        <f t="shared" si="12"/>
        <v>41</v>
      </c>
      <c r="AI26" s="150">
        <f t="shared" si="13"/>
        <v>420990</v>
      </c>
      <c r="AJ26" s="150">
        <f t="shared" si="14"/>
        <v>85320</v>
      </c>
      <c r="AK26" s="149">
        <f>X26+AF26</f>
        <v>506310</v>
      </c>
      <c r="AL26" s="142">
        <f t="shared" si="15"/>
        <v>92620</v>
      </c>
      <c r="AM26" s="142"/>
      <c r="AN26" s="150">
        <v>41</v>
      </c>
      <c r="AO26" s="150">
        <v>387640</v>
      </c>
      <c r="AP26" s="150">
        <v>73930</v>
      </c>
      <c r="AQ26" s="151">
        <v>46200</v>
      </c>
      <c r="AR26" s="151">
        <v>46420</v>
      </c>
      <c r="AS26" s="151"/>
      <c r="AT26" s="151"/>
      <c r="AU26" s="152">
        <f t="shared" si="24"/>
        <v>554190</v>
      </c>
      <c r="AV26" s="119">
        <v>22</v>
      </c>
      <c r="AW26" s="120">
        <f t="shared" si="25"/>
        <v>554190</v>
      </c>
      <c r="AX26" s="179">
        <f t="shared" si="16"/>
        <v>598930</v>
      </c>
    </row>
    <row r="27" spans="1:50" ht="15.75" customHeight="1">
      <c r="A27" s="119"/>
      <c r="B27" s="197">
        <f t="shared" si="17"/>
        <v>45923</v>
      </c>
      <c r="C27" s="178" t="s">
        <v>56</v>
      </c>
      <c r="D27" s="132">
        <v>100</v>
      </c>
      <c r="E27" s="133"/>
      <c r="F27" s="134">
        <v>30</v>
      </c>
      <c r="G27" s="135">
        <v>114510</v>
      </c>
      <c r="H27" s="136">
        <f t="shared" si="0"/>
        <v>3470</v>
      </c>
      <c r="I27" s="135">
        <v>21710</v>
      </c>
      <c r="J27" s="136">
        <f t="shared" si="1"/>
        <v>657.86666666666667</v>
      </c>
      <c r="K27" s="138">
        <f t="shared" si="26"/>
        <v>136220</v>
      </c>
      <c r="L27" s="139">
        <f t="shared" si="2"/>
        <v>4540.666666666667</v>
      </c>
      <c r="M27" s="140"/>
      <c r="N27" s="141">
        <f t="shared" si="28"/>
        <v>37</v>
      </c>
      <c r="O27" s="142">
        <f t="shared" si="28"/>
        <v>333410</v>
      </c>
      <c r="P27" s="136">
        <f t="shared" si="3"/>
        <v>8191.8918918918916</v>
      </c>
      <c r="Q27" s="142">
        <f t="shared" si="19"/>
        <v>70950</v>
      </c>
      <c r="R27" s="137">
        <f t="shared" si="4"/>
        <v>1743.2432432432433</v>
      </c>
      <c r="S27" s="143">
        <f t="shared" si="20"/>
        <v>404360</v>
      </c>
      <c r="T27" s="139">
        <f t="shared" si="5"/>
        <v>10928.648648648648</v>
      </c>
      <c r="U27" s="144">
        <f t="shared" si="27"/>
        <v>67</v>
      </c>
      <c r="V27" s="142">
        <f t="shared" si="27"/>
        <v>447920</v>
      </c>
      <c r="W27" s="142">
        <f t="shared" si="7"/>
        <v>92660</v>
      </c>
      <c r="X27" s="145">
        <f t="shared" si="21"/>
        <v>540580</v>
      </c>
      <c r="Y27" s="142">
        <f t="shared" si="8"/>
        <v>8068.3582089552237</v>
      </c>
      <c r="Z27" s="146"/>
      <c r="AA27" s="194">
        <v>172</v>
      </c>
      <c r="AB27" s="135">
        <v>123100</v>
      </c>
      <c r="AC27" s="136">
        <f t="shared" si="9"/>
        <v>715.69767441860461</v>
      </c>
      <c r="AD27" s="135">
        <v>41860</v>
      </c>
      <c r="AE27" s="137">
        <f t="shared" si="10"/>
        <v>243.37209302325581</v>
      </c>
      <c r="AF27" s="148">
        <f t="shared" si="22"/>
        <v>164960</v>
      </c>
      <c r="AG27" s="139">
        <f t="shared" si="11"/>
        <v>959.06976744186045</v>
      </c>
      <c r="AH27" s="154">
        <f t="shared" si="12"/>
        <v>67</v>
      </c>
      <c r="AI27" s="150">
        <f t="shared" si="13"/>
        <v>571020</v>
      </c>
      <c r="AJ27" s="150">
        <f t="shared" si="14"/>
        <v>134520</v>
      </c>
      <c r="AK27" s="149">
        <f>X27+AF27</f>
        <v>705540</v>
      </c>
      <c r="AL27" s="142">
        <f t="shared" si="15"/>
        <v>50160</v>
      </c>
      <c r="AM27" s="142"/>
      <c r="AN27" s="150">
        <v>67</v>
      </c>
      <c r="AO27" s="150">
        <v>447920</v>
      </c>
      <c r="AP27" s="150">
        <v>92660</v>
      </c>
      <c r="AQ27" s="151">
        <v>48950</v>
      </c>
      <c r="AR27" s="151">
        <v>1210</v>
      </c>
      <c r="AS27" s="151"/>
      <c r="AT27" s="151"/>
      <c r="AU27" s="152">
        <f t="shared" si="24"/>
        <v>590740</v>
      </c>
      <c r="AV27" s="119">
        <v>23</v>
      </c>
      <c r="AW27" s="120">
        <f t="shared" si="25"/>
        <v>590740</v>
      </c>
      <c r="AX27" s="179">
        <f t="shared" si="16"/>
        <v>755700</v>
      </c>
    </row>
    <row r="28" spans="1:50" ht="15.75" customHeight="1">
      <c r="A28" s="119"/>
      <c r="B28" s="198">
        <f t="shared" si="17"/>
        <v>45924</v>
      </c>
      <c r="C28" s="178" t="s">
        <v>56</v>
      </c>
      <c r="D28" s="132">
        <v>95</v>
      </c>
      <c r="E28" s="133"/>
      <c r="F28" s="134"/>
      <c r="G28" s="135"/>
      <c r="H28" s="136" t="e">
        <f t="shared" si="0"/>
        <v>#DIV/0!</v>
      </c>
      <c r="I28" s="135"/>
      <c r="J28" s="136" t="e">
        <f t="shared" si="1"/>
        <v>#DIV/0!</v>
      </c>
      <c r="K28" s="138">
        <f t="shared" si="26"/>
        <v>0</v>
      </c>
      <c r="L28" s="139" t="str">
        <f t="shared" si="2"/>
        <v/>
      </c>
      <c r="M28" s="140"/>
      <c r="N28" s="141">
        <f t="shared" si="28"/>
        <v>33</v>
      </c>
      <c r="O28" s="142">
        <f t="shared" si="28"/>
        <v>302390</v>
      </c>
      <c r="P28" s="136">
        <f t="shared" si="3"/>
        <v>8330.30303030303</v>
      </c>
      <c r="Q28" s="142">
        <f t="shared" si="19"/>
        <v>70290</v>
      </c>
      <c r="R28" s="137">
        <f t="shared" si="4"/>
        <v>1936.3636363636363</v>
      </c>
      <c r="S28" s="143">
        <f t="shared" si="20"/>
        <v>372680</v>
      </c>
      <c r="T28" s="139">
        <f t="shared" si="5"/>
        <v>11293.333333333334</v>
      </c>
      <c r="U28" s="144">
        <f t="shared" si="27"/>
        <v>33</v>
      </c>
      <c r="V28" s="142">
        <f t="shared" si="27"/>
        <v>302390</v>
      </c>
      <c r="W28" s="142">
        <f t="shared" si="7"/>
        <v>70290</v>
      </c>
      <c r="X28" s="145">
        <f t="shared" si="21"/>
        <v>372680</v>
      </c>
      <c r="Y28" s="142">
        <f t="shared" si="8"/>
        <v>11293.333333333334</v>
      </c>
      <c r="Z28" s="146"/>
      <c r="AA28" s="194">
        <v>67</v>
      </c>
      <c r="AB28" s="135">
        <v>41150</v>
      </c>
      <c r="AC28" s="136">
        <f t="shared" si="9"/>
        <v>614.17910447761199</v>
      </c>
      <c r="AD28" s="135">
        <v>19220</v>
      </c>
      <c r="AE28" s="137">
        <f t="shared" si="10"/>
        <v>286.86567164179104</v>
      </c>
      <c r="AF28" s="148">
        <f t="shared" si="22"/>
        <v>60370</v>
      </c>
      <c r="AG28" s="139">
        <f t="shared" si="11"/>
        <v>901.04477611940297</v>
      </c>
      <c r="AH28" s="154">
        <f t="shared" si="12"/>
        <v>33</v>
      </c>
      <c r="AI28" s="150">
        <f t="shared" si="13"/>
        <v>343540</v>
      </c>
      <c r="AJ28" s="150">
        <f t="shared" si="14"/>
        <v>89510</v>
      </c>
      <c r="AK28" s="149">
        <f t="shared" si="23"/>
        <v>433050</v>
      </c>
      <c r="AL28" s="142">
        <f t="shared" si="15"/>
        <v>38650</v>
      </c>
      <c r="AM28" s="142"/>
      <c r="AN28" s="150">
        <v>33</v>
      </c>
      <c r="AO28" s="150">
        <v>302390</v>
      </c>
      <c r="AP28" s="150">
        <v>70290</v>
      </c>
      <c r="AQ28" s="151">
        <v>37000</v>
      </c>
      <c r="AR28" s="151">
        <v>1650</v>
      </c>
      <c r="AS28" s="151"/>
      <c r="AT28" s="151">
        <v>19800</v>
      </c>
      <c r="AU28" s="152">
        <f>SUM(AO28:AS28)</f>
        <v>411330</v>
      </c>
      <c r="AV28" s="119">
        <v>24</v>
      </c>
      <c r="AW28" s="120">
        <f t="shared" si="25"/>
        <v>431130</v>
      </c>
      <c r="AX28" s="179">
        <f t="shared" si="16"/>
        <v>491500</v>
      </c>
    </row>
    <row r="29" spans="1:50" ht="15.75" customHeight="1">
      <c r="A29" s="119"/>
      <c r="B29" s="198">
        <f t="shared" si="17"/>
        <v>45925</v>
      </c>
      <c r="C29" s="178" t="s">
        <v>79</v>
      </c>
      <c r="D29" s="132">
        <v>96</v>
      </c>
      <c r="E29" s="133"/>
      <c r="F29" s="134"/>
      <c r="G29" s="135"/>
      <c r="H29" s="136" t="e">
        <f t="shared" si="0"/>
        <v>#DIV/0!</v>
      </c>
      <c r="I29" s="135"/>
      <c r="J29" s="136" t="e">
        <f t="shared" si="1"/>
        <v>#DIV/0!</v>
      </c>
      <c r="K29" s="138">
        <f t="shared" si="26"/>
        <v>0</v>
      </c>
      <c r="L29" s="139" t="str">
        <f t="shared" si="2"/>
        <v/>
      </c>
      <c r="M29" s="140"/>
      <c r="N29" s="141">
        <f t="shared" si="28"/>
        <v>33</v>
      </c>
      <c r="O29" s="142">
        <f t="shared" si="28"/>
        <v>299640</v>
      </c>
      <c r="P29" s="136">
        <f t="shared" si="3"/>
        <v>8254.545454545454</v>
      </c>
      <c r="Q29" s="142">
        <f t="shared" si="19"/>
        <v>38920</v>
      </c>
      <c r="R29" s="137">
        <f t="shared" si="4"/>
        <v>1072.1515151515152</v>
      </c>
      <c r="S29" s="143">
        <f t="shared" si="20"/>
        <v>338560</v>
      </c>
      <c r="T29" s="139">
        <f t="shared" si="5"/>
        <v>10259.39393939394</v>
      </c>
      <c r="U29" s="144">
        <f t="shared" si="27"/>
        <v>33</v>
      </c>
      <c r="V29" s="142">
        <f t="shared" si="27"/>
        <v>299640</v>
      </c>
      <c r="W29" s="142">
        <f t="shared" si="7"/>
        <v>38920</v>
      </c>
      <c r="X29" s="145">
        <f t="shared" si="21"/>
        <v>338560</v>
      </c>
      <c r="Y29" s="142">
        <f t="shared" si="8"/>
        <v>10259.39393939394</v>
      </c>
      <c r="Z29" s="146"/>
      <c r="AA29" s="194">
        <v>20</v>
      </c>
      <c r="AB29" s="135">
        <v>10700</v>
      </c>
      <c r="AC29" s="136">
        <f t="shared" si="9"/>
        <v>535</v>
      </c>
      <c r="AD29" s="135">
        <v>4940</v>
      </c>
      <c r="AE29" s="137">
        <f t="shared" si="10"/>
        <v>247</v>
      </c>
      <c r="AF29" s="148">
        <f t="shared" si="22"/>
        <v>15640</v>
      </c>
      <c r="AG29" s="139">
        <f t="shared" si="11"/>
        <v>782</v>
      </c>
      <c r="AH29" s="154">
        <f t="shared" si="12"/>
        <v>33</v>
      </c>
      <c r="AI29" s="150">
        <f t="shared" si="13"/>
        <v>310340</v>
      </c>
      <c r="AJ29" s="150">
        <f t="shared" si="14"/>
        <v>43860</v>
      </c>
      <c r="AK29" s="149">
        <f t="shared" si="23"/>
        <v>354200</v>
      </c>
      <c r="AL29" s="142">
        <f t="shared" si="15"/>
        <v>46750</v>
      </c>
      <c r="AM29" s="142"/>
      <c r="AN29" s="150">
        <v>33</v>
      </c>
      <c r="AO29" s="150">
        <v>299640</v>
      </c>
      <c r="AP29" s="150">
        <v>38920</v>
      </c>
      <c r="AQ29" s="151">
        <v>45100</v>
      </c>
      <c r="AR29" s="151">
        <v>1650</v>
      </c>
      <c r="AS29" s="151"/>
      <c r="AT29" s="151"/>
      <c r="AU29" s="152">
        <f t="shared" si="24"/>
        <v>385310</v>
      </c>
      <c r="AV29" s="119">
        <v>25</v>
      </c>
      <c r="AW29" s="120">
        <f t="shared" si="25"/>
        <v>385310</v>
      </c>
      <c r="AX29" s="179">
        <f t="shared" si="16"/>
        <v>400950</v>
      </c>
    </row>
    <row r="30" spans="1:50" ht="15.75" customHeight="1">
      <c r="A30" s="119"/>
      <c r="B30" s="198">
        <f t="shared" si="17"/>
        <v>45926</v>
      </c>
      <c r="C30" s="178" t="s">
        <v>56</v>
      </c>
      <c r="D30" s="132">
        <v>98</v>
      </c>
      <c r="E30" s="133"/>
      <c r="F30" s="134"/>
      <c r="G30" s="135"/>
      <c r="H30" s="136" t="e">
        <f t="shared" si="0"/>
        <v>#DIV/0!</v>
      </c>
      <c r="I30" s="135"/>
      <c r="J30" s="136" t="e">
        <f>ROUNDDOWN(I30/1.1,0)/F30</f>
        <v>#DIV/0!</v>
      </c>
      <c r="K30" s="138">
        <f t="shared" si="26"/>
        <v>0</v>
      </c>
      <c r="L30" s="139" t="str">
        <f t="shared" si="2"/>
        <v/>
      </c>
      <c r="M30" s="140"/>
      <c r="N30" s="141">
        <f t="shared" si="28"/>
        <v>32</v>
      </c>
      <c r="O30" s="142">
        <f t="shared" si="28"/>
        <v>323730</v>
      </c>
      <c r="P30" s="136">
        <f t="shared" si="3"/>
        <v>9196.875</v>
      </c>
      <c r="Q30" s="142">
        <f t="shared" si="19"/>
        <v>62660</v>
      </c>
      <c r="R30" s="136">
        <f t="shared" si="4"/>
        <v>1780.09375</v>
      </c>
      <c r="S30" s="143">
        <f t="shared" si="20"/>
        <v>386390</v>
      </c>
      <c r="T30" s="139">
        <f t="shared" si="5"/>
        <v>12074.6875</v>
      </c>
      <c r="U30" s="144">
        <f t="shared" si="27"/>
        <v>32</v>
      </c>
      <c r="V30" s="142">
        <f t="shared" si="27"/>
        <v>323730</v>
      </c>
      <c r="W30" s="142">
        <f t="shared" si="7"/>
        <v>62660</v>
      </c>
      <c r="X30" s="145">
        <f t="shared" si="21"/>
        <v>386390</v>
      </c>
      <c r="Y30" s="142">
        <f t="shared" si="8"/>
        <v>12074.6875</v>
      </c>
      <c r="Z30" s="146"/>
      <c r="AA30" s="194">
        <v>77</v>
      </c>
      <c r="AB30" s="135">
        <v>52150</v>
      </c>
      <c r="AC30" s="136">
        <f t="shared" si="9"/>
        <v>677.27272727272725</v>
      </c>
      <c r="AD30" s="135">
        <v>18860</v>
      </c>
      <c r="AE30" s="137">
        <f t="shared" si="10"/>
        <v>244.93506493506493</v>
      </c>
      <c r="AF30" s="148">
        <f t="shared" si="22"/>
        <v>71010</v>
      </c>
      <c r="AG30" s="139">
        <f t="shared" si="11"/>
        <v>922.20779220779218</v>
      </c>
      <c r="AH30" s="154">
        <f t="shared" si="12"/>
        <v>32</v>
      </c>
      <c r="AI30" s="150">
        <f t="shared" si="13"/>
        <v>375880</v>
      </c>
      <c r="AJ30" s="150">
        <f t="shared" si="14"/>
        <v>81520</v>
      </c>
      <c r="AK30" s="149">
        <f t="shared" si="23"/>
        <v>457400</v>
      </c>
      <c r="AL30" s="142">
        <f t="shared" si="15"/>
        <v>37400</v>
      </c>
      <c r="AM30" s="142"/>
      <c r="AN30" s="150">
        <v>32</v>
      </c>
      <c r="AO30" s="150">
        <v>323730</v>
      </c>
      <c r="AP30" s="150">
        <v>62660</v>
      </c>
      <c r="AQ30" s="151">
        <v>35750</v>
      </c>
      <c r="AR30" s="151">
        <v>1650</v>
      </c>
      <c r="AS30" s="151"/>
      <c r="AT30" s="151"/>
      <c r="AU30" s="152">
        <f>SUM(AO30:AS30)</f>
        <v>423790</v>
      </c>
      <c r="AV30" s="119">
        <v>26</v>
      </c>
      <c r="AW30" s="120">
        <f t="shared" si="25"/>
        <v>423790</v>
      </c>
      <c r="AX30" s="179">
        <f t="shared" si="16"/>
        <v>494800</v>
      </c>
    </row>
    <row r="31" spans="1:50" ht="15.75" customHeight="1">
      <c r="A31" s="119"/>
      <c r="B31" s="195">
        <f t="shared" si="17"/>
        <v>45927</v>
      </c>
      <c r="C31" s="178"/>
      <c r="D31" s="132">
        <v>99</v>
      </c>
      <c r="E31" s="133"/>
      <c r="F31" s="134">
        <v>29</v>
      </c>
      <c r="G31" s="135">
        <v>98340</v>
      </c>
      <c r="H31" s="136">
        <f t="shared" si="0"/>
        <v>3082.7586206896553</v>
      </c>
      <c r="I31" s="135">
        <v>23160</v>
      </c>
      <c r="J31" s="136">
        <f>ROUNDDOWN(I31/1.1,0)/F31</f>
        <v>726</v>
      </c>
      <c r="K31" s="138">
        <f t="shared" si="26"/>
        <v>121500</v>
      </c>
      <c r="L31" s="139">
        <f t="shared" si="2"/>
        <v>4189.6551724137935</v>
      </c>
      <c r="M31" s="140"/>
      <c r="N31" s="141">
        <f t="shared" si="28"/>
        <v>38</v>
      </c>
      <c r="O31" s="142">
        <f t="shared" si="28"/>
        <v>326700</v>
      </c>
      <c r="P31" s="136">
        <f t="shared" si="3"/>
        <v>7815.7894736842109</v>
      </c>
      <c r="Q31" s="142">
        <f t="shared" si="19"/>
        <v>55520</v>
      </c>
      <c r="R31" s="136">
        <f t="shared" si="4"/>
        <v>1328.2105263157894</v>
      </c>
      <c r="S31" s="143">
        <f t="shared" si="20"/>
        <v>382220</v>
      </c>
      <c r="T31" s="139">
        <f t="shared" si="5"/>
        <v>10058.421052631578</v>
      </c>
      <c r="U31" s="144">
        <f t="shared" si="27"/>
        <v>67</v>
      </c>
      <c r="V31" s="142">
        <f t="shared" si="27"/>
        <v>425040</v>
      </c>
      <c r="W31" s="142">
        <f t="shared" si="7"/>
        <v>78680</v>
      </c>
      <c r="X31" s="145">
        <f t="shared" si="21"/>
        <v>503720</v>
      </c>
      <c r="Y31" s="142">
        <f t="shared" si="8"/>
        <v>7518.2089552238804</v>
      </c>
      <c r="Z31" s="146"/>
      <c r="AA31" s="194">
        <v>144</v>
      </c>
      <c r="AB31" s="135">
        <v>107250</v>
      </c>
      <c r="AC31" s="136">
        <f t="shared" si="9"/>
        <v>744.79166666666663</v>
      </c>
      <c r="AD31" s="135">
        <v>32310</v>
      </c>
      <c r="AE31" s="137">
        <f t="shared" si="10"/>
        <v>224.375</v>
      </c>
      <c r="AF31" s="148">
        <f t="shared" si="22"/>
        <v>139560</v>
      </c>
      <c r="AG31" s="139">
        <f t="shared" si="11"/>
        <v>969.16666666666663</v>
      </c>
      <c r="AH31" s="154">
        <f t="shared" si="12"/>
        <v>67</v>
      </c>
      <c r="AI31" s="150">
        <f t="shared" si="13"/>
        <v>532290</v>
      </c>
      <c r="AJ31" s="150">
        <f t="shared" si="14"/>
        <v>110990</v>
      </c>
      <c r="AK31" s="149">
        <f t="shared" si="23"/>
        <v>643280</v>
      </c>
      <c r="AL31" s="142">
        <f t="shared" si="15"/>
        <v>55000</v>
      </c>
      <c r="AM31" s="142"/>
      <c r="AN31" s="150">
        <v>67</v>
      </c>
      <c r="AO31" s="150">
        <v>425040</v>
      </c>
      <c r="AP31" s="150">
        <v>78680</v>
      </c>
      <c r="AQ31" s="151">
        <v>55000</v>
      </c>
      <c r="AR31" s="151"/>
      <c r="AS31" s="151"/>
      <c r="AT31" s="151"/>
      <c r="AU31" s="152">
        <f t="shared" si="24"/>
        <v>558720</v>
      </c>
      <c r="AV31" s="119">
        <v>27</v>
      </c>
      <c r="AW31" s="120">
        <f t="shared" si="25"/>
        <v>558720</v>
      </c>
      <c r="AX31" s="179">
        <f t="shared" si="16"/>
        <v>698280</v>
      </c>
    </row>
    <row r="32" spans="1:50" ht="15.75" customHeight="1">
      <c r="A32" s="119"/>
      <c r="B32" s="197">
        <f t="shared" si="17"/>
        <v>45928</v>
      </c>
      <c r="C32" s="178"/>
      <c r="D32" s="132">
        <v>95</v>
      </c>
      <c r="E32" s="133"/>
      <c r="F32" s="134">
        <v>40</v>
      </c>
      <c r="G32" s="135">
        <v>138254</v>
      </c>
      <c r="H32" s="136">
        <f t="shared" si="0"/>
        <v>3142.125</v>
      </c>
      <c r="I32" s="135">
        <v>30690</v>
      </c>
      <c r="J32" s="136">
        <f>ROUNDDOWN(I32/1.1,0)/F32</f>
        <v>697.5</v>
      </c>
      <c r="K32" s="138">
        <f t="shared" si="26"/>
        <v>168944</v>
      </c>
      <c r="L32" s="139">
        <f t="shared" si="2"/>
        <v>4223.6000000000004</v>
      </c>
      <c r="M32" s="140"/>
      <c r="N32" s="141">
        <f t="shared" si="28"/>
        <v>36</v>
      </c>
      <c r="O32" s="142">
        <f t="shared" si="28"/>
        <v>300080</v>
      </c>
      <c r="P32" s="136">
        <f>ROUNDDOWN(O32/1.1,0)/N32</f>
        <v>7577.7777777777774</v>
      </c>
      <c r="Q32" s="142">
        <f>AP32-I32</f>
        <v>66880</v>
      </c>
      <c r="R32" s="136">
        <f>ROUNDDOWN(Q32/1.1,0)/N32</f>
        <v>1688.8888888888889</v>
      </c>
      <c r="S32" s="143">
        <f>O32+Q32</f>
        <v>366960</v>
      </c>
      <c r="T32" s="139">
        <f>IF(N32="","",S32/N32)</f>
        <v>10193.333333333334</v>
      </c>
      <c r="U32" s="144">
        <f t="shared" si="27"/>
        <v>76</v>
      </c>
      <c r="V32" s="142">
        <f>G32+O32</f>
        <v>438334</v>
      </c>
      <c r="W32" s="142">
        <f>I32+Q32</f>
        <v>97570</v>
      </c>
      <c r="X32" s="145">
        <f>K32+S32</f>
        <v>535904</v>
      </c>
      <c r="Y32" s="142">
        <f>IF(U32="","",X32/U32)</f>
        <v>7051.3684210526317</v>
      </c>
      <c r="Z32" s="146"/>
      <c r="AA32" s="194">
        <v>133</v>
      </c>
      <c r="AB32" s="135">
        <v>93100</v>
      </c>
      <c r="AC32" s="136">
        <f>AB32/AA32</f>
        <v>700</v>
      </c>
      <c r="AD32" s="135">
        <v>26740</v>
      </c>
      <c r="AE32" s="137">
        <f>AD32/AA32</f>
        <v>201.05263157894737</v>
      </c>
      <c r="AF32" s="148">
        <f>AB32+AD32</f>
        <v>119840</v>
      </c>
      <c r="AG32" s="139">
        <f>IF(AA32="","",AF32/AA32)</f>
        <v>901.0526315789474</v>
      </c>
      <c r="AH32" s="154">
        <f>SUM(F32,N32)</f>
        <v>76</v>
      </c>
      <c r="AI32" s="150">
        <f>V32+AB32</f>
        <v>531434</v>
      </c>
      <c r="AJ32" s="150">
        <f>W32+AD32</f>
        <v>124310</v>
      </c>
      <c r="AK32" s="149">
        <f>X32+AF32</f>
        <v>655744</v>
      </c>
      <c r="AL32" s="142">
        <f>AQ32+AR32+AS32</f>
        <v>55110</v>
      </c>
      <c r="AM32" s="142"/>
      <c r="AN32" s="150">
        <v>76</v>
      </c>
      <c r="AO32" s="150">
        <v>438334</v>
      </c>
      <c r="AP32" s="150">
        <v>97570</v>
      </c>
      <c r="AQ32" s="151">
        <v>53900</v>
      </c>
      <c r="AR32" s="151">
        <v>1210</v>
      </c>
      <c r="AS32" s="151"/>
      <c r="AT32" s="151"/>
      <c r="AU32" s="152">
        <f>SUM(AO32:AS32)</f>
        <v>591014</v>
      </c>
      <c r="AV32" s="119">
        <v>26</v>
      </c>
      <c r="AW32" s="120">
        <f>AT32+AU32</f>
        <v>591014</v>
      </c>
      <c r="AX32" s="179">
        <f t="shared" si="16"/>
        <v>710854</v>
      </c>
    </row>
    <row r="33" spans="1:50" ht="15.75" customHeight="1">
      <c r="A33" s="119"/>
      <c r="B33" s="198">
        <f t="shared" si="17"/>
        <v>45929</v>
      </c>
      <c r="C33" s="178" t="s">
        <v>56</v>
      </c>
      <c r="D33" s="132">
        <v>92</v>
      </c>
      <c r="E33" s="133"/>
      <c r="F33" s="134"/>
      <c r="G33" s="135"/>
      <c r="H33" s="136" t="e">
        <f t="shared" si="0"/>
        <v>#DIV/0!</v>
      </c>
      <c r="I33" s="135"/>
      <c r="J33" s="136" t="e">
        <f>ROUNDDOWN(I33/1.1,0)/F33</f>
        <v>#DIV/0!</v>
      </c>
      <c r="K33" s="138">
        <f t="shared" si="26"/>
        <v>0</v>
      </c>
      <c r="L33" s="139" t="str">
        <f t="shared" si="2"/>
        <v/>
      </c>
      <c r="M33" s="140"/>
      <c r="N33" s="141">
        <f t="shared" si="28"/>
        <v>43</v>
      </c>
      <c r="O33" s="142">
        <f t="shared" si="28"/>
        <v>378400</v>
      </c>
      <c r="P33" s="136">
        <f>ROUNDDOWN(O33/1.1,0)/N33</f>
        <v>8000</v>
      </c>
      <c r="Q33" s="142">
        <f>AP33-I33</f>
        <v>137600</v>
      </c>
      <c r="R33" s="136">
        <f>ROUNDDOWN(Q33/1.1,0)/N33</f>
        <v>2909.0697674418607</v>
      </c>
      <c r="S33" s="143">
        <f>O33+Q33</f>
        <v>516000</v>
      </c>
      <c r="T33" s="139">
        <f>IF(N33="","",S33/N33)</f>
        <v>12000</v>
      </c>
      <c r="U33" s="144">
        <f t="shared" si="27"/>
        <v>43</v>
      </c>
      <c r="V33" s="142">
        <f>G33+O33</f>
        <v>378400</v>
      </c>
      <c r="W33" s="142">
        <f>I33+Q33</f>
        <v>137600</v>
      </c>
      <c r="X33" s="145">
        <f>K33+S33</f>
        <v>516000</v>
      </c>
      <c r="Y33" s="142">
        <f>IF(U33="","",X33/U33)</f>
        <v>12000</v>
      </c>
      <c r="Z33" s="146"/>
      <c r="AA33" s="194">
        <v>72</v>
      </c>
      <c r="AB33" s="135">
        <v>38850</v>
      </c>
      <c r="AC33" s="136">
        <f>AB33/AA33</f>
        <v>539.58333333333337</v>
      </c>
      <c r="AD33" s="135">
        <v>14500</v>
      </c>
      <c r="AE33" s="137">
        <f>AD33/AA33</f>
        <v>201.38888888888889</v>
      </c>
      <c r="AF33" s="148">
        <f>AB33+AD33</f>
        <v>53350</v>
      </c>
      <c r="AG33" s="139">
        <f>IF(AA33="","",AF33/AA33)</f>
        <v>740.97222222222217</v>
      </c>
      <c r="AH33" s="154">
        <f>SUM(F33,N33)</f>
        <v>43</v>
      </c>
      <c r="AI33" s="150">
        <f>V33+AB33</f>
        <v>417250</v>
      </c>
      <c r="AJ33" s="150">
        <f>W33+AD33</f>
        <v>152100</v>
      </c>
      <c r="AK33" s="149">
        <f>X33+AF33</f>
        <v>569350</v>
      </c>
      <c r="AL33" s="142">
        <f>AQ33+AR33+AS33</f>
        <v>75000</v>
      </c>
      <c r="AM33" s="142"/>
      <c r="AN33" s="150">
        <v>43</v>
      </c>
      <c r="AO33" s="150">
        <v>378400</v>
      </c>
      <c r="AP33" s="150">
        <v>137600</v>
      </c>
      <c r="AQ33" s="151">
        <v>0</v>
      </c>
      <c r="AR33" s="151">
        <v>75000</v>
      </c>
      <c r="AS33" s="151"/>
      <c r="AT33" s="151"/>
      <c r="AU33" s="152">
        <f>SUM(AO33:AS33)</f>
        <v>591000</v>
      </c>
      <c r="AV33" s="119">
        <v>27</v>
      </c>
      <c r="AW33" s="120">
        <f>AT33+AU33</f>
        <v>591000</v>
      </c>
      <c r="AX33" s="179">
        <f t="shared" si="16"/>
        <v>644350</v>
      </c>
    </row>
    <row r="34" spans="1:50" ht="15.75" customHeight="1" thickBot="1">
      <c r="A34" s="119"/>
      <c r="B34" s="153">
        <f t="shared" si="17"/>
        <v>45930</v>
      </c>
      <c r="C34" s="178" t="s">
        <v>56</v>
      </c>
      <c r="D34" s="132">
        <v>91</v>
      </c>
      <c r="E34" s="133"/>
      <c r="F34" s="134"/>
      <c r="G34" s="135"/>
      <c r="H34" s="136" t="e">
        <f t="shared" si="0"/>
        <v>#DIV/0!</v>
      </c>
      <c r="I34" s="135"/>
      <c r="J34" s="136" t="e">
        <f>ROUNDDOWN(I34/1.1,0)/F34</f>
        <v>#DIV/0!</v>
      </c>
      <c r="K34" s="138">
        <f t="shared" si="26"/>
        <v>0</v>
      </c>
      <c r="L34" s="139" t="str">
        <f t="shared" si="2"/>
        <v/>
      </c>
      <c r="M34" s="140"/>
      <c r="N34" s="141">
        <f t="shared" si="28"/>
        <v>33</v>
      </c>
      <c r="O34" s="142">
        <f t="shared" si="28"/>
        <v>313940</v>
      </c>
      <c r="P34" s="136">
        <f>ROUNDDOWN(O34/1.1,0)/N34</f>
        <v>8648.484848484848</v>
      </c>
      <c r="Q34" s="142">
        <f>AP34-I34</f>
        <v>48600</v>
      </c>
      <c r="R34" s="136">
        <f>ROUNDDOWN(Q34/1.1,0)/N34</f>
        <v>1338.8181818181818</v>
      </c>
      <c r="S34" s="143">
        <f>O34+Q34</f>
        <v>362540</v>
      </c>
      <c r="T34" s="139">
        <f>IF(N34="","",S34/N34)</f>
        <v>10986.060606060606</v>
      </c>
      <c r="U34" s="144">
        <f t="shared" si="27"/>
        <v>33</v>
      </c>
      <c r="V34" s="142">
        <f>G34+O34</f>
        <v>313940</v>
      </c>
      <c r="W34" s="142">
        <f>I34+Q34</f>
        <v>48600</v>
      </c>
      <c r="X34" s="145">
        <f>K34+S34</f>
        <v>362540</v>
      </c>
      <c r="Y34" s="142">
        <f>IF(U34="","",X34/U34)</f>
        <v>10986.060606060606</v>
      </c>
      <c r="Z34" s="146"/>
      <c r="AA34" s="147">
        <v>63</v>
      </c>
      <c r="AB34" s="135">
        <v>41100</v>
      </c>
      <c r="AC34" s="136">
        <f>AB34/AA34</f>
        <v>652.38095238095241</v>
      </c>
      <c r="AD34" s="135">
        <v>23490</v>
      </c>
      <c r="AE34" s="137">
        <f>AD34/AA34</f>
        <v>372.85714285714283</v>
      </c>
      <c r="AF34" s="148">
        <f>AB34+AD34</f>
        <v>64590</v>
      </c>
      <c r="AG34" s="139">
        <f>IF(AA34="","",AF34/AA34)</f>
        <v>1025.2380952380952</v>
      </c>
      <c r="AH34" s="154">
        <f>SUM(F34,N34)</f>
        <v>33</v>
      </c>
      <c r="AI34" s="150">
        <f>V34+AB34</f>
        <v>355040</v>
      </c>
      <c r="AJ34" s="150">
        <f>W34+AD34</f>
        <v>72090</v>
      </c>
      <c r="AK34" s="149">
        <f>X34+AF34</f>
        <v>427130</v>
      </c>
      <c r="AL34" s="142">
        <f>AQ34+AR34+AS34</f>
        <v>44000</v>
      </c>
      <c r="AM34" s="142"/>
      <c r="AN34" s="150">
        <v>33</v>
      </c>
      <c r="AO34" s="150">
        <v>313940</v>
      </c>
      <c r="AP34" s="150">
        <v>48600</v>
      </c>
      <c r="AQ34" s="151">
        <v>44000</v>
      </c>
      <c r="AR34" s="151"/>
      <c r="AS34" s="151"/>
      <c r="AT34" s="151"/>
      <c r="AU34" s="152">
        <f>SUM(AO34:AS34)</f>
        <v>406540</v>
      </c>
      <c r="AV34" s="119">
        <v>27</v>
      </c>
      <c r="AW34" s="120">
        <f>AT34+AU34</f>
        <v>406540</v>
      </c>
      <c r="AX34" s="179">
        <f t="shared" si="16"/>
        <v>471130</v>
      </c>
    </row>
    <row r="35" spans="1:50" ht="15.75" customHeight="1" thickTop="1" thickBot="1">
      <c r="A35" s="34"/>
      <c r="B35" s="35" t="s">
        <v>25</v>
      </c>
      <c r="C35" s="159">
        <f>SUM(C5:C34)</f>
        <v>0</v>
      </c>
      <c r="D35" s="160"/>
      <c r="E35" s="37">
        <f>SUM(E5:E34)</f>
        <v>0</v>
      </c>
      <c r="F35" s="38">
        <f>SUM(F5:F34)</f>
        <v>235</v>
      </c>
      <c r="G35" s="39">
        <f>SUM(G5:G34)</f>
        <v>873054</v>
      </c>
      <c r="H35" s="40">
        <f>G35/F35</f>
        <v>3715.1234042553192</v>
      </c>
      <c r="I35" s="36">
        <f>SUM(I5:I34)</f>
        <v>230330</v>
      </c>
      <c r="J35" s="41">
        <f>I35/F35</f>
        <v>980.12765957446811</v>
      </c>
      <c r="K35" s="42">
        <f>SUM(K5:K34)</f>
        <v>1103384</v>
      </c>
      <c r="L35" s="43">
        <f>K35/F35</f>
        <v>4695.2510638297872</v>
      </c>
      <c r="M35" s="44">
        <f>SUM(M5:M34)</f>
        <v>0</v>
      </c>
      <c r="N35" s="38">
        <f>SUM(N5:N34)</f>
        <v>1141</v>
      </c>
      <c r="O35" s="39">
        <f>SUM(O5:O34)</f>
        <v>10526120</v>
      </c>
      <c r="P35" s="40">
        <f>O35/N35</f>
        <v>9225.3461875547764</v>
      </c>
      <c r="Q35" s="45">
        <f>SUM(Q5:Q34)</f>
        <v>2035100</v>
      </c>
      <c r="R35" s="41">
        <f>Q35/N35</f>
        <v>1783.6108676599474</v>
      </c>
      <c r="S35" s="46">
        <f>SUM(S5:S34)</f>
        <v>12561220</v>
      </c>
      <c r="T35" s="47">
        <f>S35/N35</f>
        <v>11008.957055214723</v>
      </c>
      <c r="U35" s="38">
        <f>SUM(U5:U34)</f>
        <v>1376</v>
      </c>
      <c r="V35" s="48">
        <f>SUM(V5:V34)</f>
        <v>11399174</v>
      </c>
      <c r="W35" s="45">
        <f>SUM(W5:W34)</f>
        <v>2265430</v>
      </c>
      <c r="X35" s="49">
        <f>SUM(X5:X34)</f>
        <v>13664604</v>
      </c>
      <c r="Y35" s="50">
        <f>X35/U35</f>
        <v>9930.6715116279065</v>
      </c>
      <c r="Z35" s="37">
        <f>SUM(Z5:Z34)</f>
        <v>0</v>
      </c>
      <c r="AA35" s="38">
        <f>SUM(AA5:AA34)</f>
        <v>2415</v>
      </c>
      <c r="AB35" s="51">
        <f>SUM(AB5:AB34)</f>
        <v>1570750</v>
      </c>
      <c r="AC35" s="136">
        <f>AB35/AA35</f>
        <v>650.4140786749482</v>
      </c>
      <c r="AD35" s="36">
        <f>SUM(AD5:AD34)</f>
        <v>521070</v>
      </c>
      <c r="AE35" s="137">
        <f>AD35/AA35</f>
        <v>215.7639751552795</v>
      </c>
      <c r="AF35" s="52">
        <f>SUM(AF5:AF34)</f>
        <v>2091820</v>
      </c>
      <c r="AG35" s="53">
        <f>AF35/AA35</f>
        <v>866.17805383022778</v>
      </c>
      <c r="AH35" s="38">
        <f t="shared" ref="AH35:AU35" si="29">SUM(AH5:AH34)</f>
        <v>1376</v>
      </c>
      <c r="AI35" s="48">
        <f t="shared" si="29"/>
        <v>12969924</v>
      </c>
      <c r="AJ35" s="45">
        <f t="shared" si="29"/>
        <v>2786500</v>
      </c>
      <c r="AK35" s="46">
        <f t="shared" si="29"/>
        <v>15756424</v>
      </c>
      <c r="AL35" s="36">
        <f t="shared" si="29"/>
        <v>1582160</v>
      </c>
      <c r="AM35" s="174">
        <f t="shared" si="29"/>
        <v>0</v>
      </c>
      <c r="AN35" s="54">
        <f t="shared" si="29"/>
        <v>1376</v>
      </c>
      <c r="AO35" s="54">
        <f t="shared" si="29"/>
        <v>11399174</v>
      </c>
      <c r="AP35" s="54">
        <f t="shared" si="29"/>
        <v>2265430</v>
      </c>
      <c r="AQ35" s="54">
        <f t="shared" si="29"/>
        <v>1306700</v>
      </c>
      <c r="AR35" s="54">
        <f t="shared" si="29"/>
        <v>275460</v>
      </c>
      <c r="AS35" s="54">
        <f t="shared" si="29"/>
        <v>0</v>
      </c>
      <c r="AT35" s="54">
        <f t="shared" si="29"/>
        <v>139300</v>
      </c>
      <c r="AU35" s="54">
        <f t="shared" si="29"/>
        <v>15246764</v>
      </c>
      <c r="AV35" s="34"/>
      <c r="AW35" s="55">
        <f>SUM(AW5:AW34)</f>
        <v>15386064</v>
      </c>
      <c r="AX35" s="55">
        <f>SUM(AX5:AX34)</f>
        <v>17477884</v>
      </c>
    </row>
    <row r="36" spans="1:50" ht="15.75" customHeight="1" thickTop="1">
      <c r="A36" s="34"/>
      <c r="B36" s="56"/>
      <c r="C36" s="161"/>
      <c r="D36" s="88"/>
      <c r="E36" s="34"/>
      <c r="F36" s="57" t="s">
        <v>34</v>
      </c>
      <c r="G36" s="58">
        <f>G35/1.1</f>
        <v>793685.45454545447</v>
      </c>
      <c r="H36" s="59">
        <f>G36/F35</f>
        <v>3377.3849129593809</v>
      </c>
      <c r="I36" s="32">
        <f>I35/1.1</f>
        <v>209390.90909090909</v>
      </c>
      <c r="J36" s="59">
        <f>I36/F35</f>
        <v>891.0251450676983</v>
      </c>
      <c r="K36" s="54">
        <f>K35/1.1</f>
        <v>1003076.3636363635</v>
      </c>
      <c r="L36" s="60">
        <f>H36+J36</f>
        <v>4268.4100580270788</v>
      </c>
      <c r="M36" s="61"/>
      <c r="N36" s="57" t="s">
        <v>34</v>
      </c>
      <c r="O36" s="58">
        <f>O35/1.1</f>
        <v>9569200</v>
      </c>
      <c r="P36" s="59">
        <f>O36/N35</f>
        <v>8386.678352322524</v>
      </c>
      <c r="Q36" s="58">
        <f>Q35/1.1</f>
        <v>1850090.9090909089</v>
      </c>
      <c r="R36" s="59">
        <f>Q36/N35</f>
        <v>1621.4644251454067</v>
      </c>
      <c r="S36" s="59">
        <f>S35/1.1</f>
        <v>11419290.909090908</v>
      </c>
      <c r="T36" s="62">
        <f>S36/N35</f>
        <v>10008.142777467931</v>
      </c>
      <c r="U36" s="57" t="s">
        <v>34</v>
      </c>
      <c r="V36" s="58">
        <f>V35/1.1</f>
        <v>10362885.454545453</v>
      </c>
      <c r="W36" s="58">
        <f>W35/1.1</f>
        <v>2059481.8181818181</v>
      </c>
      <c r="X36" s="63">
        <f>X35/1.1</f>
        <v>12422367.272727272</v>
      </c>
      <c r="Y36" s="50">
        <f>X36/U35</f>
        <v>9027.8831923890048</v>
      </c>
      <c r="Z36" s="61"/>
      <c r="AA36" s="57" t="s">
        <v>34</v>
      </c>
      <c r="AB36" s="58">
        <f>AB35/1.1</f>
        <v>1427954.5454545454</v>
      </c>
      <c r="AC36" s="32">
        <f>AB36/AA35</f>
        <v>591.2855260681348</v>
      </c>
      <c r="AD36" s="32">
        <f>AD35/1.1</f>
        <v>473699.99999999994</v>
      </c>
      <c r="AE36" s="32">
        <f>AD36/AA35</f>
        <v>196.14906832298135</v>
      </c>
      <c r="AF36" s="59">
        <f>AF35/1.1</f>
        <v>1901654.5454545454</v>
      </c>
      <c r="AG36" s="64">
        <f>AF36/AA35</f>
        <v>787.43459439111609</v>
      </c>
      <c r="AH36" s="57" t="s">
        <v>34</v>
      </c>
      <c r="AI36" s="65">
        <f>AI35/1.1</f>
        <v>11790839.999999998</v>
      </c>
      <c r="AJ36" s="58">
        <f>AJ35/1.1</f>
        <v>2533181.8181818179</v>
      </c>
      <c r="AK36" s="59">
        <f>AK35/1.1</f>
        <v>14324021.818181816</v>
      </c>
      <c r="AL36" s="175">
        <f>AL35/1.1</f>
        <v>1438327.2727272727</v>
      </c>
      <c r="AM36" s="176">
        <f>AM35/1.08</f>
        <v>0</v>
      </c>
      <c r="AN36" s="34"/>
      <c r="AO36" s="34"/>
      <c r="AP36" s="34"/>
      <c r="AQ36" s="34"/>
      <c r="AR36" s="66"/>
      <c r="AS36" s="34"/>
      <c r="AT36" s="34"/>
      <c r="AU36" s="66"/>
      <c r="AV36" s="34"/>
      <c r="AW36" s="66"/>
    </row>
    <row r="37" spans="1:50" ht="15.75" customHeight="1">
      <c r="A37" s="31"/>
      <c r="B37" s="67"/>
      <c r="C37" s="162"/>
      <c r="D37" s="89"/>
      <c r="E37" s="31"/>
      <c r="F37" s="68" t="s">
        <v>35</v>
      </c>
      <c r="G37" s="69">
        <f>F35/H37</f>
        <v>26.111111111111111</v>
      </c>
      <c r="H37" s="70">
        <v>9</v>
      </c>
      <c r="I37" s="71" t="s">
        <v>36</v>
      </c>
      <c r="J37" s="69"/>
      <c r="K37" s="72" t="s">
        <v>37</v>
      </c>
      <c r="L37" s="73">
        <f>K36/H37</f>
        <v>111452.92929292929</v>
      </c>
      <c r="M37" s="31"/>
      <c r="N37" s="68" t="s">
        <v>35</v>
      </c>
      <c r="O37" s="69">
        <f>N35/P37</f>
        <v>38.033333333333331</v>
      </c>
      <c r="P37" s="70">
        <v>30</v>
      </c>
      <c r="Q37" s="71" t="s">
        <v>36</v>
      </c>
      <c r="R37" s="69"/>
      <c r="S37" s="72" t="s">
        <v>37</v>
      </c>
      <c r="T37" s="74">
        <f>S36/P37</f>
        <v>380643.03030303027</v>
      </c>
      <c r="U37" s="31"/>
      <c r="V37" s="31"/>
      <c r="W37" s="31"/>
      <c r="X37" s="33"/>
      <c r="Y37" s="33"/>
      <c r="Z37" s="31"/>
      <c r="AA37" s="31"/>
      <c r="AB37" s="75">
        <f>P37</f>
        <v>30</v>
      </c>
      <c r="AC37" s="71" t="s">
        <v>36</v>
      </c>
      <c r="AD37" s="69"/>
      <c r="AE37" s="69"/>
      <c r="AF37" s="72" t="s">
        <v>37</v>
      </c>
      <c r="AG37" s="76">
        <f>AF36/AB37</f>
        <v>63388.484848484848</v>
      </c>
      <c r="AH37" s="31"/>
      <c r="AI37" s="31"/>
      <c r="AJ37" s="31" t="s">
        <v>50</v>
      </c>
      <c r="AK37" s="33"/>
      <c r="AL37" s="33">
        <f>AK36/AN37</f>
        <v>3778.4283350519167</v>
      </c>
      <c r="AM37" s="33"/>
      <c r="AN37" s="77">
        <f>AH35+AA35</f>
        <v>3791</v>
      </c>
      <c r="AO37" s="31" t="s">
        <v>51</v>
      </c>
      <c r="AP37" s="31"/>
      <c r="AQ37" s="31"/>
      <c r="AR37" s="33"/>
      <c r="AS37" s="31"/>
      <c r="AT37" s="31"/>
      <c r="AU37" s="33"/>
      <c r="AV37" s="31"/>
      <c r="AW37" s="33">
        <f>AW35/1.1</f>
        <v>13987330.909090908</v>
      </c>
    </row>
    <row r="38" spans="1:50" ht="15.75" customHeight="1">
      <c r="A38" s="31"/>
      <c r="B38" s="67"/>
      <c r="C38" s="162"/>
      <c r="D38" s="89"/>
      <c r="E38" s="78" t="s">
        <v>38</v>
      </c>
      <c r="F38" s="79"/>
      <c r="G38" s="69"/>
      <c r="H38" s="80"/>
      <c r="I38" s="69"/>
      <c r="J38" s="69"/>
      <c r="K38" s="72"/>
      <c r="L38" s="76"/>
      <c r="M38" s="81" t="s">
        <v>39</v>
      </c>
      <c r="N38" s="68"/>
      <c r="O38" s="69"/>
      <c r="P38" s="69"/>
      <c r="Q38" s="69"/>
      <c r="R38" s="69"/>
      <c r="S38" s="72"/>
      <c r="T38" s="76"/>
      <c r="U38" s="31"/>
      <c r="V38" s="31"/>
      <c r="W38" s="31"/>
      <c r="X38" s="33"/>
      <c r="Y38" s="33"/>
      <c r="Z38" s="81" t="s">
        <v>40</v>
      </c>
      <c r="AA38" s="31"/>
      <c r="AB38" s="69"/>
      <c r="AC38" s="69"/>
      <c r="AD38" s="69"/>
      <c r="AE38" s="69"/>
      <c r="AF38" s="69"/>
      <c r="AG38" s="76"/>
      <c r="AH38" s="31"/>
      <c r="AI38" s="31"/>
      <c r="AJ38" s="31" t="s">
        <v>52</v>
      </c>
      <c r="AL38" s="82">
        <f>AK36/AB37</f>
        <v>477467.39393939386</v>
      </c>
      <c r="AM38" s="82"/>
      <c r="AN38" s="31" t="s">
        <v>53</v>
      </c>
      <c r="AO38" s="31"/>
      <c r="AP38" s="31"/>
      <c r="AQ38" s="31"/>
      <c r="AR38" s="33"/>
      <c r="AS38" s="31"/>
      <c r="AT38" s="31"/>
      <c r="AU38" s="33"/>
      <c r="AV38" s="31"/>
      <c r="AW38" s="33"/>
    </row>
    <row r="39" spans="1:50" ht="21" customHeight="1">
      <c r="A39" s="31"/>
      <c r="B39" s="67"/>
      <c r="C39" s="163"/>
      <c r="D39" s="89"/>
      <c r="E39" s="83"/>
      <c r="F39" s="10"/>
      <c r="G39" s="10"/>
      <c r="H39" s="10"/>
      <c r="I39" s="10"/>
      <c r="J39" s="10"/>
      <c r="K39" s="10"/>
      <c r="L39" s="84"/>
      <c r="M39" s="83"/>
      <c r="N39" s="10"/>
      <c r="O39" s="10"/>
      <c r="P39" s="10"/>
      <c r="Q39" s="10"/>
      <c r="R39" s="10"/>
      <c r="S39" s="10"/>
      <c r="T39" s="84"/>
      <c r="U39" s="31"/>
      <c r="V39" s="31"/>
      <c r="W39" s="31"/>
      <c r="X39" s="33"/>
      <c r="Y39" s="31"/>
      <c r="Z39" s="83"/>
      <c r="AA39" s="10"/>
      <c r="AB39" s="10"/>
      <c r="AC39" s="10"/>
      <c r="AD39" s="10"/>
      <c r="AE39" s="10"/>
      <c r="AF39" s="10"/>
      <c r="AG39" s="84"/>
      <c r="AH39" s="31"/>
      <c r="AI39" s="31"/>
      <c r="AJ39" s="31" t="s">
        <v>54</v>
      </c>
      <c r="AK39" s="33">
        <f>AK35+AL35+AM35</f>
        <v>17338584</v>
      </c>
      <c r="AL39" s="82">
        <f>AK39/AB37</f>
        <v>577952.80000000005</v>
      </c>
      <c r="AM39" s="82"/>
      <c r="AN39" s="31" t="s">
        <v>41</v>
      </c>
      <c r="AO39" s="31"/>
      <c r="AP39" s="31"/>
      <c r="AQ39" s="31"/>
      <c r="AR39" s="31"/>
      <c r="AS39" s="31"/>
      <c r="AT39" s="31"/>
      <c r="AU39" s="33"/>
      <c r="AV39" s="31"/>
      <c r="AW39" s="33"/>
    </row>
    <row r="40" spans="1:50" ht="21" customHeight="1">
      <c r="A40" s="31"/>
      <c r="B40" s="67"/>
      <c r="C40" s="163"/>
      <c r="D40" s="89"/>
      <c r="E40" s="85"/>
      <c r="F40" s="86"/>
      <c r="G40" s="86"/>
      <c r="H40" s="86"/>
      <c r="I40" s="86"/>
      <c r="J40" s="86"/>
      <c r="K40" s="86"/>
      <c r="L40" s="87"/>
      <c r="M40" s="85"/>
      <c r="N40" s="86"/>
      <c r="O40" s="86"/>
      <c r="P40" s="86"/>
      <c r="Q40" s="86"/>
      <c r="R40" s="86"/>
      <c r="S40" s="86"/>
      <c r="T40" s="87"/>
      <c r="U40" s="31"/>
      <c r="V40" s="31"/>
      <c r="W40" s="31"/>
      <c r="X40" s="33"/>
      <c r="Y40" s="31"/>
      <c r="Z40" s="85"/>
      <c r="AA40" s="86"/>
      <c r="AB40" s="86"/>
      <c r="AC40" s="86"/>
      <c r="AD40" s="86"/>
      <c r="AE40" s="86"/>
      <c r="AF40" s="86"/>
      <c r="AG40" s="87"/>
      <c r="AH40" s="31"/>
      <c r="AI40" s="31"/>
      <c r="AJ40" s="31" t="s">
        <v>55</v>
      </c>
      <c r="AK40" s="66">
        <f>AK36+AL36+AM36</f>
        <v>15762349.09090909</v>
      </c>
      <c r="AL40" s="82">
        <f>AK40/AB37</f>
        <v>525411.63636363635</v>
      </c>
      <c r="AM40" s="82"/>
      <c r="AN40" s="31" t="s">
        <v>53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63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63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1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3">
        <f>AK36+AL36</f>
        <v>15762349.09090909</v>
      </c>
      <c r="AL42" s="89" t="s">
        <v>42</v>
      </c>
      <c r="AM42" s="89" t="s">
        <v>58</v>
      </c>
      <c r="AN42" s="89" t="s">
        <v>59</v>
      </c>
      <c r="AO42" s="31"/>
      <c r="AP42" s="31"/>
      <c r="AQ42" s="31"/>
      <c r="AR42" s="31"/>
      <c r="AS42" s="31"/>
      <c r="AT42" s="33"/>
      <c r="AU42" s="31"/>
      <c r="AV42" s="33"/>
    </row>
    <row r="43" spans="1:50" ht="21" customHeight="1">
      <c r="A43" s="31"/>
      <c r="B43" s="67"/>
      <c r="C43" s="163"/>
      <c r="D43" s="89"/>
      <c r="E43" s="90"/>
      <c r="F43" s="91"/>
      <c r="G43" s="91"/>
      <c r="H43" s="91"/>
      <c r="I43" s="91"/>
      <c r="J43" s="91"/>
      <c r="K43" s="91"/>
      <c r="L43" s="92"/>
      <c r="M43" s="90"/>
      <c r="N43" s="91"/>
      <c r="O43" s="91"/>
      <c r="P43" s="91"/>
      <c r="Q43" s="91"/>
      <c r="R43" s="91"/>
      <c r="S43" s="91"/>
      <c r="T43" s="92"/>
      <c r="U43" s="31"/>
      <c r="V43" s="31"/>
      <c r="W43" s="31"/>
      <c r="X43" s="31"/>
      <c r="Y43" s="31"/>
      <c r="Z43" s="90"/>
      <c r="AA43" s="91"/>
      <c r="AB43" s="91"/>
      <c r="AC43" s="91"/>
      <c r="AD43" s="91"/>
      <c r="AE43" s="91"/>
      <c r="AF43" s="91"/>
      <c r="AG43" s="92"/>
      <c r="AH43" s="31"/>
      <c r="AI43" s="34"/>
      <c r="AJ43" s="88" t="s">
        <v>43</v>
      </c>
      <c r="AK43" s="66">
        <f>K44+S44+AF44+AL43</f>
        <v>16258545</v>
      </c>
      <c r="AL43" s="164">
        <f>AM43+AN43</f>
        <v>1080490</v>
      </c>
      <c r="AM43" s="34">
        <v>930490</v>
      </c>
      <c r="AN43" s="34">
        <v>150000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62"/>
      <c r="D44" s="89"/>
      <c r="E44" s="31"/>
      <c r="F44" s="31"/>
      <c r="G44" s="31"/>
      <c r="H44" s="31"/>
      <c r="I44" s="93"/>
      <c r="J44" s="94" t="s">
        <v>44</v>
      </c>
      <c r="K44" s="165">
        <v>1260000</v>
      </c>
      <c r="L44" s="95" t="s">
        <v>45</v>
      </c>
      <c r="M44" s="34"/>
      <c r="N44" s="34"/>
      <c r="O44" s="34"/>
      <c r="P44" s="34"/>
      <c r="Q44" s="34"/>
      <c r="R44" s="94" t="s">
        <v>46</v>
      </c>
      <c r="S44" s="165">
        <v>11499055</v>
      </c>
      <c r="T44" s="95" t="s">
        <v>45</v>
      </c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93" t="s">
        <v>47</v>
      </c>
      <c r="AF44" s="165">
        <v>2419000</v>
      </c>
      <c r="AG44" s="95" t="s">
        <v>45</v>
      </c>
      <c r="AH44" s="34"/>
      <c r="AI44" s="34"/>
      <c r="AJ44" s="88" t="s">
        <v>48</v>
      </c>
      <c r="AK44" s="66">
        <f>AK43-AK36-AL36</f>
        <v>496195.90909091081</v>
      </c>
      <c r="AL44" s="66">
        <f>AL43-AL36</f>
        <v>-357837.27272727271</v>
      </c>
      <c r="AM44" s="105">
        <f>AL36/AL43</f>
        <v>1.3311805502385703</v>
      </c>
      <c r="AN44" s="31"/>
      <c r="AO44" s="31"/>
      <c r="AP44" s="31"/>
      <c r="AQ44" s="31"/>
      <c r="AR44" s="33"/>
      <c r="AS44" s="31"/>
      <c r="AT44" s="33"/>
      <c r="AU44" s="31"/>
      <c r="AV44" s="31"/>
    </row>
    <row r="45" spans="1:50" ht="21" customHeight="1">
      <c r="A45" s="31"/>
      <c r="B45" s="67"/>
      <c r="C45" s="162"/>
      <c r="D45" s="89"/>
      <c r="E45" s="31"/>
      <c r="F45" s="31"/>
      <c r="G45" s="31"/>
      <c r="H45" s="31"/>
      <c r="I45" s="93"/>
      <c r="J45" s="93" t="s">
        <v>48</v>
      </c>
      <c r="K45" s="66">
        <f>K44-K36</f>
        <v>256923.63636363647</v>
      </c>
      <c r="L45" s="180">
        <f>10-H37</f>
        <v>1</v>
      </c>
      <c r="M45" s="34"/>
      <c r="N45" s="34"/>
      <c r="O45" s="34"/>
      <c r="P45" s="34"/>
      <c r="Q45" s="34"/>
      <c r="R45" s="93" t="s">
        <v>48</v>
      </c>
      <c r="S45" s="66">
        <f>S44-S36</f>
        <v>79764.090909091756</v>
      </c>
      <c r="T45" s="181">
        <f>30-P37</f>
        <v>0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48</v>
      </c>
      <c r="AF45" s="66">
        <f>AF44-AF36</f>
        <v>517345.45454545459</v>
      </c>
      <c r="AG45" s="181">
        <f>30-AB37</f>
        <v>0</v>
      </c>
      <c r="AH45" s="34"/>
      <c r="AI45" s="96"/>
      <c r="AJ45" s="97" t="s">
        <v>49</v>
      </c>
      <c r="AK45" s="98" t="e">
        <f>AK44/T45</f>
        <v>#DIV/0!</v>
      </c>
      <c r="AL45" s="104">
        <f>(AK36+AL36)/AK43</f>
        <v>0.96948091547608284</v>
      </c>
      <c r="AM45" s="104"/>
      <c r="AN45" s="96"/>
      <c r="AO45" s="99"/>
      <c r="AP45" s="31"/>
      <c r="AQ45" s="31"/>
      <c r="AR45" s="31"/>
      <c r="AS45" s="33"/>
      <c r="AT45" s="31"/>
      <c r="AU45" s="33"/>
      <c r="AV45" s="31"/>
      <c r="AW45" s="31"/>
    </row>
    <row r="46" spans="1:50" ht="25.5" customHeight="1">
      <c r="A46" s="99"/>
      <c r="B46" s="100"/>
      <c r="C46" s="166"/>
      <c r="D46" s="113"/>
      <c r="E46" s="99"/>
      <c r="F46" s="99"/>
      <c r="G46" s="99"/>
      <c r="H46" s="99"/>
      <c r="I46" s="101"/>
      <c r="J46" s="97" t="s">
        <v>49</v>
      </c>
      <c r="K46" s="102">
        <f>K45/L45</f>
        <v>256923.63636363647</v>
      </c>
      <c r="L46" s="103">
        <f>K36/K44</f>
        <v>0.79609235209235196</v>
      </c>
      <c r="M46" s="96"/>
      <c r="N46" s="96"/>
      <c r="O46" s="96"/>
      <c r="P46" s="96"/>
      <c r="Q46" s="96"/>
      <c r="R46" s="97" t="s">
        <v>49</v>
      </c>
      <c r="S46" s="98" t="e">
        <f>S45/T45</f>
        <v>#DIV/0!</v>
      </c>
      <c r="T46" s="103">
        <f>S36/S44</f>
        <v>0.99306342208911147</v>
      </c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7" t="s">
        <v>49</v>
      </c>
      <c r="AF46" s="102" t="e">
        <f>AF45/AG45</f>
        <v>#DIV/0!</v>
      </c>
      <c r="AG46" s="103">
        <f>AF36/AF44</f>
        <v>0.78613251155624031</v>
      </c>
      <c r="AH46" s="96"/>
      <c r="AI46" s="31"/>
      <c r="AJ46" s="31"/>
      <c r="AK46" s="33"/>
      <c r="AL46" s="31"/>
      <c r="AM46" s="31"/>
      <c r="AN46" s="31"/>
      <c r="AO46" s="31"/>
      <c r="AP46" s="99"/>
      <c r="AQ46" s="99"/>
      <c r="AR46" s="99"/>
      <c r="AS46" s="106"/>
      <c r="AT46" s="99"/>
      <c r="AU46" s="106"/>
      <c r="AV46" s="99"/>
      <c r="AW46" s="99"/>
    </row>
    <row r="47" spans="1:50" ht="15.75" customHeight="1">
      <c r="A47" s="31"/>
      <c r="B47" s="67"/>
      <c r="C47" s="162"/>
      <c r="D47" s="89"/>
      <c r="E47" s="31"/>
      <c r="F47" s="31"/>
      <c r="G47" s="31"/>
      <c r="H47" s="31"/>
      <c r="I47" s="31"/>
      <c r="J47" s="31"/>
      <c r="K47" s="31"/>
      <c r="L47" s="199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107"/>
      <c r="AJ47" s="107"/>
      <c r="AK47" s="107"/>
      <c r="AL47" s="107"/>
      <c r="AM47" s="107"/>
      <c r="AN47" s="107"/>
      <c r="AO47" s="107"/>
      <c r="AP47" s="31"/>
      <c r="AQ47" s="31"/>
      <c r="AR47" s="31"/>
      <c r="AS47" s="33"/>
      <c r="AT47" s="31"/>
      <c r="AU47" s="33"/>
      <c r="AV47" s="31"/>
      <c r="AW47" s="31"/>
    </row>
    <row r="48" spans="1:50" ht="36" customHeight="1">
      <c r="A48" s="107"/>
      <c r="B48" s="108"/>
      <c r="C48" s="167"/>
      <c r="D48" s="1"/>
      <c r="E48" s="107"/>
      <c r="F48" s="107"/>
      <c r="G48" s="107"/>
      <c r="H48" s="107"/>
      <c r="I48" s="107"/>
      <c r="J48" s="107"/>
      <c r="K48" s="107"/>
      <c r="L48" s="107"/>
      <c r="M48" s="109"/>
      <c r="N48" s="31"/>
      <c r="O48" s="31"/>
      <c r="P48" s="31"/>
      <c r="Q48" s="31"/>
      <c r="R48" s="31"/>
      <c r="S48" s="109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"/>
      <c r="AJ48" s="1"/>
      <c r="AK48" s="1"/>
      <c r="AL48" s="1"/>
      <c r="AM48" s="1"/>
      <c r="AN48" s="1"/>
      <c r="AO48" s="1"/>
      <c r="AP48" s="107"/>
      <c r="AQ48" s="107"/>
      <c r="AR48" s="107"/>
      <c r="AS48" s="110"/>
      <c r="AT48" s="107"/>
      <c r="AU48" s="110"/>
      <c r="AV48" s="107"/>
      <c r="AW48" s="107"/>
    </row>
    <row r="49" spans="1:49" ht="36" customHeight="1">
      <c r="A49" s="1"/>
      <c r="B49" s="111"/>
      <c r="C49" s="121"/>
      <c r="D49" s="1"/>
      <c r="E49" s="1"/>
      <c r="F49" s="1"/>
      <c r="G49" s="1"/>
      <c r="H49" s="1"/>
      <c r="I49" s="1"/>
      <c r="J49" s="1"/>
      <c r="K49" s="1"/>
      <c r="L49" s="1"/>
      <c r="M49" s="112"/>
      <c r="N49" s="31"/>
      <c r="O49" s="31"/>
      <c r="P49" s="31"/>
      <c r="Q49" s="31"/>
      <c r="R49" s="31"/>
      <c r="S49" s="112"/>
      <c r="T49" s="112"/>
      <c r="U49" s="1"/>
      <c r="V49" s="1"/>
      <c r="W49" s="1"/>
      <c r="X49" s="1"/>
      <c r="Y49" s="1"/>
      <c r="Z49" s="1"/>
      <c r="AA49" s="113"/>
      <c r="AB49" s="1"/>
      <c r="AC49" s="1"/>
      <c r="AD49" s="1"/>
      <c r="AE49" s="1"/>
      <c r="AF49" s="1"/>
      <c r="AG49" s="1"/>
      <c r="AH49" s="1"/>
      <c r="AI49" s="107"/>
      <c r="AJ49" s="107"/>
      <c r="AK49" s="107"/>
      <c r="AL49" s="107"/>
      <c r="AM49" s="107"/>
      <c r="AN49" s="107"/>
      <c r="AO49" s="107"/>
      <c r="AP49" s="1"/>
      <c r="AQ49" s="1"/>
      <c r="AR49" s="1"/>
      <c r="AS49" s="114"/>
      <c r="AT49" s="1"/>
      <c r="AU49" s="114"/>
      <c r="AV49" s="1"/>
      <c r="AW49" s="1"/>
    </row>
    <row r="50" spans="1:49" ht="36" customHeight="1">
      <c r="A50" s="107"/>
      <c r="B50" s="108"/>
      <c r="C50" s="167"/>
      <c r="D50" s="1"/>
      <c r="E50" s="107"/>
      <c r="F50" s="107"/>
      <c r="G50" s="107"/>
      <c r="H50" s="107"/>
      <c r="I50" s="107"/>
      <c r="J50" s="107"/>
      <c r="K50" s="107"/>
      <c r="L50" s="1"/>
      <c r="M50" s="112"/>
      <c r="N50" s="31"/>
      <c r="O50" s="31"/>
      <c r="P50" s="31"/>
      <c r="Q50" s="31"/>
      <c r="R50" s="31"/>
      <c r="S50" s="115"/>
      <c r="T50" s="116"/>
      <c r="U50" s="116"/>
      <c r="V50" s="116"/>
      <c r="W50" s="116"/>
      <c r="X50" s="117"/>
      <c r="Y50" s="118"/>
      <c r="Z50" s="119"/>
      <c r="AA50" s="120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10"/>
      <c r="AT50" s="107"/>
      <c r="AU50" s="110"/>
      <c r="AV50" s="107"/>
      <c r="AW50" s="107"/>
    </row>
    <row r="51" spans="1:49" ht="36" customHeight="1">
      <c r="A51" s="107"/>
      <c r="B51" s="108"/>
      <c r="C51" s="167"/>
      <c r="D51" s="1"/>
      <c r="E51" s="107"/>
      <c r="F51" s="107"/>
      <c r="G51" s="107"/>
      <c r="H51" s="107"/>
      <c r="I51" s="107"/>
      <c r="J51" s="107"/>
      <c r="K51" s="107"/>
      <c r="L51" s="1"/>
      <c r="M51" s="112"/>
      <c r="N51" s="31"/>
      <c r="O51" s="31"/>
      <c r="P51" s="31"/>
      <c r="Q51" s="31"/>
      <c r="R51" s="31"/>
      <c r="S51" s="117"/>
      <c r="T51" s="116"/>
      <c r="U51" s="116"/>
      <c r="V51" s="116"/>
      <c r="W51" s="116"/>
      <c r="X51" s="117"/>
      <c r="Y51" s="118"/>
      <c r="Z51" s="119"/>
      <c r="AA51" s="120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10"/>
      <c r="AT51" s="107"/>
      <c r="AU51" s="110"/>
      <c r="AV51" s="107"/>
      <c r="AW51" s="107"/>
    </row>
    <row r="52" spans="1:49" ht="36" customHeight="1">
      <c r="A52" s="107"/>
      <c r="B52" s="108"/>
      <c r="C52" s="167"/>
      <c r="D52" s="1"/>
      <c r="E52" s="107"/>
      <c r="F52" s="107"/>
      <c r="G52" s="107"/>
      <c r="H52" s="107"/>
      <c r="I52" s="107"/>
      <c r="J52" s="107"/>
      <c r="K52" s="107"/>
      <c r="L52" s="1"/>
      <c r="M52" s="112"/>
      <c r="N52" s="31"/>
      <c r="O52" s="31"/>
      <c r="P52" s="31"/>
      <c r="Q52" s="31"/>
      <c r="R52" s="31"/>
      <c r="S52" s="117"/>
      <c r="T52" s="116"/>
      <c r="U52" s="116"/>
      <c r="V52" s="116"/>
      <c r="W52" s="116"/>
      <c r="X52" s="117"/>
      <c r="Y52" s="118"/>
      <c r="Z52" s="119"/>
      <c r="AA52" s="120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10"/>
      <c r="AT52" s="107"/>
      <c r="AU52" s="110"/>
      <c r="AV52" s="107"/>
      <c r="AW52" s="107"/>
    </row>
    <row r="53" spans="1:49" ht="36" customHeight="1">
      <c r="A53" s="107"/>
      <c r="B53" s="108"/>
      <c r="C53" s="167"/>
      <c r="D53" s="1"/>
      <c r="E53" s="107"/>
      <c r="F53" s="107"/>
      <c r="G53" s="107"/>
      <c r="H53" s="107"/>
      <c r="I53" s="107"/>
      <c r="J53" s="107"/>
      <c r="K53" s="107"/>
      <c r="L53" s="1"/>
      <c r="M53" s="112"/>
      <c r="N53" s="31"/>
      <c r="O53" s="31"/>
      <c r="P53" s="31"/>
      <c r="Q53" s="31"/>
      <c r="R53" s="31"/>
      <c r="S53" s="117"/>
      <c r="T53" s="116"/>
      <c r="U53" s="116"/>
      <c r="V53" s="116"/>
      <c r="W53" s="116"/>
      <c r="X53" s="117"/>
      <c r="Y53" s="118"/>
      <c r="Z53" s="119"/>
      <c r="AA53" s="120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10"/>
      <c r="AT53" s="107"/>
      <c r="AU53" s="110"/>
      <c r="AV53" s="107"/>
      <c r="AW53" s="107"/>
    </row>
    <row r="54" spans="1:49" ht="36" customHeight="1">
      <c r="A54" s="107"/>
      <c r="B54" s="108"/>
      <c r="C54" s="167"/>
      <c r="D54" s="1"/>
      <c r="E54" s="107"/>
      <c r="F54" s="107"/>
      <c r="G54" s="107"/>
      <c r="H54" s="107"/>
      <c r="I54" s="107"/>
      <c r="J54" s="107"/>
      <c r="K54" s="107"/>
      <c r="L54" s="107"/>
      <c r="M54" s="109"/>
      <c r="N54" s="31"/>
      <c r="O54" s="31"/>
      <c r="P54" s="31"/>
      <c r="Q54" s="31"/>
      <c r="R54" s="31"/>
      <c r="S54" s="117"/>
      <c r="T54" s="116"/>
      <c r="U54" s="116"/>
      <c r="V54" s="116"/>
      <c r="W54" s="116"/>
      <c r="X54" s="118"/>
      <c r="Y54" s="118"/>
      <c r="Z54" s="119"/>
      <c r="AA54" s="120"/>
      <c r="AB54" s="107"/>
      <c r="AC54" s="107"/>
      <c r="AD54" s="107"/>
      <c r="AE54" s="107"/>
      <c r="AF54" s="107"/>
      <c r="AG54" s="107"/>
      <c r="AH54" s="107"/>
      <c r="AI54" s="31"/>
      <c r="AJ54" s="31"/>
      <c r="AK54" s="31"/>
      <c r="AL54" s="31"/>
      <c r="AM54" s="31"/>
      <c r="AN54" s="31"/>
      <c r="AO54" s="31"/>
      <c r="AP54" s="107"/>
      <c r="AQ54" s="107"/>
      <c r="AR54" s="107"/>
      <c r="AS54" s="110"/>
      <c r="AT54" s="107"/>
      <c r="AU54" s="110"/>
      <c r="AV54" s="107"/>
      <c r="AW54" s="107"/>
    </row>
    <row r="55" spans="1:49" ht="15.75" customHeight="1">
      <c r="A55" s="31"/>
      <c r="B55" s="67"/>
      <c r="C55" s="162"/>
      <c r="D55" s="89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119"/>
      <c r="AA55" s="119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3"/>
      <c r="AV55" s="31"/>
      <c r="AW55" s="33"/>
    </row>
    <row r="56" spans="1:49" ht="15.75" customHeight="1">
      <c r="A56" s="31"/>
      <c r="B56" s="67"/>
      <c r="C56" s="162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07"/>
      <c r="AA56" s="107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62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62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62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62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62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62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62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62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62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62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62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62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62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62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62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62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62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62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62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62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62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62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62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62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62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62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62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62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62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62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62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62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62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62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62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62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62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62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62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62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62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62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62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62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62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62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62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62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62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62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62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62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62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62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62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62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62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62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62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62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62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62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62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62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62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62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62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62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62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62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62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62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62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62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62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62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62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62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62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62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62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62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62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62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62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62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62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62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62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62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62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62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62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62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62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62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62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62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62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62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62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62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62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62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62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62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62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62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62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62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62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62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62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62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62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62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62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62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62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62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62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62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62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62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62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62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62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62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62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62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62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62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62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62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62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62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62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62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62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62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62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62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62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62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62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62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62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62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62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62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62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62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62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62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62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62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62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62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62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62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62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62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62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62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62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62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62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62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62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62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62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62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62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62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62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62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62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62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62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62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62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62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62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62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62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62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62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62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62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62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/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Z3:AG3"/>
    <mergeCell ref="AH3:AM3"/>
    <mergeCell ref="AN3:AU3"/>
    <mergeCell ref="E39:L43"/>
    <mergeCell ref="M39:T43"/>
    <mergeCell ref="Z39:AG43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２０２5.07</vt:lpstr>
      <vt:lpstr>2025.08</vt:lpstr>
      <vt:lpstr>2025.09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2026-02-11T10:52:41Z</dcterms:modified>
</cp:coreProperties>
</file>