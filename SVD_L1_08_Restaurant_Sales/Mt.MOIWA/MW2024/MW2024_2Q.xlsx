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MW/"/>
    </mc:Choice>
  </mc:AlternateContent>
  <xr:revisionPtr revIDLastSave="0" documentId="8_{8FA7EE26-8751-3849-9DC8-C2C701072887}" xr6:coauthVersionLast="47" xr6:coauthVersionMax="47" xr10:uidLastSave="{00000000-0000-0000-0000-000000000000}"/>
  <bookViews>
    <workbookView xWindow="0" yWindow="660" windowWidth="30240" windowHeight="18980" activeTab="2" xr2:uid="{7F9D5D59-A1FC-3B48-93F3-6D616DF54B86}"/>
  </bookViews>
  <sheets>
    <sheet name="２０２4.07" sheetId="1" r:id="rId1"/>
    <sheet name="2024.08" sheetId="2" r:id="rId2"/>
    <sheet name="2024.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6" i="2" l="1"/>
  <c r="AK44" i="2"/>
  <c r="AJ44" i="2"/>
  <c r="H37" i="2"/>
  <c r="I37" i="2" s="1"/>
  <c r="AR36" i="2"/>
  <c r="AQ36" i="2"/>
  <c r="AP36" i="2"/>
  <c r="AO36" i="2"/>
  <c r="AN36" i="2"/>
  <c r="AM36" i="2"/>
  <c r="AL36" i="2"/>
  <c r="AC36" i="2"/>
  <c r="AC37" i="2" s="1"/>
  <c r="AD37" i="2" s="1"/>
  <c r="AA36" i="2"/>
  <c r="AA37" i="2" s="1"/>
  <c r="AB37" i="2" s="1"/>
  <c r="Z36" i="2"/>
  <c r="Y36" i="2"/>
  <c r="L36" i="2"/>
  <c r="I36" i="2"/>
  <c r="H36" i="2"/>
  <c r="F36" i="2"/>
  <c r="F37" i="2" s="1"/>
  <c r="G37" i="2" s="1"/>
  <c r="K37" i="2" s="1"/>
  <c r="E36" i="2"/>
  <c r="F38" i="2" s="1"/>
  <c r="D36" i="2"/>
  <c r="C36" i="2"/>
  <c r="AS35" i="2"/>
  <c r="AU35" i="2" s="1"/>
  <c r="AV35" i="2" s="1"/>
  <c r="AK35" i="2"/>
  <c r="AJ35" i="2"/>
  <c r="AG35" i="2"/>
  <c r="AF35" i="2"/>
  <c r="AE35" i="2"/>
  <c r="AD35" i="2"/>
  <c r="AB35" i="2"/>
  <c r="V35" i="2"/>
  <c r="AI35" i="2" s="1"/>
  <c r="U35" i="2"/>
  <c r="AH35" i="2" s="1"/>
  <c r="T35" i="2"/>
  <c r="R35" i="2"/>
  <c r="S35" i="2" s="1"/>
  <c r="Q35" i="2"/>
  <c r="P35" i="2"/>
  <c r="O35" i="2"/>
  <c r="N35" i="2"/>
  <c r="M35" i="2"/>
  <c r="K35" i="2"/>
  <c r="J35" i="2"/>
  <c r="W35" i="2" s="1"/>
  <c r="I35" i="2"/>
  <c r="G35" i="2"/>
  <c r="AS34" i="2"/>
  <c r="AU34" i="2" s="1"/>
  <c r="AK34" i="2"/>
  <c r="AI34" i="2"/>
  <c r="AG34" i="2"/>
  <c r="AE34" i="2"/>
  <c r="AV34" i="2" s="1"/>
  <c r="AD34" i="2"/>
  <c r="AB34" i="2"/>
  <c r="T34" i="2"/>
  <c r="R34" i="2"/>
  <c r="S34" i="2" s="1"/>
  <c r="Q34" i="2"/>
  <c r="P34" i="2"/>
  <c r="V34" i="2" s="1"/>
  <c r="N34" i="2"/>
  <c r="O34" i="2" s="1"/>
  <c r="M34" i="2"/>
  <c r="K34" i="2"/>
  <c r="J34" i="2"/>
  <c r="I34" i="2"/>
  <c r="G34" i="2"/>
  <c r="AU33" i="2"/>
  <c r="AV33" i="2" s="1"/>
  <c r="AS33" i="2"/>
  <c r="AK33" i="2"/>
  <c r="AH33" i="2"/>
  <c r="AF33" i="2"/>
  <c r="AE33" i="2"/>
  <c r="AD33" i="2"/>
  <c r="AB33" i="2"/>
  <c r="U33" i="2"/>
  <c r="P33" i="2"/>
  <c r="V33" i="2" s="1"/>
  <c r="AI33" i="2" s="1"/>
  <c r="N33" i="2"/>
  <c r="M33" i="2"/>
  <c r="AG33" i="2" s="1"/>
  <c r="K33" i="2"/>
  <c r="J33" i="2"/>
  <c r="I33" i="2"/>
  <c r="G33" i="2"/>
  <c r="AU32" i="2"/>
  <c r="AV32" i="2" s="1"/>
  <c r="AS32" i="2"/>
  <c r="AK32" i="2"/>
  <c r="AG32" i="2"/>
  <c r="AF32" i="2"/>
  <c r="AE32" i="2"/>
  <c r="AD32" i="2"/>
  <c r="AB32" i="2"/>
  <c r="T32" i="2"/>
  <c r="P32" i="2"/>
  <c r="R32" i="2" s="1"/>
  <c r="N32" i="2"/>
  <c r="U32" i="2" s="1"/>
  <c r="AH32" i="2" s="1"/>
  <c r="M32" i="2"/>
  <c r="K32" i="2"/>
  <c r="J32" i="2"/>
  <c r="I32" i="2"/>
  <c r="G32" i="2"/>
  <c r="AU31" i="2"/>
  <c r="AV31" i="2" s="1"/>
  <c r="AS31" i="2"/>
  <c r="AK31" i="2"/>
  <c r="AE31" i="2"/>
  <c r="AF31" i="2" s="1"/>
  <c r="AD31" i="2"/>
  <c r="AB31" i="2"/>
  <c r="U31" i="2"/>
  <c r="AH31" i="2" s="1"/>
  <c r="Q31" i="2"/>
  <c r="P31" i="2"/>
  <c r="V31" i="2" s="1"/>
  <c r="AI31" i="2" s="1"/>
  <c r="N31" i="2"/>
  <c r="O31" i="2" s="1"/>
  <c r="M31" i="2"/>
  <c r="K31" i="2"/>
  <c r="J31" i="2"/>
  <c r="I31" i="2"/>
  <c r="G31" i="2"/>
  <c r="AS30" i="2"/>
  <c r="AU30" i="2" s="1"/>
  <c r="AV30" i="2" s="1"/>
  <c r="AK30" i="2"/>
  <c r="AE30" i="2"/>
  <c r="AF30" i="2" s="1"/>
  <c r="AD30" i="2"/>
  <c r="AB30" i="2"/>
  <c r="P30" i="2"/>
  <c r="V30" i="2" s="1"/>
  <c r="AI30" i="2" s="1"/>
  <c r="N30" i="2"/>
  <c r="M30" i="2"/>
  <c r="K30" i="2"/>
  <c r="J30" i="2"/>
  <c r="I30" i="2"/>
  <c r="G30" i="2"/>
  <c r="AU29" i="2"/>
  <c r="AV29" i="2" s="1"/>
  <c r="AS29" i="2"/>
  <c r="AK29" i="2"/>
  <c r="AG29" i="2"/>
  <c r="AE29" i="2"/>
  <c r="AF29" i="2" s="1"/>
  <c r="AD29" i="2"/>
  <c r="AB29" i="2"/>
  <c r="U29" i="2"/>
  <c r="AH29" i="2" s="1"/>
  <c r="P29" i="2"/>
  <c r="Q29" i="2" s="1"/>
  <c r="O29" i="2"/>
  <c r="N29" i="2"/>
  <c r="M29" i="2"/>
  <c r="T29" i="2" s="1"/>
  <c r="J29" i="2"/>
  <c r="K29" i="2" s="1"/>
  <c r="I29" i="2"/>
  <c r="G29" i="2"/>
  <c r="AS28" i="2"/>
  <c r="AU28" i="2" s="1"/>
  <c r="AV28" i="2" s="1"/>
  <c r="AK28" i="2"/>
  <c r="AF28" i="2"/>
  <c r="AE28" i="2"/>
  <c r="AD28" i="2"/>
  <c r="AB28" i="2"/>
  <c r="V28" i="2"/>
  <c r="AI28" i="2" s="1"/>
  <c r="U28" i="2"/>
  <c r="AH28" i="2" s="1"/>
  <c r="T28" i="2"/>
  <c r="R28" i="2"/>
  <c r="P28" i="2"/>
  <c r="N28" i="2"/>
  <c r="O28" i="2" s="1"/>
  <c r="M28" i="2"/>
  <c r="J28" i="2"/>
  <c r="W28" i="2" s="1"/>
  <c r="I28" i="2"/>
  <c r="G28" i="2"/>
  <c r="AS27" i="2"/>
  <c r="AU27" i="2" s="1"/>
  <c r="AK27" i="2"/>
  <c r="AI27" i="2"/>
  <c r="AE27" i="2"/>
  <c r="AF27" i="2" s="1"/>
  <c r="AD27" i="2"/>
  <c r="AB27" i="2"/>
  <c r="V27" i="2"/>
  <c r="P27" i="2"/>
  <c r="N27" i="2"/>
  <c r="M27" i="2"/>
  <c r="T27" i="2" s="1"/>
  <c r="K27" i="2"/>
  <c r="J27" i="2"/>
  <c r="I27" i="2"/>
  <c r="G27" i="2"/>
  <c r="AV26" i="2"/>
  <c r="AS26" i="2"/>
  <c r="AU26" i="2" s="1"/>
  <c r="AK26" i="2"/>
  <c r="AH26" i="2"/>
  <c r="AG26" i="2"/>
  <c r="AF26" i="2"/>
  <c r="AE26" i="2"/>
  <c r="AD26" i="2"/>
  <c r="AB26" i="2"/>
  <c r="U26" i="2"/>
  <c r="T26" i="2"/>
  <c r="P26" i="2"/>
  <c r="Q26" i="2" s="1"/>
  <c r="N26" i="2"/>
  <c r="M26" i="2"/>
  <c r="K26" i="2"/>
  <c r="J26" i="2"/>
  <c r="I26" i="2"/>
  <c r="G26" i="2"/>
  <c r="AU25" i="2"/>
  <c r="AV25" i="2" s="1"/>
  <c r="AS25" i="2"/>
  <c r="AK25" i="2"/>
  <c r="AE25" i="2"/>
  <c r="AF25" i="2" s="1"/>
  <c r="AD25" i="2"/>
  <c r="AB25" i="2"/>
  <c r="V25" i="2"/>
  <c r="AI25" i="2" s="1"/>
  <c r="U25" i="2"/>
  <c r="AH25" i="2" s="1"/>
  <c r="R25" i="2"/>
  <c r="P25" i="2"/>
  <c r="N25" i="2"/>
  <c r="M25" i="2"/>
  <c r="T25" i="2" s="1"/>
  <c r="X25" i="2" s="1"/>
  <c r="K25" i="2"/>
  <c r="J25" i="2"/>
  <c r="W25" i="2" s="1"/>
  <c r="AJ25" i="2" s="1"/>
  <c r="I25" i="2"/>
  <c r="G25" i="2"/>
  <c r="AS24" i="2"/>
  <c r="AU24" i="2" s="1"/>
  <c r="AV24" i="2" s="1"/>
  <c r="AK24" i="2"/>
  <c r="AJ24" i="2"/>
  <c r="AI24" i="2"/>
  <c r="AG24" i="2"/>
  <c r="AE24" i="2"/>
  <c r="AF24" i="2" s="1"/>
  <c r="AD24" i="2"/>
  <c r="AB24" i="2"/>
  <c r="V24" i="2"/>
  <c r="U24" i="2"/>
  <c r="AH24" i="2" s="1"/>
  <c r="T24" i="2"/>
  <c r="X24" i="2" s="1"/>
  <c r="R24" i="2"/>
  <c r="S24" i="2" s="1"/>
  <c r="P24" i="2"/>
  <c r="Q24" i="2" s="1"/>
  <c r="N24" i="2"/>
  <c r="O24" i="2" s="1"/>
  <c r="M24" i="2"/>
  <c r="K24" i="2"/>
  <c r="J24" i="2"/>
  <c r="W24" i="2" s="1"/>
  <c r="I24" i="2"/>
  <c r="G24" i="2"/>
  <c r="AU23" i="2"/>
  <c r="AS23" i="2"/>
  <c r="AK23" i="2"/>
  <c r="AH23" i="2"/>
  <c r="AG23" i="2"/>
  <c r="AE23" i="2"/>
  <c r="AF23" i="2" s="1"/>
  <c r="AD23" i="2"/>
  <c r="AB23" i="2"/>
  <c r="U23" i="2"/>
  <c r="P23" i="2"/>
  <c r="V23" i="2" s="1"/>
  <c r="AI23" i="2" s="1"/>
  <c r="O23" i="2"/>
  <c r="N23" i="2"/>
  <c r="M23" i="2"/>
  <c r="T23" i="2" s="1"/>
  <c r="K23" i="2"/>
  <c r="J23" i="2"/>
  <c r="I23" i="2"/>
  <c r="G23" i="2"/>
  <c r="AS22" i="2"/>
  <c r="AU22" i="2" s="1"/>
  <c r="AV22" i="2" s="1"/>
  <c r="AK22" i="2"/>
  <c r="AG22" i="2"/>
  <c r="AF22" i="2"/>
  <c r="AE22" i="2"/>
  <c r="AD22" i="2"/>
  <c r="AB22" i="2"/>
  <c r="V22" i="2"/>
  <c r="AI22" i="2" s="1"/>
  <c r="T22" i="2"/>
  <c r="P22" i="2"/>
  <c r="Q22" i="2" s="1"/>
  <c r="N22" i="2"/>
  <c r="U22" i="2" s="1"/>
  <c r="AH22" i="2" s="1"/>
  <c r="M22" i="2"/>
  <c r="K22" i="2"/>
  <c r="J22" i="2"/>
  <c r="I22" i="2"/>
  <c r="G22" i="2"/>
  <c r="AU21" i="2"/>
  <c r="AV21" i="2" s="1"/>
  <c r="AS21" i="2"/>
  <c r="AK21" i="2"/>
  <c r="AG21" i="2"/>
  <c r="AF21" i="2"/>
  <c r="AE21" i="2"/>
  <c r="AD21" i="2"/>
  <c r="AB21" i="2"/>
  <c r="P21" i="2"/>
  <c r="V21" i="2" s="1"/>
  <c r="AI21" i="2" s="1"/>
  <c r="N21" i="2"/>
  <c r="U21" i="2" s="1"/>
  <c r="AH21" i="2" s="1"/>
  <c r="M21" i="2"/>
  <c r="T21" i="2" s="1"/>
  <c r="J21" i="2"/>
  <c r="K21" i="2" s="1"/>
  <c r="I21" i="2"/>
  <c r="G21" i="2"/>
  <c r="AS20" i="2"/>
  <c r="AU20" i="2" s="1"/>
  <c r="AV20" i="2" s="1"/>
  <c r="AK20" i="2"/>
  <c r="AE20" i="2"/>
  <c r="AF20" i="2" s="1"/>
  <c r="AD20" i="2"/>
  <c r="AB20" i="2"/>
  <c r="W20" i="2"/>
  <c r="AJ20" i="2" s="1"/>
  <c r="V20" i="2"/>
  <c r="AI20" i="2" s="1"/>
  <c r="R20" i="2"/>
  <c r="P20" i="2"/>
  <c r="Q20" i="2" s="1"/>
  <c r="N20" i="2"/>
  <c r="U20" i="2" s="1"/>
  <c r="AH20" i="2" s="1"/>
  <c r="M20" i="2"/>
  <c r="T20" i="2" s="1"/>
  <c r="X20" i="2" s="1"/>
  <c r="K20" i="2"/>
  <c r="J20" i="2"/>
  <c r="I20" i="2"/>
  <c r="G20" i="2"/>
  <c r="AS19" i="2"/>
  <c r="AU19" i="2" s="1"/>
  <c r="AV19" i="2" s="1"/>
  <c r="AK19" i="2"/>
  <c r="AG19" i="2"/>
  <c r="AE19" i="2"/>
  <c r="AF19" i="2" s="1"/>
  <c r="AD19" i="2"/>
  <c r="AB19" i="2"/>
  <c r="P19" i="2"/>
  <c r="Q19" i="2" s="1"/>
  <c r="O19" i="2"/>
  <c r="N19" i="2"/>
  <c r="M19" i="2"/>
  <c r="T19" i="2" s="1"/>
  <c r="K19" i="2"/>
  <c r="J19" i="2"/>
  <c r="I19" i="2"/>
  <c r="G19" i="2"/>
  <c r="AS18" i="2"/>
  <c r="AU18" i="2" s="1"/>
  <c r="AV18" i="2" s="1"/>
  <c r="AK18" i="2"/>
  <c r="AI18" i="2"/>
  <c r="AF18" i="2"/>
  <c r="AE18" i="2"/>
  <c r="AD18" i="2"/>
  <c r="AB18" i="2"/>
  <c r="V18" i="2"/>
  <c r="P18" i="2"/>
  <c r="N18" i="2"/>
  <c r="R18" i="2" s="1"/>
  <c r="W18" i="2" s="1"/>
  <c r="AJ18" i="2" s="1"/>
  <c r="M18" i="2"/>
  <c r="T18" i="2" s="1"/>
  <c r="X18" i="2" s="1"/>
  <c r="K18" i="2"/>
  <c r="J18" i="2"/>
  <c r="I18" i="2"/>
  <c r="G18" i="2"/>
  <c r="AU17" i="2"/>
  <c r="AV17" i="2" s="1"/>
  <c r="AS17" i="2"/>
  <c r="AK17" i="2"/>
  <c r="AI17" i="2"/>
  <c r="AH17" i="2"/>
  <c r="AF17" i="2"/>
  <c r="AE17" i="2"/>
  <c r="AD17" i="2"/>
  <c r="AB17" i="2"/>
  <c r="V17" i="2"/>
  <c r="U17" i="2"/>
  <c r="T17" i="2"/>
  <c r="R17" i="2"/>
  <c r="P17" i="2"/>
  <c r="N17" i="2"/>
  <c r="M17" i="2"/>
  <c r="Q17" i="2" s="1"/>
  <c r="K17" i="2"/>
  <c r="J17" i="2"/>
  <c r="W17" i="2" s="1"/>
  <c r="AJ17" i="2" s="1"/>
  <c r="I17" i="2"/>
  <c r="G17" i="2"/>
  <c r="AS16" i="2"/>
  <c r="AU16" i="2" s="1"/>
  <c r="AV16" i="2" s="1"/>
  <c r="AK16" i="2"/>
  <c r="AH16" i="2"/>
  <c r="AG16" i="2"/>
  <c r="AF16" i="2"/>
  <c r="AE16" i="2"/>
  <c r="AD16" i="2"/>
  <c r="AB16" i="2"/>
  <c r="U16" i="2"/>
  <c r="T16" i="2"/>
  <c r="X16" i="2" s="1"/>
  <c r="R16" i="2"/>
  <c r="W16" i="2" s="1"/>
  <c r="AJ16" i="2" s="1"/>
  <c r="P16" i="2"/>
  <c r="V16" i="2" s="1"/>
  <c r="AI16" i="2" s="1"/>
  <c r="N16" i="2"/>
  <c r="M16" i="2"/>
  <c r="K16" i="2"/>
  <c r="J16" i="2"/>
  <c r="I16" i="2"/>
  <c r="G16" i="2"/>
  <c r="AV15" i="2"/>
  <c r="AU15" i="2"/>
  <c r="AS15" i="2"/>
  <c r="AK15" i="2"/>
  <c r="AH15" i="2"/>
  <c r="AE15" i="2"/>
  <c r="AF15" i="2" s="1"/>
  <c r="AD15" i="2"/>
  <c r="AB15" i="2"/>
  <c r="U15" i="2"/>
  <c r="P15" i="2"/>
  <c r="V15" i="2" s="1"/>
  <c r="AI15" i="2" s="1"/>
  <c r="O15" i="2"/>
  <c r="N15" i="2"/>
  <c r="M15" i="2"/>
  <c r="T15" i="2" s="1"/>
  <c r="J15" i="2"/>
  <c r="K15" i="2" s="1"/>
  <c r="I15" i="2"/>
  <c r="G15" i="2"/>
  <c r="AS14" i="2"/>
  <c r="AU14" i="2" s="1"/>
  <c r="AV14" i="2" s="1"/>
  <c r="AK14" i="2"/>
  <c r="AG14" i="2"/>
  <c r="AE14" i="2"/>
  <c r="AF14" i="2" s="1"/>
  <c r="AD14" i="2"/>
  <c r="AB14" i="2"/>
  <c r="T14" i="2"/>
  <c r="P14" i="2"/>
  <c r="Q14" i="2" s="1"/>
  <c r="N14" i="2"/>
  <c r="R14" i="2" s="1"/>
  <c r="S14" i="2" s="1"/>
  <c r="M14" i="2"/>
  <c r="J14" i="2"/>
  <c r="I14" i="2"/>
  <c r="G14" i="2"/>
  <c r="AS13" i="2"/>
  <c r="AU13" i="2" s="1"/>
  <c r="AV13" i="2" s="1"/>
  <c r="AK13" i="2"/>
  <c r="AI13" i="2"/>
  <c r="AG13" i="2"/>
  <c r="AE13" i="2"/>
  <c r="AF13" i="2" s="1"/>
  <c r="AD13" i="2"/>
  <c r="AB13" i="2"/>
  <c r="U13" i="2"/>
  <c r="AH13" i="2" s="1"/>
  <c r="T13" i="2"/>
  <c r="R13" i="2"/>
  <c r="P13" i="2"/>
  <c r="V13" i="2" s="1"/>
  <c r="N13" i="2"/>
  <c r="M13" i="2"/>
  <c r="O13" i="2" s="1"/>
  <c r="K13" i="2"/>
  <c r="J13" i="2"/>
  <c r="W13" i="2" s="1"/>
  <c r="AJ13" i="2" s="1"/>
  <c r="I13" i="2"/>
  <c r="G13" i="2"/>
  <c r="AS12" i="2"/>
  <c r="AU12" i="2" s="1"/>
  <c r="AV12" i="2" s="1"/>
  <c r="AK12" i="2"/>
  <c r="AH12" i="2"/>
  <c r="AG12" i="2"/>
  <c r="AF12" i="2"/>
  <c r="AE12" i="2"/>
  <c r="AD12" i="2"/>
  <c r="AB12" i="2"/>
  <c r="T12" i="2"/>
  <c r="R12" i="2"/>
  <c r="W12" i="2" s="1"/>
  <c r="AJ12" i="2" s="1"/>
  <c r="Q12" i="2"/>
  <c r="P12" i="2"/>
  <c r="V12" i="2" s="1"/>
  <c r="AI12" i="2" s="1"/>
  <c r="O12" i="2"/>
  <c r="N12" i="2"/>
  <c r="U12" i="2" s="1"/>
  <c r="M12" i="2"/>
  <c r="K12" i="2"/>
  <c r="J12" i="2"/>
  <c r="I12" i="2"/>
  <c r="G12" i="2"/>
  <c r="AS11" i="2"/>
  <c r="AU11" i="2" s="1"/>
  <c r="AV11" i="2" s="1"/>
  <c r="AK11" i="2"/>
  <c r="AE11" i="2"/>
  <c r="AF11" i="2" s="1"/>
  <c r="AD11" i="2"/>
  <c r="AB11" i="2"/>
  <c r="P11" i="2"/>
  <c r="V11" i="2" s="1"/>
  <c r="AI11" i="2" s="1"/>
  <c r="N11" i="2"/>
  <c r="U11" i="2" s="1"/>
  <c r="AH11" i="2" s="1"/>
  <c r="M11" i="2"/>
  <c r="T11" i="2" s="1"/>
  <c r="K11" i="2"/>
  <c r="J11" i="2"/>
  <c r="I11" i="2"/>
  <c r="G11" i="2"/>
  <c r="AS10" i="2"/>
  <c r="AU10" i="2" s="1"/>
  <c r="AV10" i="2" s="1"/>
  <c r="AK10" i="2"/>
  <c r="AE10" i="2"/>
  <c r="AF10" i="2" s="1"/>
  <c r="AD10" i="2"/>
  <c r="AB10" i="2"/>
  <c r="V10" i="2"/>
  <c r="AI10" i="2" s="1"/>
  <c r="P10" i="2"/>
  <c r="Q10" i="2" s="1"/>
  <c r="N10" i="2"/>
  <c r="R10" i="2" s="1"/>
  <c r="M10" i="2"/>
  <c r="T10" i="2" s="1"/>
  <c r="K10" i="2"/>
  <c r="J10" i="2"/>
  <c r="W10" i="2" s="1"/>
  <c r="AJ10" i="2" s="1"/>
  <c r="I10" i="2"/>
  <c r="G10" i="2"/>
  <c r="AS9" i="2"/>
  <c r="AU9" i="2" s="1"/>
  <c r="AV9" i="2" s="1"/>
  <c r="AK9" i="2"/>
  <c r="AH9" i="2"/>
  <c r="AE9" i="2"/>
  <c r="AF9" i="2" s="1"/>
  <c r="AD9" i="2"/>
  <c r="AB9" i="2"/>
  <c r="U9" i="2"/>
  <c r="T9" i="2"/>
  <c r="P9" i="2"/>
  <c r="V9" i="2" s="1"/>
  <c r="AI9" i="2" s="1"/>
  <c r="N9" i="2"/>
  <c r="M9" i="2"/>
  <c r="AG9" i="2" s="1"/>
  <c r="K9" i="2"/>
  <c r="J9" i="2"/>
  <c r="I9" i="2"/>
  <c r="G9" i="2"/>
  <c r="AS8" i="2"/>
  <c r="AU8" i="2" s="1"/>
  <c r="AV8" i="2" s="1"/>
  <c r="AK8" i="2"/>
  <c r="AF8" i="2"/>
  <c r="AE8" i="2"/>
  <c r="AD8" i="2"/>
  <c r="AB8" i="2"/>
  <c r="P8" i="2"/>
  <c r="Q8" i="2" s="1"/>
  <c r="O8" i="2"/>
  <c r="N8" i="2"/>
  <c r="U8" i="2" s="1"/>
  <c r="AH8" i="2" s="1"/>
  <c r="M8" i="2"/>
  <c r="AG8" i="2" s="1"/>
  <c r="J8" i="2"/>
  <c r="I8" i="2"/>
  <c r="G8" i="2"/>
  <c r="AS7" i="2"/>
  <c r="AU7" i="2" s="1"/>
  <c r="AV7" i="2" s="1"/>
  <c r="AK7" i="2"/>
  <c r="AI7" i="2"/>
  <c r="AE7" i="2"/>
  <c r="AF7" i="2" s="1"/>
  <c r="AD7" i="2"/>
  <c r="AB7" i="2"/>
  <c r="V7" i="2"/>
  <c r="P7" i="2"/>
  <c r="N7" i="2"/>
  <c r="R7" i="2" s="1"/>
  <c r="W7" i="2" s="1"/>
  <c r="AJ7" i="2" s="1"/>
  <c r="M7" i="2"/>
  <c r="T7" i="2" s="1"/>
  <c r="X7" i="2" s="1"/>
  <c r="J7" i="2"/>
  <c r="K7" i="2" s="1"/>
  <c r="I7" i="2"/>
  <c r="G7" i="2"/>
  <c r="AS6" i="2"/>
  <c r="AK6" i="2"/>
  <c r="AI6" i="2"/>
  <c r="AG6" i="2"/>
  <c r="AE6" i="2"/>
  <c r="AF6" i="2" s="1"/>
  <c r="AD6" i="2"/>
  <c r="AB6" i="2"/>
  <c r="V6" i="2"/>
  <c r="U6" i="2"/>
  <c r="AH6" i="2" s="1"/>
  <c r="P6" i="2"/>
  <c r="Q6" i="2" s="1"/>
  <c r="N6" i="2"/>
  <c r="M6" i="2"/>
  <c r="T6" i="2" s="1"/>
  <c r="K6" i="2"/>
  <c r="J6" i="2"/>
  <c r="I6" i="2"/>
  <c r="G6" i="2"/>
  <c r="AU5" i="2"/>
  <c r="AS5" i="2"/>
  <c r="AK5" i="2"/>
  <c r="AK36" i="2" s="1"/>
  <c r="AK37" i="2" s="1"/>
  <c r="AH5" i="2"/>
  <c r="AG5" i="2"/>
  <c r="AE5" i="2"/>
  <c r="AE36" i="2" s="1"/>
  <c r="AD5" i="2"/>
  <c r="AB5" i="2"/>
  <c r="U5" i="2"/>
  <c r="T5" i="2"/>
  <c r="R5" i="2"/>
  <c r="P5" i="2"/>
  <c r="V5" i="2" s="1"/>
  <c r="N5" i="2"/>
  <c r="M5" i="2"/>
  <c r="K5" i="2"/>
  <c r="J5" i="2"/>
  <c r="I5" i="2"/>
  <c r="G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AF45" i="3"/>
  <c r="AK43" i="3"/>
  <c r="AJ43" i="3"/>
  <c r="F37" i="3"/>
  <c r="AC36" i="3"/>
  <c r="AD36" i="3" s="1"/>
  <c r="AA36" i="3"/>
  <c r="AB36" i="3" s="1"/>
  <c r="AR35" i="3"/>
  <c r="AQ35" i="3"/>
  <c r="AP35" i="3"/>
  <c r="AO35" i="3"/>
  <c r="AN35" i="3"/>
  <c r="AM35" i="3"/>
  <c r="AL35" i="3"/>
  <c r="AC35" i="3"/>
  <c r="AA35" i="3"/>
  <c r="Z35" i="3"/>
  <c r="Y35" i="3"/>
  <c r="L35" i="3"/>
  <c r="H35" i="3"/>
  <c r="H36" i="3" s="1"/>
  <c r="I36" i="3" s="1"/>
  <c r="F35" i="3"/>
  <c r="G35" i="3" s="1"/>
  <c r="E35" i="3"/>
  <c r="D35" i="3"/>
  <c r="C35" i="3"/>
  <c r="AS34" i="3"/>
  <c r="AU34" i="3" s="1"/>
  <c r="AK34" i="3"/>
  <c r="AG34" i="3"/>
  <c r="AE34" i="3"/>
  <c r="AF34" i="3" s="1"/>
  <c r="AD34" i="3"/>
  <c r="AB34" i="3"/>
  <c r="U34" i="3"/>
  <c r="AH34" i="3" s="1"/>
  <c r="T34" i="3"/>
  <c r="P34" i="3"/>
  <c r="V34" i="3" s="1"/>
  <c r="AI34" i="3" s="1"/>
  <c r="N34" i="3"/>
  <c r="O34" i="3" s="1"/>
  <c r="M34" i="3"/>
  <c r="K34" i="3"/>
  <c r="J34" i="3"/>
  <c r="I34" i="3"/>
  <c r="G34" i="3"/>
  <c r="AU33" i="3"/>
  <c r="AS33" i="3"/>
  <c r="AK33" i="3"/>
  <c r="AG33" i="3"/>
  <c r="AE33" i="3"/>
  <c r="AF33" i="3" s="1"/>
  <c r="AD33" i="3"/>
  <c r="AB33" i="3"/>
  <c r="U33" i="3"/>
  <c r="AH33" i="3" s="1"/>
  <c r="T33" i="3"/>
  <c r="P33" i="3"/>
  <c r="O33" i="3"/>
  <c r="N33" i="3"/>
  <c r="M33" i="3"/>
  <c r="J33" i="3"/>
  <c r="I33" i="3"/>
  <c r="G33" i="3"/>
  <c r="AS32" i="3"/>
  <c r="AU32" i="3" s="1"/>
  <c r="AV32" i="3" s="1"/>
  <c r="AK32" i="3"/>
  <c r="AG32" i="3"/>
  <c r="AE32" i="3"/>
  <c r="AF32" i="3" s="1"/>
  <c r="AD32" i="3"/>
  <c r="AB32" i="3"/>
  <c r="T32" i="3"/>
  <c r="P32" i="3"/>
  <c r="N32" i="3"/>
  <c r="M32" i="3"/>
  <c r="J32" i="3"/>
  <c r="I32" i="3"/>
  <c r="G32" i="3"/>
  <c r="AU31" i="3"/>
  <c r="AV31" i="3" s="1"/>
  <c r="AS31" i="3"/>
  <c r="AK31" i="3"/>
  <c r="AE31" i="3"/>
  <c r="AF31" i="3" s="1"/>
  <c r="AD31" i="3"/>
  <c r="AB31" i="3"/>
  <c r="P31" i="3"/>
  <c r="V31" i="3" s="1"/>
  <c r="AI31" i="3" s="1"/>
  <c r="N31" i="3"/>
  <c r="O31" i="3" s="1"/>
  <c r="M31" i="3"/>
  <c r="K31" i="3"/>
  <c r="J31" i="3"/>
  <c r="I31" i="3"/>
  <c r="G31" i="3"/>
  <c r="AS30" i="3"/>
  <c r="AU30" i="3" s="1"/>
  <c r="AV30" i="3" s="1"/>
  <c r="AK30" i="3"/>
  <c r="AE30" i="3"/>
  <c r="AF30" i="3" s="1"/>
  <c r="AD30" i="3"/>
  <c r="AB30" i="3"/>
  <c r="V30" i="3"/>
  <c r="AI30" i="3" s="1"/>
  <c r="P30" i="3"/>
  <c r="N30" i="3"/>
  <c r="M30" i="3"/>
  <c r="K30" i="3"/>
  <c r="J30" i="3"/>
  <c r="I30" i="3"/>
  <c r="G30" i="3"/>
  <c r="AS29" i="3"/>
  <c r="AU29" i="3" s="1"/>
  <c r="AV29" i="3" s="1"/>
  <c r="AK29" i="3"/>
  <c r="AE29" i="3"/>
  <c r="AF29" i="3" s="1"/>
  <c r="AD29" i="3"/>
  <c r="AB29" i="3"/>
  <c r="W29" i="3"/>
  <c r="AJ29" i="3" s="1"/>
  <c r="V29" i="3"/>
  <c r="AI29" i="3" s="1"/>
  <c r="U29" i="3"/>
  <c r="AH29" i="3" s="1"/>
  <c r="P29" i="3"/>
  <c r="N29" i="3"/>
  <c r="R29" i="3" s="1"/>
  <c r="M29" i="3"/>
  <c r="K29" i="3"/>
  <c r="J29" i="3"/>
  <c r="I29" i="3"/>
  <c r="G29" i="3"/>
  <c r="AS28" i="3"/>
  <c r="AU28" i="3" s="1"/>
  <c r="AV28" i="3" s="1"/>
  <c r="AK28" i="3"/>
  <c r="AE28" i="3"/>
  <c r="AF28" i="3" s="1"/>
  <c r="AD28" i="3"/>
  <c r="AB28" i="3"/>
  <c r="W28" i="3"/>
  <c r="AJ28" i="3" s="1"/>
  <c r="V28" i="3"/>
  <c r="AI28" i="3" s="1"/>
  <c r="U28" i="3"/>
  <c r="AH28" i="3" s="1"/>
  <c r="T28" i="3"/>
  <c r="X28" i="3" s="1"/>
  <c r="P28" i="3"/>
  <c r="N28" i="3"/>
  <c r="R28" i="3" s="1"/>
  <c r="M28" i="3"/>
  <c r="K28" i="3"/>
  <c r="J28" i="3"/>
  <c r="I28" i="3"/>
  <c r="G28" i="3"/>
  <c r="AS27" i="3"/>
  <c r="AU27" i="3" s="1"/>
  <c r="AV27" i="3" s="1"/>
  <c r="AK27" i="3"/>
  <c r="AJ27" i="3"/>
  <c r="AE27" i="3"/>
  <c r="AF27" i="3" s="1"/>
  <c r="AD27" i="3"/>
  <c r="AB27" i="3"/>
  <c r="W27" i="3"/>
  <c r="V27" i="3"/>
  <c r="AI27" i="3" s="1"/>
  <c r="U27" i="3"/>
  <c r="AH27" i="3" s="1"/>
  <c r="T27" i="3"/>
  <c r="X27" i="3" s="1"/>
  <c r="P27" i="3"/>
  <c r="N27" i="3"/>
  <c r="R27" i="3" s="1"/>
  <c r="M27" i="3"/>
  <c r="S27" i="3" s="1"/>
  <c r="J27" i="3"/>
  <c r="K27" i="3" s="1"/>
  <c r="I27" i="3"/>
  <c r="G27" i="3"/>
  <c r="AS26" i="3"/>
  <c r="AU26" i="3" s="1"/>
  <c r="AV26" i="3" s="1"/>
  <c r="AK26" i="3"/>
  <c r="AH26" i="3"/>
  <c r="AF26" i="3"/>
  <c r="AE26" i="3"/>
  <c r="AD26" i="3"/>
  <c r="AB26" i="3"/>
  <c r="V26" i="3"/>
  <c r="AI26" i="3" s="1"/>
  <c r="U26" i="3"/>
  <c r="R26" i="3"/>
  <c r="P26" i="3"/>
  <c r="N26" i="3"/>
  <c r="M26" i="3"/>
  <c r="T26" i="3" s="1"/>
  <c r="J26" i="3"/>
  <c r="K26" i="3" s="1"/>
  <c r="I26" i="3"/>
  <c r="G26" i="3"/>
  <c r="AS25" i="3"/>
  <c r="AU25" i="3" s="1"/>
  <c r="AK25" i="3"/>
  <c r="AI25" i="3"/>
  <c r="AH25" i="3"/>
  <c r="AG25" i="3"/>
  <c r="AE25" i="3"/>
  <c r="AF25" i="3" s="1"/>
  <c r="AD25" i="3"/>
  <c r="AB25" i="3"/>
  <c r="V25" i="3"/>
  <c r="U25" i="3"/>
  <c r="T25" i="3"/>
  <c r="R25" i="3"/>
  <c r="S25" i="3" s="1"/>
  <c r="Q25" i="3"/>
  <c r="P25" i="3"/>
  <c r="N25" i="3"/>
  <c r="O25" i="3" s="1"/>
  <c r="M25" i="3"/>
  <c r="J25" i="3"/>
  <c r="I25" i="3"/>
  <c r="G25" i="3"/>
  <c r="AS24" i="3"/>
  <c r="AU24" i="3" s="1"/>
  <c r="AV24" i="3" s="1"/>
  <c r="AK24" i="3"/>
  <c r="AI24" i="3"/>
  <c r="AG24" i="3"/>
  <c r="AE24" i="3"/>
  <c r="AF24" i="3" s="1"/>
  <c r="AD24" i="3"/>
  <c r="AB24" i="3"/>
  <c r="U24" i="3"/>
  <c r="AH24" i="3" s="1"/>
  <c r="T24" i="3"/>
  <c r="R24" i="3"/>
  <c r="S24" i="3" s="1"/>
  <c r="P24" i="3"/>
  <c r="V24" i="3" s="1"/>
  <c r="N24" i="3"/>
  <c r="O24" i="3" s="1"/>
  <c r="M24" i="3"/>
  <c r="K24" i="3"/>
  <c r="J24" i="3"/>
  <c r="I24" i="3"/>
  <c r="G24" i="3"/>
  <c r="AV23" i="3"/>
  <c r="AU23" i="3"/>
  <c r="AS23" i="3"/>
  <c r="AK23" i="3"/>
  <c r="AH23" i="3"/>
  <c r="AG23" i="3"/>
  <c r="AE23" i="3"/>
  <c r="AF23" i="3" s="1"/>
  <c r="AD23" i="3"/>
  <c r="AB23" i="3"/>
  <c r="U23" i="3"/>
  <c r="T23" i="3"/>
  <c r="P23" i="3"/>
  <c r="V23" i="3" s="1"/>
  <c r="AI23" i="3" s="1"/>
  <c r="O23" i="3"/>
  <c r="N23" i="3"/>
  <c r="M23" i="3"/>
  <c r="K23" i="3"/>
  <c r="J23" i="3"/>
  <c r="I23" i="3"/>
  <c r="G23" i="3"/>
  <c r="AS22" i="3"/>
  <c r="AU22" i="3" s="1"/>
  <c r="AV22" i="3" s="1"/>
  <c r="AK22" i="3"/>
  <c r="AG22" i="3"/>
  <c r="AE22" i="3"/>
  <c r="AF22" i="3" s="1"/>
  <c r="AD22" i="3"/>
  <c r="AB22" i="3"/>
  <c r="T22" i="3"/>
  <c r="P22" i="3"/>
  <c r="V22" i="3" s="1"/>
  <c r="AI22" i="3" s="1"/>
  <c r="N22" i="3"/>
  <c r="U22" i="3" s="1"/>
  <c r="AH22" i="3" s="1"/>
  <c r="M22" i="3"/>
  <c r="K22" i="3"/>
  <c r="J22" i="3"/>
  <c r="I22" i="3"/>
  <c r="G22" i="3"/>
  <c r="AS21" i="3"/>
  <c r="AU21" i="3" s="1"/>
  <c r="AV21" i="3" s="1"/>
  <c r="AK21" i="3"/>
  <c r="AE21" i="3"/>
  <c r="AF21" i="3" s="1"/>
  <c r="AD21" i="3"/>
  <c r="AB21" i="3"/>
  <c r="P21" i="3"/>
  <c r="V21" i="3" s="1"/>
  <c r="AI21" i="3" s="1"/>
  <c r="O21" i="3"/>
  <c r="N21" i="3"/>
  <c r="U21" i="3" s="1"/>
  <c r="AH21" i="3" s="1"/>
  <c r="M21" i="3"/>
  <c r="K21" i="3"/>
  <c r="J21" i="3"/>
  <c r="I21" i="3"/>
  <c r="G21" i="3"/>
  <c r="AS20" i="3"/>
  <c r="AU20" i="3" s="1"/>
  <c r="AV20" i="3" s="1"/>
  <c r="AK20" i="3"/>
  <c r="AE20" i="3"/>
  <c r="AF20" i="3" s="1"/>
  <c r="AD20" i="3"/>
  <c r="AB20" i="3"/>
  <c r="P20" i="3"/>
  <c r="Q20" i="3" s="1"/>
  <c r="N20" i="3"/>
  <c r="M20" i="3"/>
  <c r="K20" i="3"/>
  <c r="J20" i="3"/>
  <c r="I20" i="3"/>
  <c r="G20" i="3"/>
  <c r="AS19" i="3"/>
  <c r="AU19" i="3" s="1"/>
  <c r="AV19" i="3" s="1"/>
  <c r="AK19" i="3"/>
  <c r="AE19" i="3"/>
  <c r="AF19" i="3" s="1"/>
  <c r="AD19" i="3"/>
  <c r="AB19" i="3"/>
  <c r="W19" i="3"/>
  <c r="AJ19" i="3" s="1"/>
  <c r="V19" i="3"/>
  <c r="AI19" i="3" s="1"/>
  <c r="U19" i="3"/>
  <c r="AH19" i="3" s="1"/>
  <c r="P19" i="3"/>
  <c r="N19" i="3"/>
  <c r="R19" i="3" s="1"/>
  <c r="M19" i="3"/>
  <c r="J19" i="3"/>
  <c r="K19" i="3" s="1"/>
  <c r="I19" i="3"/>
  <c r="G19" i="3"/>
  <c r="AS18" i="3"/>
  <c r="AU18" i="3" s="1"/>
  <c r="AV18" i="3" s="1"/>
  <c r="AK18" i="3"/>
  <c r="AE18" i="3"/>
  <c r="AF18" i="3" s="1"/>
  <c r="AD18" i="3"/>
  <c r="AB18" i="3"/>
  <c r="W18" i="3"/>
  <c r="AJ18" i="3" s="1"/>
  <c r="V18" i="3"/>
  <c r="AI18" i="3" s="1"/>
  <c r="P18" i="3"/>
  <c r="N18" i="3"/>
  <c r="R18" i="3" s="1"/>
  <c r="M18" i="3"/>
  <c r="J18" i="3"/>
  <c r="K18" i="3" s="1"/>
  <c r="I18" i="3"/>
  <c r="G18" i="3"/>
  <c r="AS17" i="3"/>
  <c r="AU17" i="3" s="1"/>
  <c r="AV17" i="3" s="1"/>
  <c r="AK17" i="3"/>
  <c r="AI17" i="3"/>
  <c r="AE17" i="3"/>
  <c r="AF17" i="3" s="1"/>
  <c r="AD17" i="3"/>
  <c r="AB17" i="3"/>
  <c r="V17" i="3"/>
  <c r="P17" i="3"/>
  <c r="N17" i="3"/>
  <c r="M17" i="3"/>
  <c r="T17" i="3" s="1"/>
  <c r="K17" i="3"/>
  <c r="J17" i="3"/>
  <c r="I17" i="3"/>
  <c r="G17" i="3"/>
  <c r="AS16" i="3"/>
  <c r="AU16" i="3" s="1"/>
  <c r="AV16" i="3" s="1"/>
  <c r="AK16" i="3"/>
  <c r="AI16" i="3"/>
  <c r="AH16" i="3"/>
  <c r="AG16" i="3"/>
  <c r="AF16" i="3"/>
  <c r="AE16" i="3"/>
  <c r="AD16" i="3"/>
  <c r="AB16" i="3"/>
  <c r="V16" i="3"/>
  <c r="U16" i="3"/>
  <c r="T16" i="3"/>
  <c r="R16" i="3"/>
  <c r="W16" i="3" s="1"/>
  <c r="AJ16" i="3" s="1"/>
  <c r="P16" i="3"/>
  <c r="Q16" i="3" s="1"/>
  <c r="N16" i="3"/>
  <c r="O16" i="3" s="1"/>
  <c r="M16" i="3"/>
  <c r="K16" i="3"/>
  <c r="J16" i="3"/>
  <c r="I16" i="3"/>
  <c r="G16" i="3"/>
  <c r="AS15" i="3"/>
  <c r="AU15" i="3" s="1"/>
  <c r="AV15" i="3" s="1"/>
  <c r="AK15" i="3"/>
  <c r="AJ15" i="3"/>
  <c r="AI15" i="3"/>
  <c r="AG15" i="3"/>
  <c r="AE15" i="3"/>
  <c r="AF15" i="3" s="1"/>
  <c r="AD15" i="3"/>
  <c r="AB15" i="3"/>
  <c r="V15" i="3"/>
  <c r="U15" i="3"/>
  <c r="AH15" i="3" s="1"/>
  <c r="T15" i="3"/>
  <c r="X15" i="3" s="1"/>
  <c r="S15" i="3"/>
  <c r="R15" i="3"/>
  <c r="Q15" i="3"/>
  <c r="P15" i="3"/>
  <c r="N15" i="3"/>
  <c r="O15" i="3" s="1"/>
  <c r="M15" i="3"/>
  <c r="K15" i="3"/>
  <c r="J15" i="3"/>
  <c r="W15" i="3" s="1"/>
  <c r="I15" i="3"/>
  <c r="G15" i="3"/>
  <c r="AS14" i="3"/>
  <c r="AU14" i="3" s="1"/>
  <c r="AV14" i="3" s="1"/>
  <c r="AK14" i="3"/>
  <c r="AH14" i="3"/>
  <c r="AG14" i="3"/>
  <c r="AE14" i="3"/>
  <c r="AF14" i="3" s="1"/>
  <c r="AD14" i="3"/>
  <c r="AB14" i="3"/>
  <c r="U14" i="3"/>
  <c r="T14" i="3"/>
  <c r="P14" i="3"/>
  <c r="V14" i="3" s="1"/>
  <c r="AI14" i="3" s="1"/>
  <c r="N14" i="3"/>
  <c r="O14" i="3" s="1"/>
  <c r="M14" i="3"/>
  <c r="K14" i="3"/>
  <c r="J14" i="3"/>
  <c r="I14" i="3"/>
  <c r="G14" i="3"/>
  <c r="AU13" i="3"/>
  <c r="AV13" i="3" s="1"/>
  <c r="AS13" i="3"/>
  <c r="AK13" i="3"/>
  <c r="AH13" i="3"/>
  <c r="AG13" i="3"/>
  <c r="AF13" i="3"/>
  <c r="AE13" i="3"/>
  <c r="AD13" i="3"/>
  <c r="AB13" i="3"/>
  <c r="U13" i="3"/>
  <c r="T13" i="3"/>
  <c r="P13" i="3"/>
  <c r="V13" i="3" s="1"/>
  <c r="AI13" i="3" s="1"/>
  <c r="O13" i="3"/>
  <c r="N13" i="3"/>
  <c r="M13" i="3"/>
  <c r="K13" i="3"/>
  <c r="J13" i="3"/>
  <c r="I13" i="3"/>
  <c r="G13" i="3"/>
  <c r="AS12" i="3"/>
  <c r="AU12" i="3" s="1"/>
  <c r="AV12" i="3" s="1"/>
  <c r="AK12" i="3"/>
  <c r="AG12" i="3"/>
  <c r="AE12" i="3"/>
  <c r="AF12" i="3" s="1"/>
  <c r="AD12" i="3"/>
  <c r="AB12" i="3"/>
  <c r="T12" i="3"/>
  <c r="R12" i="3"/>
  <c r="S12" i="3" s="1"/>
  <c r="P12" i="3"/>
  <c r="V12" i="3" s="1"/>
  <c r="AI12" i="3" s="1"/>
  <c r="N12" i="3"/>
  <c r="U12" i="3" s="1"/>
  <c r="AH12" i="3" s="1"/>
  <c r="M12" i="3"/>
  <c r="J12" i="3"/>
  <c r="I12" i="3"/>
  <c r="G12" i="3"/>
  <c r="AS11" i="3"/>
  <c r="AU11" i="3" s="1"/>
  <c r="AV11" i="3" s="1"/>
  <c r="AK11" i="3"/>
  <c r="AE11" i="3"/>
  <c r="AF11" i="3" s="1"/>
  <c r="AD11" i="3"/>
  <c r="AB11" i="3"/>
  <c r="R11" i="3"/>
  <c r="W11" i="3" s="1"/>
  <c r="AJ11" i="3" s="1"/>
  <c r="P11" i="3"/>
  <c r="V11" i="3" s="1"/>
  <c r="AI11" i="3" s="1"/>
  <c r="N11" i="3"/>
  <c r="U11" i="3" s="1"/>
  <c r="AH11" i="3" s="1"/>
  <c r="M11" i="3"/>
  <c r="J11" i="3"/>
  <c r="K11" i="3" s="1"/>
  <c r="I11" i="3"/>
  <c r="G11" i="3"/>
  <c r="AS10" i="3"/>
  <c r="AU10" i="3" s="1"/>
  <c r="AV10" i="3" s="1"/>
  <c r="AK10" i="3"/>
  <c r="AE10" i="3"/>
  <c r="AF10" i="3" s="1"/>
  <c r="AD10" i="3"/>
  <c r="AB10" i="3"/>
  <c r="V10" i="3"/>
  <c r="AI10" i="3" s="1"/>
  <c r="P10" i="3"/>
  <c r="Q10" i="3" s="1"/>
  <c r="N10" i="3"/>
  <c r="M10" i="3"/>
  <c r="K10" i="3"/>
  <c r="J10" i="3"/>
  <c r="I10" i="3"/>
  <c r="G10" i="3"/>
  <c r="AS9" i="3"/>
  <c r="AU9" i="3" s="1"/>
  <c r="AV9" i="3" s="1"/>
  <c r="AK9" i="3"/>
  <c r="AE9" i="3"/>
  <c r="AF9" i="3" s="1"/>
  <c r="AD9" i="3"/>
  <c r="AB9" i="3"/>
  <c r="P9" i="3"/>
  <c r="V9" i="3" s="1"/>
  <c r="AI9" i="3" s="1"/>
  <c r="N9" i="3"/>
  <c r="R9" i="3" s="1"/>
  <c r="M9" i="3"/>
  <c r="K9" i="3"/>
  <c r="J9" i="3"/>
  <c r="W9" i="3" s="1"/>
  <c r="AJ9" i="3" s="1"/>
  <c r="I9" i="3"/>
  <c r="G9" i="3"/>
  <c r="AS8" i="3"/>
  <c r="AU8" i="3" s="1"/>
  <c r="AV8" i="3" s="1"/>
  <c r="AK8" i="3"/>
  <c r="AE8" i="3"/>
  <c r="AF8" i="3" s="1"/>
  <c r="AD8" i="3"/>
  <c r="AB8" i="3"/>
  <c r="T8" i="3"/>
  <c r="P8" i="3"/>
  <c r="V8" i="3" s="1"/>
  <c r="AI8" i="3" s="1"/>
  <c r="N8" i="3"/>
  <c r="R8" i="3" s="1"/>
  <c r="W8" i="3" s="1"/>
  <c r="AJ8" i="3" s="1"/>
  <c r="M8" i="3"/>
  <c r="K8" i="3"/>
  <c r="J8" i="3"/>
  <c r="I8" i="3"/>
  <c r="G8" i="3"/>
  <c r="AS7" i="3"/>
  <c r="AU7" i="3" s="1"/>
  <c r="AV7" i="3" s="1"/>
  <c r="AK7" i="3"/>
  <c r="AI7" i="3"/>
  <c r="AE7" i="3"/>
  <c r="AF7" i="3" s="1"/>
  <c r="AD7" i="3"/>
  <c r="AB7" i="3"/>
  <c r="V7" i="3"/>
  <c r="U7" i="3"/>
  <c r="AH7" i="3" s="1"/>
  <c r="T7" i="3"/>
  <c r="X7" i="3" s="1"/>
  <c r="P7" i="3"/>
  <c r="N7" i="3"/>
  <c r="R7" i="3" s="1"/>
  <c r="M7" i="3"/>
  <c r="S7" i="3" s="1"/>
  <c r="K7" i="3"/>
  <c r="J7" i="3"/>
  <c r="W7" i="3" s="1"/>
  <c r="AJ7" i="3" s="1"/>
  <c r="I7" i="3"/>
  <c r="G7" i="3"/>
  <c r="AS6" i="3"/>
  <c r="AU6" i="3" s="1"/>
  <c r="AV6" i="3" s="1"/>
  <c r="AK6" i="3"/>
  <c r="AI6" i="3"/>
  <c r="AF6" i="3"/>
  <c r="AE6" i="3"/>
  <c r="AD6" i="3"/>
  <c r="AB6" i="3"/>
  <c r="V6" i="3"/>
  <c r="P6" i="3"/>
  <c r="N6" i="3"/>
  <c r="M6" i="3"/>
  <c r="T6" i="3" s="1"/>
  <c r="K6" i="3"/>
  <c r="J6" i="3"/>
  <c r="I6" i="3"/>
  <c r="G6" i="3"/>
  <c r="AS5" i="3"/>
  <c r="AU5" i="3" s="1"/>
  <c r="AV5" i="3" s="1"/>
  <c r="AK5" i="3"/>
  <c r="AI5" i="3"/>
  <c r="AH5" i="3"/>
  <c r="AG5" i="3"/>
  <c r="AE5" i="3"/>
  <c r="AD5" i="3"/>
  <c r="AB5" i="3"/>
  <c r="V5" i="3"/>
  <c r="U5" i="3"/>
  <c r="T5" i="3"/>
  <c r="R5" i="3"/>
  <c r="P5" i="3"/>
  <c r="N5" i="3"/>
  <c r="M5" i="3"/>
  <c r="Q5" i="3" s="1"/>
  <c r="J5" i="3"/>
  <c r="W5" i="3" s="1"/>
  <c r="I5" i="3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AK44" i="1"/>
  <c r="F38" i="1"/>
  <c r="AK37" i="1"/>
  <c r="AL45" i="1" s="1"/>
  <c r="AA37" i="1"/>
  <c r="AB37" i="1" s="1"/>
  <c r="AS36" i="1"/>
  <c r="AR36" i="1"/>
  <c r="AQ36" i="1"/>
  <c r="AP36" i="1"/>
  <c r="AO36" i="1"/>
  <c r="AN36" i="1"/>
  <c r="AM36" i="1"/>
  <c r="AL36" i="1"/>
  <c r="AC36" i="1"/>
  <c r="AC37" i="1" s="1"/>
  <c r="AD37" i="1" s="1"/>
  <c r="AA36" i="1"/>
  <c r="Z36" i="1"/>
  <c r="Y36" i="1"/>
  <c r="N36" i="1"/>
  <c r="M36" i="1"/>
  <c r="N38" i="1" s="1"/>
  <c r="L36" i="1"/>
  <c r="H36" i="1"/>
  <c r="H37" i="1" s="1"/>
  <c r="I37" i="1" s="1"/>
  <c r="F36" i="1"/>
  <c r="F37" i="1" s="1"/>
  <c r="G37" i="1" s="1"/>
  <c r="K37" i="1" s="1"/>
  <c r="E36" i="1"/>
  <c r="D36" i="1"/>
  <c r="C36" i="1"/>
  <c r="AS35" i="1"/>
  <c r="AK35" i="1"/>
  <c r="AK36" i="1" s="1"/>
  <c r="AG35" i="1"/>
  <c r="AF35" i="1"/>
  <c r="AE35" i="1"/>
  <c r="AD35" i="1"/>
  <c r="AB35" i="1"/>
  <c r="U35" i="1"/>
  <c r="AH35" i="1" s="1"/>
  <c r="T35" i="1"/>
  <c r="R35" i="1"/>
  <c r="S35" i="1" s="1"/>
  <c r="P35" i="1"/>
  <c r="V35" i="1" s="1"/>
  <c r="AI35" i="1" s="1"/>
  <c r="N35" i="1"/>
  <c r="O35" i="1" s="1"/>
  <c r="M35" i="1"/>
  <c r="K35" i="1"/>
  <c r="J35" i="1"/>
  <c r="W35" i="1" s="1"/>
  <c r="AJ35" i="1" s="1"/>
  <c r="I35" i="1"/>
  <c r="G35" i="1"/>
  <c r="AW34" i="1"/>
  <c r="AV34" i="1"/>
  <c r="AS34" i="1"/>
  <c r="AU34" i="1" s="1"/>
  <c r="AK34" i="1"/>
  <c r="AH34" i="1"/>
  <c r="AG34" i="1"/>
  <c r="AF34" i="1"/>
  <c r="AE34" i="1"/>
  <c r="AD34" i="1"/>
  <c r="AB34" i="1"/>
  <c r="U34" i="1"/>
  <c r="T34" i="1"/>
  <c r="P34" i="1"/>
  <c r="N34" i="1"/>
  <c r="O34" i="1" s="1"/>
  <c r="M34" i="1"/>
  <c r="K34" i="1"/>
  <c r="J34" i="1"/>
  <c r="I34" i="1"/>
  <c r="G34" i="1"/>
  <c r="AV33" i="1"/>
  <c r="AW33" i="1" s="1"/>
  <c r="AS33" i="1"/>
  <c r="AU33" i="1" s="1"/>
  <c r="AK33" i="1"/>
  <c r="AH33" i="1"/>
  <c r="AG33" i="1"/>
  <c r="AE33" i="1"/>
  <c r="AF33" i="1" s="1"/>
  <c r="AD33" i="1"/>
  <c r="AB33" i="1"/>
  <c r="U33" i="1"/>
  <c r="T33" i="1"/>
  <c r="R33" i="1"/>
  <c r="S33" i="1" s="1"/>
  <c r="P33" i="1"/>
  <c r="V33" i="1" s="1"/>
  <c r="AI33" i="1" s="1"/>
  <c r="N33" i="1"/>
  <c r="O33" i="1" s="1"/>
  <c r="M33" i="1"/>
  <c r="K33" i="1"/>
  <c r="J33" i="1"/>
  <c r="I33" i="1"/>
  <c r="G33" i="1"/>
  <c r="AS32" i="1"/>
  <c r="AU32" i="1" s="1"/>
  <c r="AK32" i="1"/>
  <c r="AH32" i="1"/>
  <c r="AG32" i="1"/>
  <c r="AE32" i="1"/>
  <c r="AV32" i="1" s="1"/>
  <c r="AW32" i="1" s="1"/>
  <c r="AD32" i="1"/>
  <c r="AB32" i="1"/>
  <c r="U32" i="1"/>
  <c r="T32" i="1"/>
  <c r="R32" i="1"/>
  <c r="S32" i="1" s="1"/>
  <c r="Q32" i="1"/>
  <c r="P32" i="1"/>
  <c r="V32" i="1" s="1"/>
  <c r="AI32" i="1" s="1"/>
  <c r="N32" i="1"/>
  <c r="O32" i="1" s="1"/>
  <c r="M32" i="1"/>
  <c r="J32" i="1"/>
  <c r="W32" i="1" s="1"/>
  <c r="AJ32" i="1" s="1"/>
  <c r="I32" i="1"/>
  <c r="G32" i="1"/>
  <c r="AS31" i="1"/>
  <c r="AU31" i="1" s="1"/>
  <c r="AK31" i="1"/>
  <c r="AH31" i="1"/>
  <c r="AG31" i="1"/>
  <c r="AE31" i="1"/>
  <c r="AV31" i="1" s="1"/>
  <c r="AW31" i="1" s="1"/>
  <c r="AD31" i="1"/>
  <c r="AB31" i="1"/>
  <c r="U31" i="1"/>
  <c r="T31" i="1"/>
  <c r="P31" i="1"/>
  <c r="V31" i="1" s="1"/>
  <c r="AI31" i="1" s="1"/>
  <c r="N31" i="1"/>
  <c r="O31" i="1" s="1"/>
  <c r="M31" i="1"/>
  <c r="J31" i="1"/>
  <c r="I31" i="1"/>
  <c r="G31" i="1"/>
  <c r="AW30" i="1"/>
  <c r="AV30" i="1"/>
  <c r="AS30" i="1"/>
  <c r="AU30" i="1" s="1"/>
  <c r="AK30" i="1"/>
  <c r="AH30" i="1"/>
  <c r="AG30" i="1"/>
  <c r="AF30" i="1"/>
  <c r="AE30" i="1"/>
  <c r="AD30" i="1"/>
  <c r="AB30" i="1"/>
  <c r="U30" i="1"/>
  <c r="T30" i="1"/>
  <c r="Q30" i="1"/>
  <c r="P30" i="1"/>
  <c r="N30" i="1"/>
  <c r="O30" i="1" s="1"/>
  <c r="M30" i="1"/>
  <c r="K30" i="1"/>
  <c r="J30" i="1"/>
  <c r="I30" i="1"/>
  <c r="G30" i="1"/>
  <c r="AV29" i="1"/>
  <c r="AW29" i="1" s="1"/>
  <c r="AS29" i="1"/>
  <c r="AU29" i="1" s="1"/>
  <c r="AK29" i="1"/>
  <c r="AH29" i="1"/>
  <c r="AG29" i="1"/>
  <c r="AE29" i="1"/>
  <c r="AF29" i="1" s="1"/>
  <c r="AD29" i="1"/>
  <c r="AB29" i="1"/>
  <c r="U29" i="1"/>
  <c r="T29" i="1"/>
  <c r="R29" i="1"/>
  <c r="S29" i="1" s="1"/>
  <c r="P29" i="1"/>
  <c r="V29" i="1" s="1"/>
  <c r="AI29" i="1" s="1"/>
  <c r="N29" i="1"/>
  <c r="O29" i="1" s="1"/>
  <c r="M29" i="1"/>
  <c r="K29" i="1"/>
  <c r="J29" i="1"/>
  <c r="I29" i="1"/>
  <c r="G29" i="1"/>
  <c r="AS28" i="1"/>
  <c r="AU28" i="1" s="1"/>
  <c r="AK28" i="1"/>
  <c r="AI28" i="1"/>
  <c r="AH28" i="1"/>
  <c r="AG28" i="1"/>
  <c r="AE28" i="1"/>
  <c r="AD28" i="1"/>
  <c r="AB28" i="1"/>
  <c r="U28" i="1"/>
  <c r="T28" i="1"/>
  <c r="R28" i="1"/>
  <c r="S28" i="1" s="1"/>
  <c r="P28" i="1"/>
  <c r="V28" i="1" s="1"/>
  <c r="N28" i="1"/>
  <c r="O28" i="1" s="1"/>
  <c r="M28" i="1"/>
  <c r="K28" i="1"/>
  <c r="J28" i="1"/>
  <c r="W28" i="1" s="1"/>
  <c r="AJ28" i="1" s="1"/>
  <c r="I28" i="1"/>
  <c r="G28" i="1"/>
  <c r="AW27" i="1"/>
  <c r="AV27" i="1"/>
  <c r="AS27" i="1"/>
  <c r="AU27" i="1" s="1"/>
  <c r="AK27" i="1"/>
  <c r="AH27" i="1"/>
  <c r="AG27" i="1"/>
  <c r="AE27" i="1"/>
  <c r="AF27" i="1" s="1"/>
  <c r="AD27" i="1"/>
  <c r="AB27" i="1"/>
  <c r="U27" i="1"/>
  <c r="T27" i="1"/>
  <c r="R27" i="1"/>
  <c r="S27" i="1" s="1"/>
  <c r="Q27" i="1"/>
  <c r="P27" i="1"/>
  <c r="V27" i="1" s="1"/>
  <c r="AI27" i="1" s="1"/>
  <c r="N27" i="1"/>
  <c r="O27" i="1" s="1"/>
  <c r="M27" i="1"/>
  <c r="K27" i="1"/>
  <c r="J27" i="1"/>
  <c r="I27" i="1"/>
  <c r="G27" i="1"/>
  <c r="AV26" i="1"/>
  <c r="AW26" i="1" s="1"/>
  <c r="AS26" i="1"/>
  <c r="AU26" i="1" s="1"/>
  <c r="AK26" i="1"/>
  <c r="AG26" i="1"/>
  <c r="AE26" i="1"/>
  <c r="AF26" i="1" s="1"/>
  <c r="AD26" i="1"/>
  <c r="AB26" i="1"/>
  <c r="U26" i="1"/>
  <c r="AH26" i="1" s="1"/>
  <c r="T26" i="1"/>
  <c r="P26" i="1"/>
  <c r="V26" i="1" s="1"/>
  <c r="AI26" i="1" s="1"/>
  <c r="N26" i="1"/>
  <c r="O26" i="1" s="1"/>
  <c r="M26" i="1"/>
  <c r="K26" i="1"/>
  <c r="J26" i="1"/>
  <c r="I26" i="1"/>
  <c r="G26" i="1"/>
  <c r="AS25" i="1"/>
  <c r="AU25" i="1" s="1"/>
  <c r="AK25" i="1"/>
  <c r="AH25" i="1"/>
  <c r="AG25" i="1"/>
  <c r="AE25" i="1"/>
  <c r="AV25" i="1" s="1"/>
  <c r="AW25" i="1" s="1"/>
  <c r="AD25" i="1"/>
  <c r="AB25" i="1"/>
  <c r="U25" i="1"/>
  <c r="T25" i="1"/>
  <c r="P25" i="1"/>
  <c r="N25" i="1"/>
  <c r="O25" i="1" s="1"/>
  <c r="M25" i="1"/>
  <c r="J25" i="1"/>
  <c r="I25" i="1"/>
  <c r="G25" i="1"/>
  <c r="AV24" i="1"/>
  <c r="AW24" i="1" s="1"/>
  <c r="AS24" i="1"/>
  <c r="AU24" i="1" s="1"/>
  <c r="AK24" i="1"/>
  <c r="AI24" i="1"/>
  <c r="AH24" i="1"/>
  <c r="AG24" i="1"/>
  <c r="AE24" i="1"/>
  <c r="AF24" i="1" s="1"/>
  <c r="AD24" i="1"/>
  <c r="AB24" i="1"/>
  <c r="U24" i="1"/>
  <c r="T24" i="1"/>
  <c r="R24" i="1"/>
  <c r="S24" i="1" s="1"/>
  <c r="Q24" i="1"/>
  <c r="P24" i="1"/>
  <c r="V24" i="1" s="1"/>
  <c r="N24" i="1"/>
  <c r="O24" i="1" s="1"/>
  <c r="M24" i="1"/>
  <c r="J24" i="1"/>
  <c r="I24" i="1"/>
  <c r="G24" i="1"/>
  <c r="AV23" i="1"/>
  <c r="AW23" i="1" s="1"/>
  <c r="AS23" i="1"/>
  <c r="AU23" i="1" s="1"/>
  <c r="AK23" i="1"/>
  <c r="AG23" i="1"/>
  <c r="AE23" i="1"/>
  <c r="AF23" i="1" s="1"/>
  <c r="AD23" i="1"/>
  <c r="AB23" i="1"/>
  <c r="U23" i="1"/>
  <c r="AH23" i="1" s="1"/>
  <c r="T23" i="1"/>
  <c r="P23" i="1"/>
  <c r="V23" i="1" s="1"/>
  <c r="AI23" i="1" s="1"/>
  <c r="N23" i="1"/>
  <c r="O23" i="1" s="1"/>
  <c r="M23" i="1"/>
  <c r="K23" i="1"/>
  <c r="J23" i="1"/>
  <c r="I23" i="1"/>
  <c r="G23" i="1"/>
  <c r="AS22" i="1"/>
  <c r="AU22" i="1" s="1"/>
  <c r="AK22" i="1"/>
  <c r="AH22" i="1"/>
  <c r="AG22" i="1"/>
  <c r="AE22" i="1"/>
  <c r="AV22" i="1" s="1"/>
  <c r="AW22" i="1" s="1"/>
  <c r="AD22" i="1"/>
  <c r="AB22" i="1"/>
  <c r="U22" i="1"/>
  <c r="T22" i="1"/>
  <c r="P22" i="1"/>
  <c r="Q22" i="1" s="1"/>
  <c r="N22" i="1"/>
  <c r="O22" i="1" s="1"/>
  <c r="M22" i="1"/>
  <c r="K22" i="1"/>
  <c r="J22" i="1"/>
  <c r="I22" i="1"/>
  <c r="G22" i="1"/>
  <c r="AV21" i="1"/>
  <c r="AW21" i="1" s="1"/>
  <c r="AS21" i="1"/>
  <c r="AU21" i="1" s="1"/>
  <c r="AK21" i="1"/>
  <c r="AG21" i="1"/>
  <c r="AE21" i="1"/>
  <c r="AF21" i="1" s="1"/>
  <c r="AD21" i="1"/>
  <c r="AB21" i="1"/>
  <c r="V21" i="1"/>
  <c r="AI21" i="1" s="1"/>
  <c r="U21" i="1"/>
  <c r="AH21" i="1" s="1"/>
  <c r="T21" i="1"/>
  <c r="R21" i="1"/>
  <c r="S21" i="1" s="1"/>
  <c r="Q21" i="1"/>
  <c r="P21" i="1"/>
  <c r="N21" i="1"/>
  <c r="O21" i="1" s="1"/>
  <c r="M21" i="1"/>
  <c r="K21" i="1"/>
  <c r="J21" i="1"/>
  <c r="W21" i="1" s="1"/>
  <c r="AJ21" i="1" s="1"/>
  <c r="I21" i="1"/>
  <c r="G21" i="1"/>
  <c r="AV20" i="1"/>
  <c r="AW20" i="1" s="1"/>
  <c r="AS20" i="1"/>
  <c r="AU20" i="1" s="1"/>
  <c r="AK20" i="1"/>
  <c r="AI20" i="1"/>
  <c r="AH20" i="1"/>
  <c r="AG20" i="1"/>
  <c r="AE20" i="1"/>
  <c r="AF20" i="1" s="1"/>
  <c r="AD20" i="1"/>
  <c r="AB20" i="1"/>
  <c r="V20" i="1"/>
  <c r="U20" i="1"/>
  <c r="T20" i="1"/>
  <c r="R20" i="1"/>
  <c r="S20" i="1" s="1"/>
  <c r="Q20" i="1"/>
  <c r="P20" i="1"/>
  <c r="N20" i="1"/>
  <c r="O20" i="1" s="1"/>
  <c r="M20" i="1"/>
  <c r="K20" i="1"/>
  <c r="J20" i="1"/>
  <c r="I20" i="1"/>
  <c r="G20" i="1"/>
  <c r="AV19" i="1"/>
  <c r="AW19" i="1" s="1"/>
  <c r="AS19" i="1"/>
  <c r="AU19" i="1" s="1"/>
  <c r="AK19" i="1"/>
  <c r="AH19" i="1"/>
  <c r="AG19" i="1"/>
  <c r="AE19" i="1"/>
  <c r="AF19" i="1" s="1"/>
  <c r="AD19" i="1"/>
  <c r="AB19" i="1"/>
  <c r="U19" i="1"/>
  <c r="T19" i="1"/>
  <c r="P19" i="1"/>
  <c r="N19" i="1"/>
  <c r="O19" i="1" s="1"/>
  <c r="M19" i="1"/>
  <c r="K19" i="1"/>
  <c r="J19" i="1"/>
  <c r="I19" i="1"/>
  <c r="G19" i="1"/>
  <c r="AS18" i="1"/>
  <c r="AU18" i="1" s="1"/>
  <c r="AK18" i="1"/>
  <c r="AI18" i="1"/>
  <c r="AG18" i="1"/>
  <c r="AE18" i="1"/>
  <c r="AF18" i="1" s="1"/>
  <c r="AD18" i="1"/>
  <c r="AB18" i="1"/>
  <c r="V18" i="1"/>
  <c r="U18" i="1"/>
  <c r="AH18" i="1" s="1"/>
  <c r="T18" i="1"/>
  <c r="P18" i="1"/>
  <c r="R18" i="1" s="1"/>
  <c r="S18" i="1" s="1"/>
  <c r="N18" i="1"/>
  <c r="O18" i="1" s="1"/>
  <c r="M18" i="1"/>
  <c r="J18" i="1"/>
  <c r="I18" i="1"/>
  <c r="G18" i="1"/>
  <c r="AS17" i="1"/>
  <c r="AU17" i="1" s="1"/>
  <c r="AK17" i="1"/>
  <c r="AH17" i="1"/>
  <c r="AG17" i="1"/>
  <c r="AE17" i="1"/>
  <c r="AV17" i="1" s="1"/>
  <c r="AW17" i="1" s="1"/>
  <c r="AD17" i="1"/>
  <c r="AB17" i="1"/>
  <c r="U17" i="1"/>
  <c r="T17" i="1"/>
  <c r="R17" i="1"/>
  <c r="S17" i="1" s="1"/>
  <c r="P17" i="1"/>
  <c r="V17" i="1" s="1"/>
  <c r="AI17" i="1" s="1"/>
  <c r="N17" i="1"/>
  <c r="O17" i="1" s="1"/>
  <c r="M17" i="1"/>
  <c r="J17" i="1"/>
  <c r="I17" i="1"/>
  <c r="G17" i="1"/>
  <c r="AV16" i="1"/>
  <c r="AW16" i="1" s="1"/>
  <c r="AS16" i="1"/>
  <c r="AU16" i="1" s="1"/>
  <c r="AK16" i="1"/>
  <c r="AG16" i="1"/>
  <c r="AE16" i="1"/>
  <c r="AF16" i="1" s="1"/>
  <c r="AD16" i="1"/>
  <c r="AB16" i="1"/>
  <c r="V16" i="1"/>
  <c r="AI16" i="1" s="1"/>
  <c r="U16" i="1"/>
  <c r="AH16" i="1" s="1"/>
  <c r="T16" i="1"/>
  <c r="R16" i="1"/>
  <c r="S16" i="1" s="1"/>
  <c r="Q16" i="1"/>
  <c r="P16" i="1"/>
  <c r="N16" i="1"/>
  <c r="O16" i="1" s="1"/>
  <c r="M16" i="1"/>
  <c r="K16" i="1"/>
  <c r="J16" i="1"/>
  <c r="W16" i="1" s="1"/>
  <c r="AJ16" i="1" s="1"/>
  <c r="I16" i="1"/>
  <c r="G16" i="1"/>
  <c r="AV15" i="1"/>
  <c r="AW15" i="1" s="1"/>
  <c r="AS15" i="1"/>
  <c r="AU15" i="1" s="1"/>
  <c r="AK15" i="1"/>
  <c r="AI15" i="1"/>
  <c r="AH15" i="1"/>
  <c r="AG15" i="1"/>
  <c r="AE15" i="1"/>
  <c r="AF15" i="1" s="1"/>
  <c r="AD15" i="1"/>
  <c r="AB15" i="1"/>
  <c r="V15" i="1"/>
  <c r="U15" i="1"/>
  <c r="T15" i="1"/>
  <c r="R15" i="1"/>
  <c r="S15" i="1" s="1"/>
  <c r="Q15" i="1"/>
  <c r="P15" i="1"/>
  <c r="N15" i="1"/>
  <c r="O15" i="1" s="1"/>
  <c r="M15" i="1"/>
  <c r="K15" i="1"/>
  <c r="J15" i="1"/>
  <c r="I15" i="1"/>
  <c r="G15" i="1"/>
  <c r="AV14" i="1"/>
  <c r="AW14" i="1" s="1"/>
  <c r="AS14" i="1"/>
  <c r="AU14" i="1" s="1"/>
  <c r="AK14" i="1"/>
  <c r="AH14" i="1"/>
  <c r="AG14" i="1"/>
  <c r="AE14" i="1"/>
  <c r="AF14" i="1" s="1"/>
  <c r="AD14" i="1"/>
  <c r="AB14" i="1"/>
  <c r="U14" i="1"/>
  <c r="T14" i="1"/>
  <c r="P14" i="1"/>
  <c r="N14" i="1"/>
  <c r="O14" i="1" s="1"/>
  <c r="M14" i="1"/>
  <c r="K14" i="1"/>
  <c r="J14" i="1"/>
  <c r="I14" i="1"/>
  <c r="G14" i="1"/>
  <c r="AS13" i="1"/>
  <c r="AU13" i="1" s="1"/>
  <c r="AK13" i="1"/>
  <c r="AI13" i="1"/>
  <c r="AG13" i="1"/>
  <c r="AE13" i="1"/>
  <c r="AF13" i="1" s="1"/>
  <c r="AD13" i="1"/>
  <c r="AB13" i="1"/>
  <c r="V13" i="1"/>
  <c r="U13" i="1"/>
  <c r="AH13" i="1" s="1"/>
  <c r="T13" i="1"/>
  <c r="P13" i="1"/>
  <c r="R13" i="1" s="1"/>
  <c r="S13" i="1" s="1"/>
  <c r="N13" i="1"/>
  <c r="O13" i="1" s="1"/>
  <c r="M13" i="1"/>
  <c r="K13" i="1"/>
  <c r="J13" i="1"/>
  <c r="I13" i="1"/>
  <c r="G13" i="1"/>
  <c r="AS12" i="1"/>
  <c r="AU12" i="1" s="1"/>
  <c r="AK12" i="1"/>
  <c r="AH12" i="1"/>
  <c r="AG12" i="1"/>
  <c r="AF12" i="1"/>
  <c r="AE12" i="1"/>
  <c r="AV12" i="1" s="1"/>
  <c r="AW12" i="1" s="1"/>
  <c r="AD12" i="1"/>
  <c r="AB12" i="1"/>
  <c r="U12" i="1"/>
  <c r="T12" i="1"/>
  <c r="P12" i="1"/>
  <c r="V12" i="1" s="1"/>
  <c r="AI12" i="1" s="1"/>
  <c r="N12" i="1"/>
  <c r="O12" i="1" s="1"/>
  <c r="M12" i="1"/>
  <c r="K12" i="1"/>
  <c r="J12" i="1"/>
  <c r="I12" i="1"/>
  <c r="G12" i="1"/>
  <c r="AW11" i="1"/>
  <c r="AV11" i="1"/>
  <c r="AS11" i="1"/>
  <c r="AU11" i="1" s="1"/>
  <c r="AK11" i="1"/>
  <c r="AG11" i="1"/>
  <c r="AE11" i="1"/>
  <c r="AF11" i="1" s="1"/>
  <c r="AD11" i="1"/>
  <c r="AB11" i="1"/>
  <c r="V11" i="1"/>
  <c r="AI11" i="1" s="1"/>
  <c r="U11" i="1"/>
  <c r="AH11" i="1" s="1"/>
  <c r="T11" i="1"/>
  <c r="R11" i="1"/>
  <c r="S11" i="1" s="1"/>
  <c r="Q11" i="1"/>
  <c r="P11" i="1"/>
  <c r="N11" i="1"/>
  <c r="O11" i="1" s="1"/>
  <c r="M11" i="1"/>
  <c r="K11" i="1"/>
  <c r="J11" i="1"/>
  <c r="W11" i="1" s="1"/>
  <c r="AJ11" i="1" s="1"/>
  <c r="I11" i="1"/>
  <c r="G11" i="1"/>
  <c r="AV10" i="1"/>
  <c r="AW10" i="1" s="1"/>
  <c r="AS10" i="1"/>
  <c r="AU10" i="1" s="1"/>
  <c r="AK10" i="1"/>
  <c r="AI10" i="1"/>
  <c r="AH10" i="1"/>
  <c r="AG10" i="1"/>
  <c r="AE10" i="1"/>
  <c r="AF10" i="1" s="1"/>
  <c r="AD10" i="1"/>
  <c r="AB10" i="1"/>
  <c r="V10" i="1"/>
  <c r="U10" i="1"/>
  <c r="T10" i="1"/>
  <c r="R10" i="1"/>
  <c r="S10" i="1" s="1"/>
  <c r="Q10" i="1"/>
  <c r="P10" i="1"/>
  <c r="N10" i="1"/>
  <c r="O10" i="1" s="1"/>
  <c r="M10" i="1"/>
  <c r="K10" i="1"/>
  <c r="J10" i="1"/>
  <c r="I10" i="1"/>
  <c r="G10" i="1"/>
  <c r="AV9" i="1"/>
  <c r="AW9" i="1" s="1"/>
  <c r="AS9" i="1"/>
  <c r="AU9" i="1" s="1"/>
  <c r="AK9" i="1"/>
  <c r="AH9" i="1"/>
  <c r="AG9" i="1"/>
  <c r="AF9" i="1"/>
  <c r="AE9" i="1"/>
  <c r="AD9" i="1"/>
  <c r="AB9" i="1"/>
  <c r="U9" i="1"/>
  <c r="T9" i="1"/>
  <c r="P9" i="1"/>
  <c r="N9" i="1"/>
  <c r="O9" i="1" s="1"/>
  <c r="M9" i="1"/>
  <c r="K9" i="1"/>
  <c r="J9" i="1"/>
  <c r="I9" i="1"/>
  <c r="G9" i="1"/>
  <c r="AS8" i="1"/>
  <c r="AU8" i="1" s="1"/>
  <c r="AK8" i="1"/>
  <c r="AG8" i="1"/>
  <c r="AE8" i="1"/>
  <c r="AF8" i="1" s="1"/>
  <c r="AD8" i="1"/>
  <c r="AB8" i="1"/>
  <c r="V8" i="1"/>
  <c r="AI8" i="1" s="1"/>
  <c r="U8" i="1"/>
  <c r="AH8" i="1" s="1"/>
  <c r="T8" i="1"/>
  <c r="P8" i="1"/>
  <c r="R8" i="1" s="1"/>
  <c r="S8" i="1" s="1"/>
  <c r="N8" i="1"/>
  <c r="O8" i="1" s="1"/>
  <c r="M8" i="1"/>
  <c r="K8" i="1"/>
  <c r="J8" i="1"/>
  <c r="I8" i="1"/>
  <c r="G8" i="1"/>
  <c r="AS7" i="1"/>
  <c r="AU7" i="1" s="1"/>
  <c r="AK7" i="1"/>
  <c r="AH7" i="1"/>
  <c r="AH36" i="1" s="1"/>
  <c r="AH37" i="1" s="1"/>
  <c r="AG7" i="1"/>
  <c r="AE7" i="1"/>
  <c r="AV7" i="1" s="1"/>
  <c r="AW7" i="1" s="1"/>
  <c r="AD7" i="1"/>
  <c r="AB7" i="1"/>
  <c r="U7" i="1"/>
  <c r="T7" i="1"/>
  <c r="P7" i="1"/>
  <c r="V7" i="1" s="1"/>
  <c r="AI7" i="1" s="1"/>
  <c r="N7" i="1"/>
  <c r="O7" i="1" s="1"/>
  <c r="M7" i="1"/>
  <c r="K7" i="1"/>
  <c r="J7" i="1"/>
  <c r="I7" i="1"/>
  <c r="G7" i="1"/>
  <c r="AV6" i="1"/>
  <c r="AW6" i="1" s="1"/>
  <c r="AS6" i="1"/>
  <c r="AU6" i="1" s="1"/>
  <c r="AK6" i="1"/>
  <c r="AG6" i="1"/>
  <c r="AE6" i="1"/>
  <c r="AF6" i="1" s="1"/>
  <c r="AD6" i="1"/>
  <c r="AB6" i="1"/>
  <c r="V6" i="1"/>
  <c r="AI6" i="1" s="1"/>
  <c r="U6" i="1"/>
  <c r="AH6" i="1" s="1"/>
  <c r="T6" i="1"/>
  <c r="R6" i="1"/>
  <c r="S6" i="1" s="1"/>
  <c r="Q6" i="1"/>
  <c r="P6" i="1"/>
  <c r="N6" i="1"/>
  <c r="O6" i="1" s="1"/>
  <c r="M6" i="1"/>
  <c r="K6" i="1"/>
  <c r="J6" i="1"/>
  <c r="W6" i="1" s="1"/>
  <c r="AJ6" i="1" s="1"/>
  <c r="I6" i="1"/>
  <c r="G6" i="1"/>
  <c r="AV5" i="1"/>
  <c r="AS5" i="1"/>
  <c r="AU5" i="1" s="1"/>
  <c r="AK5" i="1"/>
  <c r="AI5" i="1"/>
  <c r="AH5" i="1"/>
  <c r="AG5" i="1"/>
  <c r="AE5" i="1"/>
  <c r="AD5" i="1"/>
  <c r="AB5" i="1"/>
  <c r="V5" i="1"/>
  <c r="U5" i="1"/>
  <c r="T5" i="1"/>
  <c r="S5" i="1"/>
  <c r="R5" i="1"/>
  <c r="Q5" i="1"/>
  <c r="P5" i="1"/>
  <c r="N5" i="1"/>
  <c r="O5" i="1" s="1"/>
  <c r="M5" i="1"/>
  <c r="K5" i="1"/>
  <c r="J5" i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X17" i="2" l="1"/>
  <c r="AF36" i="2"/>
  <c r="AE37" i="2"/>
  <c r="W9" i="2"/>
  <c r="AJ9" i="2" s="1"/>
  <c r="X15" i="2"/>
  <c r="AJ28" i="2"/>
  <c r="X28" i="2"/>
  <c r="X13" i="2"/>
  <c r="AL45" i="2"/>
  <c r="AK45" i="2"/>
  <c r="W8" i="2"/>
  <c r="AJ8" i="2" s="1"/>
  <c r="X10" i="2"/>
  <c r="W32" i="2"/>
  <c r="S32" i="2"/>
  <c r="AI5" i="2"/>
  <c r="X12" i="2"/>
  <c r="U7" i="2"/>
  <c r="AH7" i="2" s="1"/>
  <c r="W14" i="2"/>
  <c r="U14" i="2"/>
  <c r="AH14" i="2" s="1"/>
  <c r="AH36" i="2" s="1"/>
  <c r="AH37" i="2" s="1"/>
  <c r="U18" i="2"/>
  <c r="AH18" i="2" s="1"/>
  <c r="AV23" i="2"/>
  <c r="AV27" i="2"/>
  <c r="Q5" i="2"/>
  <c r="AF5" i="2"/>
  <c r="Q9" i="2"/>
  <c r="U10" i="2"/>
  <c r="AH10" i="2" s="1"/>
  <c r="S13" i="2"/>
  <c r="K14" i="2"/>
  <c r="V14" i="2"/>
  <c r="AI14" i="2" s="1"/>
  <c r="Q16" i="2"/>
  <c r="S17" i="2"/>
  <c r="AG17" i="2"/>
  <c r="R19" i="2"/>
  <c r="S19" i="2" s="1"/>
  <c r="O21" i="2"/>
  <c r="R26" i="2"/>
  <c r="S26" i="2" s="1"/>
  <c r="R29" i="2"/>
  <c r="R31" i="2"/>
  <c r="W31" i="2" s="1"/>
  <c r="AJ31" i="2" s="1"/>
  <c r="O32" i="2"/>
  <c r="T33" i="2"/>
  <c r="AF34" i="2"/>
  <c r="N36" i="2"/>
  <c r="O11" i="2"/>
  <c r="S16" i="2"/>
  <c r="Q21" i="2"/>
  <c r="O27" i="2"/>
  <c r="R27" i="2"/>
  <c r="W27" i="2" s="1"/>
  <c r="AG30" i="2"/>
  <c r="S30" i="2"/>
  <c r="Q32" i="2"/>
  <c r="S12" i="2"/>
  <c r="R30" i="2"/>
  <c r="W30" i="2" s="1"/>
  <c r="AJ30" i="2" s="1"/>
  <c r="U30" i="2"/>
  <c r="AH30" i="2" s="1"/>
  <c r="AU6" i="2"/>
  <c r="AV6" i="2" s="1"/>
  <c r="AS36" i="2"/>
  <c r="S8" i="2"/>
  <c r="Q11" i="2"/>
  <c r="R15" i="2"/>
  <c r="W15" i="2" s="1"/>
  <c r="AJ15" i="2" s="1"/>
  <c r="AG15" i="2"/>
  <c r="O18" i="2"/>
  <c r="AG20" i="2"/>
  <c r="S20" i="2"/>
  <c r="R23" i="2"/>
  <c r="W23" i="2" s="1"/>
  <c r="V26" i="2"/>
  <c r="AI26" i="2" s="1"/>
  <c r="Q27" i="2"/>
  <c r="AG27" i="2"/>
  <c r="K28" i="2"/>
  <c r="O30" i="2"/>
  <c r="AG36" i="2"/>
  <c r="AL38" i="2" s="1"/>
  <c r="S5" i="2"/>
  <c r="O14" i="2"/>
  <c r="P36" i="2"/>
  <c r="O6" i="2"/>
  <c r="Q7" i="2"/>
  <c r="T8" i="2"/>
  <c r="O10" i="2"/>
  <c r="R11" i="2"/>
  <c r="W11" i="2" s="1"/>
  <c r="AJ11" i="2" s="1"/>
  <c r="AG11" i="2"/>
  <c r="S15" i="2"/>
  <c r="Q18" i="2"/>
  <c r="U19" i="2"/>
  <c r="AH19" i="2" s="1"/>
  <c r="O22" i="2"/>
  <c r="S23" i="2"/>
  <c r="Q25" i="2"/>
  <c r="AG25" i="2"/>
  <c r="S27" i="2"/>
  <c r="AG28" i="2"/>
  <c r="S28" i="2"/>
  <c r="V29" i="2"/>
  <c r="AI29" i="2" s="1"/>
  <c r="T31" i="2"/>
  <c r="X31" i="2" s="1"/>
  <c r="AG31" i="2"/>
  <c r="O33" i="2"/>
  <c r="U34" i="2"/>
  <c r="AH34" i="2" s="1"/>
  <c r="O7" i="2"/>
  <c r="AG10" i="2"/>
  <c r="S10" i="2"/>
  <c r="Q23" i="2"/>
  <c r="O25" i="2"/>
  <c r="J36" i="2"/>
  <c r="M36" i="2"/>
  <c r="N38" i="2" s="1"/>
  <c r="W5" i="2"/>
  <c r="O17" i="2"/>
  <c r="V19" i="2"/>
  <c r="AI19" i="2" s="1"/>
  <c r="O20" i="2"/>
  <c r="Q30" i="2"/>
  <c r="V32" i="2"/>
  <c r="AI32" i="2" s="1"/>
  <c r="W34" i="2"/>
  <c r="AJ34" i="2" s="1"/>
  <c r="X5" i="2"/>
  <c r="R21" i="2"/>
  <c r="AU36" i="2"/>
  <c r="S7" i="2"/>
  <c r="R9" i="2"/>
  <c r="S9" i="2" s="1"/>
  <c r="AG18" i="2"/>
  <c r="S25" i="2"/>
  <c r="U27" i="2"/>
  <c r="AH27" i="2" s="1"/>
  <c r="T30" i="2"/>
  <c r="X30" i="2" s="1"/>
  <c r="Q33" i="2"/>
  <c r="G36" i="2"/>
  <c r="R8" i="2"/>
  <c r="Q15" i="2"/>
  <c r="AG7" i="2"/>
  <c r="V8" i="2"/>
  <c r="AI8" i="2" s="1"/>
  <c r="S18" i="2"/>
  <c r="O5" i="2"/>
  <c r="AV5" i="2"/>
  <c r="R6" i="2"/>
  <c r="S6" i="2" s="1"/>
  <c r="K8" i="2"/>
  <c r="O9" i="2"/>
  <c r="Q13" i="2"/>
  <c r="O16" i="2"/>
  <c r="R22" i="2"/>
  <c r="O26" i="2"/>
  <c r="Q28" i="2"/>
  <c r="R33" i="2"/>
  <c r="W33" i="2" s="1"/>
  <c r="AJ33" i="2" s="1"/>
  <c r="AJ5" i="3"/>
  <c r="X8" i="3"/>
  <c r="W6" i="3"/>
  <c r="AJ6" i="3" s="1"/>
  <c r="W17" i="3"/>
  <c r="AJ17" i="3" s="1"/>
  <c r="X6" i="3"/>
  <c r="Q21" i="3"/>
  <c r="M35" i="3"/>
  <c r="N37" i="3" s="1"/>
  <c r="U8" i="3"/>
  <c r="AH8" i="3" s="1"/>
  <c r="O9" i="3"/>
  <c r="W12" i="3"/>
  <c r="X16" i="3"/>
  <c r="Q17" i="3"/>
  <c r="AG17" i="3"/>
  <c r="AG18" i="3"/>
  <c r="S18" i="3"/>
  <c r="R22" i="3"/>
  <c r="S22" i="3" s="1"/>
  <c r="W24" i="3"/>
  <c r="AJ24" i="3" s="1"/>
  <c r="O26" i="3"/>
  <c r="U30" i="3"/>
  <c r="AH30" i="3" s="1"/>
  <c r="R30" i="3"/>
  <c r="W30" i="3" s="1"/>
  <c r="AJ30" i="3" s="1"/>
  <c r="O30" i="3"/>
  <c r="V33" i="3"/>
  <c r="AI33" i="3" s="1"/>
  <c r="R33" i="3"/>
  <c r="S33" i="3" s="1"/>
  <c r="Q34" i="3"/>
  <c r="AS35" i="3"/>
  <c r="O6" i="3"/>
  <c r="T9" i="3"/>
  <c r="X9" i="3" s="1"/>
  <c r="AG9" i="3"/>
  <c r="S9" i="3"/>
  <c r="AU35" i="3"/>
  <c r="S16" i="3"/>
  <c r="K5" i="3"/>
  <c r="AG6" i="3"/>
  <c r="T10" i="3"/>
  <c r="AG10" i="3"/>
  <c r="S11" i="3"/>
  <c r="T11" i="3"/>
  <c r="X11" i="3" s="1"/>
  <c r="AG11" i="3"/>
  <c r="Q14" i="3"/>
  <c r="Q26" i="3"/>
  <c r="Q30" i="3"/>
  <c r="U32" i="3"/>
  <c r="AH32" i="3" s="1"/>
  <c r="R32" i="3"/>
  <c r="S32" i="3" s="1"/>
  <c r="Q33" i="3"/>
  <c r="AV33" i="3"/>
  <c r="R34" i="3"/>
  <c r="S34" i="3" s="1"/>
  <c r="AV34" i="3"/>
  <c r="Q13" i="3"/>
  <c r="Q6" i="3"/>
  <c r="Q9" i="3"/>
  <c r="U10" i="3"/>
  <c r="AH10" i="3" s="1"/>
  <c r="R10" i="3"/>
  <c r="W10" i="3" s="1"/>
  <c r="AJ10" i="3" s="1"/>
  <c r="R14" i="3"/>
  <c r="S14" i="3" s="1"/>
  <c r="O18" i="3"/>
  <c r="T19" i="3"/>
  <c r="X19" i="3" s="1"/>
  <c r="AG19" i="3"/>
  <c r="S19" i="3"/>
  <c r="Q23" i="3"/>
  <c r="AG26" i="3"/>
  <c r="T29" i="3"/>
  <c r="X29" i="3" s="1"/>
  <c r="AG29" i="3"/>
  <c r="S29" i="3"/>
  <c r="O32" i="3"/>
  <c r="V20" i="3"/>
  <c r="AI20" i="3" s="1"/>
  <c r="R17" i="3"/>
  <c r="S17" i="3" s="1"/>
  <c r="O17" i="3"/>
  <c r="N35" i="3"/>
  <c r="O5" i="3"/>
  <c r="O7" i="3"/>
  <c r="U9" i="3"/>
  <c r="AH9" i="3" s="1"/>
  <c r="O10" i="3"/>
  <c r="O11" i="3"/>
  <c r="O12" i="3"/>
  <c r="U17" i="3"/>
  <c r="AH17" i="3" s="1"/>
  <c r="Q18" i="3"/>
  <c r="T20" i="3"/>
  <c r="X20" i="3" s="1"/>
  <c r="AG20" i="3"/>
  <c r="S20" i="3"/>
  <c r="W22" i="3"/>
  <c r="R23" i="3"/>
  <c r="S23" i="3" s="1"/>
  <c r="W25" i="3"/>
  <c r="AJ25" i="3" s="1"/>
  <c r="AV25" i="3"/>
  <c r="AV35" i="3" s="1"/>
  <c r="S26" i="3"/>
  <c r="AG27" i="3"/>
  <c r="AG28" i="3"/>
  <c r="S28" i="3"/>
  <c r="V32" i="3"/>
  <c r="AI32" i="3" s="1"/>
  <c r="AI35" i="3" s="1"/>
  <c r="AI36" i="3" s="1"/>
  <c r="Q32" i="3"/>
  <c r="W26" i="3"/>
  <c r="AJ26" i="3" s="1"/>
  <c r="Q8" i="3"/>
  <c r="P35" i="3"/>
  <c r="R21" i="3"/>
  <c r="W21" i="3" s="1"/>
  <c r="AJ21" i="3" s="1"/>
  <c r="Q22" i="3"/>
  <c r="AK35" i="3"/>
  <c r="AK36" i="3" s="1"/>
  <c r="AE35" i="3"/>
  <c r="Q7" i="3"/>
  <c r="AG7" i="3"/>
  <c r="T18" i="3"/>
  <c r="X18" i="3" s="1"/>
  <c r="O19" i="3"/>
  <c r="U20" i="3"/>
  <c r="AH20" i="3" s="1"/>
  <c r="R20" i="3"/>
  <c r="W20" i="3" s="1"/>
  <c r="AJ20" i="3" s="1"/>
  <c r="AG21" i="3"/>
  <c r="S21" i="3"/>
  <c r="T21" i="3"/>
  <c r="X21" i="3" s="1"/>
  <c r="K25" i="3"/>
  <c r="Q27" i="3"/>
  <c r="Q29" i="3"/>
  <c r="AG35" i="3"/>
  <c r="AL37" i="3" s="1"/>
  <c r="U31" i="3"/>
  <c r="AH31" i="3" s="1"/>
  <c r="R31" i="3"/>
  <c r="W31" i="3" s="1"/>
  <c r="AJ31" i="3" s="1"/>
  <c r="W33" i="3"/>
  <c r="AJ33" i="3" s="1"/>
  <c r="S5" i="3"/>
  <c r="O8" i="3"/>
  <c r="O22" i="3"/>
  <c r="X5" i="3"/>
  <c r="R13" i="3"/>
  <c r="S13" i="3" s="1"/>
  <c r="T30" i="3"/>
  <c r="X30" i="3" s="1"/>
  <c r="AG30" i="3"/>
  <c r="J35" i="3"/>
  <c r="R6" i="3"/>
  <c r="S6" i="3" s="1"/>
  <c r="U6" i="3"/>
  <c r="AH6" i="3" s="1"/>
  <c r="AH35" i="3" s="1"/>
  <c r="AH36" i="3" s="1"/>
  <c r="AF5" i="3"/>
  <c r="AG8" i="3"/>
  <c r="S8" i="3"/>
  <c r="Q11" i="3"/>
  <c r="Q12" i="3"/>
  <c r="U18" i="3"/>
  <c r="AH18" i="3" s="1"/>
  <c r="Q19" i="3"/>
  <c r="O20" i="3"/>
  <c r="Q24" i="3"/>
  <c r="Q28" i="3"/>
  <c r="S31" i="3"/>
  <c r="AG31" i="3"/>
  <c r="T31" i="3"/>
  <c r="X31" i="3" s="1"/>
  <c r="O29" i="3"/>
  <c r="Q31" i="3"/>
  <c r="F36" i="3"/>
  <c r="G36" i="3" s="1"/>
  <c r="K36" i="3" s="1"/>
  <c r="O28" i="3"/>
  <c r="K33" i="3"/>
  <c r="I35" i="3"/>
  <c r="O27" i="3"/>
  <c r="K12" i="3"/>
  <c r="K32" i="3"/>
  <c r="AF17" i="1"/>
  <c r="R7" i="1"/>
  <c r="S7" i="1" s="1"/>
  <c r="X8" i="1"/>
  <c r="X10" i="1"/>
  <c r="Q12" i="1"/>
  <c r="X29" i="1"/>
  <c r="V34" i="1"/>
  <c r="AI34" i="1" s="1"/>
  <c r="R34" i="1"/>
  <c r="S34" i="1" s="1"/>
  <c r="R12" i="1"/>
  <c r="S12" i="1" s="1"/>
  <c r="X13" i="1"/>
  <c r="Q17" i="1"/>
  <c r="X18" i="1"/>
  <c r="AF31" i="1"/>
  <c r="Q34" i="1"/>
  <c r="W8" i="1"/>
  <c r="AJ8" i="1" s="1"/>
  <c r="AV28" i="1"/>
  <c r="AW28" i="1" s="1"/>
  <c r="AF28" i="1"/>
  <c r="V19" i="1"/>
  <c r="AI19" i="1" s="1"/>
  <c r="R19" i="1"/>
  <c r="S19" i="1" s="1"/>
  <c r="Q19" i="1"/>
  <c r="V14" i="1"/>
  <c r="AI14" i="1" s="1"/>
  <c r="R14" i="1"/>
  <c r="S14" i="1" s="1"/>
  <c r="Q14" i="1"/>
  <c r="AF25" i="1"/>
  <c r="X15" i="1"/>
  <c r="AF7" i="1"/>
  <c r="W13" i="1"/>
  <c r="AJ13" i="1" s="1"/>
  <c r="AF22" i="1"/>
  <c r="T36" i="1"/>
  <c r="Q7" i="1"/>
  <c r="V22" i="1"/>
  <c r="AI22" i="1" s="1"/>
  <c r="R22" i="1"/>
  <c r="S22" i="1" s="1"/>
  <c r="W23" i="1"/>
  <c r="AJ23" i="1" s="1"/>
  <c r="V25" i="1"/>
  <c r="AI25" i="1" s="1"/>
  <c r="R25" i="1"/>
  <c r="S25" i="1" s="1"/>
  <c r="Q25" i="1"/>
  <c r="AG36" i="1"/>
  <c r="AL38" i="1" s="1"/>
  <c r="AE2" i="1"/>
  <c r="V9" i="1"/>
  <c r="AI9" i="1" s="1"/>
  <c r="AI36" i="1" s="1"/>
  <c r="AI37" i="1" s="1"/>
  <c r="R9" i="1"/>
  <c r="S9" i="1" s="1"/>
  <c r="Q9" i="1"/>
  <c r="W18" i="1"/>
  <c r="AJ18" i="1" s="1"/>
  <c r="K18" i="1"/>
  <c r="V30" i="1"/>
  <c r="AI30" i="1" s="1"/>
  <c r="R30" i="1"/>
  <c r="S30" i="1" s="1"/>
  <c r="U36" i="1"/>
  <c r="U37" i="1" s="1"/>
  <c r="AV8" i="1"/>
  <c r="AW8" i="1" s="1"/>
  <c r="AV13" i="1"/>
  <c r="AW13" i="1" s="1"/>
  <c r="AV18" i="1"/>
  <c r="AW18" i="1" s="1"/>
  <c r="W29" i="1"/>
  <c r="AJ29" i="1" s="1"/>
  <c r="Q31" i="1"/>
  <c r="AF32" i="1"/>
  <c r="W33" i="1"/>
  <c r="AJ33" i="1" s="1"/>
  <c r="O36" i="1"/>
  <c r="J36" i="1"/>
  <c r="W5" i="1"/>
  <c r="X7" i="1"/>
  <c r="W10" i="1"/>
  <c r="AJ10" i="1" s="1"/>
  <c r="W15" i="1"/>
  <c r="AJ15" i="1" s="1"/>
  <c r="W20" i="1"/>
  <c r="AJ20" i="1" s="1"/>
  <c r="Q28" i="1"/>
  <c r="R31" i="1"/>
  <c r="S31" i="1" s="1"/>
  <c r="Q35" i="1"/>
  <c r="AV35" i="1"/>
  <c r="AW35" i="1" s="1"/>
  <c r="N37" i="1"/>
  <c r="O37" i="1" s="1"/>
  <c r="W27" i="1"/>
  <c r="AJ27" i="1" s="1"/>
  <c r="X19" i="1"/>
  <c r="Q23" i="1"/>
  <c r="Q26" i="1"/>
  <c r="W30" i="1"/>
  <c r="AJ30" i="1" s="1"/>
  <c r="AW5" i="1"/>
  <c r="W7" i="1"/>
  <c r="AJ7" i="1" s="1"/>
  <c r="W17" i="1"/>
  <c r="AJ17" i="1" s="1"/>
  <c r="AE36" i="1"/>
  <c r="Q8" i="1"/>
  <c r="Q13" i="1"/>
  <c r="K17" i="1"/>
  <c r="Q18" i="1"/>
  <c r="R23" i="1"/>
  <c r="S23" i="1" s="1"/>
  <c r="R26" i="1"/>
  <c r="S26" i="1" s="1"/>
  <c r="X28" i="1"/>
  <c r="K24" i="1"/>
  <c r="W24" i="1"/>
  <c r="AJ24" i="1" s="1"/>
  <c r="AK45" i="1"/>
  <c r="W12" i="1"/>
  <c r="AJ12" i="1" s="1"/>
  <c r="P36" i="1"/>
  <c r="AF5" i="1"/>
  <c r="X6" i="1"/>
  <c r="X11" i="1"/>
  <c r="W14" i="1"/>
  <c r="AJ14" i="1" s="1"/>
  <c r="X16" i="1"/>
  <c r="W19" i="1"/>
  <c r="AJ19" i="1" s="1"/>
  <c r="X21" i="1"/>
  <c r="W25" i="1"/>
  <c r="AJ25" i="1" s="1"/>
  <c r="K25" i="1"/>
  <c r="Q29" i="1"/>
  <c r="X32" i="1"/>
  <c r="Q33" i="1"/>
  <c r="AJ44" i="1"/>
  <c r="G36" i="1"/>
  <c r="K31" i="1"/>
  <c r="K32" i="1"/>
  <c r="I36" i="1"/>
  <c r="AU35" i="1"/>
  <c r="AU36" i="1" s="1"/>
  <c r="AJ27" i="2" l="1"/>
  <c r="X27" i="2"/>
  <c r="AJ23" i="2"/>
  <c r="X23" i="2"/>
  <c r="T36" i="2"/>
  <c r="W19" i="2"/>
  <c r="K36" i="2"/>
  <c r="J37" i="2"/>
  <c r="S33" i="2"/>
  <c r="X11" i="2"/>
  <c r="AF47" i="2"/>
  <c r="AF38" i="2"/>
  <c r="AE46" i="2"/>
  <c r="AE47" i="2" s="1"/>
  <c r="AF37" i="2"/>
  <c r="N37" i="2"/>
  <c r="O37" i="2" s="1"/>
  <c r="O36" i="2"/>
  <c r="W6" i="2"/>
  <c r="X8" i="2"/>
  <c r="X14" i="2"/>
  <c r="AJ14" i="2"/>
  <c r="AJ32" i="2"/>
  <c r="X32" i="2"/>
  <c r="R36" i="2"/>
  <c r="AV36" i="2"/>
  <c r="AI36" i="2"/>
  <c r="AI37" i="2" s="1"/>
  <c r="X9" i="2"/>
  <c r="W22" i="2"/>
  <c r="S22" i="2"/>
  <c r="W29" i="2"/>
  <c r="S29" i="2"/>
  <c r="W26" i="2"/>
  <c r="V36" i="2"/>
  <c r="V37" i="2" s="1"/>
  <c r="S11" i="2"/>
  <c r="X34" i="2"/>
  <c r="X33" i="2"/>
  <c r="W21" i="2"/>
  <c r="S21" i="2"/>
  <c r="AJ5" i="2"/>
  <c r="S31" i="2"/>
  <c r="P37" i="2"/>
  <c r="Q37" i="2" s="1"/>
  <c r="Q36" i="2"/>
  <c r="U36" i="2"/>
  <c r="U37" i="2" s="1"/>
  <c r="AJ22" i="3"/>
  <c r="X22" i="3"/>
  <c r="AJ12" i="3"/>
  <c r="X12" i="3"/>
  <c r="AF35" i="3"/>
  <c r="AE36" i="3"/>
  <c r="O35" i="3"/>
  <c r="N36" i="3"/>
  <c r="O36" i="3" s="1"/>
  <c r="S10" i="3"/>
  <c r="X10" i="3"/>
  <c r="Q35" i="3"/>
  <c r="P36" i="3"/>
  <c r="Q36" i="3" s="1"/>
  <c r="W32" i="3"/>
  <c r="W23" i="3"/>
  <c r="W13" i="3"/>
  <c r="S30" i="3"/>
  <c r="U35" i="3"/>
  <c r="U36" i="3" s="1"/>
  <c r="W14" i="3"/>
  <c r="T35" i="3"/>
  <c r="X26" i="3"/>
  <c r="AK46" i="3"/>
  <c r="AK44" i="3"/>
  <c r="K35" i="3"/>
  <c r="J36" i="3"/>
  <c r="R35" i="3"/>
  <c r="X25" i="3"/>
  <c r="W34" i="3"/>
  <c r="X24" i="3"/>
  <c r="X33" i="3"/>
  <c r="V35" i="3"/>
  <c r="V36" i="3" s="1"/>
  <c r="X17" i="3"/>
  <c r="AJ5" i="1"/>
  <c r="X30" i="1"/>
  <c r="J37" i="1"/>
  <c r="K36" i="1"/>
  <c r="X25" i="1"/>
  <c r="AF36" i="1"/>
  <c r="AE37" i="1"/>
  <c r="W22" i="1"/>
  <c r="X20" i="1"/>
  <c r="R36" i="1"/>
  <c r="X5" i="1"/>
  <c r="V36" i="1"/>
  <c r="V37" i="1" s="1"/>
  <c r="X33" i="1"/>
  <c r="X14" i="1"/>
  <c r="W9" i="1"/>
  <c r="X17" i="1"/>
  <c r="X24" i="1"/>
  <c r="W31" i="1"/>
  <c r="AW36" i="1"/>
  <c r="W34" i="1"/>
  <c r="X12" i="1"/>
  <c r="X27" i="1"/>
  <c r="AV36" i="1"/>
  <c r="X23" i="1"/>
  <c r="W26" i="1"/>
  <c r="Q36" i="1"/>
  <c r="P37" i="1"/>
  <c r="Q37" i="1" s="1"/>
  <c r="X22" i="2" l="1"/>
  <c r="AJ22" i="2"/>
  <c r="AJ29" i="2"/>
  <c r="X29" i="2"/>
  <c r="W36" i="2"/>
  <c r="AJ6" i="2"/>
  <c r="AJ36" i="2" s="1"/>
  <c r="X6" i="2"/>
  <c r="AJ21" i="2"/>
  <c r="X21" i="2"/>
  <c r="AJ19" i="2"/>
  <c r="X19" i="2"/>
  <c r="R37" i="2"/>
  <c r="S36" i="2"/>
  <c r="J46" i="2"/>
  <c r="J47" i="2" s="1"/>
  <c r="K47" i="2"/>
  <c r="K38" i="2"/>
  <c r="AJ26" i="2"/>
  <c r="X26" i="2"/>
  <c r="AJ14" i="3"/>
  <c r="X14" i="3"/>
  <c r="AJ13" i="3"/>
  <c r="X13" i="3"/>
  <c r="J45" i="3"/>
  <c r="J46" i="3" s="1"/>
  <c r="K46" i="3"/>
  <c r="K37" i="3"/>
  <c r="AE45" i="3"/>
  <c r="AE46" i="3" s="1"/>
  <c r="AF46" i="3"/>
  <c r="AF36" i="3"/>
  <c r="AF37" i="3"/>
  <c r="AJ23" i="3"/>
  <c r="X23" i="3"/>
  <c r="AJ34" i="3"/>
  <c r="X34" i="3"/>
  <c r="S35" i="3"/>
  <c r="R36" i="3"/>
  <c r="AJ32" i="3"/>
  <c r="X32" i="3"/>
  <c r="W35" i="3"/>
  <c r="AJ31" i="1"/>
  <c r="X31" i="1"/>
  <c r="AJ22" i="1"/>
  <c r="X22" i="1"/>
  <c r="AJ9" i="1"/>
  <c r="X9" i="1"/>
  <c r="AF47" i="1"/>
  <c r="AF37" i="1"/>
  <c r="AF38" i="1"/>
  <c r="AE46" i="1"/>
  <c r="AE47" i="1" s="1"/>
  <c r="AJ26" i="1"/>
  <c r="X26" i="1"/>
  <c r="J46" i="1"/>
  <c r="J47" i="1" s="1"/>
  <c r="K47" i="1"/>
  <c r="K38" i="1"/>
  <c r="AJ34" i="1"/>
  <c r="X34" i="1"/>
  <c r="AJ36" i="1"/>
  <c r="S36" i="1"/>
  <c r="R37" i="1"/>
  <c r="W36" i="1"/>
  <c r="AJ40" i="2" l="1"/>
  <c r="AK40" i="2" s="1"/>
  <c r="AJ37" i="2"/>
  <c r="R46" i="2"/>
  <c r="R47" i="2" s="1"/>
  <c r="S47" i="2"/>
  <c r="S38" i="2"/>
  <c r="S37" i="2"/>
  <c r="W37" i="2"/>
  <c r="X37" i="2" s="1"/>
  <c r="X36" i="2"/>
  <c r="W36" i="3"/>
  <c r="X36" i="3" s="1"/>
  <c r="X35" i="3"/>
  <c r="R45" i="3"/>
  <c r="R46" i="3" s="1"/>
  <c r="S46" i="3"/>
  <c r="S36" i="3"/>
  <c r="S37" i="3"/>
  <c r="AJ35" i="3"/>
  <c r="S47" i="1"/>
  <c r="S37" i="1"/>
  <c r="S38" i="1"/>
  <c r="R46" i="1"/>
  <c r="R47" i="1" s="1"/>
  <c r="AJ40" i="1"/>
  <c r="AK40" i="1" s="1"/>
  <c r="AJ37" i="1"/>
  <c r="W37" i="1"/>
  <c r="X37" i="1" s="1"/>
  <c r="X36" i="1"/>
  <c r="AK46" i="2" l="1"/>
  <c r="AJ43" i="2"/>
  <c r="AK38" i="2"/>
  <c r="AJ45" i="2"/>
  <c r="AJ46" i="2" s="1"/>
  <c r="AJ41" i="2"/>
  <c r="AK41" i="2" s="1"/>
  <c r="AK39" i="2"/>
  <c r="AJ39" i="3"/>
  <c r="AK39" i="3" s="1"/>
  <c r="AJ36" i="3"/>
  <c r="AK39" i="1"/>
  <c r="AK38" i="1"/>
  <c r="AK46" i="1"/>
  <c r="AJ43" i="1"/>
  <c r="AJ41" i="1"/>
  <c r="AJ46" i="3" l="1"/>
  <c r="AK38" i="3"/>
  <c r="AK37" i="3"/>
  <c r="AJ40" i="3"/>
  <c r="AK40" i="3" s="1"/>
  <c r="AJ41" i="3"/>
  <c r="AJ44" i="3"/>
  <c r="AJ45" i="3" s="1"/>
  <c r="AK41" i="1"/>
  <c r="AJ45" i="1"/>
  <c r="AJ46" i="1" s="1"/>
</calcChain>
</file>

<file path=xl/sharedStrings.xml><?xml version="1.0" encoding="utf-8"?>
<sst xmlns="http://schemas.openxmlformats.org/spreadsheetml/2006/main" count="348" uniqueCount="76">
  <si>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</si>
  <si>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</si>
  <si>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</si>
  <si>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</si>
  <si>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</si>
  <si>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</si>
  <si>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</si>
  <si>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レストラン＋T/O（人数は含まず）＋南京錠売上TOTAL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</si>
  <si>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</si>
  <si>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</si>
  <si>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</si>
  <si>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</si>
  <si>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</si>
  <si>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</si>
  <si>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</si>
  <si>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</si>
  <si>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</si>
  <si>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</si>
  <si>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</si>
  <si>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</si>
  <si>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</si>
  <si>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</si>
  <si>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</si>
  <si>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</si>
  <si>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</si>
  <si>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</si>
  <si>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</si>
  <si>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席料+南京錠+花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</si>
  <si>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</si>
  <si>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</si>
  <si>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</si>
  <si>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</si>
  <si>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</si>
  <si>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</si>
  <si>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</si>
  <si>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</si>
  <si>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</si>
  <si>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</si>
  <si>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</si>
  <si>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</si>
  <si>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</si>
  <si>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</si>
  <si>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</si>
  <si>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</si>
  <si>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</si>
  <si>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</si>
  <si>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</si>
  <si>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</si>
  <si>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</si>
  <si>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</si>
  <si>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</si>
  <si>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</si>
  <si>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ランチ休業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</si>
  <si>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</si>
  <si>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</si>
  <si>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</si>
  <si>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</si>
  <si>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</si>
  <si>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</si>
  <si>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ランチ休業</t>
    <rPh sb="3" eb="5">
      <t>キュウギョウ</t>
    </rPh>
    <phoneticPr fontId="26"/>
  </si>
  <si>
    <t>ランチ休業</t>
    <phoneticPr fontId="26"/>
  </si>
  <si>
    <t>ランチ休業　RW終日運休</t>
    <rPh sb="3" eb="5">
      <t>キュウギョウ</t>
    </rPh>
    <rPh sb="8" eb="10">
      <t>シュウジツ</t>
    </rPh>
    <phoneticPr fontId="26"/>
  </si>
  <si>
    <t>ランチ休業　真駒内花火大会</t>
    <rPh sb="3" eb="5">
      <t>キュウギョウ</t>
    </rPh>
    <rPh sb="6" eb="13">
      <t>マコマナイハナビタイカイ</t>
    </rPh>
    <phoneticPr fontId="26"/>
  </si>
  <si>
    <t>ランチ休業　RW終日運休</t>
    <rPh sb="3" eb="5">
      <t>キュウギョウ</t>
    </rPh>
    <phoneticPr fontId="26"/>
  </si>
  <si>
    <t>ランチ休業  RW終日運休</t>
    <rPh sb="3" eb="5">
      <t>キュウギョウ</t>
    </rPh>
    <rPh sb="9" eb="13">
      <t>シュウジツウンキュウ</t>
    </rPh>
    <phoneticPr fontId="26"/>
  </si>
  <si>
    <t>ランチ休業　豊平川花火大会</t>
    <rPh sb="3" eb="5">
      <t>キュウギョウ</t>
    </rPh>
    <rPh sb="6" eb="13">
      <t>トヨヒラガワハナビタイカイ</t>
    </rPh>
    <phoneticPr fontId="26"/>
  </si>
  <si>
    <t>ソフトクリーム　1,535点　736,800円
カツサンド　　　　533点　293,150円
ジャガチー　　　　462点　161,700円</t>
    <rPh sb="9" eb="14">
      <t>535テン</t>
    </rPh>
    <rPh sb="18" eb="23">
      <t>800エン</t>
    </rPh>
    <rPh sb="36" eb="37">
      <t>テン</t>
    </rPh>
    <rPh sb="41" eb="46">
      <t>150エン</t>
    </rPh>
    <rPh sb="59" eb="60">
      <t>テン</t>
    </rPh>
    <rPh sb="68" eb="69">
      <t>エン</t>
    </rPh>
    <phoneticPr fontId="2"/>
  </si>
  <si>
    <t>ランチ休業/終日運休</t>
    <rPh sb="6" eb="10">
      <t>シュウジツウンキュウ</t>
    </rPh>
    <phoneticPr fontId="26"/>
  </si>
  <si>
    <t>始発から運休</t>
    <rPh sb="0" eb="2">
      <t>シハツ</t>
    </rPh>
    <rPh sb="4" eb="6">
      <t>ウンキュウ</t>
    </rPh>
    <phoneticPr fontId="26"/>
  </si>
  <si>
    <t>ランチ予算1,089,000（税抜）に対し実績1,218,373（税抜）、129,373円のプラス。</t>
    <rPh sb="3" eb="5">
      <t>ヨサン</t>
    </rPh>
    <rPh sb="15" eb="17">
      <t>ゼイヌキ</t>
    </rPh>
    <rPh sb="19" eb="20">
      <t>タイ</t>
    </rPh>
    <rPh sb="21" eb="23">
      <t>ジッセキ</t>
    </rPh>
    <rPh sb="33" eb="35">
      <t>ゼイヌキ</t>
    </rPh>
    <rPh sb="44" eb="45">
      <t>エン</t>
    </rPh>
    <phoneticPr fontId="26"/>
  </si>
  <si>
    <t>ディナー予算9,914,400（税抜）に対し実績11,565,573（税抜）、1,651,173円プラス</t>
    <rPh sb="4" eb="6">
      <t>ヨサン</t>
    </rPh>
    <rPh sb="16" eb="18">
      <t>ゼイヌキ</t>
    </rPh>
    <rPh sb="20" eb="21">
      <t>タイ</t>
    </rPh>
    <rPh sb="22" eb="24">
      <t>ジッセキ</t>
    </rPh>
    <rPh sb="35" eb="37">
      <t>ゼイヌキ</t>
    </rPh>
    <rPh sb="40" eb="49">
      <t>651173エン</t>
    </rPh>
    <phoneticPr fontId="26"/>
  </si>
  <si>
    <t>テイクアウト予算2,024,000（税抜）に対し実績2,508,055（税抜）、484,055円プラス</t>
    <rPh sb="6" eb="8">
      <t>ヨサン</t>
    </rPh>
    <rPh sb="18" eb="20">
      <t>ゼイヌキ</t>
    </rPh>
    <rPh sb="22" eb="23">
      <t>タイ</t>
    </rPh>
    <rPh sb="24" eb="26">
      <t>ジッセキ</t>
    </rPh>
    <rPh sb="36" eb="38">
      <t>ゼイヌキ</t>
    </rPh>
    <rPh sb="47" eb="48">
      <t>エン</t>
    </rPh>
    <phoneticPr fontId="26"/>
  </si>
  <si>
    <t>ランチ休業、始発から運休</t>
    <rPh sb="3" eb="5">
      <t>キュウギョウ</t>
    </rPh>
    <rPh sb="6" eb="8">
      <t>シハツ</t>
    </rPh>
    <rPh sb="10" eb="12">
      <t>ウンキュウ</t>
    </rPh>
    <phoneticPr fontId="26"/>
  </si>
  <si>
    <t>ランチ休業 16:30から終日運休</t>
    <rPh sb="13" eb="17">
      <t>シュウジツウンキュウ</t>
    </rPh>
    <phoneticPr fontId="26"/>
  </si>
  <si>
    <t>ランチ休業、始発から運休</t>
  </si>
  <si>
    <t>達成率</t>
    <rPh sb="0" eb="3">
      <t>タッセイリツ</t>
    </rPh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</si>
</sst>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</numFmts>
  <fonts count="46">
    <font>
      <sz val="12"/>
      <color theme="1"/>
      <name val="游ゴシック"/>
      <family val="2"/>
      <charset val="128"/>
      <scheme val="minor"/>
    </font>
    <font>
      <sz val="9"/>
      <color rgb="FF000000"/>
      <name val="Meiryo"/>
      <family val="3"/>
      <charset val="128"/>
    </font>
    <font>
      <sz val="6"/>
      <name val="游ゴシック"/>
      <family val="2"/>
      <charset val="128"/>
      <scheme val="minor"/>
    </font>
    <font>
      <sz val="8"/>
      <color rgb="FF000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2"/>
      <color rgb="FF000000"/>
      <name val="メイリオ1"/>
      <family val="3"/>
      <charset val="128"/>
    </font>
    <font>
      <b/>
      <sz val="12"/>
      <color rgb="FF000000"/>
      <name val="Meiryo"/>
      <family val="3"/>
      <charset val="128"/>
    </font>
    <font>
      <sz val="10"/>
      <name val="Calibri"/>
      <family val="2"/>
    </font>
    <font>
      <b/>
      <sz val="11"/>
      <color rgb="FF000000"/>
      <name val="Meiryo"/>
      <family val="3"/>
      <charset val="128"/>
    </font>
    <font>
      <b/>
      <sz val="11"/>
      <color rgb="FF000000"/>
      <name val="メイリオ1"/>
      <family val="3"/>
      <charset val="128"/>
    </font>
    <font>
      <sz val="9"/>
      <color rgb="FFFF0000"/>
      <name val="Meiryo"/>
      <family val="3"/>
      <charset val="128"/>
    </font>
    <font>
      <b/>
      <sz val="8"/>
      <color rgb="FF000000"/>
      <name val="Meiryo"/>
      <family val="3"/>
      <charset val="128"/>
    </font>
    <font>
      <b/>
      <sz val="7"/>
      <color rgb="FF000000"/>
      <name val="Meiryo"/>
      <family val="3"/>
      <charset val="128"/>
    </font>
    <font>
      <b/>
      <sz val="6"/>
      <color rgb="FF000000"/>
      <name val="Meiryo"/>
      <family val="3"/>
      <charset val="128"/>
    </font>
    <font>
      <sz val="9"/>
      <color theme="1"/>
      <name val="Meiryo"/>
      <family val="3"/>
      <charset val="128"/>
    </font>
    <font>
      <b/>
      <sz val="9"/>
      <color rgb="FF000000"/>
      <name val="メイリオ1"/>
      <family val="3"/>
      <charset val="128"/>
    </font>
    <font>
      <sz val="11"/>
      <color rgb="FF000000"/>
      <name val="メイリオ1"/>
      <family val="3"/>
      <charset val="128"/>
    </font>
    <font>
      <b/>
      <sz val="10"/>
      <color rgb="FF000000"/>
      <name val="メイリオ1"/>
      <family val="3"/>
      <charset val="128"/>
    </font>
    <font>
      <sz val="12"/>
      <color rgb="FF000000"/>
      <name val="Meiryo"/>
      <family val="3"/>
      <charset val="128"/>
    </font>
    <font>
      <sz val="11"/>
      <color rgb="FF000000"/>
      <name val="游ゴシック"/>
      <family val="3"/>
      <charset val="128"/>
    </font>
    <font>
      <sz val="9"/>
      <color rgb="FF00B0F0"/>
      <name val="Meiryo"/>
      <family val="3"/>
      <charset val="128"/>
    </font>
    <font>
      <sz val="9"/>
      <color theme="4"/>
      <name val="Meiryo"/>
      <family val="3"/>
      <charset val="128"/>
    </font>
    <font>
      <b/>
      <sz val="10"/>
      <color rgb="FF000000"/>
      <name val="Meiryo"/>
      <family val="3"/>
      <charset val="128"/>
    </font>
    <font>
      <b/>
      <sz val="12"/>
      <color theme="1"/>
      <name val="メイリオ1"/>
      <family val="3"/>
      <charset val="128"/>
    </font>
    <font>
      <b/>
      <sz val="9"/>
      <color theme="1"/>
      <name val="Meiryo"/>
      <family val="3"/>
      <charset val="128"/>
    </font>
    <font>
      <sz val="11"/>
      <color theme="1"/>
      <name val="メイリオ1"/>
      <family val="3"/>
      <charset val="128"/>
    </font>
    <font>
      <sz val="6"/>
      <name val="游ゴシック"/>
      <family val="3"/>
      <charset val="128"/>
      <scheme val="minor"/>
    </font>
    <font>
      <sz val="9"/>
      <color rgb="FF000000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sz val="10"/>
      <color rgb="FF000000"/>
      <name val="游ゴシック Medium"/>
      <family val="3"/>
      <charset val="128"/>
    </font>
    <font>
      <sz val="10"/>
      <color theme="1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11"/>
      <color rgb="FF000000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sz val="9"/>
      <color theme="4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2"/>
      <color rgb="FF000000"/>
      <name val="游ゴシック Medium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8" fontId="1" fillId="0" borderId="0" xfId="0" applyNumberFormat="1" applyFont="1" applyAlignment="1">
      <alignment horizontal="center" vertical="center" wrapText="1"/>
    </xf>
    <xf numFmtId="0" fontId="0" fillId="0" borderId="0" xfId="0" applyAlignment="1"/>
    <xf numFmtId="176" fontId="3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38" fontId="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179" fontId="1" fillId="0" borderId="18" xfId="0" applyNumberFormat="1" applyFont="1" applyBorder="1" applyAlignment="1"/>
    <xf numFmtId="180" fontId="1" fillId="2" borderId="18" xfId="0" applyNumberFormat="1" applyFont="1" applyFill="1" applyBorder="1" applyAlignment="1"/>
    <xf numFmtId="38" fontId="1" fillId="6" borderId="18" xfId="0" applyNumberFormat="1" applyFont="1" applyFill="1" applyBorder="1" applyAlignment="1"/>
    <xf numFmtId="38" fontId="4" fillId="0" borderId="19" xfId="0" applyNumberFormat="1" applyFont="1" applyBorder="1" applyAlignment="1"/>
    <xf numFmtId="38" fontId="4" fillId="0" borderId="17" xfId="0" applyNumberFormat="1" applyFont="1" applyBorder="1" applyAlignment="1"/>
    <xf numFmtId="38" fontId="8" fillId="2" borderId="18" xfId="0" applyNumberFormat="1" applyFont="1" applyFill="1" applyBorder="1" applyAlignment="1"/>
    <xf numFmtId="40" fontId="1" fillId="0" borderId="20" xfId="0" applyNumberFormat="1" applyFont="1" applyBorder="1" applyAlignment="1"/>
    <xf numFmtId="181" fontId="1" fillId="0" borderId="18" xfId="0" applyNumberFormat="1" applyFont="1" applyBorder="1" applyAlignment="1"/>
    <xf numFmtId="180" fontId="1" fillId="3" borderId="18" xfId="0" applyNumberFormat="1" applyFont="1" applyFill="1" applyBorder="1" applyAlignment="1"/>
    <xf numFmtId="38" fontId="1" fillId="0" borderId="18" xfId="0" applyNumberFormat="1" applyFont="1" applyBorder="1" applyAlignment="1"/>
    <xf numFmtId="38" fontId="8" fillId="0" borderId="16" xfId="0" applyNumberFormat="1" applyFont="1" applyBorder="1" applyAlignment="1"/>
    <xf numFmtId="180" fontId="1" fillId="0" borderId="21" xfId="0" applyNumberFormat="1" applyFont="1" applyBorder="1" applyAlignment="1"/>
    <xf numFmtId="38" fontId="1" fillId="7" borderId="17" xfId="0" applyNumberFormat="1" applyFont="1" applyFill="1" applyBorder="1" applyAlignment="1"/>
    <xf numFmtId="179" fontId="1" fillId="4" borderId="18" xfId="0" applyNumberFormat="1" applyFont="1" applyFill="1" applyBorder="1" applyAlignment="1"/>
    <xf numFmtId="180" fontId="1" fillId="0" borderId="18" xfId="0" applyNumberFormat="1" applyFont="1" applyBorder="1" applyAlignment="1"/>
    <xf numFmtId="38" fontId="1" fillId="3" borderId="16" xfId="0" applyNumberFormat="1" applyFont="1" applyFill="1" applyBorder="1" applyAlignment="1"/>
    <xf numFmtId="38" fontId="9" fillId="0" borderId="17" xfId="0" applyNumberFormat="1" applyFont="1" applyBorder="1" applyAlignment="1"/>
    <xf numFmtId="38" fontId="1" fillId="0" borderId="16" xfId="0" applyNumberFormat="1" applyFont="1" applyBorder="1" applyAlignment="1"/>
    <xf numFmtId="38" fontId="4" fillId="0" borderId="16" xfId="0" applyNumberFormat="1" applyFont="1" applyBorder="1" applyAlignment="1"/>
    <xf numFmtId="38" fontId="1" fillId="7" borderId="16" xfId="0" applyNumberFormat="1" applyFont="1" applyFill="1" applyBorder="1" applyAlignment="1"/>
    <xf numFmtId="38" fontId="1" fillId="0" borderId="0" xfId="0" applyNumberFormat="1" applyFont="1" applyAlignment="1"/>
    <xf numFmtId="38" fontId="1" fillId="0" borderId="7" xfId="0" applyNumberFormat="1" applyFont="1" applyBorder="1" applyAlignment="1"/>
    <xf numFmtId="180" fontId="1" fillId="0" borderId="22" xfId="0" applyNumberFormat="1" applyFont="1" applyBorder="1" applyAlignment="1"/>
    <xf numFmtId="38" fontId="9" fillId="8" borderId="17" xfId="0" applyNumberFormat="1" applyFont="1" applyFill="1" applyBorder="1" applyAlignment="1"/>
    <xf numFmtId="178" fontId="10" fillId="0" borderId="7" xfId="0" applyNumberFormat="1" applyFont="1" applyBorder="1" applyAlignment="1"/>
    <xf numFmtId="38" fontId="4" fillId="8" borderId="17" xfId="0" applyNumberFormat="1" applyFont="1" applyFill="1" applyBorder="1" applyAlignment="1"/>
    <xf numFmtId="179" fontId="1" fillId="4" borderId="16" xfId="0" applyNumberFormat="1" applyFont="1" applyFill="1" applyBorder="1" applyAlignment="1"/>
    <xf numFmtId="180" fontId="1" fillId="0" borderId="16" xfId="0" applyNumberFormat="1" applyFont="1" applyBorder="1" applyAlignment="1"/>
    <xf numFmtId="38" fontId="1" fillId="6" borderId="16" xfId="0" applyNumberFormat="1" applyFont="1" applyFill="1" applyBorder="1" applyAlignment="1"/>
    <xf numFmtId="180" fontId="1" fillId="3" borderId="2" xfId="0" applyNumberFormat="1" applyFont="1" applyFill="1" applyBorder="1" applyAlignment="1"/>
    <xf numFmtId="180" fontId="1" fillId="0" borderId="23" xfId="0" applyNumberFormat="1" applyFont="1" applyBorder="1" applyAlignment="1"/>
    <xf numFmtId="38" fontId="1" fillId="0" borderId="2" xfId="0" applyNumberFormat="1" applyFont="1" applyBorder="1" applyAlignment="1"/>
    <xf numFmtId="38" fontId="1" fillId="7" borderId="1" xfId="0" applyNumberFormat="1" applyFont="1" applyFill="1" applyBorder="1" applyAlignment="1"/>
    <xf numFmtId="179" fontId="1" fillId="4" borderId="2" xfId="0" applyNumberFormat="1" applyFont="1" applyFill="1" applyBorder="1" applyAlignment="1"/>
    <xf numFmtId="180" fontId="1" fillId="0" borderId="2" xfId="0" applyNumberFormat="1" applyFont="1" applyBorder="1" applyAlignment="1"/>
    <xf numFmtId="38" fontId="1" fillId="6" borderId="2" xfId="0" applyNumberFormat="1" applyFont="1" applyFill="1" applyBorder="1" applyAlignment="1"/>
    <xf numFmtId="38" fontId="4" fillId="0" borderId="24" xfId="0" applyNumberFormat="1" applyFont="1" applyBorder="1" applyAlignment="1"/>
    <xf numFmtId="38" fontId="4" fillId="0" borderId="25" xfId="0" applyNumberFormat="1" applyFont="1" applyBorder="1" applyAlignment="1"/>
    <xf numFmtId="38" fontId="1" fillId="3" borderId="2" xfId="0" applyNumberFormat="1" applyFont="1" applyFill="1" applyBorder="1" applyAlignment="1"/>
    <xf numFmtId="0" fontId="4" fillId="0" borderId="0" xfId="0" applyFont="1" applyAlignment="1"/>
    <xf numFmtId="0" fontId="4" fillId="0" borderId="26" xfId="0" applyFont="1" applyBorder="1" applyAlignment="1"/>
    <xf numFmtId="38" fontId="4" fillId="0" borderId="27" xfId="0" applyNumberFormat="1" applyFont="1" applyBorder="1" applyAlignment="1"/>
    <xf numFmtId="179" fontId="4" fillId="0" borderId="28" xfId="0" applyNumberFormat="1" applyFont="1" applyBorder="1" applyAlignment="1"/>
    <xf numFmtId="180" fontId="4" fillId="0" borderId="27" xfId="0" applyNumberFormat="1" applyFont="1" applyBorder="1" applyAlignment="1"/>
    <xf numFmtId="38" fontId="11" fillId="0" borderId="28" xfId="0" applyNumberFormat="1" applyFont="1" applyBorder="1" applyAlignment="1"/>
    <xf numFmtId="38" fontId="4" fillId="0" borderId="28" xfId="0" applyNumberFormat="1" applyFont="1" applyBorder="1" applyAlignment="1"/>
    <xf numFmtId="38" fontId="4" fillId="0" borderId="26" xfId="0" applyNumberFormat="1" applyFont="1" applyBorder="1" applyAlignment="1"/>
    <xf numFmtId="38" fontId="4" fillId="5" borderId="27" xfId="0" applyNumberFormat="1" applyFont="1" applyFill="1" applyBorder="1" applyAlignment="1"/>
    <xf numFmtId="182" fontId="4" fillId="0" borderId="27" xfId="0" applyNumberFormat="1" applyFont="1" applyBorder="1" applyAlignment="1">
      <alignment shrinkToFit="1"/>
    </xf>
    <xf numFmtId="181" fontId="4" fillId="0" borderId="28" xfId="0" applyNumberFormat="1" applyFont="1" applyBorder="1" applyAlignment="1"/>
    <xf numFmtId="38" fontId="11" fillId="0" borderId="27" xfId="0" applyNumberFormat="1" applyFont="1" applyBorder="1" applyAlignment="1"/>
    <xf numFmtId="38" fontId="8" fillId="5" borderId="27" xfId="0" applyNumberFormat="1" applyFont="1" applyFill="1" applyBorder="1" applyAlignment="1"/>
    <xf numFmtId="182" fontId="12" fillId="0" borderId="28" xfId="0" applyNumberFormat="1" applyFont="1" applyBorder="1" applyAlignment="1">
      <alignment shrinkToFit="1"/>
    </xf>
    <xf numFmtId="182" fontId="4" fillId="0" borderId="28" xfId="0" applyNumberFormat="1" applyFont="1" applyBorder="1" applyAlignment="1"/>
    <xf numFmtId="38" fontId="4" fillId="5" borderId="16" xfId="0" applyNumberFormat="1" applyFont="1" applyFill="1" applyBorder="1" applyAlignment="1"/>
    <xf numFmtId="38" fontId="4" fillId="8" borderId="16" xfId="0" applyNumberFormat="1" applyFont="1" applyFill="1" applyBorder="1" applyAlignment="1"/>
    <xf numFmtId="0" fontId="4" fillId="0" borderId="7" xfId="0" applyFont="1" applyBorder="1" applyAlignment="1"/>
    <xf numFmtId="38" fontId="11" fillId="0" borderId="16" xfId="0" applyNumberFormat="1" applyFont="1" applyBorder="1" applyAlignment="1"/>
    <xf numFmtId="38" fontId="8" fillId="5" borderId="16" xfId="0" applyNumberFormat="1" applyFont="1" applyFill="1" applyBorder="1" applyAlignment="1"/>
    <xf numFmtId="182" fontId="4" fillId="0" borderId="0" xfId="0" applyNumberFormat="1" applyFont="1" applyAlignment="1">
      <alignment shrinkToFit="1"/>
    </xf>
    <xf numFmtId="179" fontId="4" fillId="0" borderId="0" xfId="0" applyNumberFormat="1" applyFont="1" applyAlignment="1"/>
    <xf numFmtId="182" fontId="4" fillId="0" borderId="0" xfId="0" applyNumberFormat="1" applyFont="1" applyAlignment="1"/>
    <xf numFmtId="38" fontId="4" fillId="0" borderId="6" xfId="0" applyNumberFormat="1" applyFont="1" applyBorder="1" applyAlignment="1"/>
    <xf numFmtId="38" fontId="4" fillId="0" borderId="0" xfId="0" applyNumberFormat="1" applyFont="1" applyAlignment="1"/>
    <xf numFmtId="0" fontId="1" fillId="0" borderId="0" xfId="0" applyFont="1" applyAlignment="1">
      <alignment horizontal="right"/>
    </xf>
    <xf numFmtId="183" fontId="4" fillId="0" borderId="0" xfId="0" applyNumberFormat="1" applyFont="1" applyAlignment="1"/>
    <xf numFmtId="183" fontId="4" fillId="6" borderId="0" xfId="0" applyNumberFormat="1" applyFont="1" applyFill="1" applyAlignment="1"/>
    <xf numFmtId="183" fontId="13" fillId="0" borderId="0" xfId="0" applyNumberFormat="1" applyFont="1" applyAlignment="1"/>
    <xf numFmtId="183" fontId="4" fillId="0" borderId="0" xfId="0" applyNumberFormat="1" applyFont="1" applyAlignment="1">
      <alignment horizontal="right"/>
    </xf>
    <xf numFmtId="184" fontId="4" fillId="0" borderId="0" xfId="0" applyNumberFormat="1" applyFont="1" applyAlignment="1"/>
    <xf numFmtId="183" fontId="4" fillId="4" borderId="0" xfId="0" applyNumberFormat="1" applyFont="1" applyFill="1" applyAlignment="1"/>
    <xf numFmtId="0" fontId="1" fillId="0" borderId="19" xfId="0" applyFont="1" applyBorder="1" applyAlignment="1"/>
    <xf numFmtId="0" fontId="1" fillId="0" borderId="25" xfId="0" applyFont="1" applyBorder="1" applyAlignment="1">
      <alignment horizontal="right"/>
    </xf>
    <xf numFmtId="183" fontId="4" fillId="8" borderId="0" xfId="0" applyNumberFormat="1" applyFont="1" applyFill="1" applyAlignment="1"/>
    <xf numFmtId="0" fontId="1" fillId="0" borderId="29" xfId="0" applyFont="1" applyBorder="1" applyAlignment="1"/>
    <xf numFmtId="185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5" fillId="0" borderId="0" xfId="0" applyFont="1" applyAlignment="1"/>
    <xf numFmtId="0" fontId="15" fillId="0" borderId="0" xfId="0" applyFont="1" applyAlignment="1">
      <alignment horizontal="center"/>
    </xf>
    <xf numFmtId="38" fontId="15" fillId="0" borderId="0" xfId="0" applyNumberFormat="1" applyFont="1" applyAlignment="1"/>
    <xf numFmtId="38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 shrinkToFit="1"/>
    </xf>
    <xf numFmtId="186" fontId="15" fillId="0" borderId="0" xfId="0" applyNumberFormat="1" applyFont="1" applyAlignment="1"/>
    <xf numFmtId="0" fontId="15" fillId="5" borderId="0" xfId="0" applyFont="1" applyFill="1" applyAlignment="1"/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184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84" fontId="17" fillId="0" borderId="0" xfId="0" applyNumberFormat="1" applyFont="1">
      <alignment vertical="center"/>
    </xf>
    <xf numFmtId="10" fontId="17" fillId="0" borderId="0" xfId="0" applyNumberFormat="1" applyFont="1">
      <alignment vertical="center"/>
    </xf>
    <xf numFmtId="38" fontId="16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38" fontId="6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38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1" fillId="0" borderId="0" xfId="0" applyFont="1">
      <alignment vertical="center"/>
    </xf>
    <xf numFmtId="38" fontId="1" fillId="0" borderId="0" xfId="0" applyNumberFormat="1" applyFont="1">
      <alignment vertical="center"/>
    </xf>
    <xf numFmtId="178" fontId="20" fillId="0" borderId="7" xfId="0" applyNumberFormat="1" applyFont="1" applyBorder="1" applyAlignment="1"/>
    <xf numFmtId="178" fontId="14" fillId="0" borderId="7" xfId="0" applyNumberFormat="1" applyFont="1" applyBorder="1" applyAlignment="1"/>
    <xf numFmtId="38" fontId="12" fillId="0" borderId="27" xfId="0" applyNumberFormat="1" applyFont="1" applyBorder="1" applyAlignment="1"/>
    <xf numFmtId="38" fontId="11" fillId="5" borderId="27" xfId="0" applyNumberFormat="1" applyFont="1" applyFill="1" applyBorder="1" applyAlignment="1"/>
    <xf numFmtId="182" fontId="12" fillId="0" borderId="0" xfId="0" applyNumberFormat="1" applyFont="1" applyAlignment="1"/>
    <xf numFmtId="38" fontId="11" fillId="5" borderId="16" xfId="0" applyNumberFormat="1" applyFont="1" applyFill="1" applyBorder="1" applyAlignment="1"/>
    <xf numFmtId="38" fontId="12" fillId="0" borderId="16" xfId="0" applyNumberFormat="1" applyFont="1" applyBorder="1" applyAlignment="1"/>
    <xf numFmtId="178" fontId="14" fillId="0" borderId="17" xfId="0" applyNumberFormat="1" applyFont="1" applyBorder="1" applyAlignment="1"/>
    <xf numFmtId="178" fontId="21" fillId="0" borderId="7" xfId="0" applyNumberFormat="1" applyFont="1" applyBorder="1" applyAlignment="1"/>
    <xf numFmtId="182" fontId="11" fillId="0" borderId="28" xfId="0" applyNumberFormat="1" applyFont="1" applyBorder="1" applyAlignment="1">
      <alignment shrinkToFit="1"/>
    </xf>
    <xf numFmtId="3" fontId="1" fillId="0" borderId="0" xfId="0" applyNumberFormat="1" applyFont="1" applyAlignment="1"/>
    <xf numFmtId="38" fontId="15" fillId="0" borderId="0" xfId="0" applyNumberFormat="1" applyFont="1">
      <alignment vertical="center"/>
    </xf>
    <xf numFmtId="0" fontId="8" fillId="5" borderId="7" xfId="0" applyFont="1" applyFill="1" applyBorder="1" applyAlignment="1">
      <alignment horizontal="center" vertical="center" wrapText="1"/>
    </xf>
    <xf numFmtId="0" fontId="7" fillId="0" borderId="5" xfId="0" applyFont="1" applyBorder="1" applyAlignment="1"/>
    <xf numFmtId="0" fontId="7" fillId="0" borderId="6" xfId="0" applyFont="1" applyBorder="1" applyAlignment="1"/>
    <xf numFmtId="0" fontId="14" fillId="0" borderId="1" xfId="0" applyFont="1" applyBorder="1" applyAlignment="1">
      <alignment horizontal="left" vertical="top" wrapText="1"/>
    </xf>
    <xf numFmtId="0" fontId="7" fillId="0" borderId="3" xfId="0" applyFont="1" applyBorder="1" applyAlignment="1"/>
    <xf numFmtId="0" fontId="7" fillId="0" borderId="24" xfId="0" applyFont="1" applyBorder="1" applyAlignment="1"/>
    <xf numFmtId="0" fontId="7" fillId="0" borderId="25" xfId="0" applyFont="1" applyBorder="1" applyAlignment="1"/>
    <xf numFmtId="0" fontId="0" fillId="0" borderId="0" xfId="0" applyAlignment="1"/>
    <xf numFmtId="0" fontId="7" fillId="0" borderId="29" xfId="0" applyFont="1" applyBorder="1" applyAlignment="1"/>
    <xf numFmtId="0" fontId="7" fillId="0" borderId="17" xfId="0" applyFont="1" applyBorder="1" applyAlignment="1"/>
    <xf numFmtId="0" fontId="7" fillId="0" borderId="20" xfId="0" applyFont="1" applyBorder="1" applyAlignment="1"/>
    <xf numFmtId="0" fontId="7" fillId="0" borderId="19" xfId="0" applyFont="1" applyBorder="1" applyAlignment="1"/>
    <xf numFmtId="177" fontId="5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/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38" fontId="14" fillId="0" borderId="7" xfId="0" applyNumberFormat="1" applyFont="1" applyBorder="1" applyAlignment="1"/>
    <xf numFmtId="38" fontId="12" fillId="0" borderId="28" xfId="0" applyNumberFormat="1" applyFont="1" applyBorder="1" applyAlignment="1"/>
    <xf numFmtId="38" fontId="22" fillId="5" borderId="27" xfId="0" applyNumberFormat="1" applyFont="1" applyFill="1" applyBorder="1" applyAlignment="1"/>
    <xf numFmtId="184" fontId="11" fillId="0" borderId="0" xfId="0" applyNumberFormat="1" applyFont="1" applyAlignment="1"/>
    <xf numFmtId="184" fontId="11" fillId="0" borderId="0" xfId="0" applyNumberFormat="1" applyFont="1" applyAlignment="1">
      <alignment shrinkToFit="1"/>
    </xf>
    <xf numFmtId="0" fontId="14" fillId="0" borderId="0" xfId="0" applyFont="1" applyAlignment="1">
      <alignment horizontal="center" vertical="center" wrapText="1"/>
    </xf>
    <xf numFmtId="177" fontId="14" fillId="0" borderId="0" xfId="0" applyNumberFormat="1" applyFont="1" applyAlignment="1">
      <alignment horizontal="center" vertical="center" wrapText="1"/>
    </xf>
    <xf numFmtId="177" fontId="23" fillId="0" borderId="1" xfId="0" applyNumberFormat="1" applyFont="1" applyBorder="1" applyAlignment="1">
      <alignment horizontal="center" vertical="center" wrapText="1"/>
    </xf>
    <xf numFmtId="0" fontId="24" fillId="0" borderId="26" xfId="0" applyFont="1" applyBorder="1" applyAlignment="1"/>
    <xf numFmtId="182" fontId="11" fillId="0" borderId="28" xfId="0" applyNumberFormat="1" applyFont="1" applyBorder="1" applyAlignment="1"/>
    <xf numFmtId="0" fontId="24" fillId="0" borderId="0" xfId="0" applyFont="1" applyAlignment="1"/>
    <xf numFmtId="0" fontId="14" fillId="0" borderId="0" xfId="0" applyFont="1" applyAlignment="1"/>
    <xf numFmtId="38" fontId="15" fillId="0" borderId="0" xfId="0" applyNumberFormat="1" applyFont="1" applyAlignment="1">
      <alignment horizontal="right"/>
    </xf>
    <xf numFmtId="0" fontId="25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0" fontId="14" fillId="0" borderId="25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29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38" fontId="0" fillId="0" borderId="0" xfId="0" applyNumberFormat="1" applyAlignment="1"/>
    <xf numFmtId="0" fontId="8" fillId="5" borderId="1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38" fontId="1" fillId="0" borderId="30" xfId="0" applyNumberFormat="1" applyFont="1" applyBorder="1" applyAlignment="1">
      <alignment horizontal="center" vertical="center" wrapText="1"/>
    </xf>
    <xf numFmtId="38" fontId="4" fillId="0" borderId="18" xfId="0" applyNumberFormat="1" applyFont="1" applyBorder="1" applyAlignment="1"/>
    <xf numFmtId="38" fontId="1" fillId="7" borderId="18" xfId="0" applyNumberFormat="1" applyFont="1" applyFill="1" applyBorder="1" applyAlignment="1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38" fontId="27" fillId="0" borderId="0" xfId="0" applyNumberFormat="1" applyFont="1" applyAlignment="1">
      <alignment horizontal="center" vertical="center" wrapText="1"/>
    </xf>
    <xf numFmtId="0" fontId="29" fillId="0" borderId="0" xfId="0" applyFont="1" applyAlignment="1"/>
    <xf numFmtId="176" fontId="27" fillId="0" borderId="0" xfId="0" applyNumberFormat="1" applyFont="1" applyAlignment="1">
      <alignment horizontal="center" vertical="center" wrapText="1"/>
    </xf>
    <xf numFmtId="177" fontId="30" fillId="0" borderId="0" xfId="0" applyNumberFormat="1" applyFont="1" applyAlignment="1">
      <alignment horizontal="center" vertical="center" wrapText="1"/>
    </xf>
    <xf numFmtId="177" fontId="31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77" fontId="32" fillId="0" borderId="1" xfId="0" applyNumberFormat="1" applyFont="1" applyBorder="1" applyAlignment="1">
      <alignment horizontal="center" vertical="center" wrapText="1"/>
    </xf>
    <xf numFmtId="177" fontId="27" fillId="0" borderId="2" xfId="0" applyNumberFormat="1" applyFont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0" borderId="3" xfId="0" applyFont="1" applyBorder="1" applyAlignment="1"/>
    <xf numFmtId="0" fontId="35" fillId="3" borderId="1" xfId="0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4" fillId="0" borderId="5" xfId="0" applyFont="1" applyBorder="1" applyAlignment="1"/>
    <xf numFmtId="0" fontId="34" fillId="0" borderId="6" xfId="0" applyFont="1" applyBorder="1" applyAlignment="1"/>
    <xf numFmtId="0" fontId="36" fillId="4" borderId="1" xfId="0" applyFont="1" applyFill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center" vertical="center" wrapText="1"/>
    </xf>
    <xf numFmtId="0" fontId="34" fillId="0" borderId="8" xfId="0" applyFont="1" applyBorder="1" applyAlignment="1"/>
    <xf numFmtId="177" fontId="27" fillId="0" borderId="9" xfId="0" applyNumberFormat="1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38" fontId="27" fillId="0" borderId="16" xfId="0" applyNumberFormat="1" applyFont="1" applyBorder="1" applyAlignment="1">
      <alignment horizontal="center" vertical="center" wrapText="1"/>
    </xf>
    <xf numFmtId="0" fontId="27" fillId="0" borderId="0" xfId="0" applyFont="1" applyAlignment="1"/>
    <xf numFmtId="178" fontId="37" fillId="0" borderId="17" xfId="0" applyNumberFormat="1" applyFont="1" applyBorder="1" applyAlignment="1"/>
    <xf numFmtId="38" fontId="27" fillId="0" borderId="7" xfId="0" applyNumberFormat="1" applyFont="1" applyBorder="1" applyAlignment="1"/>
    <xf numFmtId="179" fontId="27" fillId="0" borderId="18" xfId="0" applyNumberFormat="1" applyFont="1" applyBorder="1" applyAlignment="1"/>
    <xf numFmtId="180" fontId="27" fillId="2" borderId="18" xfId="0" applyNumberFormat="1" applyFont="1" applyFill="1" applyBorder="1" applyAlignment="1"/>
    <xf numFmtId="38" fontId="27" fillId="6" borderId="18" xfId="0" applyNumberFormat="1" applyFont="1" applyFill="1" applyBorder="1" applyAlignment="1"/>
    <xf numFmtId="38" fontId="31" fillId="0" borderId="19" xfId="0" applyNumberFormat="1" applyFont="1" applyBorder="1" applyAlignment="1"/>
    <xf numFmtId="38" fontId="31" fillId="0" borderId="17" xfId="0" applyNumberFormat="1" applyFont="1" applyBorder="1" applyAlignment="1"/>
    <xf numFmtId="38" fontId="36" fillId="2" borderId="18" xfId="0" applyNumberFormat="1" applyFont="1" applyFill="1" applyBorder="1" applyAlignment="1"/>
    <xf numFmtId="40" fontId="27" fillId="0" borderId="20" xfId="0" applyNumberFormat="1" applyFont="1" applyBorder="1" applyAlignment="1"/>
    <xf numFmtId="181" fontId="27" fillId="0" borderId="18" xfId="0" applyNumberFormat="1" applyFont="1" applyBorder="1" applyAlignment="1"/>
    <xf numFmtId="180" fontId="27" fillId="3" borderId="18" xfId="0" applyNumberFormat="1" applyFont="1" applyFill="1" applyBorder="1" applyAlignment="1"/>
    <xf numFmtId="38" fontId="27" fillId="0" borderId="18" xfId="0" applyNumberFormat="1" applyFont="1" applyBorder="1" applyAlignment="1"/>
    <xf numFmtId="38" fontId="36" fillId="0" borderId="16" xfId="0" applyNumberFormat="1" applyFont="1" applyBorder="1" applyAlignment="1"/>
    <xf numFmtId="180" fontId="27" fillId="0" borderId="21" xfId="0" applyNumberFormat="1" applyFont="1" applyBorder="1" applyAlignment="1"/>
    <xf numFmtId="38" fontId="27" fillId="7" borderId="17" xfId="0" applyNumberFormat="1" applyFont="1" applyFill="1" applyBorder="1" applyAlignment="1"/>
    <xf numFmtId="179" fontId="27" fillId="4" borderId="18" xfId="0" applyNumberFormat="1" applyFont="1" applyFill="1" applyBorder="1" applyAlignment="1"/>
    <xf numFmtId="180" fontId="27" fillId="0" borderId="18" xfId="0" applyNumberFormat="1" applyFont="1" applyBorder="1" applyAlignment="1"/>
    <xf numFmtId="38" fontId="27" fillId="3" borderId="16" xfId="0" applyNumberFormat="1" applyFont="1" applyFill="1" applyBorder="1" applyAlignment="1"/>
    <xf numFmtId="38" fontId="36" fillId="0" borderId="17" xfId="0" applyNumberFormat="1" applyFont="1" applyBorder="1" applyAlignment="1"/>
    <xf numFmtId="38" fontId="27" fillId="0" borderId="16" xfId="0" applyNumberFormat="1" applyFont="1" applyBorder="1" applyAlignment="1"/>
    <xf numFmtId="38" fontId="31" fillId="0" borderId="16" xfId="0" applyNumberFormat="1" applyFont="1" applyBorder="1" applyAlignment="1"/>
    <xf numFmtId="38" fontId="27" fillId="7" borderId="16" xfId="0" applyNumberFormat="1" applyFont="1" applyFill="1" applyBorder="1" applyAlignment="1"/>
    <xf numFmtId="38" fontId="27" fillId="0" borderId="0" xfId="0" applyNumberFormat="1" applyFont="1" applyAlignment="1"/>
    <xf numFmtId="38" fontId="29" fillId="0" borderId="0" xfId="0" applyNumberFormat="1" applyFont="1" applyAlignment="1"/>
    <xf numFmtId="178" fontId="28" fillId="0" borderId="7" xfId="0" applyNumberFormat="1" applyFont="1" applyBorder="1" applyAlignment="1"/>
    <xf numFmtId="180" fontId="27" fillId="0" borderId="22" xfId="0" applyNumberFormat="1" applyFont="1" applyBorder="1" applyAlignment="1"/>
    <xf numFmtId="38" fontId="36" fillId="8" borderId="17" xfId="0" applyNumberFormat="1" applyFont="1" applyFill="1" applyBorder="1" applyAlignment="1"/>
    <xf numFmtId="178" fontId="38" fillId="0" borderId="7" xfId="0" applyNumberFormat="1" applyFont="1" applyBorder="1" applyAlignment="1"/>
    <xf numFmtId="178" fontId="37" fillId="0" borderId="7" xfId="0" applyNumberFormat="1" applyFont="1" applyBorder="1" applyAlignment="1"/>
    <xf numFmtId="38" fontId="31" fillId="8" borderId="17" xfId="0" applyNumberFormat="1" applyFont="1" applyFill="1" applyBorder="1" applyAlignment="1"/>
    <xf numFmtId="179" fontId="27" fillId="4" borderId="16" xfId="0" applyNumberFormat="1" applyFont="1" applyFill="1" applyBorder="1" applyAlignment="1"/>
    <xf numFmtId="180" fontId="27" fillId="0" borderId="16" xfId="0" applyNumberFormat="1" applyFont="1" applyBorder="1" applyAlignment="1"/>
    <xf numFmtId="38" fontId="27" fillId="6" borderId="16" xfId="0" applyNumberFormat="1" applyFont="1" applyFill="1" applyBorder="1" applyAlignment="1"/>
    <xf numFmtId="0" fontId="31" fillId="0" borderId="0" xfId="0" applyFont="1" applyAlignment="1"/>
    <xf numFmtId="0" fontId="39" fillId="0" borderId="26" xfId="0" applyFont="1" applyBorder="1" applyAlignment="1"/>
    <xf numFmtId="38" fontId="31" fillId="0" borderId="27" xfId="0" applyNumberFormat="1" applyFont="1" applyBorder="1" applyAlignment="1"/>
    <xf numFmtId="179" fontId="31" fillId="0" borderId="28" xfId="0" applyNumberFormat="1" applyFont="1" applyBorder="1" applyAlignment="1"/>
    <xf numFmtId="180" fontId="31" fillId="0" borderId="27" xfId="0" applyNumberFormat="1" applyFont="1" applyBorder="1" applyAlignment="1"/>
    <xf numFmtId="38" fontId="40" fillId="0" borderId="28" xfId="0" applyNumberFormat="1" applyFont="1" applyBorder="1" applyAlignment="1"/>
    <xf numFmtId="38" fontId="31" fillId="0" borderId="28" xfId="0" applyNumberFormat="1" applyFont="1" applyBorder="1" applyAlignment="1"/>
    <xf numFmtId="38" fontId="31" fillId="0" borderId="26" xfId="0" applyNumberFormat="1" applyFont="1" applyBorder="1" applyAlignment="1"/>
    <xf numFmtId="38" fontId="31" fillId="5" borderId="27" xfId="0" applyNumberFormat="1" applyFont="1" applyFill="1" applyBorder="1" applyAlignment="1"/>
    <xf numFmtId="182" fontId="31" fillId="0" borderId="27" xfId="0" applyNumberFormat="1" applyFont="1" applyBorder="1" applyAlignment="1">
      <alignment shrinkToFit="1"/>
    </xf>
    <xf numFmtId="181" fontId="31" fillId="0" borderId="28" xfId="0" applyNumberFormat="1" applyFont="1" applyBorder="1" applyAlignment="1"/>
    <xf numFmtId="38" fontId="40" fillId="0" borderId="27" xfId="0" applyNumberFormat="1" applyFont="1" applyBorder="1" applyAlignment="1"/>
    <xf numFmtId="38" fontId="36" fillId="5" borderId="27" xfId="0" applyNumberFormat="1" applyFont="1" applyFill="1" applyBorder="1" applyAlignment="1"/>
    <xf numFmtId="182" fontId="41" fillId="0" borderId="28" xfId="0" applyNumberFormat="1" applyFont="1" applyBorder="1" applyAlignment="1">
      <alignment shrinkToFit="1"/>
    </xf>
    <xf numFmtId="38" fontId="41" fillId="0" borderId="27" xfId="0" applyNumberFormat="1" applyFont="1" applyBorder="1" applyAlignment="1"/>
    <xf numFmtId="38" fontId="40" fillId="5" borderId="27" xfId="0" applyNumberFormat="1" applyFont="1" applyFill="1" applyBorder="1" applyAlignment="1"/>
    <xf numFmtId="182" fontId="40" fillId="0" borderId="28" xfId="0" applyNumberFormat="1" applyFont="1" applyBorder="1" applyAlignment="1">
      <alignment shrinkToFit="1"/>
    </xf>
    <xf numFmtId="38" fontId="41" fillId="0" borderId="28" xfId="0" applyNumberFormat="1" applyFont="1" applyBorder="1" applyAlignment="1"/>
    <xf numFmtId="38" fontId="35" fillId="5" borderId="27" xfId="0" applyNumberFormat="1" applyFont="1" applyFill="1" applyBorder="1" applyAlignment="1"/>
    <xf numFmtId="182" fontId="40" fillId="0" borderId="28" xfId="0" applyNumberFormat="1" applyFont="1" applyBorder="1" applyAlignment="1"/>
    <xf numFmtId="38" fontId="31" fillId="5" borderId="16" xfId="0" applyNumberFormat="1" applyFont="1" applyFill="1" applyBorder="1" applyAlignment="1"/>
    <xf numFmtId="38" fontId="31" fillId="8" borderId="16" xfId="0" applyNumberFormat="1" applyFont="1" applyFill="1" applyBorder="1" applyAlignment="1"/>
    <xf numFmtId="0" fontId="39" fillId="0" borderId="0" xfId="0" applyFont="1" applyAlignment="1"/>
    <xf numFmtId="0" fontId="31" fillId="0" borderId="7" xfId="0" applyFont="1" applyBorder="1" applyAlignment="1"/>
    <xf numFmtId="38" fontId="40" fillId="0" borderId="16" xfId="0" applyNumberFormat="1" applyFont="1" applyBorder="1" applyAlignment="1"/>
    <xf numFmtId="38" fontId="36" fillId="5" borderId="16" xfId="0" applyNumberFormat="1" applyFont="1" applyFill="1" applyBorder="1" applyAlignment="1"/>
    <xf numFmtId="182" fontId="31" fillId="0" borderId="0" xfId="0" applyNumberFormat="1" applyFont="1" applyAlignment="1">
      <alignment shrinkToFit="1"/>
    </xf>
    <xf numFmtId="179" fontId="31" fillId="0" borderId="0" xfId="0" applyNumberFormat="1" applyFont="1" applyAlignment="1"/>
    <xf numFmtId="182" fontId="41" fillId="0" borderId="0" xfId="0" applyNumberFormat="1" applyFont="1" applyAlignment="1"/>
    <xf numFmtId="38" fontId="40" fillId="5" borderId="16" xfId="0" applyNumberFormat="1" applyFont="1" applyFill="1" applyBorder="1" applyAlignment="1"/>
    <xf numFmtId="182" fontId="31" fillId="0" borderId="0" xfId="0" applyNumberFormat="1" applyFont="1" applyAlignment="1"/>
    <xf numFmtId="38" fontId="41" fillId="0" borderId="16" xfId="0" applyNumberFormat="1" applyFont="1" applyBorder="1" applyAlignment="1"/>
    <xf numFmtId="38" fontId="31" fillId="0" borderId="6" xfId="0" applyNumberFormat="1" applyFont="1" applyBorder="1" applyAlignment="1"/>
    <xf numFmtId="38" fontId="31" fillId="0" borderId="0" xfId="0" applyNumberFormat="1" applyFont="1" applyAlignment="1"/>
    <xf numFmtId="0" fontId="28" fillId="0" borderId="0" xfId="0" applyFont="1" applyAlignment="1"/>
    <xf numFmtId="0" fontId="27" fillId="0" borderId="0" xfId="0" applyFont="1" applyAlignment="1">
      <alignment horizontal="right"/>
    </xf>
    <xf numFmtId="183" fontId="31" fillId="0" borderId="0" xfId="0" applyNumberFormat="1" applyFont="1" applyAlignment="1"/>
    <xf numFmtId="183" fontId="31" fillId="6" borderId="0" xfId="0" applyNumberFormat="1" applyFont="1" applyFill="1" applyAlignment="1"/>
    <xf numFmtId="183" fontId="42" fillId="0" borderId="0" xfId="0" applyNumberFormat="1" applyFont="1" applyAlignment="1"/>
    <xf numFmtId="183" fontId="31" fillId="0" borderId="0" xfId="0" applyNumberFormat="1" applyFont="1" applyAlignment="1">
      <alignment horizontal="right"/>
    </xf>
    <xf numFmtId="184" fontId="40" fillId="0" borderId="0" xfId="0" applyNumberFormat="1" applyFont="1" applyAlignment="1"/>
    <xf numFmtId="184" fontId="40" fillId="0" borderId="0" xfId="0" applyNumberFormat="1" applyFont="1" applyAlignment="1">
      <alignment shrinkToFit="1"/>
    </xf>
    <xf numFmtId="183" fontId="31" fillId="4" borderId="0" xfId="0" applyNumberFormat="1" applyFont="1" applyFill="1" applyAlignment="1"/>
    <xf numFmtId="184" fontId="31" fillId="0" borderId="0" xfId="0" applyNumberFormat="1" applyFont="1" applyAlignment="1"/>
    <xf numFmtId="3" fontId="27" fillId="0" borderId="0" xfId="0" applyNumberFormat="1" applyFont="1" applyAlignment="1"/>
    <xf numFmtId="0" fontId="27" fillId="0" borderId="19" xfId="0" applyFont="1" applyBorder="1" applyAlignment="1"/>
    <xf numFmtId="0" fontId="27" fillId="0" borderId="25" xfId="0" applyFont="1" applyBorder="1" applyAlignment="1">
      <alignment horizontal="right"/>
    </xf>
    <xf numFmtId="183" fontId="31" fillId="8" borderId="0" xfId="0" applyNumberFormat="1" applyFont="1" applyFill="1" applyAlignment="1"/>
    <xf numFmtId="0" fontId="27" fillId="0" borderId="29" xfId="0" applyFont="1" applyBorder="1" applyAlignment="1"/>
    <xf numFmtId="185" fontId="27" fillId="0" borderId="0" xfId="0" applyNumberFormat="1" applyFont="1" applyAlignment="1"/>
    <xf numFmtId="0" fontId="28" fillId="0" borderId="1" xfId="0" applyFont="1" applyBorder="1" applyAlignment="1">
      <alignment horizontal="left" vertical="top" wrapText="1"/>
    </xf>
    <xf numFmtId="0" fontId="34" fillId="0" borderId="24" xfId="0" applyFont="1" applyBorder="1" applyAlignment="1"/>
    <xf numFmtId="0" fontId="34" fillId="0" borderId="25" xfId="0" applyFont="1" applyBorder="1" applyAlignment="1"/>
    <xf numFmtId="0" fontId="29" fillId="0" borderId="0" xfId="0" applyFont="1" applyAlignment="1"/>
    <xf numFmtId="0" fontId="34" fillId="0" borderId="29" xfId="0" applyFont="1" applyBorder="1" applyAlignment="1"/>
    <xf numFmtId="0" fontId="31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4" fillId="0" borderId="17" xfId="0" applyFont="1" applyBorder="1" applyAlignment="1"/>
    <xf numFmtId="0" fontId="34" fillId="0" borderId="20" xfId="0" applyFont="1" applyBorder="1" applyAlignment="1"/>
    <xf numFmtId="0" fontId="34" fillId="0" borderId="19" xfId="0" applyFont="1" applyBorder="1" applyAlignment="1"/>
    <xf numFmtId="38" fontId="31" fillId="0" borderId="0" xfId="0" applyNumberFormat="1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 shrinkToFit="1"/>
    </xf>
    <xf numFmtId="0" fontId="31" fillId="5" borderId="0" xfId="0" applyFont="1" applyFill="1" applyAlignment="1"/>
    <xf numFmtId="0" fontId="36" fillId="0" borderId="0" xfId="0" applyFont="1">
      <alignment vertical="center"/>
    </xf>
    <xf numFmtId="0" fontId="36" fillId="0" borderId="0" xfId="0" applyFont="1" applyAlignment="1">
      <alignment horizontal="right" vertical="center"/>
    </xf>
    <xf numFmtId="184" fontId="36" fillId="0" borderId="0" xfId="0" applyNumberFormat="1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184" fontId="35" fillId="0" borderId="0" xfId="0" applyNumberFormat="1" applyFont="1">
      <alignment vertical="center"/>
    </xf>
    <xf numFmtId="10" fontId="35" fillId="0" borderId="0" xfId="0" applyNumberFormat="1" applyFont="1">
      <alignment vertical="center"/>
    </xf>
    <xf numFmtId="10" fontId="36" fillId="0" borderId="0" xfId="0" applyNumberFormat="1" applyFont="1">
      <alignment vertical="center"/>
    </xf>
    <xf numFmtId="186" fontId="31" fillId="0" borderId="0" xfId="0" applyNumberFormat="1" applyFont="1" applyAlignment="1"/>
    <xf numFmtId="38" fontId="43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38" fontId="27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38" fontId="27" fillId="0" borderId="0" xfId="0" applyNumberFormat="1" applyFont="1" applyAlignment="1">
      <alignment horizontal="center" vertical="center"/>
    </xf>
    <xf numFmtId="38" fontId="33" fillId="0" borderId="0" xfId="0" applyNumberFormat="1" applyFont="1">
      <alignment vertical="center"/>
    </xf>
    <xf numFmtId="38" fontId="31" fillId="0" borderId="0" xfId="0" applyNumberFormat="1" applyFont="1">
      <alignment vertical="center"/>
    </xf>
    <xf numFmtId="38" fontId="45" fillId="0" borderId="0" xfId="0" applyNumberFormat="1" applyFont="1">
      <alignment vertical="center"/>
    </xf>
    <xf numFmtId="0" fontId="45" fillId="0" borderId="0" xfId="0" applyFont="1">
      <alignment vertical="center"/>
    </xf>
    <xf numFmtId="0" fontId="27" fillId="0" borderId="0" xfId="0" applyFont="1">
      <alignment vertical="center"/>
    </xf>
    <xf numFmtId="38" fontId="27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39</xdr:row>
      <xdr:rowOff>66675</xdr:rowOff>
    </xdr:from>
    <xdr:to>
      <xdr:col>9</xdr:col>
      <xdr:colOff>383790</xdr:colOff>
      <xdr:row>43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626773-5159-7B43-B5CB-5665FB1F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800" y="9286875"/>
          <a:ext cx="3732357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39</xdr:row>
      <xdr:rowOff>66675</xdr:rowOff>
    </xdr:from>
    <xdr:to>
      <xdr:col>16</xdr:col>
      <xdr:colOff>400243</xdr:colOff>
      <xdr:row>43</xdr:row>
      <xdr:rowOff>541867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D5DA5D-57F7-CA43-9525-1EE88A5B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025" y="9286875"/>
          <a:ext cx="323128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W1000"/>
  <sheetViews>
    <sheetView zoomScale="150" zoomScaleNormal="395" workbookViewId="0">
      <selection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5" width="6.28515625" style="4" customWidth="1"/>
    <col min="6" max="6" width="7" style="4" customWidth="1"/>
    <col min="7" max="7" width="9.7109375" style="4" customWidth="1"/>
    <col min="8" max="8" width="6.85546875" style="4" customWidth="1"/>
    <col min="9" max="9" width="7.28515625" style="4" customWidth="1"/>
    <col min="10" max="10" width="8.7109375" style="4" customWidth="1"/>
    <col min="11" max="11" width="9.85546875" style="4" customWidth="1"/>
    <col min="12" max="12" width="3.28515625" style="4" customWidth="1"/>
    <col min="13" max="13" width="6.28515625" style="4" customWidth="1"/>
    <col min="14" max="14" width="7.85546875" style="4" customWidth="1"/>
    <col min="15" max="15" width="9.7109375" style="4" customWidth="1"/>
    <col min="16" max="16" width="7.28515625" style="4" customWidth="1"/>
    <col min="17" max="17" width="6.28515625" style="4" customWidth="1"/>
    <col min="18" max="18" width="11.42578125" style="4" customWidth="1"/>
    <col min="19" max="19" width="7.7109375" style="4" customWidth="1"/>
    <col min="20" max="20" width="6.28515625" style="4" customWidth="1"/>
    <col min="21" max="21" width="7.42578125" style="4" customWidth="1"/>
    <col min="22" max="22" width="6.7109375" style="4" customWidth="1"/>
    <col min="23" max="23" width="7.7109375" style="4" customWidth="1"/>
    <col min="24" max="24" width="6.28515625" style="4" customWidth="1"/>
    <col min="25" max="25" width="2.5703125" style="4" customWidth="1"/>
    <col min="26" max="26" width="6.28515625" style="4" customWidth="1"/>
    <col min="27" max="27" width="6.85546875" style="4" customWidth="1"/>
    <col min="28" max="28" width="6.28515625" style="4" customWidth="1"/>
    <col min="29" max="29" width="6.85546875" style="4" customWidth="1"/>
    <col min="30" max="30" width="6.28515625" style="4" customWidth="1"/>
    <col min="31" max="31" width="9.42578125" style="4" customWidth="1"/>
    <col min="32" max="32" width="7.42578125" style="4" customWidth="1"/>
    <col min="33" max="33" width="6.28515625" style="4" customWidth="1"/>
    <col min="34" max="34" width="7.28515625" style="4" customWidth="1"/>
    <col min="35" max="35" width="7" style="4" customWidth="1"/>
    <col min="36" max="36" width="11.28515625" style="4" customWidth="1"/>
    <col min="37" max="48" width="9.28515625" style="4" customWidth="1"/>
    <col min="49" max="16384" width="10.28515625" style="4"/>
  </cols>
  <sheetData>
    <row r="1" spans="1:49" ht="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  <c r="AV1" s="2"/>
    </row>
    <row r="2" spans="1:49" ht="34">
      <c r="A2" s="5">
        <v>2024</v>
      </c>
      <c r="B2" s="6">
        <v>7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3">
        <f>SUM(AE5:AE19)</f>
        <v>1241960</v>
      </c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  <c r="AV2" s="2"/>
    </row>
    <row r="3" spans="1:49" ht="33" customHeight="1">
      <c r="A3" s="9"/>
      <c r="B3" s="158" t="s">
        <v>2</v>
      </c>
      <c r="C3" s="10"/>
      <c r="D3" s="160" t="s">
        <v>3</v>
      </c>
      <c r="E3" s="150"/>
      <c r="F3" s="150"/>
      <c r="G3" s="150"/>
      <c r="H3" s="150"/>
      <c r="I3" s="150"/>
      <c r="J3" s="150"/>
      <c r="K3" s="150"/>
      <c r="L3" s="161" t="s">
        <v>4</v>
      </c>
      <c r="M3" s="150"/>
      <c r="N3" s="150"/>
      <c r="O3" s="150"/>
      <c r="P3" s="150"/>
      <c r="Q3" s="150"/>
      <c r="R3" s="150"/>
      <c r="S3" s="150"/>
      <c r="T3" s="162" t="s">
        <v>5</v>
      </c>
      <c r="U3" s="147"/>
      <c r="V3" s="147"/>
      <c r="W3" s="147"/>
      <c r="X3" s="148"/>
      <c r="Y3" s="163" t="s">
        <v>6</v>
      </c>
      <c r="Z3" s="150"/>
      <c r="AA3" s="150"/>
      <c r="AB3" s="150"/>
      <c r="AC3" s="150"/>
      <c r="AD3" s="150"/>
      <c r="AE3" s="150"/>
      <c r="AF3" s="150"/>
      <c r="AG3" s="162" t="s">
        <v>7</v>
      </c>
      <c r="AH3" s="147"/>
      <c r="AI3" s="147"/>
      <c r="AJ3" s="147"/>
      <c r="AK3" s="148"/>
      <c r="AL3" s="189" t="s">
        <v>8</v>
      </c>
      <c r="AM3" s="150"/>
      <c r="AN3" s="150"/>
      <c r="AO3" s="150"/>
      <c r="AP3" s="150"/>
      <c r="AQ3" s="150"/>
      <c r="AR3" s="150"/>
      <c r="AS3" s="151"/>
      <c r="AT3" s="2"/>
      <c r="AU3" s="3"/>
      <c r="AV3" s="2"/>
    </row>
    <row r="4" spans="1:49" ht="53.25" customHeight="1" thickBot="1">
      <c r="A4" s="9"/>
      <c r="B4" s="159"/>
      <c r="C4" s="11" t="s">
        <v>9</v>
      </c>
      <c r="D4" s="12" t="s">
        <v>10</v>
      </c>
      <c r="E4" s="13" t="s">
        <v>11</v>
      </c>
      <c r="F4" s="12" t="s">
        <v>12</v>
      </c>
      <c r="G4" s="14" t="s">
        <v>13</v>
      </c>
      <c r="H4" s="12" t="s">
        <v>14</v>
      </c>
      <c r="I4" s="15" t="s">
        <v>15</v>
      </c>
      <c r="J4" s="13" t="s">
        <v>16</v>
      </c>
      <c r="K4" s="12" t="s">
        <v>17</v>
      </c>
      <c r="L4" s="12" t="s">
        <v>18</v>
      </c>
      <c r="M4" s="16" t="s">
        <v>11</v>
      </c>
      <c r="N4" s="12" t="s">
        <v>12</v>
      </c>
      <c r="O4" s="14" t="s">
        <v>13</v>
      </c>
      <c r="P4" s="12" t="s">
        <v>14</v>
      </c>
      <c r="Q4" s="15" t="s">
        <v>15</v>
      </c>
      <c r="R4" s="13" t="s">
        <v>16</v>
      </c>
      <c r="S4" s="17" t="s">
        <v>17</v>
      </c>
      <c r="T4" s="18" t="s">
        <v>19</v>
      </c>
      <c r="U4" s="19" t="s">
        <v>20</v>
      </c>
      <c r="V4" s="19" t="s">
        <v>21</v>
      </c>
      <c r="W4" s="20" t="s">
        <v>22</v>
      </c>
      <c r="X4" s="19"/>
      <c r="Y4" s="21" t="s">
        <v>23</v>
      </c>
      <c r="Z4" s="22" t="s">
        <v>11</v>
      </c>
      <c r="AA4" s="12" t="s">
        <v>20</v>
      </c>
      <c r="AB4" s="14" t="s">
        <v>24</v>
      </c>
      <c r="AC4" s="12" t="s">
        <v>21</v>
      </c>
      <c r="AD4" s="15" t="s">
        <v>25</v>
      </c>
      <c r="AE4" s="16" t="s">
        <v>26</v>
      </c>
      <c r="AF4" s="23" t="s">
        <v>17</v>
      </c>
      <c r="AG4" s="18" t="s">
        <v>19</v>
      </c>
      <c r="AH4" s="19" t="s">
        <v>20</v>
      </c>
      <c r="AI4" s="19" t="s">
        <v>21</v>
      </c>
      <c r="AJ4" s="20" t="s">
        <v>22</v>
      </c>
      <c r="AK4" s="19" t="s">
        <v>27</v>
      </c>
      <c r="AL4" s="190" t="s">
        <v>28</v>
      </c>
      <c r="AM4" s="190" t="s">
        <v>29</v>
      </c>
      <c r="AN4" s="190" t="s">
        <v>30</v>
      </c>
      <c r="AO4" s="190" t="s">
        <v>31</v>
      </c>
      <c r="AP4" s="190" t="s">
        <v>32</v>
      </c>
      <c r="AQ4" s="190" t="s">
        <v>33</v>
      </c>
      <c r="AR4" s="190" t="s">
        <v>34</v>
      </c>
      <c r="AS4" s="191" t="s">
        <v>35</v>
      </c>
      <c r="AT4" s="2"/>
      <c r="AU4" s="3"/>
      <c r="AV4" s="2"/>
    </row>
    <row r="5" spans="1:49" ht="22" thickTop="1">
      <c r="A5" s="26"/>
      <c r="B5" s="141">
        <f>DATE($A$2,$B$2,1)</f>
        <v>45474</v>
      </c>
      <c r="C5" s="164" t="s">
        <v>61</v>
      </c>
      <c r="D5" s="27"/>
      <c r="E5" s="28"/>
      <c r="F5" s="29"/>
      <c r="G5" s="30" t="e">
        <f t="shared" ref="G5:G35" si="0">ROUNDDOWN(F5/1.1,0)/E5</f>
        <v>#DIV/0!</v>
      </c>
      <c r="H5" s="29"/>
      <c r="I5" s="31" t="e">
        <f t="shared" ref="I5:I35" si="1">ROUNDDOWN(H5/1.1,0)/E5</f>
        <v>#DIV/0!</v>
      </c>
      <c r="J5" s="32">
        <f t="shared" ref="J5:J35" si="2">F5+H5</f>
        <v>0</v>
      </c>
      <c r="K5" s="33" t="str">
        <f t="shared" ref="K5:K35" si="3">IF(E5="","",J5/E5)</f>
        <v/>
      </c>
      <c r="L5" s="34"/>
      <c r="M5" s="35">
        <f t="shared" ref="M5:N20" si="4">AL5-E5</f>
        <v>34</v>
      </c>
      <c r="N5" s="36">
        <f t="shared" si="4"/>
        <v>292270</v>
      </c>
      <c r="O5" s="30">
        <f t="shared" ref="O5:O35" si="5">ROUNDDOWN(N5/1.1,0)/M5</f>
        <v>7814.7058823529414</v>
      </c>
      <c r="P5" s="36">
        <f t="shared" ref="P5:P35" si="6">AN5-H5</f>
        <v>53940</v>
      </c>
      <c r="Q5" s="31">
        <f t="shared" ref="Q5:Q35" si="7">ROUNDDOWN(P5/1.1,0)/M5</f>
        <v>1442.2352941176471</v>
      </c>
      <c r="R5" s="37">
        <f t="shared" ref="R5:R35" si="8">N5+P5</f>
        <v>346210</v>
      </c>
      <c r="S5" s="33">
        <f t="shared" ref="S5:S35" si="9">IF(M5="","",R5/M5)</f>
        <v>10182.64705882353</v>
      </c>
      <c r="T5" s="38">
        <f t="shared" ref="T5:U20" si="10">E5+M5</f>
        <v>34</v>
      </c>
      <c r="U5" s="36">
        <f t="shared" si="10"/>
        <v>292270</v>
      </c>
      <c r="V5" s="36">
        <f t="shared" ref="V5:V35" si="11">H5+P5</f>
        <v>53940</v>
      </c>
      <c r="W5" s="39">
        <f t="shared" ref="W5:W35" si="12">J5+R5</f>
        <v>346210</v>
      </c>
      <c r="X5" s="36">
        <f t="shared" ref="X5:X34" si="13">IF(T5="","",W5/T5)</f>
        <v>10182.64705882353</v>
      </c>
      <c r="Y5" s="40"/>
      <c r="Z5" s="41">
        <v>8</v>
      </c>
      <c r="AA5" s="29">
        <v>5080</v>
      </c>
      <c r="AB5" s="30">
        <f t="shared" ref="AB5:AB35" si="14">AA5/Z5</f>
        <v>635</v>
      </c>
      <c r="AC5" s="29">
        <v>3700</v>
      </c>
      <c r="AD5" s="31">
        <f t="shared" ref="AD5:AD35" si="15">AC5/Z5</f>
        <v>462.5</v>
      </c>
      <c r="AE5" s="42">
        <f t="shared" ref="AE5:AE35" si="16">AA5+AC5</f>
        <v>8780</v>
      </c>
      <c r="AF5" s="33">
        <f t="shared" ref="AF5:AF35" si="17">IF(Z5="","",AE5/Z5)</f>
        <v>1097.5</v>
      </c>
      <c r="AG5" s="38">
        <f t="shared" ref="AG5:AG35" si="18">SUM(E5,M5)</f>
        <v>34</v>
      </c>
      <c r="AH5" s="36">
        <f t="shared" ref="AH5:AH35" si="19">U5+AA5</f>
        <v>297350</v>
      </c>
      <c r="AI5" s="36">
        <f t="shared" ref="AI5:AI35" si="20">V5+AC5</f>
        <v>57640</v>
      </c>
      <c r="AJ5" s="43">
        <f t="shared" ref="AJ5:AJ35" si="21">W5+AE5</f>
        <v>354990</v>
      </c>
      <c r="AK5" s="36">
        <f t="shared" ref="AK5:AK35" si="22">AO5+AP5+AQ5</f>
        <v>24200</v>
      </c>
      <c r="AL5" s="36">
        <v>34</v>
      </c>
      <c r="AM5" s="36">
        <v>292270</v>
      </c>
      <c r="AN5" s="36">
        <v>53940</v>
      </c>
      <c r="AO5" s="192">
        <v>20900</v>
      </c>
      <c r="AP5" s="192">
        <v>3300</v>
      </c>
      <c r="AQ5" s="192"/>
      <c r="AR5" s="192">
        <v>3300</v>
      </c>
      <c r="AS5" s="193">
        <f t="shared" ref="AS5:AS34" si="23">SUM(AM5:AQ5)</f>
        <v>370410</v>
      </c>
      <c r="AT5" s="26">
        <v>1</v>
      </c>
      <c r="AU5" s="47">
        <f>AR5+AS5</f>
        <v>373710</v>
      </c>
      <c r="AV5" s="47">
        <f>AS5+AE5</f>
        <v>379190</v>
      </c>
      <c r="AW5" s="188">
        <f>AV5+AR5</f>
        <v>382490</v>
      </c>
    </row>
    <row r="6" spans="1:49" ht="21">
      <c r="A6" s="26"/>
      <c r="B6" s="135">
        <f t="shared" ref="B6:B35" si="24">B5+1</f>
        <v>45475</v>
      </c>
      <c r="C6" s="48" t="s">
        <v>59</v>
      </c>
      <c r="D6" s="27"/>
      <c r="E6" s="28"/>
      <c r="F6" s="29"/>
      <c r="G6" s="30" t="e">
        <f t="shared" si="0"/>
        <v>#DIV/0!</v>
      </c>
      <c r="H6" s="29"/>
      <c r="I6" s="31" t="e">
        <f t="shared" si="1"/>
        <v>#DIV/0!</v>
      </c>
      <c r="J6" s="32">
        <f t="shared" si="2"/>
        <v>0</v>
      </c>
      <c r="K6" s="33" t="str">
        <f t="shared" si="3"/>
        <v/>
      </c>
      <c r="L6" s="34"/>
      <c r="M6" s="35">
        <f t="shared" si="4"/>
        <v>40</v>
      </c>
      <c r="N6" s="36">
        <f t="shared" si="4"/>
        <v>354970</v>
      </c>
      <c r="O6" s="30">
        <f t="shared" si="5"/>
        <v>8067.5</v>
      </c>
      <c r="P6" s="36">
        <f t="shared" si="6"/>
        <v>52840</v>
      </c>
      <c r="Q6" s="31">
        <f t="shared" si="7"/>
        <v>1200.9000000000001</v>
      </c>
      <c r="R6" s="37">
        <f t="shared" si="8"/>
        <v>407810</v>
      </c>
      <c r="S6" s="33">
        <f t="shared" si="9"/>
        <v>10195.25</v>
      </c>
      <c r="T6" s="49">
        <f t="shared" si="10"/>
        <v>40</v>
      </c>
      <c r="U6" s="36">
        <f t="shared" si="10"/>
        <v>354970</v>
      </c>
      <c r="V6" s="36">
        <f t="shared" si="11"/>
        <v>52840</v>
      </c>
      <c r="W6" s="39">
        <f t="shared" si="12"/>
        <v>407810</v>
      </c>
      <c r="X6" s="36">
        <f t="shared" si="13"/>
        <v>10195.25</v>
      </c>
      <c r="Y6" s="40"/>
      <c r="Z6" s="41">
        <v>110</v>
      </c>
      <c r="AA6" s="29">
        <v>61210</v>
      </c>
      <c r="AB6" s="30">
        <f t="shared" si="14"/>
        <v>556.4545454545455</v>
      </c>
      <c r="AC6" s="29">
        <v>31950</v>
      </c>
      <c r="AD6" s="31">
        <f t="shared" si="15"/>
        <v>290.45454545454544</v>
      </c>
      <c r="AE6" s="42">
        <f t="shared" si="16"/>
        <v>93160</v>
      </c>
      <c r="AF6" s="33">
        <f t="shared" si="17"/>
        <v>846.90909090909088</v>
      </c>
      <c r="AG6" s="49">
        <f t="shared" si="18"/>
        <v>40</v>
      </c>
      <c r="AH6" s="36">
        <f t="shared" si="19"/>
        <v>416180</v>
      </c>
      <c r="AI6" s="36">
        <f t="shared" si="20"/>
        <v>84790</v>
      </c>
      <c r="AJ6" s="43">
        <f t="shared" si="21"/>
        <v>500970</v>
      </c>
      <c r="AK6" s="36">
        <f t="shared" si="22"/>
        <v>17600</v>
      </c>
      <c r="AL6" s="44">
        <v>40</v>
      </c>
      <c r="AM6" s="44">
        <v>354970</v>
      </c>
      <c r="AN6" s="44">
        <v>52840</v>
      </c>
      <c r="AO6" s="45">
        <v>17600</v>
      </c>
      <c r="AP6" s="45"/>
      <c r="AQ6" s="45"/>
      <c r="AR6" s="45"/>
      <c r="AS6" s="46">
        <f t="shared" si="23"/>
        <v>425410</v>
      </c>
      <c r="AT6" s="26">
        <v>2</v>
      </c>
      <c r="AU6" s="47">
        <f t="shared" ref="AU6:AU35" si="25">AR6+AS6</f>
        <v>425410</v>
      </c>
      <c r="AV6" s="47">
        <f>AS6+AE6+AR6</f>
        <v>518570</v>
      </c>
      <c r="AW6" s="188">
        <f t="shared" ref="AW6:AW35" si="26">AV6+AR6</f>
        <v>518570</v>
      </c>
    </row>
    <row r="7" spans="1:49" ht="21">
      <c r="A7" s="26"/>
      <c r="B7" s="135">
        <f t="shared" si="24"/>
        <v>45476</v>
      </c>
      <c r="C7" s="48" t="s">
        <v>59</v>
      </c>
      <c r="D7" s="27"/>
      <c r="E7" s="28"/>
      <c r="F7" s="29"/>
      <c r="G7" s="30" t="e">
        <f t="shared" si="0"/>
        <v>#DIV/0!</v>
      </c>
      <c r="H7" s="29"/>
      <c r="I7" s="31" t="e">
        <f t="shared" si="1"/>
        <v>#DIV/0!</v>
      </c>
      <c r="J7" s="32">
        <f t="shared" si="2"/>
        <v>0</v>
      </c>
      <c r="K7" s="33" t="str">
        <f t="shared" si="3"/>
        <v/>
      </c>
      <c r="L7" s="34"/>
      <c r="M7" s="35">
        <f t="shared" si="4"/>
        <v>36</v>
      </c>
      <c r="N7" s="36">
        <f t="shared" si="4"/>
        <v>359260</v>
      </c>
      <c r="O7" s="30">
        <f t="shared" si="5"/>
        <v>9072.2222222222226</v>
      </c>
      <c r="P7" s="36">
        <f t="shared" si="6"/>
        <v>53170</v>
      </c>
      <c r="Q7" s="31">
        <f t="shared" si="7"/>
        <v>1342.6666666666667</v>
      </c>
      <c r="R7" s="37">
        <f t="shared" si="8"/>
        <v>412430</v>
      </c>
      <c r="S7" s="33">
        <f t="shared" si="9"/>
        <v>11456.388888888889</v>
      </c>
      <c r="T7" s="49">
        <f t="shared" si="10"/>
        <v>36</v>
      </c>
      <c r="U7" s="36">
        <f t="shared" si="10"/>
        <v>359260</v>
      </c>
      <c r="V7" s="36">
        <f t="shared" si="11"/>
        <v>53170</v>
      </c>
      <c r="W7" s="39">
        <f t="shared" si="12"/>
        <v>412430</v>
      </c>
      <c r="X7" s="36">
        <f t="shared" si="13"/>
        <v>11456.388888888889</v>
      </c>
      <c r="Y7" s="40"/>
      <c r="Z7" s="41">
        <v>95</v>
      </c>
      <c r="AA7" s="29">
        <v>62290</v>
      </c>
      <c r="AB7" s="30">
        <f t="shared" si="14"/>
        <v>655.68421052631584</v>
      </c>
      <c r="AC7" s="29">
        <v>23900</v>
      </c>
      <c r="AD7" s="31">
        <f t="shared" si="15"/>
        <v>251.57894736842104</v>
      </c>
      <c r="AE7" s="42">
        <f t="shared" si="16"/>
        <v>86190</v>
      </c>
      <c r="AF7" s="33">
        <f t="shared" si="17"/>
        <v>907.26315789473688</v>
      </c>
      <c r="AG7" s="49">
        <f t="shared" si="18"/>
        <v>36</v>
      </c>
      <c r="AH7" s="36">
        <f t="shared" si="19"/>
        <v>421550</v>
      </c>
      <c r="AI7" s="36">
        <f t="shared" si="20"/>
        <v>77070</v>
      </c>
      <c r="AJ7" s="43">
        <f t="shared" si="21"/>
        <v>498620</v>
      </c>
      <c r="AK7" s="36">
        <f t="shared" si="22"/>
        <v>19800</v>
      </c>
      <c r="AL7" s="44">
        <v>36</v>
      </c>
      <c r="AM7" s="44">
        <v>359260</v>
      </c>
      <c r="AN7" s="44">
        <v>53170</v>
      </c>
      <c r="AO7" s="45">
        <v>19800</v>
      </c>
      <c r="AP7" s="45"/>
      <c r="AQ7" s="45"/>
      <c r="AR7" s="45"/>
      <c r="AS7" s="46">
        <f t="shared" si="23"/>
        <v>432230</v>
      </c>
      <c r="AT7" s="26">
        <v>3</v>
      </c>
      <c r="AU7" s="47">
        <f t="shared" si="25"/>
        <v>432230</v>
      </c>
      <c r="AV7" s="47">
        <f t="shared" ref="AV7:AV35" si="27">AS7+AE7</f>
        <v>518420</v>
      </c>
      <c r="AW7" s="188">
        <f t="shared" si="26"/>
        <v>518420</v>
      </c>
    </row>
    <row r="8" spans="1:49" ht="21">
      <c r="A8" s="26"/>
      <c r="B8" s="135">
        <f t="shared" si="24"/>
        <v>45477</v>
      </c>
      <c r="C8" s="48" t="s">
        <v>59</v>
      </c>
      <c r="D8" s="27"/>
      <c r="E8" s="28"/>
      <c r="F8" s="29"/>
      <c r="G8" s="30" t="e">
        <f t="shared" si="0"/>
        <v>#DIV/0!</v>
      </c>
      <c r="H8" s="29"/>
      <c r="I8" s="31" t="e">
        <f t="shared" si="1"/>
        <v>#DIV/0!</v>
      </c>
      <c r="J8" s="32">
        <f t="shared" si="2"/>
        <v>0</v>
      </c>
      <c r="K8" s="33" t="str">
        <f t="shared" si="3"/>
        <v/>
      </c>
      <c r="L8" s="34"/>
      <c r="M8" s="35">
        <f t="shared" si="4"/>
        <v>43</v>
      </c>
      <c r="N8" s="36">
        <f t="shared" si="4"/>
        <v>339460</v>
      </c>
      <c r="O8" s="30">
        <f t="shared" si="5"/>
        <v>7176.7441860465115</v>
      </c>
      <c r="P8" s="36">
        <f t="shared" si="6"/>
        <v>64670</v>
      </c>
      <c r="Q8" s="31">
        <f t="shared" si="7"/>
        <v>1367.2093023255813</v>
      </c>
      <c r="R8" s="37">
        <f t="shared" si="8"/>
        <v>404130</v>
      </c>
      <c r="S8" s="33">
        <f t="shared" si="9"/>
        <v>9398.3720930232557</v>
      </c>
      <c r="T8" s="49">
        <f t="shared" si="10"/>
        <v>43</v>
      </c>
      <c r="U8" s="36">
        <f t="shared" si="10"/>
        <v>339460</v>
      </c>
      <c r="V8" s="36">
        <f t="shared" si="11"/>
        <v>64670</v>
      </c>
      <c r="W8" s="39">
        <f t="shared" si="12"/>
        <v>404130</v>
      </c>
      <c r="X8" s="36">
        <f t="shared" si="13"/>
        <v>9398.3720930232557</v>
      </c>
      <c r="Y8" s="40"/>
      <c r="Z8" s="41">
        <v>50</v>
      </c>
      <c r="AA8" s="29">
        <v>35910</v>
      </c>
      <c r="AB8" s="30">
        <f t="shared" si="14"/>
        <v>718.2</v>
      </c>
      <c r="AC8" s="29">
        <v>8950</v>
      </c>
      <c r="AD8" s="31">
        <f t="shared" si="15"/>
        <v>179</v>
      </c>
      <c r="AE8" s="42">
        <f t="shared" si="16"/>
        <v>44860</v>
      </c>
      <c r="AF8" s="33">
        <f t="shared" si="17"/>
        <v>897.2</v>
      </c>
      <c r="AG8" s="49">
        <f t="shared" si="18"/>
        <v>43</v>
      </c>
      <c r="AH8" s="36">
        <f t="shared" si="19"/>
        <v>375370</v>
      </c>
      <c r="AI8" s="36">
        <f t="shared" si="20"/>
        <v>73620</v>
      </c>
      <c r="AJ8" s="50">
        <f t="shared" si="21"/>
        <v>448990</v>
      </c>
      <c r="AK8" s="36">
        <f t="shared" si="22"/>
        <v>28600</v>
      </c>
      <c r="AL8" s="44">
        <v>43</v>
      </c>
      <c r="AM8" s="44">
        <v>339460</v>
      </c>
      <c r="AN8" s="44">
        <v>64670</v>
      </c>
      <c r="AO8" s="45">
        <v>28600</v>
      </c>
      <c r="AP8" s="45"/>
      <c r="AQ8" s="45"/>
      <c r="AR8" s="45"/>
      <c r="AS8" s="46">
        <f t="shared" si="23"/>
        <v>432730</v>
      </c>
      <c r="AT8" s="26">
        <v>4</v>
      </c>
      <c r="AU8" s="47">
        <f t="shared" si="25"/>
        <v>432730</v>
      </c>
      <c r="AV8" s="47">
        <f t="shared" si="27"/>
        <v>477590</v>
      </c>
      <c r="AW8" s="188">
        <f t="shared" si="26"/>
        <v>477590</v>
      </c>
    </row>
    <row r="9" spans="1:49" ht="21">
      <c r="A9" s="26"/>
      <c r="B9" s="135">
        <f t="shared" si="24"/>
        <v>45478</v>
      </c>
      <c r="C9" s="48" t="s">
        <v>62</v>
      </c>
      <c r="D9" s="27"/>
      <c r="E9" s="28"/>
      <c r="F9" s="29"/>
      <c r="G9" s="30" t="e">
        <f t="shared" si="0"/>
        <v>#DIV/0!</v>
      </c>
      <c r="H9" s="29"/>
      <c r="I9" s="31" t="e">
        <f t="shared" si="1"/>
        <v>#DIV/0!</v>
      </c>
      <c r="J9" s="32">
        <f t="shared" si="2"/>
        <v>0</v>
      </c>
      <c r="K9" s="33" t="str">
        <f t="shared" si="3"/>
        <v/>
      </c>
      <c r="L9" s="34"/>
      <c r="M9" s="35">
        <f t="shared" si="4"/>
        <v>49</v>
      </c>
      <c r="N9" s="36">
        <f t="shared" si="4"/>
        <v>523820</v>
      </c>
      <c r="O9" s="30">
        <f t="shared" si="5"/>
        <v>9718.3673469387759</v>
      </c>
      <c r="P9" s="36">
        <f t="shared" si="6"/>
        <v>132330</v>
      </c>
      <c r="Q9" s="31">
        <f t="shared" si="7"/>
        <v>2455.1020408163267</v>
      </c>
      <c r="R9" s="37">
        <f t="shared" si="8"/>
        <v>656150</v>
      </c>
      <c r="S9" s="33">
        <f t="shared" si="9"/>
        <v>13390.816326530612</v>
      </c>
      <c r="T9" s="49">
        <f t="shared" si="10"/>
        <v>49</v>
      </c>
      <c r="U9" s="36">
        <f t="shared" si="10"/>
        <v>523820</v>
      </c>
      <c r="V9" s="36">
        <f t="shared" si="11"/>
        <v>132330</v>
      </c>
      <c r="W9" s="39">
        <f t="shared" si="12"/>
        <v>656150</v>
      </c>
      <c r="X9" s="36">
        <f t="shared" si="13"/>
        <v>13390.816326530612</v>
      </c>
      <c r="Y9" s="40"/>
      <c r="Z9" s="41">
        <v>63</v>
      </c>
      <c r="AA9" s="29">
        <v>39710</v>
      </c>
      <c r="AB9" s="30">
        <f t="shared" si="14"/>
        <v>630.31746031746036</v>
      </c>
      <c r="AC9" s="29">
        <v>16150</v>
      </c>
      <c r="AD9" s="31">
        <f t="shared" si="15"/>
        <v>256.34920634920633</v>
      </c>
      <c r="AE9" s="42">
        <f t="shared" si="16"/>
        <v>55860</v>
      </c>
      <c r="AF9" s="33">
        <f t="shared" si="17"/>
        <v>886.66666666666663</v>
      </c>
      <c r="AG9" s="49">
        <f t="shared" si="18"/>
        <v>49</v>
      </c>
      <c r="AH9" s="36">
        <f t="shared" si="19"/>
        <v>563530</v>
      </c>
      <c r="AI9" s="36">
        <f t="shared" si="20"/>
        <v>148480</v>
      </c>
      <c r="AJ9" s="43">
        <f t="shared" si="21"/>
        <v>712010</v>
      </c>
      <c r="AK9" s="36">
        <f t="shared" si="22"/>
        <v>16500</v>
      </c>
      <c r="AL9" s="44">
        <v>49</v>
      </c>
      <c r="AM9" s="44">
        <v>523820</v>
      </c>
      <c r="AN9" s="44">
        <v>132330</v>
      </c>
      <c r="AO9" s="45">
        <v>16500</v>
      </c>
      <c r="AP9" s="45"/>
      <c r="AQ9" s="45"/>
      <c r="AR9" s="45">
        <v>25850</v>
      </c>
      <c r="AS9" s="46">
        <f t="shared" si="23"/>
        <v>672650</v>
      </c>
      <c r="AT9" s="26">
        <v>5</v>
      </c>
      <c r="AU9" s="47">
        <f t="shared" si="25"/>
        <v>698500</v>
      </c>
      <c r="AV9" s="47">
        <f t="shared" si="27"/>
        <v>728510</v>
      </c>
      <c r="AW9" s="188">
        <f t="shared" si="26"/>
        <v>754360</v>
      </c>
    </row>
    <row r="10" spans="1:49" ht="21">
      <c r="A10" s="26"/>
      <c r="B10" s="142">
        <f t="shared" si="24"/>
        <v>45479</v>
      </c>
      <c r="C10" s="48"/>
      <c r="D10" s="27"/>
      <c r="E10" s="28">
        <v>37</v>
      </c>
      <c r="F10" s="29">
        <v>139150</v>
      </c>
      <c r="G10" s="30">
        <f t="shared" si="0"/>
        <v>3418.9189189189187</v>
      </c>
      <c r="H10" s="29">
        <v>8400</v>
      </c>
      <c r="I10" s="31">
        <f t="shared" si="1"/>
        <v>206.37837837837839</v>
      </c>
      <c r="J10" s="32">
        <f t="shared" si="2"/>
        <v>147550</v>
      </c>
      <c r="K10" s="33">
        <f t="shared" si="3"/>
        <v>3987.8378378378379</v>
      </c>
      <c r="L10" s="34"/>
      <c r="M10" s="35">
        <f t="shared" si="4"/>
        <v>44</v>
      </c>
      <c r="N10" s="36">
        <f t="shared" si="4"/>
        <v>369490</v>
      </c>
      <c r="O10" s="30">
        <f t="shared" si="5"/>
        <v>7634.090909090909</v>
      </c>
      <c r="P10" s="36">
        <f t="shared" si="6"/>
        <v>79040</v>
      </c>
      <c r="Q10" s="31">
        <f t="shared" si="7"/>
        <v>1633.0454545454545</v>
      </c>
      <c r="R10" s="37">
        <f t="shared" si="8"/>
        <v>448530</v>
      </c>
      <c r="S10" s="33">
        <f t="shared" si="9"/>
        <v>10193.863636363636</v>
      </c>
      <c r="T10" s="49">
        <f t="shared" si="10"/>
        <v>81</v>
      </c>
      <c r="U10" s="36">
        <f t="shared" si="10"/>
        <v>508640</v>
      </c>
      <c r="V10" s="36">
        <f t="shared" si="11"/>
        <v>87440</v>
      </c>
      <c r="W10" s="39">
        <f t="shared" si="12"/>
        <v>596080</v>
      </c>
      <c r="X10" s="36">
        <f t="shared" si="13"/>
        <v>7359.0123456790125</v>
      </c>
      <c r="Y10" s="40"/>
      <c r="Z10" s="41">
        <v>63</v>
      </c>
      <c r="AA10" s="29">
        <v>48350</v>
      </c>
      <c r="AB10" s="30">
        <f t="shared" si="14"/>
        <v>767.46031746031747</v>
      </c>
      <c r="AC10" s="29">
        <v>15300</v>
      </c>
      <c r="AD10" s="31">
        <f t="shared" si="15"/>
        <v>242.85714285714286</v>
      </c>
      <c r="AE10" s="42">
        <f t="shared" si="16"/>
        <v>63650</v>
      </c>
      <c r="AF10" s="33">
        <f t="shared" si="17"/>
        <v>1010.3174603174604</v>
      </c>
      <c r="AG10" s="49">
        <f t="shared" si="18"/>
        <v>81</v>
      </c>
      <c r="AH10" s="36">
        <f t="shared" si="19"/>
        <v>556990</v>
      </c>
      <c r="AI10" s="36">
        <f t="shared" si="20"/>
        <v>102740</v>
      </c>
      <c r="AJ10" s="43">
        <f t="shared" si="21"/>
        <v>659730</v>
      </c>
      <c r="AK10" s="36">
        <f t="shared" si="22"/>
        <v>13200</v>
      </c>
      <c r="AL10" s="44">
        <v>81</v>
      </c>
      <c r="AM10" s="44">
        <v>508640</v>
      </c>
      <c r="AN10" s="44">
        <v>87440</v>
      </c>
      <c r="AO10" s="45">
        <v>13200</v>
      </c>
      <c r="AP10" s="45"/>
      <c r="AQ10" s="45"/>
      <c r="AR10" s="45"/>
      <c r="AS10" s="46">
        <f t="shared" si="23"/>
        <v>609280</v>
      </c>
      <c r="AT10" s="26">
        <v>6</v>
      </c>
      <c r="AU10" s="47">
        <f t="shared" si="25"/>
        <v>609280</v>
      </c>
      <c r="AV10" s="47">
        <f t="shared" si="27"/>
        <v>672930</v>
      </c>
      <c r="AW10" s="188">
        <f t="shared" si="26"/>
        <v>672930</v>
      </c>
    </row>
    <row r="11" spans="1:49" ht="21">
      <c r="A11" s="26"/>
      <c r="B11" s="51">
        <f t="shared" si="24"/>
        <v>45480</v>
      </c>
      <c r="C11" s="48"/>
      <c r="D11" s="27"/>
      <c r="E11" s="28">
        <v>33</v>
      </c>
      <c r="F11" s="29">
        <v>128700</v>
      </c>
      <c r="G11" s="30">
        <f t="shared" si="0"/>
        <v>3545.4545454545455</v>
      </c>
      <c r="H11" s="29">
        <v>24970</v>
      </c>
      <c r="I11" s="31">
        <f t="shared" si="1"/>
        <v>687.87878787878788</v>
      </c>
      <c r="J11" s="32">
        <f t="shared" si="2"/>
        <v>153670</v>
      </c>
      <c r="K11" s="33">
        <f t="shared" si="3"/>
        <v>4656.666666666667</v>
      </c>
      <c r="L11" s="34"/>
      <c r="M11" s="35">
        <f t="shared" si="4"/>
        <v>43</v>
      </c>
      <c r="N11" s="36">
        <f t="shared" si="4"/>
        <v>400840</v>
      </c>
      <c r="O11" s="30">
        <f t="shared" si="5"/>
        <v>8474.4186046511622</v>
      </c>
      <c r="P11" s="36">
        <f t="shared" si="6"/>
        <v>69590</v>
      </c>
      <c r="Q11" s="31">
        <f t="shared" si="7"/>
        <v>1471.2325581395348</v>
      </c>
      <c r="R11" s="37">
        <f t="shared" si="8"/>
        <v>470430</v>
      </c>
      <c r="S11" s="33">
        <f t="shared" si="9"/>
        <v>10940.232558139534</v>
      </c>
      <c r="T11" s="49">
        <f t="shared" si="10"/>
        <v>76</v>
      </c>
      <c r="U11" s="36">
        <f t="shared" si="10"/>
        <v>529540</v>
      </c>
      <c r="V11" s="36">
        <f t="shared" si="11"/>
        <v>94560</v>
      </c>
      <c r="W11" s="39">
        <f t="shared" si="12"/>
        <v>624100</v>
      </c>
      <c r="X11" s="36">
        <f t="shared" si="13"/>
        <v>8211.8421052631584</v>
      </c>
      <c r="Y11" s="40"/>
      <c r="Z11" s="41">
        <v>91</v>
      </c>
      <c r="AA11" s="29">
        <v>60240</v>
      </c>
      <c r="AB11" s="30">
        <f t="shared" si="14"/>
        <v>661.97802197802196</v>
      </c>
      <c r="AC11" s="29">
        <v>28000</v>
      </c>
      <c r="AD11" s="31">
        <f t="shared" si="15"/>
        <v>307.69230769230768</v>
      </c>
      <c r="AE11" s="42">
        <f t="shared" si="16"/>
        <v>88240</v>
      </c>
      <c r="AF11" s="33">
        <f t="shared" si="17"/>
        <v>969.67032967032969</v>
      </c>
      <c r="AG11" s="49">
        <f t="shared" si="18"/>
        <v>76</v>
      </c>
      <c r="AH11" s="36">
        <f t="shared" si="19"/>
        <v>589780</v>
      </c>
      <c r="AI11" s="36">
        <f t="shared" si="20"/>
        <v>122560</v>
      </c>
      <c r="AJ11" s="43">
        <f t="shared" si="21"/>
        <v>712340</v>
      </c>
      <c r="AK11" s="36">
        <f t="shared" si="22"/>
        <v>35750</v>
      </c>
      <c r="AL11" s="44">
        <v>76</v>
      </c>
      <c r="AM11" s="44">
        <v>529540</v>
      </c>
      <c r="AN11" s="44">
        <v>94560</v>
      </c>
      <c r="AO11" s="45">
        <v>34100</v>
      </c>
      <c r="AP11" s="45">
        <v>1650</v>
      </c>
      <c r="AQ11" s="45"/>
      <c r="AR11" s="45">
        <v>3300</v>
      </c>
      <c r="AS11" s="46">
        <f t="shared" si="23"/>
        <v>659850</v>
      </c>
      <c r="AT11" s="26">
        <v>7</v>
      </c>
      <c r="AU11" s="47">
        <f t="shared" si="25"/>
        <v>663150</v>
      </c>
      <c r="AV11" s="47">
        <f t="shared" si="27"/>
        <v>748090</v>
      </c>
      <c r="AW11" s="188">
        <f t="shared" si="26"/>
        <v>751390</v>
      </c>
    </row>
    <row r="12" spans="1:49" ht="21">
      <c r="A12" s="26"/>
      <c r="B12" s="135">
        <f t="shared" si="24"/>
        <v>45481</v>
      </c>
      <c r="C12" s="48" t="s">
        <v>59</v>
      </c>
      <c r="D12" s="27"/>
      <c r="E12" s="28"/>
      <c r="F12" s="29"/>
      <c r="G12" s="30" t="e">
        <f t="shared" si="0"/>
        <v>#DIV/0!</v>
      </c>
      <c r="H12" s="29"/>
      <c r="I12" s="31" t="e">
        <f t="shared" si="1"/>
        <v>#DIV/0!</v>
      </c>
      <c r="J12" s="32">
        <f t="shared" si="2"/>
        <v>0</v>
      </c>
      <c r="K12" s="33" t="str">
        <f t="shared" si="3"/>
        <v/>
      </c>
      <c r="L12" s="34"/>
      <c r="M12" s="35">
        <f t="shared" si="4"/>
        <v>35</v>
      </c>
      <c r="N12" s="36">
        <f t="shared" si="4"/>
        <v>363000</v>
      </c>
      <c r="O12" s="30">
        <f t="shared" si="5"/>
        <v>9428.5714285714294</v>
      </c>
      <c r="P12" s="36">
        <f t="shared" si="6"/>
        <v>48350</v>
      </c>
      <c r="Q12" s="52">
        <f t="shared" si="7"/>
        <v>1255.8285714285714</v>
      </c>
      <c r="R12" s="37">
        <f t="shared" si="8"/>
        <v>411350</v>
      </c>
      <c r="S12" s="33">
        <f t="shared" si="9"/>
        <v>11752.857142857143</v>
      </c>
      <c r="T12" s="49">
        <f t="shared" si="10"/>
        <v>35</v>
      </c>
      <c r="U12" s="36">
        <f t="shared" si="10"/>
        <v>363000</v>
      </c>
      <c r="V12" s="36">
        <f t="shared" si="11"/>
        <v>48350</v>
      </c>
      <c r="W12" s="39">
        <f t="shared" si="12"/>
        <v>411350</v>
      </c>
      <c r="X12" s="36">
        <f t="shared" si="13"/>
        <v>11752.857142857143</v>
      </c>
      <c r="Y12" s="40"/>
      <c r="Z12" s="41">
        <v>28</v>
      </c>
      <c r="AA12" s="29">
        <v>20170</v>
      </c>
      <c r="AB12" s="30">
        <f t="shared" si="14"/>
        <v>720.35714285714289</v>
      </c>
      <c r="AC12" s="29">
        <v>6200</v>
      </c>
      <c r="AD12" s="31">
        <f t="shared" si="15"/>
        <v>221.42857142857142</v>
      </c>
      <c r="AE12" s="42">
        <f t="shared" si="16"/>
        <v>26370</v>
      </c>
      <c r="AF12" s="33">
        <f t="shared" si="17"/>
        <v>941.78571428571433</v>
      </c>
      <c r="AG12" s="49">
        <f t="shared" si="18"/>
        <v>35</v>
      </c>
      <c r="AH12" s="36">
        <f t="shared" si="19"/>
        <v>383170</v>
      </c>
      <c r="AI12" s="36">
        <f t="shared" si="20"/>
        <v>54550</v>
      </c>
      <c r="AJ12" s="43">
        <f t="shared" si="21"/>
        <v>437720</v>
      </c>
      <c r="AK12" s="36">
        <f t="shared" si="22"/>
        <v>9020</v>
      </c>
      <c r="AL12" s="44">
        <v>35</v>
      </c>
      <c r="AM12" s="44">
        <v>363000</v>
      </c>
      <c r="AN12" s="44">
        <v>48350</v>
      </c>
      <c r="AO12" s="45">
        <v>6600</v>
      </c>
      <c r="AP12" s="45">
        <v>2420</v>
      </c>
      <c r="AQ12" s="45"/>
      <c r="AR12" s="45">
        <v>77000</v>
      </c>
      <c r="AS12" s="46">
        <f t="shared" si="23"/>
        <v>420370</v>
      </c>
      <c r="AT12" s="26">
        <v>8</v>
      </c>
      <c r="AU12" s="47">
        <f t="shared" si="25"/>
        <v>497370</v>
      </c>
      <c r="AV12" s="47">
        <f t="shared" si="27"/>
        <v>446740</v>
      </c>
      <c r="AW12" s="188">
        <f t="shared" si="26"/>
        <v>523740</v>
      </c>
    </row>
    <row r="13" spans="1:49" ht="21">
      <c r="A13" s="26"/>
      <c r="B13" s="135">
        <f t="shared" si="24"/>
        <v>45482</v>
      </c>
      <c r="C13" s="48" t="s">
        <v>59</v>
      </c>
      <c r="D13" s="27"/>
      <c r="E13" s="28"/>
      <c r="F13" s="29"/>
      <c r="G13" s="30" t="e">
        <f t="shared" si="0"/>
        <v>#DIV/0!</v>
      </c>
      <c r="H13" s="29"/>
      <c r="I13" s="31" t="e">
        <f t="shared" si="1"/>
        <v>#DIV/0!</v>
      </c>
      <c r="J13" s="32">
        <f t="shared" si="2"/>
        <v>0</v>
      </c>
      <c r="K13" s="33" t="str">
        <f t="shared" si="3"/>
        <v/>
      </c>
      <c r="L13" s="34"/>
      <c r="M13" s="35">
        <f t="shared" si="4"/>
        <v>36</v>
      </c>
      <c r="N13" s="36">
        <f t="shared" si="4"/>
        <v>360360</v>
      </c>
      <c r="O13" s="30">
        <f t="shared" si="5"/>
        <v>9100</v>
      </c>
      <c r="P13" s="36">
        <f t="shared" si="6"/>
        <v>57040</v>
      </c>
      <c r="Q13" s="31">
        <f t="shared" si="7"/>
        <v>1440.3888888888889</v>
      </c>
      <c r="R13" s="37">
        <f t="shared" si="8"/>
        <v>417400</v>
      </c>
      <c r="S13" s="33">
        <f t="shared" si="9"/>
        <v>11594.444444444445</v>
      </c>
      <c r="T13" s="49">
        <f t="shared" si="10"/>
        <v>36</v>
      </c>
      <c r="U13" s="36">
        <f t="shared" si="10"/>
        <v>360360</v>
      </c>
      <c r="V13" s="36">
        <f t="shared" si="11"/>
        <v>57040</v>
      </c>
      <c r="W13" s="39">
        <f t="shared" si="12"/>
        <v>417400</v>
      </c>
      <c r="X13" s="36">
        <f t="shared" si="13"/>
        <v>11594.444444444445</v>
      </c>
      <c r="Y13" s="40"/>
      <c r="Z13" s="41">
        <v>55</v>
      </c>
      <c r="AA13" s="29">
        <v>35000</v>
      </c>
      <c r="AB13" s="30">
        <f t="shared" si="14"/>
        <v>636.36363636363637</v>
      </c>
      <c r="AC13" s="29">
        <v>11600</v>
      </c>
      <c r="AD13" s="31">
        <f t="shared" si="15"/>
        <v>210.90909090909091</v>
      </c>
      <c r="AE13" s="42">
        <f t="shared" si="16"/>
        <v>46600</v>
      </c>
      <c r="AF13" s="33">
        <f t="shared" si="17"/>
        <v>847.27272727272725</v>
      </c>
      <c r="AG13" s="49">
        <f t="shared" si="18"/>
        <v>36</v>
      </c>
      <c r="AH13" s="36">
        <f t="shared" si="19"/>
        <v>395360</v>
      </c>
      <c r="AI13" s="36">
        <f t="shared" si="20"/>
        <v>68640</v>
      </c>
      <c r="AJ13" s="43">
        <f t="shared" si="21"/>
        <v>464000</v>
      </c>
      <c r="AK13" s="36">
        <f t="shared" si="22"/>
        <v>18810</v>
      </c>
      <c r="AL13" s="44">
        <v>36</v>
      </c>
      <c r="AM13" s="44">
        <v>360360</v>
      </c>
      <c r="AN13" s="44">
        <v>57040</v>
      </c>
      <c r="AO13" s="45">
        <v>17600</v>
      </c>
      <c r="AP13" s="45">
        <v>1210</v>
      </c>
      <c r="AQ13" s="45"/>
      <c r="AR13" s="45"/>
      <c r="AS13" s="46">
        <f t="shared" si="23"/>
        <v>436210</v>
      </c>
      <c r="AT13" s="26">
        <v>9</v>
      </c>
      <c r="AU13" s="47">
        <f t="shared" si="25"/>
        <v>436210</v>
      </c>
      <c r="AV13" s="47">
        <f>AS13+AE13+AR13</f>
        <v>482810</v>
      </c>
      <c r="AW13" s="188">
        <f t="shared" si="26"/>
        <v>482810</v>
      </c>
    </row>
    <row r="14" spans="1:49" ht="21">
      <c r="A14" s="26"/>
      <c r="B14" s="135">
        <f t="shared" si="24"/>
        <v>45483</v>
      </c>
      <c r="C14" s="48" t="s">
        <v>59</v>
      </c>
      <c r="D14" s="27"/>
      <c r="E14" s="28"/>
      <c r="F14" s="29"/>
      <c r="G14" s="30" t="e">
        <f t="shared" si="0"/>
        <v>#DIV/0!</v>
      </c>
      <c r="H14" s="29"/>
      <c r="I14" s="31" t="e">
        <f t="shared" si="1"/>
        <v>#DIV/0!</v>
      </c>
      <c r="J14" s="32">
        <f t="shared" si="2"/>
        <v>0</v>
      </c>
      <c r="K14" s="33" t="str">
        <f t="shared" si="3"/>
        <v/>
      </c>
      <c r="L14" s="34"/>
      <c r="M14" s="35">
        <f t="shared" si="4"/>
        <v>40</v>
      </c>
      <c r="N14" s="36">
        <f t="shared" si="4"/>
        <v>394790</v>
      </c>
      <c r="O14" s="30">
        <f t="shared" si="5"/>
        <v>8972.5</v>
      </c>
      <c r="P14" s="36">
        <f t="shared" si="6"/>
        <v>59810</v>
      </c>
      <c r="Q14" s="31">
        <f t="shared" si="7"/>
        <v>1359.3</v>
      </c>
      <c r="R14" s="37">
        <f t="shared" si="8"/>
        <v>454600</v>
      </c>
      <c r="S14" s="33">
        <f t="shared" si="9"/>
        <v>11365</v>
      </c>
      <c r="T14" s="49">
        <f t="shared" si="10"/>
        <v>40</v>
      </c>
      <c r="U14" s="36">
        <f t="shared" si="10"/>
        <v>394790</v>
      </c>
      <c r="V14" s="36">
        <f t="shared" si="11"/>
        <v>59810</v>
      </c>
      <c r="W14" s="39">
        <f t="shared" si="12"/>
        <v>454600</v>
      </c>
      <c r="X14" s="36">
        <f t="shared" si="13"/>
        <v>11365</v>
      </c>
      <c r="Y14" s="40"/>
      <c r="Z14" s="41">
        <v>102</v>
      </c>
      <c r="AA14" s="29">
        <v>73320</v>
      </c>
      <c r="AB14" s="30">
        <f t="shared" si="14"/>
        <v>718.82352941176475</v>
      </c>
      <c r="AC14" s="29">
        <v>20750</v>
      </c>
      <c r="AD14" s="31">
        <f t="shared" si="15"/>
        <v>203.43137254901961</v>
      </c>
      <c r="AE14" s="42">
        <f t="shared" si="16"/>
        <v>94070</v>
      </c>
      <c r="AF14" s="33">
        <f t="shared" si="17"/>
        <v>922.25490196078431</v>
      </c>
      <c r="AG14" s="49">
        <f t="shared" si="18"/>
        <v>40</v>
      </c>
      <c r="AH14" s="36">
        <f t="shared" si="19"/>
        <v>468110</v>
      </c>
      <c r="AI14" s="36">
        <f t="shared" si="20"/>
        <v>80560</v>
      </c>
      <c r="AJ14" s="50">
        <f t="shared" si="21"/>
        <v>548670</v>
      </c>
      <c r="AK14" s="36">
        <f t="shared" si="22"/>
        <v>26310</v>
      </c>
      <c r="AL14" s="44">
        <v>40</v>
      </c>
      <c r="AM14" s="44">
        <v>394790</v>
      </c>
      <c r="AN14" s="44">
        <v>59810</v>
      </c>
      <c r="AO14" s="45">
        <v>24750</v>
      </c>
      <c r="AP14" s="45">
        <v>1560</v>
      </c>
      <c r="AQ14" s="45"/>
      <c r="AR14" s="45">
        <v>9130</v>
      </c>
      <c r="AS14" s="46">
        <f t="shared" si="23"/>
        <v>480910</v>
      </c>
      <c r="AT14" s="26">
        <v>10</v>
      </c>
      <c r="AU14" s="47">
        <f t="shared" si="25"/>
        <v>490040</v>
      </c>
      <c r="AV14" s="47">
        <f t="shared" si="27"/>
        <v>574980</v>
      </c>
      <c r="AW14" s="188">
        <f t="shared" si="26"/>
        <v>584110</v>
      </c>
    </row>
    <row r="15" spans="1:49" ht="21">
      <c r="A15" s="26"/>
      <c r="B15" s="135">
        <f t="shared" si="24"/>
        <v>45484</v>
      </c>
      <c r="C15" s="48" t="s">
        <v>59</v>
      </c>
      <c r="D15" s="27"/>
      <c r="E15" s="28"/>
      <c r="F15" s="29"/>
      <c r="G15" s="30" t="e">
        <f t="shared" si="0"/>
        <v>#DIV/0!</v>
      </c>
      <c r="H15" s="29"/>
      <c r="I15" s="31" t="e">
        <f t="shared" si="1"/>
        <v>#DIV/0!</v>
      </c>
      <c r="J15" s="32">
        <f t="shared" si="2"/>
        <v>0</v>
      </c>
      <c r="K15" s="33" t="str">
        <f t="shared" si="3"/>
        <v/>
      </c>
      <c r="L15" s="34"/>
      <c r="M15" s="35">
        <f t="shared" si="4"/>
        <v>40</v>
      </c>
      <c r="N15" s="36">
        <f t="shared" si="4"/>
        <v>362430</v>
      </c>
      <c r="O15" s="30">
        <f t="shared" si="5"/>
        <v>8237.0249999999996</v>
      </c>
      <c r="P15" s="36">
        <f t="shared" si="6"/>
        <v>82890</v>
      </c>
      <c r="Q15" s="31">
        <f t="shared" si="7"/>
        <v>1883.85</v>
      </c>
      <c r="R15" s="37">
        <f t="shared" si="8"/>
        <v>445320</v>
      </c>
      <c r="S15" s="33">
        <f t="shared" si="9"/>
        <v>11133</v>
      </c>
      <c r="T15" s="49">
        <f t="shared" si="10"/>
        <v>40</v>
      </c>
      <c r="U15" s="36">
        <f t="shared" si="10"/>
        <v>362430</v>
      </c>
      <c r="V15" s="36">
        <f t="shared" si="11"/>
        <v>82890</v>
      </c>
      <c r="W15" s="39">
        <f t="shared" si="12"/>
        <v>445320</v>
      </c>
      <c r="X15" s="36">
        <f t="shared" si="13"/>
        <v>11133</v>
      </c>
      <c r="Y15" s="40"/>
      <c r="Z15" s="41">
        <v>100</v>
      </c>
      <c r="AA15" s="29">
        <v>66840</v>
      </c>
      <c r="AB15" s="30">
        <f t="shared" si="14"/>
        <v>668.4</v>
      </c>
      <c r="AC15" s="29">
        <v>25050</v>
      </c>
      <c r="AD15" s="31">
        <f t="shared" si="15"/>
        <v>250.5</v>
      </c>
      <c r="AE15" s="42">
        <f t="shared" si="16"/>
        <v>91890</v>
      </c>
      <c r="AF15" s="33">
        <f t="shared" si="17"/>
        <v>918.9</v>
      </c>
      <c r="AG15" s="49">
        <f t="shared" si="18"/>
        <v>40</v>
      </c>
      <c r="AH15" s="36">
        <f t="shared" si="19"/>
        <v>429270</v>
      </c>
      <c r="AI15" s="36">
        <f t="shared" si="20"/>
        <v>107940</v>
      </c>
      <c r="AJ15" s="43">
        <f t="shared" si="21"/>
        <v>537210</v>
      </c>
      <c r="AK15" s="36">
        <f t="shared" si="22"/>
        <v>20350</v>
      </c>
      <c r="AL15" s="44">
        <v>40</v>
      </c>
      <c r="AM15" s="44">
        <v>362430</v>
      </c>
      <c r="AN15" s="44">
        <v>82890</v>
      </c>
      <c r="AO15" s="45">
        <v>20350</v>
      </c>
      <c r="AP15" s="45"/>
      <c r="AQ15" s="45"/>
      <c r="AR15" s="45">
        <v>43500</v>
      </c>
      <c r="AS15" s="46">
        <f t="shared" si="23"/>
        <v>465670</v>
      </c>
      <c r="AT15" s="26">
        <v>11</v>
      </c>
      <c r="AU15" s="47">
        <f t="shared" si="25"/>
        <v>509170</v>
      </c>
      <c r="AV15" s="47">
        <f t="shared" si="27"/>
        <v>557560</v>
      </c>
      <c r="AW15" s="188">
        <f t="shared" si="26"/>
        <v>601060</v>
      </c>
    </row>
    <row r="16" spans="1:49" ht="21">
      <c r="A16" s="26"/>
      <c r="B16" s="135">
        <f t="shared" si="24"/>
        <v>45485</v>
      </c>
      <c r="C16" s="48" t="s">
        <v>59</v>
      </c>
      <c r="D16" s="27"/>
      <c r="E16" s="28"/>
      <c r="F16" s="29"/>
      <c r="G16" s="30" t="e">
        <f t="shared" si="0"/>
        <v>#DIV/0!</v>
      </c>
      <c r="H16" s="29"/>
      <c r="I16" s="31" t="e">
        <f t="shared" si="1"/>
        <v>#DIV/0!</v>
      </c>
      <c r="J16" s="32">
        <f t="shared" si="2"/>
        <v>0</v>
      </c>
      <c r="K16" s="33" t="str">
        <f t="shared" si="3"/>
        <v/>
      </c>
      <c r="L16" s="34"/>
      <c r="M16" s="35">
        <f t="shared" si="4"/>
        <v>37</v>
      </c>
      <c r="N16" s="36">
        <f t="shared" si="4"/>
        <v>342980</v>
      </c>
      <c r="O16" s="30">
        <f t="shared" si="5"/>
        <v>8427.0270270270266</v>
      </c>
      <c r="P16" s="36">
        <f t="shared" si="6"/>
        <v>49370</v>
      </c>
      <c r="Q16" s="31">
        <f t="shared" si="7"/>
        <v>1213</v>
      </c>
      <c r="R16" s="37">
        <f t="shared" si="8"/>
        <v>392350</v>
      </c>
      <c r="S16" s="33">
        <f t="shared" si="9"/>
        <v>10604.054054054053</v>
      </c>
      <c r="T16" s="49">
        <f t="shared" si="10"/>
        <v>37</v>
      </c>
      <c r="U16" s="36">
        <f t="shared" si="10"/>
        <v>342980</v>
      </c>
      <c r="V16" s="36">
        <f t="shared" si="11"/>
        <v>49370</v>
      </c>
      <c r="W16" s="39">
        <f t="shared" si="12"/>
        <v>392350</v>
      </c>
      <c r="X16" s="36">
        <f t="shared" si="13"/>
        <v>10604.054054054053</v>
      </c>
      <c r="Y16" s="40"/>
      <c r="Z16" s="41">
        <v>86</v>
      </c>
      <c r="AA16" s="29">
        <v>31330</v>
      </c>
      <c r="AB16" s="30">
        <f t="shared" si="14"/>
        <v>364.30232558139534</v>
      </c>
      <c r="AC16" s="29">
        <v>5650</v>
      </c>
      <c r="AD16" s="31">
        <f t="shared" si="15"/>
        <v>65.697674418604649</v>
      </c>
      <c r="AE16" s="42">
        <f t="shared" si="16"/>
        <v>36980</v>
      </c>
      <c r="AF16" s="33">
        <f t="shared" si="17"/>
        <v>430</v>
      </c>
      <c r="AG16" s="49">
        <f t="shared" si="18"/>
        <v>37</v>
      </c>
      <c r="AH16" s="36">
        <f t="shared" si="19"/>
        <v>374310</v>
      </c>
      <c r="AI16" s="36">
        <f t="shared" si="20"/>
        <v>55020</v>
      </c>
      <c r="AJ16" s="43">
        <f t="shared" si="21"/>
        <v>429330</v>
      </c>
      <c r="AK16" s="36">
        <f t="shared" si="22"/>
        <v>8800</v>
      </c>
      <c r="AL16" s="44">
        <v>37</v>
      </c>
      <c r="AM16" s="44">
        <v>342980</v>
      </c>
      <c r="AN16" s="44">
        <v>49370</v>
      </c>
      <c r="AO16" s="45">
        <v>8800</v>
      </c>
      <c r="AP16" s="45"/>
      <c r="AQ16" s="45"/>
      <c r="AR16" s="45"/>
      <c r="AS16" s="46">
        <f t="shared" si="23"/>
        <v>401150</v>
      </c>
      <c r="AT16" s="26">
        <v>12</v>
      </c>
      <c r="AU16" s="47">
        <f t="shared" si="25"/>
        <v>401150</v>
      </c>
      <c r="AV16" s="47">
        <f t="shared" si="27"/>
        <v>438130</v>
      </c>
      <c r="AW16" s="188">
        <f t="shared" si="26"/>
        <v>438130</v>
      </c>
    </row>
    <row r="17" spans="1:49" ht="21">
      <c r="A17" s="26"/>
      <c r="B17" s="142">
        <f t="shared" si="24"/>
        <v>45486</v>
      </c>
      <c r="C17" s="48"/>
      <c r="D17" s="27"/>
      <c r="E17" s="28">
        <v>32</v>
      </c>
      <c r="F17" s="29">
        <v>127930</v>
      </c>
      <c r="G17" s="30">
        <f t="shared" si="0"/>
        <v>3634.375</v>
      </c>
      <c r="H17" s="29">
        <v>16580</v>
      </c>
      <c r="I17" s="31">
        <f t="shared" si="1"/>
        <v>471</v>
      </c>
      <c r="J17" s="32">
        <f t="shared" si="2"/>
        <v>144510</v>
      </c>
      <c r="K17" s="33">
        <f t="shared" si="3"/>
        <v>4515.9375</v>
      </c>
      <c r="L17" s="34"/>
      <c r="M17" s="35">
        <f t="shared" si="4"/>
        <v>39</v>
      </c>
      <c r="N17" s="36">
        <f t="shared" si="4"/>
        <v>352220</v>
      </c>
      <c r="O17" s="30">
        <f t="shared" si="5"/>
        <v>8210.2564102564102</v>
      </c>
      <c r="P17" s="36">
        <f t="shared" si="6"/>
        <v>66200</v>
      </c>
      <c r="Q17" s="31">
        <f t="shared" si="7"/>
        <v>1543.1025641025642</v>
      </c>
      <c r="R17" s="37">
        <f t="shared" si="8"/>
        <v>418420</v>
      </c>
      <c r="S17" s="33">
        <f t="shared" si="9"/>
        <v>10728.717948717949</v>
      </c>
      <c r="T17" s="49">
        <f t="shared" si="10"/>
        <v>71</v>
      </c>
      <c r="U17" s="36">
        <f t="shared" si="10"/>
        <v>480150</v>
      </c>
      <c r="V17" s="36">
        <f t="shared" si="11"/>
        <v>82780</v>
      </c>
      <c r="W17" s="39">
        <f t="shared" si="12"/>
        <v>562930</v>
      </c>
      <c r="X17" s="36">
        <f t="shared" si="13"/>
        <v>7928.5915492957747</v>
      </c>
      <c r="Y17" s="40"/>
      <c r="Z17" s="41">
        <v>178</v>
      </c>
      <c r="AA17" s="29">
        <v>129720</v>
      </c>
      <c r="AB17" s="30">
        <f t="shared" si="14"/>
        <v>728.76404494382018</v>
      </c>
      <c r="AC17" s="29">
        <v>33300</v>
      </c>
      <c r="AD17" s="31">
        <f t="shared" si="15"/>
        <v>187.07865168539325</v>
      </c>
      <c r="AE17" s="42">
        <f t="shared" si="16"/>
        <v>163020</v>
      </c>
      <c r="AF17" s="33">
        <f t="shared" si="17"/>
        <v>915.84269662921349</v>
      </c>
      <c r="AG17" s="49">
        <f t="shared" si="18"/>
        <v>71</v>
      </c>
      <c r="AH17" s="36">
        <f t="shared" si="19"/>
        <v>609870</v>
      </c>
      <c r="AI17" s="36">
        <f t="shared" si="20"/>
        <v>116080</v>
      </c>
      <c r="AJ17" s="43">
        <f t="shared" si="21"/>
        <v>725950</v>
      </c>
      <c r="AK17" s="36">
        <f t="shared" si="22"/>
        <v>16500</v>
      </c>
      <c r="AL17" s="44">
        <v>71</v>
      </c>
      <c r="AM17" s="44">
        <v>480150</v>
      </c>
      <c r="AN17" s="44">
        <v>82780</v>
      </c>
      <c r="AO17" s="45">
        <v>16500</v>
      </c>
      <c r="AP17" s="45"/>
      <c r="AQ17" s="45"/>
      <c r="AR17" s="45"/>
      <c r="AS17" s="46">
        <f t="shared" si="23"/>
        <v>579430</v>
      </c>
      <c r="AT17" s="26">
        <v>13</v>
      </c>
      <c r="AU17" s="47">
        <f t="shared" si="25"/>
        <v>579430</v>
      </c>
      <c r="AV17" s="47">
        <f t="shared" si="27"/>
        <v>742450</v>
      </c>
      <c r="AW17" s="188">
        <f t="shared" si="26"/>
        <v>742450</v>
      </c>
    </row>
    <row r="18" spans="1:49" ht="21">
      <c r="A18" s="26"/>
      <c r="B18" s="51">
        <f t="shared" si="24"/>
        <v>45487</v>
      </c>
      <c r="C18" s="48"/>
      <c r="D18" s="27"/>
      <c r="E18" s="28">
        <v>33</v>
      </c>
      <c r="F18" s="29">
        <v>139150</v>
      </c>
      <c r="G18" s="30">
        <f t="shared" si="0"/>
        <v>3833.3333333333335</v>
      </c>
      <c r="H18" s="29">
        <v>13580</v>
      </c>
      <c r="I18" s="31">
        <f t="shared" si="1"/>
        <v>374.09090909090907</v>
      </c>
      <c r="J18" s="32">
        <f t="shared" si="2"/>
        <v>152730</v>
      </c>
      <c r="K18" s="33">
        <f t="shared" si="3"/>
        <v>4628.181818181818</v>
      </c>
      <c r="L18" s="34"/>
      <c r="M18" s="35">
        <f t="shared" si="4"/>
        <v>41</v>
      </c>
      <c r="N18" s="36">
        <f t="shared" si="4"/>
        <v>385550</v>
      </c>
      <c r="O18" s="30">
        <f t="shared" si="5"/>
        <v>8548.7804878048773</v>
      </c>
      <c r="P18" s="36">
        <f t="shared" si="6"/>
        <v>45110</v>
      </c>
      <c r="Q18" s="31">
        <f t="shared" si="7"/>
        <v>1000.219512195122</v>
      </c>
      <c r="R18" s="37">
        <f t="shared" si="8"/>
        <v>430660</v>
      </c>
      <c r="S18" s="33">
        <f t="shared" si="9"/>
        <v>10503.90243902439</v>
      </c>
      <c r="T18" s="49">
        <f t="shared" si="10"/>
        <v>74</v>
      </c>
      <c r="U18" s="36">
        <f t="shared" si="10"/>
        <v>524700</v>
      </c>
      <c r="V18" s="36">
        <f t="shared" si="11"/>
        <v>58690</v>
      </c>
      <c r="W18" s="39">
        <f t="shared" si="12"/>
        <v>583390</v>
      </c>
      <c r="X18" s="36">
        <f t="shared" si="13"/>
        <v>7883.6486486486483</v>
      </c>
      <c r="Y18" s="40"/>
      <c r="Z18" s="41">
        <v>201</v>
      </c>
      <c r="AA18" s="29">
        <v>144070</v>
      </c>
      <c r="AB18" s="30">
        <f t="shared" si="14"/>
        <v>716.76616915422881</v>
      </c>
      <c r="AC18" s="29">
        <v>30800</v>
      </c>
      <c r="AD18" s="31">
        <f t="shared" si="15"/>
        <v>153.23383084577114</v>
      </c>
      <c r="AE18" s="42">
        <f t="shared" si="16"/>
        <v>174870</v>
      </c>
      <c r="AF18" s="33">
        <f t="shared" si="17"/>
        <v>870</v>
      </c>
      <c r="AG18" s="49">
        <f t="shared" si="18"/>
        <v>74</v>
      </c>
      <c r="AH18" s="36">
        <f t="shared" si="19"/>
        <v>668770</v>
      </c>
      <c r="AI18" s="36">
        <f t="shared" si="20"/>
        <v>89490</v>
      </c>
      <c r="AJ18" s="43">
        <f t="shared" si="21"/>
        <v>758260</v>
      </c>
      <c r="AK18" s="36">
        <f t="shared" si="22"/>
        <v>38500</v>
      </c>
      <c r="AL18" s="44">
        <v>74</v>
      </c>
      <c r="AM18" s="44">
        <v>524700</v>
      </c>
      <c r="AN18" s="44">
        <v>58690</v>
      </c>
      <c r="AO18" s="45">
        <v>38500</v>
      </c>
      <c r="AP18" s="45"/>
      <c r="AQ18" s="45"/>
      <c r="AR18" s="45">
        <v>2970</v>
      </c>
      <c r="AS18" s="46">
        <f t="shared" si="23"/>
        <v>621890</v>
      </c>
      <c r="AT18" s="26">
        <v>14</v>
      </c>
      <c r="AU18" s="47">
        <f t="shared" si="25"/>
        <v>624860</v>
      </c>
      <c r="AV18" s="47">
        <f t="shared" si="27"/>
        <v>796760</v>
      </c>
      <c r="AW18" s="188">
        <f t="shared" si="26"/>
        <v>799730</v>
      </c>
    </row>
    <row r="19" spans="1:49" ht="21">
      <c r="A19" s="26"/>
      <c r="B19" s="51">
        <f t="shared" si="24"/>
        <v>45488</v>
      </c>
      <c r="C19" s="48"/>
      <c r="D19" s="27"/>
      <c r="E19" s="28">
        <v>39</v>
      </c>
      <c r="F19" s="29">
        <v>127490</v>
      </c>
      <c r="G19" s="30">
        <f t="shared" si="0"/>
        <v>2971.7948717948716</v>
      </c>
      <c r="H19" s="29">
        <v>20580</v>
      </c>
      <c r="I19" s="31">
        <f t="shared" si="1"/>
        <v>479.71794871794873</v>
      </c>
      <c r="J19" s="32">
        <f t="shared" si="2"/>
        <v>148070</v>
      </c>
      <c r="K19" s="33">
        <f t="shared" si="3"/>
        <v>3796.6666666666665</v>
      </c>
      <c r="L19" s="34"/>
      <c r="M19" s="35">
        <f t="shared" si="4"/>
        <v>37</v>
      </c>
      <c r="N19" s="36">
        <f t="shared" si="4"/>
        <v>394570</v>
      </c>
      <c r="O19" s="30">
        <f t="shared" si="5"/>
        <v>9694.594594594595</v>
      </c>
      <c r="P19" s="36">
        <f t="shared" si="6"/>
        <v>65330</v>
      </c>
      <c r="Q19" s="52">
        <f t="shared" si="7"/>
        <v>1605.1351351351352</v>
      </c>
      <c r="R19" s="37">
        <f t="shared" si="8"/>
        <v>459900</v>
      </c>
      <c r="S19" s="33">
        <f t="shared" si="9"/>
        <v>12429.72972972973</v>
      </c>
      <c r="T19" s="49">
        <f t="shared" si="10"/>
        <v>76</v>
      </c>
      <c r="U19" s="36">
        <f t="shared" si="10"/>
        <v>522060</v>
      </c>
      <c r="V19" s="36">
        <f t="shared" si="11"/>
        <v>85910</v>
      </c>
      <c r="W19" s="39">
        <f t="shared" si="12"/>
        <v>607970</v>
      </c>
      <c r="X19" s="36">
        <f t="shared" si="13"/>
        <v>7999.605263157895</v>
      </c>
      <c r="Y19" s="40"/>
      <c r="Z19" s="41">
        <v>132</v>
      </c>
      <c r="AA19" s="29">
        <v>141620</v>
      </c>
      <c r="AB19" s="30">
        <f t="shared" si="14"/>
        <v>1072.878787878788</v>
      </c>
      <c r="AC19" s="29">
        <v>25800</v>
      </c>
      <c r="AD19" s="31">
        <f t="shared" si="15"/>
        <v>195.45454545454547</v>
      </c>
      <c r="AE19" s="42">
        <f t="shared" si="16"/>
        <v>167420</v>
      </c>
      <c r="AF19" s="33">
        <f t="shared" si="17"/>
        <v>1268.3333333333333</v>
      </c>
      <c r="AG19" s="49">
        <f t="shared" si="18"/>
        <v>76</v>
      </c>
      <c r="AH19" s="36">
        <f t="shared" si="19"/>
        <v>663680</v>
      </c>
      <c r="AI19" s="36">
        <f t="shared" si="20"/>
        <v>111710</v>
      </c>
      <c r="AJ19" s="43">
        <f t="shared" si="21"/>
        <v>775390</v>
      </c>
      <c r="AK19" s="36">
        <f t="shared" si="22"/>
        <v>32450</v>
      </c>
      <c r="AL19" s="44">
        <v>76</v>
      </c>
      <c r="AM19" s="44">
        <v>522060</v>
      </c>
      <c r="AN19" s="44">
        <v>85910</v>
      </c>
      <c r="AO19" s="45">
        <v>32450</v>
      </c>
      <c r="AP19" s="45"/>
      <c r="AQ19" s="45"/>
      <c r="AR19" s="45"/>
      <c r="AS19" s="46">
        <f t="shared" si="23"/>
        <v>640420</v>
      </c>
      <c r="AT19" s="26">
        <v>15</v>
      </c>
      <c r="AU19" s="47">
        <f t="shared" si="25"/>
        <v>640420</v>
      </c>
      <c r="AV19" s="47">
        <f t="shared" si="27"/>
        <v>807840</v>
      </c>
      <c r="AW19" s="188">
        <f t="shared" si="26"/>
        <v>807840</v>
      </c>
    </row>
    <row r="20" spans="1:49" ht="21">
      <c r="A20" s="26"/>
      <c r="B20" s="135">
        <f t="shared" si="24"/>
        <v>45489</v>
      </c>
      <c r="C20" s="48" t="s">
        <v>59</v>
      </c>
      <c r="D20" s="27"/>
      <c r="E20" s="28"/>
      <c r="F20" s="29"/>
      <c r="G20" s="30" t="e">
        <f t="shared" si="0"/>
        <v>#DIV/0!</v>
      </c>
      <c r="H20" s="29"/>
      <c r="I20" s="30" t="e">
        <f t="shared" si="1"/>
        <v>#DIV/0!</v>
      </c>
      <c r="J20" s="32">
        <f t="shared" si="2"/>
        <v>0</v>
      </c>
      <c r="K20" s="33" t="str">
        <f t="shared" si="3"/>
        <v/>
      </c>
      <c r="L20" s="34"/>
      <c r="M20" s="35">
        <f t="shared" si="4"/>
        <v>41</v>
      </c>
      <c r="N20" s="36">
        <f t="shared" si="4"/>
        <v>326040</v>
      </c>
      <c r="O20" s="30">
        <f t="shared" si="5"/>
        <v>7229.2682926829266</v>
      </c>
      <c r="P20" s="36">
        <f t="shared" si="6"/>
        <v>53580</v>
      </c>
      <c r="Q20" s="52">
        <f t="shared" si="7"/>
        <v>1188.0243902439024</v>
      </c>
      <c r="R20" s="37">
        <f t="shared" si="8"/>
        <v>379620</v>
      </c>
      <c r="S20" s="33">
        <f t="shared" si="9"/>
        <v>9259.0243902439033</v>
      </c>
      <c r="T20" s="49">
        <f t="shared" si="10"/>
        <v>41</v>
      </c>
      <c r="U20" s="36">
        <f t="shared" si="10"/>
        <v>326040</v>
      </c>
      <c r="V20" s="36">
        <f t="shared" si="11"/>
        <v>53580</v>
      </c>
      <c r="W20" s="39">
        <f t="shared" si="12"/>
        <v>379620</v>
      </c>
      <c r="X20" s="36">
        <f t="shared" si="13"/>
        <v>9259.0243902439033</v>
      </c>
      <c r="Y20" s="40"/>
      <c r="Z20" s="41">
        <v>94</v>
      </c>
      <c r="AA20" s="29">
        <v>70950</v>
      </c>
      <c r="AB20" s="30">
        <f t="shared" si="14"/>
        <v>754.78723404255322</v>
      </c>
      <c r="AC20" s="29">
        <v>11850</v>
      </c>
      <c r="AD20" s="31">
        <f t="shared" si="15"/>
        <v>126.06382978723404</v>
      </c>
      <c r="AE20" s="42">
        <f t="shared" si="16"/>
        <v>82800</v>
      </c>
      <c r="AF20" s="33">
        <f t="shared" si="17"/>
        <v>880.85106382978722</v>
      </c>
      <c r="AG20" s="49">
        <f t="shared" si="18"/>
        <v>41</v>
      </c>
      <c r="AH20" s="44">
        <f t="shared" si="19"/>
        <v>396990</v>
      </c>
      <c r="AI20" s="44">
        <f t="shared" si="20"/>
        <v>65430</v>
      </c>
      <c r="AJ20" s="43">
        <f t="shared" si="21"/>
        <v>462420</v>
      </c>
      <c r="AK20" s="36">
        <f t="shared" si="22"/>
        <v>16500</v>
      </c>
      <c r="AL20" s="44">
        <v>41</v>
      </c>
      <c r="AM20" s="44">
        <v>326040</v>
      </c>
      <c r="AN20" s="44">
        <v>53580</v>
      </c>
      <c r="AO20" s="45">
        <v>16500</v>
      </c>
      <c r="AP20" s="45"/>
      <c r="AQ20" s="45"/>
      <c r="AR20" s="45">
        <v>12045</v>
      </c>
      <c r="AS20" s="46">
        <f t="shared" si="23"/>
        <v>396120</v>
      </c>
      <c r="AT20" s="26">
        <v>16</v>
      </c>
      <c r="AU20" s="47">
        <f t="shared" si="25"/>
        <v>408165</v>
      </c>
      <c r="AV20" s="47">
        <f t="shared" si="27"/>
        <v>478920</v>
      </c>
      <c r="AW20" s="188">
        <f t="shared" si="26"/>
        <v>490965</v>
      </c>
    </row>
    <row r="21" spans="1:49" ht="15.75" customHeight="1">
      <c r="A21" s="26"/>
      <c r="B21" s="135">
        <f t="shared" si="24"/>
        <v>45490</v>
      </c>
      <c r="C21" s="48" t="s">
        <v>59</v>
      </c>
      <c r="D21" s="27"/>
      <c r="E21" s="28"/>
      <c r="F21" s="29"/>
      <c r="G21" s="30" t="e">
        <f t="shared" si="0"/>
        <v>#DIV/0!</v>
      </c>
      <c r="H21" s="29"/>
      <c r="I21" s="30" t="e">
        <f t="shared" si="1"/>
        <v>#DIV/0!</v>
      </c>
      <c r="J21" s="32">
        <f t="shared" si="2"/>
        <v>0</v>
      </c>
      <c r="K21" s="33" t="str">
        <f t="shared" si="3"/>
        <v/>
      </c>
      <c r="L21" s="34"/>
      <c r="M21" s="35">
        <f t="shared" ref="M21:N35" si="28">AL21-E21</f>
        <v>38</v>
      </c>
      <c r="N21" s="36">
        <f t="shared" si="28"/>
        <v>342760</v>
      </c>
      <c r="O21" s="30">
        <f t="shared" si="5"/>
        <v>8200</v>
      </c>
      <c r="P21" s="36">
        <f t="shared" si="6"/>
        <v>50000</v>
      </c>
      <c r="Q21" s="52">
        <f t="shared" si="7"/>
        <v>1196.1578947368421</v>
      </c>
      <c r="R21" s="37">
        <f t="shared" si="8"/>
        <v>392760</v>
      </c>
      <c r="S21" s="33">
        <f t="shared" si="9"/>
        <v>10335.78947368421</v>
      </c>
      <c r="T21" s="49">
        <f t="shared" ref="T21:U35" si="29">E21+M21</f>
        <v>38</v>
      </c>
      <c r="U21" s="36">
        <f t="shared" si="29"/>
        <v>342760</v>
      </c>
      <c r="V21" s="36">
        <f t="shared" si="11"/>
        <v>50000</v>
      </c>
      <c r="W21" s="39">
        <f t="shared" si="12"/>
        <v>392760</v>
      </c>
      <c r="X21" s="36">
        <f t="shared" si="13"/>
        <v>10335.78947368421</v>
      </c>
      <c r="Y21" s="40"/>
      <c r="Z21" s="41">
        <v>79</v>
      </c>
      <c r="AA21" s="29">
        <v>51370</v>
      </c>
      <c r="AB21" s="30">
        <f t="shared" si="14"/>
        <v>650.25316455696202</v>
      </c>
      <c r="AC21" s="29">
        <v>24750</v>
      </c>
      <c r="AD21" s="31">
        <f t="shared" si="15"/>
        <v>313.29113924050631</v>
      </c>
      <c r="AE21" s="42">
        <f t="shared" si="16"/>
        <v>76120</v>
      </c>
      <c r="AF21" s="33">
        <f t="shared" si="17"/>
        <v>963.54430379746839</v>
      </c>
      <c r="AG21" s="49">
        <f t="shared" si="18"/>
        <v>38</v>
      </c>
      <c r="AH21" s="44">
        <f t="shared" si="19"/>
        <v>394130</v>
      </c>
      <c r="AI21" s="44">
        <f t="shared" si="20"/>
        <v>74750</v>
      </c>
      <c r="AJ21" s="43">
        <f t="shared" si="21"/>
        <v>468880</v>
      </c>
      <c r="AK21" s="36">
        <f t="shared" si="22"/>
        <v>11000</v>
      </c>
      <c r="AL21" s="44">
        <v>38</v>
      </c>
      <c r="AM21" s="44">
        <v>342760</v>
      </c>
      <c r="AN21" s="44">
        <v>50000</v>
      </c>
      <c r="AO21" s="45">
        <v>11000</v>
      </c>
      <c r="AP21" s="45"/>
      <c r="AQ21" s="45"/>
      <c r="AR21" s="45"/>
      <c r="AS21" s="46">
        <f t="shared" si="23"/>
        <v>403760</v>
      </c>
      <c r="AT21" s="26">
        <v>17</v>
      </c>
      <c r="AU21" s="47">
        <f t="shared" si="25"/>
        <v>403760</v>
      </c>
      <c r="AV21" s="47">
        <f t="shared" si="27"/>
        <v>479880</v>
      </c>
      <c r="AW21" s="188">
        <f t="shared" si="26"/>
        <v>479880</v>
      </c>
    </row>
    <row r="22" spans="1:49" ht="15.75" customHeight="1">
      <c r="A22" s="26"/>
      <c r="B22" s="135">
        <f t="shared" si="24"/>
        <v>45491</v>
      </c>
      <c r="C22" s="48" t="s">
        <v>59</v>
      </c>
      <c r="D22" s="27"/>
      <c r="E22" s="28"/>
      <c r="F22" s="29"/>
      <c r="G22" s="30" t="e">
        <f t="shared" si="0"/>
        <v>#DIV/0!</v>
      </c>
      <c r="H22" s="29"/>
      <c r="I22" s="30" t="e">
        <f t="shared" si="1"/>
        <v>#DIV/0!</v>
      </c>
      <c r="J22" s="32">
        <f t="shared" si="2"/>
        <v>0</v>
      </c>
      <c r="K22" s="33" t="str">
        <f t="shared" si="3"/>
        <v/>
      </c>
      <c r="L22" s="34"/>
      <c r="M22" s="35">
        <f t="shared" si="28"/>
        <v>41</v>
      </c>
      <c r="N22" s="36">
        <f t="shared" si="28"/>
        <v>388740</v>
      </c>
      <c r="O22" s="30">
        <f t="shared" si="5"/>
        <v>8619.5121951219517</v>
      </c>
      <c r="P22" s="36">
        <f t="shared" si="6"/>
        <v>68310</v>
      </c>
      <c r="Q22" s="52">
        <f t="shared" si="7"/>
        <v>1514.6341463414635</v>
      </c>
      <c r="R22" s="37">
        <f t="shared" si="8"/>
        <v>457050</v>
      </c>
      <c r="S22" s="33">
        <f t="shared" si="9"/>
        <v>11147.560975609756</v>
      </c>
      <c r="T22" s="49">
        <f t="shared" si="29"/>
        <v>41</v>
      </c>
      <c r="U22" s="36">
        <f t="shared" si="29"/>
        <v>388740</v>
      </c>
      <c r="V22" s="36">
        <f t="shared" si="11"/>
        <v>68310</v>
      </c>
      <c r="W22" s="39">
        <f t="shared" si="12"/>
        <v>457050</v>
      </c>
      <c r="X22" s="36">
        <f t="shared" si="13"/>
        <v>11147.560975609756</v>
      </c>
      <c r="Y22" s="40"/>
      <c r="Z22" s="41">
        <v>95</v>
      </c>
      <c r="AA22" s="29">
        <v>65430</v>
      </c>
      <c r="AB22" s="30">
        <f t="shared" si="14"/>
        <v>688.73684210526312</v>
      </c>
      <c r="AC22" s="29">
        <v>11100</v>
      </c>
      <c r="AD22" s="31">
        <f t="shared" si="15"/>
        <v>116.84210526315789</v>
      </c>
      <c r="AE22" s="42">
        <f t="shared" si="16"/>
        <v>76530</v>
      </c>
      <c r="AF22" s="33">
        <f t="shared" si="17"/>
        <v>805.57894736842104</v>
      </c>
      <c r="AG22" s="49">
        <f t="shared" si="18"/>
        <v>41</v>
      </c>
      <c r="AH22" s="44">
        <f t="shared" si="19"/>
        <v>454170</v>
      </c>
      <c r="AI22" s="44">
        <f t="shared" si="20"/>
        <v>79410</v>
      </c>
      <c r="AJ22" s="43">
        <f t="shared" si="21"/>
        <v>533580</v>
      </c>
      <c r="AK22" s="36">
        <f t="shared" si="22"/>
        <v>24750</v>
      </c>
      <c r="AL22" s="44">
        <v>41</v>
      </c>
      <c r="AM22" s="44">
        <v>388740</v>
      </c>
      <c r="AN22" s="44">
        <v>68310</v>
      </c>
      <c r="AO22" s="45">
        <v>24750</v>
      </c>
      <c r="AP22" s="45"/>
      <c r="AQ22" s="45"/>
      <c r="AR22" s="45">
        <v>29700</v>
      </c>
      <c r="AS22" s="46">
        <f t="shared" si="23"/>
        <v>481800</v>
      </c>
      <c r="AT22" s="26">
        <v>18</v>
      </c>
      <c r="AU22" s="47">
        <f t="shared" si="25"/>
        <v>511500</v>
      </c>
      <c r="AV22" s="47">
        <f t="shared" si="27"/>
        <v>558330</v>
      </c>
      <c r="AW22" s="188">
        <f t="shared" si="26"/>
        <v>588030</v>
      </c>
    </row>
    <row r="23" spans="1:49" ht="15.75" customHeight="1">
      <c r="A23" s="26"/>
      <c r="B23" s="135">
        <f t="shared" si="24"/>
        <v>45492</v>
      </c>
      <c r="C23" s="48" t="s">
        <v>63</v>
      </c>
      <c r="D23" s="27"/>
      <c r="E23" s="28"/>
      <c r="F23" s="29"/>
      <c r="G23" s="30" t="e">
        <f t="shared" si="0"/>
        <v>#DIV/0!</v>
      </c>
      <c r="H23" s="29"/>
      <c r="I23" s="30" t="e">
        <f t="shared" si="1"/>
        <v>#DIV/0!</v>
      </c>
      <c r="J23" s="32">
        <f t="shared" si="2"/>
        <v>0</v>
      </c>
      <c r="K23" s="33" t="str">
        <f t="shared" si="3"/>
        <v/>
      </c>
      <c r="L23" s="34"/>
      <c r="M23" s="35">
        <f t="shared" si="28"/>
        <v>35</v>
      </c>
      <c r="N23" s="36">
        <f t="shared" si="28"/>
        <v>365200</v>
      </c>
      <c r="O23" s="30">
        <f t="shared" si="5"/>
        <v>9485.7142857142862</v>
      </c>
      <c r="P23" s="36">
        <f t="shared" si="6"/>
        <v>42350</v>
      </c>
      <c r="Q23" s="52">
        <f t="shared" si="7"/>
        <v>1100</v>
      </c>
      <c r="R23" s="37">
        <f t="shared" si="8"/>
        <v>407550</v>
      </c>
      <c r="S23" s="33">
        <f t="shared" si="9"/>
        <v>11644.285714285714</v>
      </c>
      <c r="T23" s="49">
        <f t="shared" si="29"/>
        <v>35</v>
      </c>
      <c r="U23" s="36">
        <f t="shared" si="29"/>
        <v>365200</v>
      </c>
      <c r="V23" s="36">
        <f t="shared" si="11"/>
        <v>42350</v>
      </c>
      <c r="W23" s="39">
        <f t="shared" si="12"/>
        <v>407550</v>
      </c>
      <c r="X23" s="36">
        <f t="shared" si="13"/>
        <v>11644.285714285714</v>
      </c>
      <c r="Y23" s="40"/>
      <c r="Z23" s="41">
        <v>3</v>
      </c>
      <c r="AA23" s="29">
        <v>1030</v>
      </c>
      <c r="AB23" s="30">
        <f t="shared" si="14"/>
        <v>343.33333333333331</v>
      </c>
      <c r="AC23" s="29">
        <v>1300</v>
      </c>
      <c r="AD23" s="31">
        <f t="shared" si="15"/>
        <v>433.33333333333331</v>
      </c>
      <c r="AE23" s="42">
        <f t="shared" si="16"/>
        <v>2330</v>
      </c>
      <c r="AF23" s="33">
        <f t="shared" si="17"/>
        <v>776.66666666666663</v>
      </c>
      <c r="AG23" s="49">
        <f t="shared" si="18"/>
        <v>35</v>
      </c>
      <c r="AH23" s="44">
        <f t="shared" si="19"/>
        <v>366230</v>
      </c>
      <c r="AI23" s="44">
        <f t="shared" si="20"/>
        <v>43650</v>
      </c>
      <c r="AJ23" s="43">
        <f t="shared" si="21"/>
        <v>409880</v>
      </c>
      <c r="AK23" s="36">
        <f t="shared" si="22"/>
        <v>7700</v>
      </c>
      <c r="AL23" s="44">
        <v>35</v>
      </c>
      <c r="AM23" s="44">
        <v>365200</v>
      </c>
      <c r="AN23" s="44">
        <v>42350</v>
      </c>
      <c r="AO23" s="45">
        <v>7700</v>
      </c>
      <c r="AP23" s="45"/>
      <c r="AQ23" s="45"/>
      <c r="AR23" s="45"/>
      <c r="AS23" s="46">
        <f t="shared" si="23"/>
        <v>415250</v>
      </c>
      <c r="AT23" s="26">
        <v>19</v>
      </c>
      <c r="AU23" s="47">
        <f t="shared" si="25"/>
        <v>415250</v>
      </c>
      <c r="AV23" s="47">
        <f t="shared" si="27"/>
        <v>417580</v>
      </c>
      <c r="AW23" s="188">
        <f t="shared" si="26"/>
        <v>417580</v>
      </c>
    </row>
    <row r="24" spans="1:49" ht="15.75" customHeight="1">
      <c r="A24" s="26"/>
      <c r="B24" s="142">
        <f t="shared" si="24"/>
        <v>45493</v>
      </c>
      <c r="C24" s="48"/>
      <c r="D24" s="27"/>
      <c r="E24" s="28">
        <v>29</v>
      </c>
      <c r="F24" s="29">
        <v>93434</v>
      </c>
      <c r="G24" s="30">
        <f t="shared" si="0"/>
        <v>2928.9655172413795</v>
      </c>
      <c r="H24" s="29">
        <v>23000</v>
      </c>
      <c r="I24" s="30">
        <f t="shared" si="1"/>
        <v>721</v>
      </c>
      <c r="J24" s="32">
        <f t="shared" si="2"/>
        <v>116434</v>
      </c>
      <c r="K24" s="33">
        <f t="shared" si="3"/>
        <v>4014.9655172413795</v>
      </c>
      <c r="L24" s="34"/>
      <c r="M24" s="35">
        <f t="shared" si="28"/>
        <v>36</v>
      </c>
      <c r="N24" s="36">
        <f t="shared" si="28"/>
        <v>356820</v>
      </c>
      <c r="O24" s="30">
        <f t="shared" si="5"/>
        <v>9010.5833333333339</v>
      </c>
      <c r="P24" s="36">
        <f t="shared" si="6"/>
        <v>49670</v>
      </c>
      <c r="Q24" s="52">
        <f t="shared" si="7"/>
        <v>1254.2777777777778</v>
      </c>
      <c r="R24" s="37">
        <f t="shared" si="8"/>
        <v>406490</v>
      </c>
      <c r="S24" s="33">
        <f t="shared" si="9"/>
        <v>11291.388888888889</v>
      </c>
      <c r="T24" s="49">
        <f t="shared" si="29"/>
        <v>65</v>
      </c>
      <c r="U24" s="36">
        <f t="shared" si="29"/>
        <v>450254</v>
      </c>
      <c r="V24" s="36">
        <f t="shared" si="11"/>
        <v>72670</v>
      </c>
      <c r="W24" s="39">
        <f t="shared" si="12"/>
        <v>522924</v>
      </c>
      <c r="X24" s="36">
        <f t="shared" si="13"/>
        <v>8044.9846153846156</v>
      </c>
      <c r="Y24" s="40"/>
      <c r="Z24" s="41">
        <v>140</v>
      </c>
      <c r="AA24" s="29">
        <v>121730</v>
      </c>
      <c r="AB24" s="30">
        <f t="shared" si="14"/>
        <v>869.5</v>
      </c>
      <c r="AC24" s="29">
        <v>27350</v>
      </c>
      <c r="AD24" s="31">
        <f t="shared" si="15"/>
        <v>195.35714285714286</v>
      </c>
      <c r="AE24" s="42">
        <f t="shared" si="16"/>
        <v>149080</v>
      </c>
      <c r="AF24" s="33">
        <f t="shared" si="17"/>
        <v>1064.8571428571429</v>
      </c>
      <c r="AG24" s="49">
        <f t="shared" si="18"/>
        <v>65</v>
      </c>
      <c r="AH24" s="44">
        <f t="shared" si="19"/>
        <v>571984</v>
      </c>
      <c r="AI24" s="44">
        <f t="shared" si="20"/>
        <v>100020</v>
      </c>
      <c r="AJ24" s="43">
        <f t="shared" si="21"/>
        <v>672004</v>
      </c>
      <c r="AK24" s="36">
        <f t="shared" si="22"/>
        <v>18150</v>
      </c>
      <c r="AL24" s="44">
        <v>65</v>
      </c>
      <c r="AM24" s="44">
        <v>450254</v>
      </c>
      <c r="AN24" s="44">
        <v>72670</v>
      </c>
      <c r="AO24" s="45">
        <v>18150</v>
      </c>
      <c r="AP24" s="45"/>
      <c r="AQ24" s="45"/>
      <c r="AR24" s="45"/>
      <c r="AS24" s="46">
        <f t="shared" si="23"/>
        <v>541074</v>
      </c>
      <c r="AT24" s="26">
        <v>20</v>
      </c>
      <c r="AU24" s="47">
        <f t="shared" si="25"/>
        <v>541074</v>
      </c>
      <c r="AV24" s="47">
        <f>AS24+AE24</f>
        <v>690154</v>
      </c>
      <c r="AW24" s="188">
        <f t="shared" si="26"/>
        <v>690154</v>
      </c>
    </row>
    <row r="25" spans="1:49" ht="15.75" customHeight="1">
      <c r="A25" s="26"/>
      <c r="B25" s="51">
        <f t="shared" si="24"/>
        <v>45494</v>
      </c>
      <c r="C25" s="48"/>
      <c r="D25" s="27"/>
      <c r="E25" s="28">
        <v>37</v>
      </c>
      <c r="F25" s="29">
        <v>117920</v>
      </c>
      <c r="G25" s="30">
        <f t="shared" si="0"/>
        <v>2897.2972972972975</v>
      </c>
      <c r="H25" s="29">
        <v>13690</v>
      </c>
      <c r="I25" s="30">
        <f t="shared" si="1"/>
        <v>336.35135135135135</v>
      </c>
      <c r="J25" s="32">
        <f t="shared" si="2"/>
        <v>131610</v>
      </c>
      <c r="K25" s="33">
        <f t="shared" si="3"/>
        <v>3557.0270270270271</v>
      </c>
      <c r="L25" s="34"/>
      <c r="M25" s="35">
        <f t="shared" si="28"/>
        <v>39</v>
      </c>
      <c r="N25" s="36">
        <f t="shared" si="28"/>
        <v>352880</v>
      </c>
      <c r="O25" s="30">
        <f t="shared" si="5"/>
        <v>8225.6410256410254</v>
      </c>
      <c r="P25" s="36">
        <f t="shared" si="6"/>
        <v>62010</v>
      </c>
      <c r="Q25" s="52">
        <f t="shared" si="7"/>
        <v>1445.4358974358975</v>
      </c>
      <c r="R25" s="37">
        <f t="shared" si="8"/>
        <v>414890</v>
      </c>
      <c r="S25" s="33">
        <f t="shared" si="9"/>
        <v>10638.205128205129</v>
      </c>
      <c r="T25" s="49">
        <f t="shared" si="29"/>
        <v>76</v>
      </c>
      <c r="U25" s="36">
        <f t="shared" si="29"/>
        <v>470800</v>
      </c>
      <c r="V25" s="36">
        <f t="shared" si="11"/>
        <v>75700</v>
      </c>
      <c r="W25" s="39">
        <f t="shared" si="12"/>
        <v>546500</v>
      </c>
      <c r="X25" s="36">
        <f t="shared" si="13"/>
        <v>7190.7894736842109</v>
      </c>
      <c r="Y25" s="40"/>
      <c r="Z25" s="41">
        <v>132</v>
      </c>
      <c r="AA25" s="29">
        <v>102650</v>
      </c>
      <c r="AB25" s="30">
        <f t="shared" si="14"/>
        <v>777.65151515151513</v>
      </c>
      <c r="AC25" s="29">
        <v>18250</v>
      </c>
      <c r="AD25" s="31">
        <f t="shared" si="15"/>
        <v>138.25757575757575</v>
      </c>
      <c r="AE25" s="42">
        <f t="shared" si="16"/>
        <v>120900</v>
      </c>
      <c r="AF25" s="33">
        <f t="shared" si="17"/>
        <v>915.90909090909088</v>
      </c>
      <c r="AG25" s="49">
        <f t="shared" si="18"/>
        <v>76</v>
      </c>
      <c r="AH25" s="44">
        <f t="shared" si="19"/>
        <v>573450</v>
      </c>
      <c r="AI25" s="44">
        <f t="shared" si="20"/>
        <v>93950</v>
      </c>
      <c r="AJ25" s="43">
        <f t="shared" si="21"/>
        <v>667400</v>
      </c>
      <c r="AK25" s="36">
        <f t="shared" si="22"/>
        <v>28600</v>
      </c>
      <c r="AL25" s="44">
        <v>76</v>
      </c>
      <c r="AM25" s="44">
        <v>470800</v>
      </c>
      <c r="AN25" s="44">
        <v>75700</v>
      </c>
      <c r="AO25" s="45">
        <v>26950</v>
      </c>
      <c r="AP25" s="45">
        <v>1650</v>
      </c>
      <c r="AQ25" s="45"/>
      <c r="AR25" s="45"/>
      <c r="AS25" s="46">
        <f t="shared" si="23"/>
        <v>575100</v>
      </c>
      <c r="AT25" s="26">
        <v>21</v>
      </c>
      <c r="AU25" s="47">
        <f t="shared" si="25"/>
        <v>575100</v>
      </c>
      <c r="AV25" s="47">
        <f t="shared" si="27"/>
        <v>696000</v>
      </c>
      <c r="AW25" s="188">
        <f t="shared" si="26"/>
        <v>696000</v>
      </c>
    </row>
    <row r="26" spans="1:49" ht="15.75" customHeight="1">
      <c r="A26" s="26"/>
      <c r="B26" s="135">
        <f t="shared" si="24"/>
        <v>45495</v>
      </c>
      <c r="C26" s="48" t="s">
        <v>59</v>
      </c>
      <c r="D26" s="27"/>
      <c r="E26" s="28"/>
      <c r="F26" s="29"/>
      <c r="G26" s="30" t="e">
        <f t="shared" si="0"/>
        <v>#DIV/0!</v>
      </c>
      <c r="H26" s="29"/>
      <c r="I26" s="30" t="e">
        <f t="shared" si="1"/>
        <v>#DIV/0!</v>
      </c>
      <c r="J26" s="32">
        <f t="shared" si="2"/>
        <v>0</v>
      </c>
      <c r="K26" s="33" t="str">
        <f t="shared" si="3"/>
        <v/>
      </c>
      <c r="L26" s="34"/>
      <c r="M26" s="35">
        <f t="shared" si="28"/>
        <v>43</v>
      </c>
      <c r="N26" s="36">
        <f t="shared" si="28"/>
        <v>461890</v>
      </c>
      <c r="O26" s="30">
        <f t="shared" si="5"/>
        <v>9765.1162790697672</v>
      </c>
      <c r="P26" s="36">
        <f t="shared" si="6"/>
        <v>75740</v>
      </c>
      <c r="Q26" s="52">
        <f t="shared" si="7"/>
        <v>1601.2558139534883</v>
      </c>
      <c r="R26" s="37">
        <f t="shared" si="8"/>
        <v>537630</v>
      </c>
      <c r="S26" s="33">
        <f t="shared" si="9"/>
        <v>12503.023255813954</v>
      </c>
      <c r="T26" s="49">
        <f t="shared" si="29"/>
        <v>43</v>
      </c>
      <c r="U26" s="36">
        <f t="shared" si="29"/>
        <v>461890</v>
      </c>
      <c r="V26" s="36">
        <f t="shared" si="11"/>
        <v>75740</v>
      </c>
      <c r="W26" s="39">
        <f t="shared" si="12"/>
        <v>537630</v>
      </c>
      <c r="X26" s="36">
        <f t="shared" si="13"/>
        <v>12503.023255813954</v>
      </c>
      <c r="Y26" s="40"/>
      <c r="Z26" s="41">
        <v>105</v>
      </c>
      <c r="AA26" s="29">
        <v>85220</v>
      </c>
      <c r="AB26" s="30">
        <f t="shared" si="14"/>
        <v>811.61904761904759</v>
      </c>
      <c r="AC26" s="29">
        <v>22450</v>
      </c>
      <c r="AD26" s="31">
        <f t="shared" si="15"/>
        <v>213.8095238095238</v>
      </c>
      <c r="AE26" s="42">
        <f t="shared" si="16"/>
        <v>107670</v>
      </c>
      <c r="AF26" s="33">
        <f t="shared" si="17"/>
        <v>1025.4285714285713</v>
      </c>
      <c r="AG26" s="49">
        <f t="shared" si="18"/>
        <v>43</v>
      </c>
      <c r="AH26" s="44">
        <f t="shared" si="19"/>
        <v>547110</v>
      </c>
      <c r="AI26" s="44">
        <f t="shared" si="20"/>
        <v>98190</v>
      </c>
      <c r="AJ26" s="43">
        <f t="shared" si="21"/>
        <v>645300</v>
      </c>
      <c r="AK26" s="36">
        <f t="shared" si="22"/>
        <v>13200</v>
      </c>
      <c r="AL26" s="44">
        <v>43</v>
      </c>
      <c r="AM26" s="44">
        <v>461890</v>
      </c>
      <c r="AN26" s="44">
        <v>75740</v>
      </c>
      <c r="AO26" s="45">
        <v>13200</v>
      </c>
      <c r="AP26" s="45"/>
      <c r="AQ26" s="45"/>
      <c r="AR26" s="45"/>
      <c r="AS26" s="46">
        <f t="shared" si="23"/>
        <v>550830</v>
      </c>
      <c r="AT26" s="26">
        <v>22</v>
      </c>
      <c r="AU26" s="47">
        <f t="shared" si="25"/>
        <v>550830</v>
      </c>
      <c r="AV26" s="47">
        <f t="shared" si="27"/>
        <v>658500</v>
      </c>
      <c r="AW26" s="188">
        <f t="shared" si="26"/>
        <v>658500</v>
      </c>
    </row>
    <row r="27" spans="1:49" ht="15.75" customHeight="1">
      <c r="A27" s="26"/>
      <c r="B27" s="135">
        <f t="shared" si="24"/>
        <v>45496</v>
      </c>
      <c r="C27" s="48" t="s">
        <v>59</v>
      </c>
      <c r="D27" s="27"/>
      <c r="E27" s="28"/>
      <c r="F27" s="29"/>
      <c r="G27" s="30" t="e">
        <f t="shared" si="0"/>
        <v>#DIV/0!</v>
      </c>
      <c r="H27" s="29"/>
      <c r="I27" s="30" t="e">
        <f t="shared" si="1"/>
        <v>#DIV/0!</v>
      </c>
      <c r="J27" s="32">
        <f t="shared" si="2"/>
        <v>0</v>
      </c>
      <c r="K27" s="33" t="str">
        <f t="shared" si="3"/>
        <v/>
      </c>
      <c r="L27" s="34"/>
      <c r="M27" s="35">
        <f t="shared" si="28"/>
        <v>37</v>
      </c>
      <c r="N27" s="36">
        <f t="shared" si="28"/>
        <v>391710</v>
      </c>
      <c r="O27" s="30">
        <f t="shared" si="5"/>
        <v>9624.3243243243251</v>
      </c>
      <c r="P27" s="36">
        <f t="shared" si="6"/>
        <v>48510</v>
      </c>
      <c r="Q27" s="31">
        <f t="shared" si="7"/>
        <v>1191.8918918918919</v>
      </c>
      <c r="R27" s="37">
        <f t="shared" si="8"/>
        <v>440220</v>
      </c>
      <c r="S27" s="33">
        <f t="shared" si="9"/>
        <v>11897.837837837838</v>
      </c>
      <c r="T27" s="49">
        <f t="shared" si="29"/>
        <v>37</v>
      </c>
      <c r="U27" s="36">
        <f t="shared" si="29"/>
        <v>391710</v>
      </c>
      <c r="V27" s="36">
        <f t="shared" si="11"/>
        <v>48510</v>
      </c>
      <c r="W27" s="39">
        <f t="shared" si="12"/>
        <v>440220</v>
      </c>
      <c r="X27" s="36">
        <f t="shared" si="13"/>
        <v>11897.837837837838</v>
      </c>
      <c r="Y27" s="40"/>
      <c r="Z27" s="41">
        <v>52</v>
      </c>
      <c r="AA27" s="29">
        <v>39940</v>
      </c>
      <c r="AB27" s="30">
        <f t="shared" si="14"/>
        <v>768.07692307692309</v>
      </c>
      <c r="AC27" s="29">
        <v>8150</v>
      </c>
      <c r="AD27" s="31">
        <f t="shared" si="15"/>
        <v>156.73076923076923</v>
      </c>
      <c r="AE27" s="42">
        <f t="shared" si="16"/>
        <v>48090</v>
      </c>
      <c r="AF27" s="33">
        <f t="shared" si="17"/>
        <v>924.80769230769226</v>
      </c>
      <c r="AG27" s="49">
        <f t="shared" si="18"/>
        <v>37</v>
      </c>
      <c r="AH27" s="44">
        <f t="shared" si="19"/>
        <v>431650</v>
      </c>
      <c r="AI27" s="44">
        <f t="shared" si="20"/>
        <v>56660</v>
      </c>
      <c r="AJ27" s="43">
        <f t="shared" si="21"/>
        <v>488310</v>
      </c>
      <c r="AK27" s="36">
        <f t="shared" si="22"/>
        <v>22550</v>
      </c>
      <c r="AL27" s="44">
        <v>37</v>
      </c>
      <c r="AM27" s="44">
        <v>391710</v>
      </c>
      <c r="AN27" s="44">
        <v>48510</v>
      </c>
      <c r="AO27" s="45">
        <v>20900</v>
      </c>
      <c r="AP27" s="45">
        <v>1650</v>
      </c>
      <c r="AQ27" s="45"/>
      <c r="AR27" s="45"/>
      <c r="AS27" s="46">
        <f t="shared" si="23"/>
        <v>462770</v>
      </c>
      <c r="AT27" s="26">
        <v>23</v>
      </c>
      <c r="AU27" s="47">
        <f t="shared" si="25"/>
        <v>462770</v>
      </c>
      <c r="AV27" s="47">
        <f t="shared" si="27"/>
        <v>510860</v>
      </c>
      <c r="AW27" s="188">
        <f t="shared" si="26"/>
        <v>510860</v>
      </c>
    </row>
    <row r="28" spans="1:49" ht="15.75" customHeight="1">
      <c r="A28" s="26"/>
      <c r="B28" s="135">
        <f t="shared" si="24"/>
        <v>45497</v>
      </c>
      <c r="C28" s="48" t="s">
        <v>64</v>
      </c>
      <c r="D28" s="27"/>
      <c r="E28" s="28"/>
      <c r="F28" s="29"/>
      <c r="G28" s="30" t="e">
        <f t="shared" si="0"/>
        <v>#DIV/0!</v>
      </c>
      <c r="H28" s="29"/>
      <c r="I28" s="30" t="e">
        <f t="shared" si="1"/>
        <v>#DIV/0!</v>
      </c>
      <c r="J28" s="32">
        <f t="shared" si="2"/>
        <v>0</v>
      </c>
      <c r="K28" s="33" t="str">
        <f t="shared" si="3"/>
        <v/>
      </c>
      <c r="L28" s="34"/>
      <c r="M28" s="35">
        <f t="shared" si="28"/>
        <v>38</v>
      </c>
      <c r="N28" s="36">
        <f t="shared" si="28"/>
        <v>370920</v>
      </c>
      <c r="O28" s="30">
        <f t="shared" si="5"/>
        <v>8873.6842105263149</v>
      </c>
      <c r="P28" s="36">
        <f t="shared" si="6"/>
        <v>81460</v>
      </c>
      <c r="Q28" s="31">
        <f t="shared" si="7"/>
        <v>1948.7894736842106</v>
      </c>
      <c r="R28" s="37">
        <f t="shared" si="8"/>
        <v>452380</v>
      </c>
      <c r="S28" s="33">
        <f t="shared" si="9"/>
        <v>11904.736842105263</v>
      </c>
      <c r="T28" s="49">
        <f t="shared" si="29"/>
        <v>38</v>
      </c>
      <c r="U28" s="36">
        <f t="shared" si="29"/>
        <v>370920</v>
      </c>
      <c r="V28" s="36">
        <f t="shared" si="11"/>
        <v>81460</v>
      </c>
      <c r="W28" s="39">
        <f t="shared" si="12"/>
        <v>452380</v>
      </c>
      <c r="X28" s="36">
        <f t="shared" si="13"/>
        <v>11904.736842105263</v>
      </c>
      <c r="Y28" s="40"/>
      <c r="Z28" s="41">
        <v>17</v>
      </c>
      <c r="AA28" s="29">
        <v>12180</v>
      </c>
      <c r="AB28" s="30">
        <f t="shared" si="14"/>
        <v>716.47058823529414</v>
      </c>
      <c r="AC28" s="29">
        <v>3750</v>
      </c>
      <c r="AD28" s="31">
        <f t="shared" si="15"/>
        <v>220.58823529411765</v>
      </c>
      <c r="AE28" s="42">
        <f t="shared" si="16"/>
        <v>15930</v>
      </c>
      <c r="AF28" s="33">
        <f t="shared" si="17"/>
        <v>937.05882352941171</v>
      </c>
      <c r="AG28" s="49">
        <f t="shared" si="18"/>
        <v>38</v>
      </c>
      <c r="AH28" s="44">
        <f t="shared" si="19"/>
        <v>383100</v>
      </c>
      <c r="AI28" s="44">
        <f t="shared" si="20"/>
        <v>85210</v>
      </c>
      <c r="AJ28" s="43">
        <f t="shared" si="21"/>
        <v>468310</v>
      </c>
      <c r="AK28" s="36">
        <f t="shared" si="22"/>
        <v>20900</v>
      </c>
      <c r="AL28" s="44">
        <v>38</v>
      </c>
      <c r="AM28" s="44">
        <v>370920</v>
      </c>
      <c r="AN28" s="44">
        <v>81460</v>
      </c>
      <c r="AO28" s="45">
        <v>20900</v>
      </c>
      <c r="AP28" s="45"/>
      <c r="AQ28" s="45"/>
      <c r="AR28" s="45"/>
      <c r="AS28" s="46">
        <f t="shared" si="23"/>
        <v>473280</v>
      </c>
      <c r="AT28" s="26">
        <v>24</v>
      </c>
      <c r="AU28" s="47">
        <f t="shared" si="25"/>
        <v>473280</v>
      </c>
      <c r="AV28" s="47">
        <f t="shared" si="27"/>
        <v>489210</v>
      </c>
      <c r="AW28" s="188">
        <f t="shared" si="26"/>
        <v>489210</v>
      </c>
    </row>
    <row r="29" spans="1:49" ht="15.75" customHeight="1">
      <c r="A29" s="26"/>
      <c r="B29" s="135">
        <f t="shared" si="24"/>
        <v>45498</v>
      </c>
      <c r="C29" s="48" t="s">
        <v>59</v>
      </c>
      <c r="D29" s="27"/>
      <c r="E29" s="28"/>
      <c r="F29" s="29"/>
      <c r="G29" s="30" t="e">
        <f t="shared" si="0"/>
        <v>#DIV/0!</v>
      </c>
      <c r="H29" s="29"/>
      <c r="I29" s="30" t="e">
        <f t="shared" si="1"/>
        <v>#DIV/0!</v>
      </c>
      <c r="J29" s="32">
        <f t="shared" si="2"/>
        <v>0</v>
      </c>
      <c r="K29" s="33" t="str">
        <f t="shared" si="3"/>
        <v/>
      </c>
      <c r="L29" s="34"/>
      <c r="M29" s="35">
        <f t="shared" si="28"/>
        <v>39</v>
      </c>
      <c r="N29" s="36">
        <f t="shared" si="28"/>
        <v>394900</v>
      </c>
      <c r="O29" s="30">
        <f t="shared" si="5"/>
        <v>9205.1282051282051</v>
      </c>
      <c r="P29" s="36">
        <f t="shared" si="6"/>
        <v>69060</v>
      </c>
      <c r="Q29" s="31">
        <f t="shared" si="7"/>
        <v>1609.7692307692307</v>
      </c>
      <c r="R29" s="37">
        <f t="shared" si="8"/>
        <v>463960</v>
      </c>
      <c r="S29" s="33">
        <f t="shared" si="9"/>
        <v>11896.410256410256</v>
      </c>
      <c r="T29" s="49">
        <f t="shared" si="29"/>
        <v>39</v>
      </c>
      <c r="U29" s="36">
        <f t="shared" si="29"/>
        <v>394900</v>
      </c>
      <c r="V29" s="36">
        <f t="shared" si="11"/>
        <v>69060</v>
      </c>
      <c r="W29" s="39">
        <f t="shared" si="12"/>
        <v>463960</v>
      </c>
      <c r="X29" s="36">
        <f t="shared" si="13"/>
        <v>11896.410256410256</v>
      </c>
      <c r="Y29" s="40"/>
      <c r="Z29" s="41">
        <v>82</v>
      </c>
      <c r="AA29" s="29">
        <v>69940</v>
      </c>
      <c r="AB29" s="30">
        <f t="shared" si="14"/>
        <v>852.92682926829264</v>
      </c>
      <c r="AC29" s="29">
        <v>14350</v>
      </c>
      <c r="AD29" s="31">
        <f t="shared" si="15"/>
        <v>175</v>
      </c>
      <c r="AE29" s="42">
        <f t="shared" si="16"/>
        <v>84290</v>
      </c>
      <c r="AF29" s="33">
        <f t="shared" si="17"/>
        <v>1027.9268292682927</v>
      </c>
      <c r="AG29" s="49">
        <f t="shared" si="18"/>
        <v>39</v>
      </c>
      <c r="AH29" s="44">
        <f t="shared" si="19"/>
        <v>464840</v>
      </c>
      <c r="AI29" s="44">
        <f t="shared" si="20"/>
        <v>83410</v>
      </c>
      <c r="AJ29" s="43">
        <f t="shared" si="21"/>
        <v>548250</v>
      </c>
      <c r="AK29" s="36">
        <f t="shared" si="22"/>
        <v>17600</v>
      </c>
      <c r="AL29" s="44">
        <v>39</v>
      </c>
      <c r="AM29" s="44">
        <v>394900</v>
      </c>
      <c r="AN29" s="44">
        <v>69060</v>
      </c>
      <c r="AO29" s="45">
        <v>17600</v>
      </c>
      <c r="AP29" s="45"/>
      <c r="AQ29" s="45"/>
      <c r="AR29" s="45"/>
      <c r="AS29" s="46">
        <f t="shared" si="23"/>
        <v>481560</v>
      </c>
      <c r="AT29" s="26">
        <v>25</v>
      </c>
      <c r="AU29" s="47">
        <f t="shared" si="25"/>
        <v>481560</v>
      </c>
      <c r="AV29" s="47">
        <f t="shared" si="27"/>
        <v>565850</v>
      </c>
      <c r="AW29" s="188">
        <f t="shared" si="26"/>
        <v>565850</v>
      </c>
    </row>
    <row r="30" spans="1:49" ht="15.75" customHeight="1">
      <c r="A30" s="26"/>
      <c r="B30" s="135">
        <f t="shared" si="24"/>
        <v>45499</v>
      </c>
      <c r="C30" s="48" t="s">
        <v>65</v>
      </c>
      <c r="D30" s="27"/>
      <c r="E30" s="28"/>
      <c r="F30" s="29"/>
      <c r="G30" s="30" t="e">
        <f t="shared" si="0"/>
        <v>#DIV/0!</v>
      </c>
      <c r="H30" s="29"/>
      <c r="I30" s="30" t="e">
        <f t="shared" si="1"/>
        <v>#DIV/0!</v>
      </c>
      <c r="J30" s="32">
        <f t="shared" si="2"/>
        <v>0</v>
      </c>
      <c r="K30" s="33" t="str">
        <f t="shared" si="3"/>
        <v/>
      </c>
      <c r="L30" s="34"/>
      <c r="M30" s="35">
        <f t="shared" si="28"/>
        <v>37</v>
      </c>
      <c r="N30" s="36">
        <f t="shared" si="28"/>
        <v>357170</v>
      </c>
      <c r="O30" s="30">
        <f t="shared" si="5"/>
        <v>8775.6756756756749</v>
      </c>
      <c r="P30" s="36">
        <f t="shared" si="6"/>
        <v>72760</v>
      </c>
      <c r="Q30" s="30">
        <f t="shared" si="7"/>
        <v>1787.7027027027027</v>
      </c>
      <c r="R30" s="37">
        <f t="shared" si="8"/>
        <v>429930</v>
      </c>
      <c r="S30" s="33">
        <f t="shared" si="9"/>
        <v>11619.72972972973</v>
      </c>
      <c r="T30" s="49">
        <f t="shared" si="29"/>
        <v>37</v>
      </c>
      <c r="U30" s="36">
        <f t="shared" si="29"/>
        <v>357170</v>
      </c>
      <c r="V30" s="36">
        <f t="shared" si="11"/>
        <v>72760</v>
      </c>
      <c r="W30" s="39">
        <f t="shared" si="12"/>
        <v>429930</v>
      </c>
      <c r="X30" s="36">
        <f t="shared" si="13"/>
        <v>11619.72972972973</v>
      </c>
      <c r="Y30" s="40"/>
      <c r="Z30" s="41">
        <v>82</v>
      </c>
      <c r="AA30" s="29">
        <v>54830</v>
      </c>
      <c r="AB30" s="30">
        <f t="shared" si="14"/>
        <v>668.65853658536582</v>
      </c>
      <c r="AC30" s="29">
        <v>12200</v>
      </c>
      <c r="AD30" s="31">
        <f t="shared" si="15"/>
        <v>148.78048780487805</v>
      </c>
      <c r="AE30" s="42">
        <f t="shared" si="16"/>
        <v>67030</v>
      </c>
      <c r="AF30" s="33">
        <f t="shared" si="17"/>
        <v>817.43902439024396</v>
      </c>
      <c r="AG30" s="49">
        <f t="shared" si="18"/>
        <v>37</v>
      </c>
      <c r="AH30" s="44">
        <f t="shared" si="19"/>
        <v>412000</v>
      </c>
      <c r="AI30" s="44">
        <f t="shared" si="20"/>
        <v>84960</v>
      </c>
      <c r="AJ30" s="43">
        <f t="shared" si="21"/>
        <v>496960</v>
      </c>
      <c r="AK30" s="36">
        <f t="shared" si="22"/>
        <v>23210</v>
      </c>
      <c r="AL30" s="44">
        <v>37</v>
      </c>
      <c r="AM30" s="44">
        <v>357170</v>
      </c>
      <c r="AN30" s="44">
        <v>72760</v>
      </c>
      <c r="AO30" s="45">
        <v>20350</v>
      </c>
      <c r="AP30" s="45">
        <v>2860</v>
      </c>
      <c r="AQ30" s="45"/>
      <c r="AR30" s="45">
        <v>11000</v>
      </c>
      <c r="AS30" s="46">
        <f t="shared" si="23"/>
        <v>453140</v>
      </c>
      <c r="AT30" s="26">
        <v>26</v>
      </c>
      <c r="AU30" s="47">
        <f t="shared" si="25"/>
        <v>464140</v>
      </c>
      <c r="AV30" s="47">
        <f>AS30+AE30</f>
        <v>520170</v>
      </c>
      <c r="AW30" s="188">
        <f t="shared" si="26"/>
        <v>531170</v>
      </c>
    </row>
    <row r="31" spans="1:49" ht="15.75" customHeight="1">
      <c r="A31" s="26"/>
      <c r="B31" s="142">
        <f t="shared" si="24"/>
        <v>45500</v>
      </c>
      <c r="C31" s="48"/>
      <c r="D31" s="27"/>
      <c r="E31" s="28">
        <v>33</v>
      </c>
      <c r="F31" s="29">
        <v>110814</v>
      </c>
      <c r="G31" s="30">
        <f t="shared" si="0"/>
        <v>3052.7272727272725</v>
      </c>
      <c r="H31" s="29">
        <v>31610</v>
      </c>
      <c r="I31" s="30">
        <f t="shared" si="1"/>
        <v>870.78787878787875</v>
      </c>
      <c r="J31" s="32">
        <f t="shared" si="2"/>
        <v>142424</v>
      </c>
      <c r="K31" s="33">
        <f t="shared" si="3"/>
        <v>4315.878787878788</v>
      </c>
      <c r="L31" s="34"/>
      <c r="M31" s="35">
        <f t="shared" si="28"/>
        <v>42</v>
      </c>
      <c r="N31" s="36">
        <f t="shared" si="28"/>
        <v>398180</v>
      </c>
      <c r="O31" s="30">
        <f t="shared" si="5"/>
        <v>8618.5952380952385</v>
      </c>
      <c r="P31" s="36">
        <f t="shared" si="6"/>
        <v>55040</v>
      </c>
      <c r="Q31" s="30">
        <f t="shared" si="7"/>
        <v>1191.3333333333333</v>
      </c>
      <c r="R31" s="37">
        <f t="shared" si="8"/>
        <v>453220</v>
      </c>
      <c r="S31" s="33">
        <f t="shared" si="9"/>
        <v>10790.952380952382</v>
      </c>
      <c r="T31" s="49">
        <f t="shared" si="29"/>
        <v>75</v>
      </c>
      <c r="U31" s="36">
        <f t="shared" si="29"/>
        <v>508994</v>
      </c>
      <c r="V31" s="36">
        <f t="shared" si="11"/>
        <v>86650</v>
      </c>
      <c r="W31" s="39">
        <f t="shared" si="12"/>
        <v>595644</v>
      </c>
      <c r="X31" s="36">
        <f t="shared" si="13"/>
        <v>7941.92</v>
      </c>
      <c r="Y31" s="40"/>
      <c r="Z31" s="41">
        <v>102</v>
      </c>
      <c r="AA31" s="29">
        <v>77450</v>
      </c>
      <c r="AB31" s="30">
        <f t="shared" si="14"/>
        <v>759.31372549019613</v>
      </c>
      <c r="AC31" s="29">
        <v>12200</v>
      </c>
      <c r="AD31" s="31">
        <f t="shared" si="15"/>
        <v>119.6078431372549</v>
      </c>
      <c r="AE31" s="42">
        <f t="shared" si="16"/>
        <v>89650</v>
      </c>
      <c r="AF31" s="33">
        <f t="shared" si="17"/>
        <v>878.92156862745094</v>
      </c>
      <c r="AG31" s="49">
        <f t="shared" si="18"/>
        <v>75</v>
      </c>
      <c r="AH31" s="44">
        <f t="shared" si="19"/>
        <v>586444</v>
      </c>
      <c r="AI31" s="44">
        <f t="shared" si="20"/>
        <v>98850</v>
      </c>
      <c r="AJ31" s="43">
        <f t="shared" si="21"/>
        <v>685294</v>
      </c>
      <c r="AK31" s="36">
        <f t="shared" si="22"/>
        <v>28710</v>
      </c>
      <c r="AL31" s="44">
        <v>75</v>
      </c>
      <c r="AM31" s="44">
        <v>508994</v>
      </c>
      <c r="AN31" s="44">
        <v>86650</v>
      </c>
      <c r="AO31" s="45">
        <v>27500</v>
      </c>
      <c r="AP31" s="45">
        <v>1210</v>
      </c>
      <c r="AQ31" s="45"/>
      <c r="AR31" s="45"/>
      <c r="AS31" s="46">
        <f t="shared" si="23"/>
        <v>624354</v>
      </c>
      <c r="AT31" s="26">
        <v>27</v>
      </c>
      <c r="AU31" s="47">
        <f t="shared" si="25"/>
        <v>624354</v>
      </c>
      <c r="AV31" s="47">
        <f t="shared" si="27"/>
        <v>714004</v>
      </c>
      <c r="AW31" s="188">
        <f t="shared" si="26"/>
        <v>714004</v>
      </c>
    </row>
    <row r="32" spans="1:49" ht="15.75" customHeight="1">
      <c r="A32" s="26"/>
      <c r="B32" s="51">
        <f t="shared" si="24"/>
        <v>45501</v>
      </c>
      <c r="C32" s="48"/>
      <c r="D32" s="27"/>
      <c r="E32" s="28">
        <v>11</v>
      </c>
      <c r="F32" s="29">
        <v>34870</v>
      </c>
      <c r="G32" s="30">
        <f t="shared" si="0"/>
        <v>2881.818181818182</v>
      </c>
      <c r="H32" s="29">
        <v>4600</v>
      </c>
      <c r="I32" s="30">
        <f t="shared" si="1"/>
        <v>380.09090909090907</v>
      </c>
      <c r="J32" s="32">
        <f t="shared" si="2"/>
        <v>39470</v>
      </c>
      <c r="K32" s="33">
        <f t="shared" si="3"/>
        <v>3588.181818181818</v>
      </c>
      <c r="L32" s="34"/>
      <c r="M32" s="35">
        <f t="shared" si="28"/>
        <v>37</v>
      </c>
      <c r="N32" s="36">
        <f t="shared" si="28"/>
        <v>332640</v>
      </c>
      <c r="O32" s="30">
        <f t="shared" si="5"/>
        <v>8172.9729729729734</v>
      </c>
      <c r="P32" s="36">
        <f t="shared" si="6"/>
        <v>65980</v>
      </c>
      <c r="Q32" s="30">
        <f t="shared" si="7"/>
        <v>1621.1081081081081</v>
      </c>
      <c r="R32" s="37">
        <f t="shared" si="8"/>
        <v>398620</v>
      </c>
      <c r="S32" s="33">
        <f t="shared" si="9"/>
        <v>10773.513513513513</v>
      </c>
      <c r="T32" s="49">
        <f t="shared" si="29"/>
        <v>48</v>
      </c>
      <c r="U32" s="36">
        <f t="shared" si="29"/>
        <v>367510</v>
      </c>
      <c r="V32" s="36">
        <f t="shared" si="11"/>
        <v>70580</v>
      </c>
      <c r="W32" s="39">
        <f t="shared" si="12"/>
        <v>438090</v>
      </c>
      <c r="X32" s="36">
        <f t="shared" si="13"/>
        <v>9126.875</v>
      </c>
      <c r="Y32" s="40"/>
      <c r="Z32" s="41">
        <v>100</v>
      </c>
      <c r="AA32" s="29">
        <v>74320</v>
      </c>
      <c r="AB32" s="30">
        <f t="shared" si="14"/>
        <v>743.2</v>
      </c>
      <c r="AC32" s="29">
        <v>20500</v>
      </c>
      <c r="AD32" s="31">
        <f t="shared" si="15"/>
        <v>205</v>
      </c>
      <c r="AE32" s="42">
        <f t="shared" si="16"/>
        <v>94820</v>
      </c>
      <c r="AF32" s="33">
        <f t="shared" si="17"/>
        <v>948.2</v>
      </c>
      <c r="AG32" s="49">
        <f t="shared" si="18"/>
        <v>48</v>
      </c>
      <c r="AH32" s="44">
        <f t="shared" si="19"/>
        <v>441830</v>
      </c>
      <c r="AI32" s="44">
        <f t="shared" si="20"/>
        <v>91080</v>
      </c>
      <c r="AJ32" s="43">
        <f t="shared" si="21"/>
        <v>532910</v>
      </c>
      <c r="AK32" s="36">
        <f t="shared" si="22"/>
        <v>28050</v>
      </c>
      <c r="AL32" s="44">
        <v>48</v>
      </c>
      <c r="AM32" s="44">
        <v>367510</v>
      </c>
      <c r="AN32" s="44">
        <v>70580</v>
      </c>
      <c r="AO32" s="45">
        <v>28050</v>
      </c>
      <c r="AP32" s="45"/>
      <c r="AQ32" s="45"/>
      <c r="AR32" s="45"/>
      <c r="AS32" s="46">
        <f t="shared" si="23"/>
        <v>466140</v>
      </c>
      <c r="AT32" s="26">
        <v>28</v>
      </c>
      <c r="AU32" s="47">
        <f t="shared" si="25"/>
        <v>466140</v>
      </c>
      <c r="AV32" s="47">
        <f t="shared" si="27"/>
        <v>560960</v>
      </c>
      <c r="AW32" s="188">
        <f t="shared" si="26"/>
        <v>560960</v>
      </c>
    </row>
    <row r="33" spans="1:49" ht="15.75" customHeight="1">
      <c r="A33" s="26"/>
      <c r="B33" s="135">
        <f t="shared" si="24"/>
        <v>45502</v>
      </c>
      <c r="C33" s="48" t="s">
        <v>59</v>
      </c>
      <c r="D33" s="27"/>
      <c r="E33" s="28"/>
      <c r="F33" s="29"/>
      <c r="G33" s="30" t="e">
        <f t="shared" si="0"/>
        <v>#DIV/0!</v>
      </c>
      <c r="H33" s="29"/>
      <c r="I33" s="30" t="e">
        <f t="shared" si="1"/>
        <v>#DIV/0!</v>
      </c>
      <c r="J33" s="32">
        <f t="shared" si="2"/>
        <v>0</v>
      </c>
      <c r="K33" s="33" t="str">
        <f t="shared" si="3"/>
        <v/>
      </c>
      <c r="L33" s="34"/>
      <c r="M33" s="35">
        <f t="shared" si="28"/>
        <v>38</v>
      </c>
      <c r="N33" s="36">
        <f t="shared" si="28"/>
        <v>350240</v>
      </c>
      <c r="O33" s="30">
        <f t="shared" si="5"/>
        <v>8378.9473684210534</v>
      </c>
      <c r="P33" s="36">
        <f t="shared" si="6"/>
        <v>50310</v>
      </c>
      <c r="Q33" s="30">
        <f t="shared" si="7"/>
        <v>1203.578947368421</v>
      </c>
      <c r="R33" s="37">
        <f t="shared" si="8"/>
        <v>400550</v>
      </c>
      <c r="S33" s="33">
        <f t="shared" si="9"/>
        <v>10540.78947368421</v>
      </c>
      <c r="T33" s="49">
        <f t="shared" si="29"/>
        <v>38</v>
      </c>
      <c r="U33" s="36">
        <f t="shared" si="29"/>
        <v>350240</v>
      </c>
      <c r="V33" s="36">
        <f t="shared" si="11"/>
        <v>50310</v>
      </c>
      <c r="W33" s="39">
        <f t="shared" si="12"/>
        <v>400550</v>
      </c>
      <c r="X33" s="36">
        <f t="shared" si="13"/>
        <v>10540.78947368421</v>
      </c>
      <c r="Y33" s="40"/>
      <c r="Z33" s="41">
        <v>15</v>
      </c>
      <c r="AA33" s="29">
        <v>14720</v>
      </c>
      <c r="AB33" s="30">
        <f t="shared" si="14"/>
        <v>981.33333333333337</v>
      </c>
      <c r="AC33" s="29">
        <v>2650</v>
      </c>
      <c r="AD33" s="31">
        <f t="shared" si="15"/>
        <v>176.66666666666666</v>
      </c>
      <c r="AE33" s="42">
        <f t="shared" si="16"/>
        <v>17370</v>
      </c>
      <c r="AF33" s="33">
        <f t="shared" si="17"/>
        <v>1158</v>
      </c>
      <c r="AG33" s="49">
        <f t="shared" si="18"/>
        <v>38</v>
      </c>
      <c r="AH33" s="44">
        <f t="shared" si="19"/>
        <v>364960</v>
      </c>
      <c r="AI33" s="44">
        <f t="shared" si="20"/>
        <v>52960</v>
      </c>
      <c r="AJ33" s="43">
        <f t="shared" si="21"/>
        <v>417920</v>
      </c>
      <c r="AK33" s="36">
        <f t="shared" si="22"/>
        <v>6600</v>
      </c>
      <c r="AL33" s="44">
        <v>38</v>
      </c>
      <c r="AM33" s="44">
        <v>350240</v>
      </c>
      <c r="AN33" s="44">
        <v>50310</v>
      </c>
      <c r="AO33" s="45">
        <v>6600</v>
      </c>
      <c r="AP33" s="45"/>
      <c r="AQ33" s="45"/>
      <c r="AR33" s="45"/>
      <c r="AS33" s="46">
        <f t="shared" si="23"/>
        <v>407150</v>
      </c>
      <c r="AT33" s="26">
        <v>29</v>
      </c>
      <c r="AU33" s="47">
        <f t="shared" si="25"/>
        <v>407150</v>
      </c>
      <c r="AV33" s="47">
        <f t="shared" si="27"/>
        <v>424520</v>
      </c>
      <c r="AW33" s="188">
        <f t="shared" si="26"/>
        <v>424520</v>
      </c>
    </row>
    <row r="34" spans="1:49" ht="15.75" customHeight="1">
      <c r="A34" s="26"/>
      <c r="B34" s="135">
        <f t="shared" si="24"/>
        <v>45503</v>
      </c>
      <c r="C34" s="48" t="s">
        <v>59</v>
      </c>
      <c r="D34" s="27"/>
      <c r="E34" s="28"/>
      <c r="F34" s="29"/>
      <c r="G34" s="30" t="e">
        <f t="shared" si="0"/>
        <v>#DIV/0!</v>
      </c>
      <c r="H34" s="29"/>
      <c r="I34" s="30" t="e">
        <f t="shared" si="1"/>
        <v>#DIV/0!</v>
      </c>
      <c r="J34" s="32">
        <f t="shared" si="2"/>
        <v>0</v>
      </c>
      <c r="K34" s="33" t="str">
        <f t="shared" si="3"/>
        <v/>
      </c>
      <c r="L34" s="34"/>
      <c r="M34" s="35">
        <f t="shared" si="28"/>
        <v>39</v>
      </c>
      <c r="N34" s="36">
        <f t="shared" si="28"/>
        <v>342430</v>
      </c>
      <c r="O34" s="30">
        <f t="shared" si="5"/>
        <v>7982.0512820512822</v>
      </c>
      <c r="P34" s="36">
        <f t="shared" si="6"/>
        <v>42190</v>
      </c>
      <c r="Q34" s="30">
        <f t="shared" si="7"/>
        <v>983.43589743589746</v>
      </c>
      <c r="R34" s="37">
        <f t="shared" si="8"/>
        <v>384620</v>
      </c>
      <c r="S34" s="33">
        <f t="shared" si="9"/>
        <v>9862.0512820512813</v>
      </c>
      <c r="T34" s="49">
        <f t="shared" si="29"/>
        <v>39</v>
      </c>
      <c r="U34" s="36">
        <f t="shared" si="29"/>
        <v>342430</v>
      </c>
      <c r="V34" s="36">
        <f t="shared" si="11"/>
        <v>42190</v>
      </c>
      <c r="W34" s="39">
        <f t="shared" si="12"/>
        <v>384620</v>
      </c>
      <c r="X34" s="36">
        <f t="shared" si="13"/>
        <v>9862.0512820512813</v>
      </c>
      <c r="Y34" s="53"/>
      <c r="Z34" s="54">
        <v>116</v>
      </c>
      <c r="AA34" s="55">
        <v>93710</v>
      </c>
      <c r="AB34" s="30">
        <f t="shared" si="14"/>
        <v>807.84482758620686</v>
      </c>
      <c r="AC34" s="55">
        <v>22950</v>
      </c>
      <c r="AD34" s="31">
        <f t="shared" si="15"/>
        <v>197.84482758620689</v>
      </c>
      <c r="AE34" s="42">
        <f t="shared" si="16"/>
        <v>116660</v>
      </c>
      <c r="AF34" s="33">
        <f t="shared" si="17"/>
        <v>1005.6896551724138</v>
      </c>
      <c r="AG34" s="49">
        <f t="shared" si="18"/>
        <v>39</v>
      </c>
      <c r="AH34" s="44">
        <f t="shared" si="19"/>
        <v>436140</v>
      </c>
      <c r="AI34" s="44">
        <f t="shared" si="20"/>
        <v>65140</v>
      </c>
      <c r="AJ34" s="43">
        <f t="shared" si="21"/>
        <v>501280</v>
      </c>
      <c r="AK34" s="36">
        <f t="shared" si="22"/>
        <v>12100</v>
      </c>
      <c r="AL34" s="44">
        <v>39</v>
      </c>
      <c r="AM34" s="44">
        <v>342430</v>
      </c>
      <c r="AN34" s="44">
        <v>42190</v>
      </c>
      <c r="AO34" s="45">
        <v>12100</v>
      </c>
      <c r="AP34" s="45"/>
      <c r="AQ34" s="45"/>
      <c r="AR34" s="45"/>
      <c r="AS34" s="46">
        <f t="shared" si="23"/>
        <v>396720</v>
      </c>
      <c r="AT34" s="26">
        <v>30</v>
      </c>
      <c r="AU34" s="47">
        <f t="shared" si="25"/>
        <v>396720</v>
      </c>
      <c r="AV34" s="47">
        <f t="shared" si="27"/>
        <v>513380</v>
      </c>
      <c r="AW34" s="188">
        <f t="shared" si="26"/>
        <v>513380</v>
      </c>
    </row>
    <row r="35" spans="1:49" ht="15.75" customHeight="1" thickBot="1">
      <c r="A35" s="26"/>
      <c r="B35" s="135">
        <f t="shared" si="24"/>
        <v>45504</v>
      </c>
      <c r="C35" s="48" t="s">
        <v>59</v>
      </c>
      <c r="D35" s="27"/>
      <c r="E35" s="28"/>
      <c r="F35" s="29"/>
      <c r="G35" s="30" t="e">
        <f t="shared" si="0"/>
        <v>#DIV/0!</v>
      </c>
      <c r="H35" s="29"/>
      <c r="I35" s="30" t="e">
        <f t="shared" si="1"/>
        <v>#DIV/0!</v>
      </c>
      <c r="J35" s="32">
        <f t="shared" si="2"/>
        <v>0</v>
      </c>
      <c r="K35" s="33" t="str">
        <f t="shared" si="3"/>
        <v/>
      </c>
      <c r="L35" s="34"/>
      <c r="M35" s="56">
        <f t="shared" si="28"/>
        <v>43</v>
      </c>
      <c r="N35" s="36">
        <f t="shared" si="28"/>
        <v>403810</v>
      </c>
      <c r="O35" s="30">
        <f t="shared" si="5"/>
        <v>8537.209302325582</v>
      </c>
      <c r="P35" s="36">
        <f t="shared" si="6"/>
        <v>80350</v>
      </c>
      <c r="Q35" s="30">
        <f t="shared" si="7"/>
        <v>1698.7209302325582</v>
      </c>
      <c r="R35" s="37">
        <f t="shared" si="8"/>
        <v>484160</v>
      </c>
      <c r="S35" s="33">
        <f t="shared" si="9"/>
        <v>11259.534883720929</v>
      </c>
      <c r="T35" s="57">
        <f t="shared" si="29"/>
        <v>43</v>
      </c>
      <c r="U35" s="58">
        <f t="shared" si="29"/>
        <v>403810</v>
      </c>
      <c r="V35" s="58">
        <f t="shared" si="11"/>
        <v>80350</v>
      </c>
      <c r="W35" s="59">
        <f t="shared" si="12"/>
        <v>484160</v>
      </c>
      <c r="X35" s="58"/>
      <c r="Y35" s="60"/>
      <c r="Z35" s="61">
        <v>118</v>
      </c>
      <c r="AA35" s="62">
        <v>111810</v>
      </c>
      <c r="AB35" s="63">
        <f t="shared" si="14"/>
        <v>947.54237288135596</v>
      </c>
      <c r="AC35" s="62">
        <v>20250</v>
      </c>
      <c r="AD35" s="64">
        <f t="shared" si="15"/>
        <v>171.61016949152543</v>
      </c>
      <c r="AE35" s="65">
        <f t="shared" si="16"/>
        <v>132060</v>
      </c>
      <c r="AF35" s="33">
        <f t="shared" si="17"/>
        <v>1119.1525423728813</v>
      </c>
      <c r="AG35" s="57">
        <f t="shared" si="18"/>
        <v>43</v>
      </c>
      <c r="AH35" s="58">
        <f t="shared" si="19"/>
        <v>515620</v>
      </c>
      <c r="AI35" s="58">
        <f t="shared" si="20"/>
        <v>100600</v>
      </c>
      <c r="AJ35" s="43">
        <f t="shared" si="21"/>
        <v>616220</v>
      </c>
      <c r="AK35" s="36">
        <f t="shared" si="22"/>
        <v>95900</v>
      </c>
      <c r="AL35" s="44">
        <v>43</v>
      </c>
      <c r="AM35" s="44">
        <v>403810</v>
      </c>
      <c r="AN35" s="44">
        <v>80350</v>
      </c>
      <c r="AO35" s="45">
        <v>20900</v>
      </c>
      <c r="AP35" s="45">
        <v>75000</v>
      </c>
      <c r="AQ35" s="45"/>
      <c r="AR35" s="45"/>
      <c r="AS35" s="46">
        <f>SUM(AM35:AR35)</f>
        <v>580060</v>
      </c>
      <c r="AT35" s="26">
        <v>31</v>
      </c>
      <c r="AU35" s="47">
        <f t="shared" si="25"/>
        <v>580060</v>
      </c>
      <c r="AV35" s="47">
        <f t="shared" si="27"/>
        <v>712120</v>
      </c>
      <c r="AW35" s="188">
        <f t="shared" si="26"/>
        <v>712120</v>
      </c>
    </row>
    <row r="36" spans="1:49" ht="15.75" customHeight="1" thickTop="1" thickBot="1">
      <c r="A36" s="66"/>
      <c r="B36" s="67" t="s">
        <v>26</v>
      </c>
      <c r="C36" s="68">
        <f>SUM(C5:C35)</f>
        <v>0</v>
      </c>
      <c r="D36" s="69">
        <f>SUM(D5:D35)</f>
        <v>0</v>
      </c>
      <c r="E36" s="70">
        <f>SUM(E5:E35)</f>
        <v>284</v>
      </c>
      <c r="F36" s="71">
        <f>SUM(F5:F35)</f>
        <v>1019458</v>
      </c>
      <c r="G36" s="72">
        <f>F36/E36</f>
        <v>3589.6408450704225</v>
      </c>
      <c r="H36" s="68">
        <f>SUM(H5:H35)</f>
        <v>157010</v>
      </c>
      <c r="I36" s="73">
        <f>H36/E36</f>
        <v>552.85211267605632</v>
      </c>
      <c r="J36" s="74">
        <f>SUM(J5:J35)</f>
        <v>1176468</v>
      </c>
      <c r="K36" s="75">
        <f>J36/E36</f>
        <v>4142.4929577464791</v>
      </c>
      <c r="L36" s="76">
        <f>SUM(L5:L35)</f>
        <v>0</v>
      </c>
      <c r="M36" s="70">
        <f>SUM(M5:M35)</f>
        <v>1217</v>
      </c>
      <c r="N36" s="71">
        <f>SUM(N5:N35)</f>
        <v>11532340</v>
      </c>
      <c r="O36" s="72">
        <f>N36/M36</f>
        <v>9476.0394412489732</v>
      </c>
      <c r="P36" s="77">
        <f>SUM(P5:P35)</f>
        <v>1947000</v>
      </c>
      <c r="Q36" s="73">
        <f>P36/M36</f>
        <v>1599.835661462613</v>
      </c>
      <c r="R36" s="78">
        <f>SUM(R5:R35)</f>
        <v>13479340</v>
      </c>
      <c r="S36" s="79">
        <f>R36/M36</f>
        <v>11075.875102711585</v>
      </c>
      <c r="T36" s="70">
        <f>SUM(T5:T35)</f>
        <v>1501</v>
      </c>
      <c r="U36" s="136">
        <f>SUM(U5:U35)</f>
        <v>12551798</v>
      </c>
      <c r="V36" s="77">
        <f>SUM(V5:V35)</f>
        <v>2104010</v>
      </c>
      <c r="W36" s="137">
        <f>SUM(W5:W35)</f>
        <v>14655808</v>
      </c>
      <c r="X36" s="143">
        <f>W36/T36</f>
        <v>9764.0293137908066</v>
      </c>
      <c r="Y36" s="69">
        <f>SUM(Y5:Y35)</f>
        <v>0</v>
      </c>
      <c r="Z36" s="70">
        <f>SUM(Z5:Z35)</f>
        <v>2694</v>
      </c>
      <c r="AA36" s="165">
        <f>SUM(AA5:AA35)</f>
        <v>2002140</v>
      </c>
      <c r="AB36" s="72"/>
      <c r="AC36" s="68">
        <f>SUM(AC5:AC35)</f>
        <v>521150</v>
      </c>
      <c r="AD36" s="73"/>
      <c r="AE36" s="166">
        <f>SUM(AE5:AE35)</f>
        <v>2523290</v>
      </c>
      <c r="AF36" s="80">
        <f>AE36/Z36</f>
        <v>936.63325909428363</v>
      </c>
      <c r="AG36" s="70">
        <f t="shared" ref="AG36:AS36" si="30">SUM(AG5:AG35)</f>
        <v>1501</v>
      </c>
      <c r="AH36" s="136">
        <f t="shared" si="30"/>
        <v>14553938</v>
      </c>
      <c r="AI36" s="77">
        <f t="shared" si="30"/>
        <v>2625160</v>
      </c>
      <c r="AJ36" s="78">
        <f t="shared" si="30"/>
        <v>17179098</v>
      </c>
      <c r="AK36" s="68">
        <f>SUM(AK5:AK35)</f>
        <v>701910</v>
      </c>
      <c r="AL36" s="81">
        <f t="shared" si="30"/>
        <v>1501</v>
      </c>
      <c r="AM36" s="81">
        <f t="shared" si="30"/>
        <v>12551798</v>
      </c>
      <c r="AN36" s="81">
        <f t="shared" si="30"/>
        <v>2104010</v>
      </c>
      <c r="AO36" s="81">
        <f t="shared" si="30"/>
        <v>609400</v>
      </c>
      <c r="AP36" s="81">
        <f t="shared" si="30"/>
        <v>92510</v>
      </c>
      <c r="AQ36" s="81">
        <f t="shared" si="30"/>
        <v>0</v>
      </c>
      <c r="AR36" s="81">
        <f t="shared" si="30"/>
        <v>217795</v>
      </c>
      <c r="AS36" s="81">
        <f t="shared" si="30"/>
        <v>15357718</v>
      </c>
      <c r="AT36" s="66"/>
      <c r="AU36" s="82">
        <f>SUM(AU5:AU35)</f>
        <v>15575513</v>
      </c>
      <c r="AV36" s="90">
        <f>SUM(AV5:AV35)</f>
        <v>17881008</v>
      </c>
      <c r="AW36" s="90">
        <f>SUM(AW5:AW35)</f>
        <v>18098803</v>
      </c>
    </row>
    <row r="37" spans="1:49" ht="15.75" customHeight="1" thickTop="1">
      <c r="A37" s="66"/>
      <c r="B37" s="66"/>
      <c r="C37" s="66"/>
      <c r="D37" s="66"/>
      <c r="E37" s="83" t="s">
        <v>36</v>
      </c>
      <c r="F37" s="84">
        <f>F36/1.1</f>
        <v>926779.99999999988</v>
      </c>
      <c r="G37" s="85">
        <f>F37/E36</f>
        <v>3263.3098591549292</v>
      </c>
      <c r="H37" s="45">
        <f>H36/1.1</f>
        <v>142736.36363636362</v>
      </c>
      <c r="I37" s="85">
        <f>H37/E36</f>
        <v>502.59282970550572</v>
      </c>
      <c r="J37" s="81">
        <f>J36/1.1</f>
        <v>1069516.3636363635</v>
      </c>
      <c r="K37" s="86">
        <f>G37+I37</f>
        <v>3765.9026888604349</v>
      </c>
      <c r="L37" s="87"/>
      <c r="M37" s="83" t="s">
        <v>36</v>
      </c>
      <c r="N37" s="84">
        <f>N36/1.1</f>
        <v>10483945.454545453</v>
      </c>
      <c r="O37" s="85">
        <f>N37/M36</f>
        <v>8614.5813102263382</v>
      </c>
      <c r="P37" s="84">
        <f>P36/1.1</f>
        <v>1769999.9999999998</v>
      </c>
      <c r="Q37" s="85">
        <f>P37/M36</f>
        <v>1454.3960558751025</v>
      </c>
      <c r="R37" s="85">
        <f>R36/1.1</f>
        <v>12253945.454545453</v>
      </c>
      <c r="S37" s="138">
        <f>R37/M36</f>
        <v>10068.977366101441</v>
      </c>
      <c r="T37" s="83" t="s">
        <v>36</v>
      </c>
      <c r="U37" s="84">
        <f>U36/1.1</f>
        <v>11410725.454545453</v>
      </c>
      <c r="V37" s="84">
        <f>V36/1.1</f>
        <v>1912736.3636363635</v>
      </c>
      <c r="W37" s="139">
        <f>W36/1.1</f>
        <v>13323461.818181816</v>
      </c>
      <c r="X37" s="143">
        <f>W37/T36</f>
        <v>8876.3902852643678</v>
      </c>
      <c r="Y37" s="87"/>
      <c r="Z37" s="83" t="s">
        <v>36</v>
      </c>
      <c r="AA37" s="84">
        <f>AA36/1.1</f>
        <v>1820127.2727272725</v>
      </c>
      <c r="AB37" s="45">
        <f>AA37/Z36</f>
        <v>675.62259566713897</v>
      </c>
      <c r="AC37" s="45">
        <f>AC36/1.1</f>
        <v>473772.72727272724</v>
      </c>
      <c r="AD37" s="45">
        <f>AC37/Z36</f>
        <v>175.86218532766415</v>
      </c>
      <c r="AE37" s="85">
        <f>AE36/1.1</f>
        <v>2293900</v>
      </c>
      <c r="AF37" s="88">
        <f>AE37/Z36</f>
        <v>851.48478099480326</v>
      </c>
      <c r="AG37" s="83" t="s">
        <v>36</v>
      </c>
      <c r="AH37" s="140">
        <f>AH36/1.1</f>
        <v>13230852.727272727</v>
      </c>
      <c r="AI37" s="84">
        <f>AI36/1.1</f>
        <v>2386509.0909090908</v>
      </c>
      <c r="AJ37" s="85">
        <f>AJ36/1.1</f>
        <v>15617361.818181816</v>
      </c>
      <c r="AK37" s="89">
        <f>AK36/1.1</f>
        <v>638100</v>
      </c>
      <c r="AL37" s="66"/>
      <c r="AM37" s="66"/>
      <c r="AN37" s="66"/>
      <c r="AO37" s="66"/>
      <c r="AP37" s="90"/>
      <c r="AQ37" s="66"/>
      <c r="AR37" s="66"/>
      <c r="AS37" s="90"/>
      <c r="AT37" s="66"/>
      <c r="AU37" s="90"/>
      <c r="AV37" s="66"/>
    </row>
    <row r="38" spans="1:49" ht="15.75" customHeight="1">
      <c r="A38" s="26"/>
      <c r="B38" s="26"/>
      <c r="C38" s="26"/>
      <c r="D38" s="26"/>
      <c r="E38" s="91" t="s">
        <v>37</v>
      </c>
      <c r="F38" s="92">
        <f>E36/G38</f>
        <v>31.555555555555557</v>
      </c>
      <c r="G38" s="93">
        <v>9</v>
      </c>
      <c r="H38" s="94" t="s">
        <v>38</v>
      </c>
      <c r="I38" s="92"/>
      <c r="J38" s="95" t="s">
        <v>39</v>
      </c>
      <c r="K38" s="167">
        <f>J37/G38</f>
        <v>118835.15151515151</v>
      </c>
      <c r="L38" s="26"/>
      <c r="M38" s="91" t="s">
        <v>37</v>
      </c>
      <c r="N38" s="92">
        <f>M36/O38</f>
        <v>39.258064516129032</v>
      </c>
      <c r="O38" s="93">
        <v>31</v>
      </c>
      <c r="P38" s="94" t="s">
        <v>38</v>
      </c>
      <c r="Q38" s="92"/>
      <c r="R38" s="95" t="s">
        <v>39</v>
      </c>
      <c r="S38" s="168">
        <f>R37/O38</f>
        <v>395288.56304985331</v>
      </c>
      <c r="T38" s="26"/>
      <c r="U38" s="26"/>
      <c r="V38" s="26"/>
      <c r="W38" s="47"/>
      <c r="X38" s="47"/>
      <c r="Y38" s="26"/>
      <c r="Z38" s="26"/>
      <c r="AA38" s="97">
        <v>31</v>
      </c>
      <c r="AB38" s="94" t="s">
        <v>38</v>
      </c>
      <c r="AC38" s="92"/>
      <c r="AD38" s="92"/>
      <c r="AE38" s="95" t="s">
        <v>39</v>
      </c>
      <c r="AF38" s="96">
        <f>AE37/AA38</f>
        <v>73996.774193548394</v>
      </c>
      <c r="AG38" s="26"/>
      <c r="AH38" s="26"/>
      <c r="AI38" s="26" t="s">
        <v>53</v>
      </c>
      <c r="AJ38" s="47"/>
      <c r="AK38" s="47">
        <f>AJ37/AL38</f>
        <v>3722.8514465272506</v>
      </c>
      <c r="AL38" s="144">
        <f>AG36+Z36</f>
        <v>4195</v>
      </c>
      <c r="AM38" s="26" t="s">
        <v>54</v>
      </c>
      <c r="AN38" s="26"/>
      <c r="AO38" s="26"/>
      <c r="AP38" s="47"/>
      <c r="AQ38" s="26"/>
      <c r="AR38" s="26"/>
      <c r="AS38" s="47"/>
      <c r="AT38" s="26"/>
      <c r="AU38" s="47"/>
      <c r="AV38" s="26"/>
      <c r="AW38" s="188"/>
    </row>
    <row r="39" spans="1:49" ht="15.75" customHeight="1">
      <c r="A39" s="26"/>
      <c r="B39" s="26"/>
      <c r="C39" s="26"/>
      <c r="D39" s="98" t="s">
        <v>40</v>
      </c>
      <c r="E39" s="99"/>
      <c r="F39" s="92"/>
      <c r="G39" s="100"/>
      <c r="H39" s="92"/>
      <c r="I39" s="92"/>
      <c r="J39" s="95"/>
      <c r="K39" s="96"/>
      <c r="L39" s="101" t="s">
        <v>41</v>
      </c>
      <c r="M39" s="91"/>
      <c r="N39" s="92"/>
      <c r="O39" s="92"/>
      <c r="P39" s="92"/>
      <c r="Q39" s="92"/>
      <c r="R39" s="95"/>
      <c r="S39" s="96"/>
      <c r="T39" s="26"/>
      <c r="U39" s="26"/>
      <c r="V39" s="26"/>
      <c r="W39" s="47"/>
      <c r="X39" s="47"/>
      <c r="Y39" s="101" t="s">
        <v>42</v>
      </c>
      <c r="Z39" s="26"/>
      <c r="AA39" s="92"/>
      <c r="AB39" s="92"/>
      <c r="AC39" s="92"/>
      <c r="AD39" s="92"/>
      <c r="AE39" s="92"/>
      <c r="AF39" s="96"/>
      <c r="AG39" s="26"/>
      <c r="AH39" s="26"/>
      <c r="AI39" s="26" t="s">
        <v>55</v>
      </c>
      <c r="AK39" s="102">
        <f>AJ37/AA38</f>
        <v>503785.86510263925</v>
      </c>
      <c r="AL39" s="26" t="s">
        <v>56</v>
      </c>
      <c r="AM39" s="26"/>
      <c r="AN39" s="26"/>
      <c r="AO39" s="26"/>
      <c r="AP39" s="47"/>
      <c r="AQ39" s="26"/>
      <c r="AR39" s="26"/>
      <c r="AS39" s="47"/>
      <c r="AT39" s="26"/>
      <c r="AU39" s="47"/>
      <c r="AV39" s="26"/>
    </row>
    <row r="40" spans="1:49" ht="21" customHeight="1">
      <c r="A40" s="26"/>
      <c r="B40" s="26"/>
      <c r="C40" s="101"/>
      <c r="D40" s="149"/>
      <c r="E40" s="180"/>
      <c r="F40" s="180"/>
      <c r="G40" s="180"/>
      <c r="H40" s="180"/>
      <c r="I40" s="180"/>
      <c r="J40" s="180"/>
      <c r="K40" s="181"/>
      <c r="L40" s="149"/>
      <c r="M40" s="150"/>
      <c r="N40" s="150"/>
      <c r="O40" s="150"/>
      <c r="P40" s="150"/>
      <c r="Q40" s="150"/>
      <c r="R40" s="150"/>
      <c r="S40" s="151"/>
      <c r="T40" s="26"/>
      <c r="U40" s="26"/>
      <c r="V40" s="26"/>
      <c r="W40" s="47"/>
      <c r="X40" s="26"/>
      <c r="Y40" s="149" t="s">
        <v>66</v>
      </c>
      <c r="Z40" s="150"/>
      <c r="AA40" s="150"/>
      <c r="AB40" s="150"/>
      <c r="AC40" s="150"/>
      <c r="AD40" s="150"/>
      <c r="AE40" s="150"/>
      <c r="AF40" s="151"/>
      <c r="AG40" s="26"/>
      <c r="AH40" s="26"/>
      <c r="AI40" s="26" t="s">
        <v>57</v>
      </c>
      <c r="AJ40" s="47">
        <f>AJ36+AK36</f>
        <v>17881008</v>
      </c>
      <c r="AK40" s="102">
        <f>AJ40/AA38</f>
        <v>576806.70967741939</v>
      </c>
      <c r="AL40" s="26" t="s">
        <v>43</v>
      </c>
      <c r="AM40" s="26"/>
      <c r="AN40" s="26"/>
      <c r="AO40" s="26"/>
      <c r="AP40" s="26"/>
      <c r="AQ40" s="26"/>
      <c r="AR40" s="26"/>
      <c r="AS40" s="47"/>
      <c r="AT40" s="26"/>
      <c r="AU40" s="47"/>
      <c r="AV40" s="26"/>
    </row>
    <row r="41" spans="1:49" ht="21" customHeight="1">
      <c r="A41" s="26"/>
      <c r="B41" s="26"/>
      <c r="C41" s="101"/>
      <c r="D41" s="182"/>
      <c r="E41" s="183"/>
      <c r="F41" s="183"/>
      <c r="G41" s="183"/>
      <c r="H41" s="183"/>
      <c r="I41" s="183"/>
      <c r="J41" s="183"/>
      <c r="K41" s="184"/>
      <c r="L41" s="152"/>
      <c r="M41" s="153"/>
      <c r="N41" s="153"/>
      <c r="O41" s="153"/>
      <c r="P41" s="153"/>
      <c r="Q41" s="153"/>
      <c r="R41" s="153"/>
      <c r="S41" s="154"/>
      <c r="T41" s="26"/>
      <c r="U41" s="26"/>
      <c r="V41" s="26"/>
      <c r="W41" s="47"/>
      <c r="X41" s="26"/>
      <c r="Y41" s="152"/>
      <c r="Z41" s="153"/>
      <c r="AA41" s="153"/>
      <c r="AB41" s="153"/>
      <c r="AC41" s="153"/>
      <c r="AD41" s="153"/>
      <c r="AE41" s="153"/>
      <c r="AF41" s="154"/>
      <c r="AG41" s="26"/>
      <c r="AH41" s="26"/>
      <c r="AI41" s="26" t="s">
        <v>58</v>
      </c>
      <c r="AJ41" s="145">
        <f>AJ37+AK37</f>
        <v>16255461.818181816</v>
      </c>
      <c r="AK41" s="102">
        <f>AJ41/AA38</f>
        <v>524369.73607038113</v>
      </c>
      <c r="AL41" s="26" t="s">
        <v>56</v>
      </c>
      <c r="AM41" s="26"/>
      <c r="AN41" s="26"/>
      <c r="AO41" s="26"/>
      <c r="AP41" s="26"/>
      <c r="AQ41" s="26"/>
      <c r="AR41" s="26"/>
      <c r="AS41" s="47"/>
      <c r="AT41" s="26"/>
      <c r="AU41" s="47"/>
      <c r="AV41" s="26"/>
    </row>
    <row r="42" spans="1:49" ht="21" customHeight="1">
      <c r="A42" s="26"/>
      <c r="B42" s="26"/>
      <c r="C42" s="101"/>
      <c r="D42" s="182"/>
      <c r="E42" s="183"/>
      <c r="F42" s="183"/>
      <c r="G42" s="183"/>
      <c r="H42" s="183"/>
      <c r="I42" s="183"/>
      <c r="J42" s="183"/>
      <c r="K42" s="184"/>
      <c r="L42" s="152"/>
      <c r="M42" s="153"/>
      <c r="N42" s="153"/>
      <c r="O42" s="153"/>
      <c r="P42" s="153"/>
      <c r="Q42" s="153"/>
      <c r="R42" s="153"/>
      <c r="S42" s="154"/>
      <c r="T42" s="26"/>
      <c r="U42" s="26"/>
      <c r="V42" s="26"/>
      <c r="W42" s="47"/>
      <c r="X42" s="26"/>
      <c r="Y42" s="152"/>
      <c r="Z42" s="153"/>
      <c r="AA42" s="153"/>
      <c r="AB42" s="153"/>
      <c r="AC42" s="153"/>
      <c r="AD42" s="153"/>
      <c r="AE42" s="153"/>
      <c r="AF42" s="154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47"/>
      <c r="AT42" s="26"/>
      <c r="AU42" s="47"/>
      <c r="AV42" s="26"/>
    </row>
    <row r="43" spans="1:49" ht="21" customHeight="1">
      <c r="A43" s="26"/>
      <c r="B43" s="26"/>
      <c r="C43" s="101"/>
      <c r="D43" s="182"/>
      <c r="E43" s="183"/>
      <c r="F43" s="183"/>
      <c r="G43" s="183"/>
      <c r="H43" s="183"/>
      <c r="I43" s="183"/>
      <c r="J43" s="183"/>
      <c r="K43" s="184"/>
      <c r="L43" s="152"/>
      <c r="M43" s="153"/>
      <c r="N43" s="153"/>
      <c r="O43" s="153"/>
      <c r="P43" s="153"/>
      <c r="Q43" s="153"/>
      <c r="R43" s="153"/>
      <c r="S43" s="154"/>
      <c r="T43" s="26"/>
      <c r="U43" s="26"/>
      <c r="V43" s="26"/>
      <c r="W43" s="26"/>
      <c r="X43" s="26"/>
      <c r="Y43" s="152"/>
      <c r="Z43" s="153"/>
      <c r="AA43" s="153"/>
      <c r="AB43" s="153"/>
      <c r="AC43" s="153"/>
      <c r="AD43" s="153"/>
      <c r="AE43" s="153"/>
      <c r="AF43" s="154"/>
      <c r="AG43" s="26"/>
      <c r="AH43" s="26"/>
      <c r="AI43" s="26"/>
      <c r="AJ43" s="47">
        <f>AJ37+AK37</f>
        <v>16255461.818181816</v>
      </c>
      <c r="AK43" s="103" t="s">
        <v>44</v>
      </c>
      <c r="AL43" s="26"/>
      <c r="AM43" s="26"/>
      <c r="AN43" s="26"/>
      <c r="AO43" s="26"/>
      <c r="AP43" s="26"/>
      <c r="AQ43" s="26"/>
      <c r="AR43" s="26"/>
      <c r="AS43" s="47"/>
      <c r="AT43" s="26"/>
      <c r="AU43" s="47"/>
      <c r="AV43" s="26"/>
    </row>
    <row r="44" spans="1:49" ht="44.25" customHeight="1">
      <c r="A44" s="26"/>
      <c r="B44" s="26"/>
      <c r="C44" s="101"/>
      <c r="D44" s="185"/>
      <c r="E44" s="186"/>
      <c r="F44" s="186"/>
      <c r="G44" s="186"/>
      <c r="H44" s="186"/>
      <c r="I44" s="186"/>
      <c r="J44" s="186"/>
      <c r="K44" s="187"/>
      <c r="L44" s="155"/>
      <c r="M44" s="156"/>
      <c r="N44" s="156"/>
      <c r="O44" s="156"/>
      <c r="P44" s="156"/>
      <c r="Q44" s="156"/>
      <c r="R44" s="156"/>
      <c r="S44" s="157"/>
      <c r="T44" s="26"/>
      <c r="U44" s="26"/>
      <c r="V44" s="26"/>
      <c r="W44" s="26"/>
      <c r="X44" s="26"/>
      <c r="Y44" s="155"/>
      <c r="Z44" s="156"/>
      <c r="AA44" s="156"/>
      <c r="AB44" s="156"/>
      <c r="AC44" s="156"/>
      <c r="AD44" s="156"/>
      <c r="AE44" s="156"/>
      <c r="AF44" s="157"/>
      <c r="AG44" s="26"/>
      <c r="AH44" s="104"/>
      <c r="AI44" s="105" t="s">
        <v>45</v>
      </c>
      <c r="AJ44" s="106">
        <f>J45+R45+AE45+AK44</f>
        <v>13511782</v>
      </c>
      <c r="AK44" s="107">
        <f>600000+306582</f>
        <v>906582</v>
      </c>
      <c r="AL44" s="104"/>
      <c r="AM44" s="26"/>
      <c r="AN44" s="26"/>
      <c r="AO44" s="26"/>
      <c r="AP44" s="26"/>
      <c r="AQ44" s="26"/>
      <c r="AR44" s="26"/>
      <c r="AS44" s="47"/>
      <c r="AT44" s="26"/>
      <c r="AU44" s="47"/>
      <c r="AV44" s="26"/>
    </row>
    <row r="45" spans="1:49" ht="21" customHeight="1">
      <c r="A45" s="26"/>
      <c r="B45" s="26"/>
      <c r="C45" s="26"/>
      <c r="D45" s="26"/>
      <c r="E45" s="26"/>
      <c r="F45" s="26"/>
      <c r="G45" s="26"/>
      <c r="H45" s="108"/>
      <c r="I45" s="109" t="s">
        <v>46</v>
      </c>
      <c r="J45" s="106">
        <v>1078600</v>
      </c>
      <c r="K45" s="110" t="s">
        <v>47</v>
      </c>
      <c r="L45" s="104"/>
      <c r="M45" s="104"/>
      <c r="N45" s="104"/>
      <c r="O45" s="104"/>
      <c r="P45" s="104"/>
      <c r="Q45" s="109" t="s">
        <v>48</v>
      </c>
      <c r="R45" s="106">
        <v>9414600</v>
      </c>
      <c r="S45" s="110" t="s">
        <v>47</v>
      </c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8" t="s">
        <v>49</v>
      </c>
      <c r="AE45" s="106">
        <v>2112000</v>
      </c>
      <c r="AF45" s="110" t="s">
        <v>47</v>
      </c>
      <c r="AG45" s="104"/>
      <c r="AH45" s="104"/>
      <c r="AI45" s="105" t="s">
        <v>50</v>
      </c>
      <c r="AJ45" s="106">
        <f>AJ44-AJ41</f>
        <v>-2743679.8181818165</v>
      </c>
      <c r="AK45" s="106">
        <f>AK44-AK37</f>
        <v>268482</v>
      </c>
      <c r="AL45" s="111">
        <f>AK37/AK44</f>
        <v>0.70385249210771883</v>
      </c>
      <c r="AM45" s="26"/>
      <c r="AN45" s="26"/>
      <c r="AO45" s="26"/>
      <c r="AP45" s="26"/>
      <c r="AQ45" s="47"/>
      <c r="AR45" s="26"/>
      <c r="AS45" s="47"/>
      <c r="AT45" s="26"/>
      <c r="AU45" s="26"/>
      <c r="AV45" s="26"/>
    </row>
    <row r="46" spans="1:49" ht="21" customHeight="1">
      <c r="A46" s="26"/>
      <c r="B46" s="26"/>
      <c r="C46" s="26"/>
      <c r="D46" s="26"/>
      <c r="E46" s="26"/>
      <c r="F46" s="26"/>
      <c r="G46" s="26"/>
      <c r="H46" s="108"/>
      <c r="I46" s="108" t="s">
        <v>50</v>
      </c>
      <c r="J46" s="106">
        <f>J45-J37</f>
        <v>9083.6363636364695</v>
      </c>
      <c r="K46" s="112">
        <v>1</v>
      </c>
      <c r="L46" s="104"/>
      <c r="M46" s="104"/>
      <c r="N46" s="104"/>
      <c r="O46" s="104"/>
      <c r="P46" s="104"/>
      <c r="Q46" s="108" t="s">
        <v>50</v>
      </c>
      <c r="R46" s="106">
        <f>R45-R37</f>
        <v>-2839345.4545454532</v>
      </c>
      <c r="S46" s="104">
        <v>1</v>
      </c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8" t="s">
        <v>50</v>
      </c>
      <c r="AE46" s="106">
        <f>AE45-AE37</f>
        <v>-181900</v>
      </c>
      <c r="AF46" s="104">
        <v>1</v>
      </c>
      <c r="AG46" s="104"/>
      <c r="AH46" s="113"/>
      <c r="AI46" s="114" t="s">
        <v>51</v>
      </c>
      <c r="AJ46" s="115">
        <f>AJ45/S46</f>
        <v>-2743679.8181818165</v>
      </c>
      <c r="AK46" s="116">
        <f>(AJ37+AK37)/AJ44</f>
        <v>1.2030583248147295</v>
      </c>
      <c r="AL46" s="113"/>
      <c r="AM46" s="117"/>
      <c r="AN46" s="26"/>
      <c r="AO46" s="26"/>
      <c r="AP46" s="26"/>
      <c r="AQ46" s="47"/>
      <c r="AR46" s="26"/>
      <c r="AS46" s="47"/>
      <c r="AT46" s="26"/>
      <c r="AU46" s="26"/>
      <c r="AV46" s="26"/>
    </row>
    <row r="47" spans="1:49" ht="25.5" customHeight="1">
      <c r="A47" s="117"/>
      <c r="B47" s="117"/>
      <c r="C47" s="117"/>
      <c r="D47" s="117"/>
      <c r="E47" s="117"/>
      <c r="F47" s="117"/>
      <c r="G47" s="117"/>
      <c r="H47" s="118"/>
      <c r="I47" s="114" t="s">
        <v>51</v>
      </c>
      <c r="J47" s="119">
        <f>J46/K46</f>
        <v>9083.6363636364695</v>
      </c>
      <c r="K47" s="120">
        <f>J37/O38</f>
        <v>34500.527859237533</v>
      </c>
      <c r="L47" s="113"/>
      <c r="M47" s="113"/>
      <c r="N47" s="113"/>
      <c r="O47" s="113"/>
      <c r="P47" s="113"/>
      <c r="Q47" s="114" t="s">
        <v>51</v>
      </c>
      <c r="R47" s="115">
        <f>R46/S46</f>
        <v>-2839345.4545454532</v>
      </c>
      <c r="S47" s="120">
        <f>R37/R45</f>
        <v>1.3015896006782501</v>
      </c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4" t="s">
        <v>51</v>
      </c>
      <c r="AE47" s="119">
        <f>AE46/AF46</f>
        <v>-181900</v>
      </c>
      <c r="AF47" s="120">
        <f>AE37/AE45</f>
        <v>1.086126893939394</v>
      </c>
      <c r="AG47" s="113"/>
      <c r="AH47" s="26"/>
      <c r="AI47" s="26"/>
      <c r="AJ47" s="47"/>
      <c r="AK47" s="26"/>
      <c r="AL47" s="26"/>
      <c r="AM47" s="26"/>
      <c r="AN47" s="117"/>
      <c r="AO47" s="117"/>
      <c r="AP47" s="117"/>
      <c r="AQ47" s="121"/>
      <c r="AR47" s="117"/>
      <c r="AS47" s="121"/>
      <c r="AT47" s="117"/>
      <c r="AU47" s="117"/>
      <c r="AV47" s="117"/>
    </row>
    <row r="48" spans="1:49" ht="18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122"/>
      <c r="AI48" s="122"/>
      <c r="AJ48" s="122"/>
      <c r="AK48" s="122"/>
      <c r="AL48" s="122"/>
      <c r="AM48" s="122"/>
      <c r="AN48" s="26"/>
      <c r="AO48" s="26"/>
      <c r="AP48" s="26"/>
      <c r="AQ48" s="47"/>
      <c r="AR48" s="26"/>
      <c r="AS48" s="47"/>
      <c r="AT48" s="26"/>
      <c r="AU48" s="26"/>
      <c r="AV48" s="26"/>
    </row>
    <row r="49" spans="1:48" ht="36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3"/>
      <c r="M49" s="26"/>
      <c r="N49" s="26"/>
      <c r="O49" s="26"/>
      <c r="P49" s="26"/>
      <c r="Q49" s="26"/>
      <c r="R49" s="123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"/>
      <c r="AI49" s="1"/>
      <c r="AJ49" s="1"/>
      <c r="AK49" s="1"/>
      <c r="AL49" s="1"/>
      <c r="AM49" s="1"/>
      <c r="AN49" s="122"/>
      <c r="AO49" s="122"/>
      <c r="AP49" s="122"/>
      <c r="AQ49" s="124"/>
      <c r="AR49" s="122"/>
      <c r="AS49" s="124"/>
      <c r="AT49" s="122"/>
      <c r="AU49" s="122"/>
      <c r="AV49" s="122"/>
    </row>
    <row r="50" spans="1:48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25"/>
      <c r="M50" s="26"/>
      <c r="N50" s="26"/>
      <c r="O50" s="26"/>
      <c r="P50" s="26"/>
      <c r="Q50" s="26"/>
      <c r="R50" s="125"/>
      <c r="S50" s="125"/>
      <c r="T50" s="1"/>
      <c r="U50" s="1"/>
      <c r="V50" s="1"/>
      <c r="W50" s="1"/>
      <c r="X50" s="1"/>
      <c r="Y50" s="1"/>
      <c r="Z50" s="126"/>
      <c r="AA50" s="1"/>
      <c r="AB50" s="1"/>
      <c r="AC50" s="1"/>
      <c r="AD50" s="1"/>
      <c r="AE50" s="1"/>
      <c r="AF50" s="1"/>
      <c r="AG50" s="1"/>
      <c r="AH50" s="122"/>
      <c r="AI50" s="122"/>
      <c r="AJ50" s="122"/>
      <c r="AK50" s="122"/>
      <c r="AL50" s="122"/>
      <c r="AM50" s="122"/>
      <c r="AN50" s="1"/>
      <c r="AO50" s="1"/>
      <c r="AP50" s="1"/>
      <c r="AQ50" s="127"/>
      <c r="AR50" s="1"/>
      <c r="AS50" s="127"/>
      <c r="AT50" s="1"/>
      <c r="AU50" s="1"/>
      <c r="AV50" s="1"/>
    </row>
    <row r="51" spans="1:48" ht="36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"/>
      <c r="L51" s="125"/>
      <c r="M51" s="26"/>
      <c r="N51" s="26"/>
      <c r="O51" s="26"/>
      <c r="P51" s="26"/>
      <c r="Q51" s="26"/>
      <c r="R51" s="128"/>
      <c r="S51" s="129"/>
      <c r="T51" s="129"/>
      <c r="U51" s="129"/>
      <c r="V51" s="129"/>
      <c r="W51" s="130"/>
      <c r="X51" s="131"/>
      <c r="Y51" s="132"/>
      <c r="Z51" s="133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4"/>
      <c r="AR51" s="122"/>
      <c r="AS51" s="124"/>
      <c r="AT51" s="122"/>
      <c r="AU51" s="122"/>
      <c r="AV51" s="122"/>
    </row>
    <row r="52" spans="1:48" ht="36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"/>
      <c r="L52" s="125"/>
      <c r="M52" s="26"/>
      <c r="N52" s="26"/>
      <c r="O52" s="26"/>
      <c r="P52" s="26"/>
      <c r="Q52" s="26"/>
      <c r="R52" s="130"/>
      <c r="S52" s="129"/>
      <c r="T52" s="129"/>
      <c r="U52" s="129"/>
      <c r="V52" s="129"/>
      <c r="W52" s="130"/>
      <c r="X52" s="131"/>
      <c r="Y52" s="132"/>
      <c r="Z52" s="133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4"/>
      <c r="AR52" s="122"/>
      <c r="AS52" s="124"/>
      <c r="AT52" s="122"/>
      <c r="AU52" s="122"/>
      <c r="AV52" s="122"/>
    </row>
    <row r="53" spans="1:48" ht="36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"/>
      <c r="L53" s="125"/>
      <c r="M53" s="26"/>
      <c r="N53" s="26"/>
      <c r="O53" s="26"/>
      <c r="P53" s="26"/>
      <c r="Q53" s="26"/>
      <c r="R53" s="130"/>
      <c r="S53" s="129"/>
      <c r="T53" s="129"/>
      <c r="U53" s="129"/>
      <c r="V53" s="129"/>
      <c r="W53" s="130"/>
      <c r="X53" s="131"/>
      <c r="Y53" s="132"/>
      <c r="Z53" s="133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4"/>
      <c r="AR53" s="122"/>
      <c r="AS53" s="124"/>
      <c r="AT53" s="122"/>
      <c r="AU53" s="122"/>
      <c r="AV53" s="122"/>
    </row>
    <row r="54" spans="1:48" ht="36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"/>
      <c r="L54" s="125"/>
      <c r="M54" s="26"/>
      <c r="N54" s="26"/>
      <c r="O54" s="26"/>
      <c r="P54" s="26"/>
      <c r="Q54" s="26"/>
      <c r="R54" s="130"/>
      <c r="S54" s="129"/>
      <c r="T54" s="129"/>
      <c r="U54" s="129"/>
      <c r="V54" s="129"/>
      <c r="W54" s="130"/>
      <c r="X54" s="131"/>
      <c r="Y54" s="132"/>
      <c r="Z54" s="133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4"/>
      <c r="AR54" s="122"/>
      <c r="AS54" s="124"/>
      <c r="AT54" s="122"/>
      <c r="AU54" s="122"/>
      <c r="AV54" s="122"/>
    </row>
    <row r="55" spans="1:48" ht="36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3"/>
      <c r="M55" s="26"/>
      <c r="N55" s="26"/>
      <c r="O55" s="26"/>
      <c r="P55" s="26"/>
      <c r="Q55" s="26"/>
      <c r="R55" s="130"/>
      <c r="S55" s="129"/>
      <c r="T55" s="129"/>
      <c r="U55" s="129"/>
      <c r="V55" s="129"/>
      <c r="W55" s="131"/>
      <c r="X55" s="131"/>
      <c r="Y55" s="132"/>
      <c r="Z55" s="133"/>
      <c r="AA55" s="122"/>
      <c r="AB55" s="122"/>
      <c r="AC55" s="122"/>
      <c r="AD55" s="122"/>
      <c r="AE55" s="122"/>
      <c r="AF55" s="122"/>
      <c r="AG55" s="122"/>
      <c r="AH55" s="26"/>
      <c r="AI55" s="26"/>
      <c r="AJ55" s="26"/>
      <c r="AK55" s="26"/>
      <c r="AL55" s="26"/>
      <c r="AM55" s="26"/>
      <c r="AN55" s="122"/>
      <c r="AO55" s="122"/>
      <c r="AP55" s="122"/>
      <c r="AQ55" s="124"/>
      <c r="AR55" s="122"/>
      <c r="AS55" s="124"/>
      <c r="AT55" s="122"/>
      <c r="AU55" s="122"/>
      <c r="AV55" s="122"/>
    </row>
    <row r="56" spans="1:48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132"/>
      <c r="Z56" s="132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47"/>
      <c r="AT56" s="26"/>
      <c r="AU56" s="47"/>
      <c r="AV56" s="26"/>
    </row>
    <row r="57" spans="1:48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122"/>
      <c r="Z57" s="122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47"/>
      <c r="AT57" s="26"/>
      <c r="AU57" s="47"/>
      <c r="AV57" s="26"/>
    </row>
    <row r="58" spans="1:4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47"/>
      <c r="AT58" s="26"/>
      <c r="AU58" s="47"/>
      <c r="AV58" s="26"/>
    </row>
    <row r="59" spans="1:48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47"/>
      <c r="AT59" s="26"/>
      <c r="AU59" s="47"/>
      <c r="AV59" s="26"/>
    </row>
    <row r="60" spans="1:48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47"/>
      <c r="AT60" s="26"/>
      <c r="AU60" s="47"/>
      <c r="AV60" s="26"/>
    </row>
    <row r="61" spans="1:48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47"/>
      <c r="AT61" s="26"/>
      <c r="AU61" s="47"/>
      <c r="AV61" s="26"/>
    </row>
    <row r="62" spans="1:48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47"/>
      <c r="AT62" s="26"/>
      <c r="AU62" s="47"/>
      <c r="AV62" s="26"/>
    </row>
    <row r="63" spans="1:48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47"/>
      <c r="AT63" s="26"/>
      <c r="AU63" s="47"/>
      <c r="AV63" s="26"/>
    </row>
    <row r="64" spans="1:48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47"/>
      <c r="AT64" s="26"/>
      <c r="AU64" s="47"/>
      <c r="AV64" s="26"/>
    </row>
    <row r="65" spans="1:48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47"/>
      <c r="AT65" s="26"/>
      <c r="AU65" s="47"/>
      <c r="AV65" s="26"/>
    </row>
    <row r="66" spans="1:48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47"/>
      <c r="AT66" s="26"/>
      <c r="AU66" s="47"/>
      <c r="AV66" s="26"/>
    </row>
    <row r="67" spans="1:48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47"/>
      <c r="AT67" s="26"/>
      <c r="AU67" s="47"/>
      <c r="AV67" s="26"/>
    </row>
    <row r="68" spans="1:4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47"/>
      <c r="AT68" s="26"/>
      <c r="AU68" s="47"/>
      <c r="AV68" s="26"/>
    </row>
    <row r="69" spans="1:48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47"/>
      <c r="AT69" s="26"/>
      <c r="AU69" s="47"/>
      <c r="AV69" s="26"/>
    </row>
    <row r="70" spans="1:48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47"/>
      <c r="AT70" s="26"/>
      <c r="AU70" s="47"/>
      <c r="AV70" s="26"/>
    </row>
    <row r="71" spans="1:48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47"/>
      <c r="AT71" s="26"/>
      <c r="AU71" s="47"/>
      <c r="AV71" s="26"/>
    </row>
    <row r="72" spans="1:48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47"/>
      <c r="AT72" s="26"/>
      <c r="AU72" s="47"/>
      <c r="AV72" s="26"/>
    </row>
    <row r="73" spans="1:48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47"/>
      <c r="AT73" s="26"/>
      <c r="AU73" s="47"/>
      <c r="AV73" s="26"/>
    </row>
    <row r="74" spans="1:48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47"/>
      <c r="AT74" s="26"/>
      <c r="AU74" s="47"/>
      <c r="AV74" s="26"/>
    </row>
    <row r="75" spans="1:48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47"/>
      <c r="AT75" s="26"/>
      <c r="AU75" s="47"/>
      <c r="AV75" s="26"/>
    </row>
    <row r="76" spans="1:48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47"/>
      <c r="AT76" s="26"/>
      <c r="AU76" s="47"/>
      <c r="AV76" s="26"/>
    </row>
    <row r="77" spans="1:48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47"/>
      <c r="AT77" s="26"/>
      <c r="AU77" s="47"/>
      <c r="AV77" s="26"/>
    </row>
    <row r="78" spans="1:4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47"/>
      <c r="AT78" s="26"/>
      <c r="AU78" s="47"/>
      <c r="AV78" s="26"/>
    </row>
    <row r="79" spans="1:48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47"/>
      <c r="AT79" s="26"/>
      <c r="AU79" s="47"/>
      <c r="AV79" s="26"/>
    </row>
    <row r="80" spans="1:48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47"/>
      <c r="AT80" s="26"/>
      <c r="AU80" s="47"/>
      <c r="AV80" s="26"/>
    </row>
    <row r="81" spans="1:48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47"/>
      <c r="AT81" s="26"/>
      <c r="AU81" s="47"/>
      <c r="AV81" s="26"/>
    </row>
    <row r="82" spans="1:48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47"/>
      <c r="AT82" s="26"/>
      <c r="AU82" s="47"/>
      <c r="AV82" s="26"/>
    </row>
    <row r="83" spans="1:48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47"/>
      <c r="AT83" s="26"/>
      <c r="AU83" s="47"/>
      <c r="AV83" s="26"/>
    </row>
    <row r="84" spans="1:48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47"/>
      <c r="AT84" s="26"/>
      <c r="AU84" s="47"/>
      <c r="AV84" s="26"/>
    </row>
    <row r="85" spans="1:48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47"/>
      <c r="AT85" s="26"/>
      <c r="AU85" s="47"/>
      <c r="AV85" s="26"/>
    </row>
    <row r="86" spans="1:48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47"/>
      <c r="AT86" s="26"/>
      <c r="AU86" s="47"/>
      <c r="AV86" s="26"/>
    </row>
    <row r="87" spans="1:48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47"/>
      <c r="AT87" s="26"/>
      <c r="AU87" s="47"/>
      <c r="AV87" s="26"/>
    </row>
    <row r="88" spans="1:4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47"/>
      <c r="AT88" s="26"/>
      <c r="AU88" s="47"/>
      <c r="AV88" s="26"/>
    </row>
    <row r="89" spans="1:48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47"/>
      <c r="AT89" s="26"/>
      <c r="AU89" s="47"/>
      <c r="AV89" s="26"/>
    </row>
    <row r="90" spans="1:48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47"/>
      <c r="AT90" s="26"/>
      <c r="AU90" s="47"/>
      <c r="AV90" s="26"/>
    </row>
    <row r="91" spans="1:48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47"/>
      <c r="AT91" s="26"/>
      <c r="AU91" s="47"/>
      <c r="AV91" s="26"/>
    </row>
    <row r="92" spans="1:48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47"/>
      <c r="AT92" s="26"/>
      <c r="AU92" s="47"/>
      <c r="AV92" s="26"/>
    </row>
    <row r="93" spans="1:48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47"/>
      <c r="AT93" s="26"/>
      <c r="AU93" s="47"/>
      <c r="AV93" s="26"/>
    </row>
    <row r="94" spans="1:48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47"/>
      <c r="AT94" s="26"/>
      <c r="AU94" s="47"/>
      <c r="AV94" s="26"/>
    </row>
    <row r="95" spans="1:48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47"/>
      <c r="AT95" s="26"/>
      <c r="AU95" s="47"/>
      <c r="AV95" s="26"/>
    </row>
    <row r="96" spans="1:48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47"/>
      <c r="AT96" s="26"/>
      <c r="AU96" s="47"/>
      <c r="AV96" s="26"/>
    </row>
    <row r="97" spans="1:48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47"/>
      <c r="AT97" s="26"/>
      <c r="AU97" s="47"/>
      <c r="AV97" s="26"/>
    </row>
    <row r="98" spans="1:4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47"/>
      <c r="AT98" s="26"/>
      <c r="AU98" s="47"/>
      <c r="AV98" s="26"/>
    </row>
    <row r="99" spans="1:48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47"/>
      <c r="AT99" s="26"/>
      <c r="AU99" s="47"/>
      <c r="AV99" s="26"/>
    </row>
    <row r="100" spans="1:48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47"/>
      <c r="AT100" s="26"/>
      <c r="AU100" s="47"/>
      <c r="AV100" s="26"/>
    </row>
    <row r="101" spans="1:48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47"/>
      <c r="AT101" s="26"/>
      <c r="AU101" s="47"/>
      <c r="AV101" s="26"/>
    </row>
    <row r="102" spans="1:48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47"/>
      <c r="AT102" s="26"/>
      <c r="AU102" s="47"/>
      <c r="AV102" s="26"/>
    </row>
    <row r="103" spans="1:48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47"/>
      <c r="AT103" s="26"/>
      <c r="AU103" s="47"/>
      <c r="AV103" s="26"/>
    </row>
    <row r="104" spans="1:48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47"/>
      <c r="AT104" s="26"/>
      <c r="AU104" s="47"/>
      <c r="AV104" s="26"/>
    </row>
    <row r="105" spans="1:48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47"/>
      <c r="AT105" s="26"/>
      <c r="AU105" s="47"/>
      <c r="AV105" s="26"/>
    </row>
    <row r="106" spans="1:48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47"/>
      <c r="AT106" s="26"/>
      <c r="AU106" s="47"/>
      <c r="AV106" s="26"/>
    </row>
    <row r="107" spans="1:48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47"/>
      <c r="AT107" s="26"/>
      <c r="AU107" s="47"/>
      <c r="AV107" s="26"/>
    </row>
    <row r="108" spans="1:4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47"/>
      <c r="AT108" s="26"/>
      <c r="AU108" s="47"/>
      <c r="AV108" s="26"/>
    </row>
    <row r="109" spans="1:48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47"/>
      <c r="AT109" s="26"/>
      <c r="AU109" s="47"/>
      <c r="AV109" s="26"/>
    </row>
    <row r="110" spans="1:48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47"/>
      <c r="AT110" s="26"/>
      <c r="AU110" s="47"/>
      <c r="AV110" s="26"/>
    </row>
    <row r="111" spans="1:48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47"/>
      <c r="AT111" s="26"/>
      <c r="AU111" s="47"/>
      <c r="AV111" s="26"/>
    </row>
    <row r="112" spans="1:48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47"/>
      <c r="AT112" s="26"/>
      <c r="AU112" s="47"/>
      <c r="AV112" s="26"/>
    </row>
    <row r="113" spans="1:48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47"/>
      <c r="AT113" s="26"/>
      <c r="AU113" s="47"/>
      <c r="AV113" s="26"/>
    </row>
    <row r="114" spans="1:48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47"/>
      <c r="AT114" s="26"/>
      <c r="AU114" s="47"/>
      <c r="AV114" s="26"/>
    </row>
    <row r="115" spans="1:48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47"/>
      <c r="AT115" s="26"/>
      <c r="AU115" s="47"/>
      <c r="AV115" s="26"/>
    </row>
    <row r="116" spans="1:48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47"/>
      <c r="AT116" s="26"/>
      <c r="AU116" s="47"/>
      <c r="AV116" s="26"/>
    </row>
    <row r="117" spans="1:48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47"/>
      <c r="AT117" s="26"/>
      <c r="AU117" s="47"/>
      <c r="AV117" s="26"/>
    </row>
    <row r="118" spans="1:4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47"/>
      <c r="AT118" s="26"/>
      <c r="AU118" s="47"/>
      <c r="AV118" s="26"/>
    </row>
    <row r="119" spans="1:48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47"/>
      <c r="AT119" s="26"/>
      <c r="AU119" s="47"/>
      <c r="AV119" s="26"/>
    </row>
    <row r="120" spans="1:48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47"/>
      <c r="AT120" s="26"/>
      <c r="AU120" s="47"/>
      <c r="AV120" s="26"/>
    </row>
    <row r="121" spans="1:48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47"/>
      <c r="AT121" s="26"/>
      <c r="AU121" s="47"/>
      <c r="AV121" s="26"/>
    </row>
    <row r="122" spans="1:48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47"/>
      <c r="AT122" s="26"/>
      <c r="AU122" s="47"/>
      <c r="AV122" s="26"/>
    </row>
    <row r="123" spans="1:48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47"/>
      <c r="AT123" s="26"/>
      <c r="AU123" s="47"/>
      <c r="AV123" s="26"/>
    </row>
    <row r="124" spans="1:48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47"/>
      <c r="AT124" s="26"/>
      <c r="AU124" s="47"/>
      <c r="AV124" s="26"/>
    </row>
    <row r="125" spans="1:48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47"/>
      <c r="AT125" s="26"/>
      <c r="AU125" s="47"/>
      <c r="AV125" s="26"/>
    </row>
    <row r="126" spans="1:48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47"/>
      <c r="AT126" s="26"/>
      <c r="AU126" s="47"/>
      <c r="AV126" s="26"/>
    </row>
    <row r="127" spans="1:48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47"/>
      <c r="AT127" s="26"/>
      <c r="AU127" s="47"/>
      <c r="AV127" s="26"/>
    </row>
    <row r="128" spans="1:4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47"/>
      <c r="AT128" s="26"/>
      <c r="AU128" s="47"/>
      <c r="AV128" s="26"/>
    </row>
    <row r="129" spans="1:48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47"/>
      <c r="AT129" s="26"/>
      <c r="AU129" s="47"/>
      <c r="AV129" s="26"/>
    </row>
    <row r="130" spans="1:48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47"/>
      <c r="AT130" s="26"/>
      <c r="AU130" s="47"/>
      <c r="AV130" s="26"/>
    </row>
    <row r="131" spans="1:48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47"/>
      <c r="AT131" s="26"/>
      <c r="AU131" s="47"/>
      <c r="AV131" s="26"/>
    </row>
    <row r="132" spans="1:48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47"/>
      <c r="AT132" s="26"/>
      <c r="AU132" s="47"/>
      <c r="AV132" s="26"/>
    </row>
    <row r="133" spans="1:48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47"/>
      <c r="AT133" s="26"/>
      <c r="AU133" s="47"/>
      <c r="AV133" s="26"/>
    </row>
    <row r="134" spans="1:48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47"/>
      <c r="AT134" s="26"/>
      <c r="AU134" s="47"/>
      <c r="AV134" s="26"/>
    </row>
    <row r="135" spans="1:48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47"/>
      <c r="AT135" s="26"/>
      <c r="AU135" s="47"/>
      <c r="AV135" s="26"/>
    </row>
    <row r="136" spans="1:48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47"/>
      <c r="AT136" s="26"/>
      <c r="AU136" s="47"/>
      <c r="AV136" s="26"/>
    </row>
    <row r="137" spans="1:48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47"/>
      <c r="AT137" s="26"/>
      <c r="AU137" s="47"/>
      <c r="AV137" s="26"/>
    </row>
    <row r="138" spans="1:4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47"/>
      <c r="AT138" s="26"/>
      <c r="AU138" s="47"/>
      <c r="AV138" s="26"/>
    </row>
    <row r="139" spans="1:48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47"/>
      <c r="AT139" s="26"/>
      <c r="AU139" s="47"/>
      <c r="AV139" s="26"/>
    </row>
    <row r="140" spans="1:48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47"/>
      <c r="AT140" s="26"/>
      <c r="AU140" s="47"/>
      <c r="AV140" s="26"/>
    </row>
    <row r="141" spans="1:48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47"/>
      <c r="AT141" s="26"/>
      <c r="AU141" s="47"/>
      <c r="AV141" s="26"/>
    </row>
    <row r="142" spans="1:48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47"/>
      <c r="AT142" s="26"/>
      <c r="AU142" s="47"/>
      <c r="AV142" s="26"/>
    </row>
    <row r="143" spans="1:48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47"/>
      <c r="AT143" s="26"/>
      <c r="AU143" s="47"/>
      <c r="AV143" s="26"/>
    </row>
    <row r="144" spans="1:48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47"/>
      <c r="AT144" s="26"/>
      <c r="AU144" s="47"/>
      <c r="AV144" s="26"/>
    </row>
    <row r="145" spans="1:48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47"/>
      <c r="AT145" s="26"/>
      <c r="AU145" s="47"/>
      <c r="AV145" s="26"/>
    </row>
    <row r="146" spans="1:48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47"/>
      <c r="AT146" s="26"/>
      <c r="AU146" s="47"/>
      <c r="AV146" s="26"/>
    </row>
    <row r="147" spans="1:48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47"/>
      <c r="AT147" s="26"/>
      <c r="AU147" s="47"/>
      <c r="AV147" s="26"/>
    </row>
    <row r="148" spans="1: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47"/>
      <c r="AT148" s="26"/>
      <c r="AU148" s="47"/>
      <c r="AV148" s="26"/>
    </row>
    <row r="149" spans="1:48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47"/>
      <c r="AT149" s="26"/>
      <c r="AU149" s="47"/>
      <c r="AV149" s="26"/>
    </row>
    <row r="150" spans="1:48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47"/>
      <c r="AT150" s="26"/>
      <c r="AU150" s="47"/>
      <c r="AV150" s="26"/>
    </row>
    <row r="151" spans="1:48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47"/>
      <c r="AT151" s="26"/>
      <c r="AU151" s="47"/>
      <c r="AV151" s="26"/>
    </row>
    <row r="152" spans="1:48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47"/>
      <c r="AT152" s="26"/>
      <c r="AU152" s="47"/>
      <c r="AV152" s="26"/>
    </row>
    <row r="153" spans="1:48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47"/>
      <c r="AT153" s="26"/>
      <c r="AU153" s="47"/>
      <c r="AV153" s="26"/>
    </row>
    <row r="154" spans="1:48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47"/>
      <c r="AT154" s="26"/>
      <c r="AU154" s="47"/>
      <c r="AV154" s="26"/>
    </row>
    <row r="155" spans="1:48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47"/>
      <c r="AT155" s="26"/>
      <c r="AU155" s="47"/>
      <c r="AV155" s="26"/>
    </row>
    <row r="156" spans="1:48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47"/>
      <c r="AT156" s="26"/>
      <c r="AU156" s="47"/>
      <c r="AV156" s="26"/>
    </row>
    <row r="157" spans="1:48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47"/>
      <c r="AT157" s="26"/>
      <c r="AU157" s="47"/>
      <c r="AV157" s="26"/>
    </row>
    <row r="158" spans="1:4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47"/>
      <c r="AT158" s="26"/>
      <c r="AU158" s="47"/>
      <c r="AV158" s="26"/>
    </row>
    <row r="159" spans="1:48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47"/>
      <c r="AT159" s="26"/>
      <c r="AU159" s="47"/>
      <c r="AV159" s="26"/>
    </row>
    <row r="160" spans="1:48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47"/>
      <c r="AT160" s="26"/>
      <c r="AU160" s="47"/>
      <c r="AV160" s="26"/>
    </row>
    <row r="161" spans="1:48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47"/>
      <c r="AT161" s="26"/>
      <c r="AU161" s="47"/>
      <c r="AV161" s="26"/>
    </row>
    <row r="162" spans="1:48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47"/>
      <c r="AT162" s="26"/>
      <c r="AU162" s="47"/>
      <c r="AV162" s="26"/>
    </row>
    <row r="163" spans="1:48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47"/>
      <c r="AT163" s="26"/>
      <c r="AU163" s="47"/>
      <c r="AV163" s="26"/>
    </row>
    <row r="164" spans="1:48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47"/>
      <c r="AT164" s="26"/>
      <c r="AU164" s="47"/>
      <c r="AV164" s="26"/>
    </row>
    <row r="165" spans="1:48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47"/>
      <c r="AT165" s="26"/>
      <c r="AU165" s="47"/>
      <c r="AV165" s="26"/>
    </row>
    <row r="166" spans="1:48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47"/>
      <c r="AT166" s="26"/>
      <c r="AU166" s="47"/>
      <c r="AV166" s="26"/>
    </row>
    <row r="167" spans="1:48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47"/>
      <c r="AT167" s="26"/>
      <c r="AU167" s="47"/>
      <c r="AV167" s="26"/>
    </row>
    <row r="168" spans="1:4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47"/>
      <c r="AT168" s="26"/>
      <c r="AU168" s="47"/>
      <c r="AV168" s="26"/>
    </row>
    <row r="169" spans="1:48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47"/>
      <c r="AT169" s="26"/>
      <c r="AU169" s="47"/>
      <c r="AV169" s="26"/>
    </row>
    <row r="170" spans="1:48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47"/>
      <c r="AT170" s="26"/>
      <c r="AU170" s="47"/>
      <c r="AV170" s="26"/>
    </row>
    <row r="171" spans="1:48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47"/>
      <c r="AT171" s="26"/>
      <c r="AU171" s="47"/>
      <c r="AV171" s="26"/>
    </row>
    <row r="172" spans="1:48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47"/>
      <c r="AT172" s="26"/>
      <c r="AU172" s="47"/>
      <c r="AV172" s="26"/>
    </row>
    <row r="173" spans="1:48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47"/>
      <c r="AT173" s="26"/>
      <c r="AU173" s="47"/>
      <c r="AV173" s="26"/>
    </row>
    <row r="174" spans="1:48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47"/>
      <c r="AT174" s="26"/>
      <c r="AU174" s="47"/>
      <c r="AV174" s="26"/>
    </row>
    <row r="175" spans="1:48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47"/>
      <c r="AT175" s="26"/>
      <c r="AU175" s="47"/>
      <c r="AV175" s="26"/>
    </row>
    <row r="176" spans="1:48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47"/>
      <c r="AT176" s="26"/>
      <c r="AU176" s="47"/>
      <c r="AV176" s="26"/>
    </row>
    <row r="177" spans="1:48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47"/>
      <c r="AT177" s="26"/>
      <c r="AU177" s="47"/>
      <c r="AV177" s="26"/>
    </row>
    <row r="178" spans="1:4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47"/>
      <c r="AT178" s="26"/>
      <c r="AU178" s="47"/>
      <c r="AV178" s="26"/>
    </row>
    <row r="179" spans="1:48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47"/>
      <c r="AT179" s="26"/>
      <c r="AU179" s="47"/>
      <c r="AV179" s="26"/>
    </row>
    <row r="180" spans="1:48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47"/>
      <c r="AT180" s="26"/>
      <c r="AU180" s="47"/>
      <c r="AV180" s="26"/>
    </row>
    <row r="181" spans="1:48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47"/>
      <c r="AT181" s="26"/>
      <c r="AU181" s="47"/>
      <c r="AV181" s="26"/>
    </row>
    <row r="182" spans="1:48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47"/>
      <c r="AT182" s="26"/>
      <c r="AU182" s="47"/>
      <c r="AV182" s="26"/>
    </row>
    <row r="183" spans="1:48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47"/>
      <c r="AT183" s="26"/>
      <c r="AU183" s="47"/>
      <c r="AV183" s="26"/>
    </row>
    <row r="184" spans="1:48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47"/>
      <c r="AT184" s="26"/>
      <c r="AU184" s="47"/>
      <c r="AV184" s="26"/>
    </row>
    <row r="185" spans="1:48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47"/>
      <c r="AT185" s="26"/>
      <c r="AU185" s="47"/>
      <c r="AV185" s="26"/>
    </row>
    <row r="186" spans="1:48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47"/>
      <c r="AT186" s="26"/>
      <c r="AU186" s="47"/>
      <c r="AV186" s="26"/>
    </row>
    <row r="187" spans="1:48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47"/>
      <c r="AT187" s="26"/>
      <c r="AU187" s="47"/>
      <c r="AV187" s="26"/>
    </row>
    <row r="188" spans="1:4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47"/>
      <c r="AT188" s="26"/>
      <c r="AU188" s="47"/>
      <c r="AV188" s="26"/>
    </row>
    <row r="189" spans="1:48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47"/>
      <c r="AT189" s="26"/>
      <c r="AU189" s="47"/>
      <c r="AV189" s="26"/>
    </row>
    <row r="190" spans="1:48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47"/>
      <c r="AT190" s="26"/>
      <c r="AU190" s="47"/>
      <c r="AV190" s="26"/>
    </row>
    <row r="191" spans="1:48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47"/>
      <c r="AT191" s="26"/>
      <c r="AU191" s="47"/>
      <c r="AV191" s="26"/>
    </row>
    <row r="192" spans="1:48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47"/>
      <c r="AT192" s="26"/>
      <c r="AU192" s="47"/>
      <c r="AV192" s="26"/>
    </row>
    <row r="193" spans="1:48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47"/>
      <c r="AT193" s="26"/>
      <c r="AU193" s="47"/>
      <c r="AV193" s="26"/>
    </row>
    <row r="194" spans="1:48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47"/>
      <c r="AT194" s="26"/>
      <c r="AU194" s="47"/>
      <c r="AV194" s="26"/>
    </row>
    <row r="195" spans="1:48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47"/>
      <c r="AT195" s="26"/>
      <c r="AU195" s="47"/>
      <c r="AV195" s="26"/>
    </row>
    <row r="196" spans="1:48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47"/>
      <c r="AT196" s="26"/>
      <c r="AU196" s="47"/>
      <c r="AV196" s="26"/>
    </row>
    <row r="197" spans="1:48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47"/>
      <c r="AT197" s="26"/>
      <c r="AU197" s="47"/>
      <c r="AV197" s="26"/>
    </row>
    <row r="198" spans="1:4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47"/>
      <c r="AT198" s="26"/>
      <c r="AU198" s="47"/>
      <c r="AV198" s="26"/>
    </row>
    <row r="199" spans="1:48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47"/>
      <c r="AT199" s="26"/>
      <c r="AU199" s="47"/>
      <c r="AV199" s="26"/>
    </row>
    <row r="200" spans="1:48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47"/>
      <c r="AT200" s="26"/>
      <c r="AU200" s="47"/>
      <c r="AV200" s="26"/>
    </row>
    <row r="201" spans="1:48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47"/>
      <c r="AT201" s="26"/>
      <c r="AU201" s="47"/>
      <c r="AV201" s="26"/>
    </row>
    <row r="202" spans="1:48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47"/>
      <c r="AT202" s="26"/>
      <c r="AU202" s="47"/>
      <c r="AV202" s="26"/>
    </row>
    <row r="203" spans="1:48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47"/>
      <c r="AT203" s="26"/>
      <c r="AU203" s="47"/>
      <c r="AV203" s="26"/>
    </row>
    <row r="204" spans="1:48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47"/>
      <c r="AT204" s="26"/>
      <c r="AU204" s="47"/>
      <c r="AV204" s="26"/>
    </row>
    <row r="205" spans="1:48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47"/>
      <c r="AT205" s="26"/>
      <c r="AU205" s="47"/>
      <c r="AV205" s="26"/>
    </row>
    <row r="206" spans="1:48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47"/>
      <c r="AT206" s="26"/>
      <c r="AU206" s="47"/>
      <c r="AV206" s="26"/>
    </row>
    <row r="207" spans="1:48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47"/>
      <c r="AT207" s="26"/>
      <c r="AU207" s="47"/>
      <c r="AV207" s="26"/>
    </row>
    <row r="208" spans="1:4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47"/>
      <c r="AT208" s="26"/>
      <c r="AU208" s="47"/>
      <c r="AV208" s="26"/>
    </row>
    <row r="209" spans="1:48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47"/>
      <c r="AT209" s="26"/>
      <c r="AU209" s="47"/>
      <c r="AV209" s="26"/>
    </row>
    <row r="210" spans="1:48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47"/>
      <c r="AT210" s="26"/>
      <c r="AU210" s="47"/>
      <c r="AV210" s="26"/>
    </row>
    <row r="211" spans="1:48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47"/>
      <c r="AT211" s="26"/>
      <c r="AU211" s="47"/>
      <c r="AV211" s="26"/>
    </row>
    <row r="212" spans="1:48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47"/>
      <c r="AT212" s="26"/>
      <c r="AU212" s="47"/>
      <c r="AV212" s="26"/>
    </row>
    <row r="213" spans="1:48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47"/>
      <c r="AT213" s="26"/>
      <c r="AU213" s="47"/>
      <c r="AV213" s="26"/>
    </row>
    <row r="214" spans="1:48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47"/>
      <c r="AT214" s="26"/>
      <c r="AU214" s="47"/>
      <c r="AV214" s="26"/>
    </row>
    <row r="215" spans="1:48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47"/>
      <c r="AT215" s="26"/>
      <c r="AU215" s="47"/>
      <c r="AV215" s="26"/>
    </row>
    <row r="216" spans="1:48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47"/>
      <c r="AT216" s="26"/>
      <c r="AU216" s="47"/>
      <c r="AV216" s="26"/>
    </row>
    <row r="217" spans="1:48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47"/>
      <c r="AT217" s="26"/>
      <c r="AU217" s="47"/>
      <c r="AV217" s="26"/>
    </row>
    <row r="218" spans="1:4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47"/>
      <c r="AT218" s="26"/>
      <c r="AU218" s="47"/>
      <c r="AV218" s="26"/>
    </row>
    <row r="219" spans="1:48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47"/>
      <c r="AT219" s="26"/>
      <c r="AU219" s="47"/>
      <c r="AV219" s="26"/>
    </row>
    <row r="220" spans="1:48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47"/>
      <c r="AT220" s="26"/>
      <c r="AU220" s="47"/>
      <c r="AV220" s="26"/>
    </row>
    <row r="221" spans="1:48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47"/>
      <c r="AT221" s="26"/>
      <c r="AU221" s="47"/>
      <c r="AV221" s="26"/>
    </row>
    <row r="222" spans="1:48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47"/>
      <c r="AT222" s="26"/>
      <c r="AU222" s="47"/>
      <c r="AV222" s="26"/>
    </row>
    <row r="223" spans="1:48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47"/>
      <c r="AT223" s="26"/>
      <c r="AU223" s="47"/>
      <c r="AV223" s="26"/>
    </row>
    <row r="224" spans="1:48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47"/>
      <c r="AT224" s="26"/>
      <c r="AU224" s="47"/>
      <c r="AV224" s="26"/>
    </row>
    <row r="225" spans="1:48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47"/>
      <c r="AT225" s="26"/>
      <c r="AU225" s="47"/>
      <c r="AV225" s="26"/>
    </row>
    <row r="226" spans="1:48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47"/>
      <c r="AT226" s="26"/>
      <c r="AU226" s="47"/>
      <c r="AV226" s="26"/>
    </row>
    <row r="227" spans="1:48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47"/>
      <c r="AT227" s="26"/>
      <c r="AU227" s="47"/>
      <c r="AV227" s="26"/>
    </row>
    <row r="228" spans="1:4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47"/>
      <c r="AT228" s="26"/>
      <c r="AU228" s="47"/>
      <c r="AV228" s="26"/>
    </row>
    <row r="229" spans="1:48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47"/>
      <c r="AT229" s="26"/>
      <c r="AU229" s="47"/>
      <c r="AV229" s="26"/>
    </row>
    <row r="230" spans="1:48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47"/>
      <c r="AT230" s="26"/>
      <c r="AU230" s="47"/>
      <c r="AV230" s="26"/>
    </row>
    <row r="231" spans="1:48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47"/>
      <c r="AT231" s="26"/>
      <c r="AU231" s="47"/>
      <c r="AV231" s="26"/>
    </row>
    <row r="232" spans="1:48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47"/>
      <c r="AT232" s="26"/>
      <c r="AU232" s="47"/>
      <c r="AV232" s="26"/>
    </row>
    <row r="233" spans="1:48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47"/>
      <c r="AT233" s="26"/>
      <c r="AU233" s="47"/>
      <c r="AV233" s="26"/>
    </row>
    <row r="234" spans="1:48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47"/>
      <c r="AT234" s="26"/>
      <c r="AU234" s="47"/>
      <c r="AV234" s="26"/>
    </row>
    <row r="235" spans="1:48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47"/>
      <c r="AT235" s="26"/>
      <c r="AU235" s="47"/>
      <c r="AV235" s="26"/>
    </row>
    <row r="236" spans="1:48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47"/>
      <c r="AT236" s="26"/>
      <c r="AU236" s="47"/>
      <c r="AV236" s="26"/>
    </row>
    <row r="237" spans="1:48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47"/>
      <c r="AT237" s="26"/>
      <c r="AU237" s="47"/>
      <c r="AV237" s="26"/>
    </row>
    <row r="238" spans="1:4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47"/>
      <c r="AT238" s="26"/>
      <c r="AU238" s="47"/>
      <c r="AV238" s="26"/>
    </row>
    <row r="239" spans="1:48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47"/>
      <c r="AT239" s="26"/>
      <c r="AU239" s="47"/>
      <c r="AV239" s="26"/>
    </row>
    <row r="240" spans="1:48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47"/>
      <c r="AT240" s="26"/>
      <c r="AU240" s="47"/>
      <c r="AV240" s="26"/>
    </row>
    <row r="241" spans="1:48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47"/>
      <c r="AT241" s="26"/>
      <c r="AU241" s="47"/>
      <c r="AV241" s="26"/>
    </row>
    <row r="242" spans="1:48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47"/>
      <c r="AT242" s="26"/>
      <c r="AU242" s="47"/>
      <c r="AV242" s="26"/>
    </row>
    <row r="243" spans="1:48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47"/>
      <c r="AT243" s="26"/>
      <c r="AU243" s="47"/>
      <c r="AV243" s="26"/>
    </row>
    <row r="244" spans="1:48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47"/>
      <c r="AT244" s="26"/>
      <c r="AU244" s="47"/>
      <c r="AV244" s="26"/>
    </row>
    <row r="245" spans="1:48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47"/>
      <c r="AT245" s="26"/>
      <c r="AU245" s="47"/>
      <c r="AV245" s="26"/>
    </row>
    <row r="246" spans="1:48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47"/>
      <c r="AT246" s="26"/>
      <c r="AU246" s="47"/>
      <c r="AV246" s="26"/>
    </row>
    <row r="247" spans="1:48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47"/>
      <c r="AT247" s="26"/>
      <c r="AU247" s="47"/>
      <c r="AV247" s="26"/>
    </row>
    <row r="248" spans="1:48" ht="15.75" customHeight="1"/>
    <row r="249" spans="1:48" ht="15.75" customHeight="1"/>
    <row r="250" spans="1:48" ht="15.75" customHeight="1"/>
    <row r="251" spans="1:48" ht="15.75" customHeight="1"/>
    <row r="252" spans="1:48" ht="15.75" customHeight="1"/>
    <row r="253" spans="1:48" ht="15.75" customHeight="1"/>
    <row r="254" spans="1:48" ht="15.75" customHeight="1"/>
    <row r="255" spans="1:48" ht="15.75" customHeight="1"/>
    <row r="256" spans="1:48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V1000"/>
  <sheetViews>
    <sheetView zoomScale="94" workbookViewId="0">
      <selection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5" width="6.28515625" style="4" customWidth="1"/>
    <col min="6" max="6" width="8" style="4" customWidth="1"/>
    <col min="7" max="7" width="9.7109375" style="4" customWidth="1"/>
    <col min="8" max="8" width="7.7109375" style="4" customWidth="1"/>
    <col min="9" max="9" width="6.28515625" style="4" customWidth="1"/>
    <col min="10" max="11" width="8.42578125" style="4" customWidth="1"/>
    <col min="12" max="12" width="3.28515625" style="4" customWidth="1"/>
    <col min="13" max="13" width="6.28515625" style="4" customWidth="1"/>
    <col min="14" max="14" width="9.85546875" style="4" customWidth="1"/>
    <col min="15" max="15" width="9.7109375" style="4" customWidth="1"/>
    <col min="16" max="16" width="7.5703125" style="4" customWidth="1"/>
    <col min="17" max="17" width="6.28515625" style="4" customWidth="1"/>
    <col min="18" max="18" width="13.5703125" style="4" customWidth="1"/>
    <col min="19" max="19" width="9.42578125" style="4" customWidth="1"/>
    <col min="20" max="20" width="7" style="4" customWidth="1"/>
    <col min="21" max="21" width="7.5703125" style="4" customWidth="1"/>
    <col min="22" max="22" width="8.140625" style="4" customWidth="1"/>
    <col min="23" max="23" width="9.28515625" style="4" customWidth="1"/>
    <col min="24" max="24" width="6.28515625" style="4" customWidth="1"/>
    <col min="25" max="25" width="3.140625" style="4" customWidth="1"/>
    <col min="26" max="26" width="6.28515625" style="4" customWidth="1"/>
    <col min="27" max="27" width="7.42578125" style="4" customWidth="1"/>
    <col min="28" max="28" width="6.28515625" style="4" customWidth="1"/>
    <col min="29" max="29" width="8" style="4" customWidth="1"/>
    <col min="30" max="30" width="6.28515625" style="4" customWidth="1"/>
    <col min="31" max="31" width="11.28515625" style="4" customWidth="1"/>
    <col min="32" max="32" width="7.140625" style="4" customWidth="1"/>
    <col min="33" max="33" width="6.28515625" style="4" customWidth="1"/>
    <col min="34" max="35" width="7.5703125" style="4" customWidth="1"/>
    <col min="36" max="36" width="11.28515625" style="4" customWidth="1"/>
    <col min="37" max="44" width="9.28515625" style="4" customWidth="1"/>
    <col min="45" max="45" width="10.5703125" style="4" customWidth="1"/>
    <col min="46" max="47" width="9.28515625" style="4" customWidth="1"/>
    <col min="48" max="48" width="10.28515625" style="4" customWidth="1"/>
    <col min="49" max="16384" width="10.28515625" style="4"/>
  </cols>
  <sheetData>
    <row r="1" spans="1:48" ht="20">
      <c r="A1" s="1" t="s">
        <v>0</v>
      </c>
      <c r="B1" s="16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8" ht="34">
      <c r="A2" s="5">
        <v>2024</v>
      </c>
      <c r="B2" s="170">
        <v>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8" ht="33" customHeight="1">
      <c r="A3" s="9"/>
      <c r="B3" s="171" t="s">
        <v>2</v>
      </c>
      <c r="C3" s="10"/>
      <c r="D3" s="160" t="s">
        <v>3</v>
      </c>
      <c r="E3" s="150"/>
      <c r="F3" s="150"/>
      <c r="G3" s="150"/>
      <c r="H3" s="150"/>
      <c r="I3" s="150"/>
      <c r="J3" s="150"/>
      <c r="K3" s="150"/>
      <c r="L3" s="161" t="s">
        <v>4</v>
      </c>
      <c r="M3" s="150"/>
      <c r="N3" s="150"/>
      <c r="O3" s="150"/>
      <c r="P3" s="150"/>
      <c r="Q3" s="150"/>
      <c r="R3" s="150"/>
      <c r="S3" s="150"/>
      <c r="T3" s="162" t="s">
        <v>5</v>
      </c>
      <c r="U3" s="147"/>
      <c r="V3" s="147"/>
      <c r="W3" s="147"/>
      <c r="X3" s="148"/>
      <c r="Y3" s="163" t="s">
        <v>6</v>
      </c>
      <c r="Z3" s="150"/>
      <c r="AA3" s="150"/>
      <c r="AB3" s="150"/>
      <c r="AC3" s="150"/>
      <c r="AD3" s="150"/>
      <c r="AE3" s="150"/>
      <c r="AF3" s="150"/>
      <c r="AG3" s="162" t="s">
        <v>7</v>
      </c>
      <c r="AH3" s="147"/>
      <c r="AI3" s="147"/>
      <c r="AJ3" s="147"/>
      <c r="AK3" s="148"/>
      <c r="AL3" s="146" t="s">
        <v>8</v>
      </c>
      <c r="AM3" s="147"/>
      <c r="AN3" s="147"/>
      <c r="AO3" s="147"/>
      <c r="AP3" s="147"/>
      <c r="AQ3" s="147"/>
      <c r="AR3" s="147"/>
      <c r="AS3" s="148"/>
      <c r="AT3" s="2"/>
      <c r="AU3" s="3"/>
    </row>
    <row r="4" spans="1:48" ht="53.25" customHeight="1" thickBot="1">
      <c r="A4" s="9"/>
      <c r="B4" s="159"/>
      <c r="C4" s="11" t="s">
        <v>9</v>
      </c>
      <c r="D4" s="12" t="s">
        <v>10</v>
      </c>
      <c r="E4" s="13" t="s">
        <v>11</v>
      </c>
      <c r="F4" s="12" t="s">
        <v>12</v>
      </c>
      <c r="G4" s="14" t="s">
        <v>13</v>
      </c>
      <c r="H4" s="12" t="s">
        <v>14</v>
      </c>
      <c r="I4" s="15" t="s">
        <v>15</v>
      </c>
      <c r="J4" s="13" t="s">
        <v>16</v>
      </c>
      <c r="K4" s="12" t="s">
        <v>17</v>
      </c>
      <c r="L4" s="12" t="s">
        <v>18</v>
      </c>
      <c r="M4" s="16" t="s">
        <v>11</v>
      </c>
      <c r="N4" s="12" t="s">
        <v>12</v>
      </c>
      <c r="O4" s="14" t="s">
        <v>13</v>
      </c>
      <c r="P4" s="12" t="s">
        <v>14</v>
      </c>
      <c r="Q4" s="15" t="s">
        <v>15</v>
      </c>
      <c r="R4" s="13" t="s">
        <v>16</v>
      </c>
      <c r="S4" s="17" t="s">
        <v>17</v>
      </c>
      <c r="T4" s="18" t="s">
        <v>19</v>
      </c>
      <c r="U4" s="19" t="s">
        <v>20</v>
      </c>
      <c r="V4" s="19" t="s">
        <v>21</v>
      </c>
      <c r="W4" s="20" t="s">
        <v>22</v>
      </c>
      <c r="X4" s="19"/>
      <c r="Y4" s="21" t="s">
        <v>23</v>
      </c>
      <c r="Z4" s="22" t="s">
        <v>11</v>
      </c>
      <c r="AA4" s="12" t="s">
        <v>20</v>
      </c>
      <c r="AB4" s="14" t="s">
        <v>24</v>
      </c>
      <c r="AC4" s="12" t="s">
        <v>21</v>
      </c>
      <c r="AD4" s="15" t="s">
        <v>25</v>
      </c>
      <c r="AE4" s="16" t="s">
        <v>26</v>
      </c>
      <c r="AF4" s="23" t="s">
        <v>17</v>
      </c>
      <c r="AG4" s="18" t="s">
        <v>19</v>
      </c>
      <c r="AH4" s="19" t="s">
        <v>20</v>
      </c>
      <c r="AI4" s="19" t="s">
        <v>21</v>
      </c>
      <c r="AJ4" s="20" t="s">
        <v>22</v>
      </c>
      <c r="AK4" s="19" t="s">
        <v>27</v>
      </c>
      <c r="AL4" s="24" t="s">
        <v>28</v>
      </c>
      <c r="AM4" s="24" t="s">
        <v>29</v>
      </c>
      <c r="AN4" s="24" t="s">
        <v>30</v>
      </c>
      <c r="AO4" s="24" t="s">
        <v>31</v>
      </c>
      <c r="AP4" s="24" t="s">
        <v>32</v>
      </c>
      <c r="AQ4" s="24" t="s">
        <v>33</v>
      </c>
      <c r="AR4" s="24" t="s">
        <v>34</v>
      </c>
      <c r="AS4" s="25" t="s">
        <v>35</v>
      </c>
      <c r="AT4" s="2"/>
      <c r="AU4" s="3"/>
    </row>
    <row r="5" spans="1:48" ht="22" thickTop="1">
      <c r="A5" s="26"/>
      <c r="B5" s="141">
        <f>DATE($A$2,$B$2,1)</f>
        <v>45505</v>
      </c>
      <c r="C5" s="48" t="s">
        <v>52</v>
      </c>
      <c r="D5" s="27"/>
      <c r="E5" s="28"/>
      <c r="F5" s="29"/>
      <c r="G5" s="30" t="e">
        <f t="shared" ref="G5:G35" si="0">ROUNDDOWN(F5/1.1,0)/E5</f>
        <v>#DIV/0!</v>
      </c>
      <c r="H5" s="29"/>
      <c r="I5" s="31" t="e">
        <f t="shared" ref="I5:I35" si="1">ROUNDDOWN(H5/1.1,0)/E5</f>
        <v>#DIV/0!</v>
      </c>
      <c r="J5" s="32">
        <f t="shared" ref="J5:J35" si="2">F5+H5</f>
        <v>0</v>
      </c>
      <c r="K5" s="33" t="str">
        <f t="shared" ref="K5:K35" si="3">IF(E5="","",J5/E5)</f>
        <v/>
      </c>
      <c r="L5" s="34"/>
      <c r="M5" s="35">
        <f t="shared" ref="M5:N20" si="4">AL5-E5</f>
        <v>36</v>
      </c>
      <c r="N5" s="36">
        <f t="shared" si="4"/>
        <v>324720</v>
      </c>
      <c r="O5" s="30">
        <f t="shared" ref="O5:O35" si="5">ROUNDDOWN(N5/1.1,0)/M5</f>
        <v>8200</v>
      </c>
      <c r="P5" s="36">
        <f t="shared" ref="P5:P35" si="6">AN5-H5</f>
        <v>53680</v>
      </c>
      <c r="Q5" s="31">
        <f t="shared" ref="Q5:Q35" si="7">ROUNDDOWN(P5/1.1,0)/M5</f>
        <v>1355.5555555555557</v>
      </c>
      <c r="R5" s="37">
        <f t="shared" ref="R5:R35" si="8">N5+P5</f>
        <v>378400</v>
      </c>
      <c r="S5" s="33">
        <f t="shared" ref="S5:S35" si="9">IF(M5="","",R5/M5)</f>
        <v>10511.111111111111</v>
      </c>
      <c r="T5" s="38">
        <f t="shared" ref="T5:U20" si="10">E5+M5</f>
        <v>36</v>
      </c>
      <c r="U5" s="36">
        <f t="shared" si="10"/>
        <v>324720</v>
      </c>
      <c r="V5" s="36">
        <f t="shared" ref="V5:V35" si="11">H5+P5</f>
        <v>53680</v>
      </c>
      <c r="W5" s="39">
        <f t="shared" ref="W5:W35" si="12">J5+R5</f>
        <v>378400</v>
      </c>
      <c r="X5" s="36">
        <f t="shared" ref="X5:X34" si="13">IF(T5="","",W5/T5)</f>
        <v>10511.111111111111</v>
      </c>
      <c r="Y5" s="40"/>
      <c r="Z5" s="41">
        <v>69</v>
      </c>
      <c r="AA5" s="29">
        <v>50460</v>
      </c>
      <c r="AB5" s="30">
        <f t="shared" ref="AB5:AB35" si="14">AA5/Z5</f>
        <v>731.304347826087</v>
      </c>
      <c r="AC5" s="29">
        <v>16250</v>
      </c>
      <c r="AD5" s="31">
        <f t="shared" ref="AD5:AD35" si="15">AC5/Z5</f>
        <v>235.50724637681159</v>
      </c>
      <c r="AE5" s="42">
        <f t="shared" ref="AE5:AE35" si="16">AA5+AC5</f>
        <v>66710</v>
      </c>
      <c r="AF5" s="33">
        <f t="shared" ref="AF5:AF35" si="17">IF(Z5="","",AE5/Z5)</f>
        <v>966.8115942028985</v>
      </c>
      <c r="AG5" s="38">
        <f t="shared" ref="AG5:AG35" si="18">SUM(E5,M5)</f>
        <v>36</v>
      </c>
      <c r="AH5" s="36">
        <f t="shared" ref="AH5:AH35" si="19">U5+AA5</f>
        <v>375180</v>
      </c>
      <c r="AI5" s="36">
        <f t="shared" ref="AI5:AI35" si="20">V5+AC5</f>
        <v>69930</v>
      </c>
      <c r="AJ5" s="43">
        <f t="shared" ref="AJ5:AJ35" si="21">W5+AE5</f>
        <v>445110</v>
      </c>
      <c r="AK5" s="36">
        <f t="shared" ref="AK5:AK35" si="22">AO5+AP5+AQ5</f>
        <v>19250</v>
      </c>
      <c r="AL5" s="44">
        <v>36</v>
      </c>
      <c r="AM5" s="44">
        <v>324720</v>
      </c>
      <c r="AN5" s="44">
        <v>53680</v>
      </c>
      <c r="AO5" s="45">
        <v>19250</v>
      </c>
      <c r="AP5" s="45"/>
      <c r="AQ5" s="45"/>
      <c r="AR5" s="45"/>
      <c r="AS5" s="46">
        <f>SUM(AM5:AQ5)</f>
        <v>397650</v>
      </c>
      <c r="AT5" s="26">
        <v>1</v>
      </c>
      <c r="AU5" s="47">
        <f>AR5+AS5</f>
        <v>397650</v>
      </c>
      <c r="AV5" s="188">
        <f>AU5+AE5</f>
        <v>464360</v>
      </c>
    </row>
    <row r="6" spans="1:48" ht="21">
      <c r="A6" s="26"/>
      <c r="B6" s="135">
        <f t="shared" ref="B6:B35" si="23">B5+1</f>
        <v>45506</v>
      </c>
      <c r="C6" s="48" t="s">
        <v>52</v>
      </c>
      <c r="D6" s="27"/>
      <c r="E6" s="28"/>
      <c r="F6" s="29"/>
      <c r="G6" s="30" t="e">
        <f t="shared" si="0"/>
        <v>#DIV/0!</v>
      </c>
      <c r="H6" s="29"/>
      <c r="I6" s="31" t="e">
        <f t="shared" si="1"/>
        <v>#DIV/0!</v>
      </c>
      <c r="J6" s="32">
        <f t="shared" si="2"/>
        <v>0</v>
      </c>
      <c r="K6" s="33" t="str">
        <f t="shared" si="3"/>
        <v/>
      </c>
      <c r="L6" s="34"/>
      <c r="M6" s="35">
        <f t="shared" si="4"/>
        <v>43</v>
      </c>
      <c r="N6" s="36">
        <f t="shared" si="4"/>
        <v>382800</v>
      </c>
      <c r="O6" s="30">
        <f t="shared" si="5"/>
        <v>8093.0232558139533</v>
      </c>
      <c r="P6" s="36">
        <f t="shared" si="6"/>
        <v>70810</v>
      </c>
      <c r="Q6" s="31">
        <f t="shared" si="7"/>
        <v>1497.0232558139535</v>
      </c>
      <c r="R6" s="37">
        <f t="shared" si="8"/>
        <v>453610</v>
      </c>
      <c r="S6" s="33">
        <f t="shared" si="9"/>
        <v>10549.069767441861</v>
      </c>
      <c r="T6" s="49">
        <f t="shared" si="10"/>
        <v>43</v>
      </c>
      <c r="U6" s="36">
        <f t="shared" si="10"/>
        <v>382800</v>
      </c>
      <c r="V6" s="36">
        <f t="shared" si="11"/>
        <v>70810</v>
      </c>
      <c r="W6" s="39">
        <f t="shared" si="12"/>
        <v>453610</v>
      </c>
      <c r="X6" s="36">
        <f t="shared" si="13"/>
        <v>10549.069767441861</v>
      </c>
      <c r="Y6" s="40"/>
      <c r="Z6" s="41">
        <v>71</v>
      </c>
      <c r="AA6" s="29">
        <v>51830</v>
      </c>
      <c r="AB6" s="30">
        <f t="shared" si="14"/>
        <v>730</v>
      </c>
      <c r="AC6" s="29">
        <v>9550</v>
      </c>
      <c r="AD6" s="31">
        <f t="shared" si="15"/>
        <v>134.50704225352112</v>
      </c>
      <c r="AE6" s="42">
        <f t="shared" si="16"/>
        <v>61380</v>
      </c>
      <c r="AF6" s="33">
        <f t="shared" si="17"/>
        <v>864.50704225352115</v>
      </c>
      <c r="AG6" s="49">
        <f t="shared" si="18"/>
        <v>43</v>
      </c>
      <c r="AH6" s="36">
        <f t="shared" si="19"/>
        <v>434630</v>
      </c>
      <c r="AI6" s="36">
        <f t="shared" si="20"/>
        <v>80360</v>
      </c>
      <c r="AJ6" s="43">
        <f t="shared" si="21"/>
        <v>514990</v>
      </c>
      <c r="AK6" s="36">
        <f t="shared" si="22"/>
        <v>25300</v>
      </c>
      <c r="AL6" s="44">
        <v>43</v>
      </c>
      <c r="AM6" s="44">
        <v>382800</v>
      </c>
      <c r="AN6" s="44">
        <v>70810</v>
      </c>
      <c r="AO6" s="45">
        <v>25300</v>
      </c>
      <c r="AP6" s="45"/>
      <c r="AQ6" s="45"/>
      <c r="AR6" s="45"/>
      <c r="AS6" s="46">
        <f t="shared" ref="AS6:AS33" si="24">SUM(AM6:AQ6)</f>
        <v>478910</v>
      </c>
      <c r="AT6" s="26">
        <v>2</v>
      </c>
      <c r="AU6" s="47">
        <f t="shared" ref="AU6:AU35" si="25">AR6+AS6</f>
        <v>478910</v>
      </c>
      <c r="AV6" s="188">
        <f t="shared" ref="AV6:AV35" si="26">AU6+AE6</f>
        <v>540290</v>
      </c>
    </row>
    <row r="7" spans="1:48" ht="21">
      <c r="A7" s="26"/>
      <c r="B7" s="134">
        <f t="shared" si="23"/>
        <v>45507</v>
      </c>
      <c r="C7" s="48"/>
      <c r="D7" s="27"/>
      <c r="E7" s="28">
        <v>34</v>
      </c>
      <c r="F7" s="29">
        <v>97724</v>
      </c>
      <c r="G7" s="30">
        <f t="shared" si="0"/>
        <v>2612.9411764705883</v>
      </c>
      <c r="H7" s="29">
        <v>16710</v>
      </c>
      <c r="I7" s="31">
        <f t="shared" si="1"/>
        <v>446.76470588235293</v>
      </c>
      <c r="J7" s="32">
        <f t="shared" si="2"/>
        <v>114434</v>
      </c>
      <c r="K7" s="33">
        <f t="shared" si="3"/>
        <v>3365.705882352941</v>
      </c>
      <c r="L7" s="34"/>
      <c r="M7" s="35">
        <f t="shared" si="4"/>
        <v>41</v>
      </c>
      <c r="N7" s="36">
        <f t="shared" si="4"/>
        <v>354970</v>
      </c>
      <c r="O7" s="30">
        <f t="shared" si="5"/>
        <v>7870.7317073170734</v>
      </c>
      <c r="P7" s="36">
        <f t="shared" si="6"/>
        <v>55500</v>
      </c>
      <c r="Q7" s="31">
        <f t="shared" si="7"/>
        <v>1230.5853658536585</v>
      </c>
      <c r="R7" s="37">
        <f t="shared" si="8"/>
        <v>410470</v>
      </c>
      <c r="S7" s="33">
        <f t="shared" si="9"/>
        <v>10011.463414634147</v>
      </c>
      <c r="T7" s="49">
        <f t="shared" si="10"/>
        <v>75</v>
      </c>
      <c r="U7" s="36">
        <f t="shared" si="10"/>
        <v>452694</v>
      </c>
      <c r="V7" s="36">
        <f t="shared" si="11"/>
        <v>72210</v>
      </c>
      <c r="W7" s="39">
        <f t="shared" si="12"/>
        <v>524904</v>
      </c>
      <c r="X7" s="36">
        <f t="shared" si="13"/>
        <v>6998.72</v>
      </c>
      <c r="Y7" s="40"/>
      <c r="Z7" s="41">
        <v>105</v>
      </c>
      <c r="AA7" s="29">
        <v>81380</v>
      </c>
      <c r="AB7" s="30">
        <f t="shared" si="14"/>
        <v>775.04761904761904</v>
      </c>
      <c r="AC7" s="29">
        <v>17200</v>
      </c>
      <c r="AD7" s="31">
        <f t="shared" si="15"/>
        <v>163.8095238095238</v>
      </c>
      <c r="AE7" s="42">
        <f t="shared" si="16"/>
        <v>98580</v>
      </c>
      <c r="AF7" s="33">
        <f t="shared" si="17"/>
        <v>938.85714285714289</v>
      </c>
      <c r="AG7" s="49">
        <f t="shared" si="18"/>
        <v>75</v>
      </c>
      <c r="AH7" s="36">
        <f t="shared" si="19"/>
        <v>534074</v>
      </c>
      <c r="AI7" s="36">
        <f t="shared" si="20"/>
        <v>89410</v>
      </c>
      <c r="AJ7" s="43">
        <f t="shared" si="21"/>
        <v>623484</v>
      </c>
      <c r="AK7" s="36">
        <f t="shared" si="22"/>
        <v>20900</v>
      </c>
      <c r="AL7" s="44">
        <v>75</v>
      </c>
      <c r="AM7" s="44">
        <v>452694</v>
      </c>
      <c r="AN7" s="44">
        <v>72210</v>
      </c>
      <c r="AO7" s="45">
        <v>20900</v>
      </c>
      <c r="AP7" s="45"/>
      <c r="AQ7" s="45"/>
      <c r="AR7" s="45">
        <v>5500</v>
      </c>
      <c r="AS7" s="46">
        <f t="shared" si="24"/>
        <v>545804</v>
      </c>
      <c r="AT7" s="26">
        <v>3</v>
      </c>
      <c r="AU7" s="47">
        <f t="shared" si="25"/>
        <v>551304</v>
      </c>
      <c r="AV7" s="188">
        <f t="shared" si="26"/>
        <v>649884</v>
      </c>
    </row>
    <row r="8" spans="1:48" ht="21">
      <c r="A8" s="26"/>
      <c r="B8" s="51">
        <f t="shared" si="23"/>
        <v>45508</v>
      </c>
      <c r="C8" s="48"/>
      <c r="D8" s="27"/>
      <c r="E8" s="28">
        <v>35</v>
      </c>
      <c r="F8" s="29">
        <v>129140</v>
      </c>
      <c r="G8" s="30">
        <f t="shared" si="0"/>
        <v>3354.2857142857142</v>
      </c>
      <c r="H8" s="29">
        <v>31360</v>
      </c>
      <c r="I8" s="31">
        <f t="shared" si="1"/>
        <v>814.54285714285709</v>
      </c>
      <c r="J8" s="32">
        <f t="shared" si="2"/>
        <v>160500</v>
      </c>
      <c r="K8" s="33">
        <f t="shared" si="3"/>
        <v>4585.7142857142853</v>
      </c>
      <c r="L8" s="34"/>
      <c r="M8" s="35">
        <f t="shared" si="4"/>
        <v>39</v>
      </c>
      <c r="N8" s="36">
        <f t="shared" si="4"/>
        <v>413490</v>
      </c>
      <c r="O8" s="30">
        <f t="shared" si="5"/>
        <v>9638.461538461539</v>
      </c>
      <c r="P8" s="36">
        <f t="shared" si="6"/>
        <v>79760</v>
      </c>
      <c r="Q8" s="31">
        <f t="shared" si="7"/>
        <v>1859.2051282051282</v>
      </c>
      <c r="R8" s="37">
        <f t="shared" si="8"/>
        <v>493250</v>
      </c>
      <c r="S8" s="33">
        <f t="shared" si="9"/>
        <v>12647.435897435897</v>
      </c>
      <c r="T8" s="49">
        <f t="shared" si="10"/>
        <v>74</v>
      </c>
      <c r="U8" s="36">
        <f t="shared" si="10"/>
        <v>542630</v>
      </c>
      <c r="V8" s="36">
        <f t="shared" si="11"/>
        <v>111120</v>
      </c>
      <c r="W8" s="39">
        <f t="shared" si="12"/>
        <v>653750</v>
      </c>
      <c r="X8" s="36">
        <f t="shared" si="13"/>
        <v>8834.45945945946</v>
      </c>
      <c r="Y8" s="40"/>
      <c r="Z8" s="41">
        <v>107</v>
      </c>
      <c r="AA8" s="29">
        <v>86870</v>
      </c>
      <c r="AB8" s="30">
        <f t="shared" si="14"/>
        <v>811.86915887850466</v>
      </c>
      <c r="AC8" s="29">
        <v>22050</v>
      </c>
      <c r="AD8" s="31">
        <f t="shared" si="15"/>
        <v>206.07476635514018</v>
      </c>
      <c r="AE8" s="42">
        <f t="shared" si="16"/>
        <v>108920</v>
      </c>
      <c r="AF8" s="33">
        <f t="shared" si="17"/>
        <v>1017.9439252336449</v>
      </c>
      <c r="AG8" s="49">
        <f t="shared" si="18"/>
        <v>74</v>
      </c>
      <c r="AH8" s="36">
        <f t="shared" si="19"/>
        <v>629500</v>
      </c>
      <c r="AI8" s="36">
        <f t="shared" si="20"/>
        <v>133170</v>
      </c>
      <c r="AJ8" s="50">
        <f t="shared" si="21"/>
        <v>762670</v>
      </c>
      <c r="AK8" s="36">
        <f t="shared" si="22"/>
        <v>11550</v>
      </c>
      <c r="AL8" s="44">
        <v>74</v>
      </c>
      <c r="AM8" s="44">
        <v>542630</v>
      </c>
      <c r="AN8" s="44">
        <v>111120</v>
      </c>
      <c r="AO8" s="45">
        <v>11550</v>
      </c>
      <c r="AP8" s="45"/>
      <c r="AQ8" s="45"/>
      <c r="AR8" s="45">
        <v>3300</v>
      </c>
      <c r="AS8" s="46">
        <f t="shared" si="24"/>
        <v>665300</v>
      </c>
      <c r="AT8" s="26">
        <v>4</v>
      </c>
      <c r="AU8" s="47">
        <f t="shared" si="25"/>
        <v>668600</v>
      </c>
      <c r="AV8" s="188">
        <f t="shared" si="26"/>
        <v>777520</v>
      </c>
    </row>
    <row r="9" spans="1:48" ht="21">
      <c r="A9" s="26"/>
      <c r="B9" s="135">
        <f t="shared" si="23"/>
        <v>45509</v>
      </c>
      <c r="C9" s="48" t="s">
        <v>52</v>
      </c>
      <c r="D9" s="27"/>
      <c r="E9" s="28"/>
      <c r="F9" s="29"/>
      <c r="G9" s="30" t="e">
        <f t="shared" si="0"/>
        <v>#DIV/0!</v>
      </c>
      <c r="H9" s="29"/>
      <c r="I9" s="31" t="e">
        <f t="shared" si="1"/>
        <v>#DIV/0!</v>
      </c>
      <c r="J9" s="32">
        <f t="shared" si="2"/>
        <v>0</v>
      </c>
      <c r="K9" s="33" t="str">
        <f t="shared" si="3"/>
        <v/>
      </c>
      <c r="L9" s="34"/>
      <c r="M9" s="35">
        <f t="shared" si="4"/>
        <v>40</v>
      </c>
      <c r="N9" s="36">
        <f t="shared" si="4"/>
        <v>323510</v>
      </c>
      <c r="O9" s="30">
        <f t="shared" si="5"/>
        <v>7352.5</v>
      </c>
      <c r="P9" s="36">
        <f t="shared" si="6"/>
        <v>47760</v>
      </c>
      <c r="Q9" s="31">
        <f t="shared" si="7"/>
        <v>1085.45</v>
      </c>
      <c r="R9" s="37">
        <f t="shared" si="8"/>
        <v>371270</v>
      </c>
      <c r="S9" s="33">
        <f t="shared" si="9"/>
        <v>9281.75</v>
      </c>
      <c r="T9" s="49">
        <f t="shared" si="10"/>
        <v>40</v>
      </c>
      <c r="U9" s="36">
        <f t="shared" si="10"/>
        <v>323510</v>
      </c>
      <c r="V9" s="36">
        <f t="shared" si="11"/>
        <v>47760</v>
      </c>
      <c r="W9" s="39">
        <f t="shared" si="12"/>
        <v>371270</v>
      </c>
      <c r="X9" s="36">
        <f t="shared" si="13"/>
        <v>9281.75</v>
      </c>
      <c r="Y9" s="40"/>
      <c r="Z9" s="41">
        <v>66</v>
      </c>
      <c r="AA9" s="29">
        <v>57000</v>
      </c>
      <c r="AB9" s="30">
        <f t="shared" si="14"/>
        <v>863.63636363636363</v>
      </c>
      <c r="AC9" s="29">
        <v>12600</v>
      </c>
      <c r="AD9" s="31">
        <f t="shared" si="15"/>
        <v>190.90909090909091</v>
      </c>
      <c r="AE9" s="42">
        <f t="shared" si="16"/>
        <v>69600</v>
      </c>
      <c r="AF9" s="33">
        <f t="shared" si="17"/>
        <v>1054.5454545454545</v>
      </c>
      <c r="AG9" s="49">
        <f t="shared" si="18"/>
        <v>40</v>
      </c>
      <c r="AH9" s="36">
        <f t="shared" si="19"/>
        <v>380510</v>
      </c>
      <c r="AI9" s="36">
        <f t="shared" si="20"/>
        <v>60360</v>
      </c>
      <c r="AJ9" s="43">
        <f t="shared" si="21"/>
        <v>440870</v>
      </c>
      <c r="AK9" s="36">
        <f t="shared" si="22"/>
        <v>19360</v>
      </c>
      <c r="AL9" s="44">
        <v>40</v>
      </c>
      <c r="AM9" s="44">
        <v>323510</v>
      </c>
      <c r="AN9" s="44">
        <v>47760</v>
      </c>
      <c r="AO9" s="45">
        <v>18150</v>
      </c>
      <c r="AP9" s="45">
        <v>1210</v>
      </c>
      <c r="AQ9" s="45"/>
      <c r="AR9" s="45"/>
      <c r="AS9" s="46">
        <f t="shared" si="24"/>
        <v>390630</v>
      </c>
      <c r="AT9" s="26">
        <v>5</v>
      </c>
      <c r="AU9" s="47">
        <f t="shared" si="25"/>
        <v>390630</v>
      </c>
      <c r="AV9" s="188">
        <f t="shared" si="26"/>
        <v>460230</v>
      </c>
    </row>
    <row r="10" spans="1:48" ht="21">
      <c r="A10" s="26"/>
      <c r="B10" s="135">
        <f t="shared" si="23"/>
        <v>45510</v>
      </c>
      <c r="C10" s="48" t="s">
        <v>52</v>
      </c>
      <c r="D10" s="27"/>
      <c r="E10" s="28"/>
      <c r="F10" s="29"/>
      <c r="G10" s="30" t="e">
        <f t="shared" si="0"/>
        <v>#DIV/0!</v>
      </c>
      <c r="H10" s="29"/>
      <c r="I10" s="31" t="e">
        <f t="shared" si="1"/>
        <v>#DIV/0!</v>
      </c>
      <c r="J10" s="32">
        <f t="shared" si="2"/>
        <v>0</v>
      </c>
      <c r="K10" s="33" t="str">
        <f t="shared" si="3"/>
        <v/>
      </c>
      <c r="L10" s="34"/>
      <c r="M10" s="35">
        <f t="shared" si="4"/>
        <v>42</v>
      </c>
      <c r="N10" s="36">
        <f t="shared" si="4"/>
        <v>359480</v>
      </c>
      <c r="O10" s="30">
        <f t="shared" si="5"/>
        <v>7780.9523809523807</v>
      </c>
      <c r="P10" s="36">
        <f t="shared" si="6"/>
        <v>46510</v>
      </c>
      <c r="Q10" s="31">
        <f t="shared" si="7"/>
        <v>1006.6904761904761</v>
      </c>
      <c r="R10" s="37">
        <f t="shared" si="8"/>
        <v>405990</v>
      </c>
      <c r="S10" s="33">
        <f t="shared" si="9"/>
        <v>9666.4285714285706</v>
      </c>
      <c r="T10" s="49">
        <f t="shared" si="10"/>
        <v>42</v>
      </c>
      <c r="U10" s="36">
        <f t="shared" si="10"/>
        <v>359480</v>
      </c>
      <c r="V10" s="36">
        <f t="shared" si="11"/>
        <v>46510</v>
      </c>
      <c r="W10" s="39">
        <f t="shared" si="12"/>
        <v>405990</v>
      </c>
      <c r="X10" s="36">
        <f t="shared" si="13"/>
        <v>9666.4285714285706</v>
      </c>
      <c r="Y10" s="40"/>
      <c r="Z10" s="41">
        <v>98</v>
      </c>
      <c r="AA10" s="29">
        <v>96530</v>
      </c>
      <c r="AB10" s="30">
        <f t="shared" si="14"/>
        <v>985</v>
      </c>
      <c r="AC10" s="29">
        <v>22000</v>
      </c>
      <c r="AD10" s="31">
        <f t="shared" si="15"/>
        <v>224.48979591836735</v>
      </c>
      <c r="AE10" s="42">
        <f t="shared" si="16"/>
        <v>118530</v>
      </c>
      <c r="AF10" s="33">
        <f t="shared" si="17"/>
        <v>1209.4897959183672</v>
      </c>
      <c r="AG10" s="49">
        <f t="shared" si="18"/>
        <v>42</v>
      </c>
      <c r="AH10" s="36">
        <f t="shared" si="19"/>
        <v>456010</v>
      </c>
      <c r="AI10" s="36">
        <f t="shared" si="20"/>
        <v>68510</v>
      </c>
      <c r="AJ10" s="43">
        <f t="shared" si="21"/>
        <v>524520</v>
      </c>
      <c r="AK10" s="36">
        <f t="shared" si="22"/>
        <v>21450</v>
      </c>
      <c r="AL10" s="44">
        <v>42</v>
      </c>
      <c r="AM10" s="44">
        <v>359480</v>
      </c>
      <c r="AN10" s="44">
        <v>46510</v>
      </c>
      <c r="AO10" s="45">
        <v>21450</v>
      </c>
      <c r="AP10" s="45"/>
      <c r="AQ10" s="45"/>
      <c r="AR10" s="45"/>
      <c r="AS10" s="46">
        <f t="shared" si="24"/>
        <v>427440</v>
      </c>
      <c r="AT10" s="26">
        <v>6</v>
      </c>
      <c r="AU10" s="47">
        <f t="shared" si="25"/>
        <v>427440</v>
      </c>
      <c r="AV10" s="188">
        <f t="shared" si="26"/>
        <v>545970</v>
      </c>
    </row>
    <row r="11" spans="1:48" ht="21">
      <c r="A11" s="26"/>
      <c r="B11" s="135">
        <f t="shared" si="23"/>
        <v>45511</v>
      </c>
      <c r="C11" s="48" t="s">
        <v>52</v>
      </c>
      <c r="D11" s="27"/>
      <c r="E11" s="28"/>
      <c r="F11" s="29"/>
      <c r="G11" s="30" t="e">
        <f t="shared" si="0"/>
        <v>#DIV/0!</v>
      </c>
      <c r="H11" s="29"/>
      <c r="I11" s="31" t="e">
        <f t="shared" si="1"/>
        <v>#DIV/0!</v>
      </c>
      <c r="J11" s="32">
        <f t="shared" si="2"/>
        <v>0</v>
      </c>
      <c r="K11" s="33" t="str">
        <f t="shared" si="3"/>
        <v/>
      </c>
      <c r="L11" s="34"/>
      <c r="M11" s="35">
        <f t="shared" si="4"/>
        <v>37</v>
      </c>
      <c r="N11" s="36">
        <f t="shared" si="4"/>
        <v>356380</v>
      </c>
      <c r="O11" s="30">
        <f t="shared" si="5"/>
        <v>8756.2432432432433</v>
      </c>
      <c r="P11" s="36">
        <f t="shared" si="6"/>
        <v>47500</v>
      </c>
      <c r="Q11" s="31">
        <f t="shared" si="7"/>
        <v>1167.0540540540539</v>
      </c>
      <c r="R11" s="37">
        <f t="shared" si="8"/>
        <v>403880</v>
      </c>
      <c r="S11" s="33">
        <f t="shared" si="9"/>
        <v>10915.675675675675</v>
      </c>
      <c r="T11" s="49">
        <f t="shared" si="10"/>
        <v>37</v>
      </c>
      <c r="U11" s="36">
        <f t="shared" si="10"/>
        <v>356380</v>
      </c>
      <c r="V11" s="36">
        <f t="shared" si="11"/>
        <v>47500</v>
      </c>
      <c r="W11" s="39">
        <f t="shared" si="12"/>
        <v>403880</v>
      </c>
      <c r="X11" s="36">
        <f t="shared" si="13"/>
        <v>10915.675675675675</v>
      </c>
      <c r="Y11" s="40"/>
      <c r="Z11" s="41">
        <v>129</v>
      </c>
      <c r="AA11" s="29">
        <v>98000</v>
      </c>
      <c r="AB11" s="30">
        <f t="shared" si="14"/>
        <v>759.68992248062011</v>
      </c>
      <c r="AC11" s="29">
        <v>13550</v>
      </c>
      <c r="AD11" s="31">
        <f t="shared" si="15"/>
        <v>105.03875968992249</v>
      </c>
      <c r="AE11" s="42">
        <f t="shared" si="16"/>
        <v>111550</v>
      </c>
      <c r="AF11" s="33">
        <f t="shared" si="17"/>
        <v>864.72868217054258</v>
      </c>
      <c r="AG11" s="49">
        <f t="shared" si="18"/>
        <v>37</v>
      </c>
      <c r="AH11" s="36">
        <f t="shared" si="19"/>
        <v>454380</v>
      </c>
      <c r="AI11" s="36">
        <f t="shared" si="20"/>
        <v>61050</v>
      </c>
      <c r="AJ11" s="43">
        <f t="shared" si="21"/>
        <v>515430</v>
      </c>
      <c r="AK11" s="36">
        <f t="shared" si="22"/>
        <v>24750</v>
      </c>
      <c r="AL11" s="44">
        <v>37</v>
      </c>
      <c r="AM11" s="44">
        <v>356380</v>
      </c>
      <c r="AN11" s="44">
        <v>47500</v>
      </c>
      <c r="AO11" s="45">
        <v>24750</v>
      </c>
      <c r="AP11" s="45"/>
      <c r="AQ11" s="45"/>
      <c r="AR11" s="45"/>
      <c r="AS11" s="46">
        <f t="shared" si="24"/>
        <v>428630</v>
      </c>
      <c r="AT11" s="26">
        <v>7</v>
      </c>
      <c r="AU11" s="47">
        <f t="shared" si="25"/>
        <v>428630</v>
      </c>
      <c r="AV11" s="188">
        <f t="shared" si="26"/>
        <v>540180</v>
      </c>
    </row>
    <row r="12" spans="1:48" ht="21">
      <c r="A12" s="26"/>
      <c r="B12" s="135">
        <f t="shared" si="23"/>
        <v>45512</v>
      </c>
      <c r="C12" s="48" t="s">
        <v>52</v>
      </c>
      <c r="D12" s="27"/>
      <c r="E12" s="28"/>
      <c r="F12" s="29"/>
      <c r="G12" s="30" t="e">
        <f t="shared" si="0"/>
        <v>#DIV/0!</v>
      </c>
      <c r="H12" s="29"/>
      <c r="I12" s="31" t="e">
        <f t="shared" si="1"/>
        <v>#DIV/0!</v>
      </c>
      <c r="J12" s="32">
        <f t="shared" si="2"/>
        <v>0</v>
      </c>
      <c r="K12" s="33" t="str">
        <f t="shared" si="3"/>
        <v/>
      </c>
      <c r="L12" s="34"/>
      <c r="M12" s="35">
        <f t="shared" si="4"/>
        <v>39</v>
      </c>
      <c r="N12" s="36">
        <f t="shared" si="4"/>
        <v>328110</v>
      </c>
      <c r="O12" s="30">
        <f t="shared" si="5"/>
        <v>7648.2307692307695</v>
      </c>
      <c r="P12" s="36">
        <f t="shared" si="6"/>
        <v>50270</v>
      </c>
      <c r="Q12" s="52">
        <f t="shared" si="7"/>
        <v>1171.7948717948718</v>
      </c>
      <c r="R12" s="37">
        <f t="shared" si="8"/>
        <v>378380</v>
      </c>
      <c r="S12" s="33">
        <f t="shared" si="9"/>
        <v>9702.0512820512813</v>
      </c>
      <c r="T12" s="49">
        <f t="shared" si="10"/>
        <v>39</v>
      </c>
      <c r="U12" s="36">
        <f t="shared" si="10"/>
        <v>328110</v>
      </c>
      <c r="V12" s="36">
        <f t="shared" si="11"/>
        <v>50270</v>
      </c>
      <c r="W12" s="39">
        <f t="shared" si="12"/>
        <v>378380</v>
      </c>
      <c r="X12" s="36">
        <f t="shared" si="13"/>
        <v>9702.0512820512813</v>
      </c>
      <c r="Y12" s="40"/>
      <c r="Z12" s="41">
        <v>75</v>
      </c>
      <c r="AA12" s="29">
        <v>53240</v>
      </c>
      <c r="AB12" s="30">
        <f t="shared" si="14"/>
        <v>709.86666666666667</v>
      </c>
      <c r="AC12" s="29">
        <v>8750</v>
      </c>
      <c r="AD12" s="31">
        <f t="shared" si="15"/>
        <v>116.66666666666667</v>
      </c>
      <c r="AE12" s="42">
        <f t="shared" si="16"/>
        <v>61990</v>
      </c>
      <c r="AF12" s="33">
        <f t="shared" si="17"/>
        <v>826.5333333333333</v>
      </c>
      <c r="AG12" s="49">
        <f t="shared" si="18"/>
        <v>39</v>
      </c>
      <c r="AH12" s="36">
        <f t="shared" si="19"/>
        <v>381350</v>
      </c>
      <c r="AI12" s="36">
        <f t="shared" si="20"/>
        <v>59020</v>
      </c>
      <c r="AJ12" s="43">
        <f t="shared" si="21"/>
        <v>440370</v>
      </c>
      <c r="AK12" s="36">
        <f t="shared" si="22"/>
        <v>22770</v>
      </c>
      <c r="AL12" s="44">
        <v>39</v>
      </c>
      <c r="AM12" s="44">
        <v>328110</v>
      </c>
      <c r="AN12" s="44">
        <v>50270</v>
      </c>
      <c r="AO12" s="45">
        <v>20350</v>
      </c>
      <c r="AP12" s="45">
        <v>2420</v>
      </c>
      <c r="AQ12" s="45"/>
      <c r="AR12" s="45"/>
      <c r="AS12" s="46">
        <f t="shared" si="24"/>
        <v>401150</v>
      </c>
      <c r="AT12" s="26">
        <v>8</v>
      </c>
      <c r="AU12" s="47">
        <f t="shared" si="25"/>
        <v>401150</v>
      </c>
      <c r="AV12" s="188">
        <f t="shared" si="26"/>
        <v>463140</v>
      </c>
    </row>
    <row r="13" spans="1:48" ht="21">
      <c r="A13" s="26"/>
      <c r="B13" s="135">
        <f t="shared" si="23"/>
        <v>45513</v>
      </c>
      <c r="C13" s="48" t="s">
        <v>52</v>
      </c>
      <c r="D13" s="27"/>
      <c r="E13" s="28"/>
      <c r="F13" s="29"/>
      <c r="G13" s="30" t="e">
        <f t="shared" si="0"/>
        <v>#DIV/0!</v>
      </c>
      <c r="H13" s="29"/>
      <c r="I13" s="31" t="e">
        <f t="shared" si="1"/>
        <v>#DIV/0!</v>
      </c>
      <c r="J13" s="32">
        <f t="shared" si="2"/>
        <v>0</v>
      </c>
      <c r="K13" s="33" t="str">
        <f t="shared" si="3"/>
        <v/>
      </c>
      <c r="L13" s="34"/>
      <c r="M13" s="35">
        <f t="shared" si="4"/>
        <v>39</v>
      </c>
      <c r="N13" s="36">
        <f t="shared" si="4"/>
        <v>355410</v>
      </c>
      <c r="O13" s="30">
        <f t="shared" si="5"/>
        <v>8284.6153846153848</v>
      </c>
      <c r="P13" s="36">
        <f t="shared" si="6"/>
        <v>53600</v>
      </c>
      <c r="Q13" s="31">
        <f t="shared" si="7"/>
        <v>1249.4102564102564</v>
      </c>
      <c r="R13" s="37">
        <f t="shared" si="8"/>
        <v>409010</v>
      </c>
      <c r="S13" s="33">
        <f t="shared" si="9"/>
        <v>10487.435897435897</v>
      </c>
      <c r="T13" s="49">
        <f t="shared" si="10"/>
        <v>39</v>
      </c>
      <c r="U13" s="36">
        <f t="shared" si="10"/>
        <v>355410</v>
      </c>
      <c r="V13" s="36">
        <f t="shared" si="11"/>
        <v>53600</v>
      </c>
      <c r="W13" s="39">
        <f t="shared" si="12"/>
        <v>409010</v>
      </c>
      <c r="X13" s="36">
        <f t="shared" si="13"/>
        <v>10487.435897435897</v>
      </c>
      <c r="Y13" s="40"/>
      <c r="Z13" s="41">
        <v>57</v>
      </c>
      <c r="AA13" s="29">
        <v>48880</v>
      </c>
      <c r="AB13" s="30">
        <f t="shared" si="14"/>
        <v>857.54385964912285</v>
      </c>
      <c r="AC13" s="29">
        <v>6550</v>
      </c>
      <c r="AD13" s="31">
        <f t="shared" si="15"/>
        <v>114.91228070175438</v>
      </c>
      <c r="AE13" s="42">
        <f t="shared" si="16"/>
        <v>55430</v>
      </c>
      <c r="AF13" s="33">
        <f t="shared" si="17"/>
        <v>972.45614035087715</v>
      </c>
      <c r="AG13" s="49">
        <f t="shared" si="18"/>
        <v>39</v>
      </c>
      <c r="AH13" s="36">
        <f t="shared" si="19"/>
        <v>404290</v>
      </c>
      <c r="AI13" s="36">
        <f t="shared" si="20"/>
        <v>60150</v>
      </c>
      <c r="AJ13" s="43">
        <f t="shared" si="21"/>
        <v>464440</v>
      </c>
      <c r="AK13" s="36">
        <f t="shared" si="22"/>
        <v>23100</v>
      </c>
      <c r="AL13" s="44">
        <v>39</v>
      </c>
      <c r="AM13" s="44">
        <v>355410</v>
      </c>
      <c r="AN13" s="44">
        <v>53600</v>
      </c>
      <c r="AO13" s="45">
        <v>23100</v>
      </c>
      <c r="AP13" s="45"/>
      <c r="AQ13" s="45"/>
      <c r="AR13" s="45"/>
      <c r="AS13" s="46">
        <f t="shared" si="24"/>
        <v>432110</v>
      </c>
      <c r="AT13" s="26">
        <v>9</v>
      </c>
      <c r="AU13" s="47">
        <f t="shared" si="25"/>
        <v>432110</v>
      </c>
      <c r="AV13" s="188">
        <f t="shared" si="26"/>
        <v>487540</v>
      </c>
    </row>
    <row r="14" spans="1:48" ht="21">
      <c r="A14" s="26"/>
      <c r="B14" s="134">
        <f t="shared" si="23"/>
        <v>45514</v>
      </c>
      <c r="C14" s="48"/>
      <c r="D14" s="27"/>
      <c r="E14" s="28">
        <v>22</v>
      </c>
      <c r="F14" s="29">
        <v>168520</v>
      </c>
      <c r="G14" s="30">
        <f t="shared" si="0"/>
        <v>6963.636363636364</v>
      </c>
      <c r="H14" s="29">
        <v>54400</v>
      </c>
      <c r="I14" s="31">
        <f t="shared" si="1"/>
        <v>2247.909090909091</v>
      </c>
      <c r="J14" s="32">
        <f t="shared" si="2"/>
        <v>222920</v>
      </c>
      <c r="K14" s="33">
        <f t="shared" si="3"/>
        <v>10132.727272727272</v>
      </c>
      <c r="L14" s="34"/>
      <c r="M14" s="35">
        <f t="shared" si="4"/>
        <v>41</v>
      </c>
      <c r="N14" s="36">
        <f t="shared" si="4"/>
        <v>422950</v>
      </c>
      <c r="O14" s="30">
        <f t="shared" si="5"/>
        <v>9378.0487804878048</v>
      </c>
      <c r="P14" s="36">
        <f t="shared" si="6"/>
        <v>96990</v>
      </c>
      <c r="Q14" s="31">
        <f t="shared" si="7"/>
        <v>2150.5365853658536</v>
      </c>
      <c r="R14" s="37">
        <f t="shared" si="8"/>
        <v>519940</v>
      </c>
      <c r="S14" s="33">
        <f t="shared" si="9"/>
        <v>12681.463414634147</v>
      </c>
      <c r="T14" s="49">
        <f t="shared" si="10"/>
        <v>63</v>
      </c>
      <c r="U14" s="36">
        <f t="shared" si="10"/>
        <v>591470</v>
      </c>
      <c r="V14" s="36">
        <f t="shared" si="11"/>
        <v>151390</v>
      </c>
      <c r="W14" s="39">
        <f t="shared" si="12"/>
        <v>742860</v>
      </c>
      <c r="X14" s="36">
        <f t="shared" si="13"/>
        <v>11791.428571428571</v>
      </c>
      <c r="Y14" s="40"/>
      <c r="Z14" s="41">
        <v>133</v>
      </c>
      <c r="AA14" s="29">
        <v>87910</v>
      </c>
      <c r="AB14" s="30">
        <f t="shared" si="14"/>
        <v>660.97744360902254</v>
      </c>
      <c r="AC14" s="29">
        <v>13250</v>
      </c>
      <c r="AD14" s="31">
        <f t="shared" si="15"/>
        <v>99.624060150375939</v>
      </c>
      <c r="AE14" s="42">
        <f t="shared" si="16"/>
        <v>101160</v>
      </c>
      <c r="AF14" s="33">
        <f t="shared" si="17"/>
        <v>760.6015037593985</v>
      </c>
      <c r="AG14" s="49">
        <f t="shared" si="18"/>
        <v>63</v>
      </c>
      <c r="AH14" s="36">
        <f t="shared" si="19"/>
        <v>679380</v>
      </c>
      <c r="AI14" s="36">
        <f t="shared" si="20"/>
        <v>164640</v>
      </c>
      <c r="AJ14" s="50">
        <f t="shared" si="21"/>
        <v>844020</v>
      </c>
      <c r="AK14" s="36">
        <f t="shared" si="22"/>
        <v>17600</v>
      </c>
      <c r="AL14" s="44">
        <v>63</v>
      </c>
      <c r="AM14" s="44">
        <v>591470</v>
      </c>
      <c r="AN14" s="44">
        <v>151390</v>
      </c>
      <c r="AO14" s="45">
        <v>12650</v>
      </c>
      <c r="AP14" s="45">
        <v>4950</v>
      </c>
      <c r="AQ14" s="45"/>
      <c r="AR14" s="45">
        <v>21560</v>
      </c>
      <c r="AS14" s="46">
        <f t="shared" si="24"/>
        <v>760460</v>
      </c>
      <c r="AT14" s="26">
        <v>10</v>
      </c>
      <c r="AU14" s="47">
        <f t="shared" si="25"/>
        <v>782020</v>
      </c>
      <c r="AV14" s="188">
        <f t="shared" si="26"/>
        <v>883180</v>
      </c>
    </row>
    <row r="15" spans="1:48" ht="21">
      <c r="A15" s="26"/>
      <c r="B15" s="51">
        <f t="shared" si="23"/>
        <v>45515</v>
      </c>
      <c r="C15" s="48"/>
      <c r="D15" s="27"/>
      <c r="E15" s="28">
        <v>34</v>
      </c>
      <c r="F15" s="29">
        <v>153360</v>
      </c>
      <c r="G15" s="30">
        <f t="shared" si="0"/>
        <v>4100.5294117647063</v>
      </c>
      <c r="H15" s="29">
        <v>27780</v>
      </c>
      <c r="I15" s="31">
        <f t="shared" si="1"/>
        <v>742.76470588235293</v>
      </c>
      <c r="J15" s="32">
        <f t="shared" si="2"/>
        <v>181140</v>
      </c>
      <c r="K15" s="33">
        <f t="shared" si="3"/>
        <v>5327.6470588235297</v>
      </c>
      <c r="L15" s="34"/>
      <c r="M15" s="35">
        <f t="shared" si="4"/>
        <v>39</v>
      </c>
      <c r="N15" s="36">
        <f t="shared" si="4"/>
        <v>341750</v>
      </c>
      <c r="O15" s="30">
        <f t="shared" si="5"/>
        <v>7966.1794871794873</v>
      </c>
      <c r="P15" s="36">
        <f t="shared" si="6"/>
        <v>64030</v>
      </c>
      <c r="Q15" s="31">
        <f t="shared" si="7"/>
        <v>1492.5384615384614</v>
      </c>
      <c r="R15" s="37">
        <f t="shared" si="8"/>
        <v>405780</v>
      </c>
      <c r="S15" s="33">
        <f t="shared" si="9"/>
        <v>10404.615384615385</v>
      </c>
      <c r="T15" s="49">
        <f t="shared" si="10"/>
        <v>73</v>
      </c>
      <c r="U15" s="36">
        <f t="shared" si="10"/>
        <v>495110</v>
      </c>
      <c r="V15" s="36">
        <f t="shared" si="11"/>
        <v>91810</v>
      </c>
      <c r="W15" s="39">
        <f t="shared" si="12"/>
        <v>586920</v>
      </c>
      <c r="X15" s="36">
        <f t="shared" si="13"/>
        <v>8040</v>
      </c>
      <c r="Y15" s="40"/>
      <c r="Z15" s="41">
        <v>176</v>
      </c>
      <c r="AA15" s="29">
        <v>137380</v>
      </c>
      <c r="AB15" s="30">
        <f t="shared" si="14"/>
        <v>780.56818181818187</v>
      </c>
      <c r="AC15" s="29">
        <v>20750</v>
      </c>
      <c r="AD15" s="31">
        <f t="shared" si="15"/>
        <v>117.89772727272727</v>
      </c>
      <c r="AE15" s="42">
        <f t="shared" si="16"/>
        <v>158130</v>
      </c>
      <c r="AF15" s="33">
        <f t="shared" si="17"/>
        <v>898.46590909090912</v>
      </c>
      <c r="AG15" s="49">
        <f t="shared" si="18"/>
        <v>73</v>
      </c>
      <c r="AH15" s="36">
        <f t="shared" si="19"/>
        <v>632490</v>
      </c>
      <c r="AI15" s="36">
        <f t="shared" si="20"/>
        <v>112560</v>
      </c>
      <c r="AJ15" s="43">
        <f t="shared" si="21"/>
        <v>745050</v>
      </c>
      <c r="AK15" s="36">
        <f t="shared" si="22"/>
        <v>29150</v>
      </c>
      <c r="AL15" s="44">
        <v>73</v>
      </c>
      <c r="AM15" s="44">
        <v>495110</v>
      </c>
      <c r="AN15" s="44">
        <v>91810</v>
      </c>
      <c r="AO15" s="45">
        <v>27500</v>
      </c>
      <c r="AP15" s="45">
        <v>1650</v>
      </c>
      <c r="AQ15" s="45"/>
      <c r="AR15" s="45">
        <v>70000</v>
      </c>
      <c r="AS15" s="46">
        <f t="shared" si="24"/>
        <v>616070</v>
      </c>
      <c r="AT15" s="26">
        <v>11</v>
      </c>
      <c r="AU15" s="47">
        <f t="shared" si="25"/>
        <v>686070</v>
      </c>
      <c r="AV15" s="188">
        <f>AU15+AE15</f>
        <v>844200</v>
      </c>
    </row>
    <row r="16" spans="1:48" ht="21">
      <c r="A16" s="26"/>
      <c r="B16" s="51">
        <f t="shared" si="23"/>
        <v>45516</v>
      </c>
      <c r="C16" s="48"/>
      <c r="D16" s="27"/>
      <c r="E16" s="28">
        <v>37</v>
      </c>
      <c r="F16" s="29">
        <v>136840</v>
      </c>
      <c r="G16" s="30">
        <f t="shared" si="0"/>
        <v>3362.1621621621621</v>
      </c>
      <c r="H16" s="29">
        <v>17450</v>
      </c>
      <c r="I16" s="31">
        <f t="shared" si="1"/>
        <v>428.72972972972974</v>
      </c>
      <c r="J16" s="32">
        <f t="shared" si="2"/>
        <v>154290</v>
      </c>
      <c r="K16" s="33">
        <f t="shared" si="3"/>
        <v>4170</v>
      </c>
      <c r="L16" s="34"/>
      <c r="M16" s="35">
        <f t="shared" si="4"/>
        <v>42</v>
      </c>
      <c r="N16" s="36">
        <f t="shared" si="4"/>
        <v>316580</v>
      </c>
      <c r="O16" s="30">
        <f t="shared" si="5"/>
        <v>6852.3809523809523</v>
      </c>
      <c r="P16" s="36">
        <f t="shared" si="6"/>
        <v>50240</v>
      </c>
      <c r="Q16" s="31">
        <f t="shared" si="7"/>
        <v>1087.4285714285713</v>
      </c>
      <c r="R16" s="37">
        <f t="shared" si="8"/>
        <v>366820</v>
      </c>
      <c r="S16" s="33">
        <f t="shared" si="9"/>
        <v>8733.8095238095229</v>
      </c>
      <c r="T16" s="49">
        <f t="shared" si="10"/>
        <v>79</v>
      </c>
      <c r="U16" s="36">
        <f t="shared" si="10"/>
        <v>453420</v>
      </c>
      <c r="V16" s="36">
        <f t="shared" si="11"/>
        <v>67690</v>
      </c>
      <c r="W16" s="39">
        <f t="shared" si="12"/>
        <v>521110</v>
      </c>
      <c r="X16" s="36">
        <f t="shared" si="13"/>
        <v>6596.3291139240509</v>
      </c>
      <c r="Y16" s="40"/>
      <c r="Z16" s="41">
        <v>168</v>
      </c>
      <c r="AA16" s="29">
        <v>147250</v>
      </c>
      <c r="AB16" s="30">
        <f t="shared" si="14"/>
        <v>876.48809523809518</v>
      </c>
      <c r="AC16" s="29">
        <v>32450</v>
      </c>
      <c r="AD16" s="31">
        <f t="shared" si="15"/>
        <v>193.1547619047619</v>
      </c>
      <c r="AE16" s="42">
        <f t="shared" si="16"/>
        <v>179700</v>
      </c>
      <c r="AF16" s="33">
        <f t="shared" si="17"/>
        <v>1069.6428571428571</v>
      </c>
      <c r="AG16" s="49">
        <f t="shared" si="18"/>
        <v>79</v>
      </c>
      <c r="AH16" s="36">
        <f t="shared" si="19"/>
        <v>600670</v>
      </c>
      <c r="AI16" s="36">
        <f t="shared" si="20"/>
        <v>100140</v>
      </c>
      <c r="AJ16" s="43">
        <f t="shared" si="21"/>
        <v>700810</v>
      </c>
      <c r="AK16" s="36">
        <f t="shared" si="22"/>
        <v>26950</v>
      </c>
      <c r="AL16" s="44">
        <v>79</v>
      </c>
      <c r="AM16" s="44">
        <v>453420</v>
      </c>
      <c r="AN16" s="44">
        <v>67690</v>
      </c>
      <c r="AO16" s="45">
        <v>26950</v>
      </c>
      <c r="AP16" s="45"/>
      <c r="AQ16" s="45"/>
      <c r="AR16" s="45"/>
      <c r="AS16" s="46">
        <f t="shared" si="24"/>
        <v>548060</v>
      </c>
      <c r="AT16" s="26">
        <v>12</v>
      </c>
      <c r="AU16" s="47">
        <f t="shared" si="25"/>
        <v>548060</v>
      </c>
      <c r="AV16" s="188">
        <f t="shared" si="26"/>
        <v>727760</v>
      </c>
    </row>
    <row r="17" spans="1:48" ht="21">
      <c r="A17" s="26"/>
      <c r="B17" s="135">
        <f t="shared" si="23"/>
        <v>45517</v>
      </c>
      <c r="C17" s="48" t="s">
        <v>67</v>
      </c>
      <c r="D17" s="27"/>
      <c r="E17" s="28"/>
      <c r="F17" s="29"/>
      <c r="G17" s="30" t="e">
        <f t="shared" si="0"/>
        <v>#DIV/0!</v>
      </c>
      <c r="H17" s="29"/>
      <c r="I17" s="31" t="e">
        <f t="shared" si="1"/>
        <v>#DIV/0!</v>
      </c>
      <c r="J17" s="32">
        <f t="shared" si="2"/>
        <v>0</v>
      </c>
      <c r="K17" s="33" t="str">
        <f t="shared" si="3"/>
        <v/>
      </c>
      <c r="L17" s="34"/>
      <c r="M17" s="35">
        <f t="shared" si="4"/>
        <v>34</v>
      </c>
      <c r="N17" s="36">
        <f t="shared" si="4"/>
        <v>333520</v>
      </c>
      <c r="O17" s="30">
        <f t="shared" si="5"/>
        <v>8917.6470588235297</v>
      </c>
      <c r="P17" s="36">
        <f t="shared" si="6"/>
        <v>61660</v>
      </c>
      <c r="Q17" s="31">
        <f t="shared" si="7"/>
        <v>1648.6470588235295</v>
      </c>
      <c r="R17" s="37">
        <f t="shared" si="8"/>
        <v>395180</v>
      </c>
      <c r="S17" s="33">
        <f t="shared" si="9"/>
        <v>11622.941176470587</v>
      </c>
      <c r="T17" s="49">
        <f t="shared" si="10"/>
        <v>34</v>
      </c>
      <c r="U17" s="36">
        <f t="shared" si="10"/>
        <v>333520</v>
      </c>
      <c r="V17" s="36">
        <f t="shared" si="11"/>
        <v>61660</v>
      </c>
      <c r="W17" s="39">
        <f t="shared" si="12"/>
        <v>395180</v>
      </c>
      <c r="X17" s="36">
        <f t="shared" si="13"/>
        <v>11622.941176470587</v>
      </c>
      <c r="Y17" s="40"/>
      <c r="Z17" s="41">
        <v>0</v>
      </c>
      <c r="AA17" s="29">
        <v>0</v>
      </c>
      <c r="AB17" s="30" t="e">
        <f t="shared" si="14"/>
        <v>#DIV/0!</v>
      </c>
      <c r="AC17" s="29">
        <v>0</v>
      </c>
      <c r="AD17" s="31" t="e">
        <f t="shared" si="15"/>
        <v>#DIV/0!</v>
      </c>
      <c r="AE17" s="42">
        <f t="shared" si="16"/>
        <v>0</v>
      </c>
      <c r="AF17" s="33" t="e">
        <f t="shared" si="17"/>
        <v>#DIV/0!</v>
      </c>
      <c r="AG17" s="49">
        <f t="shared" si="18"/>
        <v>34</v>
      </c>
      <c r="AH17" s="36">
        <f t="shared" si="19"/>
        <v>333520</v>
      </c>
      <c r="AI17" s="36">
        <f t="shared" si="20"/>
        <v>61660</v>
      </c>
      <c r="AJ17" s="43">
        <f t="shared" si="21"/>
        <v>395180</v>
      </c>
      <c r="AK17" s="36">
        <f t="shared" si="22"/>
        <v>4400</v>
      </c>
      <c r="AL17" s="44">
        <v>34</v>
      </c>
      <c r="AM17" s="44">
        <v>333520</v>
      </c>
      <c r="AN17" s="44">
        <v>61660</v>
      </c>
      <c r="AO17" s="45">
        <v>4400</v>
      </c>
      <c r="AP17" s="45"/>
      <c r="AQ17" s="45"/>
      <c r="AR17" s="45"/>
      <c r="AS17" s="46">
        <f t="shared" si="24"/>
        <v>399580</v>
      </c>
      <c r="AT17" s="26">
        <v>13</v>
      </c>
      <c r="AU17" s="47">
        <f t="shared" si="25"/>
        <v>399580</v>
      </c>
      <c r="AV17" s="188">
        <f t="shared" si="26"/>
        <v>399580</v>
      </c>
    </row>
    <row r="18" spans="1:48" ht="21">
      <c r="A18" s="26"/>
      <c r="B18" s="135">
        <f t="shared" si="23"/>
        <v>45518</v>
      </c>
      <c r="C18" s="48" t="s">
        <v>52</v>
      </c>
      <c r="D18" s="27"/>
      <c r="E18" s="28"/>
      <c r="F18" s="29"/>
      <c r="G18" s="30" t="e">
        <f t="shared" si="0"/>
        <v>#DIV/0!</v>
      </c>
      <c r="H18" s="29"/>
      <c r="I18" s="31" t="e">
        <f t="shared" si="1"/>
        <v>#DIV/0!</v>
      </c>
      <c r="J18" s="32">
        <f t="shared" si="2"/>
        <v>0</v>
      </c>
      <c r="K18" s="33" t="str">
        <f t="shared" si="3"/>
        <v/>
      </c>
      <c r="L18" s="34"/>
      <c r="M18" s="35">
        <f t="shared" si="4"/>
        <v>40</v>
      </c>
      <c r="N18" s="36">
        <f t="shared" si="4"/>
        <v>348150</v>
      </c>
      <c r="O18" s="30">
        <f t="shared" si="5"/>
        <v>7912.5</v>
      </c>
      <c r="P18" s="36">
        <f t="shared" si="6"/>
        <v>46690</v>
      </c>
      <c r="Q18" s="31">
        <f t="shared" si="7"/>
        <v>1061.125</v>
      </c>
      <c r="R18" s="37">
        <f t="shared" si="8"/>
        <v>394840</v>
      </c>
      <c r="S18" s="33">
        <f t="shared" si="9"/>
        <v>9871</v>
      </c>
      <c r="T18" s="49">
        <f t="shared" si="10"/>
        <v>40</v>
      </c>
      <c r="U18" s="36">
        <f t="shared" si="10"/>
        <v>348150</v>
      </c>
      <c r="V18" s="36">
        <f t="shared" si="11"/>
        <v>46690</v>
      </c>
      <c r="W18" s="39">
        <f t="shared" si="12"/>
        <v>394840</v>
      </c>
      <c r="X18" s="36">
        <f t="shared" si="13"/>
        <v>9871</v>
      </c>
      <c r="Y18" s="40"/>
      <c r="Z18" s="41">
        <v>47</v>
      </c>
      <c r="AA18" s="29">
        <v>51280</v>
      </c>
      <c r="AB18" s="30">
        <f t="shared" si="14"/>
        <v>1091.063829787234</v>
      </c>
      <c r="AC18" s="29">
        <v>9450</v>
      </c>
      <c r="AD18" s="31">
        <f t="shared" si="15"/>
        <v>201.06382978723406</v>
      </c>
      <c r="AE18" s="42">
        <f t="shared" si="16"/>
        <v>60730</v>
      </c>
      <c r="AF18" s="33">
        <f t="shared" si="17"/>
        <v>1292.127659574468</v>
      </c>
      <c r="AG18" s="49">
        <f t="shared" si="18"/>
        <v>40</v>
      </c>
      <c r="AH18" s="36">
        <f t="shared" si="19"/>
        <v>399430</v>
      </c>
      <c r="AI18" s="36">
        <f t="shared" si="20"/>
        <v>56140</v>
      </c>
      <c r="AJ18" s="43">
        <f t="shared" si="21"/>
        <v>455570</v>
      </c>
      <c r="AK18" s="36">
        <f t="shared" si="22"/>
        <v>10360</v>
      </c>
      <c r="AL18" s="44">
        <v>40</v>
      </c>
      <c r="AM18" s="44">
        <v>348150</v>
      </c>
      <c r="AN18" s="44">
        <v>46690</v>
      </c>
      <c r="AO18" s="45">
        <v>8800</v>
      </c>
      <c r="AP18" s="45">
        <v>1560</v>
      </c>
      <c r="AQ18" s="45"/>
      <c r="AR18" s="45"/>
      <c r="AS18" s="46">
        <f t="shared" si="24"/>
        <v>405200</v>
      </c>
      <c r="AT18" s="26">
        <v>14</v>
      </c>
      <c r="AU18" s="47">
        <f t="shared" si="25"/>
        <v>405200</v>
      </c>
      <c r="AV18" s="188">
        <f t="shared" si="26"/>
        <v>465930</v>
      </c>
    </row>
    <row r="19" spans="1:48" ht="21">
      <c r="A19" s="26"/>
      <c r="B19" s="135">
        <f t="shared" si="23"/>
        <v>45519</v>
      </c>
      <c r="C19" s="48" t="s">
        <v>52</v>
      </c>
      <c r="D19" s="27"/>
      <c r="E19" s="28"/>
      <c r="F19" s="29"/>
      <c r="G19" s="30" t="e">
        <f t="shared" si="0"/>
        <v>#DIV/0!</v>
      </c>
      <c r="H19" s="29"/>
      <c r="I19" s="31" t="e">
        <f t="shared" si="1"/>
        <v>#DIV/0!</v>
      </c>
      <c r="J19" s="32">
        <f t="shared" si="2"/>
        <v>0</v>
      </c>
      <c r="K19" s="33" t="str">
        <f t="shared" si="3"/>
        <v/>
      </c>
      <c r="L19" s="34"/>
      <c r="M19" s="35">
        <f t="shared" si="4"/>
        <v>40</v>
      </c>
      <c r="N19" s="36">
        <f t="shared" si="4"/>
        <v>323270</v>
      </c>
      <c r="O19" s="30">
        <f t="shared" si="5"/>
        <v>7347.0249999999996</v>
      </c>
      <c r="P19" s="36">
        <f t="shared" si="6"/>
        <v>52600</v>
      </c>
      <c r="Q19" s="52">
        <f t="shared" si="7"/>
        <v>1195.45</v>
      </c>
      <c r="R19" s="37">
        <f t="shared" si="8"/>
        <v>375870</v>
      </c>
      <c r="S19" s="33">
        <f t="shared" si="9"/>
        <v>9396.75</v>
      </c>
      <c r="T19" s="49">
        <f t="shared" si="10"/>
        <v>40</v>
      </c>
      <c r="U19" s="36">
        <f t="shared" si="10"/>
        <v>323270</v>
      </c>
      <c r="V19" s="36">
        <f t="shared" si="11"/>
        <v>52600</v>
      </c>
      <c r="W19" s="39">
        <f t="shared" si="12"/>
        <v>375870</v>
      </c>
      <c r="X19" s="36">
        <f t="shared" si="13"/>
        <v>9396.75</v>
      </c>
      <c r="Y19" s="40"/>
      <c r="Z19" s="41">
        <v>136</v>
      </c>
      <c r="AA19" s="29">
        <v>102130</v>
      </c>
      <c r="AB19" s="30">
        <f t="shared" si="14"/>
        <v>750.95588235294122</v>
      </c>
      <c r="AC19" s="29">
        <v>24450</v>
      </c>
      <c r="AD19" s="31">
        <f t="shared" si="15"/>
        <v>179.77941176470588</v>
      </c>
      <c r="AE19" s="42">
        <f t="shared" si="16"/>
        <v>126580</v>
      </c>
      <c r="AF19" s="33">
        <f t="shared" si="17"/>
        <v>930.73529411764707</v>
      </c>
      <c r="AG19" s="49">
        <f t="shared" si="18"/>
        <v>40</v>
      </c>
      <c r="AH19" s="36">
        <f t="shared" si="19"/>
        <v>425400</v>
      </c>
      <c r="AI19" s="36">
        <f t="shared" si="20"/>
        <v>77050</v>
      </c>
      <c r="AJ19" s="43">
        <f t="shared" si="21"/>
        <v>502450</v>
      </c>
      <c r="AK19" s="36">
        <f t="shared" si="22"/>
        <v>6600</v>
      </c>
      <c r="AL19" s="44">
        <v>40</v>
      </c>
      <c r="AM19" s="44">
        <v>323270</v>
      </c>
      <c r="AN19" s="44">
        <v>52600</v>
      </c>
      <c r="AO19" s="45">
        <v>6600</v>
      </c>
      <c r="AP19" s="45"/>
      <c r="AQ19" s="45"/>
      <c r="AR19" s="45"/>
      <c r="AS19" s="46">
        <f t="shared" si="24"/>
        <v>382470</v>
      </c>
      <c r="AT19" s="26">
        <v>15</v>
      </c>
      <c r="AU19" s="47">
        <f t="shared" si="25"/>
        <v>382470</v>
      </c>
      <c r="AV19" s="188">
        <f t="shared" si="26"/>
        <v>509050</v>
      </c>
    </row>
    <row r="20" spans="1:48" ht="21">
      <c r="A20" s="26"/>
      <c r="B20" s="135">
        <f t="shared" si="23"/>
        <v>45520</v>
      </c>
      <c r="C20" s="48" t="s">
        <v>52</v>
      </c>
      <c r="D20" s="27"/>
      <c r="E20" s="28"/>
      <c r="F20" s="29"/>
      <c r="G20" s="30" t="e">
        <f t="shared" si="0"/>
        <v>#DIV/0!</v>
      </c>
      <c r="H20" s="29"/>
      <c r="I20" s="30" t="e">
        <f t="shared" si="1"/>
        <v>#DIV/0!</v>
      </c>
      <c r="J20" s="32">
        <f t="shared" si="2"/>
        <v>0</v>
      </c>
      <c r="K20" s="33" t="str">
        <f t="shared" si="3"/>
        <v/>
      </c>
      <c r="L20" s="34"/>
      <c r="M20" s="35">
        <f t="shared" si="4"/>
        <v>40</v>
      </c>
      <c r="N20" s="36">
        <f t="shared" si="4"/>
        <v>362890</v>
      </c>
      <c r="O20" s="30">
        <f t="shared" si="5"/>
        <v>8247.5</v>
      </c>
      <c r="P20" s="36">
        <f t="shared" si="6"/>
        <v>77960</v>
      </c>
      <c r="Q20" s="52">
        <f t="shared" si="7"/>
        <v>1771.8</v>
      </c>
      <c r="R20" s="37">
        <f t="shared" si="8"/>
        <v>440850</v>
      </c>
      <c r="S20" s="33">
        <f t="shared" si="9"/>
        <v>11021.25</v>
      </c>
      <c r="T20" s="49">
        <f t="shared" si="10"/>
        <v>40</v>
      </c>
      <c r="U20" s="36">
        <f t="shared" si="10"/>
        <v>362890</v>
      </c>
      <c r="V20" s="36">
        <f t="shared" si="11"/>
        <v>77960</v>
      </c>
      <c r="W20" s="39">
        <f t="shared" si="12"/>
        <v>440850</v>
      </c>
      <c r="X20" s="36">
        <f t="shared" si="13"/>
        <v>11021.25</v>
      </c>
      <c r="Y20" s="40"/>
      <c r="Z20" s="41">
        <v>163</v>
      </c>
      <c r="AA20" s="29">
        <v>129900</v>
      </c>
      <c r="AB20" s="30">
        <f t="shared" si="14"/>
        <v>796.9325153374233</v>
      </c>
      <c r="AC20" s="29">
        <v>24750</v>
      </c>
      <c r="AD20" s="31">
        <f t="shared" si="15"/>
        <v>151.84049079754601</v>
      </c>
      <c r="AE20" s="42">
        <f t="shared" si="16"/>
        <v>154650</v>
      </c>
      <c r="AF20" s="33">
        <f t="shared" si="17"/>
        <v>948.77300613496936</v>
      </c>
      <c r="AG20" s="49">
        <f t="shared" si="18"/>
        <v>40</v>
      </c>
      <c r="AH20" s="44">
        <f t="shared" si="19"/>
        <v>492790</v>
      </c>
      <c r="AI20" s="44">
        <f t="shared" si="20"/>
        <v>102710</v>
      </c>
      <c r="AJ20" s="43">
        <f t="shared" si="21"/>
        <v>595500</v>
      </c>
      <c r="AK20" s="36">
        <f t="shared" si="22"/>
        <v>18150</v>
      </c>
      <c r="AL20" s="44">
        <v>40</v>
      </c>
      <c r="AM20" s="44">
        <v>362890</v>
      </c>
      <c r="AN20" s="44">
        <v>77960</v>
      </c>
      <c r="AO20" s="45">
        <v>18150</v>
      </c>
      <c r="AP20" s="45"/>
      <c r="AQ20" s="45"/>
      <c r="AR20" s="45"/>
      <c r="AS20" s="46">
        <f t="shared" si="24"/>
        <v>459000</v>
      </c>
      <c r="AT20" s="26">
        <v>16</v>
      </c>
      <c r="AU20" s="47">
        <f t="shared" si="25"/>
        <v>459000</v>
      </c>
      <c r="AV20" s="188">
        <f t="shared" si="26"/>
        <v>613650</v>
      </c>
    </row>
    <row r="21" spans="1:48" ht="15.75" customHeight="1">
      <c r="A21" s="26"/>
      <c r="B21" s="134">
        <f t="shared" si="23"/>
        <v>45521</v>
      </c>
      <c r="C21" s="48"/>
      <c r="D21" s="27"/>
      <c r="E21" s="28">
        <v>30</v>
      </c>
      <c r="F21" s="29">
        <v>113520</v>
      </c>
      <c r="G21" s="30">
        <f t="shared" si="0"/>
        <v>3440</v>
      </c>
      <c r="H21" s="29">
        <v>23620</v>
      </c>
      <c r="I21" s="30">
        <f t="shared" si="1"/>
        <v>715.73333333333335</v>
      </c>
      <c r="J21" s="32">
        <f t="shared" si="2"/>
        <v>137140</v>
      </c>
      <c r="K21" s="33">
        <f t="shared" si="3"/>
        <v>4571.333333333333</v>
      </c>
      <c r="L21" s="34"/>
      <c r="M21" s="35">
        <f t="shared" ref="M21:N35" si="27">AL21-E21</f>
        <v>36</v>
      </c>
      <c r="N21" s="36">
        <f t="shared" si="27"/>
        <v>312840</v>
      </c>
      <c r="O21" s="30">
        <f t="shared" si="5"/>
        <v>7900</v>
      </c>
      <c r="P21" s="36">
        <f t="shared" si="6"/>
        <v>49580</v>
      </c>
      <c r="Q21" s="52">
        <f t="shared" si="7"/>
        <v>1252</v>
      </c>
      <c r="R21" s="37">
        <f t="shared" si="8"/>
        <v>362420</v>
      </c>
      <c r="S21" s="33">
        <f t="shared" si="9"/>
        <v>10067.222222222223</v>
      </c>
      <c r="T21" s="49">
        <f t="shared" ref="T21:U35" si="28">E21+M21</f>
        <v>66</v>
      </c>
      <c r="U21" s="36">
        <f t="shared" si="28"/>
        <v>426360</v>
      </c>
      <c r="V21" s="36">
        <f t="shared" si="11"/>
        <v>73200</v>
      </c>
      <c r="W21" s="39">
        <f t="shared" si="12"/>
        <v>499560</v>
      </c>
      <c r="X21" s="36">
        <f t="shared" si="13"/>
        <v>7569.090909090909</v>
      </c>
      <c r="Y21" s="40"/>
      <c r="Z21" s="41">
        <v>70</v>
      </c>
      <c r="AA21" s="29">
        <v>56510</v>
      </c>
      <c r="AB21" s="30">
        <f t="shared" si="14"/>
        <v>807.28571428571433</v>
      </c>
      <c r="AC21" s="29">
        <v>9600</v>
      </c>
      <c r="AD21" s="31">
        <f t="shared" si="15"/>
        <v>137.14285714285714</v>
      </c>
      <c r="AE21" s="42">
        <f t="shared" si="16"/>
        <v>66110</v>
      </c>
      <c r="AF21" s="33">
        <f t="shared" si="17"/>
        <v>944.42857142857144</v>
      </c>
      <c r="AG21" s="49">
        <f t="shared" si="18"/>
        <v>66</v>
      </c>
      <c r="AH21" s="44">
        <f t="shared" si="19"/>
        <v>482870</v>
      </c>
      <c r="AI21" s="44">
        <f t="shared" si="20"/>
        <v>82800</v>
      </c>
      <c r="AJ21" s="43">
        <f t="shared" si="21"/>
        <v>565670</v>
      </c>
      <c r="AK21" s="36">
        <f t="shared" si="22"/>
        <v>21010</v>
      </c>
      <c r="AL21" s="44">
        <v>66</v>
      </c>
      <c r="AM21" s="44">
        <v>426360</v>
      </c>
      <c r="AN21" s="44">
        <v>73200</v>
      </c>
      <c r="AO21" s="45">
        <v>19800</v>
      </c>
      <c r="AP21" s="45">
        <v>1210</v>
      </c>
      <c r="AQ21" s="45"/>
      <c r="AR21" s="45"/>
      <c r="AS21" s="46">
        <f t="shared" si="24"/>
        <v>520570</v>
      </c>
      <c r="AT21" s="26">
        <v>17</v>
      </c>
      <c r="AU21" s="47">
        <f t="shared" si="25"/>
        <v>520570</v>
      </c>
      <c r="AV21" s="188">
        <f t="shared" si="26"/>
        <v>586680</v>
      </c>
    </row>
    <row r="22" spans="1:48" ht="15.75" customHeight="1">
      <c r="A22" s="26"/>
      <c r="B22" s="51">
        <f t="shared" si="23"/>
        <v>45522</v>
      </c>
      <c r="C22" s="48"/>
      <c r="D22" s="27"/>
      <c r="E22" s="28">
        <v>36</v>
      </c>
      <c r="F22" s="29">
        <v>134200</v>
      </c>
      <c r="G22" s="30">
        <f t="shared" si="0"/>
        <v>3388.8888888888887</v>
      </c>
      <c r="H22" s="29">
        <v>26160</v>
      </c>
      <c r="I22" s="30">
        <f t="shared" si="1"/>
        <v>660.58333333333337</v>
      </c>
      <c r="J22" s="32">
        <f t="shared" si="2"/>
        <v>160360</v>
      </c>
      <c r="K22" s="33">
        <f t="shared" si="3"/>
        <v>4454.4444444444443</v>
      </c>
      <c r="L22" s="34"/>
      <c r="M22" s="35">
        <f t="shared" si="27"/>
        <v>38</v>
      </c>
      <c r="N22" s="36">
        <f t="shared" si="27"/>
        <v>330110</v>
      </c>
      <c r="O22" s="30">
        <f t="shared" si="5"/>
        <v>7897.3684210526317</v>
      </c>
      <c r="P22" s="36">
        <f t="shared" si="6"/>
        <v>62550</v>
      </c>
      <c r="Q22" s="52">
        <f t="shared" si="7"/>
        <v>1496.3947368421052</v>
      </c>
      <c r="R22" s="37">
        <f t="shared" si="8"/>
        <v>392660</v>
      </c>
      <c r="S22" s="33">
        <f t="shared" si="9"/>
        <v>10333.157894736842</v>
      </c>
      <c r="T22" s="49">
        <f t="shared" si="28"/>
        <v>74</v>
      </c>
      <c r="U22" s="36">
        <f t="shared" si="28"/>
        <v>464310</v>
      </c>
      <c r="V22" s="36">
        <f t="shared" si="11"/>
        <v>88710</v>
      </c>
      <c r="W22" s="39">
        <f t="shared" si="12"/>
        <v>553020</v>
      </c>
      <c r="X22" s="36">
        <f t="shared" si="13"/>
        <v>7473.2432432432433</v>
      </c>
      <c r="Y22" s="40"/>
      <c r="Z22" s="41">
        <v>188</v>
      </c>
      <c r="AA22" s="29">
        <v>158480</v>
      </c>
      <c r="AB22" s="30">
        <f t="shared" si="14"/>
        <v>842.97872340425533</v>
      </c>
      <c r="AC22" s="29">
        <v>28250</v>
      </c>
      <c r="AD22" s="31">
        <f t="shared" si="15"/>
        <v>150.2659574468085</v>
      </c>
      <c r="AE22" s="42">
        <f t="shared" si="16"/>
        <v>186730</v>
      </c>
      <c r="AF22" s="33">
        <f t="shared" si="17"/>
        <v>993.24468085106378</v>
      </c>
      <c r="AG22" s="49">
        <f t="shared" si="18"/>
        <v>74</v>
      </c>
      <c r="AH22" s="44">
        <f t="shared" si="19"/>
        <v>622790</v>
      </c>
      <c r="AI22" s="44">
        <f t="shared" si="20"/>
        <v>116960</v>
      </c>
      <c r="AJ22" s="43">
        <f t="shared" si="21"/>
        <v>739750</v>
      </c>
      <c r="AK22" s="36">
        <f t="shared" si="22"/>
        <v>29150</v>
      </c>
      <c r="AL22" s="44">
        <v>74</v>
      </c>
      <c r="AM22" s="44">
        <v>464310</v>
      </c>
      <c r="AN22" s="44">
        <v>88710</v>
      </c>
      <c r="AO22" s="45">
        <v>29150</v>
      </c>
      <c r="AP22" s="45"/>
      <c r="AQ22" s="45"/>
      <c r="AR22" s="45">
        <v>6600</v>
      </c>
      <c r="AS22" s="46">
        <f t="shared" si="24"/>
        <v>582170</v>
      </c>
      <c r="AT22" s="26">
        <v>18</v>
      </c>
      <c r="AU22" s="47">
        <f t="shared" si="25"/>
        <v>588770</v>
      </c>
      <c r="AV22" s="188">
        <f t="shared" si="26"/>
        <v>775500</v>
      </c>
    </row>
    <row r="23" spans="1:48" ht="15.75" customHeight="1">
      <c r="A23" s="26"/>
      <c r="B23" s="135">
        <f t="shared" si="23"/>
        <v>45523</v>
      </c>
      <c r="C23" s="48" t="s">
        <v>52</v>
      </c>
      <c r="D23" s="27"/>
      <c r="E23" s="28"/>
      <c r="F23" s="29"/>
      <c r="G23" s="30" t="e">
        <f t="shared" si="0"/>
        <v>#DIV/0!</v>
      </c>
      <c r="H23" s="29"/>
      <c r="I23" s="30" t="e">
        <f t="shared" si="1"/>
        <v>#DIV/0!</v>
      </c>
      <c r="J23" s="32">
        <f t="shared" si="2"/>
        <v>0</v>
      </c>
      <c r="K23" s="33" t="str">
        <f t="shared" si="3"/>
        <v/>
      </c>
      <c r="L23" s="34"/>
      <c r="M23" s="35">
        <f t="shared" si="27"/>
        <v>37</v>
      </c>
      <c r="N23" s="36">
        <f t="shared" si="27"/>
        <v>304370</v>
      </c>
      <c r="O23" s="30">
        <f t="shared" si="5"/>
        <v>7478.3783783783783</v>
      </c>
      <c r="P23" s="36">
        <f t="shared" si="6"/>
        <v>61310</v>
      </c>
      <c r="Q23" s="52">
        <f t="shared" si="7"/>
        <v>1506.3783783783783</v>
      </c>
      <c r="R23" s="37">
        <f t="shared" si="8"/>
        <v>365680</v>
      </c>
      <c r="S23" s="33">
        <f t="shared" si="9"/>
        <v>9883.2432432432433</v>
      </c>
      <c r="T23" s="49">
        <f t="shared" si="28"/>
        <v>37</v>
      </c>
      <c r="U23" s="36">
        <f t="shared" si="28"/>
        <v>304370</v>
      </c>
      <c r="V23" s="36">
        <f t="shared" si="11"/>
        <v>61310</v>
      </c>
      <c r="W23" s="39">
        <f t="shared" si="12"/>
        <v>365680</v>
      </c>
      <c r="X23" s="36">
        <f t="shared" si="13"/>
        <v>9883.2432432432433</v>
      </c>
      <c r="Y23" s="40"/>
      <c r="Z23" s="41">
        <v>128</v>
      </c>
      <c r="AA23" s="29">
        <v>100560</v>
      </c>
      <c r="AB23" s="30">
        <f t="shared" si="14"/>
        <v>785.625</v>
      </c>
      <c r="AC23" s="29">
        <v>17700</v>
      </c>
      <c r="AD23" s="31">
        <f t="shared" si="15"/>
        <v>138.28125</v>
      </c>
      <c r="AE23" s="42">
        <f t="shared" si="16"/>
        <v>118260</v>
      </c>
      <c r="AF23" s="33">
        <f t="shared" si="17"/>
        <v>923.90625</v>
      </c>
      <c r="AG23" s="49">
        <f t="shared" si="18"/>
        <v>37</v>
      </c>
      <c r="AH23" s="44">
        <f t="shared" si="19"/>
        <v>404930</v>
      </c>
      <c r="AI23" s="44">
        <f t="shared" si="20"/>
        <v>79010</v>
      </c>
      <c r="AJ23" s="43">
        <f t="shared" si="21"/>
        <v>483940</v>
      </c>
      <c r="AK23" s="36">
        <f t="shared" si="22"/>
        <v>23650</v>
      </c>
      <c r="AL23" s="44">
        <v>37</v>
      </c>
      <c r="AM23" s="44">
        <v>304370</v>
      </c>
      <c r="AN23" s="44">
        <v>61310</v>
      </c>
      <c r="AO23" s="45">
        <v>23650</v>
      </c>
      <c r="AP23" s="45"/>
      <c r="AQ23" s="45"/>
      <c r="AR23" s="45"/>
      <c r="AS23" s="46">
        <f t="shared" si="24"/>
        <v>389330</v>
      </c>
      <c r="AT23" s="26">
        <v>19</v>
      </c>
      <c r="AU23" s="47">
        <f t="shared" si="25"/>
        <v>389330</v>
      </c>
      <c r="AV23" s="188">
        <f t="shared" si="26"/>
        <v>507590</v>
      </c>
    </row>
    <row r="24" spans="1:48" ht="15.75" customHeight="1">
      <c r="A24" s="26"/>
      <c r="B24" s="135">
        <f t="shared" si="23"/>
        <v>45524</v>
      </c>
      <c r="C24" s="48" t="s">
        <v>52</v>
      </c>
      <c r="D24" s="27"/>
      <c r="E24" s="28"/>
      <c r="F24" s="29"/>
      <c r="G24" s="30" t="e">
        <f t="shared" si="0"/>
        <v>#DIV/0!</v>
      </c>
      <c r="H24" s="29"/>
      <c r="I24" s="30" t="e">
        <f t="shared" si="1"/>
        <v>#DIV/0!</v>
      </c>
      <c r="J24" s="32">
        <f t="shared" si="2"/>
        <v>0</v>
      </c>
      <c r="K24" s="33" t="str">
        <f t="shared" si="3"/>
        <v/>
      </c>
      <c r="L24" s="34"/>
      <c r="M24" s="35">
        <f t="shared" si="27"/>
        <v>40</v>
      </c>
      <c r="N24" s="36">
        <f t="shared" si="27"/>
        <v>364960</v>
      </c>
      <c r="O24" s="30">
        <f t="shared" si="5"/>
        <v>8294.5249999999996</v>
      </c>
      <c r="P24" s="36">
        <f t="shared" si="6"/>
        <v>65180</v>
      </c>
      <c r="Q24" s="52">
        <f t="shared" si="7"/>
        <v>1481.35</v>
      </c>
      <c r="R24" s="37">
        <f t="shared" si="8"/>
        <v>430140</v>
      </c>
      <c r="S24" s="33">
        <f t="shared" si="9"/>
        <v>10753.5</v>
      </c>
      <c r="T24" s="49">
        <f t="shared" si="28"/>
        <v>40</v>
      </c>
      <c r="U24" s="36">
        <f t="shared" si="28"/>
        <v>364960</v>
      </c>
      <c r="V24" s="36">
        <f t="shared" si="11"/>
        <v>65180</v>
      </c>
      <c r="W24" s="39">
        <f t="shared" si="12"/>
        <v>430140</v>
      </c>
      <c r="X24" s="36">
        <f t="shared" si="13"/>
        <v>10753.5</v>
      </c>
      <c r="Y24" s="40"/>
      <c r="Z24" s="41">
        <v>83</v>
      </c>
      <c r="AA24" s="29">
        <v>56450</v>
      </c>
      <c r="AB24" s="30">
        <f t="shared" si="14"/>
        <v>680.1204819277109</v>
      </c>
      <c r="AC24" s="29">
        <v>15750</v>
      </c>
      <c r="AD24" s="31">
        <f t="shared" si="15"/>
        <v>189.75903614457832</v>
      </c>
      <c r="AE24" s="42">
        <f t="shared" si="16"/>
        <v>72200</v>
      </c>
      <c r="AF24" s="33">
        <f t="shared" si="17"/>
        <v>869.8795180722891</v>
      </c>
      <c r="AG24" s="49">
        <f t="shared" si="18"/>
        <v>40</v>
      </c>
      <c r="AH24" s="44">
        <f t="shared" si="19"/>
        <v>421410</v>
      </c>
      <c r="AI24" s="44">
        <f t="shared" si="20"/>
        <v>80930</v>
      </c>
      <c r="AJ24" s="43">
        <f t="shared" si="21"/>
        <v>502340</v>
      </c>
      <c r="AK24" s="36">
        <f t="shared" si="22"/>
        <v>19250</v>
      </c>
      <c r="AL24" s="44">
        <v>40</v>
      </c>
      <c r="AM24" s="44">
        <v>364960</v>
      </c>
      <c r="AN24" s="44">
        <v>65180</v>
      </c>
      <c r="AO24" s="45">
        <v>17600</v>
      </c>
      <c r="AP24" s="45">
        <v>1650</v>
      </c>
      <c r="AQ24" s="45"/>
      <c r="AR24" s="45"/>
      <c r="AS24" s="46">
        <f t="shared" si="24"/>
        <v>449390</v>
      </c>
      <c r="AT24" s="26">
        <v>20</v>
      </c>
      <c r="AU24" s="47">
        <f t="shared" si="25"/>
        <v>449390</v>
      </c>
      <c r="AV24" s="188">
        <f t="shared" si="26"/>
        <v>521590</v>
      </c>
    </row>
    <row r="25" spans="1:48" ht="15.75" customHeight="1">
      <c r="A25" s="26"/>
      <c r="B25" s="135">
        <f t="shared" si="23"/>
        <v>45525</v>
      </c>
      <c r="C25" s="48" t="s">
        <v>52</v>
      </c>
      <c r="D25" s="27"/>
      <c r="E25" s="28"/>
      <c r="F25" s="29"/>
      <c r="G25" s="30" t="e">
        <f t="shared" si="0"/>
        <v>#DIV/0!</v>
      </c>
      <c r="H25" s="29"/>
      <c r="I25" s="30" t="e">
        <f t="shared" si="1"/>
        <v>#DIV/0!</v>
      </c>
      <c r="J25" s="32">
        <f t="shared" si="2"/>
        <v>0</v>
      </c>
      <c r="K25" s="33" t="str">
        <f t="shared" si="3"/>
        <v/>
      </c>
      <c r="L25" s="34"/>
      <c r="M25" s="35">
        <f t="shared" si="27"/>
        <v>37</v>
      </c>
      <c r="N25" s="36">
        <f t="shared" si="27"/>
        <v>332970</v>
      </c>
      <c r="O25" s="30">
        <f t="shared" si="5"/>
        <v>8181.0810810810808</v>
      </c>
      <c r="P25" s="36">
        <f t="shared" si="6"/>
        <v>41410</v>
      </c>
      <c r="Q25" s="52">
        <f t="shared" si="7"/>
        <v>1017.4324324324324</v>
      </c>
      <c r="R25" s="37">
        <f t="shared" si="8"/>
        <v>374380</v>
      </c>
      <c r="S25" s="33">
        <f t="shared" si="9"/>
        <v>10118.378378378378</v>
      </c>
      <c r="T25" s="49">
        <f t="shared" si="28"/>
        <v>37</v>
      </c>
      <c r="U25" s="36">
        <f t="shared" si="28"/>
        <v>332970</v>
      </c>
      <c r="V25" s="36">
        <f t="shared" si="11"/>
        <v>41410</v>
      </c>
      <c r="W25" s="39">
        <f t="shared" si="12"/>
        <v>374380</v>
      </c>
      <c r="X25" s="36">
        <f t="shared" si="13"/>
        <v>10118.378378378378</v>
      </c>
      <c r="Y25" s="40"/>
      <c r="Z25" s="41">
        <v>112</v>
      </c>
      <c r="AA25" s="29">
        <v>95840</v>
      </c>
      <c r="AB25" s="30">
        <f t="shared" si="14"/>
        <v>855.71428571428567</v>
      </c>
      <c r="AC25" s="29">
        <v>18600</v>
      </c>
      <c r="AD25" s="31">
        <f t="shared" si="15"/>
        <v>166.07142857142858</v>
      </c>
      <c r="AE25" s="42">
        <f t="shared" si="16"/>
        <v>114440</v>
      </c>
      <c r="AF25" s="33">
        <f t="shared" si="17"/>
        <v>1021.7857142857143</v>
      </c>
      <c r="AG25" s="49">
        <f t="shared" si="18"/>
        <v>37</v>
      </c>
      <c r="AH25" s="44">
        <f t="shared" si="19"/>
        <v>428810</v>
      </c>
      <c r="AI25" s="44">
        <f t="shared" si="20"/>
        <v>60010</v>
      </c>
      <c r="AJ25" s="43">
        <f t="shared" si="21"/>
        <v>488820</v>
      </c>
      <c r="AK25" s="36">
        <f t="shared" si="22"/>
        <v>22370</v>
      </c>
      <c r="AL25" s="44">
        <v>37</v>
      </c>
      <c r="AM25" s="44">
        <v>332970</v>
      </c>
      <c r="AN25" s="44">
        <v>41410</v>
      </c>
      <c r="AO25" s="45">
        <v>19250</v>
      </c>
      <c r="AP25" s="45">
        <v>3120</v>
      </c>
      <c r="AQ25" s="45"/>
      <c r="AR25" s="45">
        <v>5610</v>
      </c>
      <c r="AS25" s="46">
        <f t="shared" si="24"/>
        <v>396750</v>
      </c>
      <c r="AT25" s="26">
        <v>21</v>
      </c>
      <c r="AU25" s="47">
        <f t="shared" si="25"/>
        <v>402360</v>
      </c>
      <c r="AV25" s="188">
        <f t="shared" si="26"/>
        <v>516800</v>
      </c>
    </row>
    <row r="26" spans="1:48" ht="15.75" customHeight="1">
      <c r="A26" s="26"/>
      <c r="B26" s="135">
        <f t="shared" si="23"/>
        <v>45526</v>
      </c>
      <c r="C26" s="48" t="s">
        <v>52</v>
      </c>
      <c r="D26" s="27"/>
      <c r="E26" s="28"/>
      <c r="F26" s="29"/>
      <c r="G26" s="30" t="e">
        <f t="shared" si="0"/>
        <v>#DIV/0!</v>
      </c>
      <c r="H26" s="29"/>
      <c r="I26" s="30" t="e">
        <f t="shared" si="1"/>
        <v>#DIV/0!</v>
      </c>
      <c r="J26" s="32">
        <f t="shared" si="2"/>
        <v>0</v>
      </c>
      <c r="K26" s="33" t="str">
        <f t="shared" si="3"/>
        <v/>
      </c>
      <c r="L26" s="34"/>
      <c r="M26" s="35">
        <f t="shared" si="27"/>
        <v>41</v>
      </c>
      <c r="N26" s="36">
        <f t="shared" si="27"/>
        <v>422290</v>
      </c>
      <c r="O26" s="30">
        <f t="shared" si="5"/>
        <v>9363.414634146342</v>
      </c>
      <c r="P26" s="36">
        <f t="shared" si="6"/>
        <v>81610</v>
      </c>
      <c r="Q26" s="52">
        <f t="shared" si="7"/>
        <v>1809.5121951219512</v>
      </c>
      <c r="R26" s="37">
        <f t="shared" si="8"/>
        <v>503900</v>
      </c>
      <c r="S26" s="33">
        <f t="shared" si="9"/>
        <v>12290.243902439024</v>
      </c>
      <c r="T26" s="49">
        <f t="shared" si="28"/>
        <v>41</v>
      </c>
      <c r="U26" s="36">
        <f t="shared" si="28"/>
        <v>422290</v>
      </c>
      <c r="V26" s="36">
        <f t="shared" si="11"/>
        <v>81610</v>
      </c>
      <c r="W26" s="39">
        <f t="shared" si="12"/>
        <v>503900</v>
      </c>
      <c r="X26" s="36">
        <f t="shared" si="13"/>
        <v>12290.243902439024</v>
      </c>
      <c r="Y26" s="40"/>
      <c r="Z26" s="41">
        <v>51</v>
      </c>
      <c r="AA26" s="29">
        <v>34510</v>
      </c>
      <c r="AB26" s="30">
        <f t="shared" si="14"/>
        <v>676.66666666666663</v>
      </c>
      <c r="AC26" s="29">
        <v>12800</v>
      </c>
      <c r="AD26" s="31">
        <f t="shared" si="15"/>
        <v>250.98039215686273</v>
      </c>
      <c r="AE26" s="42">
        <f t="shared" si="16"/>
        <v>47310</v>
      </c>
      <c r="AF26" s="33">
        <f t="shared" si="17"/>
        <v>927.64705882352939</v>
      </c>
      <c r="AG26" s="49">
        <f t="shared" si="18"/>
        <v>41</v>
      </c>
      <c r="AH26" s="44">
        <f t="shared" si="19"/>
        <v>456800</v>
      </c>
      <c r="AI26" s="44">
        <f t="shared" si="20"/>
        <v>94410</v>
      </c>
      <c r="AJ26" s="43">
        <f t="shared" si="21"/>
        <v>551210</v>
      </c>
      <c r="AK26" s="36">
        <f t="shared" si="22"/>
        <v>6600</v>
      </c>
      <c r="AL26" s="44">
        <v>41</v>
      </c>
      <c r="AM26" s="44">
        <v>422290</v>
      </c>
      <c r="AN26" s="44">
        <v>81610</v>
      </c>
      <c r="AO26" s="45">
        <v>6600</v>
      </c>
      <c r="AP26" s="45"/>
      <c r="AQ26" s="45"/>
      <c r="AR26" s="45"/>
      <c r="AS26" s="46">
        <f t="shared" si="24"/>
        <v>510500</v>
      </c>
      <c r="AT26" s="26">
        <v>22</v>
      </c>
      <c r="AU26" s="47">
        <f t="shared" si="25"/>
        <v>510500</v>
      </c>
      <c r="AV26" s="188">
        <f t="shared" si="26"/>
        <v>557810</v>
      </c>
    </row>
    <row r="27" spans="1:48" ht="15.75" customHeight="1">
      <c r="A27" s="26"/>
      <c r="B27" s="135">
        <f t="shared" si="23"/>
        <v>45527</v>
      </c>
      <c r="C27" s="48" t="s">
        <v>52</v>
      </c>
      <c r="D27" s="27"/>
      <c r="E27" s="28"/>
      <c r="F27" s="29"/>
      <c r="G27" s="30" t="e">
        <f t="shared" si="0"/>
        <v>#DIV/0!</v>
      </c>
      <c r="H27" s="29"/>
      <c r="I27" s="30" t="e">
        <f t="shared" si="1"/>
        <v>#DIV/0!</v>
      </c>
      <c r="J27" s="32">
        <f t="shared" si="2"/>
        <v>0</v>
      </c>
      <c r="K27" s="33" t="str">
        <f t="shared" si="3"/>
        <v/>
      </c>
      <c r="L27" s="34"/>
      <c r="M27" s="35">
        <f t="shared" si="27"/>
        <v>38</v>
      </c>
      <c r="N27" s="36">
        <f t="shared" si="27"/>
        <v>392700</v>
      </c>
      <c r="O27" s="30">
        <f t="shared" si="5"/>
        <v>9394.7368421052633</v>
      </c>
      <c r="P27" s="36">
        <f t="shared" si="6"/>
        <v>72340</v>
      </c>
      <c r="Q27" s="31">
        <f t="shared" si="7"/>
        <v>1730.6052631578948</v>
      </c>
      <c r="R27" s="37">
        <f t="shared" si="8"/>
        <v>465040</v>
      </c>
      <c r="S27" s="33">
        <f t="shared" si="9"/>
        <v>12237.894736842105</v>
      </c>
      <c r="T27" s="49">
        <f t="shared" si="28"/>
        <v>38</v>
      </c>
      <c r="U27" s="36">
        <f t="shared" si="28"/>
        <v>392700</v>
      </c>
      <c r="V27" s="36">
        <f t="shared" si="11"/>
        <v>72340</v>
      </c>
      <c r="W27" s="39">
        <f t="shared" si="12"/>
        <v>465040</v>
      </c>
      <c r="X27" s="36">
        <f t="shared" si="13"/>
        <v>12237.894736842105</v>
      </c>
      <c r="Y27" s="40"/>
      <c r="Z27" s="41">
        <v>44</v>
      </c>
      <c r="AA27" s="29">
        <v>35780</v>
      </c>
      <c r="AB27" s="30">
        <f t="shared" si="14"/>
        <v>813.18181818181813</v>
      </c>
      <c r="AC27" s="29">
        <v>10400</v>
      </c>
      <c r="AD27" s="31">
        <f t="shared" si="15"/>
        <v>236.36363636363637</v>
      </c>
      <c r="AE27" s="42">
        <f t="shared" si="16"/>
        <v>46180</v>
      </c>
      <c r="AF27" s="33">
        <f t="shared" si="17"/>
        <v>1049.5454545454545</v>
      </c>
      <c r="AG27" s="49">
        <f t="shared" si="18"/>
        <v>38</v>
      </c>
      <c r="AH27" s="44">
        <f t="shared" si="19"/>
        <v>428480</v>
      </c>
      <c r="AI27" s="44">
        <f t="shared" si="20"/>
        <v>82740</v>
      </c>
      <c r="AJ27" s="43">
        <f t="shared" si="21"/>
        <v>511220</v>
      </c>
      <c r="AK27" s="36">
        <f t="shared" si="22"/>
        <v>19250</v>
      </c>
      <c r="AL27" s="44">
        <v>38</v>
      </c>
      <c r="AM27" s="44">
        <v>392700</v>
      </c>
      <c r="AN27" s="44">
        <v>72340</v>
      </c>
      <c r="AO27" s="45">
        <v>19250</v>
      </c>
      <c r="AP27" s="45"/>
      <c r="AQ27" s="45"/>
      <c r="AR27" s="45"/>
      <c r="AS27" s="46">
        <f t="shared" si="24"/>
        <v>484290</v>
      </c>
      <c r="AT27" s="26">
        <v>23</v>
      </c>
      <c r="AU27" s="47">
        <f t="shared" si="25"/>
        <v>484290</v>
      </c>
      <c r="AV27" s="188">
        <f t="shared" si="26"/>
        <v>530470</v>
      </c>
    </row>
    <row r="28" spans="1:48" ht="15.75" customHeight="1">
      <c r="A28" s="26"/>
      <c r="B28" s="134">
        <f t="shared" si="23"/>
        <v>45528</v>
      </c>
      <c r="C28" s="48"/>
      <c r="D28" s="27"/>
      <c r="E28" s="28">
        <v>33</v>
      </c>
      <c r="F28" s="29">
        <v>105402</v>
      </c>
      <c r="G28" s="30">
        <f t="shared" si="0"/>
        <v>2903.6363636363635</v>
      </c>
      <c r="H28" s="29">
        <v>23280</v>
      </c>
      <c r="I28" s="30">
        <f t="shared" si="1"/>
        <v>641.30303030303025</v>
      </c>
      <c r="J28" s="32">
        <f t="shared" si="2"/>
        <v>128682</v>
      </c>
      <c r="K28" s="33">
        <f t="shared" si="3"/>
        <v>3899.4545454545455</v>
      </c>
      <c r="L28" s="34"/>
      <c r="M28" s="35">
        <f t="shared" si="27"/>
        <v>38</v>
      </c>
      <c r="N28" s="36">
        <f t="shared" si="27"/>
        <v>379720</v>
      </c>
      <c r="O28" s="30">
        <f t="shared" si="5"/>
        <v>9084.21052631579</v>
      </c>
      <c r="P28" s="36">
        <f t="shared" si="6"/>
        <v>67740</v>
      </c>
      <c r="Q28" s="31">
        <f t="shared" si="7"/>
        <v>1620.5526315789473</v>
      </c>
      <c r="R28" s="37">
        <f t="shared" si="8"/>
        <v>447460</v>
      </c>
      <c r="S28" s="33">
        <f t="shared" si="9"/>
        <v>11775.263157894737</v>
      </c>
      <c r="T28" s="49">
        <f t="shared" si="28"/>
        <v>71</v>
      </c>
      <c r="U28" s="36">
        <f t="shared" si="28"/>
        <v>485122</v>
      </c>
      <c r="V28" s="36">
        <f t="shared" si="11"/>
        <v>91020</v>
      </c>
      <c r="W28" s="39">
        <f t="shared" si="12"/>
        <v>576142</v>
      </c>
      <c r="X28" s="36">
        <f t="shared" si="13"/>
        <v>8114.6760563380285</v>
      </c>
      <c r="Y28" s="40"/>
      <c r="Z28" s="41">
        <v>126</v>
      </c>
      <c r="AA28" s="29">
        <v>106790</v>
      </c>
      <c r="AB28" s="30">
        <f t="shared" si="14"/>
        <v>847.53968253968253</v>
      </c>
      <c r="AC28" s="29">
        <v>13200</v>
      </c>
      <c r="AD28" s="31">
        <f t="shared" si="15"/>
        <v>104.76190476190476</v>
      </c>
      <c r="AE28" s="42">
        <f t="shared" si="16"/>
        <v>119990</v>
      </c>
      <c r="AF28" s="33">
        <f t="shared" si="17"/>
        <v>952.30158730158735</v>
      </c>
      <c r="AG28" s="49">
        <f t="shared" si="18"/>
        <v>71</v>
      </c>
      <c r="AH28" s="44">
        <f t="shared" si="19"/>
        <v>591912</v>
      </c>
      <c r="AI28" s="44">
        <f t="shared" si="20"/>
        <v>104220</v>
      </c>
      <c r="AJ28" s="43">
        <f t="shared" si="21"/>
        <v>696132</v>
      </c>
      <c r="AK28" s="36">
        <f t="shared" si="22"/>
        <v>22550</v>
      </c>
      <c r="AL28" s="44">
        <v>71</v>
      </c>
      <c r="AM28" s="44">
        <v>485122</v>
      </c>
      <c r="AN28" s="44">
        <v>91020</v>
      </c>
      <c r="AO28" s="45">
        <v>22550</v>
      </c>
      <c r="AP28" s="45"/>
      <c r="AQ28" s="45"/>
      <c r="AR28" s="45"/>
      <c r="AS28" s="46">
        <f t="shared" si="24"/>
        <v>598692</v>
      </c>
      <c r="AT28" s="26">
        <v>24</v>
      </c>
      <c r="AU28" s="47">
        <f t="shared" si="25"/>
        <v>598692</v>
      </c>
      <c r="AV28" s="188">
        <f t="shared" si="26"/>
        <v>718682</v>
      </c>
    </row>
    <row r="29" spans="1:48" ht="15.75" customHeight="1">
      <c r="A29" s="26"/>
      <c r="B29" s="51">
        <f t="shared" si="23"/>
        <v>45529</v>
      </c>
      <c r="C29" s="48"/>
      <c r="D29" s="27"/>
      <c r="E29" s="28">
        <v>22</v>
      </c>
      <c r="F29" s="29">
        <v>56804</v>
      </c>
      <c r="G29" s="30">
        <f t="shared" si="0"/>
        <v>2347.2727272727275</v>
      </c>
      <c r="H29" s="29">
        <v>12570</v>
      </c>
      <c r="I29" s="30">
        <f t="shared" si="1"/>
        <v>519.40909090909088</v>
      </c>
      <c r="J29" s="32">
        <f t="shared" si="2"/>
        <v>69374</v>
      </c>
      <c r="K29" s="33">
        <f t="shared" si="3"/>
        <v>3153.3636363636365</v>
      </c>
      <c r="L29" s="34"/>
      <c r="M29" s="35">
        <f t="shared" si="27"/>
        <v>41</v>
      </c>
      <c r="N29" s="36">
        <f t="shared" si="27"/>
        <v>344630</v>
      </c>
      <c r="O29" s="30">
        <f t="shared" si="5"/>
        <v>7641.4634146341459</v>
      </c>
      <c r="P29" s="36">
        <f t="shared" si="6"/>
        <v>44950</v>
      </c>
      <c r="Q29" s="31">
        <f t="shared" si="7"/>
        <v>996.65853658536582</v>
      </c>
      <c r="R29" s="37">
        <f t="shared" si="8"/>
        <v>389580</v>
      </c>
      <c r="S29" s="33">
        <f t="shared" si="9"/>
        <v>9501.9512195121952</v>
      </c>
      <c r="T29" s="49">
        <f t="shared" si="28"/>
        <v>63</v>
      </c>
      <c r="U29" s="36">
        <f t="shared" si="28"/>
        <v>401434</v>
      </c>
      <c r="V29" s="36">
        <f t="shared" si="11"/>
        <v>57520</v>
      </c>
      <c r="W29" s="39">
        <f t="shared" si="12"/>
        <v>458954</v>
      </c>
      <c r="X29" s="36">
        <f t="shared" si="13"/>
        <v>7284.9841269841272</v>
      </c>
      <c r="Y29" s="40"/>
      <c r="Z29" s="41">
        <v>146</v>
      </c>
      <c r="AA29" s="29">
        <v>118410</v>
      </c>
      <c r="AB29" s="30">
        <f t="shared" si="14"/>
        <v>811.02739726027403</v>
      </c>
      <c r="AC29" s="29">
        <v>22100</v>
      </c>
      <c r="AD29" s="31">
        <f t="shared" si="15"/>
        <v>151.36986301369862</v>
      </c>
      <c r="AE29" s="42">
        <f t="shared" si="16"/>
        <v>140510</v>
      </c>
      <c r="AF29" s="33">
        <f t="shared" si="17"/>
        <v>962.39726027397262</v>
      </c>
      <c r="AG29" s="49">
        <f t="shared" si="18"/>
        <v>63</v>
      </c>
      <c r="AH29" s="44">
        <f t="shared" si="19"/>
        <v>519844</v>
      </c>
      <c r="AI29" s="44">
        <f t="shared" si="20"/>
        <v>79620</v>
      </c>
      <c r="AJ29" s="43">
        <f t="shared" si="21"/>
        <v>599464</v>
      </c>
      <c r="AK29" s="36">
        <f t="shared" si="22"/>
        <v>27950</v>
      </c>
      <c r="AL29" s="44">
        <v>63</v>
      </c>
      <c r="AM29" s="44">
        <v>401434</v>
      </c>
      <c r="AN29" s="44">
        <v>57520</v>
      </c>
      <c r="AO29" s="45">
        <v>25300</v>
      </c>
      <c r="AP29" s="45">
        <v>2650</v>
      </c>
      <c r="AQ29" s="45"/>
      <c r="AR29" s="45"/>
      <c r="AS29" s="46">
        <f t="shared" si="24"/>
        <v>486904</v>
      </c>
      <c r="AT29" s="26">
        <v>25</v>
      </c>
      <c r="AU29" s="47">
        <f t="shared" si="25"/>
        <v>486904</v>
      </c>
      <c r="AV29" s="188">
        <f t="shared" si="26"/>
        <v>627414</v>
      </c>
    </row>
    <row r="30" spans="1:48" ht="15.75" customHeight="1">
      <c r="A30" s="26"/>
      <c r="B30" s="135">
        <f t="shared" si="23"/>
        <v>45530</v>
      </c>
      <c r="C30" s="48" t="s">
        <v>52</v>
      </c>
      <c r="D30" s="27"/>
      <c r="E30" s="28"/>
      <c r="F30" s="29"/>
      <c r="G30" s="30" t="e">
        <f t="shared" si="0"/>
        <v>#DIV/0!</v>
      </c>
      <c r="H30" s="29"/>
      <c r="I30" s="30" t="e">
        <f t="shared" si="1"/>
        <v>#DIV/0!</v>
      </c>
      <c r="J30" s="32">
        <f t="shared" si="2"/>
        <v>0</v>
      </c>
      <c r="K30" s="33" t="str">
        <f t="shared" si="3"/>
        <v/>
      </c>
      <c r="L30" s="34"/>
      <c r="M30" s="35">
        <f t="shared" si="27"/>
        <v>42</v>
      </c>
      <c r="N30" s="36">
        <f t="shared" si="27"/>
        <v>355410</v>
      </c>
      <c r="O30" s="30">
        <f t="shared" si="5"/>
        <v>7692.8571428571431</v>
      </c>
      <c r="P30" s="36">
        <f t="shared" si="6"/>
        <v>72860</v>
      </c>
      <c r="Q30" s="30">
        <f t="shared" si="7"/>
        <v>1577.047619047619</v>
      </c>
      <c r="R30" s="37">
        <f t="shared" si="8"/>
        <v>428270</v>
      </c>
      <c r="S30" s="33">
        <f t="shared" si="9"/>
        <v>10196.904761904761</v>
      </c>
      <c r="T30" s="49">
        <f t="shared" si="28"/>
        <v>42</v>
      </c>
      <c r="U30" s="36">
        <f t="shared" si="28"/>
        <v>355410</v>
      </c>
      <c r="V30" s="36">
        <f t="shared" si="11"/>
        <v>72860</v>
      </c>
      <c r="W30" s="39">
        <f t="shared" si="12"/>
        <v>428270</v>
      </c>
      <c r="X30" s="36">
        <f t="shared" si="13"/>
        <v>10196.904761904761</v>
      </c>
      <c r="Y30" s="40"/>
      <c r="Z30" s="41">
        <v>87</v>
      </c>
      <c r="AA30" s="29">
        <v>62810</v>
      </c>
      <c r="AB30" s="30">
        <f t="shared" si="14"/>
        <v>721.9540229885057</v>
      </c>
      <c r="AC30" s="29">
        <v>16650</v>
      </c>
      <c r="AD30" s="31">
        <f t="shared" si="15"/>
        <v>191.37931034482759</v>
      </c>
      <c r="AE30" s="42">
        <f t="shared" si="16"/>
        <v>79460</v>
      </c>
      <c r="AF30" s="33">
        <f t="shared" si="17"/>
        <v>913.33333333333337</v>
      </c>
      <c r="AG30" s="49">
        <f t="shared" si="18"/>
        <v>42</v>
      </c>
      <c r="AH30" s="44">
        <f t="shared" si="19"/>
        <v>418220</v>
      </c>
      <c r="AI30" s="44">
        <f t="shared" si="20"/>
        <v>89510</v>
      </c>
      <c r="AJ30" s="43">
        <f t="shared" si="21"/>
        <v>507730</v>
      </c>
      <c r="AK30" s="36">
        <f t="shared" si="22"/>
        <v>24660</v>
      </c>
      <c r="AL30" s="44">
        <v>42</v>
      </c>
      <c r="AM30" s="44">
        <v>355410</v>
      </c>
      <c r="AN30" s="44">
        <v>72860</v>
      </c>
      <c r="AO30" s="45">
        <v>23100</v>
      </c>
      <c r="AP30" s="45">
        <v>1560</v>
      </c>
      <c r="AQ30" s="45"/>
      <c r="AR30" s="45">
        <v>4730</v>
      </c>
      <c r="AS30" s="46">
        <f t="shared" si="24"/>
        <v>452930</v>
      </c>
      <c r="AT30" s="26">
        <v>26</v>
      </c>
      <c r="AU30" s="47">
        <f t="shared" si="25"/>
        <v>457660</v>
      </c>
      <c r="AV30" s="188">
        <f t="shared" si="26"/>
        <v>537120</v>
      </c>
    </row>
    <row r="31" spans="1:48" ht="15.75" customHeight="1">
      <c r="A31" s="26"/>
      <c r="B31" s="135">
        <f t="shared" si="23"/>
        <v>45531</v>
      </c>
      <c r="C31" s="48" t="s">
        <v>67</v>
      </c>
      <c r="D31" s="27"/>
      <c r="E31" s="28"/>
      <c r="F31" s="29"/>
      <c r="G31" s="30" t="e">
        <f t="shared" si="0"/>
        <v>#DIV/0!</v>
      </c>
      <c r="H31" s="29"/>
      <c r="I31" s="30" t="e">
        <f t="shared" si="1"/>
        <v>#DIV/0!</v>
      </c>
      <c r="J31" s="32">
        <f t="shared" si="2"/>
        <v>0</v>
      </c>
      <c r="K31" s="33" t="str">
        <f t="shared" si="3"/>
        <v/>
      </c>
      <c r="L31" s="34"/>
      <c r="M31" s="35">
        <f t="shared" si="27"/>
        <v>35</v>
      </c>
      <c r="N31" s="36">
        <f t="shared" si="27"/>
        <v>297770</v>
      </c>
      <c r="O31" s="30">
        <f t="shared" si="5"/>
        <v>7734.2857142857147</v>
      </c>
      <c r="P31" s="36">
        <f t="shared" si="6"/>
        <v>46350</v>
      </c>
      <c r="Q31" s="30">
        <f t="shared" si="7"/>
        <v>1203.8857142857144</v>
      </c>
      <c r="R31" s="37">
        <f t="shared" si="8"/>
        <v>344120</v>
      </c>
      <c r="S31" s="33">
        <f t="shared" si="9"/>
        <v>9832</v>
      </c>
      <c r="T31" s="49">
        <f t="shared" si="28"/>
        <v>35</v>
      </c>
      <c r="U31" s="36">
        <f t="shared" si="28"/>
        <v>297770</v>
      </c>
      <c r="V31" s="36">
        <f t="shared" si="11"/>
        <v>46350</v>
      </c>
      <c r="W31" s="39">
        <f t="shared" si="12"/>
        <v>344120</v>
      </c>
      <c r="X31" s="36">
        <f t="shared" si="13"/>
        <v>9832</v>
      </c>
      <c r="Y31" s="40"/>
      <c r="Z31" s="41">
        <v>0</v>
      </c>
      <c r="AA31" s="29">
        <v>0</v>
      </c>
      <c r="AB31" s="30" t="e">
        <f t="shared" si="14"/>
        <v>#DIV/0!</v>
      </c>
      <c r="AC31" s="29">
        <v>0</v>
      </c>
      <c r="AD31" s="31" t="e">
        <f t="shared" si="15"/>
        <v>#DIV/0!</v>
      </c>
      <c r="AE31" s="42">
        <f t="shared" si="16"/>
        <v>0</v>
      </c>
      <c r="AF31" s="33" t="e">
        <f t="shared" si="17"/>
        <v>#DIV/0!</v>
      </c>
      <c r="AG31" s="49">
        <f t="shared" si="18"/>
        <v>35</v>
      </c>
      <c r="AH31" s="44">
        <f t="shared" si="19"/>
        <v>297770</v>
      </c>
      <c r="AI31" s="44">
        <f t="shared" si="20"/>
        <v>46350</v>
      </c>
      <c r="AJ31" s="43">
        <f t="shared" si="21"/>
        <v>344120</v>
      </c>
      <c r="AK31" s="36">
        <f t="shared" si="22"/>
        <v>20900</v>
      </c>
      <c r="AL31" s="44">
        <v>35</v>
      </c>
      <c r="AM31" s="44">
        <v>297770</v>
      </c>
      <c r="AN31" s="44">
        <v>46350</v>
      </c>
      <c r="AO31" s="45">
        <v>20900</v>
      </c>
      <c r="AP31" s="45"/>
      <c r="AQ31" s="45"/>
      <c r="AR31" s="45"/>
      <c r="AS31" s="46">
        <f t="shared" si="24"/>
        <v>365020</v>
      </c>
      <c r="AT31" s="26">
        <v>27</v>
      </c>
      <c r="AU31" s="47">
        <f t="shared" si="25"/>
        <v>365020</v>
      </c>
      <c r="AV31" s="188">
        <f t="shared" si="26"/>
        <v>365020</v>
      </c>
    </row>
    <row r="32" spans="1:48" ht="15.75" customHeight="1">
      <c r="A32" s="26"/>
      <c r="B32" s="135">
        <f t="shared" si="23"/>
        <v>45532</v>
      </c>
      <c r="C32" s="48" t="s">
        <v>52</v>
      </c>
      <c r="D32" s="27"/>
      <c r="E32" s="28"/>
      <c r="F32" s="29"/>
      <c r="G32" s="30" t="e">
        <f t="shared" si="0"/>
        <v>#DIV/0!</v>
      </c>
      <c r="H32" s="29"/>
      <c r="I32" s="30" t="e">
        <f t="shared" si="1"/>
        <v>#DIV/0!</v>
      </c>
      <c r="J32" s="32">
        <f t="shared" si="2"/>
        <v>0</v>
      </c>
      <c r="K32" s="33" t="str">
        <f t="shared" si="3"/>
        <v/>
      </c>
      <c r="L32" s="34"/>
      <c r="M32" s="35">
        <f t="shared" si="27"/>
        <v>39</v>
      </c>
      <c r="N32" s="36">
        <f t="shared" si="27"/>
        <v>301950</v>
      </c>
      <c r="O32" s="30">
        <f t="shared" si="5"/>
        <v>7038.4615384615381</v>
      </c>
      <c r="P32" s="36">
        <f t="shared" si="6"/>
        <v>62360</v>
      </c>
      <c r="Q32" s="30">
        <f t="shared" si="7"/>
        <v>1453.5897435897436</v>
      </c>
      <c r="R32" s="37">
        <f t="shared" si="8"/>
        <v>364310</v>
      </c>
      <c r="S32" s="33">
        <f t="shared" si="9"/>
        <v>9341.2820512820508</v>
      </c>
      <c r="T32" s="49">
        <f t="shared" si="28"/>
        <v>39</v>
      </c>
      <c r="U32" s="36">
        <f t="shared" si="28"/>
        <v>301950</v>
      </c>
      <c r="V32" s="36">
        <f t="shared" si="11"/>
        <v>62360</v>
      </c>
      <c r="W32" s="39">
        <f t="shared" si="12"/>
        <v>364310</v>
      </c>
      <c r="X32" s="36">
        <f t="shared" si="13"/>
        <v>9341.2820512820508</v>
      </c>
      <c r="Y32" s="40"/>
      <c r="Z32" s="41">
        <v>125</v>
      </c>
      <c r="AA32" s="29">
        <v>75070</v>
      </c>
      <c r="AB32" s="30">
        <f t="shared" si="14"/>
        <v>600.55999999999995</v>
      </c>
      <c r="AC32" s="29">
        <v>22800</v>
      </c>
      <c r="AD32" s="31">
        <f t="shared" si="15"/>
        <v>182.4</v>
      </c>
      <c r="AE32" s="42">
        <f t="shared" si="16"/>
        <v>97870</v>
      </c>
      <c r="AF32" s="33">
        <f t="shared" si="17"/>
        <v>782.96</v>
      </c>
      <c r="AG32" s="49">
        <f t="shared" si="18"/>
        <v>39</v>
      </c>
      <c r="AH32" s="44">
        <f t="shared" si="19"/>
        <v>377020</v>
      </c>
      <c r="AI32" s="44">
        <f t="shared" si="20"/>
        <v>85160</v>
      </c>
      <c r="AJ32" s="43">
        <f t="shared" si="21"/>
        <v>462180</v>
      </c>
      <c r="AK32" s="36">
        <f t="shared" si="22"/>
        <v>18810</v>
      </c>
      <c r="AL32" s="44">
        <v>39</v>
      </c>
      <c r="AM32" s="44">
        <v>301950</v>
      </c>
      <c r="AN32" s="44">
        <v>62360</v>
      </c>
      <c r="AO32" s="45">
        <v>17600</v>
      </c>
      <c r="AP32" s="45">
        <v>1210</v>
      </c>
      <c r="AQ32" s="45"/>
      <c r="AR32" s="45"/>
      <c r="AS32" s="46">
        <f t="shared" si="24"/>
        <v>383120</v>
      </c>
      <c r="AT32" s="26">
        <v>28</v>
      </c>
      <c r="AU32" s="47">
        <f t="shared" si="25"/>
        <v>383120</v>
      </c>
      <c r="AV32" s="188">
        <f t="shared" si="26"/>
        <v>480990</v>
      </c>
    </row>
    <row r="33" spans="1:48" ht="15.75" customHeight="1">
      <c r="A33" s="26"/>
      <c r="B33" s="135">
        <f t="shared" si="23"/>
        <v>45533</v>
      </c>
      <c r="C33" s="48" t="s">
        <v>52</v>
      </c>
      <c r="D33" s="27"/>
      <c r="E33" s="28"/>
      <c r="F33" s="29"/>
      <c r="G33" s="30" t="e">
        <f t="shared" si="0"/>
        <v>#DIV/0!</v>
      </c>
      <c r="H33" s="29"/>
      <c r="I33" s="30" t="e">
        <f t="shared" si="1"/>
        <v>#DIV/0!</v>
      </c>
      <c r="J33" s="32">
        <f t="shared" si="2"/>
        <v>0</v>
      </c>
      <c r="K33" s="33" t="str">
        <f t="shared" si="3"/>
        <v/>
      </c>
      <c r="L33" s="34"/>
      <c r="M33" s="35">
        <f t="shared" si="27"/>
        <v>33</v>
      </c>
      <c r="N33" s="36">
        <f t="shared" si="27"/>
        <v>372570</v>
      </c>
      <c r="O33" s="30">
        <f t="shared" si="5"/>
        <v>10263.636363636364</v>
      </c>
      <c r="P33" s="36">
        <f t="shared" si="6"/>
        <v>68800</v>
      </c>
      <c r="Q33" s="30">
        <f t="shared" si="7"/>
        <v>1895.3030303030303</v>
      </c>
      <c r="R33" s="37">
        <f t="shared" si="8"/>
        <v>441370</v>
      </c>
      <c r="S33" s="33">
        <f t="shared" si="9"/>
        <v>13374.848484848484</v>
      </c>
      <c r="T33" s="49">
        <f t="shared" si="28"/>
        <v>33</v>
      </c>
      <c r="U33" s="36">
        <f t="shared" si="28"/>
        <v>372570</v>
      </c>
      <c r="V33" s="36">
        <f t="shared" si="11"/>
        <v>68800</v>
      </c>
      <c r="W33" s="39">
        <f t="shared" si="12"/>
        <v>441370</v>
      </c>
      <c r="X33" s="36">
        <f t="shared" si="13"/>
        <v>13374.848484848484</v>
      </c>
      <c r="Y33" s="40"/>
      <c r="Z33" s="41">
        <v>93</v>
      </c>
      <c r="AA33" s="29">
        <v>55840</v>
      </c>
      <c r="AB33" s="30">
        <f t="shared" si="14"/>
        <v>600.43010752688167</v>
      </c>
      <c r="AC33" s="29">
        <v>6550</v>
      </c>
      <c r="AD33" s="31">
        <f t="shared" si="15"/>
        <v>70.430107526881727</v>
      </c>
      <c r="AE33" s="42">
        <f t="shared" si="16"/>
        <v>62390</v>
      </c>
      <c r="AF33" s="33">
        <f t="shared" si="17"/>
        <v>670.86021505376345</v>
      </c>
      <c r="AG33" s="49">
        <f t="shared" si="18"/>
        <v>33</v>
      </c>
      <c r="AH33" s="44">
        <f t="shared" si="19"/>
        <v>428410</v>
      </c>
      <c r="AI33" s="44">
        <f t="shared" si="20"/>
        <v>75350</v>
      </c>
      <c r="AJ33" s="43">
        <f t="shared" si="21"/>
        <v>503760</v>
      </c>
      <c r="AK33" s="36">
        <f t="shared" si="22"/>
        <v>25300</v>
      </c>
      <c r="AL33" s="44">
        <v>33</v>
      </c>
      <c r="AM33" s="44">
        <v>372570</v>
      </c>
      <c r="AN33" s="44">
        <v>68800</v>
      </c>
      <c r="AO33" s="45">
        <v>25300</v>
      </c>
      <c r="AP33" s="45"/>
      <c r="AQ33" s="45"/>
      <c r="AR33" s="45">
        <v>10450</v>
      </c>
      <c r="AS33" s="46">
        <f t="shared" si="24"/>
        <v>466670</v>
      </c>
      <c r="AT33" s="26">
        <v>29</v>
      </c>
      <c r="AU33" s="47">
        <f t="shared" si="25"/>
        <v>477120</v>
      </c>
      <c r="AV33" s="188">
        <f t="shared" si="26"/>
        <v>539510</v>
      </c>
    </row>
    <row r="34" spans="1:48" ht="15.75" customHeight="1">
      <c r="A34" s="26"/>
      <c r="B34" s="135">
        <f t="shared" si="23"/>
        <v>45534</v>
      </c>
      <c r="C34" s="48" t="s">
        <v>67</v>
      </c>
      <c r="D34" s="27"/>
      <c r="E34" s="28"/>
      <c r="F34" s="29"/>
      <c r="G34" s="30" t="e">
        <f t="shared" si="0"/>
        <v>#DIV/0!</v>
      </c>
      <c r="H34" s="29"/>
      <c r="I34" s="30" t="e">
        <f t="shared" si="1"/>
        <v>#DIV/0!</v>
      </c>
      <c r="J34" s="32">
        <f t="shared" si="2"/>
        <v>0</v>
      </c>
      <c r="K34" s="33" t="str">
        <f t="shared" si="3"/>
        <v/>
      </c>
      <c r="L34" s="34"/>
      <c r="M34" s="35">
        <f t="shared" si="27"/>
        <v>38</v>
      </c>
      <c r="N34" s="36">
        <f t="shared" si="27"/>
        <v>392350</v>
      </c>
      <c r="O34" s="30">
        <f t="shared" si="5"/>
        <v>9386.3421052631584</v>
      </c>
      <c r="P34" s="36">
        <f t="shared" si="6"/>
        <v>69220</v>
      </c>
      <c r="Q34" s="30">
        <f t="shared" si="7"/>
        <v>1655.9736842105262</v>
      </c>
      <c r="R34" s="37">
        <f t="shared" si="8"/>
        <v>461570</v>
      </c>
      <c r="S34" s="33">
        <f t="shared" si="9"/>
        <v>12146.578947368422</v>
      </c>
      <c r="T34" s="49">
        <f t="shared" si="28"/>
        <v>38</v>
      </c>
      <c r="U34" s="36">
        <f t="shared" si="28"/>
        <v>392350</v>
      </c>
      <c r="V34" s="36">
        <f t="shared" si="11"/>
        <v>69220</v>
      </c>
      <c r="W34" s="39">
        <f t="shared" si="12"/>
        <v>461570</v>
      </c>
      <c r="X34" s="36">
        <f t="shared" si="13"/>
        <v>12146.578947368422</v>
      </c>
      <c r="Y34" s="53"/>
      <c r="Z34" s="54">
        <v>16</v>
      </c>
      <c r="AA34" s="55">
        <v>14670</v>
      </c>
      <c r="AB34" s="30">
        <f t="shared" si="14"/>
        <v>916.875</v>
      </c>
      <c r="AC34" s="55">
        <v>1850</v>
      </c>
      <c r="AD34" s="31">
        <f t="shared" si="15"/>
        <v>115.625</v>
      </c>
      <c r="AE34" s="42">
        <f t="shared" si="16"/>
        <v>16520</v>
      </c>
      <c r="AF34" s="33">
        <f t="shared" si="17"/>
        <v>1032.5</v>
      </c>
      <c r="AG34" s="49">
        <f t="shared" si="18"/>
        <v>38</v>
      </c>
      <c r="AH34" s="44">
        <f t="shared" si="19"/>
        <v>407020</v>
      </c>
      <c r="AI34" s="44">
        <f t="shared" si="20"/>
        <v>71070</v>
      </c>
      <c r="AJ34" s="43">
        <f t="shared" si="21"/>
        <v>478090</v>
      </c>
      <c r="AK34" s="36">
        <f t="shared" si="22"/>
        <v>6600</v>
      </c>
      <c r="AL34" s="44">
        <v>38</v>
      </c>
      <c r="AM34" s="44">
        <v>392350</v>
      </c>
      <c r="AN34" s="44">
        <v>69220</v>
      </c>
      <c r="AO34" s="45">
        <v>6600</v>
      </c>
      <c r="AP34" s="45"/>
      <c r="AQ34" s="45"/>
      <c r="AR34" s="45"/>
      <c r="AS34" s="46">
        <f>SUM(AM34:AQ34)</f>
        <v>468170</v>
      </c>
      <c r="AT34" s="26">
        <v>30</v>
      </c>
      <c r="AU34" s="47">
        <f t="shared" si="25"/>
        <v>468170</v>
      </c>
      <c r="AV34" s="188">
        <f t="shared" si="26"/>
        <v>484690</v>
      </c>
    </row>
    <row r="35" spans="1:48" ht="15.75" customHeight="1" thickBot="1">
      <c r="A35" s="26"/>
      <c r="B35" s="134">
        <f t="shared" si="23"/>
        <v>45535</v>
      </c>
      <c r="C35" s="48" t="s">
        <v>68</v>
      </c>
      <c r="D35" s="27"/>
      <c r="E35" s="28">
        <v>2</v>
      </c>
      <c r="F35" s="29">
        <v>9900</v>
      </c>
      <c r="G35" s="30">
        <f t="shared" si="0"/>
        <v>4500</v>
      </c>
      <c r="H35" s="29">
        <v>1470</v>
      </c>
      <c r="I35" s="30">
        <f t="shared" si="1"/>
        <v>668</v>
      </c>
      <c r="J35" s="32">
        <f t="shared" si="2"/>
        <v>11370</v>
      </c>
      <c r="K35" s="33">
        <f t="shared" si="3"/>
        <v>5685</v>
      </c>
      <c r="L35" s="34"/>
      <c r="M35" s="56">
        <f t="shared" si="27"/>
        <v>38</v>
      </c>
      <c r="N35" s="36">
        <f t="shared" si="27"/>
        <v>351560</v>
      </c>
      <c r="O35" s="30">
        <f t="shared" si="5"/>
        <v>8410.5263157894733</v>
      </c>
      <c r="P35" s="36">
        <f t="shared" si="6"/>
        <v>75880</v>
      </c>
      <c r="Q35" s="30">
        <f t="shared" si="7"/>
        <v>1815.2894736842106</v>
      </c>
      <c r="R35" s="37">
        <f t="shared" si="8"/>
        <v>427440</v>
      </c>
      <c r="S35" s="33">
        <f t="shared" si="9"/>
        <v>11248.421052631578</v>
      </c>
      <c r="T35" s="57">
        <f t="shared" si="28"/>
        <v>40</v>
      </c>
      <c r="U35" s="58">
        <f t="shared" si="28"/>
        <v>361460</v>
      </c>
      <c r="V35" s="58">
        <f t="shared" si="11"/>
        <v>77350</v>
      </c>
      <c r="W35" s="59">
        <f t="shared" si="12"/>
        <v>438810</v>
      </c>
      <c r="X35" s="58"/>
      <c r="Y35" s="60"/>
      <c r="Z35" s="61">
        <v>55</v>
      </c>
      <c r="AA35" s="62">
        <v>41300</v>
      </c>
      <c r="AB35" s="63">
        <f t="shared" si="14"/>
        <v>750.90909090909088</v>
      </c>
      <c r="AC35" s="62">
        <v>15950</v>
      </c>
      <c r="AD35" s="64">
        <f t="shared" si="15"/>
        <v>290</v>
      </c>
      <c r="AE35" s="65">
        <f t="shared" si="16"/>
        <v>57250</v>
      </c>
      <c r="AF35" s="33">
        <f t="shared" si="17"/>
        <v>1040.909090909091</v>
      </c>
      <c r="AG35" s="57">
        <f t="shared" si="18"/>
        <v>40</v>
      </c>
      <c r="AH35" s="58">
        <f t="shared" si="19"/>
        <v>402760</v>
      </c>
      <c r="AI35" s="58">
        <f t="shared" si="20"/>
        <v>93300</v>
      </c>
      <c r="AJ35" s="43">
        <f t="shared" si="21"/>
        <v>496060</v>
      </c>
      <c r="AK35" s="36">
        <f t="shared" si="22"/>
        <v>170010</v>
      </c>
      <c r="AL35" s="44">
        <v>40</v>
      </c>
      <c r="AM35" s="44">
        <v>361460</v>
      </c>
      <c r="AN35" s="44">
        <v>77350</v>
      </c>
      <c r="AO35" s="45">
        <v>19800</v>
      </c>
      <c r="AP35" s="45">
        <v>150210</v>
      </c>
      <c r="AQ35" s="45"/>
      <c r="AR35" s="45">
        <v>11000</v>
      </c>
      <c r="AS35" s="46">
        <f>SUM(AM35:AQ35)</f>
        <v>608820</v>
      </c>
      <c r="AT35" s="26">
        <v>31</v>
      </c>
      <c r="AU35" s="47">
        <f t="shared" si="25"/>
        <v>619820</v>
      </c>
      <c r="AV35" s="188">
        <f t="shared" si="26"/>
        <v>677070</v>
      </c>
    </row>
    <row r="36" spans="1:48" ht="19.5" customHeight="1" thickTop="1" thickBot="1">
      <c r="A36" s="66"/>
      <c r="B36" s="172" t="s">
        <v>26</v>
      </c>
      <c r="C36" s="68">
        <f>SUM(C5:C35)</f>
        <v>0</v>
      </c>
      <c r="D36" s="69">
        <f>SUM(D5:D35)</f>
        <v>0</v>
      </c>
      <c r="E36" s="70">
        <f>SUM(E5:E35)</f>
        <v>285</v>
      </c>
      <c r="F36" s="71">
        <f>SUM(F5:F35)</f>
        <v>1105410</v>
      </c>
      <c r="G36" s="72">
        <f>F36/E36</f>
        <v>3878.6315789473683</v>
      </c>
      <c r="H36" s="68">
        <f>SUM(H5:H35)</f>
        <v>234800</v>
      </c>
      <c r="I36" s="73">
        <f>H36/E36</f>
        <v>823.85964912280701</v>
      </c>
      <c r="J36" s="74">
        <f>SUM(J5:J35)</f>
        <v>1340210</v>
      </c>
      <c r="K36" s="75">
        <f>J36/E36</f>
        <v>4702.4912280701756</v>
      </c>
      <c r="L36" s="76">
        <f>SUM(L5:L35)</f>
        <v>0</v>
      </c>
      <c r="M36" s="70">
        <f>SUM(M5:M35)</f>
        <v>1203</v>
      </c>
      <c r="N36" s="71">
        <f>SUM(N5:N35)</f>
        <v>10904180</v>
      </c>
      <c r="O36" s="72">
        <f>N36/M36</f>
        <v>9064.1562759767257</v>
      </c>
      <c r="P36" s="77">
        <f>SUM(P5:P35)</f>
        <v>1897700</v>
      </c>
      <c r="Q36" s="73">
        <f>P36/M36</f>
        <v>1577.4729842061513</v>
      </c>
      <c r="R36" s="78">
        <f>SUM(R5:R35)</f>
        <v>12801880</v>
      </c>
      <c r="S36" s="79">
        <f>R36/M36</f>
        <v>10641.629260182875</v>
      </c>
      <c r="T36" s="70">
        <f>SUM(T5:T35)</f>
        <v>1488</v>
      </c>
      <c r="U36" s="136">
        <f>SUM(U5:U35)</f>
        <v>12009590</v>
      </c>
      <c r="V36" s="77">
        <f>SUM(V5:V35)</f>
        <v>2132500</v>
      </c>
      <c r="W36" s="137">
        <f>SUM(W5:W35)</f>
        <v>14142090</v>
      </c>
      <c r="X36" s="143">
        <f>W36/T36</f>
        <v>9504.092741935483</v>
      </c>
      <c r="Y36" s="69">
        <f>SUM(Y5:Y35)</f>
        <v>0</v>
      </c>
      <c r="Z36" s="70">
        <f>SUM(Z5:Z35)</f>
        <v>2924</v>
      </c>
      <c r="AA36" s="165">
        <f>SUM(AA5:AA35)</f>
        <v>2293060</v>
      </c>
      <c r="AB36" s="72"/>
      <c r="AC36" s="68">
        <f>SUM(AC5:AC35)</f>
        <v>465800</v>
      </c>
      <c r="AD36" s="73"/>
      <c r="AE36" s="166">
        <f>SUM(AE5:AE35)</f>
        <v>2758860</v>
      </c>
      <c r="AF36" s="173">
        <f>AE36/Z36</f>
        <v>943.52257181942548</v>
      </c>
      <c r="AG36" s="70">
        <f t="shared" ref="AG36:AS36" si="29">SUM(AG5:AG35)</f>
        <v>1488</v>
      </c>
      <c r="AH36" s="136">
        <f t="shared" si="29"/>
        <v>14302650</v>
      </c>
      <c r="AI36" s="77">
        <f t="shared" si="29"/>
        <v>2598300</v>
      </c>
      <c r="AJ36" s="78">
        <f t="shared" si="29"/>
        <v>16900950</v>
      </c>
      <c r="AK36" s="68">
        <f t="shared" si="29"/>
        <v>759700</v>
      </c>
      <c r="AL36" s="81">
        <f t="shared" si="29"/>
        <v>1488</v>
      </c>
      <c r="AM36" s="81">
        <f t="shared" si="29"/>
        <v>12009590</v>
      </c>
      <c r="AN36" s="81">
        <f t="shared" si="29"/>
        <v>2132500</v>
      </c>
      <c r="AO36" s="81">
        <f t="shared" si="29"/>
        <v>586300</v>
      </c>
      <c r="AP36" s="81">
        <f t="shared" si="29"/>
        <v>173400</v>
      </c>
      <c r="AQ36" s="81">
        <f t="shared" si="29"/>
        <v>0</v>
      </c>
      <c r="AR36" s="81">
        <f t="shared" si="29"/>
        <v>138750</v>
      </c>
      <c r="AS36" s="81">
        <f t="shared" si="29"/>
        <v>14901790</v>
      </c>
      <c r="AT36" s="66"/>
      <c r="AU36" s="82">
        <f>SUM(AU5:AU35)</f>
        <v>15040540</v>
      </c>
      <c r="AV36" s="82">
        <f>SUM(AV5:AV35)</f>
        <v>17799400</v>
      </c>
    </row>
    <row r="37" spans="1:48" ht="15.75" customHeight="1" thickTop="1">
      <c r="A37" s="66"/>
      <c r="B37" s="174"/>
      <c r="C37" s="66"/>
      <c r="D37" s="66"/>
      <c r="E37" s="83" t="s">
        <v>36</v>
      </c>
      <c r="F37" s="84">
        <f>F36/1.1</f>
        <v>1004918.1818181818</v>
      </c>
      <c r="G37" s="85">
        <f>F37/E36</f>
        <v>3526.0287081339711</v>
      </c>
      <c r="H37" s="45">
        <f>H36/1.1</f>
        <v>213454.54545454544</v>
      </c>
      <c r="I37" s="85">
        <f>H37/E36</f>
        <v>748.96331738436993</v>
      </c>
      <c r="J37" s="81">
        <f>J36/1.1</f>
        <v>1218372.7272727271</v>
      </c>
      <c r="K37" s="86">
        <f>G37+I37</f>
        <v>4274.9920255183406</v>
      </c>
      <c r="L37" s="87"/>
      <c r="M37" s="83" t="s">
        <v>36</v>
      </c>
      <c r="N37" s="84">
        <f>N36/1.1</f>
        <v>9912890.9090909082</v>
      </c>
      <c r="O37" s="85">
        <f>N37/M36</f>
        <v>8240.1420690697487</v>
      </c>
      <c r="P37" s="84">
        <f>P36/1.1</f>
        <v>1725181.8181818181</v>
      </c>
      <c r="Q37" s="85">
        <f>P37/M36</f>
        <v>1434.0663492783192</v>
      </c>
      <c r="R37" s="85">
        <f>R36/1.1</f>
        <v>11638072.727272727</v>
      </c>
      <c r="S37" s="138">
        <f>R37/M36</f>
        <v>9674.2084183480692</v>
      </c>
      <c r="T37" s="83" t="s">
        <v>36</v>
      </c>
      <c r="U37" s="84">
        <f>U36/1.1</f>
        <v>10917809.09090909</v>
      </c>
      <c r="V37" s="84">
        <f>V36/1.1</f>
        <v>1938636.3636363635</v>
      </c>
      <c r="W37" s="139">
        <f>W36/1.1</f>
        <v>12856445.454545453</v>
      </c>
      <c r="X37" s="143">
        <f>W37/T36</f>
        <v>8640.0843108504396</v>
      </c>
      <c r="Y37" s="87"/>
      <c r="Z37" s="83" t="s">
        <v>36</v>
      </c>
      <c r="AA37" s="84">
        <f>AA36/1.1</f>
        <v>2084599.9999999998</v>
      </c>
      <c r="AB37" s="45">
        <f>AA37/Z36</f>
        <v>712.92749658002731</v>
      </c>
      <c r="AC37" s="45">
        <f>AC36/1.1</f>
        <v>423454.54545454541</v>
      </c>
      <c r="AD37" s="45">
        <f>AC37/Z36</f>
        <v>144.82029598308668</v>
      </c>
      <c r="AE37" s="85">
        <f>AE36/1.1</f>
        <v>2508054.5454545454</v>
      </c>
      <c r="AF37" s="88">
        <f>AE37/Z36</f>
        <v>857.74779256311399</v>
      </c>
      <c r="AG37" s="83" t="s">
        <v>36</v>
      </c>
      <c r="AH37" s="140">
        <f>AH36/1.1</f>
        <v>13002409.09090909</v>
      </c>
      <c r="AI37" s="84">
        <f>AI36/1.1</f>
        <v>2362090.9090909087</v>
      </c>
      <c r="AJ37" s="85">
        <f>AJ36/1.1</f>
        <v>15364499.999999998</v>
      </c>
      <c r="AK37" s="89">
        <f>AK36/1.1</f>
        <v>690636.36363636353</v>
      </c>
      <c r="AL37" s="66"/>
      <c r="AM37" s="66"/>
      <c r="AN37" s="66"/>
      <c r="AO37" s="66"/>
      <c r="AP37" s="90"/>
      <c r="AQ37" s="66"/>
      <c r="AR37" s="66"/>
      <c r="AS37" s="90"/>
      <c r="AT37" s="66"/>
      <c r="AU37" s="90"/>
    </row>
    <row r="38" spans="1:48" ht="15.75" customHeight="1">
      <c r="A38" s="26"/>
      <c r="B38" s="175"/>
      <c r="C38" s="26"/>
      <c r="D38" s="26"/>
      <c r="E38" s="91" t="s">
        <v>37</v>
      </c>
      <c r="F38" s="92">
        <f>E36/G38</f>
        <v>28.5</v>
      </c>
      <c r="G38" s="93">
        <v>10</v>
      </c>
      <c r="H38" s="94" t="s">
        <v>38</v>
      </c>
      <c r="I38" s="92"/>
      <c r="J38" s="95" t="s">
        <v>39</v>
      </c>
      <c r="K38" s="167">
        <f>J37/G38</f>
        <v>121837.27272727271</v>
      </c>
      <c r="L38" s="26"/>
      <c r="M38" s="91" t="s">
        <v>37</v>
      </c>
      <c r="N38" s="92">
        <f>M36/O38</f>
        <v>38.806451612903224</v>
      </c>
      <c r="O38" s="93">
        <v>31</v>
      </c>
      <c r="P38" s="94" t="s">
        <v>38</v>
      </c>
      <c r="Q38" s="92"/>
      <c r="R38" s="95" t="s">
        <v>39</v>
      </c>
      <c r="S38" s="168">
        <f>R37/O38</f>
        <v>375421.70087976538</v>
      </c>
      <c r="T38" s="26"/>
      <c r="U38" s="26"/>
      <c r="V38" s="26"/>
      <c r="W38" s="47"/>
      <c r="X38" s="47"/>
      <c r="Y38" s="26"/>
      <c r="Z38" s="26"/>
      <c r="AA38" s="97">
        <v>31</v>
      </c>
      <c r="AB38" s="94" t="s">
        <v>38</v>
      </c>
      <c r="AC38" s="92"/>
      <c r="AD38" s="92"/>
      <c r="AE38" s="95" t="s">
        <v>39</v>
      </c>
      <c r="AF38" s="96">
        <f>AE37/AA38</f>
        <v>80904.985337243401</v>
      </c>
      <c r="AG38" s="26"/>
      <c r="AH38" s="26"/>
      <c r="AI38" s="26" t="s">
        <v>53</v>
      </c>
      <c r="AJ38" s="47"/>
      <c r="AK38" s="47">
        <f>AJ37/AL38</f>
        <v>3482.4342701722571</v>
      </c>
      <c r="AL38" s="144">
        <f>AG36+Z36</f>
        <v>4412</v>
      </c>
      <c r="AM38" s="26" t="s">
        <v>54</v>
      </c>
      <c r="AN38" s="26"/>
      <c r="AO38" s="26"/>
      <c r="AP38" s="47"/>
      <c r="AQ38" s="26"/>
      <c r="AR38" s="26"/>
      <c r="AS38" s="47"/>
      <c r="AT38" s="26"/>
      <c r="AU38" s="47"/>
    </row>
    <row r="39" spans="1:48" ht="15.75" customHeight="1">
      <c r="A39" s="26"/>
      <c r="B39" s="175"/>
      <c r="C39" s="26"/>
      <c r="D39" s="98" t="s">
        <v>40</v>
      </c>
      <c r="E39" s="99"/>
      <c r="F39" s="92"/>
      <c r="G39" s="100"/>
      <c r="H39" s="92"/>
      <c r="I39" s="92"/>
      <c r="J39" s="95"/>
      <c r="K39" s="96"/>
      <c r="L39" s="101" t="s">
        <v>41</v>
      </c>
      <c r="M39" s="91"/>
      <c r="N39" s="92"/>
      <c r="O39" s="92"/>
      <c r="P39" s="92"/>
      <c r="Q39" s="92"/>
      <c r="R39" s="95"/>
      <c r="S39" s="96"/>
      <c r="T39" s="26"/>
      <c r="U39" s="26"/>
      <c r="V39" s="26"/>
      <c r="W39" s="47"/>
      <c r="X39" s="47"/>
      <c r="Y39" s="101" t="s">
        <v>42</v>
      </c>
      <c r="Z39" s="26"/>
      <c r="AA39" s="92"/>
      <c r="AB39" s="92"/>
      <c r="AC39" s="92"/>
      <c r="AD39" s="92"/>
      <c r="AE39" s="92"/>
      <c r="AF39" s="96"/>
      <c r="AG39" s="26"/>
      <c r="AH39" s="26"/>
      <c r="AI39" s="26" t="s">
        <v>55</v>
      </c>
      <c r="AK39" s="102">
        <f>AJ37/AA38</f>
        <v>495629.03225806443</v>
      </c>
      <c r="AL39" s="26" t="s">
        <v>56</v>
      </c>
      <c r="AM39" s="26"/>
      <c r="AN39" s="26"/>
      <c r="AO39" s="26"/>
      <c r="AP39" s="47"/>
      <c r="AQ39" s="26"/>
      <c r="AR39" s="26"/>
      <c r="AS39" s="47"/>
      <c r="AT39" s="26"/>
      <c r="AU39" s="47"/>
    </row>
    <row r="40" spans="1:48" ht="21" customHeight="1">
      <c r="A40" s="26"/>
      <c r="B40" s="175"/>
      <c r="C40" s="101"/>
      <c r="D40" s="149" t="s">
        <v>69</v>
      </c>
      <c r="E40" s="150"/>
      <c r="F40" s="150"/>
      <c r="G40" s="150"/>
      <c r="H40" s="150"/>
      <c r="I40" s="150"/>
      <c r="J40" s="150"/>
      <c r="K40" s="151"/>
      <c r="L40" s="149" t="s">
        <v>70</v>
      </c>
      <c r="M40" s="150"/>
      <c r="N40" s="150"/>
      <c r="O40" s="150"/>
      <c r="P40" s="150"/>
      <c r="Q40" s="150"/>
      <c r="R40" s="150"/>
      <c r="S40" s="151"/>
      <c r="T40" s="26"/>
      <c r="U40" s="26"/>
      <c r="V40" s="26"/>
      <c r="W40" s="47"/>
      <c r="X40" s="26"/>
      <c r="Y40" s="149" t="s">
        <v>71</v>
      </c>
      <c r="Z40" s="150"/>
      <c r="AA40" s="150"/>
      <c r="AB40" s="150"/>
      <c r="AC40" s="150"/>
      <c r="AD40" s="150"/>
      <c r="AE40" s="150"/>
      <c r="AF40" s="151"/>
      <c r="AG40" s="26"/>
      <c r="AH40" s="26"/>
      <c r="AI40" s="26" t="s">
        <v>57</v>
      </c>
      <c r="AJ40" s="47">
        <f>AJ36+AK36</f>
        <v>17660650</v>
      </c>
      <c r="AK40" s="102">
        <f>AJ40/AA38</f>
        <v>569698.38709677418</v>
      </c>
      <c r="AL40" s="26" t="s">
        <v>43</v>
      </c>
      <c r="AM40" s="26"/>
      <c r="AN40" s="26"/>
      <c r="AO40" s="26"/>
      <c r="AP40" s="26"/>
      <c r="AQ40" s="26"/>
      <c r="AR40" s="26"/>
      <c r="AS40" s="47"/>
      <c r="AT40" s="26"/>
      <c r="AU40" s="47"/>
    </row>
    <row r="41" spans="1:48" ht="21" customHeight="1">
      <c r="A41" s="26"/>
      <c r="B41" s="175"/>
      <c r="C41" s="101"/>
      <c r="D41" s="152"/>
      <c r="E41" s="153"/>
      <c r="F41" s="153"/>
      <c r="G41" s="153"/>
      <c r="H41" s="153"/>
      <c r="I41" s="153"/>
      <c r="J41" s="153"/>
      <c r="K41" s="154"/>
      <c r="L41" s="152"/>
      <c r="M41" s="153"/>
      <c r="N41" s="153"/>
      <c r="O41" s="153"/>
      <c r="P41" s="153"/>
      <c r="Q41" s="153"/>
      <c r="R41" s="153"/>
      <c r="S41" s="154"/>
      <c r="T41" s="26"/>
      <c r="U41" s="26"/>
      <c r="V41" s="26"/>
      <c r="W41" s="47"/>
      <c r="X41" s="26"/>
      <c r="Y41" s="152"/>
      <c r="Z41" s="153"/>
      <c r="AA41" s="153"/>
      <c r="AB41" s="153"/>
      <c r="AC41" s="153"/>
      <c r="AD41" s="153"/>
      <c r="AE41" s="153"/>
      <c r="AF41" s="154"/>
      <c r="AG41" s="26"/>
      <c r="AH41" s="26"/>
      <c r="AI41" s="26" t="s">
        <v>58</v>
      </c>
      <c r="AJ41" s="106">
        <f>AJ37+AK37</f>
        <v>16055136.363636361</v>
      </c>
      <c r="AK41" s="102">
        <f>AJ41/AA38</f>
        <v>517907.62463343103</v>
      </c>
      <c r="AL41" s="26" t="s">
        <v>56</v>
      </c>
      <c r="AM41" s="26"/>
      <c r="AN41" s="26"/>
      <c r="AO41" s="26"/>
      <c r="AP41" s="26"/>
      <c r="AQ41" s="26"/>
      <c r="AR41" s="26"/>
      <c r="AS41" s="47"/>
      <c r="AT41" s="26"/>
      <c r="AU41" s="47"/>
    </row>
    <row r="42" spans="1:48" ht="21" customHeight="1">
      <c r="A42" s="26"/>
      <c r="B42" s="175"/>
      <c r="C42" s="101"/>
      <c r="D42" s="152"/>
      <c r="E42" s="153"/>
      <c r="F42" s="153"/>
      <c r="G42" s="153"/>
      <c r="H42" s="153"/>
      <c r="I42" s="153"/>
      <c r="J42" s="153"/>
      <c r="K42" s="154"/>
      <c r="L42" s="152"/>
      <c r="M42" s="153"/>
      <c r="N42" s="153"/>
      <c r="O42" s="153"/>
      <c r="P42" s="153"/>
      <c r="Q42" s="153"/>
      <c r="R42" s="153"/>
      <c r="S42" s="154"/>
      <c r="T42" s="26"/>
      <c r="U42" s="26"/>
      <c r="V42" s="26"/>
      <c r="W42" s="47"/>
      <c r="X42" s="26"/>
      <c r="Y42" s="152"/>
      <c r="Z42" s="153"/>
      <c r="AA42" s="153"/>
      <c r="AB42" s="153"/>
      <c r="AC42" s="153"/>
      <c r="AD42" s="153"/>
      <c r="AE42" s="153"/>
      <c r="AF42" s="154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47"/>
      <c r="AT42" s="26"/>
      <c r="AU42" s="47"/>
    </row>
    <row r="43" spans="1:48" ht="21" customHeight="1">
      <c r="A43" s="26"/>
      <c r="B43" s="175"/>
      <c r="C43" s="101"/>
      <c r="D43" s="152"/>
      <c r="E43" s="153"/>
      <c r="F43" s="153"/>
      <c r="G43" s="153"/>
      <c r="H43" s="153"/>
      <c r="I43" s="153"/>
      <c r="J43" s="153"/>
      <c r="K43" s="154"/>
      <c r="L43" s="152"/>
      <c r="M43" s="153"/>
      <c r="N43" s="153"/>
      <c r="O43" s="153"/>
      <c r="P43" s="153"/>
      <c r="Q43" s="153"/>
      <c r="R43" s="153"/>
      <c r="S43" s="154"/>
      <c r="T43" s="26"/>
      <c r="U43" s="26"/>
      <c r="V43" s="26"/>
      <c r="W43" s="26"/>
      <c r="X43" s="26"/>
      <c r="Y43" s="152"/>
      <c r="Z43" s="153"/>
      <c r="AA43" s="153"/>
      <c r="AB43" s="153"/>
      <c r="AC43" s="153"/>
      <c r="AD43" s="153"/>
      <c r="AE43" s="153"/>
      <c r="AF43" s="154"/>
      <c r="AG43" s="26"/>
      <c r="AH43" s="26"/>
      <c r="AI43" s="26"/>
      <c r="AJ43" s="47">
        <f>AJ37+AK37</f>
        <v>16055136.363636361</v>
      </c>
      <c r="AK43" s="103" t="s">
        <v>44</v>
      </c>
      <c r="AL43" s="26"/>
      <c r="AM43" s="26"/>
      <c r="AN43" s="26"/>
      <c r="AO43" s="26"/>
      <c r="AP43" s="26"/>
      <c r="AQ43" s="26"/>
      <c r="AR43" s="26"/>
      <c r="AS43" s="47"/>
      <c r="AT43" s="26"/>
      <c r="AU43" s="47"/>
    </row>
    <row r="44" spans="1:48" ht="21" customHeight="1">
      <c r="A44" s="26"/>
      <c r="B44" s="175"/>
      <c r="C44" s="101"/>
      <c r="D44" s="155"/>
      <c r="E44" s="156"/>
      <c r="F44" s="156"/>
      <c r="G44" s="156"/>
      <c r="H44" s="156"/>
      <c r="I44" s="156"/>
      <c r="J44" s="156"/>
      <c r="K44" s="157"/>
      <c r="L44" s="155"/>
      <c r="M44" s="156"/>
      <c r="N44" s="156"/>
      <c r="O44" s="156"/>
      <c r="P44" s="156"/>
      <c r="Q44" s="156"/>
      <c r="R44" s="156"/>
      <c r="S44" s="157"/>
      <c r="T44" s="26"/>
      <c r="U44" s="26"/>
      <c r="V44" s="26"/>
      <c r="W44" s="26"/>
      <c r="X44" s="26"/>
      <c r="Y44" s="155"/>
      <c r="Z44" s="156"/>
      <c r="AA44" s="156"/>
      <c r="AB44" s="156"/>
      <c r="AC44" s="156"/>
      <c r="AD44" s="156"/>
      <c r="AE44" s="156"/>
      <c r="AF44" s="157"/>
      <c r="AG44" s="26"/>
      <c r="AH44" s="104"/>
      <c r="AI44" s="105" t="s">
        <v>45</v>
      </c>
      <c r="AJ44" s="106">
        <f>J45+R45+AE45+AK44</f>
        <v>13808255</v>
      </c>
      <c r="AK44" s="176">
        <f>600000+180855</f>
        <v>780855</v>
      </c>
      <c r="AL44" s="104"/>
      <c r="AM44" s="26"/>
      <c r="AN44" s="26"/>
      <c r="AO44" s="26"/>
      <c r="AP44" s="26"/>
      <c r="AQ44" s="26"/>
      <c r="AR44" s="26"/>
      <c r="AS44" s="47"/>
      <c r="AT44" s="26"/>
      <c r="AU44" s="47"/>
    </row>
    <row r="45" spans="1:48" ht="21" customHeight="1">
      <c r="A45" s="26"/>
      <c r="B45" s="175"/>
      <c r="C45" s="26"/>
      <c r="D45" s="26"/>
      <c r="E45" s="26"/>
      <c r="F45" s="26"/>
      <c r="G45" s="26"/>
      <c r="H45" s="108"/>
      <c r="I45" s="109" t="s">
        <v>46</v>
      </c>
      <c r="J45" s="106">
        <v>1089000</v>
      </c>
      <c r="K45" s="110" t="s">
        <v>47</v>
      </c>
      <c r="L45" s="104"/>
      <c r="M45" s="104"/>
      <c r="N45" s="104"/>
      <c r="O45" s="104"/>
      <c r="P45" s="104"/>
      <c r="Q45" s="109" t="s">
        <v>48</v>
      </c>
      <c r="R45" s="106">
        <v>9914400</v>
      </c>
      <c r="S45" s="110" t="s">
        <v>47</v>
      </c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8" t="s">
        <v>49</v>
      </c>
      <c r="AE45" s="106">
        <v>2024000</v>
      </c>
      <c r="AF45" s="110" t="s">
        <v>47</v>
      </c>
      <c r="AG45" s="104"/>
      <c r="AH45" s="104"/>
      <c r="AI45" s="105" t="s">
        <v>50</v>
      </c>
      <c r="AJ45" s="106">
        <f>AJ44-AJ37-AK37</f>
        <v>-2246881.3636363614</v>
      </c>
      <c r="AK45" s="106">
        <f>AK44-AK37</f>
        <v>90218.636363636469</v>
      </c>
      <c r="AL45" s="111">
        <f>AK37/AK44</f>
        <v>0.88446172930488187</v>
      </c>
      <c r="AM45" s="26"/>
      <c r="AN45" s="26"/>
      <c r="AO45" s="26"/>
      <c r="AP45" s="26"/>
      <c r="AQ45" s="47"/>
      <c r="AR45" s="26"/>
      <c r="AS45" s="47"/>
      <c r="AT45" s="26"/>
      <c r="AU45" s="26"/>
    </row>
    <row r="46" spans="1:48" ht="21" customHeight="1">
      <c r="A46" s="26"/>
      <c r="B46" s="175"/>
      <c r="C46" s="26"/>
      <c r="D46" s="26"/>
      <c r="E46" s="26"/>
      <c r="F46" s="26"/>
      <c r="G46" s="26"/>
      <c r="H46" s="108"/>
      <c r="I46" s="108" t="s">
        <v>50</v>
      </c>
      <c r="J46" s="106">
        <f>J45-J37</f>
        <v>-129372.72727272706</v>
      </c>
      <c r="K46" s="112">
        <v>1</v>
      </c>
      <c r="L46" s="104"/>
      <c r="M46" s="104"/>
      <c r="N46" s="104"/>
      <c r="O46" s="104"/>
      <c r="P46" s="104"/>
      <c r="Q46" s="108" t="s">
        <v>50</v>
      </c>
      <c r="R46" s="106">
        <f>R45-R37</f>
        <v>-1723672.7272727266</v>
      </c>
      <c r="S46" s="104">
        <v>1</v>
      </c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8" t="s">
        <v>50</v>
      </c>
      <c r="AE46" s="106">
        <f>AE45-AE37</f>
        <v>-484054.54545454541</v>
      </c>
      <c r="AF46" s="104">
        <f>S46</f>
        <v>1</v>
      </c>
      <c r="AG46" s="104"/>
      <c r="AH46" s="113"/>
      <c r="AI46" s="114" t="s">
        <v>51</v>
      </c>
      <c r="AJ46" s="115">
        <f>AJ45/S46</f>
        <v>-2246881.3636363614</v>
      </c>
      <c r="AK46" s="116">
        <f>(AJ37+AK37)/AJ44</f>
        <v>1.1627201528097766</v>
      </c>
      <c r="AL46" s="113"/>
      <c r="AM46" s="117"/>
      <c r="AN46" s="26"/>
      <c r="AO46" s="26"/>
      <c r="AP46" s="26"/>
      <c r="AQ46" s="47"/>
      <c r="AR46" s="26"/>
      <c r="AS46" s="47"/>
      <c r="AT46" s="26"/>
      <c r="AU46" s="26"/>
    </row>
    <row r="47" spans="1:48" ht="25.5" customHeight="1">
      <c r="A47" s="117"/>
      <c r="B47" s="177"/>
      <c r="C47" s="117"/>
      <c r="D47" s="117"/>
      <c r="E47" s="117"/>
      <c r="F47" s="117"/>
      <c r="G47" s="117"/>
      <c r="H47" s="118"/>
      <c r="I47" s="114" t="s">
        <v>51</v>
      </c>
      <c r="J47" s="119">
        <f>J46/K46</f>
        <v>-129372.72727272706</v>
      </c>
      <c r="K47" s="120">
        <f>J37/J45</f>
        <v>1.1187995659070038</v>
      </c>
      <c r="L47" s="113"/>
      <c r="M47" s="113"/>
      <c r="N47" s="113"/>
      <c r="O47" s="113"/>
      <c r="P47" s="113"/>
      <c r="Q47" s="114" t="s">
        <v>51</v>
      </c>
      <c r="R47" s="115">
        <f>R46/S46</f>
        <v>-1723672.7272727266</v>
      </c>
      <c r="S47" s="120">
        <f>R37/R45</f>
        <v>1.173855475598395</v>
      </c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4" t="s">
        <v>51</v>
      </c>
      <c r="AE47" s="119">
        <f>AE46/AF46</f>
        <v>-484054.54545454541</v>
      </c>
      <c r="AF47" s="120">
        <f>AE37/AE45</f>
        <v>1.2391573841178585</v>
      </c>
      <c r="AG47" s="113"/>
      <c r="AH47" s="26"/>
      <c r="AI47" s="26"/>
      <c r="AJ47" s="47"/>
      <c r="AK47" s="26"/>
      <c r="AL47" s="26"/>
      <c r="AM47" s="26"/>
      <c r="AN47" s="117"/>
      <c r="AO47" s="117"/>
      <c r="AP47" s="117"/>
      <c r="AQ47" s="121"/>
      <c r="AR47" s="117"/>
      <c r="AS47" s="121"/>
      <c r="AT47" s="117"/>
      <c r="AU47" s="117"/>
    </row>
    <row r="48" spans="1:48" ht="15.75" customHeight="1">
      <c r="A48" s="26"/>
      <c r="B48" s="17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122"/>
      <c r="AI48" s="122"/>
      <c r="AJ48" s="122"/>
      <c r="AK48" s="122"/>
      <c r="AL48" s="122"/>
      <c r="AM48" s="122"/>
      <c r="AN48" s="26"/>
      <c r="AO48" s="26"/>
      <c r="AP48" s="26"/>
      <c r="AQ48" s="47"/>
      <c r="AR48" s="26"/>
      <c r="AS48" s="47"/>
      <c r="AT48" s="26"/>
      <c r="AU48" s="26"/>
    </row>
    <row r="49" spans="1:47" ht="36" customHeight="1">
      <c r="A49" s="122"/>
      <c r="B49" s="178"/>
      <c r="C49" s="122"/>
      <c r="D49" s="122"/>
      <c r="E49" s="122"/>
      <c r="F49" s="122"/>
      <c r="G49" s="122"/>
      <c r="H49" s="122"/>
      <c r="I49" s="122"/>
      <c r="J49" s="122"/>
      <c r="K49" s="122"/>
      <c r="L49" s="123"/>
      <c r="M49" s="26"/>
      <c r="N49" s="26"/>
      <c r="O49" s="26"/>
      <c r="P49" s="26"/>
      <c r="Q49" s="26"/>
      <c r="R49" s="123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"/>
      <c r="AI49" s="1"/>
      <c r="AJ49" s="1"/>
      <c r="AK49" s="1"/>
      <c r="AL49" s="1"/>
      <c r="AM49" s="1"/>
      <c r="AN49" s="122"/>
      <c r="AO49" s="122"/>
      <c r="AP49" s="122"/>
      <c r="AQ49" s="124"/>
      <c r="AR49" s="122"/>
      <c r="AS49" s="124"/>
      <c r="AT49" s="122"/>
      <c r="AU49" s="122"/>
    </row>
    <row r="50" spans="1:47" ht="36" customHeight="1">
      <c r="A50" s="1"/>
      <c r="B50" s="179"/>
      <c r="C50" s="1"/>
      <c r="D50" s="1"/>
      <c r="E50" s="1"/>
      <c r="F50" s="1"/>
      <c r="G50" s="1"/>
      <c r="H50" s="1"/>
      <c r="I50" s="1"/>
      <c r="J50" s="1"/>
      <c r="K50" s="1"/>
      <c r="L50" s="125"/>
      <c r="M50" s="26"/>
      <c r="N50" s="26"/>
      <c r="O50" s="26"/>
      <c r="P50" s="26"/>
      <c r="Q50" s="26"/>
      <c r="R50" s="125"/>
      <c r="S50" s="125"/>
      <c r="T50" s="1"/>
      <c r="U50" s="1"/>
      <c r="V50" s="1"/>
      <c r="W50" s="1"/>
      <c r="X50" s="1"/>
      <c r="Y50" s="1"/>
      <c r="Z50" s="126"/>
      <c r="AA50" s="1"/>
      <c r="AB50" s="1"/>
      <c r="AC50" s="1"/>
      <c r="AD50" s="1"/>
      <c r="AE50" s="1"/>
      <c r="AF50" s="1"/>
      <c r="AG50" s="1"/>
      <c r="AH50" s="122"/>
      <c r="AI50" s="122"/>
      <c r="AJ50" s="122"/>
      <c r="AK50" s="122"/>
      <c r="AL50" s="122"/>
      <c r="AM50" s="122"/>
      <c r="AN50" s="1"/>
      <c r="AO50" s="1"/>
      <c r="AP50" s="1"/>
      <c r="AQ50" s="127"/>
      <c r="AR50" s="1"/>
      <c r="AS50" s="127"/>
      <c r="AT50" s="1"/>
      <c r="AU50" s="1"/>
    </row>
    <row r="51" spans="1:47" ht="36" customHeight="1">
      <c r="A51" s="122"/>
      <c r="B51" s="178"/>
      <c r="C51" s="122"/>
      <c r="D51" s="122"/>
      <c r="E51" s="122"/>
      <c r="F51" s="122"/>
      <c r="G51" s="122"/>
      <c r="H51" s="122"/>
      <c r="I51" s="122"/>
      <c r="J51" s="122"/>
      <c r="K51" s="1"/>
      <c r="L51" s="125"/>
      <c r="M51" s="26"/>
      <c r="N51" s="26"/>
      <c r="O51" s="26"/>
      <c r="P51" s="26"/>
      <c r="Q51" s="26"/>
      <c r="R51" s="128"/>
      <c r="S51" s="129"/>
      <c r="T51" s="129"/>
      <c r="U51" s="129"/>
      <c r="V51" s="129"/>
      <c r="W51" s="130"/>
      <c r="X51" s="131"/>
      <c r="Y51" s="132"/>
      <c r="Z51" s="133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4"/>
      <c r="AR51" s="122"/>
      <c r="AS51" s="124"/>
      <c r="AT51" s="122"/>
      <c r="AU51" s="122"/>
    </row>
    <row r="52" spans="1:47" ht="36" customHeight="1">
      <c r="A52" s="122"/>
      <c r="B52" s="178"/>
      <c r="C52" s="122"/>
      <c r="D52" s="122"/>
      <c r="E52" s="122"/>
      <c r="F52" s="122"/>
      <c r="G52" s="122"/>
      <c r="H52" s="122"/>
      <c r="I52" s="122"/>
      <c r="J52" s="122"/>
      <c r="K52" s="1"/>
      <c r="L52" s="125"/>
      <c r="M52" s="26"/>
      <c r="N52" s="26"/>
      <c r="O52" s="26"/>
      <c r="P52" s="26"/>
      <c r="Q52" s="26"/>
      <c r="R52" s="130"/>
      <c r="S52" s="129"/>
      <c r="T52" s="129"/>
      <c r="U52" s="129"/>
      <c r="V52" s="129"/>
      <c r="W52" s="130"/>
      <c r="X52" s="131"/>
      <c r="Y52" s="132"/>
      <c r="Z52" s="133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4"/>
      <c r="AR52" s="122"/>
      <c r="AS52" s="124"/>
      <c r="AT52" s="122"/>
      <c r="AU52" s="122"/>
    </row>
    <row r="53" spans="1:47" ht="36" customHeight="1">
      <c r="A53" s="122"/>
      <c r="B53" s="178"/>
      <c r="C53" s="122"/>
      <c r="D53" s="122"/>
      <c r="E53" s="122"/>
      <c r="F53" s="122"/>
      <c r="G53" s="122"/>
      <c r="H53" s="122"/>
      <c r="I53" s="122"/>
      <c r="J53" s="122"/>
      <c r="K53" s="1"/>
      <c r="L53" s="125"/>
      <c r="M53" s="26"/>
      <c r="N53" s="26"/>
      <c r="O53" s="26"/>
      <c r="P53" s="26"/>
      <c r="Q53" s="26"/>
      <c r="R53" s="130"/>
      <c r="S53" s="129"/>
      <c r="T53" s="129"/>
      <c r="U53" s="129"/>
      <c r="V53" s="129"/>
      <c r="W53" s="130"/>
      <c r="X53" s="131"/>
      <c r="Y53" s="132"/>
      <c r="Z53" s="133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4"/>
      <c r="AR53" s="122"/>
      <c r="AS53" s="124"/>
      <c r="AT53" s="122"/>
      <c r="AU53" s="122"/>
    </row>
    <row r="54" spans="1:47" ht="36" customHeight="1">
      <c r="A54" s="122"/>
      <c r="B54" s="178"/>
      <c r="C54" s="122"/>
      <c r="D54" s="122"/>
      <c r="E54" s="122"/>
      <c r="F54" s="122"/>
      <c r="G54" s="122"/>
      <c r="H54" s="122"/>
      <c r="I54" s="122"/>
      <c r="J54" s="122"/>
      <c r="K54" s="1"/>
      <c r="L54" s="125"/>
      <c r="M54" s="26"/>
      <c r="N54" s="26"/>
      <c r="O54" s="26"/>
      <c r="P54" s="26"/>
      <c r="Q54" s="26"/>
      <c r="R54" s="130"/>
      <c r="S54" s="129"/>
      <c r="T54" s="129"/>
      <c r="U54" s="129"/>
      <c r="V54" s="129"/>
      <c r="W54" s="130"/>
      <c r="X54" s="131"/>
      <c r="Y54" s="132"/>
      <c r="Z54" s="133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4"/>
      <c r="AR54" s="122"/>
      <c r="AS54" s="124"/>
      <c r="AT54" s="122"/>
      <c r="AU54" s="122"/>
    </row>
    <row r="55" spans="1:47" ht="36" customHeight="1">
      <c r="A55" s="122"/>
      <c r="B55" s="178"/>
      <c r="C55" s="122"/>
      <c r="D55" s="122"/>
      <c r="E55" s="122"/>
      <c r="F55" s="122"/>
      <c r="G55" s="122"/>
      <c r="H55" s="122"/>
      <c r="I55" s="122"/>
      <c r="J55" s="122"/>
      <c r="K55" s="122"/>
      <c r="L55" s="123"/>
      <c r="M55" s="26"/>
      <c r="N55" s="26"/>
      <c r="O55" s="26"/>
      <c r="P55" s="26"/>
      <c r="Q55" s="26"/>
      <c r="R55" s="130"/>
      <c r="S55" s="129"/>
      <c r="T55" s="129"/>
      <c r="U55" s="129"/>
      <c r="V55" s="129"/>
      <c r="W55" s="131"/>
      <c r="X55" s="131"/>
      <c r="Y55" s="132"/>
      <c r="Z55" s="133"/>
      <c r="AA55" s="122"/>
      <c r="AB55" s="122"/>
      <c r="AC55" s="122"/>
      <c r="AD55" s="122"/>
      <c r="AE55" s="122"/>
      <c r="AF55" s="122"/>
      <c r="AG55" s="122"/>
      <c r="AH55" s="26"/>
      <c r="AI55" s="26"/>
      <c r="AJ55" s="26"/>
      <c r="AK55" s="26"/>
      <c r="AL55" s="26"/>
      <c r="AM55" s="26"/>
      <c r="AN55" s="122"/>
      <c r="AO55" s="122"/>
      <c r="AP55" s="122"/>
      <c r="AQ55" s="124"/>
      <c r="AR55" s="122"/>
      <c r="AS55" s="124"/>
      <c r="AT55" s="122"/>
      <c r="AU55" s="122"/>
    </row>
    <row r="56" spans="1:47" ht="15.75" customHeight="1">
      <c r="A56" s="26"/>
      <c r="B56" s="17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132"/>
      <c r="Z56" s="132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47"/>
      <c r="AT56" s="26"/>
      <c r="AU56" s="47"/>
    </row>
    <row r="57" spans="1:47" ht="15.75" customHeight="1">
      <c r="A57" s="26"/>
      <c r="B57" s="17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122"/>
      <c r="Z57" s="122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47"/>
      <c r="AT57" s="26"/>
      <c r="AU57" s="47"/>
    </row>
    <row r="58" spans="1:47" ht="15.75" customHeight="1">
      <c r="A58" s="26"/>
      <c r="B58" s="17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47"/>
      <c r="AT58" s="26"/>
      <c r="AU58" s="47"/>
    </row>
    <row r="59" spans="1:47" ht="15.75" customHeight="1">
      <c r="A59" s="26"/>
      <c r="B59" s="17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47"/>
      <c r="AT59" s="26"/>
      <c r="AU59" s="47"/>
    </row>
    <row r="60" spans="1:47" ht="15.75" customHeight="1">
      <c r="A60" s="26"/>
      <c r="B60" s="17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47"/>
      <c r="AT60" s="26"/>
      <c r="AU60" s="47"/>
    </row>
    <row r="61" spans="1:47" ht="15.75" customHeight="1">
      <c r="A61" s="26"/>
      <c r="B61" s="17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47"/>
      <c r="AT61" s="26"/>
      <c r="AU61" s="47"/>
    </row>
    <row r="62" spans="1:47" ht="15.75" customHeight="1">
      <c r="A62" s="26"/>
      <c r="B62" s="17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47"/>
      <c r="AT62" s="26"/>
      <c r="AU62" s="47"/>
    </row>
    <row r="63" spans="1:47" ht="15.75" customHeight="1">
      <c r="A63" s="26"/>
      <c r="B63" s="17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47"/>
      <c r="AT63" s="26"/>
      <c r="AU63" s="47"/>
    </row>
    <row r="64" spans="1:47" ht="15.75" customHeight="1">
      <c r="A64" s="26"/>
      <c r="B64" s="175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47"/>
      <c r="AT64" s="26"/>
      <c r="AU64" s="47"/>
    </row>
    <row r="65" spans="1:47" ht="15.75" customHeight="1">
      <c r="A65" s="26"/>
      <c r="B65" s="17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47"/>
      <c r="AT65" s="26"/>
      <c r="AU65" s="47"/>
    </row>
    <row r="66" spans="1:47" ht="15.75" customHeight="1">
      <c r="A66" s="26"/>
      <c r="B66" s="17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47"/>
      <c r="AT66" s="26"/>
      <c r="AU66" s="47"/>
    </row>
    <row r="67" spans="1:47" ht="15.75" customHeight="1">
      <c r="A67" s="26"/>
      <c r="B67" s="17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47"/>
      <c r="AT67" s="26"/>
      <c r="AU67" s="47"/>
    </row>
    <row r="68" spans="1:47" ht="15.75" customHeight="1">
      <c r="A68" s="26"/>
      <c r="B68" s="17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47"/>
      <c r="AT68" s="26"/>
      <c r="AU68" s="47"/>
    </row>
    <row r="69" spans="1:47" ht="15.75" customHeight="1">
      <c r="A69" s="26"/>
      <c r="B69" s="17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47"/>
      <c r="AT69" s="26"/>
      <c r="AU69" s="47"/>
    </row>
    <row r="70" spans="1:47" ht="15.75" customHeight="1">
      <c r="A70" s="26"/>
      <c r="B70" s="17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47"/>
      <c r="AT70" s="26"/>
      <c r="AU70" s="47"/>
    </row>
    <row r="71" spans="1:47" ht="15.75" customHeight="1">
      <c r="A71" s="26"/>
      <c r="B71" s="17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47"/>
      <c r="AT71" s="26"/>
      <c r="AU71" s="47"/>
    </row>
    <row r="72" spans="1:47" ht="15.75" customHeight="1">
      <c r="A72" s="26"/>
      <c r="B72" s="17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47"/>
      <c r="AT72" s="26"/>
      <c r="AU72" s="47"/>
    </row>
    <row r="73" spans="1:47" ht="15.75" customHeight="1">
      <c r="A73" s="26"/>
      <c r="B73" s="17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47"/>
      <c r="AT73" s="26"/>
      <c r="AU73" s="47"/>
    </row>
    <row r="74" spans="1:47" ht="15.75" customHeight="1">
      <c r="A74" s="26"/>
      <c r="B74" s="17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47"/>
      <c r="AT74" s="26"/>
      <c r="AU74" s="47"/>
    </row>
    <row r="75" spans="1:47" ht="15.75" customHeight="1">
      <c r="A75" s="26"/>
      <c r="B75" s="17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47"/>
      <c r="AT75" s="26"/>
      <c r="AU75" s="47"/>
    </row>
    <row r="76" spans="1:47" ht="15.75" customHeight="1">
      <c r="A76" s="26"/>
      <c r="B76" s="17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47"/>
      <c r="AT76" s="26"/>
      <c r="AU76" s="47"/>
    </row>
    <row r="77" spans="1:47" ht="15.75" customHeight="1">
      <c r="A77" s="26"/>
      <c r="B77" s="175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47"/>
      <c r="AT77" s="26"/>
      <c r="AU77" s="47"/>
    </row>
    <row r="78" spans="1:47" ht="15.75" customHeight="1">
      <c r="A78" s="26"/>
      <c r="B78" s="17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47"/>
      <c r="AT78" s="26"/>
      <c r="AU78" s="47"/>
    </row>
    <row r="79" spans="1:47" ht="15.75" customHeight="1">
      <c r="A79" s="26"/>
      <c r="B79" s="17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47"/>
      <c r="AT79" s="26"/>
      <c r="AU79" s="47"/>
    </row>
    <row r="80" spans="1:47" ht="15.75" customHeight="1">
      <c r="A80" s="26"/>
      <c r="B80" s="17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47"/>
      <c r="AT80" s="26"/>
      <c r="AU80" s="47"/>
    </row>
    <row r="81" spans="1:47" ht="15.75" customHeight="1">
      <c r="A81" s="26"/>
      <c r="B81" s="17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47"/>
      <c r="AT81" s="26"/>
      <c r="AU81" s="47"/>
    </row>
    <row r="82" spans="1:47" ht="15.75" customHeight="1">
      <c r="A82" s="26"/>
      <c r="B82" s="17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47"/>
      <c r="AT82" s="26"/>
      <c r="AU82" s="47"/>
    </row>
    <row r="83" spans="1:47" ht="15.75" customHeight="1">
      <c r="A83" s="26"/>
      <c r="B83" s="17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47"/>
      <c r="AT83" s="26"/>
      <c r="AU83" s="47"/>
    </row>
    <row r="84" spans="1:47" ht="15.75" customHeight="1">
      <c r="A84" s="26"/>
      <c r="B84" s="175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47"/>
      <c r="AT84" s="26"/>
      <c r="AU84" s="47"/>
    </row>
    <row r="85" spans="1:47" ht="15.75" customHeight="1">
      <c r="A85" s="26"/>
      <c r="B85" s="17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47"/>
      <c r="AT85" s="26"/>
      <c r="AU85" s="47"/>
    </row>
    <row r="86" spans="1:47" ht="15.75" customHeight="1">
      <c r="A86" s="26"/>
      <c r="B86" s="17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47"/>
      <c r="AT86" s="26"/>
      <c r="AU86" s="47"/>
    </row>
    <row r="87" spans="1:47" ht="15.75" customHeight="1">
      <c r="A87" s="26"/>
      <c r="B87" s="17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47"/>
      <c r="AT87" s="26"/>
      <c r="AU87" s="47"/>
    </row>
    <row r="88" spans="1:47" ht="15.75" customHeight="1">
      <c r="A88" s="26"/>
      <c r="B88" s="175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47"/>
      <c r="AT88" s="26"/>
      <c r="AU88" s="47"/>
    </row>
    <row r="89" spans="1:47" ht="15.75" customHeight="1">
      <c r="A89" s="26"/>
      <c r="B89" s="17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47"/>
      <c r="AT89" s="26"/>
      <c r="AU89" s="47"/>
    </row>
    <row r="90" spans="1:47" ht="15.75" customHeight="1">
      <c r="A90" s="26"/>
      <c r="B90" s="17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47"/>
      <c r="AT90" s="26"/>
      <c r="AU90" s="47"/>
    </row>
    <row r="91" spans="1:47" ht="15.75" customHeight="1">
      <c r="A91" s="26"/>
      <c r="B91" s="17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47"/>
      <c r="AT91" s="26"/>
      <c r="AU91" s="47"/>
    </row>
    <row r="92" spans="1:47" ht="15.75" customHeight="1">
      <c r="A92" s="26"/>
      <c r="B92" s="17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47"/>
      <c r="AT92" s="26"/>
      <c r="AU92" s="47"/>
    </row>
    <row r="93" spans="1:47" ht="15.75" customHeight="1">
      <c r="A93" s="26"/>
      <c r="B93" s="17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47"/>
      <c r="AT93" s="26"/>
      <c r="AU93" s="47"/>
    </row>
    <row r="94" spans="1:47" ht="15.75" customHeight="1">
      <c r="A94" s="26"/>
      <c r="B94" s="17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47"/>
      <c r="AT94" s="26"/>
      <c r="AU94" s="47"/>
    </row>
    <row r="95" spans="1:47" ht="15.75" customHeight="1">
      <c r="A95" s="26"/>
      <c r="B95" s="17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47"/>
      <c r="AT95" s="26"/>
      <c r="AU95" s="47"/>
    </row>
    <row r="96" spans="1:47" ht="15.75" customHeight="1">
      <c r="A96" s="26"/>
      <c r="B96" s="175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47"/>
      <c r="AT96" s="26"/>
      <c r="AU96" s="47"/>
    </row>
    <row r="97" spans="1:47" ht="15.75" customHeight="1">
      <c r="A97" s="26"/>
      <c r="B97" s="17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47"/>
      <c r="AT97" s="26"/>
      <c r="AU97" s="47"/>
    </row>
    <row r="98" spans="1:47" ht="15.75" customHeight="1">
      <c r="A98" s="26"/>
      <c r="B98" s="17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47"/>
      <c r="AT98" s="26"/>
      <c r="AU98" s="47"/>
    </row>
    <row r="99" spans="1:47" ht="15.75" customHeight="1">
      <c r="A99" s="26"/>
      <c r="B99" s="17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47"/>
      <c r="AT99" s="26"/>
      <c r="AU99" s="47"/>
    </row>
    <row r="100" spans="1:47" ht="15.75" customHeight="1">
      <c r="A100" s="26"/>
      <c r="B100" s="17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47"/>
      <c r="AT100" s="26"/>
      <c r="AU100" s="47"/>
    </row>
    <row r="101" spans="1:47" ht="15.75" customHeight="1">
      <c r="A101" s="26"/>
      <c r="B101" s="17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47"/>
      <c r="AT101" s="26"/>
      <c r="AU101" s="47"/>
    </row>
    <row r="102" spans="1:47" ht="15.75" customHeight="1">
      <c r="A102" s="26"/>
      <c r="B102" s="17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47"/>
      <c r="AT102" s="26"/>
      <c r="AU102" s="47"/>
    </row>
    <row r="103" spans="1:47" ht="15.75" customHeight="1">
      <c r="A103" s="26"/>
      <c r="B103" s="17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47"/>
      <c r="AT103" s="26"/>
      <c r="AU103" s="47"/>
    </row>
    <row r="104" spans="1:47" ht="15.75" customHeight="1">
      <c r="A104" s="26"/>
      <c r="B104" s="17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47"/>
      <c r="AT104" s="26"/>
      <c r="AU104" s="47"/>
    </row>
    <row r="105" spans="1:47" ht="15.75" customHeight="1">
      <c r="A105" s="26"/>
      <c r="B105" s="17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47"/>
      <c r="AT105" s="26"/>
      <c r="AU105" s="47"/>
    </row>
    <row r="106" spans="1:47" ht="15.75" customHeight="1">
      <c r="A106" s="26"/>
      <c r="B106" s="17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47"/>
      <c r="AT106" s="26"/>
      <c r="AU106" s="47"/>
    </row>
    <row r="107" spans="1:47" ht="15.75" customHeight="1">
      <c r="A107" s="26"/>
      <c r="B107" s="17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47"/>
      <c r="AT107" s="26"/>
      <c r="AU107" s="47"/>
    </row>
    <row r="108" spans="1:47" ht="15.75" customHeight="1">
      <c r="A108" s="26"/>
      <c r="B108" s="17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47"/>
      <c r="AT108" s="26"/>
      <c r="AU108" s="47"/>
    </row>
    <row r="109" spans="1:47" ht="15.75" customHeight="1">
      <c r="A109" s="26"/>
      <c r="B109" s="17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47"/>
      <c r="AT109" s="26"/>
      <c r="AU109" s="47"/>
    </row>
    <row r="110" spans="1:47" ht="15.75" customHeight="1">
      <c r="A110" s="26"/>
      <c r="B110" s="17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47"/>
      <c r="AT110" s="26"/>
      <c r="AU110" s="47"/>
    </row>
    <row r="111" spans="1:47" ht="15.75" customHeight="1">
      <c r="A111" s="26"/>
      <c r="B111" s="17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47"/>
      <c r="AT111" s="26"/>
      <c r="AU111" s="47"/>
    </row>
    <row r="112" spans="1:47" ht="15.75" customHeight="1">
      <c r="A112" s="26"/>
      <c r="B112" s="17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47"/>
      <c r="AT112" s="26"/>
      <c r="AU112" s="47"/>
    </row>
    <row r="113" spans="1:47" ht="15.75" customHeight="1">
      <c r="A113" s="26"/>
      <c r="B113" s="17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47"/>
      <c r="AT113" s="26"/>
      <c r="AU113" s="47"/>
    </row>
    <row r="114" spans="1:47" ht="15.75" customHeight="1">
      <c r="A114" s="26"/>
      <c r="B114" s="17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47"/>
      <c r="AT114" s="26"/>
      <c r="AU114" s="47"/>
    </row>
    <row r="115" spans="1:47" ht="15.75" customHeight="1">
      <c r="A115" s="26"/>
      <c r="B115" s="175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47"/>
      <c r="AT115" s="26"/>
      <c r="AU115" s="47"/>
    </row>
    <row r="116" spans="1:47" ht="15.75" customHeight="1">
      <c r="A116" s="26"/>
      <c r="B116" s="175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47"/>
      <c r="AT116" s="26"/>
      <c r="AU116" s="47"/>
    </row>
    <row r="117" spans="1:47" ht="15.75" customHeight="1">
      <c r="A117" s="26"/>
      <c r="B117" s="175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47"/>
      <c r="AT117" s="26"/>
      <c r="AU117" s="47"/>
    </row>
    <row r="118" spans="1:47" ht="15.75" customHeight="1">
      <c r="A118" s="26"/>
      <c r="B118" s="175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47"/>
      <c r="AT118" s="26"/>
      <c r="AU118" s="47"/>
    </row>
    <row r="119" spans="1:47" ht="15.75" customHeight="1">
      <c r="A119" s="26"/>
      <c r="B119" s="175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47"/>
      <c r="AT119" s="26"/>
      <c r="AU119" s="47"/>
    </row>
    <row r="120" spans="1:47" ht="15.75" customHeight="1">
      <c r="A120" s="26"/>
      <c r="B120" s="175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47"/>
      <c r="AT120" s="26"/>
      <c r="AU120" s="47"/>
    </row>
    <row r="121" spans="1:47" ht="15.75" customHeight="1">
      <c r="A121" s="26"/>
      <c r="B121" s="175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47"/>
      <c r="AT121" s="26"/>
      <c r="AU121" s="47"/>
    </row>
    <row r="122" spans="1:47" ht="15.75" customHeight="1">
      <c r="A122" s="26"/>
      <c r="B122" s="175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47"/>
      <c r="AT122" s="26"/>
      <c r="AU122" s="47"/>
    </row>
    <row r="123" spans="1:47" ht="15.75" customHeight="1">
      <c r="A123" s="26"/>
      <c r="B123" s="175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47"/>
      <c r="AT123" s="26"/>
      <c r="AU123" s="47"/>
    </row>
    <row r="124" spans="1:47" ht="15.75" customHeight="1">
      <c r="A124" s="26"/>
      <c r="B124" s="175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47"/>
      <c r="AT124" s="26"/>
      <c r="AU124" s="47"/>
    </row>
    <row r="125" spans="1:47" ht="15.75" customHeight="1">
      <c r="A125" s="26"/>
      <c r="B125" s="175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47"/>
      <c r="AT125" s="26"/>
      <c r="AU125" s="47"/>
    </row>
    <row r="126" spans="1:47" ht="15.75" customHeight="1">
      <c r="A126" s="26"/>
      <c r="B126" s="175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47"/>
      <c r="AT126" s="26"/>
      <c r="AU126" s="47"/>
    </row>
    <row r="127" spans="1:47" ht="15.75" customHeight="1">
      <c r="A127" s="26"/>
      <c r="B127" s="175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47"/>
      <c r="AT127" s="26"/>
      <c r="AU127" s="47"/>
    </row>
    <row r="128" spans="1:47" ht="15.75" customHeight="1">
      <c r="A128" s="26"/>
      <c r="B128" s="175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47"/>
      <c r="AT128" s="26"/>
      <c r="AU128" s="47"/>
    </row>
    <row r="129" spans="1:47" ht="15.75" customHeight="1">
      <c r="A129" s="26"/>
      <c r="B129" s="175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47"/>
      <c r="AT129" s="26"/>
      <c r="AU129" s="47"/>
    </row>
    <row r="130" spans="1:47" ht="15.75" customHeight="1">
      <c r="A130" s="26"/>
      <c r="B130" s="175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47"/>
      <c r="AT130" s="26"/>
      <c r="AU130" s="47"/>
    </row>
    <row r="131" spans="1:47" ht="15.75" customHeight="1">
      <c r="A131" s="26"/>
      <c r="B131" s="175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47"/>
      <c r="AT131" s="26"/>
      <c r="AU131" s="47"/>
    </row>
    <row r="132" spans="1:47" ht="15.75" customHeight="1">
      <c r="A132" s="26"/>
      <c r="B132" s="175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47"/>
      <c r="AT132" s="26"/>
      <c r="AU132" s="47"/>
    </row>
    <row r="133" spans="1:47" ht="15.75" customHeight="1">
      <c r="A133" s="26"/>
      <c r="B133" s="175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47"/>
      <c r="AT133" s="26"/>
      <c r="AU133" s="47"/>
    </row>
    <row r="134" spans="1:47" ht="15.75" customHeight="1">
      <c r="A134" s="26"/>
      <c r="B134" s="175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47"/>
      <c r="AT134" s="26"/>
      <c r="AU134" s="47"/>
    </row>
    <row r="135" spans="1:47" ht="15.75" customHeight="1">
      <c r="A135" s="26"/>
      <c r="B135" s="175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47"/>
      <c r="AT135" s="26"/>
      <c r="AU135" s="47"/>
    </row>
    <row r="136" spans="1:47" ht="15.75" customHeight="1">
      <c r="A136" s="26"/>
      <c r="B136" s="175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47"/>
      <c r="AT136" s="26"/>
      <c r="AU136" s="47"/>
    </row>
    <row r="137" spans="1:47" ht="15.75" customHeight="1">
      <c r="A137" s="26"/>
      <c r="B137" s="175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47"/>
      <c r="AT137" s="26"/>
      <c r="AU137" s="47"/>
    </row>
    <row r="138" spans="1:47" ht="15.75" customHeight="1">
      <c r="A138" s="26"/>
      <c r="B138" s="175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47"/>
      <c r="AT138" s="26"/>
      <c r="AU138" s="47"/>
    </row>
    <row r="139" spans="1:47" ht="15.75" customHeight="1">
      <c r="A139" s="26"/>
      <c r="B139" s="175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47"/>
      <c r="AT139" s="26"/>
      <c r="AU139" s="47"/>
    </row>
    <row r="140" spans="1:47" ht="15.75" customHeight="1">
      <c r="A140" s="26"/>
      <c r="B140" s="175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47"/>
      <c r="AT140" s="26"/>
      <c r="AU140" s="47"/>
    </row>
    <row r="141" spans="1:47" ht="15.75" customHeight="1">
      <c r="A141" s="26"/>
      <c r="B141" s="17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47"/>
      <c r="AT141" s="26"/>
      <c r="AU141" s="47"/>
    </row>
    <row r="142" spans="1:47" ht="15.75" customHeight="1">
      <c r="A142" s="26"/>
      <c r="B142" s="175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47"/>
      <c r="AT142" s="26"/>
      <c r="AU142" s="47"/>
    </row>
    <row r="143" spans="1:47" ht="15.75" customHeight="1">
      <c r="A143" s="26"/>
      <c r="B143" s="175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47"/>
      <c r="AT143" s="26"/>
      <c r="AU143" s="47"/>
    </row>
    <row r="144" spans="1:47" ht="15.75" customHeight="1">
      <c r="A144" s="26"/>
      <c r="B144" s="175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47"/>
      <c r="AT144" s="26"/>
      <c r="AU144" s="47"/>
    </row>
    <row r="145" spans="1:47" ht="15.75" customHeight="1">
      <c r="A145" s="26"/>
      <c r="B145" s="175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47"/>
      <c r="AT145" s="26"/>
      <c r="AU145" s="47"/>
    </row>
    <row r="146" spans="1:47" ht="15.75" customHeight="1">
      <c r="A146" s="26"/>
      <c r="B146" s="175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47"/>
      <c r="AT146" s="26"/>
      <c r="AU146" s="47"/>
    </row>
    <row r="147" spans="1:47" ht="15.75" customHeight="1">
      <c r="A147" s="26"/>
      <c r="B147" s="175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47"/>
      <c r="AT147" s="26"/>
      <c r="AU147" s="47"/>
    </row>
    <row r="148" spans="1:47" ht="15.75" customHeight="1">
      <c r="A148" s="26"/>
      <c r="B148" s="175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47"/>
      <c r="AT148" s="26"/>
      <c r="AU148" s="47"/>
    </row>
    <row r="149" spans="1:47" ht="15.75" customHeight="1">
      <c r="A149" s="26"/>
      <c r="B149" s="175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47"/>
      <c r="AT149" s="26"/>
      <c r="AU149" s="47"/>
    </row>
    <row r="150" spans="1:47" ht="15.75" customHeight="1">
      <c r="A150" s="26"/>
      <c r="B150" s="175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47"/>
      <c r="AT150" s="26"/>
      <c r="AU150" s="47"/>
    </row>
    <row r="151" spans="1:47" ht="15.75" customHeight="1">
      <c r="A151" s="26"/>
      <c r="B151" s="175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47"/>
      <c r="AT151" s="26"/>
      <c r="AU151" s="47"/>
    </row>
    <row r="152" spans="1:47" ht="15.75" customHeight="1">
      <c r="A152" s="26"/>
      <c r="B152" s="175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47"/>
      <c r="AT152" s="26"/>
      <c r="AU152" s="47"/>
    </row>
    <row r="153" spans="1:47" ht="15.75" customHeight="1">
      <c r="A153" s="26"/>
      <c r="B153" s="175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47"/>
      <c r="AT153" s="26"/>
      <c r="AU153" s="47"/>
    </row>
    <row r="154" spans="1:47" ht="15.75" customHeight="1">
      <c r="A154" s="26"/>
      <c r="B154" s="175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47"/>
      <c r="AT154" s="26"/>
      <c r="AU154" s="47"/>
    </row>
    <row r="155" spans="1:47" ht="15.75" customHeight="1">
      <c r="A155" s="26"/>
      <c r="B155" s="175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47"/>
      <c r="AT155" s="26"/>
      <c r="AU155" s="47"/>
    </row>
    <row r="156" spans="1:47" ht="15.75" customHeight="1">
      <c r="A156" s="26"/>
      <c r="B156" s="175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47"/>
      <c r="AT156" s="26"/>
      <c r="AU156" s="47"/>
    </row>
    <row r="157" spans="1:47" ht="15.75" customHeight="1">
      <c r="A157" s="26"/>
      <c r="B157" s="175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47"/>
      <c r="AT157" s="26"/>
      <c r="AU157" s="47"/>
    </row>
    <row r="158" spans="1:47" ht="15.75" customHeight="1">
      <c r="A158" s="26"/>
      <c r="B158" s="175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47"/>
      <c r="AT158" s="26"/>
      <c r="AU158" s="47"/>
    </row>
    <row r="159" spans="1:47" ht="15.75" customHeight="1">
      <c r="A159" s="26"/>
      <c r="B159" s="175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47"/>
      <c r="AT159" s="26"/>
      <c r="AU159" s="47"/>
    </row>
    <row r="160" spans="1:47" ht="15.75" customHeight="1">
      <c r="A160" s="26"/>
      <c r="B160" s="175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47"/>
      <c r="AT160" s="26"/>
      <c r="AU160" s="47"/>
    </row>
    <row r="161" spans="1:47" ht="15.75" customHeight="1">
      <c r="A161" s="26"/>
      <c r="B161" s="175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47"/>
      <c r="AT161" s="26"/>
      <c r="AU161" s="47"/>
    </row>
    <row r="162" spans="1:47" ht="15.75" customHeight="1">
      <c r="A162" s="26"/>
      <c r="B162" s="175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47"/>
      <c r="AT162" s="26"/>
      <c r="AU162" s="47"/>
    </row>
    <row r="163" spans="1:47" ht="15.75" customHeight="1">
      <c r="A163" s="26"/>
      <c r="B163" s="175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47"/>
      <c r="AT163" s="26"/>
      <c r="AU163" s="47"/>
    </row>
    <row r="164" spans="1:47" ht="15.75" customHeight="1">
      <c r="A164" s="26"/>
      <c r="B164" s="175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47"/>
      <c r="AT164" s="26"/>
      <c r="AU164" s="47"/>
    </row>
    <row r="165" spans="1:47" ht="15.75" customHeight="1">
      <c r="A165" s="26"/>
      <c r="B165" s="175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47"/>
      <c r="AT165" s="26"/>
      <c r="AU165" s="47"/>
    </row>
    <row r="166" spans="1:47" ht="15.75" customHeight="1">
      <c r="A166" s="26"/>
      <c r="B166" s="175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47"/>
      <c r="AT166" s="26"/>
      <c r="AU166" s="47"/>
    </row>
    <row r="167" spans="1:47" ht="15.75" customHeight="1">
      <c r="A167" s="26"/>
      <c r="B167" s="175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47"/>
      <c r="AT167" s="26"/>
      <c r="AU167" s="47"/>
    </row>
    <row r="168" spans="1:47" ht="15.75" customHeight="1">
      <c r="A168" s="26"/>
      <c r="B168" s="175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47"/>
      <c r="AT168" s="26"/>
      <c r="AU168" s="47"/>
    </row>
    <row r="169" spans="1:47" ht="15.75" customHeight="1">
      <c r="A169" s="26"/>
      <c r="B169" s="175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47"/>
      <c r="AT169" s="26"/>
      <c r="AU169" s="47"/>
    </row>
    <row r="170" spans="1:47" ht="15.75" customHeight="1">
      <c r="A170" s="26"/>
      <c r="B170" s="175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47"/>
      <c r="AT170" s="26"/>
      <c r="AU170" s="47"/>
    </row>
    <row r="171" spans="1:47" ht="15.75" customHeight="1">
      <c r="A171" s="26"/>
      <c r="B171" s="175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47"/>
      <c r="AT171" s="26"/>
      <c r="AU171" s="47"/>
    </row>
    <row r="172" spans="1:47" ht="15.75" customHeight="1">
      <c r="A172" s="26"/>
      <c r="B172" s="175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47"/>
      <c r="AT172" s="26"/>
      <c r="AU172" s="47"/>
    </row>
    <row r="173" spans="1:47" ht="15.75" customHeight="1">
      <c r="A173" s="26"/>
      <c r="B173" s="175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47"/>
      <c r="AT173" s="26"/>
      <c r="AU173" s="47"/>
    </row>
    <row r="174" spans="1:47" ht="15.75" customHeight="1">
      <c r="A174" s="26"/>
      <c r="B174" s="175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47"/>
      <c r="AT174" s="26"/>
      <c r="AU174" s="47"/>
    </row>
    <row r="175" spans="1:47" ht="15.75" customHeight="1">
      <c r="A175" s="26"/>
      <c r="B175" s="175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47"/>
      <c r="AT175" s="26"/>
      <c r="AU175" s="47"/>
    </row>
    <row r="176" spans="1:47" ht="15.75" customHeight="1">
      <c r="A176" s="26"/>
      <c r="B176" s="175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47"/>
      <c r="AT176" s="26"/>
      <c r="AU176" s="47"/>
    </row>
    <row r="177" spans="1:47" ht="15.75" customHeight="1">
      <c r="A177" s="26"/>
      <c r="B177" s="175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47"/>
      <c r="AT177" s="26"/>
      <c r="AU177" s="47"/>
    </row>
    <row r="178" spans="1:47" ht="15.75" customHeight="1">
      <c r="A178" s="26"/>
      <c r="B178" s="175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47"/>
      <c r="AT178" s="26"/>
      <c r="AU178" s="47"/>
    </row>
    <row r="179" spans="1:47" ht="15.75" customHeight="1">
      <c r="A179" s="26"/>
      <c r="B179" s="175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47"/>
      <c r="AT179" s="26"/>
      <c r="AU179" s="47"/>
    </row>
    <row r="180" spans="1:47" ht="15.75" customHeight="1">
      <c r="A180" s="26"/>
      <c r="B180" s="175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47"/>
      <c r="AT180" s="26"/>
      <c r="AU180" s="47"/>
    </row>
    <row r="181" spans="1:47" ht="15.75" customHeight="1">
      <c r="A181" s="26"/>
      <c r="B181" s="175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47"/>
      <c r="AT181" s="26"/>
      <c r="AU181" s="47"/>
    </row>
    <row r="182" spans="1:47" ht="15.75" customHeight="1">
      <c r="A182" s="26"/>
      <c r="B182" s="175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47"/>
      <c r="AT182" s="26"/>
      <c r="AU182" s="47"/>
    </row>
    <row r="183" spans="1:47" ht="15.75" customHeight="1">
      <c r="A183" s="26"/>
      <c r="B183" s="175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47"/>
      <c r="AT183" s="26"/>
      <c r="AU183" s="47"/>
    </row>
    <row r="184" spans="1:47" ht="15.75" customHeight="1">
      <c r="A184" s="26"/>
      <c r="B184" s="175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47"/>
      <c r="AT184" s="26"/>
      <c r="AU184" s="47"/>
    </row>
    <row r="185" spans="1:47" ht="15.75" customHeight="1">
      <c r="A185" s="26"/>
      <c r="B185" s="175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47"/>
      <c r="AT185" s="26"/>
      <c r="AU185" s="47"/>
    </row>
    <row r="186" spans="1:47" ht="15.75" customHeight="1">
      <c r="A186" s="26"/>
      <c r="B186" s="175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47"/>
      <c r="AT186" s="26"/>
      <c r="AU186" s="47"/>
    </row>
    <row r="187" spans="1:47" ht="15.75" customHeight="1">
      <c r="A187" s="26"/>
      <c r="B187" s="175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47"/>
      <c r="AT187" s="26"/>
      <c r="AU187" s="47"/>
    </row>
    <row r="188" spans="1:47" ht="15.75" customHeight="1">
      <c r="A188" s="26"/>
      <c r="B188" s="175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47"/>
      <c r="AT188" s="26"/>
      <c r="AU188" s="47"/>
    </row>
    <row r="189" spans="1:47" ht="15.75" customHeight="1">
      <c r="A189" s="26"/>
      <c r="B189" s="175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47"/>
      <c r="AT189" s="26"/>
      <c r="AU189" s="47"/>
    </row>
    <row r="190" spans="1:47" ht="15.75" customHeight="1">
      <c r="A190" s="26"/>
      <c r="B190" s="175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47"/>
      <c r="AT190" s="26"/>
      <c r="AU190" s="47"/>
    </row>
    <row r="191" spans="1:47" ht="15.75" customHeight="1">
      <c r="A191" s="26"/>
      <c r="B191" s="175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47"/>
      <c r="AT191" s="26"/>
      <c r="AU191" s="47"/>
    </row>
    <row r="192" spans="1:47" ht="15.75" customHeight="1">
      <c r="A192" s="26"/>
      <c r="B192" s="175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47"/>
      <c r="AT192" s="26"/>
      <c r="AU192" s="47"/>
    </row>
    <row r="193" spans="1:47" ht="15.75" customHeight="1">
      <c r="A193" s="26"/>
      <c r="B193" s="175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47"/>
      <c r="AT193" s="26"/>
      <c r="AU193" s="47"/>
    </row>
    <row r="194" spans="1:47" ht="15.75" customHeight="1">
      <c r="A194" s="26"/>
      <c r="B194" s="175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47"/>
      <c r="AT194" s="26"/>
      <c r="AU194" s="47"/>
    </row>
    <row r="195" spans="1:47" ht="15.75" customHeight="1">
      <c r="A195" s="26"/>
      <c r="B195" s="175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47"/>
      <c r="AT195" s="26"/>
      <c r="AU195" s="47"/>
    </row>
    <row r="196" spans="1:47" ht="15.75" customHeight="1">
      <c r="A196" s="26"/>
      <c r="B196" s="175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47"/>
      <c r="AT196" s="26"/>
      <c r="AU196" s="47"/>
    </row>
    <row r="197" spans="1:47" ht="15.75" customHeight="1">
      <c r="A197" s="26"/>
      <c r="B197" s="175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47"/>
      <c r="AT197" s="26"/>
      <c r="AU197" s="47"/>
    </row>
    <row r="198" spans="1:47" ht="15.75" customHeight="1">
      <c r="A198" s="26"/>
      <c r="B198" s="175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47"/>
      <c r="AT198" s="26"/>
      <c r="AU198" s="47"/>
    </row>
    <row r="199" spans="1:47" ht="15.75" customHeight="1">
      <c r="A199" s="26"/>
      <c r="B199" s="175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47"/>
      <c r="AT199" s="26"/>
      <c r="AU199" s="47"/>
    </row>
    <row r="200" spans="1:47" ht="15.75" customHeight="1">
      <c r="A200" s="26"/>
      <c r="B200" s="175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47"/>
      <c r="AT200" s="26"/>
      <c r="AU200" s="47"/>
    </row>
    <row r="201" spans="1:47" ht="15.75" customHeight="1">
      <c r="A201" s="26"/>
      <c r="B201" s="175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47"/>
      <c r="AT201" s="26"/>
      <c r="AU201" s="47"/>
    </row>
    <row r="202" spans="1:47" ht="15.75" customHeight="1">
      <c r="A202" s="26"/>
      <c r="B202" s="175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47"/>
      <c r="AT202" s="26"/>
      <c r="AU202" s="47"/>
    </row>
    <row r="203" spans="1:47" ht="15.75" customHeight="1">
      <c r="A203" s="26"/>
      <c r="B203" s="175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47"/>
      <c r="AT203" s="26"/>
      <c r="AU203" s="47"/>
    </row>
    <row r="204" spans="1:47" ht="15.75" customHeight="1">
      <c r="A204" s="26"/>
      <c r="B204" s="175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47"/>
      <c r="AT204" s="26"/>
      <c r="AU204" s="47"/>
    </row>
    <row r="205" spans="1:47" ht="15.75" customHeight="1">
      <c r="A205" s="26"/>
      <c r="B205" s="175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47"/>
      <c r="AT205" s="26"/>
      <c r="AU205" s="47"/>
    </row>
    <row r="206" spans="1:47" ht="15.75" customHeight="1">
      <c r="A206" s="26"/>
      <c r="B206" s="175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47"/>
      <c r="AT206" s="26"/>
      <c r="AU206" s="47"/>
    </row>
    <row r="207" spans="1:47" ht="15.75" customHeight="1">
      <c r="A207" s="26"/>
      <c r="B207" s="175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47"/>
      <c r="AT207" s="26"/>
      <c r="AU207" s="47"/>
    </row>
    <row r="208" spans="1:47" ht="15.75" customHeight="1">
      <c r="A208" s="26"/>
      <c r="B208" s="175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47"/>
      <c r="AT208" s="26"/>
      <c r="AU208" s="47"/>
    </row>
    <row r="209" spans="1:47" ht="15.75" customHeight="1">
      <c r="A209" s="26"/>
      <c r="B209" s="175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47"/>
      <c r="AT209" s="26"/>
      <c r="AU209" s="47"/>
    </row>
    <row r="210" spans="1:47" ht="15.75" customHeight="1">
      <c r="A210" s="26"/>
      <c r="B210" s="175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47"/>
      <c r="AT210" s="26"/>
      <c r="AU210" s="47"/>
    </row>
    <row r="211" spans="1:47" ht="15.75" customHeight="1">
      <c r="A211" s="26"/>
      <c r="B211" s="175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47"/>
      <c r="AT211" s="26"/>
      <c r="AU211" s="47"/>
    </row>
    <row r="212" spans="1:47" ht="15.75" customHeight="1">
      <c r="A212" s="26"/>
      <c r="B212" s="175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47"/>
      <c r="AT212" s="26"/>
      <c r="AU212" s="47"/>
    </row>
    <row r="213" spans="1:47" ht="15.75" customHeight="1">
      <c r="A213" s="26"/>
      <c r="B213" s="175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47"/>
      <c r="AT213" s="26"/>
      <c r="AU213" s="47"/>
    </row>
    <row r="214" spans="1:47" ht="15.75" customHeight="1">
      <c r="A214" s="26"/>
      <c r="B214" s="175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47"/>
      <c r="AT214" s="26"/>
      <c r="AU214" s="47"/>
    </row>
    <row r="215" spans="1:47" ht="15.75" customHeight="1">
      <c r="A215" s="26"/>
      <c r="B215" s="175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47"/>
      <c r="AT215" s="26"/>
      <c r="AU215" s="47"/>
    </row>
    <row r="216" spans="1:47" ht="15.75" customHeight="1">
      <c r="A216" s="26"/>
      <c r="B216" s="175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47"/>
      <c r="AT216" s="26"/>
      <c r="AU216" s="47"/>
    </row>
    <row r="217" spans="1:47" ht="15.75" customHeight="1">
      <c r="A217" s="26"/>
      <c r="B217" s="175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47"/>
      <c r="AT217" s="26"/>
      <c r="AU217" s="47"/>
    </row>
    <row r="218" spans="1:47" ht="15.75" customHeight="1">
      <c r="A218" s="26"/>
      <c r="B218" s="175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47"/>
      <c r="AT218" s="26"/>
      <c r="AU218" s="47"/>
    </row>
    <row r="219" spans="1:47" ht="15.75" customHeight="1">
      <c r="A219" s="26"/>
      <c r="B219" s="175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47"/>
      <c r="AT219" s="26"/>
      <c r="AU219" s="47"/>
    </row>
    <row r="220" spans="1:47" ht="15.75" customHeight="1">
      <c r="A220" s="26"/>
      <c r="B220" s="175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47"/>
      <c r="AT220" s="26"/>
      <c r="AU220" s="47"/>
    </row>
    <row r="221" spans="1:47" ht="15.75" customHeight="1">
      <c r="A221" s="26"/>
      <c r="B221" s="175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47"/>
      <c r="AT221" s="26"/>
      <c r="AU221" s="47"/>
    </row>
    <row r="222" spans="1:47" ht="15.75" customHeight="1">
      <c r="A222" s="26"/>
      <c r="B222" s="175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47"/>
      <c r="AT222" s="26"/>
      <c r="AU222" s="47"/>
    </row>
    <row r="223" spans="1:47" ht="15.75" customHeight="1">
      <c r="A223" s="26"/>
      <c r="B223" s="175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47"/>
      <c r="AT223" s="26"/>
      <c r="AU223" s="47"/>
    </row>
    <row r="224" spans="1:47" ht="15.75" customHeight="1">
      <c r="A224" s="26"/>
      <c r="B224" s="175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47"/>
      <c r="AT224" s="26"/>
      <c r="AU224" s="47"/>
    </row>
    <row r="225" spans="1:47" ht="15.75" customHeight="1">
      <c r="A225" s="26"/>
      <c r="B225" s="175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47"/>
      <c r="AT225" s="26"/>
      <c r="AU225" s="47"/>
    </row>
    <row r="226" spans="1:47" ht="15.75" customHeight="1">
      <c r="A226" s="26"/>
      <c r="B226" s="175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47"/>
      <c r="AT226" s="26"/>
      <c r="AU226" s="47"/>
    </row>
    <row r="227" spans="1:47" ht="15.75" customHeight="1">
      <c r="A227" s="26"/>
      <c r="B227" s="175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47"/>
      <c r="AT227" s="26"/>
      <c r="AU227" s="47"/>
    </row>
    <row r="228" spans="1:47" ht="15.75" customHeight="1">
      <c r="A228" s="26"/>
      <c r="B228" s="175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47"/>
      <c r="AT228" s="26"/>
      <c r="AU228" s="47"/>
    </row>
    <row r="229" spans="1:47" ht="15.75" customHeight="1">
      <c r="A229" s="26"/>
      <c r="B229" s="175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47"/>
      <c r="AT229" s="26"/>
      <c r="AU229" s="47"/>
    </row>
    <row r="230" spans="1:47" ht="15.75" customHeight="1">
      <c r="A230" s="26"/>
      <c r="B230" s="175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47"/>
      <c r="AT230" s="26"/>
      <c r="AU230" s="47"/>
    </row>
    <row r="231" spans="1:47" ht="15.75" customHeight="1">
      <c r="A231" s="26"/>
      <c r="B231" s="175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47"/>
      <c r="AT231" s="26"/>
      <c r="AU231" s="47"/>
    </row>
    <row r="232" spans="1:47" ht="15.75" customHeight="1">
      <c r="A232" s="26"/>
      <c r="B232" s="175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47"/>
      <c r="AT232" s="26"/>
      <c r="AU232" s="47"/>
    </row>
    <row r="233" spans="1:47" ht="15.75" customHeight="1">
      <c r="A233" s="26"/>
      <c r="B233" s="175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47"/>
      <c r="AT233" s="26"/>
      <c r="AU233" s="47"/>
    </row>
    <row r="234" spans="1:47" ht="15.75" customHeight="1">
      <c r="A234" s="26"/>
      <c r="B234" s="175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47"/>
      <c r="AT234" s="26"/>
      <c r="AU234" s="47"/>
    </row>
    <row r="235" spans="1:47" ht="15.75" customHeight="1">
      <c r="A235" s="26"/>
      <c r="B235" s="175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47"/>
      <c r="AT235" s="26"/>
      <c r="AU235" s="47"/>
    </row>
    <row r="236" spans="1:47" ht="15.75" customHeight="1">
      <c r="A236" s="26"/>
      <c r="B236" s="175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47"/>
      <c r="AT236" s="26"/>
      <c r="AU236" s="47"/>
    </row>
    <row r="237" spans="1:47" ht="15.75" customHeight="1">
      <c r="A237" s="26"/>
      <c r="B237" s="175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47"/>
      <c r="AT237" s="26"/>
      <c r="AU237" s="47"/>
    </row>
    <row r="238" spans="1:47" ht="15.75" customHeight="1">
      <c r="A238" s="26"/>
      <c r="B238" s="175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47"/>
      <c r="AT238" s="26"/>
      <c r="AU238" s="47"/>
    </row>
    <row r="239" spans="1:47" ht="15.75" customHeight="1">
      <c r="A239" s="26"/>
      <c r="B239" s="175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47"/>
      <c r="AT239" s="26"/>
      <c r="AU239" s="47"/>
    </row>
    <row r="240" spans="1:47" ht="15.75" customHeight="1">
      <c r="A240" s="26"/>
      <c r="B240" s="175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47"/>
      <c r="AT240" s="26"/>
      <c r="AU240" s="47"/>
    </row>
    <row r="241" spans="1:47" ht="15.75" customHeight="1">
      <c r="A241" s="26"/>
      <c r="B241" s="175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47"/>
      <c r="AT241" s="26"/>
      <c r="AU241" s="47"/>
    </row>
    <row r="242" spans="1:47" ht="15.75" customHeight="1">
      <c r="A242" s="26"/>
      <c r="B242" s="175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47"/>
      <c r="AT242" s="26"/>
      <c r="AU242" s="47"/>
    </row>
    <row r="243" spans="1:47" ht="15.75" customHeight="1">
      <c r="A243" s="26"/>
      <c r="B243" s="175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47"/>
      <c r="AT243" s="26"/>
      <c r="AU243" s="47"/>
    </row>
    <row r="244" spans="1:47" ht="15.75" customHeight="1">
      <c r="A244" s="26"/>
      <c r="B244" s="175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47"/>
      <c r="AT244" s="26"/>
      <c r="AU244" s="47"/>
    </row>
    <row r="245" spans="1:47" ht="15.75" customHeight="1">
      <c r="A245" s="26"/>
      <c r="B245" s="175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47"/>
      <c r="AT245" s="26"/>
      <c r="AU245" s="47"/>
    </row>
    <row r="246" spans="1:47" ht="15.75" customHeight="1">
      <c r="A246" s="26"/>
      <c r="B246" s="175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47"/>
      <c r="AT246" s="26"/>
      <c r="AU246" s="47"/>
    </row>
    <row r="247" spans="1:47" ht="15.75" customHeight="1">
      <c r="A247" s="26"/>
      <c r="B247" s="175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47"/>
      <c r="AT247" s="26"/>
      <c r="AU247" s="47"/>
    </row>
    <row r="248" spans="1:47" ht="15.75" customHeight="1"/>
    <row r="249" spans="1:47" ht="15.75" customHeight="1"/>
    <row r="250" spans="1:47" ht="15.75" customHeight="1"/>
    <row r="251" spans="1:47" ht="15.75" customHeight="1"/>
    <row r="252" spans="1:47" ht="15.75" customHeight="1"/>
    <row r="253" spans="1:47" ht="15.75" customHeight="1"/>
    <row r="254" spans="1:47" ht="15.75" customHeight="1"/>
    <row r="255" spans="1:47" ht="15.75" customHeight="1"/>
    <row r="256" spans="1:47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X1000"/>
  <sheetViews>
    <sheetView tabSelected="1" workbookViewId="0">
      <selection sqref="A1:XFD1048576"/>
    </sheetView>
  </sheetViews>
  <sheetFormatPr baseColWidth="10" defaultColWidth="10.28515625" defaultRowHeight="15" customHeight="1"/>
  <cols>
    <col min="1" max="2" width="9.28515625" style="198" customWidth="1"/>
    <col min="3" max="3" width="13.28515625" style="198" customWidth="1"/>
    <col min="4" max="4" width="3.42578125" style="198" customWidth="1"/>
    <col min="5" max="5" width="6.28515625" style="198" customWidth="1"/>
    <col min="6" max="6" width="8" style="198" customWidth="1"/>
    <col min="7" max="7" width="9.7109375" style="198" customWidth="1"/>
    <col min="8" max="8" width="7.7109375" style="198" customWidth="1"/>
    <col min="9" max="9" width="6.28515625" style="198" customWidth="1"/>
    <col min="10" max="11" width="8.42578125" style="198" customWidth="1"/>
    <col min="12" max="12" width="3.28515625" style="198" customWidth="1"/>
    <col min="13" max="13" width="6.28515625" style="198" customWidth="1"/>
    <col min="14" max="14" width="9.85546875" style="198" customWidth="1"/>
    <col min="15" max="15" width="9.7109375" style="198" customWidth="1"/>
    <col min="16" max="16" width="7.5703125" style="198" customWidth="1"/>
    <col min="17" max="17" width="6.28515625" style="198" customWidth="1"/>
    <col min="18" max="18" width="13.5703125" style="198" customWidth="1"/>
    <col min="19" max="19" width="9.42578125" style="198" customWidth="1"/>
    <col min="20" max="20" width="7" style="198" customWidth="1"/>
    <col min="21" max="21" width="7.5703125" style="198" customWidth="1"/>
    <col min="22" max="22" width="8.140625" style="198" customWidth="1"/>
    <col min="23" max="23" width="9.28515625" style="198" customWidth="1"/>
    <col min="24" max="24" width="6.28515625" style="198" customWidth="1"/>
    <col min="25" max="25" width="3.140625" style="198" customWidth="1"/>
    <col min="26" max="26" width="6.28515625" style="198" customWidth="1"/>
    <col min="27" max="27" width="7.42578125" style="198" customWidth="1"/>
    <col min="28" max="28" width="6.28515625" style="198" customWidth="1"/>
    <col min="29" max="29" width="8" style="198" customWidth="1"/>
    <col min="30" max="30" width="6.28515625" style="198" customWidth="1"/>
    <col min="31" max="31" width="11.28515625" style="198" customWidth="1"/>
    <col min="32" max="32" width="7.140625" style="198" customWidth="1"/>
    <col min="33" max="33" width="6.28515625" style="198" customWidth="1"/>
    <col min="34" max="35" width="7.5703125" style="198" customWidth="1"/>
    <col min="36" max="36" width="11.28515625" style="198" customWidth="1"/>
    <col min="37" max="44" width="9.28515625" style="198" customWidth="1"/>
    <col min="45" max="45" width="10.5703125" style="198" customWidth="1"/>
    <col min="46" max="47" width="9.28515625" style="198" customWidth="1"/>
    <col min="48" max="48" width="10.28515625" style="198" customWidth="1"/>
    <col min="49" max="50" width="10.28515625" style="4"/>
    <col min="51" max="16384" width="10.28515625" style="198"/>
  </cols>
  <sheetData>
    <row r="1" spans="1:48" s="198" customFormat="1" ht="17">
      <c r="A1" s="194" t="s">
        <v>0</v>
      </c>
      <c r="B1" s="195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7"/>
      <c r="AT1" s="196"/>
      <c r="AU1" s="197"/>
    </row>
    <row r="2" spans="1:48" s="198" customFormat="1" ht="34">
      <c r="A2" s="199">
        <v>2024</v>
      </c>
      <c r="B2" s="200">
        <v>9</v>
      </c>
      <c r="C2" s="201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196"/>
      <c r="S2" s="196"/>
      <c r="T2" s="196"/>
      <c r="U2" s="196"/>
      <c r="V2" s="196"/>
      <c r="W2" s="196"/>
      <c r="X2" s="196" t="s">
        <v>1</v>
      </c>
      <c r="Y2" s="202"/>
      <c r="Z2" s="202"/>
      <c r="AA2" s="202"/>
      <c r="AB2" s="202"/>
      <c r="AC2" s="202"/>
      <c r="AD2" s="202"/>
      <c r="AE2" s="196"/>
      <c r="AF2" s="196"/>
      <c r="AG2" s="196"/>
      <c r="AH2" s="196"/>
      <c r="AI2" s="196"/>
      <c r="AJ2" s="196"/>
      <c r="AK2" s="196" t="s">
        <v>1</v>
      </c>
      <c r="AL2" s="196"/>
      <c r="AM2" s="196"/>
      <c r="AN2" s="196"/>
      <c r="AO2" s="196"/>
      <c r="AP2" s="196"/>
      <c r="AQ2" s="196"/>
      <c r="AR2" s="196"/>
      <c r="AS2" s="197"/>
      <c r="AT2" s="196"/>
      <c r="AU2" s="197"/>
    </row>
    <row r="3" spans="1:48" s="198" customFormat="1" ht="33" customHeight="1">
      <c r="A3" s="199"/>
      <c r="B3" s="203" t="s">
        <v>2</v>
      </c>
      <c r="C3" s="204"/>
      <c r="D3" s="205" t="s">
        <v>3</v>
      </c>
      <c r="E3" s="206"/>
      <c r="F3" s="206"/>
      <c r="G3" s="206"/>
      <c r="H3" s="206"/>
      <c r="I3" s="206"/>
      <c r="J3" s="206"/>
      <c r="K3" s="206"/>
      <c r="L3" s="207" t="s">
        <v>4</v>
      </c>
      <c r="M3" s="206"/>
      <c r="N3" s="206"/>
      <c r="O3" s="206"/>
      <c r="P3" s="206"/>
      <c r="Q3" s="206"/>
      <c r="R3" s="206"/>
      <c r="S3" s="206"/>
      <c r="T3" s="208" t="s">
        <v>5</v>
      </c>
      <c r="U3" s="209"/>
      <c r="V3" s="209"/>
      <c r="W3" s="209"/>
      <c r="X3" s="210"/>
      <c r="Y3" s="211" t="s">
        <v>6</v>
      </c>
      <c r="Z3" s="206"/>
      <c r="AA3" s="206"/>
      <c r="AB3" s="206"/>
      <c r="AC3" s="206"/>
      <c r="AD3" s="206"/>
      <c r="AE3" s="206"/>
      <c r="AF3" s="206"/>
      <c r="AG3" s="208" t="s">
        <v>7</v>
      </c>
      <c r="AH3" s="209"/>
      <c r="AI3" s="209"/>
      <c r="AJ3" s="209"/>
      <c r="AK3" s="210"/>
      <c r="AL3" s="212" t="s">
        <v>8</v>
      </c>
      <c r="AM3" s="209"/>
      <c r="AN3" s="209"/>
      <c r="AO3" s="209"/>
      <c r="AP3" s="209"/>
      <c r="AQ3" s="209"/>
      <c r="AR3" s="209"/>
      <c r="AS3" s="210"/>
      <c r="AT3" s="196"/>
      <c r="AU3" s="197"/>
    </row>
    <row r="4" spans="1:48" s="198" customFormat="1" ht="53.25" customHeight="1" thickBot="1">
      <c r="A4" s="199"/>
      <c r="B4" s="213"/>
      <c r="C4" s="214" t="s">
        <v>9</v>
      </c>
      <c r="D4" s="215" t="s">
        <v>10</v>
      </c>
      <c r="E4" s="216" t="s">
        <v>11</v>
      </c>
      <c r="F4" s="215" t="s">
        <v>12</v>
      </c>
      <c r="G4" s="217" t="s">
        <v>13</v>
      </c>
      <c r="H4" s="215" t="s">
        <v>14</v>
      </c>
      <c r="I4" s="218" t="s">
        <v>15</v>
      </c>
      <c r="J4" s="216" t="s">
        <v>16</v>
      </c>
      <c r="K4" s="215" t="s">
        <v>17</v>
      </c>
      <c r="L4" s="215" t="s">
        <v>18</v>
      </c>
      <c r="M4" s="219" t="s">
        <v>11</v>
      </c>
      <c r="N4" s="215" t="s">
        <v>12</v>
      </c>
      <c r="O4" s="217" t="s">
        <v>13</v>
      </c>
      <c r="P4" s="215" t="s">
        <v>14</v>
      </c>
      <c r="Q4" s="218" t="s">
        <v>15</v>
      </c>
      <c r="R4" s="216" t="s">
        <v>16</v>
      </c>
      <c r="S4" s="220" t="s">
        <v>17</v>
      </c>
      <c r="T4" s="221" t="s">
        <v>19</v>
      </c>
      <c r="U4" s="222" t="s">
        <v>20</v>
      </c>
      <c r="V4" s="222" t="s">
        <v>21</v>
      </c>
      <c r="W4" s="223" t="s">
        <v>22</v>
      </c>
      <c r="X4" s="222"/>
      <c r="Y4" s="224" t="s">
        <v>23</v>
      </c>
      <c r="Z4" s="225" t="s">
        <v>11</v>
      </c>
      <c r="AA4" s="215" t="s">
        <v>20</v>
      </c>
      <c r="AB4" s="217" t="s">
        <v>24</v>
      </c>
      <c r="AC4" s="215" t="s">
        <v>21</v>
      </c>
      <c r="AD4" s="218" t="s">
        <v>25</v>
      </c>
      <c r="AE4" s="219" t="s">
        <v>26</v>
      </c>
      <c r="AF4" s="226" t="s">
        <v>17</v>
      </c>
      <c r="AG4" s="221" t="s">
        <v>19</v>
      </c>
      <c r="AH4" s="222" t="s">
        <v>20</v>
      </c>
      <c r="AI4" s="222" t="s">
        <v>21</v>
      </c>
      <c r="AJ4" s="223" t="s">
        <v>22</v>
      </c>
      <c r="AK4" s="222" t="s">
        <v>27</v>
      </c>
      <c r="AL4" s="227" t="s">
        <v>28</v>
      </c>
      <c r="AM4" s="227" t="s">
        <v>29</v>
      </c>
      <c r="AN4" s="227" t="s">
        <v>30</v>
      </c>
      <c r="AO4" s="227" t="s">
        <v>31</v>
      </c>
      <c r="AP4" s="227" t="s">
        <v>32</v>
      </c>
      <c r="AQ4" s="227" t="s">
        <v>33</v>
      </c>
      <c r="AR4" s="227" t="s">
        <v>34</v>
      </c>
      <c r="AS4" s="228" t="s">
        <v>35</v>
      </c>
      <c r="AT4" s="196"/>
      <c r="AU4" s="197"/>
    </row>
    <row r="5" spans="1:48" s="198" customFormat="1" ht="19" thickTop="1">
      <c r="A5" s="229"/>
      <c r="B5" s="230">
        <f>DATE($A$2,$B$2,1)</f>
        <v>45536</v>
      </c>
      <c r="C5" s="231"/>
      <c r="D5" s="232"/>
      <c r="E5" s="233">
        <v>36</v>
      </c>
      <c r="F5" s="234">
        <v>123794</v>
      </c>
      <c r="G5" s="235">
        <f t="shared" ref="G5:G34" si="0">ROUNDDOWN(F5/1.1,0)/E5</f>
        <v>3126.1111111111113</v>
      </c>
      <c r="H5" s="234">
        <v>17120</v>
      </c>
      <c r="I5" s="236">
        <f t="shared" ref="I5:I34" si="1">ROUNDDOWN(H5/1.1,0)/E5</f>
        <v>432.30555555555554</v>
      </c>
      <c r="J5" s="237">
        <f t="shared" ref="J5:J34" si="2">F5+H5</f>
        <v>140914</v>
      </c>
      <c r="K5" s="238">
        <f t="shared" ref="K5:K34" si="3">IF(E5="","",J5/E5)</f>
        <v>3914.2777777777778</v>
      </c>
      <c r="L5" s="239"/>
      <c r="M5" s="240">
        <f t="shared" ref="M5:N20" si="4">AL5-E5</f>
        <v>37</v>
      </c>
      <c r="N5" s="241">
        <f t="shared" si="4"/>
        <v>328000</v>
      </c>
      <c r="O5" s="235">
        <f t="shared" ref="O5:O34" si="5">ROUNDDOWN(N5/1.1,0)/M5</f>
        <v>8058.9459459459458</v>
      </c>
      <c r="P5" s="241">
        <f t="shared" ref="P5:P34" si="6">AN5-H5</f>
        <v>56240</v>
      </c>
      <c r="Q5" s="236">
        <f t="shared" ref="Q5:Q34" si="7">ROUNDDOWN(P5/1.1,0)/M5</f>
        <v>1381.8108108108108</v>
      </c>
      <c r="R5" s="242">
        <f t="shared" ref="R5:R34" si="8">N5+P5</f>
        <v>384240</v>
      </c>
      <c r="S5" s="238">
        <f t="shared" ref="S5:S34" si="9">IF(M5="","",R5/M5)</f>
        <v>10384.864864864865</v>
      </c>
      <c r="T5" s="243">
        <f t="shared" ref="T5:U20" si="10">E5+M5</f>
        <v>73</v>
      </c>
      <c r="U5" s="241">
        <f t="shared" si="10"/>
        <v>451794</v>
      </c>
      <c r="V5" s="241">
        <f t="shared" ref="V5:V34" si="11">H5+P5</f>
        <v>73360</v>
      </c>
      <c r="W5" s="244">
        <f t="shared" ref="W5:W34" si="12">J5+R5</f>
        <v>525154</v>
      </c>
      <c r="X5" s="241">
        <f t="shared" ref="X5:X34" si="13">IF(T5="","",W5/T5)</f>
        <v>7193.8904109589039</v>
      </c>
      <c r="Y5" s="245"/>
      <c r="Z5" s="246">
        <v>182</v>
      </c>
      <c r="AA5" s="234">
        <v>141400</v>
      </c>
      <c r="AB5" s="235">
        <f t="shared" ref="AB5:AB34" si="14">AA5/Z5</f>
        <v>776.92307692307691</v>
      </c>
      <c r="AC5" s="234">
        <v>28550</v>
      </c>
      <c r="AD5" s="236">
        <f t="shared" ref="AD5:AD34" si="15">AC5/Z5</f>
        <v>156.86813186813185</v>
      </c>
      <c r="AE5" s="247">
        <f t="shared" ref="AE5:AE34" si="16">AA5+AC5</f>
        <v>169950</v>
      </c>
      <c r="AF5" s="238">
        <f t="shared" ref="AF5:AF34" si="17">IF(Z5="","",AE5/Z5)</f>
        <v>933.79120879120876</v>
      </c>
      <c r="AG5" s="243">
        <f t="shared" ref="AG5:AG34" si="18">SUM(E5,M5)</f>
        <v>73</v>
      </c>
      <c r="AH5" s="241">
        <f t="shared" ref="AH5:AH34" si="19">U5+AA5</f>
        <v>593194</v>
      </c>
      <c r="AI5" s="241">
        <f t="shared" ref="AI5:AI34" si="20">V5+AC5</f>
        <v>101910</v>
      </c>
      <c r="AJ5" s="248">
        <f t="shared" ref="AJ5:AJ34" si="21">W5+AE5</f>
        <v>695104</v>
      </c>
      <c r="AK5" s="241">
        <f t="shared" ref="AK5:AK34" si="22">AO5+AP5+AQ5</f>
        <v>42350</v>
      </c>
      <c r="AL5" s="249">
        <v>73</v>
      </c>
      <c r="AM5" s="249">
        <v>451794</v>
      </c>
      <c r="AN5" s="249">
        <v>73360</v>
      </c>
      <c r="AO5" s="250">
        <v>35200</v>
      </c>
      <c r="AP5" s="250">
        <v>1650</v>
      </c>
      <c r="AQ5" s="250">
        <v>5500</v>
      </c>
      <c r="AR5" s="250"/>
      <c r="AS5" s="251">
        <f>SUM(AM5:AQ5)</f>
        <v>567504</v>
      </c>
      <c r="AT5" s="229">
        <v>1</v>
      </c>
      <c r="AU5" s="252">
        <f>AR5+AS5</f>
        <v>567504</v>
      </c>
      <c r="AV5" s="253">
        <f>AU5+AE5</f>
        <v>737454</v>
      </c>
    </row>
    <row r="6" spans="1:48" s="198" customFormat="1" ht="18">
      <c r="A6" s="229"/>
      <c r="B6" s="254">
        <f t="shared" ref="B6:B34" si="23">B5+1</f>
        <v>45537</v>
      </c>
      <c r="C6" s="231" t="s">
        <v>52</v>
      </c>
      <c r="D6" s="232"/>
      <c r="E6" s="233"/>
      <c r="F6" s="234"/>
      <c r="G6" s="235" t="e">
        <f t="shared" si="0"/>
        <v>#DIV/0!</v>
      </c>
      <c r="H6" s="234"/>
      <c r="I6" s="236" t="e">
        <f t="shared" si="1"/>
        <v>#DIV/0!</v>
      </c>
      <c r="J6" s="237">
        <f t="shared" si="2"/>
        <v>0</v>
      </c>
      <c r="K6" s="238" t="str">
        <f t="shared" si="3"/>
        <v/>
      </c>
      <c r="L6" s="239"/>
      <c r="M6" s="240">
        <f t="shared" si="4"/>
        <v>39</v>
      </c>
      <c r="N6" s="241">
        <f t="shared" si="4"/>
        <v>374880</v>
      </c>
      <c r="O6" s="235">
        <f t="shared" si="5"/>
        <v>8738.461538461539</v>
      </c>
      <c r="P6" s="241">
        <f t="shared" si="6"/>
        <v>108940</v>
      </c>
      <c r="Q6" s="236">
        <f t="shared" si="7"/>
        <v>2539.3846153846152</v>
      </c>
      <c r="R6" s="242">
        <f t="shared" si="8"/>
        <v>483820</v>
      </c>
      <c r="S6" s="238">
        <f t="shared" si="9"/>
        <v>12405.641025641025</v>
      </c>
      <c r="T6" s="255">
        <f t="shared" si="10"/>
        <v>39</v>
      </c>
      <c r="U6" s="241">
        <f t="shared" si="10"/>
        <v>374880</v>
      </c>
      <c r="V6" s="241">
        <f t="shared" si="11"/>
        <v>108940</v>
      </c>
      <c r="W6" s="244">
        <f t="shared" si="12"/>
        <v>483820</v>
      </c>
      <c r="X6" s="241">
        <f t="shared" si="13"/>
        <v>12405.641025641025</v>
      </c>
      <c r="Y6" s="245"/>
      <c r="Z6" s="246">
        <v>68</v>
      </c>
      <c r="AA6" s="234">
        <v>43160</v>
      </c>
      <c r="AB6" s="235">
        <f t="shared" si="14"/>
        <v>634.70588235294122</v>
      </c>
      <c r="AC6" s="234">
        <v>14550</v>
      </c>
      <c r="AD6" s="236">
        <f t="shared" si="15"/>
        <v>213.97058823529412</v>
      </c>
      <c r="AE6" s="247">
        <f t="shared" si="16"/>
        <v>57710</v>
      </c>
      <c r="AF6" s="238">
        <f t="shared" si="17"/>
        <v>848.67647058823525</v>
      </c>
      <c r="AG6" s="255">
        <f t="shared" si="18"/>
        <v>39</v>
      </c>
      <c r="AH6" s="241">
        <f t="shared" si="19"/>
        <v>418040</v>
      </c>
      <c r="AI6" s="241">
        <f t="shared" si="20"/>
        <v>123490</v>
      </c>
      <c r="AJ6" s="248">
        <f t="shared" si="21"/>
        <v>541530</v>
      </c>
      <c r="AK6" s="241">
        <f t="shared" si="22"/>
        <v>38100</v>
      </c>
      <c r="AL6" s="249">
        <v>39</v>
      </c>
      <c r="AM6" s="249">
        <v>374880</v>
      </c>
      <c r="AN6" s="249">
        <v>108940</v>
      </c>
      <c r="AO6" s="250">
        <v>13350</v>
      </c>
      <c r="AP6" s="250">
        <v>1650</v>
      </c>
      <c r="AQ6" s="250">
        <v>23100</v>
      </c>
      <c r="AR6" s="250"/>
      <c r="AS6" s="251">
        <f t="shared" ref="AS6:AS31" si="24">SUM(AM6:AQ6)</f>
        <v>521920</v>
      </c>
      <c r="AT6" s="229">
        <v>2</v>
      </c>
      <c r="AU6" s="252">
        <f t="shared" ref="AU6:AU34" si="25">AR6+AS6</f>
        <v>521920</v>
      </c>
      <c r="AV6" s="253">
        <f t="shared" ref="AV6:AV34" si="26">AU6+AE6</f>
        <v>579630</v>
      </c>
    </row>
    <row r="7" spans="1:48" s="198" customFormat="1" ht="18">
      <c r="A7" s="229"/>
      <c r="B7" s="254">
        <f t="shared" si="23"/>
        <v>45538</v>
      </c>
      <c r="C7" s="231" t="s">
        <v>52</v>
      </c>
      <c r="D7" s="232"/>
      <c r="E7" s="233"/>
      <c r="F7" s="234"/>
      <c r="G7" s="235" t="e">
        <f t="shared" si="0"/>
        <v>#DIV/0!</v>
      </c>
      <c r="H7" s="234"/>
      <c r="I7" s="236" t="e">
        <f t="shared" si="1"/>
        <v>#DIV/0!</v>
      </c>
      <c r="J7" s="237">
        <f t="shared" si="2"/>
        <v>0</v>
      </c>
      <c r="K7" s="238" t="str">
        <f t="shared" si="3"/>
        <v/>
      </c>
      <c r="L7" s="239"/>
      <c r="M7" s="240">
        <f t="shared" si="4"/>
        <v>41</v>
      </c>
      <c r="N7" s="241">
        <f t="shared" si="4"/>
        <v>381040</v>
      </c>
      <c r="O7" s="235">
        <f t="shared" si="5"/>
        <v>8448.7804878048773</v>
      </c>
      <c r="P7" s="241">
        <f t="shared" si="6"/>
        <v>59150</v>
      </c>
      <c r="Q7" s="236">
        <f t="shared" si="7"/>
        <v>1311.5121951219512</v>
      </c>
      <c r="R7" s="242">
        <f t="shared" si="8"/>
        <v>440190</v>
      </c>
      <c r="S7" s="238">
        <f t="shared" si="9"/>
        <v>10736.341463414634</v>
      </c>
      <c r="T7" s="255">
        <f t="shared" si="10"/>
        <v>41</v>
      </c>
      <c r="U7" s="241">
        <f t="shared" si="10"/>
        <v>381040</v>
      </c>
      <c r="V7" s="241">
        <f t="shared" si="11"/>
        <v>59150</v>
      </c>
      <c r="W7" s="244">
        <f t="shared" si="12"/>
        <v>440190</v>
      </c>
      <c r="X7" s="241">
        <f t="shared" si="13"/>
        <v>10736.341463414634</v>
      </c>
      <c r="Y7" s="245"/>
      <c r="Z7" s="246">
        <v>119</v>
      </c>
      <c r="AA7" s="234">
        <v>85030</v>
      </c>
      <c r="AB7" s="235">
        <f t="shared" si="14"/>
        <v>714.53781512605042</v>
      </c>
      <c r="AC7" s="234">
        <v>23100</v>
      </c>
      <c r="AD7" s="236">
        <f t="shared" si="15"/>
        <v>194.11764705882354</v>
      </c>
      <c r="AE7" s="247">
        <f t="shared" si="16"/>
        <v>108130</v>
      </c>
      <c r="AF7" s="238">
        <f t="shared" si="17"/>
        <v>908.65546218487395</v>
      </c>
      <c r="AG7" s="255">
        <f t="shared" si="18"/>
        <v>41</v>
      </c>
      <c r="AH7" s="241">
        <f t="shared" si="19"/>
        <v>466070</v>
      </c>
      <c r="AI7" s="241">
        <f t="shared" si="20"/>
        <v>82250</v>
      </c>
      <c r="AJ7" s="248">
        <f t="shared" si="21"/>
        <v>548320</v>
      </c>
      <c r="AK7" s="241">
        <f t="shared" si="22"/>
        <v>31900</v>
      </c>
      <c r="AL7" s="249">
        <v>41</v>
      </c>
      <c r="AM7" s="249">
        <v>381040</v>
      </c>
      <c r="AN7" s="249">
        <v>59150</v>
      </c>
      <c r="AO7" s="250">
        <v>30250</v>
      </c>
      <c r="AP7" s="250">
        <v>1650</v>
      </c>
      <c r="AQ7" s="250"/>
      <c r="AR7" s="250">
        <v>70000</v>
      </c>
      <c r="AS7" s="251">
        <f t="shared" si="24"/>
        <v>472090</v>
      </c>
      <c r="AT7" s="229">
        <v>3</v>
      </c>
      <c r="AU7" s="252">
        <f t="shared" si="25"/>
        <v>542090</v>
      </c>
      <c r="AV7" s="253">
        <f t="shared" si="26"/>
        <v>650220</v>
      </c>
    </row>
    <row r="8" spans="1:48" s="198" customFormat="1" ht="18">
      <c r="A8" s="229"/>
      <c r="B8" s="254">
        <f t="shared" si="23"/>
        <v>45539</v>
      </c>
      <c r="C8" s="231" t="s">
        <v>52</v>
      </c>
      <c r="D8" s="232"/>
      <c r="E8" s="233"/>
      <c r="F8" s="234"/>
      <c r="G8" s="235" t="e">
        <f t="shared" si="0"/>
        <v>#DIV/0!</v>
      </c>
      <c r="H8" s="234"/>
      <c r="I8" s="236" t="e">
        <f t="shared" si="1"/>
        <v>#DIV/0!</v>
      </c>
      <c r="J8" s="237">
        <f t="shared" si="2"/>
        <v>0</v>
      </c>
      <c r="K8" s="238" t="str">
        <f t="shared" si="3"/>
        <v/>
      </c>
      <c r="L8" s="239"/>
      <c r="M8" s="240">
        <f t="shared" si="4"/>
        <v>39</v>
      </c>
      <c r="N8" s="241">
        <f t="shared" si="4"/>
        <v>378070</v>
      </c>
      <c r="O8" s="235">
        <f t="shared" si="5"/>
        <v>8812.8205128205136</v>
      </c>
      <c r="P8" s="241">
        <f t="shared" si="6"/>
        <v>85350</v>
      </c>
      <c r="Q8" s="236">
        <f t="shared" si="7"/>
        <v>1989.4871794871794</v>
      </c>
      <c r="R8" s="242">
        <f t="shared" si="8"/>
        <v>463420</v>
      </c>
      <c r="S8" s="238">
        <f t="shared" si="9"/>
        <v>11882.564102564103</v>
      </c>
      <c r="T8" s="255">
        <f t="shared" si="10"/>
        <v>39</v>
      </c>
      <c r="U8" s="241">
        <f t="shared" si="10"/>
        <v>378070</v>
      </c>
      <c r="V8" s="241">
        <f t="shared" si="11"/>
        <v>85350</v>
      </c>
      <c r="W8" s="244">
        <f t="shared" si="12"/>
        <v>463420</v>
      </c>
      <c r="X8" s="241">
        <f t="shared" si="13"/>
        <v>11882.564102564103</v>
      </c>
      <c r="Y8" s="245"/>
      <c r="Z8" s="246">
        <v>106</v>
      </c>
      <c r="AA8" s="234">
        <v>65040</v>
      </c>
      <c r="AB8" s="235">
        <f t="shared" si="14"/>
        <v>613.58490566037733</v>
      </c>
      <c r="AC8" s="234">
        <v>19800</v>
      </c>
      <c r="AD8" s="236">
        <f t="shared" si="15"/>
        <v>186.79245283018867</v>
      </c>
      <c r="AE8" s="247">
        <f t="shared" si="16"/>
        <v>84840</v>
      </c>
      <c r="AF8" s="238">
        <f t="shared" si="17"/>
        <v>800.37735849056605</v>
      </c>
      <c r="AG8" s="255">
        <f t="shared" si="18"/>
        <v>39</v>
      </c>
      <c r="AH8" s="241">
        <f t="shared" si="19"/>
        <v>443110</v>
      </c>
      <c r="AI8" s="241">
        <f t="shared" si="20"/>
        <v>105150</v>
      </c>
      <c r="AJ8" s="256">
        <f t="shared" si="21"/>
        <v>548260</v>
      </c>
      <c r="AK8" s="241">
        <f t="shared" si="22"/>
        <v>22550</v>
      </c>
      <c r="AL8" s="249">
        <v>39</v>
      </c>
      <c r="AM8" s="249">
        <v>378070</v>
      </c>
      <c r="AN8" s="249">
        <v>85350</v>
      </c>
      <c r="AO8" s="250">
        <v>22550</v>
      </c>
      <c r="AP8" s="250"/>
      <c r="AQ8" s="250"/>
      <c r="AR8" s="250"/>
      <c r="AS8" s="251">
        <f t="shared" si="24"/>
        <v>485970</v>
      </c>
      <c r="AT8" s="229">
        <v>4</v>
      </c>
      <c r="AU8" s="252">
        <f t="shared" si="25"/>
        <v>485970</v>
      </c>
      <c r="AV8" s="253">
        <f t="shared" si="26"/>
        <v>570810</v>
      </c>
    </row>
    <row r="9" spans="1:48" s="198" customFormat="1" ht="18">
      <c r="A9" s="229"/>
      <c r="B9" s="254">
        <f t="shared" si="23"/>
        <v>45540</v>
      </c>
      <c r="C9" s="231" t="s">
        <v>52</v>
      </c>
      <c r="D9" s="232"/>
      <c r="E9" s="233"/>
      <c r="F9" s="234"/>
      <c r="G9" s="235" t="e">
        <f t="shared" si="0"/>
        <v>#DIV/0!</v>
      </c>
      <c r="H9" s="234"/>
      <c r="I9" s="236" t="e">
        <f t="shared" si="1"/>
        <v>#DIV/0!</v>
      </c>
      <c r="J9" s="237">
        <f t="shared" si="2"/>
        <v>0</v>
      </c>
      <c r="K9" s="238" t="str">
        <f t="shared" si="3"/>
        <v/>
      </c>
      <c r="L9" s="239"/>
      <c r="M9" s="240">
        <f t="shared" si="4"/>
        <v>37</v>
      </c>
      <c r="N9" s="241">
        <f t="shared" si="4"/>
        <v>334290</v>
      </c>
      <c r="O9" s="235">
        <f t="shared" si="5"/>
        <v>8213.5135135135133</v>
      </c>
      <c r="P9" s="241">
        <f t="shared" si="6"/>
        <v>58760</v>
      </c>
      <c r="Q9" s="236">
        <f t="shared" si="7"/>
        <v>1443.7297297297298</v>
      </c>
      <c r="R9" s="242">
        <f t="shared" si="8"/>
        <v>393050</v>
      </c>
      <c r="S9" s="238">
        <f t="shared" si="9"/>
        <v>10622.972972972973</v>
      </c>
      <c r="T9" s="255">
        <f t="shared" si="10"/>
        <v>37</v>
      </c>
      <c r="U9" s="241">
        <f t="shared" si="10"/>
        <v>334290</v>
      </c>
      <c r="V9" s="241">
        <f t="shared" si="11"/>
        <v>58760</v>
      </c>
      <c r="W9" s="244">
        <f t="shared" si="12"/>
        <v>393050</v>
      </c>
      <c r="X9" s="241">
        <f t="shared" si="13"/>
        <v>10622.972972972973</v>
      </c>
      <c r="Y9" s="245"/>
      <c r="Z9" s="246">
        <v>51</v>
      </c>
      <c r="AA9" s="234">
        <v>34620</v>
      </c>
      <c r="AB9" s="235">
        <f t="shared" si="14"/>
        <v>678.82352941176475</v>
      </c>
      <c r="AC9" s="234">
        <v>11300</v>
      </c>
      <c r="AD9" s="236">
        <f t="shared" si="15"/>
        <v>221.56862745098039</v>
      </c>
      <c r="AE9" s="247">
        <f t="shared" si="16"/>
        <v>45920</v>
      </c>
      <c r="AF9" s="238">
        <f t="shared" si="17"/>
        <v>900.39215686274508</v>
      </c>
      <c r="AG9" s="255">
        <f t="shared" si="18"/>
        <v>37</v>
      </c>
      <c r="AH9" s="241">
        <f t="shared" si="19"/>
        <v>368910</v>
      </c>
      <c r="AI9" s="241">
        <f t="shared" si="20"/>
        <v>70060</v>
      </c>
      <c r="AJ9" s="248">
        <f t="shared" si="21"/>
        <v>438970</v>
      </c>
      <c r="AK9" s="241">
        <f t="shared" si="22"/>
        <v>23100</v>
      </c>
      <c r="AL9" s="249">
        <v>37</v>
      </c>
      <c r="AM9" s="249">
        <v>334290</v>
      </c>
      <c r="AN9" s="249">
        <v>58760</v>
      </c>
      <c r="AO9" s="250">
        <v>23100</v>
      </c>
      <c r="AP9" s="250"/>
      <c r="AQ9" s="250"/>
      <c r="AR9" s="250"/>
      <c r="AS9" s="251">
        <f t="shared" si="24"/>
        <v>416150</v>
      </c>
      <c r="AT9" s="229">
        <v>5</v>
      </c>
      <c r="AU9" s="252">
        <f t="shared" si="25"/>
        <v>416150</v>
      </c>
      <c r="AV9" s="253">
        <f t="shared" si="26"/>
        <v>462070</v>
      </c>
    </row>
    <row r="10" spans="1:48" s="198" customFormat="1" ht="18">
      <c r="A10" s="229"/>
      <c r="B10" s="254">
        <f t="shared" si="23"/>
        <v>45541</v>
      </c>
      <c r="C10" s="231" t="s">
        <v>52</v>
      </c>
      <c r="D10" s="232"/>
      <c r="E10" s="233"/>
      <c r="F10" s="234"/>
      <c r="G10" s="235" t="e">
        <f t="shared" si="0"/>
        <v>#DIV/0!</v>
      </c>
      <c r="H10" s="234"/>
      <c r="I10" s="236" t="e">
        <f t="shared" si="1"/>
        <v>#DIV/0!</v>
      </c>
      <c r="J10" s="237">
        <f t="shared" si="2"/>
        <v>0</v>
      </c>
      <c r="K10" s="238" t="str">
        <f t="shared" si="3"/>
        <v/>
      </c>
      <c r="L10" s="239"/>
      <c r="M10" s="240">
        <f t="shared" si="4"/>
        <v>48</v>
      </c>
      <c r="N10" s="241">
        <f t="shared" si="4"/>
        <v>433620</v>
      </c>
      <c r="O10" s="235">
        <f t="shared" si="5"/>
        <v>8212.5</v>
      </c>
      <c r="P10" s="241">
        <f t="shared" si="6"/>
        <v>71970</v>
      </c>
      <c r="Q10" s="236">
        <f t="shared" si="7"/>
        <v>1363.0625</v>
      </c>
      <c r="R10" s="242">
        <f t="shared" si="8"/>
        <v>505590</v>
      </c>
      <c r="S10" s="238">
        <f t="shared" si="9"/>
        <v>10533.125</v>
      </c>
      <c r="T10" s="255">
        <f t="shared" si="10"/>
        <v>48</v>
      </c>
      <c r="U10" s="241">
        <f t="shared" si="10"/>
        <v>433620</v>
      </c>
      <c r="V10" s="241">
        <f t="shared" si="11"/>
        <v>71970</v>
      </c>
      <c r="W10" s="244">
        <f t="shared" si="12"/>
        <v>505590</v>
      </c>
      <c r="X10" s="241">
        <f t="shared" si="13"/>
        <v>10533.125</v>
      </c>
      <c r="Y10" s="245"/>
      <c r="Z10" s="246">
        <v>66</v>
      </c>
      <c r="AA10" s="234">
        <v>33480</v>
      </c>
      <c r="AB10" s="235">
        <f t="shared" si="14"/>
        <v>507.27272727272725</v>
      </c>
      <c r="AC10" s="234">
        <v>14600</v>
      </c>
      <c r="AD10" s="236">
        <f t="shared" si="15"/>
        <v>221.21212121212122</v>
      </c>
      <c r="AE10" s="247">
        <f t="shared" si="16"/>
        <v>48080</v>
      </c>
      <c r="AF10" s="238">
        <f t="shared" si="17"/>
        <v>728.4848484848485</v>
      </c>
      <c r="AG10" s="255">
        <f t="shared" si="18"/>
        <v>48</v>
      </c>
      <c r="AH10" s="241">
        <f t="shared" si="19"/>
        <v>467100</v>
      </c>
      <c r="AI10" s="241">
        <f t="shared" si="20"/>
        <v>86570</v>
      </c>
      <c r="AJ10" s="248">
        <f t="shared" si="21"/>
        <v>553670</v>
      </c>
      <c r="AK10" s="241">
        <f t="shared" si="22"/>
        <v>23100</v>
      </c>
      <c r="AL10" s="249">
        <v>48</v>
      </c>
      <c r="AM10" s="249">
        <v>433620</v>
      </c>
      <c r="AN10" s="249">
        <v>71970</v>
      </c>
      <c r="AO10" s="250">
        <v>21450</v>
      </c>
      <c r="AP10" s="250">
        <v>1650</v>
      </c>
      <c r="AQ10" s="250"/>
      <c r="AR10" s="250"/>
      <c r="AS10" s="251">
        <f t="shared" si="24"/>
        <v>528690</v>
      </c>
      <c r="AT10" s="229">
        <v>6</v>
      </c>
      <c r="AU10" s="252">
        <f t="shared" si="25"/>
        <v>528690</v>
      </c>
      <c r="AV10" s="253">
        <f t="shared" si="26"/>
        <v>576770</v>
      </c>
    </row>
    <row r="11" spans="1:48" s="198" customFormat="1" ht="18">
      <c r="A11" s="229"/>
      <c r="B11" s="257">
        <f t="shared" si="23"/>
        <v>45542</v>
      </c>
      <c r="C11" s="231"/>
      <c r="D11" s="232"/>
      <c r="E11" s="233">
        <v>27</v>
      </c>
      <c r="F11" s="234">
        <v>92004</v>
      </c>
      <c r="G11" s="235">
        <f t="shared" si="0"/>
        <v>3097.7777777777778</v>
      </c>
      <c r="H11" s="234">
        <v>17380</v>
      </c>
      <c r="I11" s="236">
        <f t="shared" si="1"/>
        <v>585.18518518518522</v>
      </c>
      <c r="J11" s="237">
        <f t="shared" si="2"/>
        <v>109384</v>
      </c>
      <c r="K11" s="238">
        <f t="shared" si="3"/>
        <v>4051.2592592592591</v>
      </c>
      <c r="L11" s="239"/>
      <c r="M11" s="240">
        <f t="shared" si="4"/>
        <v>39</v>
      </c>
      <c r="N11" s="241">
        <f t="shared" si="4"/>
        <v>350680</v>
      </c>
      <c r="O11" s="235">
        <f t="shared" si="5"/>
        <v>8174.3589743589746</v>
      </c>
      <c r="P11" s="241">
        <f t="shared" si="6"/>
        <v>43230</v>
      </c>
      <c r="Q11" s="236">
        <f t="shared" si="7"/>
        <v>1007.6923076923077</v>
      </c>
      <c r="R11" s="242">
        <f t="shared" si="8"/>
        <v>393910</v>
      </c>
      <c r="S11" s="238">
        <f t="shared" si="9"/>
        <v>10100.25641025641</v>
      </c>
      <c r="T11" s="255">
        <f t="shared" si="10"/>
        <v>66</v>
      </c>
      <c r="U11" s="241">
        <f t="shared" si="10"/>
        <v>442684</v>
      </c>
      <c r="V11" s="241">
        <f t="shared" si="11"/>
        <v>60610</v>
      </c>
      <c r="W11" s="244">
        <f t="shared" si="12"/>
        <v>503294</v>
      </c>
      <c r="X11" s="241">
        <f t="shared" si="13"/>
        <v>7625.666666666667</v>
      </c>
      <c r="Y11" s="245"/>
      <c r="Z11" s="246">
        <v>131</v>
      </c>
      <c r="AA11" s="234">
        <v>95620</v>
      </c>
      <c r="AB11" s="235">
        <f t="shared" si="14"/>
        <v>729.92366412213744</v>
      </c>
      <c r="AC11" s="234">
        <v>14300</v>
      </c>
      <c r="AD11" s="236">
        <f t="shared" si="15"/>
        <v>109.16030534351145</v>
      </c>
      <c r="AE11" s="247">
        <f t="shared" si="16"/>
        <v>109920</v>
      </c>
      <c r="AF11" s="238">
        <f t="shared" si="17"/>
        <v>839.08396946564881</v>
      </c>
      <c r="AG11" s="255">
        <f t="shared" si="18"/>
        <v>66</v>
      </c>
      <c r="AH11" s="241">
        <f t="shared" si="19"/>
        <v>538304</v>
      </c>
      <c r="AI11" s="241">
        <f t="shared" si="20"/>
        <v>74910</v>
      </c>
      <c r="AJ11" s="248">
        <f t="shared" si="21"/>
        <v>613214</v>
      </c>
      <c r="AK11" s="241">
        <f t="shared" si="22"/>
        <v>31460</v>
      </c>
      <c r="AL11" s="249">
        <v>66</v>
      </c>
      <c r="AM11" s="249">
        <v>442684</v>
      </c>
      <c r="AN11" s="249">
        <v>60610</v>
      </c>
      <c r="AO11" s="250">
        <v>30250</v>
      </c>
      <c r="AP11" s="250">
        <v>1210</v>
      </c>
      <c r="AQ11" s="250"/>
      <c r="AR11" s="250">
        <v>19800</v>
      </c>
      <c r="AS11" s="251">
        <f t="shared" si="24"/>
        <v>534754</v>
      </c>
      <c r="AT11" s="229">
        <v>7</v>
      </c>
      <c r="AU11" s="252">
        <f t="shared" si="25"/>
        <v>554554</v>
      </c>
      <c r="AV11" s="253">
        <f t="shared" si="26"/>
        <v>664474</v>
      </c>
    </row>
    <row r="12" spans="1:48" s="198" customFormat="1" ht="18">
      <c r="A12" s="229"/>
      <c r="B12" s="258">
        <f t="shared" si="23"/>
        <v>45543</v>
      </c>
      <c r="C12" s="231"/>
      <c r="D12" s="232"/>
      <c r="E12" s="233">
        <v>33</v>
      </c>
      <c r="F12" s="234">
        <v>126280</v>
      </c>
      <c r="G12" s="235">
        <f t="shared" si="0"/>
        <v>3478.787878787879</v>
      </c>
      <c r="H12" s="234">
        <v>13700</v>
      </c>
      <c r="I12" s="236">
        <f t="shared" si="1"/>
        <v>377.39393939393938</v>
      </c>
      <c r="J12" s="237">
        <f t="shared" si="2"/>
        <v>139980</v>
      </c>
      <c r="K12" s="238">
        <f t="shared" si="3"/>
        <v>4241.818181818182</v>
      </c>
      <c r="L12" s="239"/>
      <c r="M12" s="240">
        <f t="shared" si="4"/>
        <v>42</v>
      </c>
      <c r="N12" s="241">
        <f t="shared" si="4"/>
        <v>355850</v>
      </c>
      <c r="O12" s="235">
        <f t="shared" si="5"/>
        <v>7702.3809523809523</v>
      </c>
      <c r="P12" s="241">
        <f t="shared" si="6"/>
        <v>55550</v>
      </c>
      <c r="Q12" s="259">
        <f t="shared" si="7"/>
        <v>1202.3809523809523</v>
      </c>
      <c r="R12" s="242">
        <f t="shared" si="8"/>
        <v>411400</v>
      </c>
      <c r="S12" s="238">
        <f t="shared" si="9"/>
        <v>9795.2380952380954</v>
      </c>
      <c r="T12" s="255">
        <f t="shared" si="10"/>
        <v>75</v>
      </c>
      <c r="U12" s="241">
        <f t="shared" si="10"/>
        <v>482130</v>
      </c>
      <c r="V12" s="241">
        <f t="shared" si="11"/>
        <v>69250</v>
      </c>
      <c r="W12" s="244">
        <f t="shared" si="12"/>
        <v>551380</v>
      </c>
      <c r="X12" s="241">
        <f t="shared" si="13"/>
        <v>7351.7333333333336</v>
      </c>
      <c r="Y12" s="245"/>
      <c r="Z12" s="246">
        <v>167</v>
      </c>
      <c r="AA12" s="234">
        <v>131540</v>
      </c>
      <c r="AB12" s="235">
        <f t="shared" si="14"/>
        <v>787.66467065868267</v>
      </c>
      <c r="AC12" s="234">
        <v>26400</v>
      </c>
      <c r="AD12" s="236">
        <f t="shared" si="15"/>
        <v>158.08383233532933</v>
      </c>
      <c r="AE12" s="247">
        <f t="shared" si="16"/>
        <v>157940</v>
      </c>
      <c r="AF12" s="238">
        <f t="shared" si="17"/>
        <v>945.74850299401203</v>
      </c>
      <c r="AG12" s="255">
        <f t="shared" si="18"/>
        <v>75</v>
      </c>
      <c r="AH12" s="241">
        <f t="shared" si="19"/>
        <v>613670</v>
      </c>
      <c r="AI12" s="241">
        <f t="shared" si="20"/>
        <v>95650</v>
      </c>
      <c r="AJ12" s="248">
        <f t="shared" si="21"/>
        <v>709320</v>
      </c>
      <c r="AK12" s="241">
        <f t="shared" si="22"/>
        <v>35200</v>
      </c>
      <c r="AL12" s="249">
        <v>75</v>
      </c>
      <c r="AM12" s="249">
        <v>482130</v>
      </c>
      <c r="AN12" s="249">
        <v>69250</v>
      </c>
      <c r="AO12" s="250">
        <v>35200</v>
      </c>
      <c r="AP12" s="250"/>
      <c r="AQ12" s="250"/>
      <c r="AR12" s="250"/>
      <c r="AS12" s="251">
        <f t="shared" si="24"/>
        <v>586580</v>
      </c>
      <c r="AT12" s="229">
        <v>8</v>
      </c>
      <c r="AU12" s="252">
        <f t="shared" si="25"/>
        <v>586580</v>
      </c>
      <c r="AV12" s="253">
        <f t="shared" si="26"/>
        <v>744520</v>
      </c>
    </row>
    <row r="13" spans="1:48" s="198" customFormat="1" ht="18">
      <c r="A13" s="229"/>
      <c r="B13" s="254">
        <f t="shared" si="23"/>
        <v>45544</v>
      </c>
      <c r="C13" s="231" t="s">
        <v>52</v>
      </c>
      <c r="D13" s="232"/>
      <c r="E13" s="233"/>
      <c r="F13" s="234"/>
      <c r="G13" s="235" t="e">
        <f t="shared" si="0"/>
        <v>#DIV/0!</v>
      </c>
      <c r="H13" s="234"/>
      <c r="I13" s="236" t="e">
        <f t="shared" si="1"/>
        <v>#DIV/0!</v>
      </c>
      <c r="J13" s="237">
        <f t="shared" si="2"/>
        <v>0</v>
      </c>
      <c r="K13" s="238" t="str">
        <f t="shared" si="3"/>
        <v/>
      </c>
      <c r="L13" s="239"/>
      <c r="M13" s="240">
        <f t="shared" si="4"/>
        <v>42</v>
      </c>
      <c r="N13" s="241">
        <f t="shared" si="4"/>
        <v>382320</v>
      </c>
      <c r="O13" s="235">
        <f t="shared" si="5"/>
        <v>8275.3095238095229</v>
      </c>
      <c r="P13" s="241">
        <f t="shared" si="6"/>
        <v>88000</v>
      </c>
      <c r="Q13" s="236">
        <f t="shared" si="7"/>
        <v>1904.7619047619048</v>
      </c>
      <c r="R13" s="242">
        <f t="shared" si="8"/>
        <v>470320</v>
      </c>
      <c r="S13" s="238">
        <f t="shared" si="9"/>
        <v>11198.095238095239</v>
      </c>
      <c r="T13" s="255">
        <f t="shared" si="10"/>
        <v>42</v>
      </c>
      <c r="U13" s="241">
        <f t="shared" si="10"/>
        <v>382320</v>
      </c>
      <c r="V13" s="241">
        <f t="shared" si="11"/>
        <v>88000</v>
      </c>
      <c r="W13" s="244">
        <f t="shared" si="12"/>
        <v>470320</v>
      </c>
      <c r="X13" s="241">
        <f t="shared" si="13"/>
        <v>11198.095238095239</v>
      </c>
      <c r="Y13" s="245"/>
      <c r="Z13" s="246">
        <v>86</v>
      </c>
      <c r="AA13" s="234">
        <v>62280</v>
      </c>
      <c r="AB13" s="235">
        <f t="shared" si="14"/>
        <v>724.18604651162786</v>
      </c>
      <c r="AC13" s="234">
        <v>13150</v>
      </c>
      <c r="AD13" s="236">
        <f t="shared" si="15"/>
        <v>152.90697674418604</v>
      </c>
      <c r="AE13" s="247">
        <f t="shared" si="16"/>
        <v>75430</v>
      </c>
      <c r="AF13" s="238">
        <f t="shared" si="17"/>
        <v>877.09302325581393</v>
      </c>
      <c r="AG13" s="255">
        <f t="shared" si="18"/>
        <v>42</v>
      </c>
      <c r="AH13" s="241">
        <f t="shared" si="19"/>
        <v>444600</v>
      </c>
      <c r="AI13" s="241">
        <f t="shared" si="20"/>
        <v>101150</v>
      </c>
      <c r="AJ13" s="248">
        <f t="shared" si="21"/>
        <v>545750</v>
      </c>
      <c r="AK13" s="241">
        <f t="shared" si="22"/>
        <v>7700</v>
      </c>
      <c r="AL13" s="249">
        <v>42</v>
      </c>
      <c r="AM13" s="249">
        <v>382320</v>
      </c>
      <c r="AN13" s="249">
        <v>88000</v>
      </c>
      <c r="AO13" s="250">
        <v>7700</v>
      </c>
      <c r="AP13" s="250"/>
      <c r="AQ13" s="250"/>
      <c r="AR13" s="250"/>
      <c r="AS13" s="251">
        <f t="shared" si="24"/>
        <v>478020</v>
      </c>
      <c r="AT13" s="229">
        <v>9</v>
      </c>
      <c r="AU13" s="252">
        <f t="shared" si="25"/>
        <v>478020</v>
      </c>
      <c r="AV13" s="253">
        <f t="shared" si="26"/>
        <v>553450</v>
      </c>
    </row>
    <row r="14" spans="1:48" s="198" customFormat="1" ht="18">
      <c r="A14" s="229"/>
      <c r="B14" s="254">
        <f t="shared" si="23"/>
        <v>45545</v>
      </c>
      <c r="C14" s="231" t="s">
        <v>72</v>
      </c>
      <c r="D14" s="232"/>
      <c r="E14" s="233"/>
      <c r="F14" s="234"/>
      <c r="G14" s="235" t="e">
        <f t="shared" si="0"/>
        <v>#DIV/0!</v>
      </c>
      <c r="H14" s="234"/>
      <c r="I14" s="236" t="e">
        <f t="shared" si="1"/>
        <v>#DIV/0!</v>
      </c>
      <c r="J14" s="237">
        <f t="shared" si="2"/>
        <v>0</v>
      </c>
      <c r="K14" s="238" t="str">
        <f t="shared" si="3"/>
        <v/>
      </c>
      <c r="L14" s="239"/>
      <c r="M14" s="240">
        <f t="shared" si="4"/>
        <v>33</v>
      </c>
      <c r="N14" s="241">
        <f t="shared" si="4"/>
        <v>330770</v>
      </c>
      <c r="O14" s="235">
        <f t="shared" si="5"/>
        <v>9112.121212121212</v>
      </c>
      <c r="P14" s="241">
        <f t="shared" si="6"/>
        <v>50380</v>
      </c>
      <c r="Q14" s="236">
        <f t="shared" si="7"/>
        <v>1387.878787878788</v>
      </c>
      <c r="R14" s="242">
        <f t="shared" si="8"/>
        <v>381150</v>
      </c>
      <c r="S14" s="238">
        <f t="shared" si="9"/>
        <v>11550</v>
      </c>
      <c r="T14" s="255">
        <f t="shared" si="10"/>
        <v>33</v>
      </c>
      <c r="U14" s="241">
        <f t="shared" si="10"/>
        <v>330770</v>
      </c>
      <c r="V14" s="241">
        <f t="shared" si="11"/>
        <v>50380</v>
      </c>
      <c r="W14" s="244">
        <f t="shared" si="12"/>
        <v>381150</v>
      </c>
      <c r="X14" s="241">
        <f t="shared" si="13"/>
        <v>11550</v>
      </c>
      <c r="Y14" s="245"/>
      <c r="Z14" s="246">
        <v>13</v>
      </c>
      <c r="AA14" s="234">
        <v>6790</v>
      </c>
      <c r="AB14" s="235">
        <f t="shared" si="14"/>
        <v>522.30769230769226</v>
      </c>
      <c r="AC14" s="234">
        <v>1800</v>
      </c>
      <c r="AD14" s="236">
        <f t="shared" si="15"/>
        <v>138.46153846153845</v>
      </c>
      <c r="AE14" s="247">
        <f t="shared" si="16"/>
        <v>8590</v>
      </c>
      <c r="AF14" s="238">
        <f t="shared" si="17"/>
        <v>660.76923076923072</v>
      </c>
      <c r="AG14" s="255">
        <f t="shared" si="18"/>
        <v>33</v>
      </c>
      <c r="AH14" s="241">
        <f t="shared" si="19"/>
        <v>337560</v>
      </c>
      <c r="AI14" s="241">
        <f t="shared" si="20"/>
        <v>52180</v>
      </c>
      <c r="AJ14" s="256">
        <f t="shared" si="21"/>
        <v>389740</v>
      </c>
      <c r="AK14" s="241">
        <f t="shared" si="22"/>
        <v>15950</v>
      </c>
      <c r="AL14" s="249">
        <v>33</v>
      </c>
      <c r="AM14" s="249">
        <v>330770</v>
      </c>
      <c r="AN14" s="249">
        <v>50380</v>
      </c>
      <c r="AO14" s="250">
        <v>14300</v>
      </c>
      <c r="AP14" s="250">
        <v>1650</v>
      </c>
      <c r="AQ14" s="250"/>
      <c r="AR14" s="250"/>
      <c r="AS14" s="251">
        <f t="shared" si="24"/>
        <v>397100</v>
      </c>
      <c r="AT14" s="229">
        <v>10</v>
      </c>
      <c r="AU14" s="252">
        <f t="shared" si="25"/>
        <v>397100</v>
      </c>
      <c r="AV14" s="253">
        <f t="shared" si="26"/>
        <v>405690</v>
      </c>
    </row>
    <row r="15" spans="1:48" s="198" customFormat="1" ht="18">
      <c r="A15" s="229"/>
      <c r="B15" s="254">
        <f t="shared" si="23"/>
        <v>45546</v>
      </c>
      <c r="C15" s="231" t="s">
        <v>52</v>
      </c>
      <c r="D15" s="232"/>
      <c r="E15" s="233"/>
      <c r="F15" s="234"/>
      <c r="G15" s="235" t="e">
        <f t="shared" si="0"/>
        <v>#DIV/0!</v>
      </c>
      <c r="H15" s="234"/>
      <c r="I15" s="236" t="e">
        <f t="shared" si="1"/>
        <v>#DIV/0!</v>
      </c>
      <c r="J15" s="237">
        <f t="shared" si="2"/>
        <v>0</v>
      </c>
      <c r="K15" s="238" t="str">
        <f t="shared" si="3"/>
        <v/>
      </c>
      <c r="L15" s="239"/>
      <c r="M15" s="240">
        <f t="shared" si="4"/>
        <v>35</v>
      </c>
      <c r="N15" s="241">
        <f t="shared" si="4"/>
        <v>308440</v>
      </c>
      <c r="O15" s="235">
        <f t="shared" si="5"/>
        <v>8011.4285714285716</v>
      </c>
      <c r="P15" s="241">
        <f t="shared" si="6"/>
        <v>66670</v>
      </c>
      <c r="Q15" s="236">
        <f t="shared" si="7"/>
        <v>1731.6857142857143</v>
      </c>
      <c r="R15" s="242">
        <f t="shared" si="8"/>
        <v>375110</v>
      </c>
      <c r="S15" s="238">
        <f t="shared" si="9"/>
        <v>10717.428571428571</v>
      </c>
      <c r="T15" s="255">
        <f t="shared" si="10"/>
        <v>35</v>
      </c>
      <c r="U15" s="241">
        <f t="shared" si="10"/>
        <v>308440</v>
      </c>
      <c r="V15" s="241">
        <f t="shared" si="11"/>
        <v>66670</v>
      </c>
      <c r="W15" s="244">
        <f t="shared" si="12"/>
        <v>375110</v>
      </c>
      <c r="X15" s="241">
        <f t="shared" si="13"/>
        <v>10717.428571428571</v>
      </c>
      <c r="Y15" s="245"/>
      <c r="Z15" s="246">
        <v>69</v>
      </c>
      <c r="AA15" s="234">
        <v>50540</v>
      </c>
      <c r="AB15" s="235">
        <f t="shared" si="14"/>
        <v>732.463768115942</v>
      </c>
      <c r="AC15" s="234">
        <v>13250</v>
      </c>
      <c r="AD15" s="236">
        <f t="shared" si="15"/>
        <v>192.02898550724638</v>
      </c>
      <c r="AE15" s="247">
        <f t="shared" si="16"/>
        <v>63790</v>
      </c>
      <c r="AF15" s="238">
        <f t="shared" si="17"/>
        <v>924.49275362318838</v>
      </c>
      <c r="AG15" s="255">
        <f t="shared" si="18"/>
        <v>35</v>
      </c>
      <c r="AH15" s="241">
        <f t="shared" si="19"/>
        <v>358980</v>
      </c>
      <c r="AI15" s="241">
        <f t="shared" si="20"/>
        <v>79920</v>
      </c>
      <c r="AJ15" s="248">
        <f t="shared" si="21"/>
        <v>438900</v>
      </c>
      <c r="AK15" s="241">
        <f t="shared" si="22"/>
        <v>23650</v>
      </c>
      <c r="AL15" s="249">
        <v>35</v>
      </c>
      <c r="AM15" s="249">
        <v>308440</v>
      </c>
      <c r="AN15" s="249">
        <v>66670</v>
      </c>
      <c r="AO15" s="250">
        <v>18700</v>
      </c>
      <c r="AP15" s="250">
        <v>1650</v>
      </c>
      <c r="AQ15" s="250">
        <v>3300</v>
      </c>
      <c r="AR15" s="250"/>
      <c r="AS15" s="251">
        <f t="shared" si="24"/>
        <v>398760</v>
      </c>
      <c r="AT15" s="229">
        <v>11</v>
      </c>
      <c r="AU15" s="252">
        <f t="shared" si="25"/>
        <v>398760</v>
      </c>
      <c r="AV15" s="253">
        <f>AU15+AE15</f>
        <v>462550</v>
      </c>
    </row>
    <row r="16" spans="1:48" s="198" customFormat="1" ht="18">
      <c r="A16" s="229"/>
      <c r="B16" s="254">
        <f t="shared" si="23"/>
        <v>45547</v>
      </c>
      <c r="C16" s="231" t="s">
        <v>52</v>
      </c>
      <c r="D16" s="232"/>
      <c r="E16" s="233"/>
      <c r="F16" s="234"/>
      <c r="G16" s="235" t="e">
        <f t="shared" si="0"/>
        <v>#DIV/0!</v>
      </c>
      <c r="H16" s="234"/>
      <c r="I16" s="236" t="e">
        <f t="shared" si="1"/>
        <v>#DIV/0!</v>
      </c>
      <c r="J16" s="237">
        <f t="shared" si="2"/>
        <v>0</v>
      </c>
      <c r="K16" s="238" t="str">
        <f t="shared" si="3"/>
        <v/>
      </c>
      <c r="L16" s="239"/>
      <c r="M16" s="240">
        <f t="shared" si="4"/>
        <v>40</v>
      </c>
      <c r="N16" s="241">
        <f t="shared" si="4"/>
        <v>385550</v>
      </c>
      <c r="O16" s="235">
        <f t="shared" si="5"/>
        <v>8762.5</v>
      </c>
      <c r="P16" s="241">
        <f t="shared" si="6"/>
        <v>60060</v>
      </c>
      <c r="Q16" s="236">
        <f t="shared" si="7"/>
        <v>1365</v>
      </c>
      <c r="R16" s="242">
        <f t="shared" si="8"/>
        <v>445610</v>
      </c>
      <c r="S16" s="238">
        <f t="shared" si="9"/>
        <v>11140.25</v>
      </c>
      <c r="T16" s="255">
        <f t="shared" si="10"/>
        <v>40</v>
      </c>
      <c r="U16" s="241">
        <f t="shared" si="10"/>
        <v>385550</v>
      </c>
      <c r="V16" s="241">
        <f t="shared" si="11"/>
        <v>60060</v>
      </c>
      <c r="W16" s="244">
        <f t="shared" si="12"/>
        <v>445610</v>
      </c>
      <c r="X16" s="241">
        <f t="shared" si="13"/>
        <v>11140.25</v>
      </c>
      <c r="Y16" s="245"/>
      <c r="Z16" s="246">
        <v>86</v>
      </c>
      <c r="AA16" s="234">
        <v>46280</v>
      </c>
      <c r="AB16" s="235">
        <f t="shared" si="14"/>
        <v>538.1395348837209</v>
      </c>
      <c r="AC16" s="234">
        <v>16700</v>
      </c>
      <c r="AD16" s="236">
        <f t="shared" si="15"/>
        <v>194.18604651162789</v>
      </c>
      <c r="AE16" s="247">
        <f t="shared" si="16"/>
        <v>62980</v>
      </c>
      <c r="AF16" s="238">
        <f t="shared" si="17"/>
        <v>732.32558139534888</v>
      </c>
      <c r="AG16" s="255">
        <f t="shared" si="18"/>
        <v>40</v>
      </c>
      <c r="AH16" s="241">
        <f t="shared" si="19"/>
        <v>431830</v>
      </c>
      <c r="AI16" s="241">
        <f t="shared" si="20"/>
        <v>76760</v>
      </c>
      <c r="AJ16" s="248">
        <f t="shared" si="21"/>
        <v>508590</v>
      </c>
      <c r="AK16" s="241">
        <f t="shared" si="22"/>
        <v>23100</v>
      </c>
      <c r="AL16" s="249">
        <v>40</v>
      </c>
      <c r="AM16" s="249">
        <v>385550</v>
      </c>
      <c r="AN16" s="249">
        <v>60060</v>
      </c>
      <c r="AO16" s="250">
        <v>23100</v>
      </c>
      <c r="AP16" s="250"/>
      <c r="AQ16" s="250"/>
      <c r="AR16" s="250"/>
      <c r="AS16" s="251">
        <f t="shared" si="24"/>
        <v>468710</v>
      </c>
      <c r="AT16" s="229">
        <v>12</v>
      </c>
      <c r="AU16" s="252">
        <f t="shared" si="25"/>
        <v>468710</v>
      </c>
      <c r="AV16" s="253">
        <f t="shared" si="26"/>
        <v>531690</v>
      </c>
    </row>
    <row r="17" spans="1:48" s="198" customFormat="1" ht="18">
      <c r="A17" s="229"/>
      <c r="B17" s="254">
        <f t="shared" si="23"/>
        <v>45548</v>
      </c>
      <c r="C17" s="231" t="s">
        <v>73</v>
      </c>
      <c r="D17" s="232"/>
      <c r="E17" s="233"/>
      <c r="F17" s="234"/>
      <c r="G17" s="235" t="e">
        <f t="shared" si="0"/>
        <v>#DIV/0!</v>
      </c>
      <c r="H17" s="234"/>
      <c r="I17" s="236" t="e">
        <f t="shared" si="1"/>
        <v>#DIV/0!</v>
      </c>
      <c r="J17" s="237">
        <f t="shared" si="2"/>
        <v>0</v>
      </c>
      <c r="K17" s="238" t="str">
        <f t="shared" si="3"/>
        <v/>
      </c>
      <c r="L17" s="239"/>
      <c r="M17" s="240">
        <f t="shared" si="4"/>
        <v>42</v>
      </c>
      <c r="N17" s="241">
        <f t="shared" si="4"/>
        <v>388830</v>
      </c>
      <c r="O17" s="235">
        <f t="shared" si="5"/>
        <v>8416.2142857142862</v>
      </c>
      <c r="P17" s="241">
        <f t="shared" si="6"/>
        <v>65370</v>
      </c>
      <c r="Q17" s="236">
        <f t="shared" si="7"/>
        <v>1414.9285714285713</v>
      </c>
      <c r="R17" s="242">
        <f t="shared" si="8"/>
        <v>454200</v>
      </c>
      <c r="S17" s="238">
        <f t="shared" si="9"/>
        <v>10814.285714285714</v>
      </c>
      <c r="T17" s="255">
        <f t="shared" si="10"/>
        <v>42</v>
      </c>
      <c r="U17" s="241">
        <f t="shared" si="10"/>
        <v>388830</v>
      </c>
      <c r="V17" s="241">
        <f t="shared" si="11"/>
        <v>65370</v>
      </c>
      <c r="W17" s="244">
        <f t="shared" si="12"/>
        <v>454200</v>
      </c>
      <c r="X17" s="241">
        <f t="shared" si="13"/>
        <v>10814.285714285714</v>
      </c>
      <c r="Y17" s="245"/>
      <c r="Z17" s="246">
        <v>69</v>
      </c>
      <c r="AA17" s="234">
        <v>37430</v>
      </c>
      <c r="AB17" s="235">
        <f t="shared" si="14"/>
        <v>542.463768115942</v>
      </c>
      <c r="AC17" s="234">
        <v>5150</v>
      </c>
      <c r="AD17" s="236">
        <f t="shared" si="15"/>
        <v>74.637681159420296</v>
      </c>
      <c r="AE17" s="247">
        <f t="shared" si="16"/>
        <v>42580</v>
      </c>
      <c r="AF17" s="238">
        <f t="shared" si="17"/>
        <v>617.10144927536237</v>
      </c>
      <c r="AG17" s="255">
        <f t="shared" si="18"/>
        <v>42</v>
      </c>
      <c r="AH17" s="241">
        <f t="shared" si="19"/>
        <v>426260</v>
      </c>
      <c r="AI17" s="241">
        <f t="shared" si="20"/>
        <v>70520</v>
      </c>
      <c r="AJ17" s="248">
        <f t="shared" si="21"/>
        <v>496780</v>
      </c>
      <c r="AK17" s="241">
        <f t="shared" si="22"/>
        <v>23210</v>
      </c>
      <c r="AL17" s="249">
        <v>42</v>
      </c>
      <c r="AM17" s="249">
        <v>388830</v>
      </c>
      <c r="AN17" s="249">
        <v>65370</v>
      </c>
      <c r="AO17" s="250">
        <v>22000</v>
      </c>
      <c r="AP17" s="250">
        <v>1210</v>
      </c>
      <c r="AQ17" s="250"/>
      <c r="AR17" s="250"/>
      <c r="AS17" s="251">
        <f t="shared" si="24"/>
        <v>477410</v>
      </c>
      <c r="AT17" s="229">
        <v>13</v>
      </c>
      <c r="AU17" s="252">
        <f t="shared" si="25"/>
        <v>477410</v>
      </c>
      <c r="AV17" s="253">
        <f t="shared" si="26"/>
        <v>519990</v>
      </c>
    </row>
    <row r="18" spans="1:48" s="198" customFormat="1" ht="18">
      <c r="A18" s="229"/>
      <c r="B18" s="257">
        <f t="shared" si="23"/>
        <v>45549</v>
      </c>
      <c r="C18" s="231"/>
      <c r="D18" s="232"/>
      <c r="E18" s="233">
        <v>33</v>
      </c>
      <c r="F18" s="234">
        <v>127930</v>
      </c>
      <c r="G18" s="235">
        <f t="shared" si="0"/>
        <v>3524.242424242424</v>
      </c>
      <c r="H18" s="234">
        <v>5710</v>
      </c>
      <c r="I18" s="236">
        <f t="shared" si="1"/>
        <v>157.27272727272728</v>
      </c>
      <c r="J18" s="237">
        <f t="shared" si="2"/>
        <v>133640</v>
      </c>
      <c r="K18" s="238">
        <f t="shared" si="3"/>
        <v>4049.6969696969695</v>
      </c>
      <c r="L18" s="239"/>
      <c r="M18" s="240">
        <f t="shared" si="4"/>
        <v>38</v>
      </c>
      <c r="N18" s="241">
        <f t="shared" si="4"/>
        <v>404360</v>
      </c>
      <c r="O18" s="235">
        <f t="shared" si="5"/>
        <v>9673.6842105263149</v>
      </c>
      <c r="P18" s="241">
        <f t="shared" si="6"/>
        <v>66090</v>
      </c>
      <c r="Q18" s="236">
        <f t="shared" si="7"/>
        <v>1581.078947368421</v>
      </c>
      <c r="R18" s="242">
        <f t="shared" si="8"/>
        <v>470450</v>
      </c>
      <c r="S18" s="238">
        <f t="shared" si="9"/>
        <v>12380.263157894737</v>
      </c>
      <c r="T18" s="255">
        <f t="shared" si="10"/>
        <v>71</v>
      </c>
      <c r="U18" s="241">
        <f t="shared" si="10"/>
        <v>532290</v>
      </c>
      <c r="V18" s="241">
        <f t="shared" si="11"/>
        <v>71800</v>
      </c>
      <c r="W18" s="244">
        <f t="shared" si="12"/>
        <v>604090</v>
      </c>
      <c r="X18" s="241">
        <f t="shared" si="13"/>
        <v>8508.3098591549297</v>
      </c>
      <c r="Y18" s="245"/>
      <c r="Z18" s="246">
        <v>149</v>
      </c>
      <c r="AA18" s="234">
        <v>100440</v>
      </c>
      <c r="AB18" s="235">
        <f t="shared" si="14"/>
        <v>674.09395973154358</v>
      </c>
      <c r="AC18" s="234">
        <v>23950</v>
      </c>
      <c r="AD18" s="236">
        <f t="shared" si="15"/>
        <v>160.73825503355704</v>
      </c>
      <c r="AE18" s="247">
        <f t="shared" si="16"/>
        <v>124390</v>
      </c>
      <c r="AF18" s="238">
        <f t="shared" si="17"/>
        <v>834.83221476510062</v>
      </c>
      <c r="AG18" s="255">
        <f t="shared" si="18"/>
        <v>71</v>
      </c>
      <c r="AH18" s="241">
        <f t="shared" si="19"/>
        <v>632730</v>
      </c>
      <c r="AI18" s="241">
        <f t="shared" si="20"/>
        <v>95750</v>
      </c>
      <c r="AJ18" s="248">
        <f t="shared" si="21"/>
        <v>728480</v>
      </c>
      <c r="AK18" s="241">
        <f t="shared" si="22"/>
        <v>37400</v>
      </c>
      <c r="AL18" s="249">
        <v>71</v>
      </c>
      <c r="AM18" s="249">
        <v>532290</v>
      </c>
      <c r="AN18" s="249">
        <v>71800</v>
      </c>
      <c r="AO18" s="250">
        <v>37400</v>
      </c>
      <c r="AP18" s="250"/>
      <c r="AQ18" s="250"/>
      <c r="AR18" s="250"/>
      <c r="AS18" s="251">
        <f t="shared" si="24"/>
        <v>641490</v>
      </c>
      <c r="AT18" s="229">
        <v>14</v>
      </c>
      <c r="AU18" s="252">
        <f t="shared" si="25"/>
        <v>641490</v>
      </c>
      <c r="AV18" s="253">
        <f t="shared" si="26"/>
        <v>765880</v>
      </c>
    </row>
    <row r="19" spans="1:48" s="198" customFormat="1" ht="18">
      <c r="A19" s="229"/>
      <c r="B19" s="258">
        <f t="shared" si="23"/>
        <v>45550</v>
      </c>
      <c r="C19" s="231"/>
      <c r="D19" s="232"/>
      <c r="E19" s="233">
        <v>37</v>
      </c>
      <c r="F19" s="234">
        <v>142450</v>
      </c>
      <c r="G19" s="235">
        <f t="shared" si="0"/>
        <v>3500</v>
      </c>
      <c r="H19" s="234">
        <v>23290</v>
      </c>
      <c r="I19" s="236">
        <f t="shared" si="1"/>
        <v>572.21621621621625</v>
      </c>
      <c r="J19" s="237">
        <f t="shared" si="2"/>
        <v>165740</v>
      </c>
      <c r="K19" s="238">
        <f t="shared" si="3"/>
        <v>4479.4594594594591</v>
      </c>
      <c r="L19" s="239"/>
      <c r="M19" s="240">
        <f t="shared" si="4"/>
        <v>40</v>
      </c>
      <c r="N19" s="241">
        <f t="shared" si="4"/>
        <v>372900</v>
      </c>
      <c r="O19" s="235">
        <f t="shared" si="5"/>
        <v>8475</v>
      </c>
      <c r="P19" s="241">
        <f t="shared" si="6"/>
        <v>59570</v>
      </c>
      <c r="Q19" s="259">
        <f t="shared" si="7"/>
        <v>1353.85</v>
      </c>
      <c r="R19" s="242">
        <f t="shared" si="8"/>
        <v>432470</v>
      </c>
      <c r="S19" s="238">
        <f t="shared" si="9"/>
        <v>10811.75</v>
      </c>
      <c r="T19" s="255">
        <f t="shared" si="10"/>
        <v>77</v>
      </c>
      <c r="U19" s="241">
        <f t="shared" si="10"/>
        <v>515350</v>
      </c>
      <c r="V19" s="241">
        <f t="shared" si="11"/>
        <v>82860</v>
      </c>
      <c r="W19" s="244">
        <f t="shared" si="12"/>
        <v>598210</v>
      </c>
      <c r="X19" s="241">
        <f t="shared" si="13"/>
        <v>7768.9610389610389</v>
      </c>
      <c r="Y19" s="245"/>
      <c r="Z19" s="246">
        <v>73</v>
      </c>
      <c r="AA19" s="234">
        <v>36530</v>
      </c>
      <c r="AB19" s="235">
        <f t="shared" si="14"/>
        <v>500.41095890410958</v>
      </c>
      <c r="AC19" s="234">
        <v>24700</v>
      </c>
      <c r="AD19" s="236">
        <f t="shared" si="15"/>
        <v>338.35616438356163</v>
      </c>
      <c r="AE19" s="247">
        <f t="shared" si="16"/>
        <v>61230</v>
      </c>
      <c r="AF19" s="238">
        <f t="shared" si="17"/>
        <v>838.76712328767121</v>
      </c>
      <c r="AG19" s="255">
        <f t="shared" si="18"/>
        <v>77</v>
      </c>
      <c r="AH19" s="241">
        <f t="shared" si="19"/>
        <v>551880</v>
      </c>
      <c r="AI19" s="241">
        <f t="shared" si="20"/>
        <v>107560</v>
      </c>
      <c r="AJ19" s="248">
        <f t="shared" si="21"/>
        <v>659440</v>
      </c>
      <c r="AK19" s="241">
        <f t="shared" si="22"/>
        <v>26400</v>
      </c>
      <c r="AL19" s="249">
        <v>77</v>
      </c>
      <c r="AM19" s="249">
        <v>515350</v>
      </c>
      <c r="AN19" s="249">
        <v>82860</v>
      </c>
      <c r="AO19" s="250">
        <v>26400</v>
      </c>
      <c r="AP19" s="250"/>
      <c r="AQ19" s="250"/>
      <c r="AR19" s="250">
        <v>4400</v>
      </c>
      <c r="AS19" s="251">
        <f t="shared" si="24"/>
        <v>624610</v>
      </c>
      <c r="AT19" s="229">
        <v>15</v>
      </c>
      <c r="AU19" s="252">
        <f t="shared" si="25"/>
        <v>629010</v>
      </c>
      <c r="AV19" s="253">
        <f t="shared" si="26"/>
        <v>690240</v>
      </c>
    </row>
    <row r="20" spans="1:48" s="198" customFormat="1" ht="18">
      <c r="A20" s="229"/>
      <c r="B20" s="258">
        <f t="shared" si="23"/>
        <v>45551</v>
      </c>
      <c r="C20" s="231"/>
      <c r="D20" s="232"/>
      <c r="E20" s="233">
        <v>30</v>
      </c>
      <c r="F20" s="234">
        <v>86900</v>
      </c>
      <c r="G20" s="235">
        <f t="shared" si="0"/>
        <v>2633.3333333333335</v>
      </c>
      <c r="H20" s="234">
        <v>12310</v>
      </c>
      <c r="I20" s="235">
        <f t="shared" si="1"/>
        <v>373</v>
      </c>
      <c r="J20" s="237">
        <f t="shared" si="2"/>
        <v>99210</v>
      </c>
      <c r="K20" s="238">
        <f t="shared" si="3"/>
        <v>3307</v>
      </c>
      <c r="L20" s="239"/>
      <c r="M20" s="240">
        <f t="shared" si="4"/>
        <v>37</v>
      </c>
      <c r="N20" s="241">
        <f t="shared" si="4"/>
        <v>316470</v>
      </c>
      <c r="O20" s="235">
        <f t="shared" si="5"/>
        <v>7775.6756756756758</v>
      </c>
      <c r="P20" s="241">
        <f t="shared" si="6"/>
        <v>56670</v>
      </c>
      <c r="Q20" s="259">
        <f t="shared" si="7"/>
        <v>1392.3783783783783</v>
      </c>
      <c r="R20" s="242">
        <f t="shared" si="8"/>
        <v>373140</v>
      </c>
      <c r="S20" s="238">
        <f t="shared" si="9"/>
        <v>10084.864864864865</v>
      </c>
      <c r="T20" s="255">
        <f t="shared" si="10"/>
        <v>67</v>
      </c>
      <c r="U20" s="241">
        <f t="shared" si="10"/>
        <v>403370</v>
      </c>
      <c r="V20" s="241">
        <f t="shared" si="11"/>
        <v>68980</v>
      </c>
      <c r="W20" s="244">
        <f t="shared" si="12"/>
        <v>472350</v>
      </c>
      <c r="X20" s="241">
        <f t="shared" si="13"/>
        <v>7050</v>
      </c>
      <c r="Y20" s="245"/>
      <c r="Z20" s="246">
        <v>203</v>
      </c>
      <c r="AA20" s="234">
        <v>123760</v>
      </c>
      <c r="AB20" s="235">
        <f t="shared" si="14"/>
        <v>609.65517241379314</v>
      </c>
      <c r="AC20" s="234">
        <v>37200</v>
      </c>
      <c r="AD20" s="236">
        <f t="shared" si="15"/>
        <v>183.25123152709361</v>
      </c>
      <c r="AE20" s="247">
        <f t="shared" si="16"/>
        <v>160960</v>
      </c>
      <c r="AF20" s="238">
        <f t="shared" si="17"/>
        <v>792.90640394088666</v>
      </c>
      <c r="AG20" s="255">
        <f t="shared" si="18"/>
        <v>67</v>
      </c>
      <c r="AH20" s="249">
        <f t="shared" si="19"/>
        <v>527130</v>
      </c>
      <c r="AI20" s="249">
        <f t="shared" si="20"/>
        <v>106180</v>
      </c>
      <c r="AJ20" s="248">
        <f t="shared" si="21"/>
        <v>633310</v>
      </c>
      <c r="AK20" s="241">
        <f t="shared" si="22"/>
        <v>31900</v>
      </c>
      <c r="AL20" s="249">
        <v>67</v>
      </c>
      <c r="AM20" s="249">
        <v>403370</v>
      </c>
      <c r="AN20" s="249">
        <v>68980</v>
      </c>
      <c r="AO20" s="250">
        <v>31900</v>
      </c>
      <c r="AP20" s="250"/>
      <c r="AQ20" s="250"/>
      <c r="AR20" s="250"/>
      <c r="AS20" s="251">
        <f t="shared" si="24"/>
        <v>504250</v>
      </c>
      <c r="AT20" s="229">
        <v>16</v>
      </c>
      <c r="AU20" s="252">
        <f t="shared" si="25"/>
        <v>504250</v>
      </c>
      <c r="AV20" s="253">
        <f t="shared" si="26"/>
        <v>665210</v>
      </c>
    </row>
    <row r="21" spans="1:48" s="198" customFormat="1" ht="15.75" customHeight="1">
      <c r="A21" s="229"/>
      <c r="B21" s="254">
        <f t="shared" si="23"/>
        <v>45552</v>
      </c>
      <c r="C21" s="231" t="s">
        <v>52</v>
      </c>
      <c r="D21" s="232"/>
      <c r="E21" s="233"/>
      <c r="F21" s="234"/>
      <c r="G21" s="235" t="e">
        <f t="shared" si="0"/>
        <v>#DIV/0!</v>
      </c>
      <c r="H21" s="234"/>
      <c r="I21" s="235" t="e">
        <f t="shared" si="1"/>
        <v>#DIV/0!</v>
      </c>
      <c r="J21" s="237">
        <f t="shared" si="2"/>
        <v>0</v>
      </c>
      <c r="K21" s="238" t="str">
        <f t="shared" si="3"/>
        <v/>
      </c>
      <c r="L21" s="239"/>
      <c r="M21" s="240">
        <f t="shared" ref="M21:N34" si="27">AL21-E21</f>
        <v>38</v>
      </c>
      <c r="N21" s="241">
        <f t="shared" si="27"/>
        <v>339680</v>
      </c>
      <c r="O21" s="235">
        <f t="shared" si="5"/>
        <v>8126.3157894736842</v>
      </c>
      <c r="P21" s="241">
        <f t="shared" si="6"/>
        <v>108090</v>
      </c>
      <c r="Q21" s="259">
        <f t="shared" si="7"/>
        <v>2585.8684210526317</v>
      </c>
      <c r="R21" s="242">
        <f t="shared" si="8"/>
        <v>447770</v>
      </c>
      <c r="S21" s="238">
        <f t="shared" si="9"/>
        <v>11783.421052631578</v>
      </c>
      <c r="T21" s="255">
        <f t="shared" ref="T21:U34" si="28">E21+M21</f>
        <v>38</v>
      </c>
      <c r="U21" s="241">
        <f t="shared" si="28"/>
        <v>339680</v>
      </c>
      <c r="V21" s="241">
        <f t="shared" si="11"/>
        <v>108090</v>
      </c>
      <c r="W21" s="244">
        <f t="shared" si="12"/>
        <v>447770</v>
      </c>
      <c r="X21" s="241">
        <f t="shared" si="13"/>
        <v>11783.421052631578</v>
      </c>
      <c r="Y21" s="245"/>
      <c r="Z21" s="246">
        <v>64</v>
      </c>
      <c r="AA21" s="234">
        <v>45580</v>
      </c>
      <c r="AB21" s="235">
        <f t="shared" si="14"/>
        <v>712.1875</v>
      </c>
      <c r="AC21" s="234">
        <v>9750</v>
      </c>
      <c r="AD21" s="236">
        <f t="shared" si="15"/>
        <v>152.34375</v>
      </c>
      <c r="AE21" s="247">
        <f t="shared" si="16"/>
        <v>55330</v>
      </c>
      <c r="AF21" s="238">
        <f t="shared" si="17"/>
        <v>864.53125</v>
      </c>
      <c r="AG21" s="255">
        <f t="shared" si="18"/>
        <v>38</v>
      </c>
      <c r="AH21" s="249">
        <f t="shared" si="19"/>
        <v>385260</v>
      </c>
      <c r="AI21" s="249">
        <f t="shared" si="20"/>
        <v>117840</v>
      </c>
      <c r="AJ21" s="248">
        <f t="shared" si="21"/>
        <v>503100</v>
      </c>
      <c r="AK21" s="241">
        <f t="shared" si="22"/>
        <v>6600</v>
      </c>
      <c r="AL21" s="249">
        <v>38</v>
      </c>
      <c r="AM21" s="249">
        <v>339680</v>
      </c>
      <c r="AN21" s="249">
        <v>108090</v>
      </c>
      <c r="AO21" s="250">
        <v>6600</v>
      </c>
      <c r="AP21" s="250"/>
      <c r="AQ21" s="250"/>
      <c r="AR21" s="250"/>
      <c r="AS21" s="251">
        <f t="shared" si="24"/>
        <v>454370</v>
      </c>
      <c r="AT21" s="229">
        <v>17</v>
      </c>
      <c r="AU21" s="252">
        <f t="shared" si="25"/>
        <v>454370</v>
      </c>
      <c r="AV21" s="253">
        <f t="shared" si="26"/>
        <v>509700</v>
      </c>
    </row>
    <row r="22" spans="1:48" s="198" customFormat="1" ht="15.75" customHeight="1">
      <c r="A22" s="229"/>
      <c r="B22" s="254">
        <f t="shared" si="23"/>
        <v>45553</v>
      </c>
      <c r="C22" s="231" t="s">
        <v>52</v>
      </c>
      <c r="D22" s="232"/>
      <c r="E22" s="233"/>
      <c r="F22" s="234"/>
      <c r="G22" s="235" t="e">
        <f t="shared" si="0"/>
        <v>#DIV/0!</v>
      </c>
      <c r="H22" s="234"/>
      <c r="I22" s="235" t="e">
        <f t="shared" si="1"/>
        <v>#DIV/0!</v>
      </c>
      <c r="J22" s="237">
        <f t="shared" si="2"/>
        <v>0</v>
      </c>
      <c r="K22" s="238" t="str">
        <f t="shared" si="3"/>
        <v/>
      </c>
      <c r="L22" s="239"/>
      <c r="M22" s="240">
        <f t="shared" si="27"/>
        <v>36</v>
      </c>
      <c r="N22" s="241">
        <f t="shared" si="27"/>
        <v>329670</v>
      </c>
      <c r="O22" s="235">
        <f t="shared" si="5"/>
        <v>8325</v>
      </c>
      <c r="P22" s="241">
        <f t="shared" si="6"/>
        <v>76580</v>
      </c>
      <c r="Q22" s="259">
        <f t="shared" si="7"/>
        <v>1933.8333333333333</v>
      </c>
      <c r="R22" s="242">
        <f t="shared" si="8"/>
        <v>406250</v>
      </c>
      <c r="S22" s="238">
        <f t="shared" si="9"/>
        <v>11284.722222222223</v>
      </c>
      <c r="T22" s="255">
        <f t="shared" si="28"/>
        <v>36</v>
      </c>
      <c r="U22" s="241">
        <f t="shared" si="28"/>
        <v>329670</v>
      </c>
      <c r="V22" s="241">
        <f t="shared" si="11"/>
        <v>76580</v>
      </c>
      <c r="W22" s="244">
        <f t="shared" si="12"/>
        <v>406250</v>
      </c>
      <c r="X22" s="241">
        <f t="shared" si="13"/>
        <v>11284.722222222223</v>
      </c>
      <c r="Y22" s="245"/>
      <c r="Z22" s="246">
        <v>101</v>
      </c>
      <c r="AA22" s="234">
        <v>76380</v>
      </c>
      <c r="AB22" s="235">
        <f t="shared" si="14"/>
        <v>756.23762376237619</v>
      </c>
      <c r="AC22" s="234">
        <v>22700</v>
      </c>
      <c r="AD22" s="236">
        <f t="shared" si="15"/>
        <v>224.75247524752476</v>
      </c>
      <c r="AE22" s="247">
        <f t="shared" si="16"/>
        <v>99080</v>
      </c>
      <c r="AF22" s="238">
        <f t="shared" si="17"/>
        <v>980.99009900990097</v>
      </c>
      <c r="AG22" s="255">
        <f t="shared" si="18"/>
        <v>36</v>
      </c>
      <c r="AH22" s="249">
        <f t="shared" si="19"/>
        <v>406050</v>
      </c>
      <c r="AI22" s="249">
        <f t="shared" si="20"/>
        <v>99280</v>
      </c>
      <c r="AJ22" s="248">
        <f t="shared" si="21"/>
        <v>505330</v>
      </c>
      <c r="AK22" s="241">
        <f t="shared" si="22"/>
        <v>22000</v>
      </c>
      <c r="AL22" s="249">
        <v>36</v>
      </c>
      <c r="AM22" s="249">
        <v>329670</v>
      </c>
      <c r="AN22" s="249">
        <v>76580</v>
      </c>
      <c r="AO22" s="250">
        <v>20350</v>
      </c>
      <c r="AP22" s="250">
        <v>1650</v>
      </c>
      <c r="AQ22" s="250"/>
      <c r="AR22" s="250">
        <v>4950</v>
      </c>
      <c r="AS22" s="251">
        <f t="shared" si="24"/>
        <v>428250</v>
      </c>
      <c r="AT22" s="229">
        <v>18</v>
      </c>
      <c r="AU22" s="252">
        <f t="shared" si="25"/>
        <v>433200</v>
      </c>
      <c r="AV22" s="253">
        <f t="shared" si="26"/>
        <v>532280</v>
      </c>
    </row>
    <row r="23" spans="1:48" s="198" customFormat="1" ht="15.75" customHeight="1">
      <c r="A23" s="229"/>
      <c r="B23" s="254">
        <f t="shared" si="23"/>
        <v>45554</v>
      </c>
      <c r="C23" s="231" t="s">
        <v>60</v>
      </c>
      <c r="D23" s="232"/>
      <c r="E23" s="233"/>
      <c r="F23" s="234"/>
      <c r="G23" s="235" t="e">
        <f t="shared" si="0"/>
        <v>#DIV/0!</v>
      </c>
      <c r="H23" s="234"/>
      <c r="I23" s="235" t="e">
        <f t="shared" si="1"/>
        <v>#DIV/0!</v>
      </c>
      <c r="J23" s="237">
        <f t="shared" si="2"/>
        <v>0</v>
      </c>
      <c r="K23" s="238" t="str">
        <f t="shared" si="3"/>
        <v/>
      </c>
      <c r="L23" s="239"/>
      <c r="M23" s="240">
        <f t="shared" si="27"/>
        <v>38</v>
      </c>
      <c r="N23" s="241">
        <f t="shared" si="27"/>
        <v>350680</v>
      </c>
      <c r="O23" s="235">
        <f t="shared" si="5"/>
        <v>8389.4736842105267</v>
      </c>
      <c r="P23" s="241">
        <f t="shared" si="6"/>
        <v>65760</v>
      </c>
      <c r="Q23" s="259">
        <f t="shared" si="7"/>
        <v>1573.1842105263158</v>
      </c>
      <c r="R23" s="242">
        <f t="shared" si="8"/>
        <v>416440</v>
      </c>
      <c r="S23" s="238">
        <f t="shared" si="9"/>
        <v>10958.947368421053</v>
      </c>
      <c r="T23" s="255">
        <f t="shared" si="28"/>
        <v>38</v>
      </c>
      <c r="U23" s="241">
        <f t="shared" si="28"/>
        <v>350680</v>
      </c>
      <c r="V23" s="241">
        <f t="shared" si="11"/>
        <v>65760</v>
      </c>
      <c r="W23" s="244">
        <f t="shared" si="12"/>
        <v>416440</v>
      </c>
      <c r="X23" s="241">
        <f t="shared" si="13"/>
        <v>10958.947368421053</v>
      </c>
      <c r="Y23" s="245"/>
      <c r="Z23" s="246">
        <v>91</v>
      </c>
      <c r="AA23" s="234">
        <v>49980</v>
      </c>
      <c r="AB23" s="235">
        <f t="shared" si="14"/>
        <v>549.23076923076928</v>
      </c>
      <c r="AC23" s="234">
        <v>15800</v>
      </c>
      <c r="AD23" s="236">
        <f t="shared" si="15"/>
        <v>173.62637362637363</v>
      </c>
      <c r="AE23" s="247">
        <f t="shared" si="16"/>
        <v>65780</v>
      </c>
      <c r="AF23" s="238">
        <f t="shared" si="17"/>
        <v>722.85714285714289</v>
      </c>
      <c r="AG23" s="255">
        <f t="shared" si="18"/>
        <v>38</v>
      </c>
      <c r="AH23" s="249">
        <f t="shared" si="19"/>
        <v>400660</v>
      </c>
      <c r="AI23" s="249">
        <f t="shared" si="20"/>
        <v>81560</v>
      </c>
      <c r="AJ23" s="248">
        <f t="shared" si="21"/>
        <v>482220</v>
      </c>
      <c r="AK23" s="241">
        <f t="shared" si="22"/>
        <v>24860</v>
      </c>
      <c r="AL23" s="249">
        <v>38</v>
      </c>
      <c r="AM23" s="249">
        <v>350680</v>
      </c>
      <c r="AN23" s="249">
        <v>65760</v>
      </c>
      <c r="AO23" s="250">
        <v>23650</v>
      </c>
      <c r="AP23" s="250">
        <v>1210</v>
      </c>
      <c r="AQ23" s="250"/>
      <c r="AR23" s="250"/>
      <c r="AS23" s="251">
        <f t="shared" si="24"/>
        <v>441300</v>
      </c>
      <c r="AT23" s="229">
        <v>19</v>
      </c>
      <c r="AU23" s="252">
        <f t="shared" si="25"/>
        <v>441300</v>
      </c>
      <c r="AV23" s="253">
        <f t="shared" si="26"/>
        <v>507080</v>
      </c>
    </row>
    <row r="24" spans="1:48" s="198" customFormat="1" ht="15.75" customHeight="1">
      <c r="A24" s="229"/>
      <c r="B24" s="254">
        <f t="shared" si="23"/>
        <v>45555</v>
      </c>
      <c r="C24" s="231" t="s">
        <v>74</v>
      </c>
      <c r="D24" s="232"/>
      <c r="E24" s="233"/>
      <c r="F24" s="234"/>
      <c r="G24" s="235" t="e">
        <f t="shared" si="0"/>
        <v>#DIV/0!</v>
      </c>
      <c r="H24" s="234"/>
      <c r="I24" s="235" t="e">
        <f t="shared" si="1"/>
        <v>#DIV/0!</v>
      </c>
      <c r="J24" s="237">
        <f t="shared" si="2"/>
        <v>0</v>
      </c>
      <c r="K24" s="238" t="str">
        <f t="shared" si="3"/>
        <v/>
      </c>
      <c r="L24" s="239"/>
      <c r="M24" s="240">
        <f t="shared" si="27"/>
        <v>39</v>
      </c>
      <c r="N24" s="241">
        <f t="shared" si="27"/>
        <v>323620</v>
      </c>
      <c r="O24" s="235">
        <f t="shared" si="5"/>
        <v>7543.5897435897432</v>
      </c>
      <c r="P24" s="241">
        <f t="shared" si="6"/>
        <v>69970</v>
      </c>
      <c r="Q24" s="259">
        <f t="shared" si="7"/>
        <v>1631</v>
      </c>
      <c r="R24" s="242">
        <f t="shared" si="8"/>
        <v>393590</v>
      </c>
      <c r="S24" s="238">
        <f t="shared" si="9"/>
        <v>10092.051282051281</v>
      </c>
      <c r="T24" s="255">
        <f t="shared" si="28"/>
        <v>39</v>
      </c>
      <c r="U24" s="241">
        <f t="shared" si="28"/>
        <v>323620</v>
      </c>
      <c r="V24" s="241">
        <f t="shared" si="11"/>
        <v>69970</v>
      </c>
      <c r="W24" s="244">
        <f t="shared" si="12"/>
        <v>393590</v>
      </c>
      <c r="X24" s="241">
        <f t="shared" si="13"/>
        <v>10092.051282051281</v>
      </c>
      <c r="Y24" s="245"/>
      <c r="Z24" s="246">
        <v>7</v>
      </c>
      <c r="AA24" s="234">
        <v>3880</v>
      </c>
      <c r="AB24" s="235">
        <f t="shared" si="14"/>
        <v>554.28571428571433</v>
      </c>
      <c r="AC24" s="234">
        <v>1500</v>
      </c>
      <c r="AD24" s="236">
        <f t="shared" si="15"/>
        <v>214.28571428571428</v>
      </c>
      <c r="AE24" s="247">
        <f t="shared" si="16"/>
        <v>5380</v>
      </c>
      <c r="AF24" s="238">
        <f t="shared" si="17"/>
        <v>768.57142857142856</v>
      </c>
      <c r="AG24" s="255">
        <f t="shared" si="18"/>
        <v>39</v>
      </c>
      <c r="AH24" s="249">
        <f t="shared" si="19"/>
        <v>327500</v>
      </c>
      <c r="AI24" s="249">
        <f t="shared" si="20"/>
        <v>71470</v>
      </c>
      <c r="AJ24" s="248">
        <f t="shared" si="21"/>
        <v>398970</v>
      </c>
      <c r="AK24" s="241">
        <f t="shared" si="22"/>
        <v>23100</v>
      </c>
      <c r="AL24" s="249">
        <v>39</v>
      </c>
      <c r="AM24" s="249">
        <v>323620</v>
      </c>
      <c r="AN24" s="249">
        <v>69970</v>
      </c>
      <c r="AO24" s="250">
        <v>23100</v>
      </c>
      <c r="AP24" s="250"/>
      <c r="AQ24" s="250"/>
      <c r="AR24" s="250"/>
      <c r="AS24" s="251">
        <f t="shared" si="24"/>
        <v>416690</v>
      </c>
      <c r="AT24" s="229">
        <v>20</v>
      </c>
      <c r="AU24" s="252">
        <f t="shared" si="25"/>
        <v>416690</v>
      </c>
      <c r="AV24" s="253">
        <f t="shared" si="26"/>
        <v>422070</v>
      </c>
    </row>
    <row r="25" spans="1:48" s="198" customFormat="1" ht="15.75" customHeight="1">
      <c r="A25" s="229"/>
      <c r="B25" s="257">
        <f t="shared" si="23"/>
        <v>45556</v>
      </c>
      <c r="C25" s="231"/>
      <c r="D25" s="232"/>
      <c r="E25" s="233">
        <v>17</v>
      </c>
      <c r="F25" s="234">
        <v>65120</v>
      </c>
      <c r="G25" s="235">
        <f t="shared" si="0"/>
        <v>3482.3529411764707</v>
      </c>
      <c r="H25" s="234">
        <v>12670</v>
      </c>
      <c r="I25" s="235">
        <f t="shared" si="1"/>
        <v>677.52941176470586</v>
      </c>
      <c r="J25" s="237">
        <f t="shared" si="2"/>
        <v>77790</v>
      </c>
      <c r="K25" s="238">
        <f t="shared" si="3"/>
        <v>4575.8823529411766</v>
      </c>
      <c r="L25" s="239"/>
      <c r="M25" s="240">
        <f t="shared" si="27"/>
        <v>40</v>
      </c>
      <c r="N25" s="241">
        <f t="shared" si="27"/>
        <v>383680</v>
      </c>
      <c r="O25" s="235">
        <f t="shared" si="5"/>
        <v>8720</v>
      </c>
      <c r="P25" s="241">
        <f t="shared" si="6"/>
        <v>60820</v>
      </c>
      <c r="Q25" s="259">
        <f t="shared" si="7"/>
        <v>1382.25</v>
      </c>
      <c r="R25" s="242">
        <f t="shared" si="8"/>
        <v>444500</v>
      </c>
      <c r="S25" s="238">
        <f t="shared" si="9"/>
        <v>11112.5</v>
      </c>
      <c r="T25" s="255">
        <f t="shared" si="28"/>
        <v>57</v>
      </c>
      <c r="U25" s="241">
        <f t="shared" si="28"/>
        <v>448800</v>
      </c>
      <c r="V25" s="241">
        <f t="shared" si="11"/>
        <v>73490</v>
      </c>
      <c r="W25" s="244">
        <f t="shared" si="12"/>
        <v>522290</v>
      </c>
      <c r="X25" s="241">
        <f t="shared" si="13"/>
        <v>9162.9824561403511</v>
      </c>
      <c r="Y25" s="245"/>
      <c r="Z25" s="246">
        <v>115</v>
      </c>
      <c r="AA25" s="234">
        <v>70730</v>
      </c>
      <c r="AB25" s="235">
        <f t="shared" si="14"/>
        <v>615.04347826086962</v>
      </c>
      <c r="AC25" s="234">
        <v>22700</v>
      </c>
      <c r="AD25" s="236">
        <f t="shared" si="15"/>
        <v>197.39130434782609</v>
      </c>
      <c r="AE25" s="247">
        <f t="shared" si="16"/>
        <v>93430</v>
      </c>
      <c r="AF25" s="238">
        <f t="shared" si="17"/>
        <v>812.43478260869563</v>
      </c>
      <c r="AG25" s="255">
        <f t="shared" si="18"/>
        <v>57</v>
      </c>
      <c r="AH25" s="249">
        <f t="shared" si="19"/>
        <v>519530</v>
      </c>
      <c r="AI25" s="249">
        <f t="shared" si="20"/>
        <v>96190</v>
      </c>
      <c r="AJ25" s="248">
        <f t="shared" si="21"/>
        <v>615720</v>
      </c>
      <c r="AK25" s="241">
        <f t="shared" si="22"/>
        <v>34100</v>
      </c>
      <c r="AL25" s="249">
        <v>57</v>
      </c>
      <c r="AM25" s="249">
        <v>448800</v>
      </c>
      <c r="AN25" s="249">
        <v>73490</v>
      </c>
      <c r="AO25" s="250">
        <v>34100</v>
      </c>
      <c r="AP25" s="250"/>
      <c r="AQ25" s="250"/>
      <c r="AR25" s="250"/>
      <c r="AS25" s="251">
        <f t="shared" si="24"/>
        <v>556390</v>
      </c>
      <c r="AT25" s="229">
        <v>21</v>
      </c>
      <c r="AU25" s="252">
        <f t="shared" si="25"/>
        <v>556390</v>
      </c>
      <c r="AV25" s="253">
        <f t="shared" si="26"/>
        <v>649820</v>
      </c>
    </row>
    <row r="26" spans="1:48" s="198" customFormat="1" ht="15.75" customHeight="1">
      <c r="A26" s="229"/>
      <c r="B26" s="258">
        <f t="shared" si="23"/>
        <v>45557</v>
      </c>
      <c r="C26" s="231"/>
      <c r="D26" s="232"/>
      <c r="E26" s="233">
        <v>27</v>
      </c>
      <c r="F26" s="234">
        <v>102982</v>
      </c>
      <c r="G26" s="235">
        <f>ROUNDDOWN(F26/1.1,0)/E26</f>
        <v>3467.4074074074074</v>
      </c>
      <c r="H26" s="234">
        <v>20000</v>
      </c>
      <c r="I26" s="235">
        <f t="shared" si="1"/>
        <v>673.37037037037032</v>
      </c>
      <c r="J26" s="237">
        <f t="shared" si="2"/>
        <v>122982</v>
      </c>
      <c r="K26" s="238">
        <f t="shared" si="3"/>
        <v>4554.8888888888887</v>
      </c>
      <c r="L26" s="239"/>
      <c r="M26" s="240">
        <f t="shared" si="27"/>
        <v>40</v>
      </c>
      <c r="N26" s="241">
        <f t="shared" si="27"/>
        <v>356400</v>
      </c>
      <c r="O26" s="235">
        <f t="shared" si="5"/>
        <v>8100</v>
      </c>
      <c r="P26" s="241">
        <f t="shared" si="6"/>
        <v>68000</v>
      </c>
      <c r="Q26" s="259">
        <f t="shared" si="7"/>
        <v>1545.45</v>
      </c>
      <c r="R26" s="242">
        <f t="shared" si="8"/>
        <v>424400</v>
      </c>
      <c r="S26" s="238">
        <f t="shared" si="9"/>
        <v>10610</v>
      </c>
      <c r="T26" s="255">
        <f t="shared" si="28"/>
        <v>67</v>
      </c>
      <c r="U26" s="241">
        <f t="shared" si="28"/>
        <v>459382</v>
      </c>
      <c r="V26" s="241">
        <f t="shared" si="11"/>
        <v>88000</v>
      </c>
      <c r="W26" s="244">
        <f t="shared" si="12"/>
        <v>547382</v>
      </c>
      <c r="X26" s="241">
        <f t="shared" si="13"/>
        <v>8169.8805970149251</v>
      </c>
      <c r="Y26" s="245"/>
      <c r="Z26" s="246">
        <v>106</v>
      </c>
      <c r="AA26" s="234">
        <v>59140</v>
      </c>
      <c r="AB26" s="235">
        <f t="shared" si="14"/>
        <v>557.92452830188677</v>
      </c>
      <c r="AC26" s="234">
        <v>37300</v>
      </c>
      <c r="AD26" s="236">
        <f t="shared" si="15"/>
        <v>351.88679245283021</v>
      </c>
      <c r="AE26" s="247">
        <f t="shared" si="16"/>
        <v>96440</v>
      </c>
      <c r="AF26" s="238">
        <f t="shared" si="17"/>
        <v>909.81132075471703</v>
      </c>
      <c r="AG26" s="255">
        <f t="shared" si="18"/>
        <v>67</v>
      </c>
      <c r="AH26" s="249">
        <f t="shared" si="19"/>
        <v>518522</v>
      </c>
      <c r="AI26" s="249">
        <f t="shared" si="20"/>
        <v>125300</v>
      </c>
      <c r="AJ26" s="248">
        <f t="shared" si="21"/>
        <v>643822</v>
      </c>
      <c r="AK26" s="241">
        <f t="shared" si="22"/>
        <v>33000</v>
      </c>
      <c r="AL26" s="249">
        <v>67</v>
      </c>
      <c r="AM26" s="249">
        <v>459382</v>
      </c>
      <c r="AN26" s="249">
        <v>88000</v>
      </c>
      <c r="AO26" s="250">
        <v>33000</v>
      </c>
      <c r="AP26" s="250"/>
      <c r="AQ26" s="250"/>
      <c r="AR26" s="250">
        <v>22000</v>
      </c>
      <c r="AS26" s="251">
        <f t="shared" si="24"/>
        <v>580382</v>
      </c>
      <c r="AT26" s="229">
        <v>22</v>
      </c>
      <c r="AU26" s="252">
        <f t="shared" si="25"/>
        <v>602382</v>
      </c>
      <c r="AV26" s="253">
        <f t="shared" si="26"/>
        <v>698822</v>
      </c>
    </row>
    <row r="27" spans="1:48" s="198" customFormat="1" ht="15.75" customHeight="1">
      <c r="A27" s="229"/>
      <c r="B27" s="258">
        <f t="shared" si="23"/>
        <v>45558</v>
      </c>
      <c r="C27" s="231"/>
      <c r="D27" s="232"/>
      <c r="E27" s="233">
        <v>24</v>
      </c>
      <c r="F27" s="234">
        <v>106260</v>
      </c>
      <c r="G27" s="235">
        <f t="shared" si="0"/>
        <v>4025</v>
      </c>
      <c r="H27" s="234">
        <v>17860</v>
      </c>
      <c r="I27" s="235">
        <f t="shared" si="1"/>
        <v>676.5</v>
      </c>
      <c r="J27" s="237">
        <f t="shared" si="2"/>
        <v>124120</v>
      </c>
      <c r="K27" s="238">
        <f t="shared" si="3"/>
        <v>5171.666666666667</v>
      </c>
      <c r="L27" s="239"/>
      <c r="M27" s="240">
        <f t="shared" si="27"/>
        <v>38</v>
      </c>
      <c r="N27" s="241">
        <f t="shared" si="27"/>
        <v>373450</v>
      </c>
      <c r="O27" s="235">
        <f t="shared" si="5"/>
        <v>8934.21052631579</v>
      </c>
      <c r="P27" s="241">
        <f t="shared" si="6"/>
        <v>59840</v>
      </c>
      <c r="Q27" s="236">
        <f t="shared" si="7"/>
        <v>1431.578947368421</v>
      </c>
      <c r="R27" s="242">
        <f t="shared" si="8"/>
        <v>433290</v>
      </c>
      <c r="S27" s="238">
        <f t="shared" si="9"/>
        <v>11402.368421052632</v>
      </c>
      <c r="T27" s="255">
        <f t="shared" si="28"/>
        <v>62</v>
      </c>
      <c r="U27" s="241">
        <f t="shared" si="28"/>
        <v>479710</v>
      </c>
      <c r="V27" s="241">
        <f t="shared" si="11"/>
        <v>77700</v>
      </c>
      <c r="W27" s="244">
        <f t="shared" si="12"/>
        <v>557410</v>
      </c>
      <c r="X27" s="241">
        <f t="shared" si="13"/>
        <v>8990.4838709677424</v>
      </c>
      <c r="Y27" s="245"/>
      <c r="Z27" s="246">
        <v>183</v>
      </c>
      <c r="AA27" s="234">
        <v>138760</v>
      </c>
      <c r="AB27" s="235">
        <f t="shared" si="14"/>
        <v>758.25136612021856</v>
      </c>
      <c r="AC27" s="234">
        <v>31950</v>
      </c>
      <c r="AD27" s="236">
        <f t="shared" si="15"/>
        <v>174.59016393442624</v>
      </c>
      <c r="AE27" s="247">
        <f t="shared" si="16"/>
        <v>170710</v>
      </c>
      <c r="AF27" s="238">
        <f t="shared" si="17"/>
        <v>932.84153005464486</v>
      </c>
      <c r="AG27" s="255">
        <f t="shared" si="18"/>
        <v>62</v>
      </c>
      <c r="AH27" s="249">
        <f t="shared" si="19"/>
        <v>618470</v>
      </c>
      <c r="AI27" s="249">
        <f t="shared" si="20"/>
        <v>109650</v>
      </c>
      <c r="AJ27" s="248">
        <f t="shared" si="21"/>
        <v>728120</v>
      </c>
      <c r="AK27" s="241">
        <f t="shared" si="22"/>
        <v>28600</v>
      </c>
      <c r="AL27" s="249">
        <v>62</v>
      </c>
      <c r="AM27" s="249">
        <v>479710</v>
      </c>
      <c r="AN27" s="249">
        <v>77700</v>
      </c>
      <c r="AO27" s="250">
        <v>26950</v>
      </c>
      <c r="AP27" s="250">
        <v>1650</v>
      </c>
      <c r="AQ27" s="250"/>
      <c r="AR27" s="250"/>
      <c r="AS27" s="251">
        <f t="shared" si="24"/>
        <v>586010</v>
      </c>
      <c r="AT27" s="229">
        <v>23</v>
      </c>
      <c r="AU27" s="252">
        <f t="shared" si="25"/>
        <v>586010</v>
      </c>
      <c r="AV27" s="253">
        <f t="shared" si="26"/>
        <v>756720</v>
      </c>
    </row>
    <row r="28" spans="1:48" s="198" customFormat="1" ht="15.75" customHeight="1">
      <c r="A28" s="229"/>
      <c r="B28" s="254">
        <f t="shared" si="23"/>
        <v>45559</v>
      </c>
      <c r="C28" s="231" t="s">
        <v>52</v>
      </c>
      <c r="D28" s="232"/>
      <c r="E28" s="233"/>
      <c r="F28" s="234"/>
      <c r="G28" s="235" t="e">
        <f t="shared" si="0"/>
        <v>#DIV/0!</v>
      </c>
      <c r="H28" s="234"/>
      <c r="I28" s="235" t="e">
        <f t="shared" si="1"/>
        <v>#DIV/0!</v>
      </c>
      <c r="J28" s="237">
        <f t="shared" si="2"/>
        <v>0</v>
      </c>
      <c r="K28" s="238" t="str">
        <f t="shared" si="3"/>
        <v/>
      </c>
      <c r="L28" s="239"/>
      <c r="M28" s="240">
        <f t="shared" si="27"/>
        <v>37</v>
      </c>
      <c r="N28" s="241">
        <f t="shared" si="27"/>
        <v>295680</v>
      </c>
      <c r="O28" s="235">
        <f t="shared" si="5"/>
        <v>7264.864864864865</v>
      </c>
      <c r="P28" s="241">
        <f t="shared" si="6"/>
        <v>44040</v>
      </c>
      <c r="Q28" s="236">
        <f t="shared" si="7"/>
        <v>1082.0540540540539</v>
      </c>
      <c r="R28" s="242">
        <f t="shared" si="8"/>
        <v>339720</v>
      </c>
      <c r="S28" s="238">
        <f t="shared" si="9"/>
        <v>9181.6216216216217</v>
      </c>
      <c r="T28" s="255">
        <f t="shared" si="28"/>
        <v>37</v>
      </c>
      <c r="U28" s="241">
        <f t="shared" si="28"/>
        <v>295680</v>
      </c>
      <c r="V28" s="241">
        <f t="shared" si="11"/>
        <v>44040</v>
      </c>
      <c r="W28" s="244">
        <f t="shared" si="12"/>
        <v>339720</v>
      </c>
      <c r="X28" s="241">
        <f t="shared" si="13"/>
        <v>9181.6216216216217</v>
      </c>
      <c r="Y28" s="245"/>
      <c r="Z28" s="246">
        <v>89</v>
      </c>
      <c r="AA28" s="234">
        <v>56950</v>
      </c>
      <c r="AB28" s="235">
        <f t="shared" si="14"/>
        <v>639.88764044943821</v>
      </c>
      <c r="AC28" s="234">
        <v>27800</v>
      </c>
      <c r="AD28" s="236">
        <f t="shared" si="15"/>
        <v>312.35955056179773</v>
      </c>
      <c r="AE28" s="247">
        <f t="shared" si="16"/>
        <v>84750</v>
      </c>
      <c r="AF28" s="238">
        <f t="shared" si="17"/>
        <v>952.24719101123594</v>
      </c>
      <c r="AG28" s="255">
        <f t="shared" si="18"/>
        <v>37</v>
      </c>
      <c r="AH28" s="249">
        <f t="shared" si="19"/>
        <v>352630</v>
      </c>
      <c r="AI28" s="249">
        <f t="shared" si="20"/>
        <v>71840</v>
      </c>
      <c r="AJ28" s="248">
        <f t="shared" si="21"/>
        <v>424470</v>
      </c>
      <c r="AK28" s="241">
        <f t="shared" si="22"/>
        <v>29700</v>
      </c>
      <c r="AL28" s="249">
        <v>37</v>
      </c>
      <c r="AM28" s="249">
        <v>295680</v>
      </c>
      <c r="AN28" s="249">
        <v>44040</v>
      </c>
      <c r="AO28" s="250">
        <v>29700</v>
      </c>
      <c r="AP28" s="250"/>
      <c r="AQ28" s="250"/>
      <c r="AR28" s="250"/>
      <c r="AS28" s="251">
        <f t="shared" si="24"/>
        <v>369420</v>
      </c>
      <c r="AT28" s="229">
        <v>24</v>
      </c>
      <c r="AU28" s="252">
        <f t="shared" si="25"/>
        <v>369420</v>
      </c>
      <c r="AV28" s="253">
        <f t="shared" si="26"/>
        <v>454170</v>
      </c>
    </row>
    <row r="29" spans="1:48" s="198" customFormat="1" ht="15.75" customHeight="1">
      <c r="A29" s="229"/>
      <c r="B29" s="254">
        <f t="shared" si="23"/>
        <v>45560</v>
      </c>
      <c r="C29" s="231" t="s">
        <v>52</v>
      </c>
      <c r="D29" s="232"/>
      <c r="E29" s="233"/>
      <c r="F29" s="234"/>
      <c r="G29" s="235" t="e">
        <f t="shared" si="0"/>
        <v>#DIV/0!</v>
      </c>
      <c r="H29" s="234"/>
      <c r="I29" s="235" t="e">
        <f t="shared" si="1"/>
        <v>#DIV/0!</v>
      </c>
      <c r="J29" s="237">
        <f t="shared" si="2"/>
        <v>0</v>
      </c>
      <c r="K29" s="238" t="str">
        <f t="shared" si="3"/>
        <v/>
      </c>
      <c r="L29" s="239"/>
      <c r="M29" s="240">
        <f t="shared" si="27"/>
        <v>34</v>
      </c>
      <c r="N29" s="241">
        <f t="shared" si="27"/>
        <v>332750</v>
      </c>
      <c r="O29" s="235">
        <f t="shared" si="5"/>
        <v>8897.0588235294126</v>
      </c>
      <c r="P29" s="241">
        <f t="shared" si="6"/>
        <v>51380</v>
      </c>
      <c r="Q29" s="236">
        <f t="shared" si="7"/>
        <v>1373.7941176470588</v>
      </c>
      <c r="R29" s="242">
        <f t="shared" si="8"/>
        <v>384130</v>
      </c>
      <c r="S29" s="238">
        <f t="shared" si="9"/>
        <v>11297.941176470587</v>
      </c>
      <c r="T29" s="255">
        <f t="shared" si="28"/>
        <v>34</v>
      </c>
      <c r="U29" s="241">
        <f t="shared" si="28"/>
        <v>332750</v>
      </c>
      <c r="V29" s="241">
        <f t="shared" si="11"/>
        <v>51380</v>
      </c>
      <c r="W29" s="244">
        <f t="shared" si="12"/>
        <v>384130</v>
      </c>
      <c r="X29" s="241">
        <f t="shared" si="13"/>
        <v>11297.941176470587</v>
      </c>
      <c r="Y29" s="245"/>
      <c r="Z29" s="246">
        <v>92</v>
      </c>
      <c r="AA29" s="234">
        <v>44050</v>
      </c>
      <c r="AB29" s="235">
        <f t="shared" si="14"/>
        <v>478.80434782608694</v>
      </c>
      <c r="AC29" s="234">
        <v>17350</v>
      </c>
      <c r="AD29" s="236">
        <f t="shared" si="15"/>
        <v>188.58695652173913</v>
      </c>
      <c r="AE29" s="247">
        <f t="shared" si="16"/>
        <v>61400</v>
      </c>
      <c r="AF29" s="238">
        <f t="shared" si="17"/>
        <v>667.39130434782612</v>
      </c>
      <c r="AG29" s="255">
        <f t="shared" si="18"/>
        <v>34</v>
      </c>
      <c r="AH29" s="249">
        <f t="shared" si="19"/>
        <v>376800</v>
      </c>
      <c r="AI29" s="249">
        <f t="shared" si="20"/>
        <v>68730</v>
      </c>
      <c r="AJ29" s="248">
        <f t="shared" si="21"/>
        <v>445530</v>
      </c>
      <c r="AK29" s="241">
        <f t="shared" si="22"/>
        <v>25850</v>
      </c>
      <c r="AL29" s="249">
        <v>34</v>
      </c>
      <c r="AM29" s="249">
        <v>332750</v>
      </c>
      <c r="AN29" s="249">
        <v>51380</v>
      </c>
      <c r="AO29" s="250">
        <v>25850</v>
      </c>
      <c r="AP29" s="250"/>
      <c r="AQ29" s="250"/>
      <c r="AR29" s="250"/>
      <c r="AS29" s="251">
        <f t="shared" si="24"/>
        <v>409980</v>
      </c>
      <c r="AT29" s="229">
        <v>25</v>
      </c>
      <c r="AU29" s="252">
        <f t="shared" si="25"/>
        <v>409980</v>
      </c>
      <c r="AV29" s="253">
        <f t="shared" si="26"/>
        <v>471380</v>
      </c>
    </row>
    <row r="30" spans="1:48" s="198" customFormat="1" ht="15.75" customHeight="1">
      <c r="A30" s="229"/>
      <c r="B30" s="254">
        <f t="shared" si="23"/>
        <v>45561</v>
      </c>
      <c r="C30" s="231" t="s">
        <v>52</v>
      </c>
      <c r="D30" s="232"/>
      <c r="E30" s="233"/>
      <c r="F30" s="234"/>
      <c r="G30" s="235" t="e">
        <f t="shared" si="0"/>
        <v>#DIV/0!</v>
      </c>
      <c r="H30" s="234"/>
      <c r="I30" s="235" t="e">
        <f t="shared" si="1"/>
        <v>#DIV/0!</v>
      </c>
      <c r="J30" s="237">
        <f t="shared" si="2"/>
        <v>0</v>
      </c>
      <c r="K30" s="238" t="str">
        <f t="shared" si="3"/>
        <v/>
      </c>
      <c r="L30" s="239"/>
      <c r="M30" s="240">
        <f t="shared" si="27"/>
        <v>37</v>
      </c>
      <c r="N30" s="241">
        <f t="shared" si="27"/>
        <v>301730</v>
      </c>
      <c r="O30" s="235">
        <f t="shared" si="5"/>
        <v>7413.5135135135133</v>
      </c>
      <c r="P30" s="241">
        <f t="shared" si="6"/>
        <v>34600</v>
      </c>
      <c r="Q30" s="235">
        <f t="shared" si="7"/>
        <v>850.10810810810813</v>
      </c>
      <c r="R30" s="242">
        <f t="shared" si="8"/>
        <v>336330</v>
      </c>
      <c r="S30" s="238">
        <f t="shared" si="9"/>
        <v>9090</v>
      </c>
      <c r="T30" s="255">
        <f t="shared" si="28"/>
        <v>37</v>
      </c>
      <c r="U30" s="241">
        <f t="shared" si="28"/>
        <v>301730</v>
      </c>
      <c r="V30" s="241">
        <f t="shared" si="11"/>
        <v>34600</v>
      </c>
      <c r="W30" s="244">
        <f t="shared" si="12"/>
        <v>336330</v>
      </c>
      <c r="X30" s="241">
        <f t="shared" si="13"/>
        <v>9090</v>
      </c>
      <c r="Y30" s="245"/>
      <c r="Z30" s="246">
        <v>53</v>
      </c>
      <c r="AA30" s="234">
        <v>33560</v>
      </c>
      <c r="AB30" s="235">
        <f t="shared" si="14"/>
        <v>633.20754716981128</v>
      </c>
      <c r="AC30" s="234">
        <v>10200</v>
      </c>
      <c r="AD30" s="236">
        <f t="shared" si="15"/>
        <v>192.45283018867926</v>
      </c>
      <c r="AE30" s="247">
        <f t="shared" si="16"/>
        <v>43760</v>
      </c>
      <c r="AF30" s="238">
        <f t="shared" si="17"/>
        <v>825.66037735849056</v>
      </c>
      <c r="AG30" s="255">
        <f t="shared" si="18"/>
        <v>37</v>
      </c>
      <c r="AH30" s="249">
        <f t="shared" si="19"/>
        <v>335290</v>
      </c>
      <c r="AI30" s="249">
        <f t="shared" si="20"/>
        <v>44800</v>
      </c>
      <c r="AJ30" s="248">
        <f t="shared" si="21"/>
        <v>380090</v>
      </c>
      <c r="AK30" s="241">
        <f t="shared" si="22"/>
        <v>23010</v>
      </c>
      <c r="AL30" s="249">
        <v>37</v>
      </c>
      <c r="AM30" s="249">
        <v>301730</v>
      </c>
      <c r="AN30" s="249">
        <v>34600</v>
      </c>
      <c r="AO30" s="250">
        <v>21450</v>
      </c>
      <c r="AP30" s="250">
        <v>1560</v>
      </c>
      <c r="AQ30" s="250"/>
      <c r="AR30" s="250">
        <v>12100</v>
      </c>
      <c r="AS30" s="251">
        <f t="shared" si="24"/>
        <v>359340</v>
      </c>
      <c r="AT30" s="229">
        <v>26</v>
      </c>
      <c r="AU30" s="252">
        <f t="shared" si="25"/>
        <v>371440</v>
      </c>
      <c r="AV30" s="253">
        <f t="shared" si="26"/>
        <v>415200</v>
      </c>
    </row>
    <row r="31" spans="1:48" s="198" customFormat="1" ht="15.75" customHeight="1">
      <c r="A31" s="229"/>
      <c r="B31" s="254">
        <f t="shared" si="23"/>
        <v>45562</v>
      </c>
      <c r="C31" s="231" t="s">
        <v>52</v>
      </c>
      <c r="D31" s="232"/>
      <c r="E31" s="233"/>
      <c r="F31" s="234"/>
      <c r="G31" s="235" t="e">
        <f t="shared" si="0"/>
        <v>#DIV/0!</v>
      </c>
      <c r="H31" s="234"/>
      <c r="I31" s="235" t="e">
        <f t="shared" si="1"/>
        <v>#DIV/0!</v>
      </c>
      <c r="J31" s="237">
        <f t="shared" si="2"/>
        <v>0</v>
      </c>
      <c r="K31" s="238" t="str">
        <f t="shared" si="3"/>
        <v/>
      </c>
      <c r="L31" s="239"/>
      <c r="M31" s="240">
        <f t="shared" si="27"/>
        <v>38</v>
      </c>
      <c r="N31" s="241">
        <f t="shared" si="27"/>
        <v>317680</v>
      </c>
      <c r="O31" s="235">
        <f t="shared" si="5"/>
        <v>7600</v>
      </c>
      <c r="P31" s="241">
        <f t="shared" si="6"/>
        <v>46710</v>
      </c>
      <c r="Q31" s="235">
        <f t="shared" si="7"/>
        <v>1117.4473684210527</v>
      </c>
      <c r="R31" s="242">
        <f t="shared" si="8"/>
        <v>364390</v>
      </c>
      <c r="S31" s="238">
        <f t="shared" si="9"/>
        <v>9589.21052631579</v>
      </c>
      <c r="T31" s="255">
        <f t="shared" si="28"/>
        <v>38</v>
      </c>
      <c r="U31" s="241">
        <f t="shared" si="28"/>
        <v>317680</v>
      </c>
      <c r="V31" s="241">
        <f t="shared" si="11"/>
        <v>46710</v>
      </c>
      <c r="W31" s="244">
        <f t="shared" si="12"/>
        <v>364390</v>
      </c>
      <c r="X31" s="241">
        <f t="shared" si="13"/>
        <v>9589.21052631579</v>
      </c>
      <c r="Y31" s="245"/>
      <c r="Z31" s="246">
        <v>70</v>
      </c>
      <c r="AA31" s="234">
        <v>46200</v>
      </c>
      <c r="AB31" s="235">
        <f t="shared" si="14"/>
        <v>660</v>
      </c>
      <c r="AC31" s="234">
        <v>12600</v>
      </c>
      <c r="AD31" s="236">
        <f t="shared" si="15"/>
        <v>180</v>
      </c>
      <c r="AE31" s="247">
        <f t="shared" si="16"/>
        <v>58800</v>
      </c>
      <c r="AF31" s="238">
        <f t="shared" si="17"/>
        <v>840</v>
      </c>
      <c r="AG31" s="255">
        <f t="shared" si="18"/>
        <v>38</v>
      </c>
      <c r="AH31" s="249">
        <f t="shared" si="19"/>
        <v>363880</v>
      </c>
      <c r="AI31" s="249">
        <f t="shared" si="20"/>
        <v>59310</v>
      </c>
      <c r="AJ31" s="248">
        <f t="shared" si="21"/>
        <v>423190</v>
      </c>
      <c r="AK31" s="241">
        <f t="shared" si="22"/>
        <v>28600</v>
      </c>
      <c r="AL31" s="249">
        <v>38</v>
      </c>
      <c r="AM31" s="249">
        <v>317680</v>
      </c>
      <c r="AN31" s="249">
        <v>46710</v>
      </c>
      <c r="AO31" s="250">
        <v>28600</v>
      </c>
      <c r="AP31" s="250"/>
      <c r="AQ31" s="250"/>
      <c r="AR31" s="250"/>
      <c r="AS31" s="251">
        <f t="shared" si="24"/>
        <v>392990</v>
      </c>
      <c r="AT31" s="229">
        <v>27</v>
      </c>
      <c r="AU31" s="252">
        <f t="shared" si="25"/>
        <v>392990</v>
      </c>
      <c r="AV31" s="253">
        <f t="shared" si="26"/>
        <v>451790</v>
      </c>
    </row>
    <row r="32" spans="1:48" s="198" customFormat="1" ht="15.75" customHeight="1">
      <c r="A32" s="229"/>
      <c r="B32" s="257">
        <f t="shared" si="23"/>
        <v>45563</v>
      </c>
      <c r="C32" s="231" t="s">
        <v>68</v>
      </c>
      <c r="D32" s="232"/>
      <c r="E32" s="233">
        <v>20</v>
      </c>
      <c r="F32" s="234">
        <v>82148</v>
      </c>
      <c r="G32" s="235">
        <f t="shared" si="0"/>
        <v>3734</v>
      </c>
      <c r="H32" s="234">
        <v>4840</v>
      </c>
      <c r="I32" s="235">
        <f t="shared" si="1"/>
        <v>220</v>
      </c>
      <c r="J32" s="237">
        <f t="shared" si="2"/>
        <v>86988</v>
      </c>
      <c r="K32" s="238">
        <f t="shared" si="3"/>
        <v>4349.3999999999996</v>
      </c>
      <c r="L32" s="239"/>
      <c r="M32" s="240">
        <f t="shared" si="27"/>
        <v>37</v>
      </c>
      <c r="N32" s="241">
        <f t="shared" si="27"/>
        <v>348480</v>
      </c>
      <c r="O32" s="235">
        <f t="shared" si="5"/>
        <v>8562.1621621621616</v>
      </c>
      <c r="P32" s="241">
        <f t="shared" si="6"/>
        <v>34780</v>
      </c>
      <c r="Q32" s="235">
        <f t="shared" si="7"/>
        <v>854.54054054054052</v>
      </c>
      <c r="R32" s="242">
        <f t="shared" si="8"/>
        <v>383260</v>
      </c>
      <c r="S32" s="238">
        <f t="shared" si="9"/>
        <v>10358.378378378378</v>
      </c>
      <c r="T32" s="255">
        <f t="shared" si="28"/>
        <v>57</v>
      </c>
      <c r="U32" s="241">
        <f t="shared" si="28"/>
        <v>430628</v>
      </c>
      <c r="V32" s="241">
        <f t="shared" si="11"/>
        <v>39620</v>
      </c>
      <c r="W32" s="244">
        <f t="shared" si="12"/>
        <v>470248</v>
      </c>
      <c r="X32" s="241">
        <f t="shared" si="13"/>
        <v>8249.9649122807023</v>
      </c>
      <c r="Y32" s="245"/>
      <c r="Z32" s="246">
        <v>64</v>
      </c>
      <c r="AA32" s="234">
        <v>41510</v>
      </c>
      <c r="AB32" s="235">
        <f t="shared" si="14"/>
        <v>648.59375</v>
      </c>
      <c r="AC32" s="234">
        <v>6700</v>
      </c>
      <c r="AD32" s="236">
        <f t="shared" si="15"/>
        <v>104.6875</v>
      </c>
      <c r="AE32" s="247">
        <f t="shared" si="16"/>
        <v>48210</v>
      </c>
      <c r="AF32" s="238">
        <f t="shared" si="17"/>
        <v>753.28125</v>
      </c>
      <c r="AG32" s="255">
        <f t="shared" si="18"/>
        <v>57</v>
      </c>
      <c r="AH32" s="249">
        <f t="shared" si="19"/>
        <v>472138</v>
      </c>
      <c r="AI32" s="249">
        <f t="shared" si="20"/>
        <v>46320</v>
      </c>
      <c r="AJ32" s="248">
        <f t="shared" si="21"/>
        <v>518458</v>
      </c>
      <c r="AK32" s="241">
        <f t="shared" si="22"/>
        <v>19800</v>
      </c>
      <c r="AL32" s="249">
        <v>57</v>
      </c>
      <c r="AM32" s="249">
        <v>430628</v>
      </c>
      <c r="AN32" s="249">
        <v>39620</v>
      </c>
      <c r="AO32" s="250">
        <v>19800</v>
      </c>
      <c r="AP32" s="250"/>
      <c r="AQ32" s="250"/>
      <c r="AR32" s="250"/>
      <c r="AS32" s="251">
        <f>SUM(AM32:AQ32)</f>
        <v>490048</v>
      </c>
      <c r="AT32" s="229">
        <v>28</v>
      </c>
      <c r="AU32" s="252">
        <f t="shared" si="25"/>
        <v>490048</v>
      </c>
      <c r="AV32" s="253">
        <f t="shared" si="26"/>
        <v>538258</v>
      </c>
    </row>
    <row r="33" spans="1:48" s="198" customFormat="1" ht="15.75" customHeight="1">
      <c r="A33" s="229"/>
      <c r="B33" s="258">
        <f t="shared" si="23"/>
        <v>45564</v>
      </c>
      <c r="C33" s="231"/>
      <c r="D33" s="232"/>
      <c r="E33" s="233">
        <v>29</v>
      </c>
      <c r="F33" s="234">
        <v>111210</v>
      </c>
      <c r="G33" s="235">
        <f t="shared" si="0"/>
        <v>3486.2068965517242</v>
      </c>
      <c r="H33" s="234">
        <v>16870</v>
      </c>
      <c r="I33" s="235">
        <f t="shared" si="1"/>
        <v>528.82758620689651</v>
      </c>
      <c r="J33" s="237">
        <f t="shared" si="2"/>
        <v>128080</v>
      </c>
      <c r="K33" s="238">
        <f t="shared" si="3"/>
        <v>4416.5517241379312</v>
      </c>
      <c r="L33" s="239"/>
      <c r="M33" s="240">
        <f t="shared" si="27"/>
        <v>36</v>
      </c>
      <c r="N33" s="241">
        <f t="shared" si="27"/>
        <v>307340</v>
      </c>
      <c r="O33" s="235">
        <f t="shared" si="5"/>
        <v>7761.1111111111113</v>
      </c>
      <c r="P33" s="241">
        <f t="shared" si="6"/>
        <v>40770</v>
      </c>
      <c r="Q33" s="235">
        <f t="shared" si="7"/>
        <v>1029.5277777777778</v>
      </c>
      <c r="R33" s="242">
        <f t="shared" si="8"/>
        <v>348110</v>
      </c>
      <c r="S33" s="238">
        <f t="shared" si="9"/>
        <v>9669.7222222222226</v>
      </c>
      <c r="T33" s="255">
        <f t="shared" si="28"/>
        <v>65</v>
      </c>
      <c r="U33" s="241">
        <f t="shared" si="28"/>
        <v>418550</v>
      </c>
      <c r="V33" s="241">
        <f t="shared" si="11"/>
        <v>57640</v>
      </c>
      <c r="W33" s="244">
        <f t="shared" si="12"/>
        <v>476190</v>
      </c>
      <c r="X33" s="241">
        <f t="shared" si="13"/>
        <v>7326</v>
      </c>
      <c r="Y33" s="245"/>
      <c r="Z33" s="246">
        <v>169</v>
      </c>
      <c r="AA33" s="234">
        <v>152000</v>
      </c>
      <c r="AB33" s="235">
        <f t="shared" si="14"/>
        <v>899.40828402366867</v>
      </c>
      <c r="AC33" s="234">
        <v>25850</v>
      </c>
      <c r="AD33" s="236">
        <f t="shared" si="15"/>
        <v>152.95857988165682</v>
      </c>
      <c r="AE33" s="247">
        <f t="shared" si="16"/>
        <v>177850</v>
      </c>
      <c r="AF33" s="238">
        <f t="shared" si="17"/>
        <v>1052.3668639053255</v>
      </c>
      <c r="AG33" s="255">
        <f t="shared" si="18"/>
        <v>65</v>
      </c>
      <c r="AH33" s="249">
        <f t="shared" si="19"/>
        <v>570550</v>
      </c>
      <c r="AI33" s="249">
        <f t="shared" si="20"/>
        <v>83490</v>
      </c>
      <c r="AJ33" s="248">
        <f t="shared" si="21"/>
        <v>654040</v>
      </c>
      <c r="AK33" s="241">
        <f t="shared" si="22"/>
        <v>24200</v>
      </c>
      <c r="AL33" s="249">
        <v>65</v>
      </c>
      <c r="AM33" s="249">
        <v>418550</v>
      </c>
      <c r="AN33" s="249">
        <v>57640</v>
      </c>
      <c r="AO33" s="250">
        <v>24200</v>
      </c>
      <c r="AP33" s="250"/>
      <c r="AQ33" s="250"/>
      <c r="AR33" s="250"/>
      <c r="AS33" s="251">
        <f>SUM(AM33:AQ33)</f>
        <v>500390</v>
      </c>
      <c r="AT33" s="229">
        <v>29</v>
      </c>
      <c r="AU33" s="252">
        <f t="shared" si="25"/>
        <v>500390</v>
      </c>
      <c r="AV33" s="253">
        <f t="shared" si="26"/>
        <v>678240</v>
      </c>
    </row>
    <row r="34" spans="1:48" s="198" customFormat="1" ht="15.75" customHeight="1" thickBot="1">
      <c r="A34" s="229"/>
      <c r="B34" s="254">
        <f t="shared" si="23"/>
        <v>45565</v>
      </c>
      <c r="C34" s="231" t="s">
        <v>52</v>
      </c>
      <c r="D34" s="232"/>
      <c r="E34" s="233"/>
      <c r="F34" s="234"/>
      <c r="G34" s="235" t="e">
        <f t="shared" si="0"/>
        <v>#DIV/0!</v>
      </c>
      <c r="H34" s="234"/>
      <c r="I34" s="235" t="e">
        <f t="shared" si="1"/>
        <v>#DIV/0!</v>
      </c>
      <c r="J34" s="237">
        <f t="shared" si="2"/>
        <v>0</v>
      </c>
      <c r="K34" s="238" t="str">
        <f t="shared" si="3"/>
        <v/>
      </c>
      <c r="L34" s="239"/>
      <c r="M34" s="240">
        <f t="shared" si="27"/>
        <v>35</v>
      </c>
      <c r="N34" s="241">
        <f t="shared" si="27"/>
        <v>301290</v>
      </c>
      <c r="O34" s="235">
        <f t="shared" si="5"/>
        <v>7825.7142857142853</v>
      </c>
      <c r="P34" s="241">
        <f t="shared" si="6"/>
        <v>56990</v>
      </c>
      <c r="Q34" s="235">
        <f t="shared" si="7"/>
        <v>1480.2571428571428</v>
      </c>
      <c r="R34" s="242">
        <f t="shared" si="8"/>
        <v>358280</v>
      </c>
      <c r="S34" s="238">
        <f t="shared" si="9"/>
        <v>10236.571428571429</v>
      </c>
      <c r="T34" s="255">
        <f t="shared" si="28"/>
        <v>35</v>
      </c>
      <c r="U34" s="241">
        <f t="shared" si="28"/>
        <v>301290</v>
      </c>
      <c r="V34" s="241">
        <f t="shared" si="11"/>
        <v>56990</v>
      </c>
      <c r="W34" s="244">
        <f t="shared" si="12"/>
        <v>358280</v>
      </c>
      <c r="X34" s="241">
        <f t="shared" si="13"/>
        <v>10236.571428571429</v>
      </c>
      <c r="Y34" s="260"/>
      <c r="Z34" s="261">
        <v>61</v>
      </c>
      <c r="AA34" s="262">
        <v>39700</v>
      </c>
      <c r="AB34" s="235">
        <f t="shared" si="14"/>
        <v>650.81967213114751</v>
      </c>
      <c r="AC34" s="262">
        <v>17500</v>
      </c>
      <c r="AD34" s="236">
        <f t="shared" si="15"/>
        <v>286.88524590163934</v>
      </c>
      <c r="AE34" s="247">
        <f t="shared" si="16"/>
        <v>57200</v>
      </c>
      <c r="AF34" s="238">
        <f t="shared" si="17"/>
        <v>937.70491803278685</v>
      </c>
      <c r="AG34" s="255">
        <f t="shared" si="18"/>
        <v>35</v>
      </c>
      <c r="AH34" s="249">
        <f t="shared" si="19"/>
        <v>340990</v>
      </c>
      <c r="AI34" s="249">
        <f t="shared" si="20"/>
        <v>74490</v>
      </c>
      <c r="AJ34" s="248">
        <f t="shared" si="21"/>
        <v>415480</v>
      </c>
      <c r="AK34" s="241">
        <f t="shared" si="22"/>
        <v>146900</v>
      </c>
      <c r="AL34" s="249">
        <v>35</v>
      </c>
      <c r="AM34" s="249">
        <v>301290</v>
      </c>
      <c r="AN34" s="249">
        <v>56990</v>
      </c>
      <c r="AO34" s="250">
        <v>20900</v>
      </c>
      <c r="AP34" s="250">
        <v>126000</v>
      </c>
      <c r="AQ34" s="250"/>
      <c r="AR34" s="250"/>
      <c r="AS34" s="251">
        <f>SUM(AM34:AQ34)</f>
        <v>505180</v>
      </c>
      <c r="AT34" s="229">
        <v>30</v>
      </c>
      <c r="AU34" s="252">
        <f t="shared" si="25"/>
        <v>505180</v>
      </c>
      <c r="AV34" s="253">
        <f t="shared" si="26"/>
        <v>562380</v>
      </c>
    </row>
    <row r="35" spans="1:48" s="198" customFormat="1" ht="19.5" customHeight="1" thickTop="1" thickBot="1">
      <c r="A35" s="263"/>
      <c r="B35" s="264" t="s">
        <v>26</v>
      </c>
      <c r="C35" s="265">
        <f>SUM(C5:C34)</f>
        <v>0</v>
      </c>
      <c r="D35" s="266">
        <f>SUM(D5:D34)</f>
        <v>0</v>
      </c>
      <c r="E35" s="267">
        <f>SUM(E5:E34)</f>
        <v>313</v>
      </c>
      <c r="F35" s="268">
        <f>SUM(F5:F34)</f>
        <v>1167078</v>
      </c>
      <c r="G35" s="269">
        <f>F35/E35</f>
        <v>3728.6837060702874</v>
      </c>
      <c r="H35" s="265">
        <f>SUM(H5:H34)</f>
        <v>161750</v>
      </c>
      <c r="I35" s="270">
        <f>H35/E35</f>
        <v>516.77316293929709</v>
      </c>
      <c r="J35" s="271">
        <f>SUM(J5:J34)</f>
        <v>1328828</v>
      </c>
      <c r="K35" s="272">
        <f>J35/E35</f>
        <v>4245.4568690095848</v>
      </c>
      <c r="L35" s="273">
        <f>SUM(L5:L34)</f>
        <v>0</v>
      </c>
      <c r="M35" s="267">
        <f>SUM(M5:M34)</f>
        <v>1152</v>
      </c>
      <c r="N35" s="268">
        <f>SUM(N5:N34)</f>
        <v>10488200</v>
      </c>
      <c r="O35" s="269">
        <f>N35/M35</f>
        <v>9104.3402777777774</v>
      </c>
      <c r="P35" s="274">
        <f>SUM(P5:P34)</f>
        <v>1870330</v>
      </c>
      <c r="Q35" s="270">
        <f>P35/M35</f>
        <v>1623.5503472222222</v>
      </c>
      <c r="R35" s="275">
        <f>SUM(R5:R34)</f>
        <v>12358530</v>
      </c>
      <c r="S35" s="276">
        <f>R35/M35</f>
        <v>10727.890625</v>
      </c>
      <c r="T35" s="267">
        <f>SUM(T5:T34)</f>
        <v>1465</v>
      </c>
      <c r="U35" s="277">
        <f>SUM(U5:U34)</f>
        <v>11655278</v>
      </c>
      <c r="V35" s="274">
        <f>SUM(V5:V34)</f>
        <v>2032080</v>
      </c>
      <c r="W35" s="278">
        <f>SUM(W5:W34)</f>
        <v>13687358</v>
      </c>
      <c r="X35" s="279">
        <f>W35/T35</f>
        <v>9342.9064846416386</v>
      </c>
      <c r="Y35" s="266">
        <f>SUM(Y5:Y34)</f>
        <v>0</v>
      </c>
      <c r="Z35" s="267">
        <f>SUM(Z5:Z34)</f>
        <v>2903</v>
      </c>
      <c r="AA35" s="280">
        <f>SUM(AA5:AA34)</f>
        <v>1952360</v>
      </c>
      <c r="AB35" s="269"/>
      <c r="AC35" s="265">
        <f>SUM(AC5:AC34)</f>
        <v>548200</v>
      </c>
      <c r="AD35" s="270"/>
      <c r="AE35" s="281">
        <f>SUM(AE5:AE34)</f>
        <v>2500560</v>
      </c>
      <c r="AF35" s="282">
        <f>AE35/Z35</f>
        <v>861.37099552187397</v>
      </c>
      <c r="AG35" s="267">
        <f t="shared" ref="AG35:AS35" si="29">SUM(AG5:AG34)</f>
        <v>1465</v>
      </c>
      <c r="AH35" s="277">
        <f t="shared" si="29"/>
        <v>13607638</v>
      </c>
      <c r="AI35" s="274">
        <f t="shared" si="29"/>
        <v>2580280</v>
      </c>
      <c r="AJ35" s="275">
        <f t="shared" si="29"/>
        <v>16187918</v>
      </c>
      <c r="AK35" s="265">
        <f t="shared" si="29"/>
        <v>907390</v>
      </c>
      <c r="AL35" s="283">
        <f t="shared" si="29"/>
        <v>1465</v>
      </c>
      <c r="AM35" s="283">
        <f t="shared" si="29"/>
        <v>11655278</v>
      </c>
      <c r="AN35" s="283">
        <f t="shared" si="29"/>
        <v>2032080</v>
      </c>
      <c r="AO35" s="283">
        <f t="shared" si="29"/>
        <v>731100</v>
      </c>
      <c r="AP35" s="283">
        <f t="shared" si="29"/>
        <v>144390</v>
      </c>
      <c r="AQ35" s="283">
        <f t="shared" si="29"/>
        <v>31900</v>
      </c>
      <c r="AR35" s="283">
        <f t="shared" si="29"/>
        <v>133250</v>
      </c>
      <c r="AS35" s="283">
        <f t="shared" si="29"/>
        <v>14594748</v>
      </c>
      <c r="AT35" s="263"/>
      <c r="AU35" s="284">
        <f>SUM(AU5:AU34)</f>
        <v>14727998</v>
      </c>
      <c r="AV35" s="284">
        <f>SUM(AV5:AV34)</f>
        <v>17228558</v>
      </c>
    </row>
    <row r="36" spans="1:48" s="198" customFormat="1" ht="15.75" customHeight="1" thickTop="1">
      <c r="A36" s="263"/>
      <c r="B36" s="285"/>
      <c r="C36" s="263"/>
      <c r="D36" s="263"/>
      <c r="E36" s="286" t="s">
        <v>36</v>
      </c>
      <c r="F36" s="287">
        <f>F35/1.1</f>
        <v>1060980</v>
      </c>
      <c r="G36" s="288">
        <f>F36/E35</f>
        <v>3389.7124600638977</v>
      </c>
      <c r="H36" s="250">
        <f>H35/1.1</f>
        <v>147045.45454545453</v>
      </c>
      <c r="I36" s="288">
        <f>H36/E35</f>
        <v>469.79378449027007</v>
      </c>
      <c r="J36" s="283">
        <f>J35/1.1</f>
        <v>1208025.4545454544</v>
      </c>
      <c r="K36" s="289">
        <f>G36+I36</f>
        <v>3859.5062445541676</v>
      </c>
      <c r="L36" s="290"/>
      <c r="M36" s="286" t="s">
        <v>36</v>
      </c>
      <c r="N36" s="287">
        <f>N35/1.1</f>
        <v>9534727.2727272715</v>
      </c>
      <c r="O36" s="288">
        <f>N36/M35</f>
        <v>8276.6729797979788</v>
      </c>
      <c r="P36" s="287">
        <f>P35/1.1</f>
        <v>1700299.9999999998</v>
      </c>
      <c r="Q36" s="288">
        <f>P36/M35</f>
        <v>1475.9548611111109</v>
      </c>
      <c r="R36" s="288">
        <f>R35/1.1</f>
        <v>11235027.272727272</v>
      </c>
      <c r="S36" s="291">
        <f>R36/M35</f>
        <v>9752.6278409090901</v>
      </c>
      <c r="T36" s="286" t="s">
        <v>36</v>
      </c>
      <c r="U36" s="287">
        <f>U35/1.1</f>
        <v>10595707.272727272</v>
      </c>
      <c r="V36" s="287">
        <f>V35/1.1</f>
        <v>1847345.4545454544</v>
      </c>
      <c r="W36" s="292">
        <f>W35/1.1</f>
        <v>12443052.727272727</v>
      </c>
      <c r="X36" s="279">
        <f>W36/T35</f>
        <v>8493.5513496742169</v>
      </c>
      <c r="Y36" s="290"/>
      <c r="Z36" s="286" t="s">
        <v>36</v>
      </c>
      <c r="AA36" s="287">
        <f>AA35/1.1</f>
        <v>1774872.7272727271</v>
      </c>
      <c r="AB36" s="250">
        <f>AA36/Z35</f>
        <v>611.39260326308204</v>
      </c>
      <c r="AC36" s="250">
        <f>AC35/1.1</f>
        <v>498363.63636363629</v>
      </c>
      <c r="AD36" s="250">
        <f>AC36/Z35</f>
        <v>171.67193812043965</v>
      </c>
      <c r="AE36" s="288">
        <f>AE35/1.1</f>
        <v>2273236.3636363633</v>
      </c>
      <c r="AF36" s="293">
        <f>AE36/Z35</f>
        <v>783.0645413835216</v>
      </c>
      <c r="AG36" s="286" t="s">
        <v>36</v>
      </c>
      <c r="AH36" s="294">
        <f>AH35/1.1</f>
        <v>12370579.999999998</v>
      </c>
      <c r="AI36" s="287">
        <f>AI35/1.1</f>
        <v>2345709.0909090908</v>
      </c>
      <c r="AJ36" s="288">
        <f>AJ35/1.1</f>
        <v>14716289.09090909</v>
      </c>
      <c r="AK36" s="295">
        <f>AK35/1.1</f>
        <v>824899.99999999988</v>
      </c>
      <c r="AL36" s="263"/>
      <c r="AM36" s="263"/>
      <c r="AN36" s="263"/>
      <c r="AO36" s="263"/>
      <c r="AP36" s="296"/>
      <c r="AQ36" s="263"/>
      <c r="AR36" s="263"/>
      <c r="AS36" s="296"/>
      <c r="AT36" s="263"/>
      <c r="AU36" s="296"/>
    </row>
    <row r="37" spans="1:48" s="198" customFormat="1" ht="15.75" customHeight="1">
      <c r="A37" s="229"/>
      <c r="B37" s="297"/>
      <c r="C37" s="229"/>
      <c r="D37" s="229"/>
      <c r="E37" s="298" t="s">
        <v>37</v>
      </c>
      <c r="F37" s="299">
        <f>E35/G37</f>
        <v>34.777777777777779</v>
      </c>
      <c r="G37" s="300">
        <v>9</v>
      </c>
      <c r="H37" s="301" t="s">
        <v>38</v>
      </c>
      <c r="I37" s="299"/>
      <c r="J37" s="302" t="s">
        <v>39</v>
      </c>
      <c r="K37" s="303">
        <f>J36/G37</f>
        <v>134225.05050505049</v>
      </c>
      <c r="L37" s="229"/>
      <c r="M37" s="298" t="s">
        <v>37</v>
      </c>
      <c r="N37" s="299">
        <f>M35/O37</f>
        <v>37.161290322580648</v>
      </c>
      <c r="O37" s="300">
        <v>31</v>
      </c>
      <c r="P37" s="301" t="s">
        <v>38</v>
      </c>
      <c r="Q37" s="299"/>
      <c r="R37" s="302" t="s">
        <v>39</v>
      </c>
      <c r="S37" s="304">
        <f>R36/O37</f>
        <v>362420.23460410553</v>
      </c>
      <c r="T37" s="229"/>
      <c r="U37" s="229"/>
      <c r="V37" s="229"/>
      <c r="W37" s="252"/>
      <c r="X37" s="252"/>
      <c r="Y37" s="229"/>
      <c r="Z37" s="229"/>
      <c r="AA37" s="305">
        <v>31</v>
      </c>
      <c r="AB37" s="301" t="s">
        <v>38</v>
      </c>
      <c r="AC37" s="299"/>
      <c r="AD37" s="299"/>
      <c r="AE37" s="302" t="s">
        <v>39</v>
      </c>
      <c r="AF37" s="306">
        <f>AE36/AA37</f>
        <v>73330.205278592359</v>
      </c>
      <c r="AG37" s="229"/>
      <c r="AH37" s="229"/>
      <c r="AI37" s="229" t="s">
        <v>53</v>
      </c>
      <c r="AJ37" s="252"/>
      <c r="AK37" s="252">
        <f>AJ36/AL37</f>
        <v>3369.1138028638024</v>
      </c>
      <c r="AL37" s="307">
        <f>AG35+Z35</f>
        <v>4368</v>
      </c>
      <c r="AM37" s="229" t="s">
        <v>54</v>
      </c>
      <c r="AN37" s="229"/>
      <c r="AO37" s="229"/>
      <c r="AP37" s="252"/>
      <c r="AQ37" s="229"/>
      <c r="AR37" s="229"/>
      <c r="AS37" s="252"/>
      <c r="AT37" s="229"/>
      <c r="AU37" s="252"/>
    </row>
    <row r="38" spans="1:48" s="198" customFormat="1" ht="15.75" customHeight="1">
      <c r="A38" s="229"/>
      <c r="B38" s="297"/>
      <c r="C38" s="229"/>
      <c r="D38" s="308" t="s">
        <v>40</v>
      </c>
      <c r="E38" s="309"/>
      <c r="F38" s="299"/>
      <c r="G38" s="310"/>
      <c r="H38" s="299"/>
      <c r="I38" s="299"/>
      <c r="J38" s="302"/>
      <c r="K38" s="306"/>
      <c r="L38" s="311" t="s">
        <v>41</v>
      </c>
      <c r="M38" s="298"/>
      <c r="N38" s="299"/>
      <c r="O38" s="299"/>
      <c r="P38" s="299"/>
      <c r="Q38" s="299"/>
      <c r="R38" s="302"/>
      <c r="S38" s="306"/>
      <c r="T38" s="229"/>
      <c r="U38" s="229"/>
      <c r="V38" s="229"/>
      <c r="W38" s="252"/>
      <c r="X38" s="252"/>
      <c r="Y38" s="311" t="s">
        <v>42</v>
      </c>
      <c r="Z38" s="229"/>
      <c r="AA38" s="299"/>
      <c r="AB38" s="299"/>
      <c r="AC38" s="299"/>
      <c r="AD38" s="299"/>
      <c r="AE38" s="299"/>
      <c r="AF38" s="306"/>
      <c r="AG38" s="229"/>
      <c r="AH38" s="229"/>
      <c r="AI38" s="229" t="s">
        <v>55</v>
      </c>
      <c r="AK38" s="312">
        <f>AJ36/AA37</f>
        <v>474719.00293255126</v>
      </c>
      <c r="AL38" s="229" t="s">
        <v>56</v>
      </c>
      <c r="AM38" s="229"/>
      <c r="AN38" s="229"/>
      <c r="AO38" s="229"/>
      <c r="AP38" s="252"/>
      <c r="AQ38" s="229"/>
      <c r="AR38" s="229"/>
      <c r="AS38" s="252"/>
      <c r="AT38" s="229"/>
      <c r="AU38" s="252"/>
    </row>
    <row r="39" spans="1:48" s="198" customFormat="1" ht="21" customHeight="1">
      <c r="A39" s="229"/>
      <c r="B39" s="297"/>
      <c r="C39" s="311"/>
      <c r="D39" s="313"/>
      <c r="E39" s="206"/>
      <c r="F39" s="206"/>
      <c r="G39" s="206"/>
      <c r="H39" s="206"/>
      <c r="I39" s="206"/>
      <c r="J39" s="206"/>
      <c r="K39" s="314"/>
      <c r="L39" s="313"/>
      <c r="M39" s="206"/>
      <c r="N39" s="206"/>
      <c r="O39" s="206"/>
      <c r="P39" s="206"/>
      <c r="Q39" s="206"/>
      <c r="R39" s="206"/>
      <c r="S39" s="314"/>
      <c r="T39" s="229"/>
      <c r="U39" s="229"/>
      <c r="V39" s="229"/>
      <c r="W39" s="252"/>
      <c r="X39" s="229"/>
      <c r="Y39" s="313"/>
      <c r="Z39" s="206"/>
      <c r="AA39" s="206"/>
      <c r="AB39" s="206"/>
      <c r="AC39" s="206"/>
      <c r="AD39" s="206"/>
      <c r="AE39" s="206"/>
      <c r="AF39" s="314"/>
      <c r="AG39" s="229"/>
      <c r="AH39" s="229"/>
      <c r="AI39" s="229" t="s">
        <v>57</v>
      </c>
      <c r="AJ39" s="252">
        <f>AJ35+AK35</f>
        <v>17095308</v>
      </c>
      <c r="AK39" s="312">
        <f>AJ39/AA37</f>
        <v>551461.54838709673</v>
      </c>
      <c r="AL39" s="229" t="s">
        <v>43</v>
      </c>
      <c r="AM39" s="229"/>
      <c r="AN39" s="229"/>
      <c r="AO39" s="229"/>
      <c r="AP39" s="229"/>
      <c r="AQ39" s="229"/>
      <c r="AR39" s="229"/>
      <c r="AS39" s="252"/>
      <c r="AT39" s="229"/>
      <c r="AU39" s="252"/>
    </row>
    <row r="40" spans="1:48" s="198" customFormat="1" ht="21" customHeight="1">
      <c r="A40" s="229"/>
      <c r="B40" s="297"/>
      <c r="C40" s="311"/>
      <c r="D40" s="315"/>
      <c r="E40" s="316"/>
      <c r="F40" s="316"/>
      <c r="G40" s="316"/>
      <c r="H40" s="316"/>
      <c r="I40" s="316"/>
      <c r="J40" s="316"/>
      <c r="K40" s="317"/>
      <c r="L40" s="315"/>
      <c r="M40" s="316"/>
      <c r="N40" s="316"/>
      <c r="O40" s="316"/>
      <c r="P40" s="316"/>
      <c r="Q40" s="316"/>
      <c r="R40" s="316"/>
      <c r="S40" s="317"/>
      <c r="T40" s="229"/>
      <c r="U40" s="229"/>
      <c r="V40" s="229"/>
      <c r="W40" s="252"/>
      <c r="X40" s="229"/>
      <c r="Y40" s="315"/>
      <c r="Z40" s="316"/>
      <c r="AA40" s="316"/>
      <c r="AB40" s="316"/>
      <c r="AC40" s="316"/>
      <c r="AD40" s="316"/>
      <c r="AE40" s="316"/>
      <c r="AF40" s="317"/>
      <c r="AG40" s="229"/>
      <c r="AH40" s="229"/>
      <c r="AI40" s="229" t="s">
        <v>58</v>
      </c>
      <c r="AJ40" s="296">
        <f>AJ36+AK36</f>
        <v>15541189.09090909</v>
      </c>
      <c r="AK40" s="312">
        <f>AJ40/AA37</f>
        <v>501328.68035190611</v>
      </c>
      <c r="AL40" s="229" t="s">
        <v>56</v>
      </c>
      <c r="AM40" s="229"/>
      <c r="AN40" s="229"/>
      <c r="AO40" s="229"/>
      <c r="AP40" s="229"/>
      <c r="AQ40" s="229"/>
      <c r="AR40" s="229"/>
      <c r="AS40" s="252"/>
      <c r="AT40" s="229"/>
      <c r="AU40" s="252"/>
    </row>
    <row r="41" spans="1:48" s="198" customFormat="1" ht="21" customHeight="1">
      <c r="A41" s="229"/>
      <c r="B41" s="297"/>
      <c r="C41" s="311"/>
      <c r="D41" s="315"/>
      <c r="E41" s="316"/>
      <c r="F41" s="316"/>
      <c r="G41" s="316"/>
      <c r="H41" s="316"/>
      <c r="I41" s="316"/>
      <c r="J41" s="316"/>
      <c r="K41" s="317"/>
      <c r="L41" s="315"/>
      <c r="M41" s="316"/>
      <c r="N41" s="316"/>
      <c r="O41" s="316"/>
      <c r="P41" s="316"/>
      <c r="Q41" s="316"/>
      <c r="R41" s="316"/>
      <c r="S41" s="317"/>
      <c r="T41" s="229"/>
      <c r="U41" s="229"/>
      <c r="V41" s="229"/>
      <c r="W41" s="252"/>
      <c r="X41" s="229"/>
      <c r="Y41" s="315"/>
      <c r="Z41" s="316"/>
      <c r="AA41" s="316"/>
      <c r="AB41" s="316"/>
      <c r="AC41" s="316"/>
      <c r="AD41" s="316"/>
      <c r="AE41" s="316"/>
      <c r="AF41" s="317"/>
      <c r="AG41" s="229"/>
      <c r="AH41" s="229"/>
      <c r="AI41" s="229"/>
      <c r="AJ41" s="252">
        <f>AJ36+AK36</f>
        <v>15541189.09090909</v>
      </c>
      <c r="AK41" s="229"/>
      <c r="AL41" s="229"/>
      <c r="AM41" s="229"/>
      <c r="AN41" s="229"/>
      <c r="AO41" s="229"/>
      <c r="AP41" s="229"/>
      <c r="AQ41" s="229"/>
      <c r="AR41" s="229"/>
      <c r="AS41" s="252"/>
      <c r="AT41" s="229"/>
      <c r="AU41" s="252"/>
    </row>
    <row r="42" spans="1:48" s="198" customFormat="1" ht="21" customHeight="1">
      <c r="A42" s="229"/>
      <c r="B42" s="297"/>
      <c r="C42" s="311"/>
      <c r="D42" s="315"/>
      <c r="E42" s="316"/>
      <c r="F42" s="316"/>
      <c r="G42" s="316"/>
      <c r="H42" s="316"/>
      <c r="I42" s="316"/>
      <c r="J42" s="316"/>
      <c r="K42" s="317"/>
      <c r="L42" s="315"/>
      <c r="M42" s="316"/>
      <c r="N42" s="316"/>
      <c r="O42" s="316"/>
      <c r="P42" s="316"/>
      <c r="Q42" s="316"/>
      <c r="R42" s="316"/>
      <c r="S42" s="317"/>
      <c r="T42" s="229"/>
      <c r="U42" s="229"/>
      <c r="V42" s="229"/>
      <c r="W42" s="229"/>
      <c r="X42" s="229"/>
      <c r="Y42" s="315"/>
      <c r="Z42" s="316"/>
      <c r="AA42" s="316"/>
      <c r="AB42" s="316"/>
      <c r="AC42" s="316"/>
      <c r="AD42" s="316"/>
      <c r="AE42" s="316"/>
      <c r="AF42" s="317"/>
      <c r="AG42" s="229"/>
      <c r="AH42" s="229"/>
      <c r="AI42" s="229"/>
      <c r="AJ42" s="318" t="s">
        <v>45</v>
      </c>
      <c r="AK42" s="319" t="s">
        <v>44</v>
      </c>
      <c r="AL42" s="229"/>
      <c r="AM42" s="229"/>
      <c r="AN42" s="229"/>
      <c r="AO42" s="229"/>
      <c r="AP42" s="229"/>
      <c r="AQ42" s="229"/>
      <c r="AR42" s="229"/>
      <c r="AS42" s="252"/>
      <c r="AT42" s="229"/>
      <c r="AU42" s="252"/>
    </row>
    <row r="43" spans="1:48" s="198" customFormat="1" ht="21" customHeight="1">
      <c r="A43" s="229"/>
      <c r="B43" s="297"/>
      <c r="C43" s="311"/>
      <c r="D43" s="320"/>
      <c r="E43" s="321"/>
      <c r="F43" s="321"/>
      <c r="G43" s="321"/>
      <c r="H43" s="321"/>
      <c r="I43" s="321"/>
      <c r="J43" s="321"/>
      <c r="K43" s="322"/>
      <c r="L43" s="320"/>
      <c r="M43" s="321"/>
      <c r="N43" s="321"/>
      <c r="O43" s="321"/>
      <c r="P43" s="321"/>
      <c r="Q43" s="321"/>
      <c r="R43" s="321"/>
      <c r="S43" s="322"/>
      <c r="T43" s="229"/>
      <c r="U43" s="229"/>
      <c r="V43" s="229"/>
      <c r="W43" s="229"/>
      <c r="X43" s="229"/>
      <c r="Y43" s="320"/>
      <c r="Z43" s="321"/>
      <c r="AA43" s="321"/>
      <c r="AB43" s="321"/>
      <c r="AC43" s="321"/>
      <c r="AD43" s="321"/>
      <c r="AE43" s="321"/>
      <c r="AF43" s="322"/>
      <c r="AG43" s="229"/>
      <c r="AH43" s="263"/>
      <c r="AJ43" s="296">
        <f>J44+R44+AE44+AK43</f>
        <v>13269591</v>
      </c>
      <c r="AK43" s="323">
        <f>500000+166091</f>
        <v>666091</v>
      </c>
      <c r="AL43" s="263"/>
      <c r="AM43" s="229"/>
      <c r="AN43" s="229"/>
      <c r="AO43" s="229"/>
      <c r="AP43" s="229"/>
      <c r="AQ43" s="229"/>
      <c r="AR43" s="229"/>
      <c r="AS43" s="252"/>
      <c r="AT43" s="229"/>
      <c r="AU43" s="252"/>
    </row>
    <row r="44" spans="1:48" s="198" customFormat="1" ht="21" customHeight="1">
      <c r="A44" s="229"/>
      <c r="B44" s="297"/>
      <c r="C44" s="229"/>
      <c r="D44" s="229"/>
      <c r="E44" s="229"/>
      <c r="F44" s="229"/>
      <c r="G44" s="229"/>
      <c r="H44" s="324"/>
      <c r="I44" s="325" t="s">
        <v>46</v>
      </c>
      <c r="J44" s="296">
        <v>1208500</v>
      </c>
      <c r="K44" s="326" t="s">
        <v>47</v>
      </c>
      <c r="L44" s="263"/>
      <c r="M44" s="263"/>
      <c r="N44" s="263"/>
      <c r="O44" s="263"/>
      <c r="P44" s="263"/>
      <c r="Q44" s="325" t="s">
        <v>48</v>
      </c>
      <c r="R44" s="296">
        <v>9486000</v>
      </c>
      <c r="S44" s="326" t="s">
        <v>47</v>
      </c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324" t="s">
        <v>49</v>
      </c>
      <c r="AE44" s="296">
        <v>1909000</v>
      </c>
      <c r="AF44" s="326" t="s">
        <v>47</v>
      </c>
      <c r="AG44" s="263"/>
      <c r="AH44" s="263"/>
      <c r="AI44" s="318" t="s">
        <v>50</v>
      </c>
      <c r="AJ44" s="296">
        <f>AJ43-AJ36-AK36</f>
        <v>-2271598.0909090899</v>
      </c>
      <c r="AK44" s="296">
        <f>AK43-AK36</f>
        <v>-158808.99999999988</v>
      </c>
      <c r="AM44" s="229"/>
      <c r="AN44" s="229"/>
      <c r="AO44" s="229"/>
      <c r="AP44" s="229"/>
      <c r="AQ44" s="252"/>
      <c r="AR44" s="229"/>
      <c r="AS44" s="252"/>
      <c r="AT44" s="229"/>
      <c r="AU44" s="229"/>
    </row>
    <row r="45" spans="1:48" s="198" customFormat="1" ht="21" customHeight="1">
      <c r="A45" s="229"/>
      <c r="B45" s="297"/>
      <c r="C45" s="229"/>
      <c r="D45" s="229"/>
      <c r="E45" s="229"/>
      <c r="F45" s="229"/>
      <c r="G45" s="229"/>
      <c r="H45" s="324"/>
      <c r="I45" s="324" t="s">
        <v>50</v>
      </c>
      <c r="J45" s="296">
        <f>J44-J36</f>
        <v>474.54545454564504</v>
      </c>
      <c r="K45" s="327">
        <v>0</v>
      </c>
      <c r="L45" s="263"/>
      <c r="M45" s="263"/>
      <c r="N45" s="263"/>
      <c r="O45" s="263"/>
      <c r="P45" s="263"/>
      <c r="Q45" s="324" t="s">
        <v>50</v>
      </c>
      <c r="R45" s="296">
        <f>R44-R36</f>
        <v>-1749027.2727272715</v>
      </c>
      <c r="S45" s="263">
        <v>1</v>
      </c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324" t="s">
        <v>50</v>
      </c>
      <c r="AE45" s="296">
        <f>AE44-AE36</f>
        <v>-364236.3636363633</v>
      </c>
      <c r="AF45" s="263">
        <f>S45</f>
        <v>1</v>
      </c>
      <c r="AG45" s="263"/>
      <c r="AH45" s="328"/>
      <c r="AI45" s="329" t="s">
        <v>51</v>
      </c>
      <c r="AJ45" s="330">
        <f>AJ44/S45</f>
        <v>-2271598.0909090899</v>
      </c>
      <c r="AL45" s="328"/>
      <c r="AM45" s="331"/>
      <c r="AN45" s="229"/>
      <c r="AO45" s="229"/>
      <c r="AP45" s="229"/>
      <c r="AQ45" s="252"/>
      <c r="AR45" s="229"/>
      <c r="AS45" s="252"/>
      <c r="AT45" s="229"/>
      <c r="AU45" s="229"/>
    </row>
    <row r="46" spans="1:48" s="198" customFormat="1" ht="25.5" customHeight="1">
      <c r="A46" s="331"/>
      <c r="B46" s="332"/>
      <c r="C46" s="331"/>
      <c r="D46" s="331"/>
      <c r="E46" s="331"/>
      <c r="F46" s="331"/>
      <c r="G46" s="331"/>
      <c r="H46" s="333"/>
      <c r="I46" s="329" t="s">
        <v>51</v>
      </c>
      <c r="J46" s="334" t="e">
        <f>J45/K45</f>
        <v>#DIV/0!</v>
      </c>
      <c r="K46" s="335">
        <f>J36/J44</f>
        <v>0.99960732688908094</v>
      </c>
      <c r="L46" s="328"/>
      <c r="M46" s="328"/>
      <c r="N46" s="328"/>
      <c r="O46" s="328"/>
      <c r="P46" s="328"/>
      <c r="Q46" s="329" t="s">
        <v>51</v>
      </c>
      <c r="R46" s="330">
        <f>R45/S45</f>
        <v>-1749027.2727272715</v>
      </c>
      <c r="S46" s="335">
        <f>R36/R44</f>
        <v>1.1843798516474038</v>
      </c>
      <c r="T46" s="328"/>
      <c r="U46" s="328"/>
      <c r="V46" s="328"/>
      <c r="W46" s="328"/>
      <c r="X46" s="328"/>
      <c r="Y46" s="328"/>
      <c r="Z46" s="328"/>
      <c r="AA46" s="328"/>
      <c r="AB46" s="328"/>
      <c r="AC46" s="328"/>
      <c r="AD46" s="329" t="s">
        <v>51</v>
      </c>
      <c r="AE46" s="334">
        <f>AE45/AF45</f>
        <v>-364236.3636363633</v>
      </c>
      <c r="AF46" s="335">
        <f>AE36/AE44</f>
        <v>1.1907995618838991</v>
      </c>
      <c r="AG46" s="328"/>
      <c r="AH46" s="229"/>
      <c r="AI46" s="229" t="s">
        <v>75</v>
      </c>
      <c r="AJ46" s="336">
        <f>(AJ36+AK36)/AJ43</f>
        <v>1.1711882522158437</v>
      </c>
      <c r="AK46" s="337">
        <f>AK36/AK43</f>
        <v>1.2384193751304249</v>
      </c>
      <c r="AL46" s="229"/>
      <c r="AM46" s="229"/>
      <c r="AN46" s="331"/>
      <c r="AO46" s="331"/>
      <c r="AP46" s="331"/>
      <c r="AQ46" s="338"/>
      <c r="AR46" s="331"/>
      <c r="AS46" s="338"/>
      <c r="AT46" s="331"/>
      <c r="AU46" s="331"/>
    </row>
    <row r="47" spans="1:48" s="198" customFormat="1" ht="15.75" customHeight="1">
      <c r="A47" s="229"/>
      <c r="B47" s="297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339"/>
      <c r="AI47" s="339"/>
      <c r="AJ47" s="339"/>
      <c r="AK47" s="339"/>
      <c r="AL47" s="339"/>
      <c r="AM47" s="339"/>
      <c r="AN47" s="229"/>
      <c r="AO47" s="229"/>
      <c r="AP47" s="229"/>
      <c r="AQ47" s="252"/>
      <c r="AR47" s="229"/>
      <c r="AS47" s="252"/>
      <c r="AT47" s="229"/>
      <c r="AU47" s="229"/>
    </row>
    <row r="48" spans="1:48" s="198" customFormat="1" ht="36" customHeight="1">
      <c r="A48" s="339"/>
      <c r="B48" s="340"/>
      <c r="C48" s="339"/>
      <c r="D48" s="339"/>
      <c r="E48" s="339"/>
      <c r="F48" s="339"/>
      <c r="G48" s="339"/>
      <c r="H48" s="339"/>
      <c r="I48" s="339"/>
      <c r="J48" s="339"/>
      <c r="K48" s="339"/>
      <c r="L48" s="341"/>
      <c r="M48" s="229"/>
      <c r="N48" s="229"/>
      <c r="O48" s="229"/>
      <c r="P48" s="229"/>
      <c r="Q48" s="229"/>
      <c r="R48" s="341"/>
      <c r="S48" s="339"/>
      <c r="T48" s="339"/>
      <c r="U48" s="339"/>
      <c r="V48" s="339"/>
      <c r="W48" s="339"/>
      <c r="X48" s="339"/>
      <c r="Y48" s="339"/>
      <c r="Z48" s="339"/>
      <c r="AA48" s="339"/>
      <c r="AB48" s="339"/>
      <c r="AC48" s="339"/>
      <c r="AD48" s="339"/>
      <c r="AE48" s="339"/>
      <c r="AF48" s="339"/>
      <c r="AG48" s="339"/>
      <c r="AH48" s="194"/>
      <c r="AI48" s="194"/>
      <c r="AJ48" s="194"/>
      <c r="AK48" s="194"/>
      <c r="AL48" s="194"/>
      <c r="AM48" s="194"/>
      <c r="AN48" s="339"/>
      <c r="AO48" s="339"/>
      <c r="AP48" s="339"/>
      <c r="AQ48" s="342"/>
      <c r="AR48" s="339"/>
      <c r="AS48" s="342"/>
      <c r="AT48" s="339"/>
      <c r="AU48" s="339"/>
    </row>
    <row r="49" spans="1:47" s="198" customFormat="1" ht="36" customHeight="1">
      <c r="A49" s="194"/>
      <c r="B49" s="343"/>
      <c r="C49" s="194"/>
      <c r="D49" s="194"/>
      <c r="E49" s="194"/>
      <c r="F49" s="194"/>
      <c r="G49" s="194"/>
      <c r="H49" s="194"/>
      <c r="I49" s="194"/>
      <c r="J49" s="194"/>
      <c r="K49" s="194"/>
      <c r="L49" s="344"/>
      <c r="M49" s="229"/>
      <c r="N49" s="229"/>
      <c r="O49" s="229"/>
      <c r="P49" s="229"/>
      <c r="Q49" s="229"/>
      <c r="R49" s="344"/>
      <c r="S49" s="344"/>
      <c r="T49" s="194"/>
      <c r="U49" s="194"/>
      <c r="V49" s="194"/>
      <c r="W49" s="194"/>
      <c r="X49" s="194"/>
      <c r="Y49" s="194"/>
      <c r="Z49" s="345"/>
      <c r="AA49" s="194"/>
      <c r="AB49" s="194"/>
      <c r="AC49" s="194"/>
      <c r="AD49" s="194"/>
      <c r="AE49" s="194"/>
      <c r="AF49" s="194"/>
      <c r="AG49" s="194"/>
      <c r="AH49" s="339"/>
      <c r="AI49" s="339"/>
      <c r="AJ49" s="339"/>
      <c r="AK49" s="339"/>
      <c r="AL49" s="339"/>
      <c r="AM49" s="339"/>
      <c r="AN49" s="194"/>
      <c r="AO49" s="194"/>
      <c r="AP49" s="194"/>
      <c r="AQ49" s="346"/>
      <c r="AR49" s="194"/>
      <c r="AS49" s="346"/>
      <c r="AT49" s="194"/>
      <c r="AU49" s="194"/>
    </row>
    <row r="50" spans="1:47" s="198" customFormat="1" ht="36" customHeight="1">
      <c r="A50" s="339"/>
      <c r="B50" s="340"/>
      <c r="C50" s="339"/>
      <c r="D50" s="339"/>
      <c r="E50" s="339"/>
      <c r="F50" s="339"/>
      <c r="G50" s="339"/>
      <c r="H50" s="339"/>
      <c r="I50" s="339"/>
      <c r="J50" s="339"/>
      <c r="K50" s="194"/>
      <c r="L50" s="344"/>
      <c r="M50" s="229"/>
      <c r="N50" s="229"/>
      <c r="O50" s="229"/>
      <c r="P50" s="229"/>
      <c r="Q50" s="229"/>
      <c r="R50" s="347"/>
      <c r="S50" s="348"/>
      <c r="T50" s="348"/>
      <c r="U50" s="348"/>
      <c r="V50" s="348"/>
      <c r="W50" s="349"/>
      <c r="X50" s="350"/>
      <c r="Y50" s="351"/>
      <c r="Z50" s="352"/>
      <c r="AA50" s="339"/>
      <c r="AB50" s="339"/>
      <c r="AC50" s="339"/>
      <c r="AD50" s="339"/>
      <c r="AE50" s="339"/>
      <c r="AF50" s="339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42"/>
      <c r="AR50" s="339"/>
      <c r="AS50" s="342"/>
      <c r="AT50" s="339"/>
      <c r="AU50" s="339"/>
    </row>
    <row r="51" spans="1:47" s="198" customFormat="1" ht="36" customHeight="1">
      <c r="A51" s="339"/>
      <c r="B51" s="340"/>
      <c r="C51" s="339"/>
      <c r="D51" s="339"/>
      <c r="E51" s="339"/>
      <c r="F51" s="339"/>
      <c r="G51" s="339"/>
      <c r="H51" s="339"/>
      <c r="I51" s="339"/>
      <c r="J51" s="339"/>
      <c r="K51" s="194"/>
      <c r="L51" s="344"/>
      <c r="M51" s="229"/>
      <c r="N51" s="229"/>
      <c r="O51" s="229"/>
      <c r="P51" s="229"/>
      <c r="Q51" s="229"/>
      <c r="R51" s="349"/>
      <c r="S51" s="348"/>
      <c r="T51" s="348"/>
      <c r="U51" s="348"/>
      <c r="V51" s="348"/>
      <c r="W51" s="349"/>
      <c r="X51" s="350"/>
      <c r="Y51" s="351"/>
      <c r="Z51" s="352"/>
      <c r="AA51" s="339"/>
      <c r="AB51" s="339"/>
      <c r="AC51" s="339"/>
      <c r="AD51" s="339"/>
      <c r="AE51" s="339"/>
      <c r="AF51" s="339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42"/>
      <c r="AR51" s="339"/>
      <c r="AS51" s="342"/>
      <c r="AT51" s="339"/>
      <c r="AU51" s="339"/>
    </row>
    <row r="52" spans="1:47" s="198" customFormat="1" ht="36" customHeight="1">
      <c r="A52" s="339"/>
      <c r="B52" s="340"/>
      <c r="C52" s="339"/>
      <c r="D52" s="339"/>
      <c r="E52" s="339"/>
      <c r="F52" s="339"/>
      <c r="G52" s="339"/>
      <c r="H52" s="339"/>
      <c r="I52" s="339"/>
      <c r="J52" s="339"/>
      <c r="K52" s="194"/>
      <c r="L52" s="344"/>
      <c r="M52" s="229"/>
      <c r="N52" s="229"/>
      <c r="O52" s="229"/>
      <c r="P52" s="229"/>
      <c r="Q52" s="229"/>
      <c r="R52" s="349"/>
      <c r="S52" s="348"/>
      <c r="T52" s="348"/>
      <c r="U52" s="348"/>
      <c r="V52" s="348"/>
      <c r="W52" s="349"/>
      <c r="X52" s="350"/>
      <c r="Y52" s="351"/>
      <c r="Z52" s="352"/>
      <c r="AA52" s="339"/>
      <c r="AB52" s="339"/>
      <c r="AC52" s="339"/>
      <c r="AD52" s="339"/>
      <c r="AE52" s="339"/>
      <c r="AF52" s="339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42"/>
      <c r="AR52" s="339"/>
      <c r="AS52" s="342"/>
      <c r="AT52" s="339"/>
      <c r="AU52" s="339"/>
    </row>
    <row r="53" spans="1:47" s="198" customFormat="1" ht="36" customHeight="1">
      <c r="A53" s="339"/>
      <c r="B53" s="340"/>
      <c r="C53" s="339"/>
      <c r="D53" s="339"/>
      <c r="E53" s="339"/>
      <c r="F53" s="339"/>
      <c r="G53" s="339"/>
      <c r="H53" s="339"/>
      <c r="I53" s="339"/>
      <c r="J53" s="339"/>
      <c r="K53" s="194"/>
      <c r="L53" s="344"/>
      <c r="M53" s="229"/>
      <c r="N53" s="229"/>
      <c r="O53" s="229"/>
      <c r="P53" s="229"/>
      <c r="Q53" s="229"/>
      <c r="R53" s="349"/>
      <c r="S53" s="348"/>
      <c r="T53" s="348"/>
      <c r="U53" s="348"/>
      <c r="V53" s="348"/>
      <c r="W53" s="349"/>
      <c r="X53" s="350"/>
      <c r="Y53" s="351"/>
      <c r="Z53" s="352"/>
      <c r="AA53" s="339"/>
      <c r="AB53" s="339"/>
      <c r="AC53" s="339"/>
      <c r="AD53" s="339"/>
      <c r="AE53" s="339"/>
      <c r="AF53" s="339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42"/>
      <c r="AR53" s="339"/>
      <c r="AS53" s="342"/>
      <c r="AT53" s="339"/>
      <c r="AU53" s="339"/>
    </row>
    <row r="54" spans="1:47" s="198" customFormat="1" ht="36" customHeight="1">
      <c r="A54" s="339"/>
      <c r="B54" s="340"/>
      <c r="C54" s="339"/>
      <c r="D54" s="339"/>
      <c r="E54" s="339"/>
      <c r="F54" s="339"/>
      <c r="G54" s="339"/>
      <c r="H54" s="339"/>
      <c r="I54" s="339"/>
      <c r="J54" s="339"/>
      <c r="K54" s="339"/>
      <c r="L54" s="341"/>
      <c r="M54" s="229"/>
      <c r="N54" s="229"/>
      <c r="O54" s="229"/>
      <c r="P54" s="229"/>
      <c r="Q54" s="229"/>
      <c r="R54" s="349"/>
      <c r="S54" s="348"/>
      <c r="T54" s="348"/>
      <c r="U54" s="348"/>
      <c r="V54" s="348"/>
      <c r="W54" s="350"/>
      <c r="X54" s="350"/>
      <c r="Y54" s="351"/>
      <c r="Z54" s="352"/>
      <c r="AA54" s="339"/>
      <c r="AB54" s="339"/>
      <c r="AC54" s="339"/>
      <c r="AD54" s="339"/>
      <c r="AE54" s="339"/>
      <c r="AF54" s="339"/>
      <c r="AG54" s="339"/>
      <c r="AH54" s="229"/>
      <c r="AI54" s="229"/>
      <c r="AJ54" s="229"/>
      <c r="AK54" s="229"/>
      <c r="AL54" s="229"/>
      <c r="AM54" s="229"/>
      <c r="AN54" s="339"/>
      <c r="AO54" s="339"/>
      <c r="AP54" s="339"/>
      <c r="AQ54" s="342"/>
      <c r="AR54" s="339"/>
      <c r="AS54" s="342"/>
      <c r="AT54" s="339"/>
      <c r="AU54" s="339"/>
    </row>
    <row r="55" spans="1:47" s="198" customFormat="1" ht="15.75" customHeight="1">
      <c r="A55" s="229"/>
      <c r="B55" s="297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351"/>
      <c r="Z55" s="351"/>
      <c r="AA55" s="229"/>
      <c r="AB55" s="229"/>
      <c r="AC55" s="229"/>
      <c r="AD55" s="229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  <c r="AP55" s="229"/>
      <c r="AQ55" s="229"/>
      <c r="AR55" s="229"/>
      <c r="AS55" s="252"/>
      <c r="AT55" s="229"/>
      <c r="AU55" s="252"/>
    </row>
    <row r="56" spans="1:47" s="198" customFormat="1" ht="15.75" customHeight="1">
      <c r="A56" s="229"/>
      <c r="B56" s="297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339"/>
      <c r="Z56" s="339"/>
      <c r="AA56" s="229"/>
      <c r="AB56" s="229"/>
      <c r="AC56" s="229"/>
      <c r="AD56" s="229"/>
      <c r="AE56" s="229"/>
      <c r="AF56" s="229"/>
      <c r="AG56" s="229"/>
      <c r="AH56" s="229"/>
      <c r="AI56" s="229"/>
      <c r="AJ56" s="229"/>
      <c r="AK56" s="229"/>
      <c r="AL56" s="229"/>
      <c r="AM56" s="229"/>
      <c r="AN56" s="229"/>
      <c r="AO56" s="229"/>
      <c r="AP56" s="229"/>
      <c r="AQ56" s="229"/>
      <c r="AR56" s="229"/>
      <c r="AS56" s="252"/>
      <c r="AT56" s="229"/>
      <c r="AU56" s="252"/>
    </row>
    <row r="57" spans="1:47" s="198" customFormat="1" ht="15.75" customHeight="1">
      <c r="A57" s="229"/>
      <c r="B57" s="297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29"/>
      <c r="AE57" s="229"/>
      <c r="AF57" s="229"/>
      <c r="AG57" s="229"/>
      <c r="AH57" s="229"/>
      <c r="AI57" s="229"/>
      <c r="AJ57" s="229"/>
      <c r="AK57" s="229"/>
      <c r="AL57" s="229"/>
      <c r="AM57" s="229"/>
      <c r="AN57" s="229"/>
      <c r="AO57" s="229"/>
      <c r="AP57" s="229"/>
      <c r="AQ57" s="229"/>
      <c r="AR57" s="229"/>
      <c r="AS57" s="252"/>
      <c r="AT57" s="229"/>
      <c r="AU57" s="252"/>
    </row>
    <row r="58" spans="1:47" s="198" customFormat="1" ht="15.75" customHeight="1">
      <c r="A58" s="229"/>
      <c r="B58" s="297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  <c r="AA58" s="229"/>
      <c r="AB58" s="229"/>
      <c r="AC58" s="229"/>
      <c r="AD58" s="229"/>
      <c r="AE58" s="229"/>
      <c r="AF58" s="229"/>
      <c r="AG58" s="229"/>
      <c r="AH58" s="229"/>
      <c r="AI58" s="229"/>
      <c r="AJ58" s="229"/>
      <c r="AK58" s="229"/>
      <c r="AL58" s="229"/>
      <c r="AM58" s="229"/>
      <c r="AN58" s="229"/>
      <c r="AO58" s="229"/>
      <c r="AP58" s="229"/>
      <c r="AQ58" s="229"/>
      <c r="AR58" s="229"/>
      <c r="AS58" s="252"/>
      <c r="AT58" s="229"/>
      <c r="AU58" s="252"/>
    </row>
    <row r="59" spans="1:47" s="198" customFormat="1" ht="15.75" customHeight="1">
      <c r="A59" s="229"/>
      <c r="B59" s="297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29"/>
      <c r="AC59" s="229"/>
      <c r="AD59" s="229"/>
      <c r="AE59" s="229"/>
      <c r="AF59" s="229"/>
      <c r="AG59" s="229"/>
      <c r="AH59" s="229"/>
      <c r="AI59" s="229"/>
      <c r="AJ59" s="229"/>
      <c r="AK59" s="229"/>
      <c r="AL59" s="229"/>
      <c r="AM59" s="229"/>
      <c r="AN59" s="229"/>
      <c r="AO59" s="229"/>
      <c r="AP59" s="229"/>
      <c r="AQ59" s="229"/>
      <c r="AR59" s="229"/>
      <c r="AS59" s="252"/>
      <c r="AT59" s="229"/>
      <c r="AU59" s="252"/>
    </row>
    <row r="60" spans="1:47" s="198" customFormat="1" ht="15.75" customHeight="1">
      <c r="A60" s="229"/>
      <c r="B60" s="297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  <c r="AA60" s="229"/>
      <c r="AB60" s="229"/>
      <c r="AC60" s="229"/>
      <c r="AD60" s="229"/>
      <c r="AE60" s="229"/>
      <c r="AF60" s="229"/>
      <c r="AG60" s="229"/>
      <c r="AH60" s="229"/>
      <c r="AI60" s="229"/>
      <c r="AJ60" s="229"/>
      <c r="AK60" s="229"/>
      <c r="AL60" s="229"/>
      <c r="AM60" s="229"/>
      <c r="AN60" s="229"/>
      <c r="AO60" s="229"/>
      <c r="AP60" s="229"/>
      <c r="AQ60" s="229"/>
      <c r="AR60" s="229"/>
      <c r="AS60" s="252"/>
      <c r="AT60" s="229"/>
      <c r="AU60" s="252"/>
    </row>
    <row r="61" spans="1:47" s="198" customFormat="1" ht="15.75" customHeight="1">
      <c r="A61" s="229"/>
      <c r="B61" s="297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  <c r="AC61" s="229"/>
      <c r="AD61" s="229"/>
      <c r="AE61" s="229"/>
      <c r="AF61" s="229"/>
      <c r="AG61" s="229"/>
      <c r="AH61" s="229"/>
      <c r="AI61" s="229"/>
      <c r="AJ61" s="229"/>
      <c r="AK61" s="229"/>
      <c r="AL61" s="229"/>
      <c r="AM61" s="229"/>
      <c r="AN61" s="229"/>
      <c r="AO61" s="229"/>
      <c r="AP61" s="229"/>
      <c r="AQ61" s="229"/>
      <c r="AR61" s="229"/>
      <c r="AS61" s="252"/>
      <c r="AT61" s="229"/>
      <c r="AU61" s="252"/>
    </row>
    <row r="62" spans="1:47" s="198" customFormat="1" ht="15.75" customHeight="1">
      <c r="A62" s="229"/>
      <c r="B62" s="297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29"/>
      <c r="AC62" s="229"/>
      <c r="AD62" s="229"/>
      <c r="AE62" s="229"/>
      <c r="AF62" s="229"/>
      <c r="AG62" s="229"/>
      <c r="AH62" s="229"/>
      <c r="AI62" s="229"/>
      <c r="AJ62" s="229"/>
      <c r="AK62" s="229"/>
      <c r="AL62" s="229"/>
      <c r="AM62" s="229"/>
      <c r="AN62" s="229"/>
      <c r="AO62" s="229"/>
      <c r="AP62" s="229"/>
      <c r="AQ62" s="229"/>
      <c r="AR62" s="229"/>
      <c r="AS62" s="252"/>
      <c r="AT62" s="229"/>
      <c r="AU62" s="252"/>
    </row>
    <row r="63" spans="1:47" s="198" customFormat="1" ht="15.75" customHeight="1">
      <c r="A63" s="229"/>
      <c r="B63" s="297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  <c r="AB63" s="229"/>
      <c r="AC63" s="229"/>
      <c r="AD63" s="229"/>
      <c r="AE63" s="229"/>
      <c r="AF63" s="229"/>
      <c r="AG63" s="229"/>
      <c r="AH63" s="229"/>
      <c r="AI63" s="229"/>
      <c r="AJ63" s="229"/>
      <c r="AK63" s="229"/>
      <c r="AL63" s="229"/>
      <c r="AM63" s="229"/>
      <c r="AN63" s="229"/>
      <c r="AO63" s="229"/>
      <c r="AP63" s="229"/>
      <c r="AQ63" s="229"/>
      <c r="AR63" s="229"/>
      <c r="AS63" s="252"/>
      <c r="AT63" s="229"/>
      <c r="AU63" s="252"/>
    </row>
    <row r="64" spans="1:47" s="198" customFormat="1" ht="15.75" customHeight="1">
      <c r="A64" s="229"/>
      <c r="B64" s="297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  <c r="AA64" s="229"/>
      <c r="AB64" s="229"/>
      <c r="AC64" s="229"/>
      <c r="AD64" s="229"/>
      <c r="AE64" s="229"/>
      <c r="AF64" s="229"/>
      <c r="AG64" s="229"/>
      <c r="AH64" s="229"/>
      <c r="AI64" s="229"/>
      <c r="AJ64" s="229"/>
      <c r="AK64" s="229"/>
      <c r="AL64" s="229"/>
      <c r="AM64" s="229"/>
      <c r="AN64" s="229"/>
      <c r="AO64" s="229"/>
      <c r="AP64" s="229"/>
      <c r="AQ64" s="229"/>
      <c r="AR64" s="229"/>
      <c r="AS64" s="252"/>
      <c r="AT64" s="229"/>
      <c r="AU64" s="252"/>
    </row>
    <row r="65" spans="1:47" s="198" customFormat="1" ht="15.75" customHeight="1">
      <c r="A65" s="229"/>
      <c r="B65" s="297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29"/>
      <c r="AC65" s="229"/>
      <c r="AD65" s="229"/>
      <c r="AE65" s="229"/>
      <c r="AF65" s="229"/>
      <c r="AG65" s="229"/>
      <c r="AH65" s="229"/>
      <c r="AI65" s="229"/>
      <c r="AJ65" s="229"/>
      <c r="AK65" s="229"/>
      <c r="AL65" s="229"/>
      <c r="AM65" s="229"/>
      <c r="AN65" s="229"/>
      <c r="AO65" s="229"/>
      <c r="AP65" s="229"/>
      <c r="AQ65" s="229"/>
      <c r="AR65" s="229"/>
      <c r="AS65" s="252"/>
      <c r="AT65" s="229"/>
      <c r="AU65" s="252"/>
    </row>
    <row r="66" spans="1:47" s="198" customFormat="1" ht="15.75" customHeight="1">
      <c r="A66" s="229"/>
      <c r="B66" s="297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  <c r="AA66" s="229"/>
      <c r="AB66" s="229"/>
      <c r="AC66" s="229"/>
      <c r="AD66" s="229"/>
      <c r="AE66" s="229"/>
      <c r="AF66" s="229"/>
      <c r="AG66" s="229"/>
      <c r="AH66" s="229"/>
      <c r="AI66" s="229"/>
      <c r="AJ66" s="229"/>
      <c r="AK66" s="229"/>
      <c r="AL66" s="229"/>
      <c r="AM66" s="229"/>
      <c r="AN66" s="229"/>
      <c r="AO66" s="229"/>
      <c r="AP66" s="229"/>
      <c r="AQ66" s="229"/>
      <c r="AR66" s="229"/>
      <c r="AS66" s="252"/>
      <c r="AT66" s="229"/>
      <c r="AU66" s="252"/>
    </row>
    <row r="67" spans="1:47" s="198" customFormat="1" ht="15.75" customHeight="1">
      <c r="A67" s="229"/>
      <c r="B67" s="297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  <c r="AA67" s="229"/>
      <c r="AB67" s="229"/>
      <c r="AC67" s="229"/>
      <c r="AD67" s="229"/>
      <c r="AE67" s="229"/>
      <c r="AF67" s="229"/>
      <c r="AG67" s="229"/>
      <c r="AH67" s="229"/>
      <c r="AI67" s="229"/>
      <c r="AJ67" s="229"/>
      <c r="AK67" s="229"/>
      <c r="AL67" s="229"/>
      <c r="AM67" s="229"/>
      <c r="AN67" s="229"/>
      <c r="AO67" s="229"/>
      <c r="AP67" s="229"/>
      <c r="AQ67" s="229"/>
      <c r="AR67" s="229"/>
      <c r="AS67" s="252"/>
      <c r="AT67" s="229"/>
      <c r="AU67" s="252"/>
    </row>
    <row r="68" spans="1:47" s="198" customFormat="1" ht="15.75" customHeight="1">
      <c r="A68" s="229"/>
      <c r="B68" s="297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  <c r="AA68" s="229"/>
      <c r="AB68" s="229"/>
      <c r="AC68" s="229"/>
      <c r="AD68" s="229"/>
      <c r="AE68" s="229"/>
      <c r="AF68" s="229"/>
      <c r="AG68" s="229"/>
      <c r="AH68" s="229"/>
      <c r="AI68" s="229"/>
      <c r="AJ68" s="229"/>
      <c r="AK68" s="229"/>
      <c r="AL68" s="229"/>
      <c r="AM68" s="229"/>
      <c r="AN68" s="229"/>
      <c r="AO68" s="229"/>
      <c r="AP68" s="229"/>
      <c r="AQ68" s="229"/>
      <c r="AR68" s="229"/>
      <c r="AS68" s="252"/>
      <c r="AT68" s="229"/>
      <c r="AU68" s="252"/>
    </row>
    <row r="69" spans="1:47" s="198" customFormat="1" ht="15.75" customHeight="1">
      <c r="A69" s="229"/>
      <c r="B69" s="297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  <c r="AA69" s="229"/>
      <c r="AB69" s="229"/>
      <c r="AC69" s="229"/>
      <c r="AD69" s="229"/>
      <c r="AE69" s="229"/>
      <c r="AF69" s="229"/>
      <c r="AG69" s="229"/>
      <c r="AH69" s="229"/>
      <c r="AI69" s="229"/>
      <c r="AJ69" s="229"/>
      <c r="AK69" s="229"/>
      <c r="AL69" s="229"/>
      <c r="AM69" s="229"/>
      <c r="AN69" s="229"/>
      <c r="AO69" s="229"/>
      <c r="AP69" s="229"/>
      <c r="AQ69" s="229"/>
      <c r="AR69" s="229"/>
      <c r="AS69" s="252"/>
      <c r="AT69" s="229"/>
      <c r="AU69" s="252"/>
    </row>
    <row r="70" spans="1:47" s="198" customFormat="1" ht="15.75" customHeight="1">
      <c r="A70" s="229"/>
      <c r="B70" s="297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229"/>
      <c r="AC70" s="229"/>
      <c r="AD70" s="229"/>
      <c r="AE70" s="229"/>
      <c r="AF70" s="229"/>
      <c r="AG70" s="229"/>
      <c r="AH70" s="229"/>
      <c r="AI70" s="229"/>
      <c r="AJ70" s="229"/>
      <c r="AK70" s="229"/>
      <c r="AL70" s="229"/>
      <c r="AM70" s="229"/>
      <c r="AN70" s="229"/>
      <c r="AO70" s="229"/>
      <c r="AP70" s="229"/>
      <c r="AQ70" s="229"/>
      <c r="AR70" s="229"/>
      <c r="AS70" s="252"/>
      <c r="AT70" s="229"/>
      <c r="AU70" s="252"/>
    </row>
    <row r="71" spans="1:47" s="198" customFormat="1" ht="15.75" customHeight="1">
      <c r="A71" s="229"/>
      <c r="B71" s="297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  <c r="AA71" s="229"/>
      <c r="AB71" s="229"/>
      <c r="AC71" s="229"/>
      <c r="AD71" s="229"/>
      <c r="AE71" s="229"/>
      <c r="AF71" s="229"/>
      <c r="AG71" s="229"/>
      <c r="AH71" s="229"/>
      <c r="AI71" s="229"/>
      <c r="AJ71" s="229"/>
      <c r="AK71" s="229"/>
      <c r="AL71" s="229"/>
      <c r="AM71" s="229"/>
      <c r="AN71" s="229"/>
      <c r="AO71" s="229"/>
      <c r="AP71" s="229"/>
      <c r="AQ71" s="229"/>
      <c r="AR71" s="229"/>
      <c r="AS71" s="252"/>
      <c r="AT71" s="229"/>
      <c r="AU71" s="252"/>
    </row>
    <row r="72" spans="1:47" s="198" customFormat="1" ht="15.75" customHeight="1">
      <c r="A72" s="229"/>
      <c r="B72" s="297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  <c r="AA72" s="229"/>
      <c r="AB72" s="229"/>
      <c r="AC72" s="229"/>
      <c r="AD72" s="229"/>
      <c r="AE72" s="229"/>
      <c r="AF72" s="229"/>
      <c r="AG72" s="229"/>
      <c r="AH72" s="229"/>
      <c r="AI72" s="229"/>
      <c r="AJ72" s="229"/>
      <c r="AK72" s="229"/>
      <c r="AL72" s="229"/>
      <c r="AM72" s="229"/>
      <c r="AN72" s="229"/>
      <c r="AO72" s="229"/>
      <c r="AP72" s="229"/>
      <c r="AQ72" s="229"/>
      <c r="AR72" s="229"/>
      <c r="AS72" s="252"/>
      <c r="AT72" s="229"/>
      <c r="AU72" s="252"/>
    </row>
    <row r="73" spans="1:47" s="198" customFormat="1" ht="15.75" customHeight="1">
      <c r="A73" s="229"/>
      <c r="B73" s="297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  <c r="AA73" s="229"/>
      <c r="AB73" s="229"/>
      <c r="AC73" s="229"/>
      <c r="AD73" s="229"/>
      <c r="AE73" s="229"/>
      <c r="AF73" s="229"/>
      <c r="AG73" s="229"/>
      <c r="AH73" s="229"/>
      <c r="AI73" s="229"/>
      <c r="AJ73" s="229"/>
      <c r="AK73" s="229"/>
      <c r="AL73" s="229"/>
      <c r="AM73" s="229"/>
      <c r="AN73" s="229"/>
      <c r="AO73" s="229"/>
      <c r="AP73" s="229"/>
      <c r="AQ73" s="229"/>
      <c r="AR73" s="229"/>
      <c r="AS73" s="252"/>
      <c r="AT73" s="229"/>
      <c r="AU73" s="252"/>
    </row>
    <row r="74" spans="1:47" s="198" customFormat="1" ht="15.75" customHeight="1">
      <c r="A74" s="229"/>
      <c r="B74" s="297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29"/>
      <c r="AC74" s="229"/>
      <c r="AD74" s="229"/>
      <c r="AE74" s="229"/>
      <c r="AF74" s="229"/>
      <c r="AG74" s="229"/>
      <c r="AH74" s="229"/>
      <c r="AI74" s="229"/>
      <c r="AJ74" s="229"/>
      <c r="AK74" s="229"/>
      <c r="AL74" s="229"/>
      <c r="AM74" s="229"/>
      <c r="AN74" s="229"/>
      <c r="AO74" s="229"/>
      <c r="AP74" s="229"/>
      <c r="AQ74" s="229"/>
      <c r="AR74" s="229"/>
      <c r="AS74" s="252"/>
      <c r="AT74" s="229"/>
      <c r="AU74" s="252"/>
    </row>
    <row r="75" spans="1:47" s="198" customFormat="1" ht="15.75" customHeight="1">
      <c r="A75" s="229"/>
      <c r="B75" s="297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  <c r="AA75" s="229"/>
      <c r="AB75" s="229"/>
      <c r="AC75" s="229"/>
      <c r="AD75" s="229"/>
      <c r="AE75" s="229"/>
      <c r="AF75" s="229"/>
      <c r="AG75" s="229"/>
      <c r="AH75" s="229"/>
      <c r="AI75" s="229"/>
      <c r="AJ75" s="229"/>
      <c r="AK75" s="229"/>
      <c r="AL75" s="229"/>
      <c r="AM75" s="229"/>
      <c r="AN75" s="229"/>
      <c r="AO75" s="229"/>
      <c r="AP75" s="229"/>
      <c r="AQ75" s="229"/>
      <c r="AR75" s="229"/>
      <c r="AS75" s="252"/>
      <c r="AT75" s="229"/>
      <c r="AU75" s="252"/>
    </row>
    <row r="76" spans="1:47" s="198" customFormat="1" ht="15.75" customHeight="1">
      <c r="A76" s="229"/>
      <c r="B76" s="297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29"/>
      <c r="AC76" s="229"/>
      <c r="AD76" s="229"/>
      <c r="AE76" s="229"/>
      <c r="AF76" s="229"/>
      <c r="AG76" s="229"/>
      <c r="AH76" s="229"/>
      <c r="AI76" s="229"/>
      <c r="AJ76" s="229"/>
      <c r="AK76" s="229"/>
      <c r="AL76" s="229"/>
      <c r="AM76" s="229"/>
      <c r="AN76" s="229"/>
      <c r="AO76" s="229"/>
      <c r="AP76" s="229"/>
      <c r="AQ76" s="229"/>
      <c r="AR76" s="229"/>
      <c r="AS76" s="252"/>
      <c r="AT76" s="229"/>
      <c r="AU76" s="252"/>
    </row>
    <row r="77" spans="1:47" s="198" customFormat="1" ht="15.75" customHeight="1">
      <c r="A77" s="229"/>
      <c r="B77" s="297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  <c r="AA77" s="229"/>
      <c r="AB77" s="229"/>
      <c r="AC77" s="229"/>
      <c r="AD77" s="229"/>
      <c r="AE77" s="229"/>
      <c r="AF77" s="229"/>
      <c r="AG77" s="229"/>
      <c r="AH77" s="229"/>
      <c r="AI77" s="229"/>
      <c r="AJ77" s="229"/>
      <c r="AK77" s="229"/>
      <c r="AL77" s="229"/>
      <c r="AM77" s="229"/>
      <c r="AN77" s="229"/>
      <c r="AO77" s="229"/>
      <c r="AP77" s="229"/>
      <c r="AQ77" s="229"/>
      <c r="AR77" s="229"/>
      <c r="AS77" s="252"/>
      <c r="AT77" s="229"/>
      <c r="AU77" s="252"/>
    </row>
    <row r="78" spans="1:47" s="198" customFormat="1" ht="15.75" customHeight="1">
      <c r="A78" s="229"/>
      <c r="B78" s="297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29"/>
      <c r="AC78" s="229"/>
      <c r="AD78" s="229"/>
      <c r="AE78" s="229"/>
      <c r="AF78" s="229"/>
      <c r="AG78" s="229"/>
      <c r="AH78" s="229"/>
      <c r="AI78" s="229"/>
      <c r="AJ78" s="229"/>
      <c r="AK78" s="229"/>
      <c r="AL78" s="229"/>
      <c r="AM78" s="229"/>
      <c r="AN78" s="229"/>
      <c r="AO78" s="229"/>
      <c r="AP78" s="229"/>
      <c r="AQ78" s="229"/>
      <c r="AR78" s="229"/>
      <c r="AS78" s="252"/>
      <c r="AT78" s="229"/>
      <c r="AU78" s="252"/>
    </row>
    <row r="79" spans="1:47" s="198" customFormat="1" ht="15.75" customHeight="1">
      <c r="A79" s="229"/>
      <c r="B79" s="297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  <c r="AA79" s="229"/>
      <c r="AB79" s="229"/>
      <c r="AC79" s="229"/>
      <c r="AD79" s="229"/>
      <c r="AE79" s="229"/>
      <c r="AF79" s="229"/>
      <c r="AG79" s="229"/>
      <c r="AH79" s="229"/>
      <c r="AI79" s="229"/>
      <c r="AJ79" s="229"/>
      <c r="AK79" s="229"/>
      <c r="AL79" s="229"/>
      <c r="AM79" s="229"/>
      <c r="AN79" s="229"/>
      <c r="AO79" s="229"/>
      <c r="AP79" s="229"/>
      <c r="AQ79" s="229"/>
      <c r="AR79" s="229"/>
      <c r="AS79" s="252"/>
      <c r="AT79" s="229"/>
      <c r="AU79" s="252"/>
    </row>
    <row r="80" spans="1:47" s="198" customFormat="1" ht="15.75" customHeight="1">
      <c r="A80" s="229"/>
      <c r="B80" s="297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  <c r="AA80" s="229"/>
      <c r="AB80" s="229"/>
      <c r="AC80" s="229"/>
      <c r="AD80" s="229"/>
      <c r="AE80" s="229"/>
      <c r="AF80" s="229"/>
      <c r="AG80" s="229"/>
      <c r="AH80" s="229"/>
      <c r="AI80" s="229"/>
      <c r="AJ80" s="229"/>
      <c r="AK80" s="229"/>
      <c r="AL80" s="229"/>
      <c r="AM80" s="229"/>
      <c r="AN80" s="229"/>
      <c r="AO80" s="229"/>
      <c r="AP80" s="229"/>
      <c r="AQ80" s="229"/>
      <c r="AR80" s="229"/>
      <c r="AS80" s="252"/>
      <c r="AT80" s="229"/>
      <c r="AU80" s="252"/>
    </row>
    <row r="81" spans="1:47" s="198" customFormat="1" ht="15.75" customHeight="1">
      <c r="A81" s="229"/>
      <c r="B81" s="297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29"/>
      <c r="AC81" s="229"/>
      <c r="AD81" s="229"/>
      <c r="AE81" s="229"/>
      <c r="AF81" s="229"/>
      <c r="AG81" s="229"/>
      <c r="AH81" s="229"/>
      <c r="AI81" s="229"/>
      <c r="AJ81" s="229"/>
      <c r="AK81" s="229"/>
      <c r="AL81" s="229"/>
      <c r="AM81" s="229"/>
      <c r="AN81" s="229"/>
      <c r="AO81" s="229"/>
      <c r="AP81" s="229"/>
      <c r="AQ81" s="229"/>
      <c r="AR81" s="229"/>
      <c r="AS81" s="252"/>
      <c r="AT81" s="229"/>
      <c r="AU81" s="252"/>
    </row>
    <row r="82" spans="1:47" s="198" customFormat="1" ht="15.75" customHeight="1">
      <c r="A82" s="229"/>
      <c r="B82" s="297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  <c r="AA82" s="229"/>
      <c r="AB82" s="229"/>
      <c r="AC82" s="229"/>
      <c r="AD82" s="229"/>
      <c r="AE82" s="229"/>
      <c r="AF82" s="229"/>
      <c r="AG82" s="229"/>
      <c r="AH82" s="229"/>
      <c r="AI82" s="229"/>
      <c r="AJ82" s="229"/>
      <c r="AK82" s="229"/>
      <c r="AL82" s="229"/>
      <c r="AM82" s="229"/>
      <c r="AN82" s="229"/>
      <c r="AO82" s="229"/>
      <c r="AP82" s="229"/>
      <c r="AQ82" s="229"/>
      <c r="AR82" s="229"/>
      <c r="AS82" s="252"/>
      <c r="AT82" s="229"/>
      <c r="AU82" s="252"/>
    </row>
    <row r="83" spans="1:47" s="198" customFormat="1" ht="15.75" customHeight="1">
      <c r="A83" s="229"/>
      <c r="B83" s="297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  <c r="AA83" s="229"/>
      <c r="AB83" s="229"/>
      <c r="AC83" s="229"/>
      <c r="AD83" s="229"/>
      <c r="AE83" s="229"/>
      <c r="AF83" s="229"/>
      <c r="AG83" s="229"/>
      <c r="AH83" s="229"/>
      <c r="AI83" s="229"/>
      <c r="AJ83" s="229"/>
      <c r="AK83" s="229"/>
      <c r="AL83" s="229"/>
      <c r="AM83" s="229"/>
      <c r="AN83" s="229"/>
      <c r="AO83" s="229"/>
      <c r="AP83" s="229"/>
      <c r="AQ83" s="229"/>
      <c r="AR83" s="229"/>
      <c r="AS83" s="252"/>
      <c r="AT83" s="229"/>
      <c r="AU83" s="252"/>
    </row>
    <row r="84" spans="1:47" s="198" customFormat="1" ht="15.75" customHeight="1">
      <c r="A84" s="229"/>
      <c r="B84" s="297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  <c r="AC84" s="229"/>
      <c r="AD84" s="229"/>
      <c r="AE84" s="229"/>
      <c r="AF84" s="229"/>
      <c r="AG84" s="229"/>
      <c r="AH84" s="229"/>
      <c r="AI84" s="229"/>
      <c r="AJ84" s="229"/>
      <c r="AK84" s="229"/>
      <c r="AL84" s="229"/>
      <c r="AM84" s="229"/>
      <c r="AN84" s="229"/>
      <c r="AO84" s="229"/>
      <c r="AP84" s="229"/>
      <c r="AQ84" s="229"/>
      <c r="AR84" s="229"/>
      <c r="AS84" s="252"/>
      <c r="AT84" s="229"/>
      <c r="AU84" s="252"/>
    </row>
    <row r="85" spans="1:47" s="198" customFormat="1" ht="15.75" customHeight="1">
      <c r="A85" s="229"/>
      <c r="B85" s="297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  <c r="AA85" s="229"/>
      <c r="AB85" s="229"/>
      <c r="AC85" s="229"/>
      <c r="AD85" s="229"/>
      <c r="AE85" s="229"/>
      <c r="AF85" s="229"/>
      <c r="AG85" s="229"/>
      <c r="AH85" s="229"/>
      <c r="AI85" s="229"/>
      <c r="AJ85" s="229"/>
      <c r="AK85" s="229"/>
      <c r="AL85" s="229"/>
      <c r="AM85" s="229"/>
      <c r="AN85" s="229"/>
      <c r="AO85" s="229"/>
      <c r="AP85" s="229"/>
      <c r="AQ85" s="229"/>
      <c r="AR85" s="229"/>
      <c r="AS85" s="252"/>
      <c r="AT85" s="229"/>
      <c r="AU85" s="252"/>
    </row>
    <row r="86" spans="1:47" s="198" customFormat="1" ht="15.75" customHeight="1">
      <c r="A86" s="229"/>
      <c r="B86" s="297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  <c r="AC86" s="229"/>
      <c r="AD86" s="229"/>
      <c r="AE86" s="229"/>
      <c r="AF86" s="229"/>
      <c r="AG86" s="229"/>
      <c r="AH86" s="229"/>
      <c r="AI86" s="229"/>
      <c r="AJ86" s="229"/>
      <c r="AK86" s="229"/>
      <c r="AL86" s="229"/>
      <c r="AM86" s="229"/>
      <c r="AN86" s="229"/>
      <c r="AO86" s="229"/>
      <c r="AP86" s="229"/>
      <c r="AQ86" s="229"/>
      <c r="AR86" s="229"/>
      <c r="AS86" s="252"/>
      <c r="AT86" s="229"/>
      <c r="AU86" s="252"/>
    </row>
    <row r="87" spans="1:47" s="198" customFormat="1" ht="15.75" customHeight="1">
      <c r="A87" s="229"/>
      <c r="B87" s="297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  <c r="AD87" s="229"/>
      <c r="AE87" s="229"/>
      <c r="AF87" s="229"/>
      <c r="AG87" s="229"/>
      <c r="AH87" s="229"/>
      <c r="AI87" s="229"/>
      <c r="AJ87" s="229"/>
      <c r="AK87" s="229"/>
      <c r="AL87" s="229"/>
      <c r="AM87" s="229"/>
      <c r="AN87" s="229"/>
      <c r="AO87" s="229"/>
      <c r="AP87" s="229"/>
      <c r="AQ87" s="229"/>
      <c r="AR87" s="229"/>
      <c r="AS87" s="252"/>
      <c r="AT87" s="229"/>
      <c r="AU87" s="252"/>
    </row>
    <row r="88" spans="1:47" s="198" customFormat="1" ht="15.75" customHeight="1">
      <c r="A88" s="229"/>
      <c r="B88" s="297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  <c r="AD88" s="229"/>
      <c r="AE88" s="229"/>
      <c r="AF88" s="229"/>
      <c r="AG88" s="229"/>
      <c r="AH88" s="229"/>
      <c r="AI88" s="229"/>
      <c r="AJ88" s="229"/>
      <c r="AK88" s="229"/>
      <c r="AL88" s="229"/>
      <c r="AM88" s="229"/>
      <c r="AN88" s="229"/>
      <c r="AO88" s="229"/>
      <c r="AP88" s="229"/>
      <c r="AQ88" s="229"/>
      <c r="AR88" s="229"/>
      <c r="AS88" s="252"/>
      <c r="AT88" s="229"/>
      <c r="AU88" s="252"/>
    </row>
    <row r="89" spans="1:47" s="198" customFormat="1" ht="15.75" customHeight="1">
      <c r="A89" s="229"/>
      <c r="B89" s="297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29"/>
      <c r="AL89" s="229"/>
      <c r="AM89" s="229"/>
      <c r="AN89" s="229"/>
      <c r="AO89" s="229"/>
      <c r="AP89" s="229"/>
      <c r="AQ89" s="229"/>
      <c r="AR89" s="229"/>
      <c r="AS89" s="252"/>
      <c r="AT89" s="229"/>
      <c r="AU89" s="252"/>
    </row>
    <row r="90" spans="1:47" s="198" customFormat="1" ht="15.75" customHeight="1">
      <c r="A90" s="229"/>
      <c r="B90" s="297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  <c r="AD90" s="229"/>
      <c r="AE90" s="229"/>
      <c r="AF90" s="229"/>
      <c r="AG90" s="229"/>
      <c r="AH90" s="229"/>
      <c r="AI90" s="229"/>
      <c r="AJ90" s="229"/>
      <c r="AK90" s="229"/>
      <c r="AL90" s="229"/>
      <c r="AM90" s="229"/>
      <c r="AN90" s="229"/>
      <c r="AO90" s="229"/>
      <c r="AP90" s="229"/>
      <c r="AQ90" s="229"/>
      <c r="AR90" s="229"/>
      <c r="AS90" s="252"/>
      <c r="AT90" s="229"/>
      <c r="AU90" s="252"/>
    </row>
    <row r="91" spans="1:47" s="198" customFormat="1" ht="15.75" customHeight="1">
      <c r="A91" s="229"/>
      <c r="B91" s="297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  <c r="AE91" s="229"/>
      <c r="AF91" s="229"/>
      <c r="AG91" s="229"/>
      <c r="AH91" s="229"/>
      <c r="AI91" s="229"/>
      <c r="AJ91" s="229"/>
      <c r="AK91" s="229"/>
      <c r="AL91" s="229"/>
      <c r="AM91" s="229"/>
      <c r="AN91" s="229"/>
      <c r="AO91" s="229"/>
      <c r="AP91" s="229"/>
      <c r="AQ91" s="229"/>
      <c r="AR91" s="229"/>
      <c r="AS91" s="252"/>
      <c r="AT91" s="229"/>
      <c r="AU91" s="252"/>
    </row>
    <row r="92" spans="1:47" s="198" customFormat="1" ht="15.75" customHeight="1">
      <c r="A92" s="229"/>
      <c r="B92" s="297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  <c r="AC92" s="229"/>
      <c r="AD92" s="229"/>
      <c r="AE92" s="229"/>
      <c r="AF92" s="229"/>
      <c r="AG92" s="229"/>
      <c r="AH92" s="229"/>
      <c r="AI92" s="229"/>
      <c r="AJ92" s="229"/>
      <c r="AK92" s="229"/>
      <c r="AL92" s="229"/>
      <c r="AM92" s="229"/>
      <c r="AN92" s="229"/>
      <c r="AO92" s="229"/>
      <c r="AP92" s="229"/>
      <c r="AQ92" s="229"/>
      <c r="AR92" s="229"/>
      <c r="AS92" s="252"/>
      <c r="AT92" s="229"/>
      <c r="AU92" s="252"/>
    </row>
    <row r="93" spans="1:47" s="198" customFormat="1" ht="15.75" customHeight="1">
      <c r="A93" s="229"/>
      <c r="B93" s="297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  <c r="AD93" s="229"/>
      <c r="AE93" s="229"/>
      <c r="AF93" s="229"/>
      <c r="AG93" s="229"/>
      <c r="AH93" s="229"/>
      <c r="AI93" s="229"/>
      <c r="AJ93" s="229"/>
      <c r="AK93" s="229"/>
      <c r="AL93" s="229"/>
      <c r="AM93" s="229"/>
      <c r="AN93" s="229"/>
      <c r="AO93" s="229"/>
      <c r="AP93" s="229"/>
      <c r="AQ93" s="229"/>
      <c r="AR93" s="229"/>
      <c r="AS93" s="252"/>
      <c r="AT93" s="229"/>
      <c r="AU93" s="252"/>
    </row>
    <row r="94" spans="1:47" s="198" customFormat="1" ht="15.75" customHeight="1">
      <c r="A94" s="229"/>
      <c r="B94" s="297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  <c r="AE94" s="229"/>
      <c r="AF94" s="229"/>
      <c r="AG94" s="229"/>
      <c r="AH94" s="229"/>
      <c r="AI94" s="229"/>
      <c r="AJ94" s="229"/>
      <c r="AK94" s="229"/>
      <c r="AL94" s="229"/>
      <c r="AM94" s="229"/>
      <c r="AN94" s="229"/>
      <c r="AO94" s="229"/>
      <c r="AP94" s="229"/>
      <c r="AQ94" s="229"/>
      <c r="AR94" s="229"/>
      <c r="AS94" s="252"/>
      <c r="AT94" s="229"/>
      <c r="AU94" s="252"/>
    </row>
    <row r="95" spans="1:47" s="198" customFormat="1" ht="15.75" customHeight="1">
      <c r="A95" s="229"/>
      <c r="B95" s="297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  <c r="AE95" s="229"/>
      <c r="AF95" s="229"/>
      <c r="AG95" s="229"/>
      <c r="AH95" s="229"/>
      <c r="AI95" s="229"/>
      <c r="AJ95" s="229"/>
      <c r="AK95" s="229"/>
      <c r="AL95" s="229"/>
      <c r="AM95" s="229"/>
      <c r="AN95" s="229"/>
      <c r="AO95" s="229"/>
      <c r="AP95" s="229"/>
      <c r="AQ95" s="229"/>
      <c r="AR95" s="229"/>
      <c r="AS95" s="252"/>
      <c r="AT95" s="229"/>
      <c r="AU95" s="252"/>
    </row>
    <row r="96" spans="1:47" s="198" customFormat="1" ht="15.75" customHeight="1">
      <c r="A96" s="229"/>
      <c r="B96" s="297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  <c r="AD96" s="229"/>
      <c r="AE96" s="229"/>
      <c r="AF96" s="229"/>
      <c r="AG96" s="229"/>
      <c r="AH96" s="229"/>
      <c r="AI96" s="229"/>
      <c r="AJ96" s="229"/>
      <c r="AK96" s="229"/>
      <c r="AL96" s="229"/>
      <c r="AM96" s="229"/>
      <c r="AN96" s="229"/>
      <c r="AO96" s="229"/>
      <c r="AP96" s="229"/>
      <c r="AQ96" s="229"/>
      <c r="AR96" s="229"/>
      <c r="AS96" s="252"/>
      <c r="AT96" s="229"/>
      <c r="AU96" s="252"/>
    </row>
    <row r="97" spans="1:47" s="198" customFormat="1" ht="15.75" customHeight="1">
      <c r="A97" s="229"/>
      <c r="B97" s="297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  <c r="AD97" s="229"/>
      <c r="AE97" s="229"/>
      <c r="AF97" s="229"/>
      <c r="AG97" s="229"/>
      <c r="AH97" s="229"/>
      <c r="AI97" s="229"/>
      <c r="AJ97" s="229"/>
      <c r="AK97" s="229"/>
      <c r="AL97" s="229"/>
      <c r="AM97" s="229"/>
      <c r="AN97" s="229"/>
      <c r="AO97" s="229"/>
      <c r="AP97" s="229"/>
      <c r="AQ97" s="229"/>
      <c r="AR97" s="229"/>
      <c r="AS97" s="252"/>
      <c r="AT97" s="229"/>
      <c r="AU97" s="252"/>
    </row>
    <row r="98" spans="1:47" s="198" customFormat="1" ht="15.75" customHeight="1">
      <c r="A98" s="229"/>
      <c r="B98" s="297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  <c r="AE98" s="229"/>
      <c r="AF98" s="229"/>
      <c r="AG98" s="229"/>
      <c r="AH98" s="229"/>
      <c r="AI98" s="229"/>
      <c r="AJ98" s="229"/>
      <c r="AK98" s="229"/>
      <c r="AL98" s="229"/>
      <c r="AM98" s="229"/>
      <c r="AN98" s="229"/>
      <c r="AO98" s="229"/>
      <c r="AP98" s="229"/>
      <c r="AQ98" s="229"/>
      <c r="AR98" s="229"/>
      <c r="AS98" s="252"/>
      <c r="AT98" s="229"/>
      <c r="AU98" s="252"/>
    </row>
    <row r="99" spans="1:47" s="198" customFormat="1" ht="15.75" customHeight="1">
      <c r="A99" s="229"/>
      <c r="B99" s="297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  <c r="AD99" s="229"/>
      <c r="AE99" s="229"/>
      <c r="AF99" s="229"/>
      <c r="AG99" s="229"/>
      <c r="AH99" s="229"/>
      <c r="AI99" s="229"/>
      <c r="AJ99" s="229"/>
      <c r="AK99" s="229"/>
      <c r="AL99" s="229"/>
      <c r="AM99" s="229"/>
      <c r="AN99" s="229"/>
      <c r="AO99" s="229"/>
      <c r="AP99" s="229"/>
      <c r="AQ99" s="229"/>
      <c r="AR99" s="229"/>
      <c r="AS99" s="252"/>
      <c r="AT99" s="229"/>
      <c r="AU99" s="252"/>
    </row>
    <row r="100" spans="1:47" s="198" customFormat="1" ht="15.75" customHeight="1">
      <c r="A100" s="229"/>
      <c r="B100" s="297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  <c r="AD100" s="229"/>
      <c r="AE100" s="229"/>
      <c r="AF100" s="229"/>
      <c r="AG100" s="229"/>
      <c r="AH100" s="229"/>
      <c r="AI100" s="229"/>
      <c r="AJ100" s="229"/>
      <c r="AK100" s="229"/>
      <c r="AL100" s="229"/>
      <c r="AM100" s="229"/>
      <c r="AN100" s="229"/>
      <c r="AO100" s="229"/>
      <c r="AP100" s="229"/>
      <c r="AQ100" s="229"/>
      <c r="AR100" s="229"/>
      <c r="AS100" s="252"/>
      <c r="AT100" s="229"/>
      <c r="AU100" s="252"/>
    </row>
    <row r="101" spans="1:47" s="198" customFormat="1" ht="15.75" customHeight="1">
      <c r="A101" s="229"/>
      <c r="B101" s="297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  <c r="AD101" s="229"/>
      <c r="AE101" s="229"/>
      <c r="AF101" s="229"/>
      <c r="AG101" s="229"/>
      <c r="AH101" s="229"/>
      <c r="AI101" s="229"/>
      <c r="AJ101" s="229"/>
      <c r="AK101" s="229"/>
      <c r="AL101" s="229"/>
      <c r="AM101" s="229"/>
      <c r="AN101" s="229"/>
      <c r="AO101" s="229"/>
      <c r="AP101" s="229"/>
      <c r="AQ101" s="229"/>
      <c r="AR101" s="229"/>
      <c r="AS101" s="252"/>
      <c r="AT101" s="229"/>
      <c r="AU101" s="252"/>
    </row>
    <row r="102" spans="1:47" s="198" customFormat="1" ht="15.75" customHeight="1">
      <c r="A102" s="229"/>
      <c r="B102" s="297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  <c r="AD102" s="229"/>
      <c r="AE102" s="229"/>
      <c r="AF102" s="229"/>
      <c r="AG102" s="229"/>
      <c r="AH102" s="229"/>
      <c r="AI102" s="229"/>
      <c r="AJ102" s="229"/>
      <c r="AK102" s="229"/>
      <c r="AL102" s="229"/>
      <c r="AM102" s="229"/>
      <c r="AN102" s="229"/>
      <c r="AO102" s="229"/>
      <c r="AP102" s="229"/>
      <c r="AQ102" s="229"/>
      <c r="AR102" s="229"/>
      <c r="AS102" s="252"/>
      <c r="AT102" s="229"/>
      <c r="AU102" s="252"/>
    </row>
    <row r="103" spans="1:47" s="198" customFormat="1" ht="15.75" customHeight="1">
      <c r="A103" s="229"/>
      <c r="B103" s="297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  <c r="AD103" s="229"/>
      <c r="AE103" s="229"/>
      <c r="AF103" s="229"/>
      <c r="AG103" s="229"/>
      <c r="AH103" s="229"/>
      <c r="AI103" s="229"/>
      <c r="AJ103" s="229"/>
      <c r="AK103" s="229"/>
      <c r="AL103" s="229"/>
      <c r="AM103" s="229"/>
      <c r="AN103" s="229"/>
      <c r="AO103" s="229"/>
      <c r="AP103" s="229"/>
      <c r="AQ103" s="229"/>
      <c r="AR103" s="229"/>
      <c r="AS103" s="252"/>
      <c r="AT103" s="229"/>
      <c r="AU103" s="252"/>
    </row>
    <row r="104" spans="1:47" s="198" customFormat="1" ht="15.75" customHeight="1">
      <c r="A104" s="229"/>
      <c r="B104" s="297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  <c r="AC104" s="229"/>
      <c r="AD104" s="229"/>
      <c r="AE104" s="229"/>
      <c r="AF104" s="229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52"/>
      <c r="AT104" s="229"/>
      <c r="AU104" s="252"/>
    </row>
    <row r="105" spans="1:47" s="198" customFormat="1" ht="15.75" customHeight="1">
      <c r="A105" s="229"/>
      <c r="B105" s="297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/>
      <c r="AD105" s="229"/>
      <c r="AE105" s="229"/>
      <c r="AF105" s="229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52"/>
      <c r="AT105" s="229"/>
      <c r="AU105" s="252"/>
    </row>
    <row r="106" spans="1:47" s="198" customFormat="1" ht="15.75" customHeight="1">
      <c r="A106" s="229"/>
      <c r="B106" s="297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  <c r="AD106" s="229"/>
      <c r="AE106" s="229"/>
      <c r="AF106" s="229"/>
      <c r="AG106" s="229"/>
      <c r="AH106" s="229"/>
      <c r="AI106" s="229"/>
      <c r="AJ106" s="229"/>
      <c r="AK106" s="229"/>
      <c r="AL106" s="229"/>
      <c r="AM106" s="229"/>
      <c r="AN106" s="229"/>
      <c r="AO106" s="229"/>
      <c r="AP106" s="229"/>
      <c r="AQ106" s="229"/>
      <c r="AR106" s="229"/>
      <c r="AS106" s="252"/>
      <c r="AT106" s="229"/>
      <c r="AU106" s="252"/>
    </row>
    <row r="107" spans="1:47" s="198" customFormat="1" ht="15.75" customHeight="1">
      <c r="A107" s="229"/>
      <c r="B107" s="297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  <c r="AD107" s="229"/>
      <c r="AE107" s="229"/>
      <c r="AF107" s="229"/>
      <c r="AG107" s="229"/>
      <c r="AH107" s="229"/>
      <c r="AI107" s="229"/>
      <c r="AJ107" s="229"/>
      <c r="AK107" s="229"/>
      <c r="AL107" s="229"/>
      <c r="AM107" s="229"/>
      <c r="AN107" s="229"/>
      <c r="AO107" s="229"/>
      <c r="AP107" s="229"/>
      <c r="AQ107" s="229"/>
      <c r="AR107" s="229"/>
      <c r="AS107" s="252"/>
      <c r="AT107" s="229"/>
      <c r="AU107" s="252"/>
    </row>
    <row r="108" spans="1:47" s="198" customFormat="1" ht="15.75" customHeight="1">
      <c r="A108" s="229"/>
      <c r="B108" s="297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  <c r="AC108" s="229"/>
      <c r="AD108" s="229"/>
      <c r="AE108" s="229"/>
      <c r="AF108" s="229"/>
      <c r="AG108" s="229"/>
      <c r="AH108" s="229"/>
      <c r="AI108" s="229"/>
      <c r="AJ108" s="229"/>
      <c r="AK108" s="229"/>
      <c r="AL108" s="229"/>
      <c r="AM108" s="229"/>
      <c r="AN108" s="229"/>
      <c r="AO108" s="229"/>
      <c r="AP108" s="229"/>
      <c r="AQ108" s="229"/>
      <c r="AR108" s="229"/>
      <c r="AS108" s="252"/>
      <c r="AT108" s="229"/>
      <c r="AU108" s="252"/>
    </row>
    <row r="109" spans="1:47" s="198" customFormat="1" ht="15.75" customHeight="1">
      <c r="A109" s="229"/>
      <c r="B109" s="297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  <c r="AA109" s="229"/>
      <c r="AB109" s="229"/>
      <c r="AC109" s="229"/>
      <c r="AD109" s="229"/>
      <c r="AE109" s="229"/>
      <c r="AF109" s="229"/>
      <c r="AG109" s="229"/>
      <c r="AH109" s="229"/>
      <c r="AI109" s="229"/>
      <c r="AJ109" s="229"/>
      <c r="AK109" s="229"/>
      <c r="AL109" s="229"/>
      <c r="AM109" s="229"/>
      <c r="AN109" s="229"/>
      <c r="AO109" s="229"/>
      <c r="AP109" s="229"/>
      <c r="AQ109" s="229"/>
      <c r="AR109" s="229"/>
      <c r="AS109" s="252"/>
      <c r="AT109" s="229"/>
      <c r="AU109" s="252"/>
    </row>
    <row r="110" spans="1:47" s="198" customFormat="1" ht="15.75" customHeight="1">
      <c r="A110" s="229"/>
      <c r="B110" s="297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29"/>
      <c r="AC110" s="229"/>
      <c r="AD110" s="229"/>
      <c r="AE110" s="229"/>
      <c r="AF110" s="229"/>
      <c r="AG110" s="229"/>
      <c r="AH110" s="229"/>
      <c r="AI110" s="229"/>
      <c r="AJ110" s="229"/>
      <c r="AK110" s="229"/>
      <c r="AL110" s="229"/>
      <c r="AM110" s="229"/>
      <c r="AN110" s="229"/>
      <c r="AO110" s="229"/>
      <c r="AP110" s="229"/>
      <c r="AQ110" s="229"/>
      <c r="AR110" s="229"/>
      <c r="AS110" s="252"/>
      <c r="AT110" s="229"/>
      <c r="AU110" s="252"/>
    </row>
    <row r="111" spans="1:47" s="198" customFormat="1" ht="15.75" customHeight="1">
      <c r="A111" s="229"/>
      <c r="B111" s="297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52"/>
      <c r="AT111" s="229"/>
      <c r="AU111" s="252"/>
    </row>
    <row r="112" spans="1:47" s="198" customFormat="1" ht="15.75" customHeight="1">
      <c r="A112" s="229"/>
      <c r="B112" s="297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  <c r="AD112" s="229"/>
      <c r="AE112" s="229"/>
      <c r="AF112" s="229"/>
      <c r="AG112" s="229"/>
      <c r="AH112" s="229"/>
      <c r="AI112" s="229"/>
      <c r="AJ112" s="229"/>
      <c r="AK112" s="229"/>
      <c r="AL112" s="229"/>
      <c r="AM112" s="229"/>
      <c r="AN112" s="229"/>
      <c r="AO112" s="229"/>
      <c r="AP112" s="229"/>
      <c r="AQ112" s="229"/>
      <c r="AR112" s="229"/>
      <c r="AS112" s="252"/>
      <c r="AT112" s="229"/>
      <c r="AU112" s="252"/>
    </row>
    <row r="113" spans="1:47" s="198" customFormat="1" ht="15.75" customHeight="1">
      <c r="A113" s="229"/>
      <c r="B113" s="297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29"/>
      <c r="AC113" s="229"/>
      <c r="AD113" s="229"/>
      <c r="AE113" s="229"/>
      <c r="AF113" s="229"/>
      <c r="AG113" s="229"/>
      <c r="AH113" s="229"/>
      <c r="AI113" s="229"/>
      <c r="AJ113" s="229"/>
      <c r="AK113" s="229"/>
      <c r="AL113" s="229"/>
      <c r="AM113" s="229"/>
      <c r="AN113" s="229"/>
      <c r="AO113" s="229"/>
      <c r="AP113" s="229"/>
      <c r="AQ113" s="229"/>
      <c r="AR113" s="229"/>
      <c r="AS113" s="252"/>
      <c r="AT113" s="229"/>
      <c r="AU113" s="252"/>
    </row>
    <row r="114" spans="1:47" s="198" customFormat="1" ht="15.75" customHeight="1">
      <c r="A114" s="229"/>
      <c r="B114" s="297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  <c r="AD114" s="229"/>
      <c r="AE114" s="229"/>
      <c r="AF114" s="229"/>
      <c r="AG114" s="229"/>
      <c r="AH114" s="229"/>
      <c r="AI114" s="229"/>
      <c r="AJ114" s="229"/>
      <c r="AK114" s="229"/>
      <c r="AL114" s="229"/>
      <c r="AM114" s="229"/>
      <c r="AN114" s="229"/>
      <c r="AO114" s="229"/>
      <c r="AP114" s="229"/>
      <c r="AQ114" s="229"/>
      <c r="AR114" s="229"/>
      <c r="AS114" s="252"/>
      <c r="AT114" s="229"/>
      <c r="AU114" s="252"/>
    </row>
    <row r="115" spans="1:47" s="198" customFormat="1" ht="15.75" customHeight="1">
      <c r="A115" s="229"/>
      <c r="B115" s="297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  <c r="AD115" s="229"/>
      <c r="AE115" s="229"/>
      <c r="AF115" s="229"/>
      <c r="AG115" s="229"/>
      <c r="AH115" s="229"/>
      <c r="AI115" s="229"/>
      <c r="AJ115" s="229"/>
      <c r="AK115" s="229"/>
      <c r="AL115" s="229"/>
      <c r="AM115" s="229"/>
      <c r="AN115" s="229"/>
      <c r="AO115" s="229"/>
      <c r="AP115" s="229"/>
      <c r="AQ115" s="229"/>
      <c r="AR115" s="229"/>
      <c r="AS115" s="252"/>
      <c r="AT115" s="229"/>
      <c r="AU115" s="252"/>
    </row>
    <row r="116" spans="1:47" s="198" customFormat="1" ht="15.75" customHeight="1">
      <c r="A116" s="229"/>
      <c r="B116" s="297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  <c r="AD116" s="229"/>
      <c r="AE116" s="229"/>
      <c r="AF116" s="229"/>
      <c r="AG116" s="229"/>
      <c r="AH116" s="229"/>
      <c r="AI116" s="229"/>
      <c r="AJ116" s="229"/>
      <c r="AK116" s="229"/>
      <c r="AL116" s="229"/>
      <c r="AM116" s="229"/>
      <c r="AN116" s="229"/>
      <c r="AO116" s="229"/>
      <c r="AP116" s="229"/>
      <c r="AQ116" s="229"/>
      <c r="AR116" s="229"/>
      <c r="AS116" s="252"/>
      <c r="AT116" s="229"/>
      <c r="AU116" s="252"/>
    </row>
    <row r="117" spans="1:47" s="198" customFormat="1" ht="15.75" customHeight="1">
      <c r="A117" s="229"/>
      <c r="B117" s="297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  <c r="AD117" s="229"/>
      <c r="AE117" s="229"/>
      <c r="AF117" s="229"/>
      <c r="AG117" s="229"/>
      <c r="AH117" s="229"/>
      <c r="AI117" s="229"/>
      <c r="AJ117" s="229"/>
      <c r="AK117" s="229"/>
      <c r="AL117" s="229"/>
      <c r="AM117" s="229"/>
      <c r="AN117" s="229"/>
      <c r="AO117" s="229"/>
      <c r="AP117" s="229"/>
      <c r="AQ117" s="229"/>
      <c r="AR117" s="229"/>
      <c r="AS117" s="252"/>
      <c r="AT117" s="229"/>
      <c r="AU117" s="252"/>
    </row>
    <row r="118" spans="1:47" s="198" customFormat="1" ht="15.75" customHeight="1">
      <c r="A118" s="229"/>
      <c r="B118" s="297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  <c r="AC118" s="229"/>
      <c r="AD118" s="229"/>
      <c r="AE118" s="229"/>
      <c r="AF118" s="229"/>
      <c r="AG118" s="229"/>
      <c r="AH118" s="229"/>
      <c r="AI118" s="229"/>
      <c r="AJ118" s="229"/>
      <c r="AK118" s="229"/>
      <c r="AL118" s="229"/>
      <c r="AM118" s="229"/>
      <c r="AN118" s="229"/>
      <c r="AO118" s="229"/>
      <c r="AP118" s="229"/>
      <c r="AQ118" s="229"/>
      <c r="AR118" s="229"/>
      <c r="AS118" s="252"/>
      <c r="AT118" s="229"/>
      <c r="AU118" s="252"/>
    </row>
    <row r="119" spans="1:47" s="198" customFormat="1" ht="15.75" customHeight="1">
      <c r="A119" s="229"/>
      <c r="B119" s="297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  <c r="AD119" s="229"/>
      <c r="AE119" s="229"/>
      <c r="AF119" s="229"/>
      <c r="AG119" s="229"/>
      <c r="AH119" s="229"/>
      <c r="AI119" s="229"/>
      <c r="AJ119" s="229"/>
      <c r="AK119" s="229"/>
      <c r="AL119" s="229"/>
      <c r="AM119" s="229"/>
      <c r="AN119" s="229"/>
      <c r="AO119" s="229"/>
      <c r="AP119" s="229"/>
      <c r="AQ119" s="229"/>
      <c r="AR119" s="229"/>
      <c r="AS119" s="252"/>
      <c r="AT119" s="229"/>
      <c r="AU119" s="252"/>
    </row>
    <row r="120" spans="1:47" s="198" customFormat="1" ht="15.75" customHeight="1">
      <c r="A120" s="229"/>
      <c r="B120" s="297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  <c r="AD120" s="229"/>
      <c r="AE120" s="229"/>
      <c r="AF120" s="229"/>
      <c r="AG120" s="229"/>
      <c r="AH120" s="229"/>
      <c r="AI120" s="229"/>
      <c r="AJ120" s="229"/>
      <c r="AK120" s="229"/>
      <c r="AL120" s="229"/>
      <c r="AM120" s="229"/>
      <c r="AN120" s="229"/>
      <c r="AO120" s="229"/>
      <c r="AP120" s="229"/>
      <c r="AQ120" s="229"/>
      <c r="AR120" s="229"/>
      <c r="AS120" s="252"/>
      <c r="AT120" s="229"/>
      <c r="AU120" s="252"/>
    </row>
    <row r="121" spans="1:47" s="198" customFormat="1" ht="15.75" customHeight="1">
      <c r="A121" s="229"/>
      <c r="B121" s="297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  <c r="AD121" s="229"/>
      <c r="AE121" s="229"/>
      <c r="AF121" s="229"/>
      <c r="AG121" s="229"/>
      <c r="AH121" s="229"/>
      <c r="AI121" s="229"/>
      <c r="AJ121" s="229"/>
      <c r="AK121" s="229"/>
      <c r="AL121" s="229"/>
      <c r="AM121" s="229"/>
      <c r="AN121" s="229"/>
      <c r="AO121" s="229"/>
      <c r="AP121" s="229"/>
      <c r="AQ121" s="229"/>
      <c r="AR121" s="229"/>
      <c r="AS121" s="252"/>
      <c r="AT121" s="229"/>
      <c r="AU121" s="252"/>
    </row>
    <row r="122" spans="1:47" s="198" customFormat="1" ht="15.75" customHeight="1">
      <c r="A122" s="229"/>
      <c r="B122" s="297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  <c r="AC122" s="229"/>
      <c r="AD122" s="229"/>
      <c r="AE122" s="229"/>
      <c r="AF122" s="229"/>
      <c r="AG122" s="229"/>
      <c r="AH122" s="229"/>
      <c r="AI122" s="229"/>
      <c r="AJ122" s="229"/>
      <c r="AK122" s="229"/>
      <c r="AL122" s="229"/>
      <c r="AM122" s="229"/>
      <c r="AN122" s="229"/>
      <c r="AO122" s="229"/>
      <c r="AP122" s="229"/>
      <c r="AQ122" s="229"/>
      <c r="AR122" s="229"/>
      <c r="AS122" s="252"/>
      <c r="AT122" s="229"/>
      <c r="AU122" s="252"/>
    </row>
    <row r="123" spans="1:47" s="198" customFormat="1" ht="15.75" customHeight="1">
      <c r="A123" s="229"/>
      <c r="B123" s="297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  <c r="AD123" s="229"/>
      <c r="AE123" s="229"/>
      <c r="AF123" s="229"/>
      <c r="AG123" s="229"/>
      <c r="AH123" s="229"/>
      <c r="AI123" s="229"/>
      <c r="AJ123" s="229"/>
      <c r="AK123" s="229"/>
      <c r="AL123" s="229"/>
      <c r="AM123" s="229"/>
      <c r="AN123" s="229"/>
      <c r="AO123" s="229"/>
      <c r="AP123" s="229"/>
      <c r="AQ123" s="229"/>
      <c r="AR123" s="229"/>
      <c r="AS123" s="252"/>
      <c r="AT123" s="229"/>
      <c r="AU123" s="252"/>
    </row>
    <row r="124" spans="1:47" s="198" customFormat="1" ht="15.75" customHeight="1">
      <c r="A124" s="229"/>
      <c r="B124" s="297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  <c r="AC124" s="229"/>
      <c r="AD124" s="229"/>
      <c r="AE124" s="229"/>
      <c r="AF124" s="229"/>
      <c r="AG124" s="229"/>
      <c r="AH124" s="229"/>
      <c r="AI124" s="229"/>
      <c r="AJ124" s="229"/>
      <c r="AK124" s="229"/>
      <c r="AL124" s="229"/>
      <c r="AM124" s="229"/>
      <c r="AN124" s="229"/>
      <c r="AO124" s="229"/>
      <c r="AP124" s="229"/>
      <c r="AQ124" s="229"/>
      <c r="AR124" s="229"/>
      <c r="AS124" s="252"/>
      <c r="AT124" s="229"/>
      <c r="AU124" s="252"/>
    </row>
    <row r="125" spans="1:47" s="198" customFormat="1" ht="15.75" customHeight="1">
      <c r="A125" s="229"/>
      <c r="B125" s="297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29"/>
      <c r="AM125" s="229"/>
      <c r="AN125" s="229"/>
      <c r="AO125" s="229"/>
      <c r="AP125" s="229"/>
      <c r="AQ125" s="229"/>
      <c r="AR125" s="229"/>
      <c r="AS125" s="252"/>
      <c r="AT125" s="229"/>
      <c r="AU125" s="252"/>
    </row>
    <row r="126" spans="1:47" s="198" customFormat="1" ht="15.75" customHeight="1">
      <c r="A126" s="229"/>
      <c r="B126" s="297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  <c r="AD126" s="229"/>
      <c r="AE126" s="229"/>
      <c r="AF126" s="229"/>
      <c r="AG126" s="229"/>
      <c r="AH126" s="229"/>
      <c r="AI126" s="229"/>
      <c r="AJ126" s="229"/>
      <c r="AK126" s="229"/>
      <c r="AL126" s="229"/>
      <c r="AM126" s="229"/>
      <c r="AN126" s="229"/>
      <c r="AO126" s="229"/>
      <c r="AP126" s="229"/>
      <c r="AQ126" s="229"/>
      <c r="AR126" s="229"/>
      <c r="AS126" s="252"/>
      <c r="AT126" s="229"/>
      <c r="AU126" s="252"/>
    </row>
    <row r="127" spans="1:47" s="198" customFormat="1" ht="15.75" customHeight="1">
      <c r="A127" s="229"/>
      <c r="B127" s="297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  <c r="AD127" s="229"/>
      <c r="AE127" s="229"/>
      <c r="AF127" s="229"/>
      <c r="AG127" s="229"/>
      <c r="AH127" s="229"/>
      <c r="AI127" s="229"/>
      <c r="AJ127" s="229"/>
      <c r="AK127" s="229"/>
      <c r="AL127" s="229"/>
      <c r="AM127" s="229"/>
      <c r="AN127" s="229"/>
      <c r="AO127" s="229"/>
      <c r="AP127" s="229"/>
      <c r="AQ127" s="229"/>
      <c r="AR127" s="229"/>
      <c r="AS127" s="252"/>
      <c r="AT127" s="229"/>
      <c r="AU127" s="252"/>
    </row>
    <row r="128" spans="1:47" s="198" customFormat="1" ht="15.75" customHeight="1">
      <c r="A128" s="229"/>
      <c r="B128" s="297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229"/>
      <c r="AC128" s="229"/>
      <c r="AD128" s="229"/>
      <c r="AE128" s="229"/>
      <c r="AF128" s="229"/>
      <c r="AG128" s="229"/>
      <c r="AH128" s="229"/>
      <c r="AI128" s="229"/>
      <c r="AJ128" s="229"/>
      <c r="AK128" s="229"/>
      <c r="AL128" s="229"/>
      <c r="AM128" s="229"/>
      <c r="AN128" s="229"/>
      <c r="AO128" s="229"/>
      <c r="AP128" s="229"/>
      <c r="AQ128" s="229"/>
      <c r="AR128" s="229"/>
      <c r="AS128" s="252"/>
      <c r="AT128" s="229"/>
      <c r="AU128" s="252"/>
    </row>
    <row r="129" spans="1:47" s="198" customFormat="1" ht="15.75" customHeight="1">
      <c r="A129" s="229"/>
      <c r="B129" s="297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  <c r="AB129" s="229"/>
      <c r="AC129" s="229"/>
      <c r="AD129" s="229"/>
      <c r="AE129" s="229"/>
      <c r="AF129" s="229"/>
      <c r="AG129" s="229"/>
      <c r="AH129" s="229"/>
      <c r="AI129" s="229"/>
      <c r="AJ129" s="229"/>
      <c r="AK129" s="229"/>
      <c r="AL129" s="229"/>
      <c r="AM129" s="229"/>
      <c r="AN129" s="229"/>
      <c r="AO129" s="229"/>
      <c r="AP129" s="229"/>
      <c r="AQ129" s="229"/>
      <c r="AR129" s="229"/>
      <c r="AS129" s="252"/>
      <c r="AT129" s="229"/>
      <c r="AU129" s="252"/>
    </row>
    <row r="130" spans="1:47" s="198" customFormat="1" ht="15.75" customHeight="1">
      <c r="A130" s="229"/>
      <c r="B130" s="297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  <c r="AA130" s="229"/>
      <c r="AB130" s="229"/>
      <c r="AC130" s="229"/>
      <c r="AD130" s="229"/>
      <c r="AE130" s="229"/>
      <c r="AF130" s="229"/>
      <c r="AG130" s="229"/>
      <c r="AH130" s="229"/>
      <c r="AI130" s="229"/>
      <c r="AJ130" s="229"/>
      <c r="AK130" s="229"/>
      <c r="AL130" s="229"/>
      <c r="AM130" s="229"/>
      <c r="AN130" s="229"/>
      <c r="AO130" s="229"/>
      <c r="AP130" s="229"/>
      <c r="AQ130" s="229"/>
      <c r="AR130" s="229"/>
      <c r="AS130" s="252"/>
      <c r="AT130" s="229"/>
      <c r="AU130" s="252"/>
    </row>
    <row r="131" spans="1:47" s="198" customFormat="1" ht="15.75" customHeight="1">
      <c r="A131" s="229"/>
      <c r="B131" s="297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  <c r="AC131" s="229"/>
      <c r="AD131" s="229"/>
      <c r="AE131" s="229"/>
      <c r="AF131" s="229"/>
      <c r="AG131" s="229"/>
      <c r="AH131" s="229"/>
      <c r="AI131" s="229"/>
      <c r="AJ131" s="229"/>
      <c r="AK131" s="229"/>
      <c r="AL131" s="229"/>
      <c r="AM131" s="229"/>
      <c r="AN131" s="229"/>
      <c r="AO131" s="229"/>
      <c r="AP131" s="229"/>
      <c r="AQ131" s="229"/>
      <c r="AR131" s="229"/>
      <c r="AS131" s="252"/>
      <c r="AT131" s="229"/>
      <c r="AU131" s="252"/>
    </row>
    <row r="132" spans="1:47" s="198" customFormat="1" ht="15.75" customHeight="1">
      <c r="A132" s="229"/>
      <c r="B132" s="297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  <c r="AA132" s="229"/>
      <c r="AB132" s="229"/>
      <c r="AC132" s="229"/>
      <c r="AD132" s="229"/>
      <c r="AE132" s="229"/>
      <c r="AF132" s="229"/>
      <c r="AG132" s="229"/>
      <c r="AH132" s="229"/>
      <c r="AI132" s="229"/>
      <c r="AJ132" s="229"/>
      <c r="AK132" s="229"/>
      <c r="AL132" s="229"/>
      <c r="AM132" s="229"/>
      <c r="AN132" s="229"/>
      <c r="AO132" s="229"/>
      <c r="AP132" s="229"/>
      <c r="AQ132" s="229"/>
      <c r="AR132" s="229"/>
      <c r="AS132" s="252"/>
      <c r="AT132" s="229"/>
      <c r="AU132" s="252"/>
    </row>
    <row r="133" spans="1:47" s="198" customFormat="1" ht="15.75" customHeight="1">
      <c r="A133" s="229"/>
      <c r="B133" s="297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  <c r="AB133" s="229"/>
      <c r="AC133" s="229"/>
      <c r="AD133" s="229"/>
      <c r="AE133" s="229"/>
      <c r="AF133" s="229"/>
      <c r="AG133" s="229"/>
      <c r="AH133" s="229"/>
      <c r="AI133" s="229"/>
      <c r="AJ133" s="229"/>
      <c r="AK133" s="229"/>
      <c r="AL133" s="229"/>
      <c r="AM133" s="229"/>
      <c r="AN133" s="229"/>
      <c r="AO133" s="229"/>
      <c r="AP133" s="229"/>
      <c r="AQ133" s="229"/>
      <c r="AR133" s="229"/>
      <c r="AS133" s="252"/>
      <c r="AT133" s="229"/>
      <c r="AU133" s="252"/>
    </row>
    <row r="134" spans="1:47" s="198" customFormat="1" ht="15.75" customHeight="1">
      <c r="A134" s="229"/>
      <c r="B134" s="297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  <c r="AB134" s="229"/>
      <c r="AC134" s="229"/>
      <c r="AD134" s="229"/>
      <c r="AE134" s="229"/>
      <c r="AF134" s="229"/>
      <c r="AG134" s="229"/>
      <c r="AH134" s="229"/>
      <c r="AI134" s="229"/>
      <c r="AJ134" s="229"/>
      <c r="AK134" s="229"/>
      <c r="AL134" s="229"/>
      <c r="AM134" s="229"/>
      <c r="AN134" s="229"/>
      <c r="AO134" s="229"/>
      <c r="AP134" s="229"/>
      <c r="AQ134" s="229"/>
      <c r="AR134" s="229"/>
      <c r="AS134" s="252"/>
      <c r="AT134" s="229"/>
      <c r="AU134" s="252"/>
    </row>
    <row r="135" spans="1:47" s="198" customFormat="1" ht="15.75" customHeight="1">
      <c r="A135" s="229"/>
      <c r="B135" s="297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  <c r="AB135" s="229"/>
      <c r="AC135" s="229"/>
      <c r="AD135" s="229"/>
      <c r="AE135" s="229"/>
      <c r="AF135" s="229"/>
      <c r="AG135" s="229"/>
      <c r="AH135" s="229"/>
      <c r="AI135" s="229"/>
      <c r="AJ135" s="229"/>
      <c r="AK135" s="229"/>
      <c r="AL135" s="229"/>
      <c r="AM135" s="229"/>
      <c r="AN135" s="229"/>
      <c r="AO135" s="229"/>
      <c r="AP135" s="229"/>
      <c r="AQ135" s="229"/>
      <c r="AR135" s="229"/>
      <c r="AS135" s="252"/>
      <c r="AT135" s="229"/>
      <c r="AU135" s="252"/>
    </row>
    <row r="136" spans="1:47" s="198" customFormat="1" ht="15.75" customHeight="1">
      <c r="A136" s="229"/>
      <c r="B136" s="297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  <c r="AB136" s="229"/>
      <c r="AC136" s="229"/>
      <c r="AD136" s="229"/>
      <c r="AE136" s="229"/>
      <c r="AF136" s="229"/>
      <c r="AG136" s="229"/>
      <c r="AH136" s="229"/>
      <c r="AI136" s="229"/>
      <c r="AJ136" s="229"/>
      <c r="AK136" s="229"/>
      <c r="AL136" s="229"/>
      <c r="AM136" s="229"/>
      <c r="AN136" s="229"/>
      <c r="AO136" s="229"/>
      <c r="AP136" s="229"/>
      <c r="AQ136" s="229"/>
      <c r="AR136" s="229"/>
      <c r="AS136" s="252"/>
      <c r="AT136" s="229"/>
      <c r="AU136" s="252"/>
    </row>
    <row r="137" spans="1:47" s="198" customFormat="1" ht="15.75" customHeight="1">
      <c r="A137" s="229"/>
      <c r="B137" s="297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  <c r="AA137" s="229"/>
      <c r="AB137" s="229"/>
      <c r="AC137" s="229"/>
      <c r="AD137" s="229"/>
      <c r="AE137" s="229"/>
      <c r="AF137" s="229"/>
      <c r="AG137" s="229"/>
      <c r="AH137" s="229"/>
      <c r="AI137" s="229"/>
      <c r="AJ137" s="229"/>
      <c r="AK137" s="229"/>
      <c r="AL137" s="229"/>
      <c r="AM137" s="229"/>
      <c r="AN137" s="229"/>
      <c r="AO137" s="229"/>
      <c r="AP137" s="229"/>
      <c r="AQ137" s="229"/>
      <c r="AR137" s="229"/>
      <c r="AS137" s="252"/>
      <c r="AT137" s="229"/>
      <c r="AU137" s="252"/>
    </row>
    <row r="138" spans="1:47" s="198" customFormat="1" ht="15.75" customHeight="1">
      <c r="A138" s="229"/>
      <c r="B138" s="297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  <c r="AB138" s="229"/>
      <c r="AC138" s="229"/>
      <c r="AD138" s="229"/>
      <c r="AE138" s="229"/>
      <c r="AF138" s="229"/>
      <c r="AG138" s="229"/>
      <c r="AH138" s="229"/>
      <c r="AI138" s="229"/>
      <c r="AJ138" s="229"/>
      <c r="AK138" s="229"/>
      <c r="AL138" s="229"/>
      <c r="AM138" s="229"/>
      <c r="AN138" s="229"/>
      <c r="AO138" s="229"/>
      <c r="AP138" s="229"/>
      <c r="AQ138" s="229"/>
      <c r="AR138" s="229"/>
      <c r="AS138" s="252"/>
      <c r="AT138" s="229"/>
      <c r="AU138" s="252"/>
    </row>
    <row r="139" spans="1:47" s="198" customFormat="1" ht="15.75" customHeight="1">
      <c r="A139" s="229"/>
      <c r="B139" s="297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  <c r="AA139" s="229"/>
      <c r="AB139" s="229"/>
      <c r="AC139" s="229"/>
      <c r="AD139" s="229"/>
      <c r="AE139" s="229"/>
      <c r="AF139" s="229"/>
      <c r="AG139" s="229"/>
      <c r="AH139" s="229"/>
      <c r="AI139" s="229"/>
      <c r="AJ139" s="229"/>
      <c r="AK139" s="229"/>
      <c r="AL139" s="229"/>
      <c r="AM139" s="229"/>
      <c r="AN139" s="229"/>
      <c r="AO139" s="229"/>
      <c r="AP139" s="229"/>
      <c r="AQ139" s="229"/>
      <c r="AR139" s="229"/>
      <c r="AS139" s="252"/>
      <c r="AT139" s="229"/>
      <c r="AU139" s="252"/>
    </row>
    <row r="140" spans="1:47" s="198" customFormat="1" ht="15.75" customHeight="1">
      <c r="A140" s="229"/>
      <c r="B140" s="297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  <c r="AB140" s="229"/>
      <c r="AC140" s="229"/>
      <c r="AD140" s="229"/>
      <c r="AE140" s="229"/>
      <c r="AF140" s="229"/>
      <c r="AG140" s="229"/>
      <c r="AH140" s="229"/>
      <c r="AI140" s="229"/>
      <c r="AJ140" s="229"/>
      <c r="AK140" s="229"/>
      <c r="AL140" s="229"/>
      <c r="AM140" s="229"/>
      <c r="AN140" s="229"/>
      <c r="AO140" s="229"/>
      <c r="AP140" s="229"/>
      <c r="AQ140" s="229"/>
      <c r="AR140" s="229"/>
      <c r="AS140" s="252"/>
      <c r="AT140" s="229"/>
      <c r="AU140" s="252"/>
    </row>
    <row r="141" spans="1:47" s="198" customFormat="1" ht="15.75" customHeight="1">
      <c r="A141" s="229"/>
      <c r="B141" s="297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  <c r="AC141" s="229"/>
      <c r="AD141" s="229"/>
      <c r="AE141" s="229"/>
      <c r="AF141" s="229"/>
      <c r="AG141" s="229"/>
      <c r="AH141" s="229"/>
      <c r="AI141" s="229"/>
      <c r="AJ141" s="229"/>
      <c r="AK141" s="229"/>
      <c r="AL141" s="229"/>
      <c r="AM141" s="229"/>
      <c r="AN141" s="229"/>
      <c r="AO141" s="229"/>
      <c r="AP141" s="229"/>
      <c r="AQ141" s="229"/>
      <c r="AR141" s="229"/>
      <c r="AS141" s="252"/>
      <c r="AT141" s="229"/>
      <c r="AU141" s="252"/>
    </row>
    <row r="142" spans="1:47" s="198" customFormat="1" ht="15.75" customHeight="1">
      <c r="A142" s="229"/>
      <c r="B142" s="297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  <c r="AB142" s="229"/>
      <c r="AC142" s="229"/>
      <c r="AD142" s="229"/>
      <c r="AE142" s="229"/>
      <c r="AF142" s="229"/>
      <c r="AG142" s="229"/>
      <c r="AH142" s="229"/>
      <c r="AI142" s="229"/>
      <c r="AJ142" s="229"/>
      <c r="AK142" s="229"/>
      <c r="AL142" s="229"/>
      <c r="AM142" s="229"/>
      <c r="AN142" s="229"/>
      <c r="AO142" s="229"/>
      <c r="AP142" s="229"/>
      <c r="AQ142" s="229"/>
      <c r="AR142" s="229"/>
      <c r="AS142" s="252"/>
      <c r="AT142" s="229"/>
      <c r="AU142" s="252"/>
    </row>
    <row r="143" spans="1:47" s="198" customFormat="1" ht="15.75" customHeight="1">
      <c r="A143" s="229"/>
      <c r="B143" s="297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  <c r="AB143" s="229"/>
      <c r="AC143" s="229"/>
      <c r="AD143" s="229"/>
      <c r="AE143" s="229"/>
      <c r="AF143" s="229"/>
      <c r="AG143" s="229"/>
      <c r="AH143" s="229"/>
      <c r="AI143" s="229"/>
      <c r="AJ143" s="229"/>
      <c r="AK143" s="229"/>
      <c r="AL143" s="229"/>
      <c r="AM143" s="229"/>
      <c r="AN143" s="229"/>
      <c r="AO143" s="229"/>
      <c r="AP143" s="229"/>
      <c r="AQ143" s="229"/>
      <c r="AR143" s="229"/>
      <c r="AS143" s="252"/>
      <c r="AT143" s="229"/>
      <c r="AU143" s="252"/>
    </row>
    <row r="144" spans="1:47" s="198" customFormat="1" ht="15.75" customHeight="1">
      <c r="A144" s="229"/>
      <c r="B144" s="297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  <c r="AB144" s="229"/>
      <c r="AC144" s="229"/>
      <c r="AD144" s="229"/>
      <c r="AE144" s="229"/>
      <c r="AF144" s="229"/>
      <c r="AG144" s="229"/>
      <c r="AH144" s="229"/>
      <c r="AI144" s="229"/>
      <c r="AJ144" s="229"/>
      <c r="AK144" s="229"/>
      <c r="AL144" s="229"/>
      <c r="AM144" s="229"/>
      <c r="AN144" s="229"/>
      <c r="AO144" s="229"/>
      <c r="AP144" s="229"/>
      <c r="AQ144" s="229"/>
      <c r="AR144" s="229"/>
      <c r="AS144" s="252"/>
      <c r="AT144" s="229"/>
      <c r="AU144" s="252"/>
    </row>
    <row r="145" spans="1:47" s="198" customFormat="1" ht="15.75" customHeight="1">
      <c r="A145" s="229"/>
      <c r="B145" s="297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  <c r="AB145" s="229"/>
      <c r="AC145" s="229"/>
      <c r="AD145" s="229"/>
      <c r="AE145" s="229"/>
      <c r="AF145" s="229"/>
      <c r="AG145" s="229"/>
      <c r="AH145" s="229"/>
      <c r="AI145" s="229"/>
      <c r="AJ145" s="229"/>
      <c r="AK145" s="229"/>
      <c r="AL145" s="229"/>
      <c r="AM145" s="229"/>
      <c r="AN145" s="229"/>
      <c r="AO145" s="229"/>
      <c r="AP145" s="229"/>
      <c r="AQ145" s="229"/>
      <c r="AR145" s="229"/>
      <c r="AS145" s="252"/>
      <c r="AT145" s="229"/>
      <c r="AU145" s="252"/>
    </row>
    <row r="146" spans="1:47" s="198" customFormat="1" ht="15.75" customHeight="1">
      <c r="A146" s="229"/>
      <c r="B146" s="297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  <c r="AB146" s="229"/>
      <c r="AC146" s="229"/>
      <c r="AD146" s="229"/>
      <c r="AE146" s="229"/>
      <c r="AF146" s="229"/>
      <c r="AG146" s="229"/>
      <c r="AH146" s="229"/>
      <c r="AI146" s="229"/>
      <c r="AJ146" s="229"/>
      <c r="AK146" s="229"/>
      <c r="AL146" s="229"/>
      <c r="AM146" s="229"/>
      <c r="AN146" s="229"/>
      <c r="AO146" s="229"/>
      <c r="AP146" s="229"/>
      <c r="AQ146" s="229"/>
      <c r="AR146" s="229"/>
      <c r="AS146" s="252"/>
      <c r="AT146" s="229"/>
      <c r="AU146" s="252"/>
    </row>
    <row r="147" spans="1:47" s="198" customFormat="1" ht="15.75" customHeight="1">
      <c r="A147" s="229"/>
      <c r="B147" s="297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  <c r="AE147" s="229"/>
      <c r="AF147" s="229"/>
      <c r="AG147" s="229"/>
      <c r="AH147" s="229"/>
      <c r="AI147" s="229"/>
      <c r="AJ147" s="229"/>
      <c r="AK147" s="229"/>
      <c r="AL147" s="229"/>
      <c r="AM147" s="229"/>
      <c r="AN147" s="229"/>
      <c r="AO147" s="229"/>
      <c r="AP147" s="229"/>
      <c r="AQ147" s="229"/>
      <c r="AR147" s="229"/>
      <c r="AS147" s="252"/>
      <c r="AT147" s="229"/>
      <c r="AU147" s="252"/>
    </row>
    <row r="148" spans="1:47" s="198" customFormat="1" ht="15.75" customHeight="1">
      <c r="A148" s="229"/>
      <c r="B148" s="297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  <c r="AC148" s="229"/>
      <c r="AD148" s="229"/>
      <c r="AE148" s="229"/>
      <c r="AF148" s="229"/>
      <c r="AG148" s="229"/>
      <c r="AH148" s="229"/>
      <c r="AI148" s="229"/>
      <c r="AJ148" s="229"/>
      <c r="AK148" s="229"/>
      <c r="AL148" s="229"/>
      <c r="AM148" s="229"/>
      <c r="AN148" s="229"/>
      <c r="AO148" s="229"/>
      <c r="AP148" s="229"/>
      <c r="AQ148" s="229"/>
      <c r="AR148" s="229"/>
      <c r="AS148" s="252"/>
      <c r="AT148" s="229"/>
      <c r="AU148" s="252"/>
    </row>
    <row r="149" spans="1:47" s="198" customFormat="1" ht="15.75" customHeight="1">
      <c r="A149" s="229"/>
      <c r="B149" s="297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  <c r="AD149" s="229"/>
      <c r="AE149" s="229"/>
      <c r="AF149" s="229"/>
      <c r="AG149" s="229"/>
      <c r="AH149" s="229"/>
      <c r="AI149" s="229"/>
      <c r="AJ149" s="229"/>
      <c r="AK149" s="229"/>
      <c r="AL149" s="229"/>
      <c r="AM149" s="229"/>
      <c r="AN149" s="229"/>
      <c r="AO149" s="229"/>
      <c r="AP149" s="229"/>
      <c r="AQ149" s="229"/>
      <c r="AR149" s="229"/>
      <c r="AS149" s="252"/>
      <c r="AT149" s="229"/>
      <c r="AU149" s="252"/>
    </row>
    <row r="150" spans="1:47" s="198" customFormat="1" ht="15.75" customHeight="1">
      <c r="A150" s="229"/>
      <c r="B150" s="297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  <c r="AD150" s="229"/>
      <c r="AE150" s="229"/>
      <c r="AF150" s="229"/>
      <c r="AG150" s="229"/>
      <c r="AH150" s="229"/>
      <c r="AI150" s="229"/>
      <c r="AJ150" s="229"/>
      <c r="AK150" s="229"/>
      <c r="AL150" s="229"/>
      <c r="AM150" s="229"/>
      <c r="AN150" s="229"/>
      <c r="AO150" s="229"/>
      <c r="AP150" s="229"/>
      <c r="AQ150" s="229"/>
      <c r="AR150" s="229"/>
      <c r="AS150" s="252"/>
      <c r="AT150" s="229"/>
      <c r="AU150" s="252"/>
    </row>
    <row r="151" spans="1:47" s="198" customFormat="1" ht="15.75" customHeight="1">
      <c r="A151" s="229"/>
      <c r="B151" s="297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  <c r="AB151" s="229"/>
      <c r="AC151" s="229"/>
      <c r="AD151" s="229"/>
      <c r="AE151" s="229"/>
      <c r="AF151" s="229"/>
      <c r="AG151" s="229"/>
      <c r="AH151" s="229"/>
      <c r="AI151" s="229"/>
      <c r="AJ151" s="229"/>
      <c r="AK151" s="229"/>
      <c r="AL151" s="229"/>
      <c r="AM151" s="229"/>
      <c r="AN151" s="229"/>
      <c r="AO151" s="229"/>
      <c r="AP151" s="229"/>
      <c r="AQ151" s="229"/>
      <c r="AR151" s="229"/>
      <c r="AS151" s="252"/>
      <c r="AT151" s="229"/>
      <c r="AU151" s="252"/>
    </row>
    <row r="152" spans="1:47" s="198" customFormat="1" ht="15.75" customHeight="1">
      <c r="A152" s="229"/>
      <c r="B152" s="297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  <c r="AB152" s="229"/>
      <c r="AC152" s="229"/>
      <c r="AD152" s="229"/>
      <c r="AE152" s="229"/>
      <c r="AF152" s="229"/>
      <c r="AG152" s="229"/>
      <c r="AH152" s="229"/>
      <c r="AI152" s="229"/>
      <c r="AJ152" s="229"/>
      <c r="AK152" s="229"/>
      <c r="AL152" s="229"/>
      <c r="AM152" s="229"/>
      <c r="AN152" s="229"/>
      <c r="AO152" s="229"/>
      <c r="AP152" s="229"/>
      <c r="AQ152" s="229"/>
      <c r="AR152" s="229"/>
      <c r="AS152" s="252"/>
      <c r="AT152" s="229"/>
      <c r="AU152" s="252"/>
    </row>
    <row r="153" spans="1:47" s="198" customFormat="1" ht="15.75" customHeight="1">
      <c r="A153" s="229"/>
      <c r="B153" s="297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  <c r="AC153" s="229"/>
      <c r="AD153" s="229"/>
      <c r="AE153" s="229"/>
      <c r="AF153" s="229"/>
      <c r="AG153" s="229"/>
      <c r="AH153" s="229"/>
      <c r="AI153" s="229"/>
      <c r="AJ153" s="229"/>
      <c r="AK153" s="229"/>
      <c r="AL153" s="229"/>
      <c r="AM153" s="229"/>
      <c r="AN153" s="229"/>
      <c r="AO153" s="229"/>
      <c r="AP153" s="229"/>
      <c r="AQ153" s="229"/>
      <c r="AR153" s="229"/>
      <c r="AS153" s="252"/>
      <c r="AT153" s="229"/>
      <c r="AU153" s="252"/>
    </row>
    <row r="154" spans="1:47" s="198" customFormat="1" ht="15.75" customHeight="1">
      <c r="A154" s="229"/>
      <c r="B154" s="297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  <c r="AD154" s="229"/>
      <c r="AE154" s="229"/>
      <c r="AF154" s="229"/>
      <c r="AG154" s="229"/>
      <c r="AH154" s="229"/>
      <c r="AI154" s="229"/>
      <c r="AJ154" s="229"/>
      <c r="AK154" s="229"/>
      <c r="AL154" s="229"/>
      <c r="AM154" s="229"/>
      <c r="AN154" s="229"/>
      <c r="AO154" s="229"/>
      <c r="AP154" s="229"/>
      <c r="AQ154" s="229"/>
      <c r="AR154" s="229"/>
      <c r="AS154" s="252"/>
      <c r="AT154" s="229"/>
      <c r="AU154" s="252"/>
    </row>
    <row r="155" spans="1:47" s="198" customFormat="1" ht="15.75" customHeight="1">
      <c r="A155" s="229"/>
      <c r="B155" s="297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  <c r="AD155" s="229"/>
      <c r="AE155" s="229"/>
      <c r="AF155" s="229"/>
      <c r="AG155" s="229"/>
      <c r="AH155" s="229"/>
      <c r="AI155" s="229"/>
      <c r="AJ155" s="229"/>
      <c r="AK155" s="229"/>
      <c r="AL155" s="229"/>
      <c r="AM155" s="229"/>
      <c r="AN155" s="229"/>
      <c r="AO155" s="229"/>
      <c r="AP155" s="229"/>
      <c r="AQ155" s="229"/>
      <c r="AR155" s="229"/>
      <c r="AS155" s="252"/>
      <c r="AT155" s="229"/>
      <c r="AU155" s="252"/>
    </row>
    <row r="156" spans="1:47" s="198" customFormat="1" ht="15.75" customHeight="1">
      <c r="A156" s="229"/>
      <c r="B156" s="297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  <c r="AD156" s="229"/>
      <c r="AE156" s="229"/>
      <c r="AF156" s="229"/>
      <c r="AG156" s="229"/>
      <c r="AH156" s="229"/>
      <c r="AI156" s="229"/>
      <c r="AJ156" s="229"/>
      <c r="AK156" s="229"/>
      <c r="AL156" s="229"/>
      <c r="AM156" s="229"/>
      <c r="AN156" s="229"/>
      <c r="AO156" s="229"/>
      <c r="AP156" s="229"/>
      <c r="AQ156" s="229"/>
      <c r="AR156" s="229"/>
      <c r="AS156" s="252"/>
      <c r="AT156" s="229"/>
      <c r="AU156" s="252"/>
    </row>
    <row r="157" spans="1:47" s="198" customFormat="1" ht="15.75" customHeight="1">
      <c r="A157" s="229"/>
      <c r="B157" s="297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  <c r="AD157" s="229"/>
      <c r="AE157" s="229"/>
      <c r="AF157" s="229"/>
      <c r="AG157" s="229"/>
      <c r="AH157" s="229"/>
      <c r="AI157" s="229"/>
      <c r="AJ157" s="229"/>
      <c r="AK157" s="229"/>
      <c r="AL157" s="229"/>
      <c r="AM157" s="229"/>
      <c r="AN157" s="229"/>
      <c r="AO157" s="229"/>
      <c r="AP157" s="229"/>
      <c r="AQ157" s="229"/>
      <c r="AR157" s="229"/>
      <c r="AS157" s="252"/>
      <c r="AT157" s="229"/>
      <c r="AU157" s="252"/>
    </row>
    <row r="158" spans="1:47" s="198" customFormat="1" ht="15.75" customHeight="1">
      <c r="A158" s="229"/>
      <c r="B158" s="297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  <c r="AD158" s="229"/>
      <c r="AE158" s="229"/>
      <c r="AF158" s="229"/>
      <c r="AG158" s="229"/>
      <c r="AH158" s="229"/>
      <c r="AI158" s="229"/>
      <c r="AJ158" s="229"/>
      <c r="AK158" s="229"/>
      <c r="AL158" s="229"/>
      <c r="AM158" s="229"/>
      <c r="AN158" s="229"/>
      <c r="AO158" s="229"/>
      <c r="AP158" s="229"/>
      <c r="AQ158" s="229"/>
      <c r="AR158" s="229"/>
      <c r="AS158" s="252"/>
      <c r="AT158" s="229"/>
      <c r="AU158" s="252"/>
    </row>
    <row r="159" spans="1:47" s="198" customFormat="1" ht="15.75" customHeight="1">
      <c r="A159" s="229"/>
      <c r="B159" s="297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  <c r="AD159" s="229"/>
      <c r="AE159" s="229"/>
      <c r="AF159" s="229"/>
      <c r="AG159" s="229"/>
      <c r="AH159" s="229"/>
      <c r="AI159" s="229"/>
      <c r="AJ159" s="229"/>
      <c r="AK159" s="229"/>
      <c r="AL159" s="229"/>
      <c r="AM159" s="229"/>
      <c r="AN159" s="229"/>
      <c r="AO159" s="229"/>
      <c r="AP159" s="229"/>
      <c r="AQ159" s="229"/>
      <c r="AR159" s="229"/>
      <c r="AS159" s="252"/>
      <c r="AT159" s="229"/>
      <c r="AU159" s="252"/>
    </row>
    <row r="160" spans="1:47" s="198" customFormat="1" ht="15.75" customHeight="1">
      <c r="A160" s="229"/>
      <c r="B160" s="297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  <c r="AD160" s="229"/>
      <c r="AE160" s="229"/>
      <c r="AF160" s="229"/>
      <c r="AG160" s="229"/>
      <c r="AH160" s="229"/>
      <c r="AI160" s="229"/>
      <c r="AJ160" s="229"/>
      <c r="AK160" s="229"/>
      <c r="AL160" s="229"/>
      <c r="AM160" s="229"/>
      <c r="AN160" s="229"/>
      <c r="AO160" s="229"/>
      <c r="AP160" s="229"/>
      <c r="AQ160" s="229"/>
      <c r="AR160" s="229"/>
      <c r="AS160" s="252"/>
      <c r="AT160" s="229"/>
      <c r="AU160" s="252"/>
    </row>
    <row r="161" spans="1:47" s="198" customFormat="1" ht="15.75" customHeight="1">
      <c r="A161" s="229"/>
      <c r="B161" s="297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  <c r="AE161" s="229"/>
      <c r="AF161" s="229"/>
      <c r="AG161" s="229"/>
      <c r="AH161" s="229"/>
      <c r="AI161" s="229"/>
      <c r="AJ161" s="229"/>
      <c r="AK161" s="229"/>
      <c r="AL161" s="229"/>
      <c r="AM161" s="229"/>
      <c r="AN161" s="229"/>
      <c r="AO161" s="229"/>
      <c r="AP161" s="229"/>
      <c r="AQ161" s="229"/>
      <c r="AR161" s="229"/>
      <c r="AS161" s="252"/>
      <c r="AT161" s="229"/>
      <c r="AU161" s="252"/>
    </row>
    <row r="162" spans="1:47" s="198" customFormat="1" ht="15.75" customHeight="1">
      <c r="A162" s="229"/>
      <c r="B162" s="297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  <c r="AC162" s="229"/>
      <c r="AD162" s="229"/>
      <c r="AE162" s="229"/>
      <c r="AF162" s="229"/>
      <c r="AG162" s="229"/>
      <c r="AH162" s="229"/>
      <c r="AI162" s="229"/>
      <c r="AJ162" s="229"/>
      <c r="AK162" s="229"/>
      <c r="AL162" s="229"/>
      <c r="AM162" s="229"/>
      <c r="AN162" s="229"/>
      <c r="AO162" s="229"/>
      <c r="AP162" s="229"/>
      <c r="AQ162" s="229"/>
      <c r="AR162" s="229"/>
      <c r="AS162" s="252"/>
      <c r="AT162" s="229"/>
      <c r="AU162" s="252"/>
    </row>
    <row r="163" spans="1:47" s="198" customFormat="1" ht="15.75" customHeight="1">
      <c r="A163" s="229"/>
      <c r="B163" s="297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  <c r="AC163" s="229"/>
      <c r="AD163" s="229"/>
      <c r="AE163" s="229"/>
      <c r="AF163" s="229"/>
      <c r="AG163" s="229"/>
      <c r="AH163" s="229"/>
      <c r="AI163" s="229"/>
      <c r="AJ163" s="229"/>
      <c r="AK163" s="229"/>
      <c r="AL163" s="229"/>
      <c r="AM163" s="229"/>
      <c r="AN163" s="229"/>
      <c r="AO163" s="229"/>
      <c r="AP163" s="229"/>
      <c r="AQ163" s="229"/>
      <c r="AR163" s="229"/>
      <c r="AS163" s="252"/>
      <c r="AT163" s="229"/>
      <c r="AU163" s="252"/>
    </row>
    <row r="164" spans="1:47" s="198" customFormat="1" ht="15.75" customHeight="1">
      <c r="A164" s="229"/>
      <c r="B164" s="297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  <c r="AC164" s="229"/>
      <c r="AD164" s="229"/>
      <c r="AE164" s="229"/>
      <c r="AF164" s="229"/>
      <c r="AG164" s="229"/>
      <c r="AH164" s="229"/>
      <c r="AI164" s="229"/>
      <c r="AJ164" s="229"/>
      <c r="AK164" s="229"/>
      <c r="AL164" s="229"/>
      <c r="AM164" s="229"/>
      <c r="AN164" s="229"/>
      <c r="AO164" s="229"/>
      <c r="AP164" s="229"/>
      <c r="AQ164" s="229"/>
      <c r="AR164" s="229"/>
      <c r="AS164" s="252"/>
      <c r="AT164" s="229"/>
      <c r="AU164" s="252"/>
    </row>
    <row r="165" spans="1:47" s="198" customFormat="1" ht="15.75" customHeight="1">
      <c r="A165" s="229"/>
      <c r="B165" s="297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  <c r="AC165" s="229"/>
      <c r="AD165" s="229"/>
      <c r="AE165" s="229"/>
      <c r="AF165" s="229"/>
      <c r="AG165" s="229"/>
      <c r="AH165" s="229"/>
      <c r="AI165" s="229"/>
      <c r="AJ165" s="229"/>
      <c r="AK165" s="229"/>
      <c r="AL165" s="229"/>
      <c r="AM165" s="229"/>
      <c r="AN165" s="229"/>
      <c r="AO165" s="229"/>
      <c r="AP165" s="229"/>
      <c r="AQ165" s="229"/>
      <c r="AR165" s="229"/>
      <c r="AS165" s="252"/>
      <c r="AT165" s="229"/>
      <c r="AU165" s="252"/>
    </row>
    <row r="166" spans="1:47" s="198" customFormat="1" ht="15.75" customHeight="1">
      <c r="A166" s="229"/>
      <c r="B166" s="297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  <c r="AC166" s="229"/>
      <c r="AD166" s="229"/>
      <c r="AE166" s="229"/>
      <c r="AF166" s="229"/>
      <c r="AG166" s="229"/>
      <c r="AH166" s="229"/>
      <c r="AI166" s="229"/>
      <c r="AJ166" s="229"/>
      <c r="AK166" s="229"/>
      <c r="AL166" s="229"/>
      <c r="AM166" s="229"/>
      <c r="AN166" s="229"/>
      <c r="AO166" s="229"/>
      <c r="AP166" s="229"/>
      <c r="AQ166" s="229"/>
      <c r="AR166" s="229"/>
      <c r="AS166" s="252"/>
      <c r="AT166" s="229"/>
      <c r="AU166" s="252"/>
    </row>
    <row r="167" spans="1:47" s="198" customFormat="1" ht="15.75" customHeight="1">
      <c r="A167" s="229"/>
      <c r="B167" s="297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  <c r="AD167" s="229"/>
      <c r="AE167" s="229"/>
      <c r="AF167" s="229"/>
      <c r="AG167" s="229"/>
      <c r="AH167" s="229"/>
      <c r="AI167" s="229"/>
      <c r="AJ167" s="229"/>
      <c r="AK167" s="229"/>
      <c r="AL167" s="229"/>
      <c r="AM167" s="229"/>
      <c r="AN167" s="229"/>
      <c r="AO167" s="229"/>
      <c r="AP167" s="229"/>
      <c r="AQ167" s="229"/>
      <c r="AR167" s="229"/>
      <c r="AS167" s="252"/>
      <c r="AT167" s="229"/>
      <c r="AU167" s="252"/>
    </row>
    <row r="168" spans="1:47" s="198" customFormat="1" ht="15.75" customHeight="1">
      <c r="A168" s="229"/>
      <c r="B168" s="297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  <c r="AD168" s="229"/>
      <c r="AE168" s="229"/>
      <c r="AF168" s="229"/>
      <c r="AG168" s="229"/>
      <c r="AH168" s="229"/>
      <c r="AI168" s="229"/>
      <c r="AJ168" s="229"/>
      <c r="AK168" s="229"/>
      <c r="AL168" s="229"/>
      <c r="AM168" s="229"/>
      <c r="AN168" s="229"/>
      <c r="AO168" s="229"/>
      <c r="AP168" s="229"/>
      <c r="AQ168" s="229"/>
      <c r="AR168" s="229"/>
      <c r="AS168" s="252"/>
      <c r="AT168" s="229"/>
      <c r="AU168" s="252"/>
    </row>
    <row r="169" spans="1:47" s="198" customFormat="1" ht="15.75" customHeight="1">
      <c r="A169" s="229"/>
      <c r="B169" s="297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  <c r="AC169" s="229"/>
      <c r="AD169" s="229"/>
      <c r="AE169" s="229"/>
      <c r="AF169" s="229"/>
      <c r="AG169" s="229"/>
      <c r="AH169" s="229"/>
      <c r="AI169" s="229"/>
      <c r="AJ169" s="229"/>
      <c r="AK169" s="229"/>
      <c r="AL169" s="229"/>
      <c r="AM169" s="229"/>
      <c r="AN169" s="229"/>
      <c r="AO169" s="229"/>
      <c r="AP169" s="229"/>
      <c r="AQ169" s="229"/>
      <c r="AR169" s="229"/>
      <c r="AS169" s="252"/>
      <c r="AT169" s="229"/>
      <c r="AU169" s="252"/>
    </row>
    <row r="170" spans="1:47" s="198" customFormat="1" ht="15.75" customHeight="1">
      <c r="A170" s="229"/>
      <c r="B170" s="297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29"/>
      <c r="AH170" s="229"/>
      <c r="AI170" s="229"/>
      <c r="AJ170" s="229"/>
      <c r="AK170" s="229"/>
      <c r="AL170" s="229"/>
      <c r="AM170" s="229"/>
      <c r="AN170" s="229"/>
      <c r="AO170" s="229"/>
      <c r="AP170" s="229"/>
      <c r="AQ170" s="229"/>
      <c r="AR170" s="229"/>
      <c r="AS170" s="252"/>
      <c r="AT170" s="229"/>
      <c r="AU170" s="252"/>
    </row>
    <row r="171" spans="1:47" s="198" customFormat="1" ht="15.75" customHeight="1">
      <c r="A171" s="229"/>
      <c r="B171" s="297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29"/>
      <c r="AH171" s="229"/>
      <c r="AI171" s="229"/>
      <c r="AJ171" s="229"/>
      <c r="AK171" s="229"/>
      <c r="AL171" s="229"/>
      <c r="AM171" s="229"/>
      <c r="AN171" s="229"/>
      <c r="AO171" s="229"/>
      <c r="AP171" s="229"/>
      <c r="AQ171" s="229"/>
      <c r="AR171" s="229"/>
      <c r="AS171" s="252"/>
      <c r="AT171" s="229"/>
      <c r="AU171" s="252"/>
    </row>
    <row r="172" spans="1:47" s="198" customFormat="1" ht="15.75" customHeight="1">
      <c r="A172" s="229"/>
      <c r="B172" s="297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29"/>
      <c r="AH172" s="229"/>
      <c r="AI172" s="229"/>
      <c r="AJ172" s="229"/>
      <c r="AK172" s="229"/>
      <c r="AL172" s="229"/>
      <c r="AM172" s="229"/>
      <c r="AN172" s="229"/>
      <c r="AO172" s="229"/>
      <c r="AP172" s="229"/>
      <c r="AQ172" s="229"/>
      <c r="AR172" s="229"/>
      <c r="AS172" s="252"/>
      <c r="AT172" s="229"/>
      <c r="AU172" s="252"/>
    </row>
    <row r="173" spans="1:47" s="198" customFormat="1" ht="15.75" customHeight="1">
      <c r="A173" s="229"/>
      <c r="B173" s="297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29"/>
      <c r="AH173" s="229"/>
      <c r="AI173" s="229"/>
      <c r="AJ173" s="229"/>
      <c r="AK173" s="229"/>
      <c r="AL173" s="229"/>
      <c r="AM173" s="229"/>
      <c r="AN173" s="229"/>
      <c r="AO173" s="229"/>
      <c r="AP173" s="229"/>
      <c r="AQ173" s="229"/>
      <c r="AR173" s="229"/>
      <c r="AS173" s="252"/>
      <c r="AT173" s="229"/>
      <c r="AU173" s="252"/>
    </row>
    <row r="174" spans="1:47" s="198" customFormat="1" ht="15.75" customHeight="1">
      <c r="A174" s="229"/>
      <c r="B174" s="297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29"/>
      <c r="AH174" s="229"/>
      <c r="AI174" s="229"/>
      <c r="AJ174" s="229"/>
      <c r="AK174" s="229"/>
      <c r="AL174" s="229"/>
      <c r="AM174" s="229"/>
      <c r="AN174" s="229"/>
      <c r="AO174" s="229"/>
      <c r="AP174" s="229"/>
      <c r="AQ174" s="229"/>
      <c r="AR174" s="229"/>
      <c r="AS174" s="252"/>
      <c r="AT174" s="229"/>
      <c r="AU174" s="252"/>
    </row>
    <row r="175" spans="1:47" s="198" customFormat="1" ht="15.75" customHeight="1">
      <c r="A175" s="229"/>
      <c r="B175" s="297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29"/>
      <c r="AH175" s="229"/>
      <c r="AI175" s="229"/>
      <c r="AJ175" s="229"/>
      <c r="AK175" s="229"/>
      <c r="AL175" s="229"/>
      <c r="AM175" s="229"/>
      <c r="AN175" s="229"/>
      <c r="AO175" s="229"/>
      <c r="AP175" s="229"/>
      <c r="AQ175" s="229"/>
      <c r="AR175" s="229"/>
      <c r="AS175" s="252"/>
      <c r="AT175" s="229"/>
      <c r="AU175" s="252"/>
    </row>
    <row r="176" spans="1:47" s="198" customFormat="1" ht="15.75" customHeight="1">
      <c r="A176" s="229"/>
      <c r="B176" s="297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29"/>
      <c r="AH176" s="229"/>
      <c r="AI176" s="229"/>
      <c r="AJ176" s="229"/>
      <c r="AK176" s="229"/>
      <c r="AL176" s="229"/>
      <c r="AM176" s="229"/>
      <c r="AN176" s="229"/>
      <c r="AO176" s="229"/>
      <c r="AP176" s="229"/>
      <c r="AQ176" s="229"/>
      <c r="AR176" s="229"/>
      <c r="AS176" s="252"/>
      <c r="AT176" s="229"/>
      <c r="AU176" s="252"/>
    </row>
    <row r="177" spans="1:47" s="198" customFormat="1" ht="15.75" customHeight="1">
      <c r="A177" s="229"/>
      <c r="B177" s="297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29"/>
      <c r="AH177" s="229"/>
      <c r="AI177" s="229"/>
      <c r="AJ177" s="229"/>
      <c r="AK177" s="229"/>
      <c r="AL177" s="229"/>
      <c r="AM177" s="229"/>
      <c r="AN177" s="229"/>
      <c r="AO177" s="229"/>
      <c r="AP177" s="229"/>
      <c r="AQ177" s="229"/>
      <c r="AR177" s="229"/>
      <c r="AS177" s="252"/>
      <c r="AT177" s="229"/>
      <c r="AU177" s="252"/>
    </row>
    <row r="178" spans="1:47" s="198" customFormat="1" ht="15.75" customHeight="1">
      <c r="A178" s="229"/>
      <c r="B178" s="297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  <c r="AC178" s="229"/>
      <c r="AD178" s="229"/>
      <c r="AE178" s="229"/>
      <c r="AF178" s="229"/>
      <c r="AG178" s="229"/>
      <c r="AH178" s="229"/>
      <c r="AI178" s="229"/>
      <c r="AJ178" s="229"/>
      <c r="AK178" s="229"/>
      <c r="AL178" s="229"/>
      <c r="AM178" s="229"/>
      <c r="AN178" s="229"/>
      <c r="AO178" s="229"/>
      <c r="AP178" s="229"/>
      <c r="AQ178" s="229"/>
      <c r="AR178" s="229"/>
      <c r="AS178" s="252"/>
      <c r="AT178" s="229"/>
      <c r="AU178" s="252"/>
    </row>
    <row r="179" spans="1:47" s="198" customFormat="1" ht="15.75" customHeight="1">
      <c r="A179" s="229"/>
      <c r="B179" s="297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  <c r="AC179" s="229"/>
      <c r="AD179" s="229"/>
      <c r="AE179" s="229"/>
      <c r="AF179" s="229"/>
      <c r="AG179" s="229"/>
      <c r="AH179" s="229"/>
      <c r="AI179" s="229"/>
      <c r="AJ179" s="229"/>
      <c r="AK179" s="229"/>
      <c r="AL179" s="229"/>
      <c r="AM179" s="229"/>
      <c r="AN179" s="229"/>
      <c r="AO179" s="229"/>
      <c r="AP179" s="229"/>
      <c r="AQ179" s="229"/>
      <c r="AR179" s="229"/>
      <c r="AS179" s="252"/>
      <c r="AT179" s="229"/>
      <c r="AU179" s="252"/>
    </row>
    <row r="180" spans="1:47" s="198" customFormat="1" ht="15.75" customHeight="1">
      <c r="A180" s="229"/>
      <c r="B180" s="297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  <c r="AC180" s="229"/>
      <c r="AD180" s="229"/>
      <c r="AE180" s="229"/>
      <c r="AF180" s="229"/>
      <c r="AG180" s="229"/>
      <c r="AH180" s="229"/>
      <c r="AI180" s="229"/>
      <c r="AJ180" s="229"/>
      <c r="AK180" s="229"/>
      <c r="AL180" s="229"/>
      <c r="AM180" s="229"/>
      <c r="AN180" s="229"/>
      <c r="AO180" s="229"/>
      <c r="AP180" s="229"/>
      <c r="AQ180" s="229"/>
      <c r="AR180" s="229"/>
      <c r="AS180" s="252"/>
      <c r="AT180" s="229"/>
      <c r="AU180" s="252"/>
    </row>
    <row r="181" spans="1:47" s="198" customFormat="1" ht="15.75" customHeight="1">
      <c r="A181" s="229"/>
      <c r="B181" s="297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  <c r="AC181" s="229"/>
      <c r="AD181" s="229"/>
      <c r="AE181" s="229"/>
      <c r="AF181" s="229"/>
      <c r="AG181" s="229"/>
      <c r="AH181" s="229"/>
      <c r="AI181" s="229"/>
      <c r="AJ181" s="229"/>
      <c r="AK181" s="229"/>
      <c r="AL181" s="229"/>
      <c r="AM181" s="229"/>
      <c r="AN181" s="229"/>
      <c r="AO181" s="229"/>
      <c r="AP181" s="229"/>
      <c r="AQ181" s="229"/>
      <c r="AR181" s="229"/>
      <c r="AS181" s="252"/>
      <c r="AT181" s="229"/>
      <c r="AU181" s="252"/>
    </row>
    <row r="182" spans="1:47" s="198" customFormat="1" ht="15.75" customHeight="1">
      <c r="A182" s="229"/>
      <c r="B182" s="297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  <c r="AC182" s="229"/>
      <c r="AD182" s="229"/>
      <c r="AE182" s="229"/>
      <c r="AF182" s="229"/>
      <c r="AG182" s="229"/>
      <c r="AH182" s="229"/>
      <c r="AI182" s="229"/>
      <c r="AJ182" s="229"/>
      <c r="AK182" s="229"/>
      <c r="AL182" s="229"/>
      <c r="AM182" s="229"/>
      <c r="AN182" s="229"/>
      <c r="AO182" s="229"/>
      <c r="AP182" s="229"/>
      <c r="AQ182" s="229"/>
      <c r="AR182" s="229"/>
      <c r="AS182" s="252"/>
      <c r="AT182" s="229"/>
      <c r="AU182" s="252"/>
    </row>
    <row r="183" spans="1:47" s="198" customFormat="1" ht="15.75" customHeight="1">
      <c r="A183" s="229"/>
      <c r="B183" s="297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  <c r="AD183" s="229"/>
      <c r="AE183" s="229"/>
      <c r="AF183" s="229"/>
      <c r="AG183" s="229"/>
      <c r="AH183" s="229"/>
      <c r="AI183" s="229"/>
      <c r="AJ183" s="229"/>
      <c r="AK183" s="229"/>
      <c r="AL183" s="229"/>
      <c r="AM183" s="229"/>
      <c r="AN183" s="229"/>
      <c r="AO183" s="229"/>
      <c r="AP183" s="229"/>
      <c r="AQ183" s="229"/>
      <c r="AR183" s="229"/>
      <c r="AS183" s="252"/>
      <c r="AT183" s="229"/>
      <c r="AU183" s="252"/>
    </row>
    <row r="184" spans="1:47" s="198" customFormat="1" ht="15.75" customHeight="1">
      <c r="A184" s="229"/>
      <c r="B184" s="297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  <c r="AD184" s="229"/>
      <c r="AE184" s="229"/>
      <c r="AF184" s="229"/>
      <c r="AG184" s="229"/>
      <c r="AH184" s="229"/>
      <c r="AI184" s="229"/>
      <c r="AJ184" s="229"/>
      <c r="AK184" s="229"/>
      <c r="AL184" s="229"/>
      <c r="AM184" s="229"/>
      <c r="AN184" s="229"/>
      <c r="AO184" s="229"/>
      <c r="AP184" s="229"/>
      <c r="AQ184" s="229"/>
      <c r="AR184" s="229"/>
      <c r="AS184" s="252"/>
      <c r="AT184" s="229"/>
      <c r="AU184" s="252"/>
    </row>
    <row r="185" spans="1:47" s="198" customFormat="1" ht="15.75" customHeight="1">
      <c r="A185" s="229"/>
      <c r="B185" s="297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  <c r="AD185" s="229"/>
      <c r="AE185" s="229"/>
      <c r="AF185" s="229"/>
      <c r="AG185" s="229"/>
      <c r="AH185" s="229"/>
      <c r="AI185" s="229"/>
      <c r="AJ185" s="229"/>
      <c r="AK185" s="229"/>
      <c r="AL185" s="229"/>
      <c r="AM185" s="229"/>
      <c r="AN185" s="229"/>
      <c r="AO185" s="229"/>
      <c r="AP185" s="229"/>
      <c r="AQ185" s="229"/>
      <c r="AR185" s="229"/>
      <c r="AS185" s="252"/>
      <c r="AT185" s="229"/>
      <c r="AU185" s="252"/>
    </row>
    <row r="186" spans="1:47" s="198" customFormat="1" ht="15.75" customHeight="1">
      <c r="A186" s="229"/>
      <c r="B186" s="297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  <c r="AC186" s="229"/>
      <c r="AD186" s="229"/>
      <c r="AE186" s="229"/>
      <c r="AF186" s="229"/>
      <c r="AG186" s="229"/>
      <c r="AH186" s="229"/>
      <c r="AI186" s="229"/>
      <c r="AJ186" s="229"/>
      <c r="AK186" s="229"/>
      <c r="AL186" s="229"/>
      <c r="AM186" s="229"/>
      <c r="AN186" s="229"/>
      <c r="AO186" s="229"/>
      <c r="AP186" s="229"/>
      <c r="AQ186" s="229"/>
      <c r="AR186" s="229"/>
      <c r="AS186" s="252"/>
      <c r="AT186" s="229"/>
      <c r="AU186" s="252"/>
    </row>
    <row r="187" spans="1:47" s="198" customFormat="1" ht="15.75" customHeight="1">
      <c r="A187" s="229"/>
      <c r="B187" s="297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  <c r="AC187" s="229"/>
      <c r="AD187" s="229"/>
      <c r="AE187" s="229"/>
      <c r="AF187" s="229"/>
      <c r="AG187" s="229"/>
      <c r="AH187" s="229"/>
      <c r="AI187" s="229"/>
      <c r="AJ187" s="229"/>
      <c r="AK187" s="229"/>
      <c r="AL187" s="229"/>
      <c r="AM187" s="229"/>
      <c r="AN187" s="229"/>
      <c r="AO187" s="229"/>
      <c r="AP187" s="229"/>
      <c r="AQ187" s="229"/>
      <c r="AR187" s="229"/>
      <c r="AS187" s="252"/>
      <c r="AT187" s="229"/>
      <c r="AU187" s="252"/>
    </row>
    <row r="188" spans="1:47" s="198" customFormat="1" ht="15.75" customHeight="1">
      <c r="A188" s="229"/>
      <c r="B188" s="297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  <c r="AC188" s="229"/>
      <c r="AD188" s="229"/>
      <c r="AE188" s="229"/>
      <c r="AF188" s="229"/>
      <c r="AG188" s="229"/>
      <c r="AH188" s="229"/>
      <c r="AI188" s="229"/>
      <c r="AJ188" s="229"/>
      <c r="AK188" s="229"/>
      <c r="AL188" s="229"/>
      <c r="AM188" s="229"/>
      <c r="AN188" s="229"/>
      <c r="AO188" s="229"/>
      <c r="AP188" s="229"/>
      <c r="AQ188" s="229"/>
      <c r="AR188" s="229"/>
      <c r="AS188" s="252"/>
      <c r="AT188" s="229"/>
      <c r="AU188" s="252"/>
    </row>
    <row r="189" spans="1:47" s="198" customFormat="1" ht="15.75" customHeight="1">
      <c r="A189" s="229"/>
      <c r="B189" s="297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  <c r="AC189" s="229"/>
      <c r="AD189" s="229"/>
      <c r="AE189" s="229"/>
      <c r="AF189" s="229"/>
      <c r="AG189" s="229"/>
      <c r="AH189" s="229"/>
      <c r="AI189" s="229"/>
      <c r="AJ189" s="229"/>
      <c r="AK189" s="229"/>
      <c r="AL189" s="229"/>
      <c r="AM189" s="229"/>
      <c r="AN189" s="229"/>
      <c r="AO189" s="229"/>
      <c r="AP189" s="229"/>
      <c r="AQ189" s="229"/>
      <c r="AR189" s="229"/>
      <c r="AS189" s="252"/>
      <c r="AT189" s="229"/>
      <c r="AU189" s="252"/>
    </row>
    <row r="190" spans="1:47" s="198" customFormat="1" ht="15.75" customHeight="1">
      <c r="A190" s="229"/>
      <c r="B190" s="297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  <c r="AD190" s="229"/>
      <c r="AE190" s="229"/>
      <c r="AF190" s="229"/>
      <c r="AG190" s="229"/>
      <c r="AH190" s="229"/>
      <c r="AI190" s="229"/>
      <c r="AJ190" s="229"/>
      <c r="AK190" s="229"/>
      <c r="AL190" s="229"/>
      <c r="AM190" s="229"/>
      <c r="AN190" s="229"/>
      <c r="AO190" s="229"/>
      <c r="AP190" s="229"/>
      <c r="AQ190" s="229"/>
      <c r="AR190" s="229"/>
      <c r="AS190" s="252"/>
      <c r="AT190" s="229"/>
      <c r="AU190" s="252"/>
    </row>
    <row r="191" spans="1:47" s="198" customFormat="1" ht="15.75" customHeight="1">
      <c r="A191" s="229"/>
      <c r="B191" s="297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  <c r="AD191" s="229"/>
      <c r="AE191" s="229"/>
      <c r="AF191" s="229"/>
      <c r="AG191" s="229"/>
      <c r="AH191" s="229"/>
      <c r="AI191" s="229"/>
      <c r="AJ191" s="229"/>
      <c r="AK191" s="229"/>
      <c r="AL191" s="229"/>
      <c r="AM191" s="229"/>
      <c r="AN191" s="229"/>
      <c r="AO191" s="229"/>
      <c r="AP191" s="229"/>
      <c r="AQ191" s="229"/>
      <c r="AR191" s="229"/>
      <c r="AS191" s="252"/>
      <c r="AT191" s="229"/>
      <c r="AU191" s="252"/>
    </row>
    <row r="192" spans="1:47" s="198" customFormat="1" ht="15.75" customHeight="1">
      <c r="A192" s="229"/>
      <c r="B192" s="297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  <c r="AC192" s="229"/>
      <c r="AD192" s="229"/>
      <c r="AE192" s="229"/>
      <c r="AF192" s="229"/>
      <c r="AG192" s="229"/>
      <c r="AH192" s="229"/>
      <c r="AI192" s="229"/>
      <c r="AJ192" s="229"/>
      <c r="AK192" s="229"/>
      <c r="AL192" s="229"/>
      <c r="AM192" s="229"/>
      <c r="AN192" s="229"/>
      <c r="AO192" s="229"/>
      <c r="AP192" s="229"/>
      <c r="AQ192" s="229"/>
      <c r="AR192" s="229"/>
      <c r="AS192" s="252"/>
      <c r="AT192" s="229"/>
      <c r="AU192" s="252"/>
    </row>
    <row r="193" spans="1:47" s="198" customFormat="1" ht="15.75" customHeight="1">
      <c r="A193" s="229"/>
      <c r="B193" s="297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  <c r="AC193" s="229"/>
      <c r="AD193" s="229"/>
      <c r="AE193" s="229"/>
      <c r="AF193" s="229"/>
      <c r="AG193" s="229"/>
      <c r="AH193" s="229"/>
      <c r="AI193" s="229"/>
      <c r="AJ193" s="229"/>
      <c r="AK193" s="229"/>
      <c r="AL193" s="229"/>
      <c r="AM193" s="229"/>
      <c r="AN193" s="229"/>
      <c r="AO193" s="229"/>
      <c r="AP193" s="229"/>
      <c r="AQ193" s="229"/>
      <c r="AR193" s="229"/>
      <c r="AS193" s="252"/>
      <c r="AT193" s="229"/>
      <c r="AU193" s="252"/>
    </row>
    <row r="194" spans="1:47" s="198" customFormat="1" ht="15.75" customHeight="1">
      <c r="A194" s="229"/>
      <c r="B194" s="297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  <c r="AC194" s="229"/>
      <c r="AD194" s="229"/>
      <c r="AE194" s="229"/>
      <c r="AF194" s="229"/>
      <c r="AG194" s="229"/>
      <c r="AH194" s="229"/>
      <c r="AI194" s="229"/>
      <c r="AJ194" s="229"/>
      <c r="AK194" s="229"/>
      <c r="AL194" s="229"/>
      <c r="AM194" s="229"/>
      <c r="AN194" s="229"/>
      <c r="AO194" s="229"/>
      <c r="AP194" s="229"/>
      <c r="AQ194" s="229"/>
      <c r="AR194" s="229"/>
      <c r="AS194" s="252"/>
      <c r="AT194" s="229"/>
      <c r="AU194" s="252"/>
    </row>
    <row r="195" spans="1:47" s="198" customFormat="1" ht="15.75" customHeight="1">
      <c r="A195" s="229"/>
      <c r="B195" s="297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  <c r="AC195" s="229"/>
      <c r="AD195" s="229"/>
      <c r="AE195" s="229"/>
      <c r="AF195" s="229"/>
      <c r="AG195" s="229"/>
      <c r="AH195" s="229"/>
      <c r="AI195" s="229"/>
      <c r="AJ195" s="229"/>
      <c r="AK195" s="229"/>
      <c r="AL195" s="229"/>
      <c r="AM195" s="229"/>
      <c r="AN195" s="229"/>
      <c r="AO195" s="229"/>
      <c r="AP195" s="229"/>
      <c r="AQ195" s="229"/>
      <c r="AR195" s="229"/>
      <c r="AS195" s="252"/>
      <c r="AT195" s="229"/>
      <c r="AU195" s="252"/>
    </row>
    <row r="196" spans="1:47" s="198" customFormat="1" ht="15.75" customHeight="1">
      <c r="A196" s="229"/>
      <c r="B196" s="297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  <c r="AC196" s="229"/>
      <c r="AD196" s="229"/>
      <c r="AE196" s="229"/>
      <c r="AF196" s="229"/>
      <c r="AG196" s="229"/>
      <c r="AH196" s="229"/>
      <c r="AI196" s="229"/>
      <c r="AJ196" s="229"/>
      <c r="AK196" s="229"/>
      <c r="AL196" s="229"/>
      <c r="AM196" s="229"/>
      <c r="AN196" s="229"/>
      <c r="AO196" s="229"/>
      <c r="AP196" s="229"/>
      <c r="AQ196" s="229"/>
      <c r="AR196" s="229"/>
      <c r="AS196" s="252"/>
      <c r="AT196" s="229"/>
      <c r="AU196" s="252"/>
    </row>
    <row r="197" spans="1:47" s="198" customFormat="1" ht="15.75" customHeight="1">
      <c r="A197" s="229"/>
      <c r="B197" s="297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  <c r="AC197" s="229"/>
      <c r="AD197" s="229"/>
      <c r="AE197" s="229"/>
      <c r="AF197" s="229"/>
      <c r="AG197" s="229"/>
      <c r="AH197" s="229"/>
      <c r="AI197" s="229"/>
      <c r="AJ197" s="229"/>
      <c r="AK197" s="229"/>
      <c r="AL197" s="229"/>
      <c r="AM197" s="229"/>
      <c r="AN197" s="229"/>
      <c r="AO197" s="229"/>
      <c r="AP197" s="229"/>
      <c r="AQ197" s="229"/>
      <c r="AR197" s="229"/>
      <c r="AS197" s="252"/>
      <c r="AT197" s="229"/>
      <c r="AU197" s="252"/>
    </row>
    <row r="198" spans="1:47" s="198" customFormat="1" ht="15.75" customHeight="1">
      <c r="A198" s="229"/>
      <c r="B198" s="297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  <c r="AC198" s="229"/>
      <c r="AD198" s="229"/>
      <c r="AE198" s="229"/>
      <c r="AF198" s="229"/>
      <c r="AG198" s="229"/>
      <c r="AH198" s="229"/>
      <c r="AI198" s="229"/>
      <c r="AJ198" s="229"/>
      <c r="AK198" s="229"/>
      <c r="AL198" s="229"/>
      <c r="AM198" s="229"/>
      <c r="AN198" s="229"/>
      <c r="AO198" s="229"/>
      <c r="AP198" s="229"/>
      <c r="AQ198" s="229"/>
      <c r="AR198" s="229"/>
      <c r="AS198" s="252"/>
      <c r="AT198" s="229"/>
      <c r="AU198" s="252"/>
    </row>
    <row r="199" spans="1:47" s="198" customFormat="1" ht="15.75" customHeight="1">
      <c r="A199" s="229"/>
      <c r="B199" s="297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  <c r="AC199" s="229"/>
      <c r="AD199" s="229"/>
      <c r="AE199" s="229"/>
      <c r="AF199" s="229"/>
      <c r="AG199" s="229"/>
      <c r="AH199" s="229"/>
      <c r="AI199" s="229"/>
      <c r="AJ199" s="229"/>
      <c r="AK199" s="229"/>
      <c r="AL199" s="229"/>
      <c r="AM199" s="229"/>
      <c r="AN199" s="229"/>
      <c r="AO199" s="229"/>
      <c r="AP199" s="229"/>
      <c r="AQ199" s="229"/>
      <c r="AR199" s="229"/>
      <c r="AS199" s="252"/>
      <c r="AT199" s="229"/>
      <c r="AU199" s="252"/>
    </row>
    <row r="200" spans="1:47" s="198" customFormat="1" ht="15.75" customHeight="1">
      <c r="A200" s="229"/>
      <c r="B200" s="297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B200" s="229"/>
      <c r="AC200" s="229"/>
      <c r="AD200" s="229"/>
      <c r="AE200" s="229"/>
      <c r="AF200" s="229"/>
      <c r="AG200" s="229"/>
      <c r="AH200" s="229"/>
      <c r="AI200" s="229"/>
      <c r="AJ200" s="229"/>
      <c r="AK200" s="229"/>
      <c r="AL200" s="229"/>
      <c r="AM200" s="229"/>
      <c r="AN200" s="229"/>
      <c r="AO200" s="229"/>
      <c r="AP200" s="229"/>
      <c r="AQ200" s="229"/>
      <c r="AR200" s="229"/>
      <c r="AS200" s="252"/>
      <c r="AT200" s="229"/>
      <c r="AU200" s="252"/>
    </row>
    <row r="201" spans="1:47" s="198" customFormat="1" ht="15.75" customHeight="1">
      <c r="A201" s="229"/>
      <c r="B201" s="297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  <c r="AB201" s="229"/>
      <c r="AC201" s="229"/>
      <c r="AD201" s="229"/>
      <c r="AE201" s="229"/>
      <c r="AF201" s="229"/>
      <c r="AG201" s="229"/>
      <c r="AH201" s="229"/>
      <c r="AI201" s="229"/>
      <c r="AJ201" s="229"/>
      <c r="AK201" s="229"/>
      <c r="AL201" s="229"/>
      <c r="AM201" s="229"/>
      <c r="AN201" s="229"/>
      <c r="AO201" s="229"/>
      <c r="AP201" s="229"/>
      <c r="AQ201" s="229"/>
      <c r="AR201" s="229"/>
      <c r="AS201" s="252"/>
      <c r="AT201" s="229"/>
      <c r="AU201" s="252"/>
    </row>
    <row r="202" spans="1:47" s="198" customFormat="1" ht="15.75" customHeight="1">
      <c r="A202" s="229"/>
      <c r="B202" s="297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  <c r="AB202" s="229"/>
      <c r="AC202" s="229"/>
      <c r="AD202" s="229"/>
      <c r="AE202" s="229"/>
      <c r="AF202" s="229"/>
      <c r="AG202" s="229"/>
      <c r="AH202" s="229"/>
      <c r="AI202" s="229"/>
      <c r="AJ202" s="229"/>
      <c r="AK202" s="229"/>
      <c r="AL202" s="229"/>
      <c r="AM202" s="229"/>
      <c r="AN202" s="229"/>
      <c r="AO202" s="229"/>
      <c r="AP202" s="229"/>
      <c r="AQ202" s="229"/>
      <c r="AR202" s="229"/>
      <c r="AS202" s="252"/>
      <c r="AT202" s="229"/>
      <c r="AU202" s="252"/>
    </row>
    <row r="203" spans="1:47" s="198" customFormat="1" ht="15.75" customHeight="1">
      <c r="A203" s="229"/>
      <c r="B203" s="297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  <c r="AB203" s="229"/>
      <c r="AC203" s="229"/>
      <c r="AD203" s="229"/>
      <c r="AE203" s="229"/>
      <c r="AF203" s="229"/>
      <c r="AG203" s="229"/>
      <c r="AH203" s="229"/>
      <c r="AI203" s="229"/>
      <c r="AJ203" s="229"/>
      <c r="AK203" s="229"/>
      <c r="AL203" s="229"/>
      <c r="AM203" s="229"/>
      <c r="AN203" s="229"/>
      <c r="AO203" s="229"/>
      <c r="AP203" s="229"/>
      <c r="AQ203" s="229"/>
      <c r="AR203" s="229"/>
      <c r="AS203" s="252"/>
      <c r="AT203" s="229"/>
      <c r="AU203" s="252"/>
    </row>
    <row r="204" spans="1:47" s="198" customFormat="1" ht="15.75" customHeight="1">
      <c r="A204" s="229"/>
      <c r="B204" s="297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  <c r="AB204" s="229"/>
      <c r="AC204" s="229"/>
      <c r="AD204" s="229"/>
      <c r="AE204" s="229"/>
      <c r="AF204" s="229"/>
      <c r="AG204" s="229"/>
      <c r="AH204" s="229"/>
      <c r="AI204" s="229"/>
      <c r="AJ204" s="229"/>
      <c r="AK204" s="229"/>
      <c r="AL204" s="229"/>
      <c r="AM204" s="229"/>
      <c r="AN204" s="229"/>
      <c r="AO204" s="229"/>
      <c r="AP204" s="229"/>
      <c r="AQ204" s="229"/>
      <c r="AR204" s="229"/>
      <c r="AS204" s="252"/>
      <c r="AT204" s="229"/>
      <c r="AU204" s="252"/>
    </row>
    <row r="205" spans="1:47" s="198" customFormat="1" ht="15.75" customHeight="1">
      <c r="A205" s="229"/>
      <c r="B205" s="297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  <c r="AA205" s="229"/>
      <c r="AB205" s="229"/>
      <c r="AC205" s="229"/>
      <c r="AD205" s="229"/>
      <c r="AE205" s="229"/>
      <c r="AF205" s="229"/>
      <c r="AG205" s="229"/>
      <c r="AH205" s="229"/>
      <c r="AI205" s="229"/>
      <c r="AJ205" s="229"/>
      <c r="AK205" s="229"/>
      <c r="AL205" s="229"/>
      <c r="AM205" s="229"/>
      <c r="AN205" s="229"/>
      <c r="AO205" s="229"/>
      <c r="AP205" s="229"/>
      <c r="AQ205" s="229"/>
      <c r="AR205" s="229"/>
      <c r="AS205" s="252"/>
      <c r="AT205" s="229"/>
      <c r="AU205" s="252"/>
    </row>
    <row r="206" spans="1:47" s="198" customFormat="1" ht="15.75" customHeight="1">
      <c r="A206" s="229"/>
      <c r="B206" s="297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  <c r="AA206" s="229"/>
      <c r="AB206" s="229"/>
      <c r="AC206" s="229"/>
      <c r="AD206" s="229"/>
      <c r="AE206" s="229"/>
      <c r="AF206" s="229"/>
      <c r="AG206" s="229"/>
      <c r="AH206" s="229"/>
      <c r="AI206" s="229"/>
      <c r="AJ206" s="229"/>
      <c r="AK206" s="229"/>
      <c r="AL206" s="229"/>
      <c r="AM206" s="229"/>
      <c r="AN206" s="229"/>
      <c r="AO206" s="229"/>
      <c r="AP206" s="229"/>
      <c r="AQ206" s="229"/>
      <c r="AR206" s="229"/>
      <c r="AS206" s="252"/>
      <c r="AT206" s="229"/>
      <c r="AU206" s="252"/>
    </row>
    <row r="207" spans="1:47" s="198" customFormat="1" ht="15.75" customHeight="1">
      <c r="A207" s="229"/>
      <c r="B207" s="297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  <c r="AA207" s="229"/>
      <c r="AB207" s="229"/>
      <c r="AC207" s="229"/>
      <c r="AD207" s="229"/>
      <c r="AE207" s="229"/>
      <c r="AF207" s="229"/>
      <c r="AG207" s="229"/>
      <c r="AH207" s="229"/>
      <c r="AI207" s="229"/>
      <c r="AJ207" s="229"/>
      <c r="AK207" s="229"/>
      <c r="AL207" s="229"/>
      <c r="AM207" s="229"/>
      <c r="AN207" s="229"/>
      <c r="AO207" s="229"/>
      <c r="AP207" s="229"/>
      <c r="AQ207" s="229"/>
      <c r="AR207" s="229"/>
      <c r="AS207" s="252"/>
      <c r="AT207" s="229"/>
      <c r="AU207" s="252"/>
    </row>
    <row r="208" spans="1:47" s="198" customFormat="1" ht="15.75" customHeight="1">
      <c r="A208" s="229"/>
      <c r="B208" s="297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  <c r="AA208" s="229"/>
      <c r="AB208" s="229"/>
      <c r="AC208" s="229"/>
      <c r="AD208" s="229"/>
      <c r="AE208" s="229"/>
      <c r="AF208" s="229"/>
      <c r="AG208" s="229"/>
      <c r="AH208" s="229"/>
      <c r="AI208" s="229"/>
      <c r="AJ208" s="229"/>
      <c r="AK208" s="229"/>
      <c r="AL208" s="229"/>
      <c r="AM208" s="229"/>
      <c r="AN208" s="229"/>
      <c r="AO208" s="229"/>
      <c r="AP208" s="229"/>
      <c r="AQ208" s="229"/>
      <c r="AR208" s="229"/>
      <c r="AS208" s="252"/>
      <c r="AT208" s="229"/>
      <c r="AU208" s="252"/>
    </row>
    <row r="209" spans="1:47" s="198" customFormat="1" ht="15.75" customHeight="1">
      <c r="A209" s="229"/>
      <c r="B209" s="297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  <c r="AA209" s="229"/>
      <c r="AB209" s="229"/>
      <c r="AC209" s="229"/>
      <c r="AD209" s="229"/>
      <c r="AE209" s="229"/>
      <c r="AF209" s="229"/>
      <c r="AG209" s="229"/>
      <c r="AH209" s="229"/>
      <c r="AI209" s="229"/>
      <c r="AJ209" s="229"/>
      <c r="AK209" s="229"/>
      <c r="AL209" s="229"/>
      <c r="AM209" s="229"/>
      <c r="AN209" s="229"/>
      <c r="AO209" s="229"/>
      <c r="AP209" s="229"/>
      <c r="AQ209" s="229"/>
      <c r="AR209" s="229"/>
      <c r="AS209" s="252"/>
      <c r="AT209" s="229"/>
      <c r="AU209" s="252"/>
    </row>
    <row r="210" spans="1:47" s="198" customFormat="1" ht="15.75" customHeight="1">
      <c r="A210" s="229"/>
      <c r="B210" s="297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  <c r="AA210" s="229"/>
      <c r="AB210" s="229"/>
      <c r="AC210" s="229"/>
      <c r="AD210" s="229"/>
      <c r="AE210" s="229"/>
      <c r="AF210" s="229"/>
      <c r="AG210" s="229"/>
      <c r="AH210" s="229"/>
      <c r="AI210" s="229"/>
      <c r="AJ210" s="229"/>
      <c r="AK210" s="229"/>
      <c r="AL210" s="229"/>
      <c r="AM210" s="229"/>
      <c r="AN210" s="229"/>
      <c r="AO210" s="229"/>
      <c r="AP210" s="229"/>
      <c r="AQ210" s="229"/>
      <c r="AR210" s="229"/>
      <c r="AS210" s="252"/>
      <c r="AT210" s="229"/>
      <c r="AU210" s="252"/>
    </row>
    <row r="211" spans="1:47" s="198" customFormat="1" ht="15.75" customHeight="1">
      <c r="A211" s="229"/>
      <c r="B211" s="297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  <c r="AA211" s="229"/>
      <c r="AB211" s="229"/>
      <c r="AC211" s="229"/>
      <c r="AD211" s="229"/>
      <c r="AE211" s="229"/>
      <c r="AF211" s="229"/>
      <c r="AG211" s="229"/>
      <c r="AH211" s="229"/>
      <c r="AI211" s="229"/>
      <c r="AJ211" s="229"/>
      <c r="AK211" s="229"/>
      <c r="AL211" s="229"/>
      <c r="AM211" s="229"/>
      <c r="AN211" s="229"/>
      <c r="AO211" s="229"/>
      <c r="AP211" s="229"/>
      <c r="AQ211" s="229"/>
      <c r="AR211" s="229"/>
      <c r="AS211" s="252"/>
      <c r="AT211" s="229"/>
      <c r="AU211" s="252"/>
    </row>
    <row r="212" spans="1:47" s="198" customFormat="1" ht="15.75" customHeight="1">
      <c r="A212" s="229"/>
      <c r="B212" s="297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  <c r="AA212" s="229"/>
      <c r="AB212" s="229"/>
      <c r="AC212" s="229"/>
      <c r="AD212" s="229"/>
      <c r="AE212" s="229"/>
      <c r="AF212" s="229"/>
      <c r="AG212" s="229"/>
      <c r="AH212" s="229"/>
      <c r="AI212" s="229"/>
      <c r="AJ212" s="229"/>
      <c r="AK212" s="229"/>
      <c r="AL212" s="229"/>
      <c r="AM212" s="229"/>
      <c r="AN212" s="229"/>
      <c r="AO212" s="229"/>
      <c r="AP212" s="229"/>
      <c r="AQ212" s="229"/>
      <c r="AR212" s="229"/>
      <c r="AS212" s="252"/>
      <c r="AT212" s="229"/>
      <c r="AU212" s="252"/>
    </row>
    <row r="213" spans="1:47" s="198" customFormat="1" ht="15.75" customHeight="1">
      <c r="A213" s="229"/>
      <c r="B213" s="297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  <c r="AA213" s="229"/>
      <c r="AB213" s="229"/>
      <c r="AC213" s="229"/>
      <c r="AD213" s="229"/>
      <c r="AE213" s="229"/>
      <c r="AF213" s="229"/>
      <c r="AG213" s="229"/>
      <c r="AH213" s="229"/>
      <c r="AI213" s="229"/>
      <c r="AJ213" s="229"/>
      <c r="AK213" s="229"/>
      <c r="AL213" s="229"/>
      <c r="AM213" s="229"/>
      <c r="AN213" s="229"/>
      <c r="AO213" s="229"/>
      <c r="AP213" s="229"/>
      <c r="AQ213" s="229"/>
      <c r="AR213" s="229"/>
      <c r="AS213" s="252"/>
      <c r="AT213" s="229"/>
      <c r="AU213" s="252"/>
    </row>
    <row r="214" spans="1:47" s="198" customFormat="1" ht="15.75" customHeight="1">
      <c r="A214" s="229"/>
      <c r="B214" s="297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  <c r="AA214" s="229"/>
      <c r="AB214" s="229"/>
      <c r="AC214" s="229"/>
      <c r="AD214" s="229"/>
      <c r="AE214" s="229"/>
      <c r="AF214" s="229"/>
      <c r="AG214" s="229"/>
      <c r="AH214" s="229"/>
      <c r="AI214" s="229"/>
      <c r="AJ214" s="229"/>
      <c r="AK214" s="229"/>
      <c r="AL214" s="229"/>
      <c r="AM214" s="229"/>
      <c r="AN214" s="229"/>
      <c r="AO214" s="229"/>
      <c r="AP214" s="229"/>
      <c r="AQ214" s="229"/>
      <c r="AR214" s="229"/>
      <c r="AS214" s="252"/>
      <c r="AT214" s="229"/>
      <c r="AU214" s="252"/>
    </row>
    <row r="215" spans="1:47" s="198" customFormat="1" ht="15.75" customHeight="1">
      <c r="A215" s="229"/>
      <c r="B215" s="297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  <c r="AA215" s="229"/>
      <c r="AB215" s="229"/>
      <c r="AC215" s="229"/>
      <c r="AD215" s="229"/>
      <c r="AE215" s="229"/>
      <c r="AF215" s="229"/>
      <c r="AG215" s="229"/>
      <c r="AH215" s="229"/>
      <c r="AI215" s="229"/>
      <c r="AJ215" s="229"/>
      <c r="AK215" s="229"/>
      <c r="AL215" s="229"/>
      <c r="AM215" s="229"/>
      <c r="AN215" s="229"/>
      <c r="AO215" s="229"/>
      <c r="AP215" s="229"/>
      <c r="AQ215" s="229"/>
      <c r="AR215" s="229"/>
      <c r="AS215" s="252"/>
      <c r="AT215" s="229"/>
      <c r="AU215" s="252"/>
    </row>
    <row r="216" spans="1:47" s="198" customFormat="1" ht="15.75" customHeight="1">
      <c r="A216" s="229"/>
      <c r="B216" s="297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  <c r="AA216" s="229"/>
      <c r="AB216" s="229"/>
      <c r="AC216" s="229"/>
      <c r="AD216" s="229"/>
      <c r="AE216" s="229"/>
      <c r="AF216" s="229"/>
      <c r="AG216" s="229"/>
      <c r="AH216" s="229"/>
      <c r="AI216" s="229"/>
      <c r="AJ216" s="229"/>
      <c r="AK216" s="229"/>
      <c r="AL216" s="229"/>
      <c r="AM216" s="229"/>
      <c r="AN216" s="229"/>
      <c r="AO216" s="229"/>
      <c r="AP216" s="229"/>
      <c r="AQ216" s="229"/>
      <c r="AR216" s="229"/>
      <c r="AS216" s="252"/>
      <c r="AT216" s="229"/>
      <c r="AU216" s="252"/>
    </row>
    <row r="217" spans="1:47" s="198" customFormat="1" ht="15.75" customHeight="1">
      <c r="A217" s="229"/>
      <c r="B217" s="297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  <c r="AA217" s="229"/>
      <c r="AB217" s="229"/>
      <c r="AC217" s="229"/>
      <c r="AD217" s="229"/>
      <c r="AE217" s="229"/>
      <c r="AF217" s="229"/>
      <c r="AG217" s="229"/>
      <c r="AH217" s="229"/>
      <c r="AI217" s="229"/>
      <c r="AJ217" s="229"/>
      <c r="AK217" s="229"/>
      <c r="AL217" s="229"/>
      <c r="AM217" s="229"/>
      <c r="AN217" s="229"/>
      <c r="AO217" s="229"/>
      <c r="AP217" s="229"/>
      <c r="AQ217" s="229"/>
      <c r="AR217" s="229"/>
      <c r="AS217" s="252"/>
      <c r="AT217" s="229"/>
      <c r="AU217" s="252"/>
    </row>
    <row r="218" spans="1:47" s="198" customFormat="1" ht="15.75" customHeight="1">
      <c r="A218" s="229"/>
      <c r="B218" s="297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  <c r="AA218" s="229"/>
      <c r="AB218" s="229"/>
      <c r="AC218" s="229"/>
      <c r="AD218" s="229"/>
      <c r="AE218" s="229"/>
      <c r="AF218" s="229"/>
      <c r="AG218" s="229"/>
      <c r="AH218" s="229"/>
      <c r="AI218" s="229"/>
      <c r="AJ218" s="229"/>
      <c r="AK218" s="229"/>
      <c r="AL218" s="229"/>
      <c r="AM218" s="229"/>
      <c r="AN218" s="229"/>
      <c r="AO218" s="229"/>
      <c r="AP218" s="229"/>
      <c r="AQ218" s="229"/>
      <c r="AR218" s="229"/>
      <c r="AS218" s="252"/>
      <c r="AT218" s="229"/>
      <c r="AU218" s="252"/>
    </row>
    <row r="219" spans="1:47" s="198" customFormat="1" ht="15.75" customHeight="1">
      <c r="A219" s="229"/>
      <c r="B219" s="297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  <c r="AA219" s="229"/>
      <c r="AB219" s="229"/>
      <c r="AC219" s="229"/>
      <c r="AD219" s="229"/>
      <c r="AE219" s="229"/>
      <c r="AF219" s="229"/>
      <c r="AG219" s="229"/>
      <c r="AH219" s="229"/>
      <c r="AI219" s="229"/>
      <c r="AJ219" s="229"/>
      <c r="AK219" s="229"/>
      <c r="AL219" s="229"/>
      <c r="AM219" s="229"/>
      <c r="AN219" s="229"/>
      <c r="AO219" s="229"/>
      <c r="AP219" s="229"/>
      <c r="AQ219" s="229"/>
      <c r="AR219" s="229"/>
      <c r="AS219" s="252"/>
      <c r="AT219" s="229"/>
      <c r="AU219" s="252"/>
    </row>
    <row r="220" spans="1:47" s="198" customFormat="1" ht="15.75" customHeight="1">
      <c r="A220" s="229"/>
      <c r="B220" s="297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  <c r="AA220" s="229"/>
      <c r="AB220" s="229"/>
      <c r="AC220" s="229"/>
      <c r="AD220" s="229"/>
      <c r="AE220" s="229"/>
      <c r="AF220" s="229"/>
      <c r="AG220" s="229"/>
      <c r="AH220" s="229"/>
      <c r="AI220" s="229"/>
      <c r="AJ220" s="229"/>
      <c r="AK220" s="229"/>
      <c r="AL220" s="229"/>
      <c r="AM220" s="229"/>
      <c r="AN220" s="229"/>
      <c r="AO220" s="229"/>
      <c r="AP220" s="229"/>
      <c r="AQ220" s="229"/>
      <c r="AR220" s="229"/>
      <c r="AS220" s="252"/>
      <c r="AT220" s="229"/>
      <c r="AU220" s="252"/>
    </row>
    <row r="221" spans="1:47" s="198" customFormat="1" ht="15.75" customHeight="1">
      <c r="A221" s="229"/>
      <c r="B221" s="297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  <c r="AA221" s="229"/>
      <c r="AB221" s="229"/>
      <c r="AC221" s="229"/>
      <c r="AD221" s="229"/>
      <c r="AE221" s="229"/>
      <c r="AF221" s="229"/>
      <c r="AG221" s="229"/>
      <c r="AH221" s="229"/>
      <c r="AI221" s="229"/>
      <c r="AJ221" s="229"/>
      <c r="AK221" s="229"/>
      <c r="AL221" s="229"/>
      <c r="AM221" s="229"/>
      <c r="AN221" s="229"/>
      <c r="AO221" s="229"/>
      <c r="AP221" s="229"/>
      <c r="AQ221" s="229"/>
      <c r="AR221" s="229"/>
      <c r="AS221" s="252"/>
      <c r="AT221" s="229"/>
      <c r="AU221" s="252"/>
    </row>
    <row r="222" spans="1:47" s="198" customFormat="1" ht="15.75" customHeight="1">
      <c r="A222" s="229"/>
      <c r="B222" s="297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29"/>
      <c r="AH222" s="229"/>
      <c r="AI222" s="229"/>
      <c r="AJ222" s="229"/>
      <c r="AK222" s="229"/>
      <c r="AL222" s="229"/>
      <c r="AM222" s="229"/>
      <c r="AN222" s="229"/>
      <c r="AO222" s="229"/>
      <c r="AP222" s="229"/>
      <c r="AQ222" s="229"/>
      <c r="AR222" s="229"/>
      <c r="AS222" s="252"/>
      <c r="AT222" s="229"/>
      <c r="AU222" s="252"/>
    </row>
    <row r="223" spans="1:47" s="198" customFormat="1" ht="15.75" customHeight="1">
      <c r="A223" s="229"/>
      <c r="B223" s="297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29"/>
      <c r="AH223" s="229"/>
      <c r="AI223" s="229"/>
      <c r="AJ223" s="229"/>
      <c r="AK223" s="229"/>
      <c r="AL223" s="229"/>
      <c r="AM223" s="229"/>
      <c r="AN223" s="229"/>
      <c r="AO223" s="229"/>
      <c r="AP223" s="229"/>
      <c r="AQ223" s="229"/>
      <c r="AR223" s="229"/>
      <c r="AS223" s="252"/>
      <c r="AT223" s="229"/>
      <c r="AU223" s="252"/>
    </row>
    <row r="224" spans="1:47" s="198" customFormat="1" ht="15.75" customHeight="1">
      <c r="A224" s="229"/>
      <c r="B224" s="297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29"/>
      <c r="AH224" s="229"/>
      <c r="AI224" s="229"/>
      <c r="AJ224" s="229"/>
      <c r="AK224" s="229"/>
      <c r="AL224" s="229"/>
      <c r="AM224" s="229"/>
      <c r="AN224" s="229"/>
      <c r="AO224" s="229"/>
      <c r="AP224" s="229"/>
      <c r="AQ224" s="229"/>
      <c r="AR224" s="229"/>
      <c r="AS224" s="252"/>
      <c r="AT224" s="229"/>
      <c r="AU224" s="252"/>
    </row>
    <row r="225" spans="1:47" s="198" customFormat="1" ht="15.75" customHeight="1">
      <c r="A225" s="229"/>
      <c r="B225" s="297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29"/>
      <c r="AH225" s="229"/>
      <c r="AI225" s="229"/>
      <c r="AJ225" s="229"/>
      <c r="AK225" s="229"/>
      <c r="AL225" s="229"/>
      <c r="AM225" s="229"/>
      <c r="AN225" s="229"/>
      <c r="AO225" s="229"/>
      <c r="AP225" s="229"/>
      <c r="AQ225" s="229"/>
      <c r="AR225" s="229"/>
      <c r="AS225" s="252"/>
      <c r="AT225" s="229"/>
      <c r="AU225" s="252"/>
    </row>
    <row r="226" spans="1:47" s="198" customFormat="1" ht="15.75" customHeight="1">
      <c r="A226" s="229"/>
      <c r="B226" s="297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29"/>
      <c r="AH226" s="229"/>
      <c r="AI226" s="229"/>
      <c r="AJ226" s="229"/>
      <c r="AK226" s="229"/>
      <c r="AL226" s="229"/>
      <c r="AM226" s="229"/>
      <c r="AN226" s="229"/>
      <c r="AO226" s="229"/>
      <c r="AP226" s="229"/>
      <c r="AQ226" s="229"/>
      <c r="AR226" s="229"/>
      <c r="AS226" s="252"/>
      <c r="AT226" s="229"/>
      <c r="AU226" s="252"/>
    </row>
    <row r="227" spans="1:47" s="198" customFormat="1" ht="15.75" customHeight="1">
      <c r="A227" s="229"/>
      <c r="B227" s="297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29"/>
      <c r="AH227" s="229"/>
      <c r="AI227" s="229"/>
      <c r="AJ227" s="229"/>
      <c r="AK227" s="229"/>
      <c r="AL227" s="229"/>
      <c r="AM227" s="229"/>
      <c r="AN227" s="229"/>
      <c r="AO227" s="229"/>
      <c r="AP227" s="229"/>
      <c r="AQ227" s="229"/>
      <c r="AR227" s="229"/>
      <c r="AS227" s="252"/>
      <c r="AT227" s="229"/>
      <c r="AU227" s="252"/>
    </row>
    <row r="228" spans="1:47" s="198" customFormat="1" ht="15.75" customHeight="1">
      <c r="A228" s="229"/>
      <c r="B228" s="297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29"/>
      <c r="AH228" s="229"/>
      <c r="AI228" s="229"/>
      <c r="AJ228" s="229"/>
      <c r="AK228" s="229"/>
      <c r="AL228" s="229"/>
      <c r="AM228" s="229"/>
      <c r="AN228" s="229"/>
      <c r="AO228" s="229"/>
      <c r="AP228" s="229"/>
      <c r="AQ228" s="229"/>
      <c r="AR228" s="229"/>
      <c r="AS228" s="252"/>
      <c r="AT228" s="229"/>
      <c r="AU228" s="252"/>
    </row>
    <row r="229" spans="1:47" s="198" customFormat="1" ht="15.75" customHeight="1">
      <c r="A229" s="229"/>
      <c r="B229" s="297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29"/>
      <c r="AH229" s="229"/>
      <c r="AI229" s="229"/>
      <c r="AJ229" s="229"/>
      <c r="AK229" s="229"/>
      <c r="AL229" s="229"/>
      <c r="AM229" s="229"/>
      <c r="AN229" s="229"/>
      <c r="AO229" s="229"/>
      <c r="AP229" s="229"/>
      <c r="AQ229" s="229"/>
      <c r="AR229" s="229"/>
      <c r="AS229" s="252"/>
      <c r="AT229" s="229"/>
      <c r="AU229" s="252"/>
    </row>
    <row r="230" spans="1:47" s="198" customFormat="1" ht="15.75" customHeight="1">
      <c r="A230" s="229"/>
      <c r="B230" s="297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  <c r="AA230" s="229"/>
      <c r="AB230" s="229"/>
      <c r="AC230" s="229"/>
      <c r="AD230" s="229"/>
      <c r="AE230" s="229"/>
      <c r="AF230" s="229"/>
      <c r="AG230" s="229"/>
      <c r="AH230" s="229"/>
      <c r="AI230" s="229"/>
      <c r="AJ230" s="229"/>
      <c r="AK230" s="229"/>
      <c r="AL230" s="229"/>
      <c r="AM230" s="229"/>
      <c r="AN230" s="229"/>
      <c r="AO230" s="229"/>
      <c r="AP230" s="229"/>
      <c r="AQ230" s="229"/>
      <c r="AR230" s="229"/>
      <c r="AS230" s="252"/>
      <c r="AT230" s="229"/>
      <c r="AU230" s="252"/>
    </row>
    <row r="231" spans="1:47" s="198" customFormat="1" ht="15.75" customHeight="1">
      <c r="A231" s="229"/>
      <c r="B231" s="297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  <c r="AA231" s="229"/>
      <c r="AB231" s="229"/>
      <c r="AC231" s="229"/>
      <c r="AD231" s="229"/>
      <c r="AE231" s="229"/>
      <c r="AF231" s="229"/>
      <c r="AG231" s="229"/>
      <c r="AH231" s="229"/>
      <c r="AI231" s="229"/>
      <c r="AJ231" s="229"/>
      <c r="AK231" s="229"/>
      <c r="AL231" s="229"/>
      <c r="AM231" s="229"/>
      <c r="AN231" s="229"/>
      <c r="AO231" s="229"/>
      <c r="AP231" s="229"/>
      <c r="AQ231" s="229"/>
      <c r="AR231" s="229"/>
      <c r="AS231" s="252"/>
      <c r="AT231" s="229"/>
      <c r="AU231" s="252"/>
    </row>
    <row r="232" spans="1:47" s="198" customFormat="1" ht="15.75" customHeight="1">
      <c r="A232" s="229"/>
      <c r="B232" s="297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  <c r="AA232" s="229"/>
      <c r="AB232" s="229"/>
      <c r="AC232" s="229"/>
      <c r="AD232" s="229"/>
      <c r="AE232" s="229"/>
      <c r="AF232" s="229"/>
      <c r="AG232" s="229"/>
      <c r="AH232" s="229"/>
      <c r="AI232" s="229"/>
      <c r="AJ232" s="229"/>
      <c r="AK232" s="229"/>
      <c r="AL232" s="229"/>
      <c r="AM232" s="229"/>
      <c r="AN232" s="229"/>
      <c r="AO232" s="229"/>
      <c r="AP232" s="229"/>
      <c r="AQ232" s="229"/>
      <c r="AR232" s="229"/>
      <c r="AS232" s="252"/>
      <c r="AT232" s="229"/>
      <c r="AU232" s="252"/>
    </row>
    <row r="233" spans="1:47" s="198" customFormat="1" ht="15.75" customHeight="1">
      <c r="A233" s="229"/>
      <c r="B233" s="297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  <c r="AA233" s="229"/>
      <c r="AB233" s="229"/>
      <c r="AC233" s="229"/>
      <c r="AD233" s="229"/>
      <c r="AE233" s="229"/>
      <c r="AF233" s="229"/>
      <c r="AG233" s="229"/>
      <c r="AH233" s="229"/>
      <c r="AI233" s="229"/>
      <c r="AJ233" s="229"/>
      <c r="AK233" s="229"/>
      <c r="AL233" s="229"/>
      <c r="AM233" s="229"/>
      <c r="AN233" s="229"/>
      <c r="AO233" s="229"/>
      <c r="AP233" s="229"/>
      <c r="AQ233" s="229"/>
      <c r="AR233" s="229"/>
      <c r="AS233" s="252"/>
      <c r="AT233" s="229"/>
      <c r="AU233" s="252"/>
    </row>
    <row r="234" spans="1:47" s="198" customFormat="1" ht="15.75" customHeight="1">
      <c r="A234" s="229"/>
      <c r="B234" s="297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  <c r="AA234" s="229"/>
      <c r="AB234" s="229"/>
      <c r="AC234" s="229"/>
      <c r="AD234" s="229"/>
      <c r="AE234" s="229"/>
      <c r="AF234" s="229"/>
      <c r="AG234" s="229"/>
      <c r="AH234" s="229"/>
      <c r="AI234" s="229"/>
      <c r="AJ234" s="229"/>
      <c r="AK234" s="229"/>
      <c r="AL234" s="229"/>
      <c r="AM234" s="229"/>
      <c r="AN234" s="229"/>
      <c r="AO234" s="229"/>
      <c r="AP234" s="229"/>
      <c r="AQ234" s="229"/>
      <c r="AR234" s="229"/>
      <c r="AS234" s="252"/>
      <c r="AT234" s="229"/>
      <c r="AU234" s="252"/>
    </row>
    <row r="235" spans="1:47" s="198" customFormat="1" ht="15.75" customHeight="1">
      <c r="A235" s="229"/>
      <c r="B235" s="297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  <c r="AA235" s="229"/>
      <c r="AB235" s="229"/>
      <c r="AC235" s="229"/>
      <c r="AD235" s="229"/>
      <c r="AE235" s="229"/>
      <c r="AF235" s="229"/>
      <c r="AG235" s="229"/>
      <c r="AH235" s="229"/>
      <c r="AI235" s="229"/>
      <c r="AJ235" s="229"/>
      <c r="AK235" s="229"/>
      <c r="AL235" s="229"/>
      <c r="AM235" s="229"/>
      <c r="AN235" s="229"/>
      <c r="AO235" s="229"/>
      <c r="AP235" s="229"/>
      <c r="AQ235" s="229"/>
      <c r="AR235" s="229"/>
      <c r="AS235" s="252"/>
      <c r="AT235" s="229"/>
      <c r="AU235" s="252"/>
    </row>
    <row r="236" spans="1:47" s="198" customFormat="1" ht="15.75" customHeight="1">
      <c r="A236" s="229"/>
      <c r="B236" s="297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  <c r="AA236" s="229"/>
      <c r="AB236" s="229"/>
      <c r="AC236" s="229"/>
      <c r="AD236" s="229"/>
      <c r="AE236" s="229"/>
      <c r="AF236" s="229"/>
      <c r="AG236" s="229"/>
      <c r="AH236" s="229"/>
      <c r="AI236" s="229"/>
      <c r="AJ236" s="229"/>
      <c r="AK236" s="229"/>
      <c r="AL236" s="229"/>
      <c r="AM236" s="229"/>
      <c r="AN236" s="229"/>
      <c r="AO236" s="229"/>
      <c r="AP236" s="229"/>
      <c r="AQ236" s="229"/>
      <c r="AR236" s="229"/>
      <c r="AS236" s="252"/>
      <c r="AT236" s="229"/>
      <c r="AU236" s="252"/>
    </row>
    <row r="237" spans="1:47" s="198" customFormat="1" ht="15.75" customHeight="1">
      <c r="A237" s="229"/>
      <c r="B237" s="297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  <c r="AA237" s="229"/>
      <c r="AB237" s="229"/>
      <c r="AC237" s="229"/>
      <c r="AD237" s="229"/>
      <c r="AE237" s="229"/>
      <c r="AF237" s="229"/>
      <c r="AG237" s="229"/>
      <c r="AH237" s="229"/>
      <c r="AI237" s="229"/>
      <c r="AJ237" s="229"/>
      <c r="AK237" s="229"/>
      <c r="AL237" s="229"/>
      <c r="AM237" s="229"/>
      <c r="AN237" s="229"/>
      <c r="AO237" s="229"/>
      <c r="AP237" s="229"/>
      <c r="AQ237" s="229"/>
      <c r="AR237" s="229"/>
      <c r="AS237" s="252"/>
      <c r="AT237" s="229"/>
      <c r="AU237" s="252"/>
    </row>
    <row r="238" spans="1:47" s="198" customFormat="1" ht="15.75" customHeight="1">
      <c r="A238" s="229"/>
      <c r="B238" s="297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  <c r="AA238" s="229"/>
      <c r="AB238" s="229"/>
      <c r="AC238" s="229"/>
      <c r="AD238" s="229"/>
      <c r="AE238" s="229"/>
      <c r="AF238" s="229"/>
      <c r="AG238" s="229"/>
      <c r="AH238" s="229"/>
      <c r="AI238" s="229"/>
      <c r="AJ238" s="229"/>
      <c r="AK238" s="229"/>
      <c r="AL238" s="229"/>
      <c r="AM238" s="229"/>
      <c r="AN238" s="229"/>
      <c r="AO238" s="229"/>
      <c r="AP238" s="229"/>
      <c r="AQ238" s="229"/>
      <c r="AR238" s="229"/>
      <c r="AS238" s="252"/>
      <c r="AT238" s="229"/>
      <c r="AU238" s="252"/>
    </row>
    <row r="239" spans="1:47" s="198" customFormat="1" ht="15.75" customHeight="1">
      <c r="A239" s="229"/>
      <c r="B239" s="297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  <c r="AE239" s="229"/>
      <c r="AF239" s="229"/>
      <c r="AG239" s="229"/>
      <c r="AH239" s="229"/>
      <c r="AI239" s="229"/>
      <c r="AJ239" s="229"/>
      <c r="AK239" s="229"/>
      <c r="AL239" s="229"/>
      <c r="AM239" s="229"/>
      <c r="AN239" s="229"/>
      <c r="AO239" s="229"/>
      <c r="AP239" s="229"/>
      <c r="AQ239" s="229"/>
      <c r="AR239" s="229"/>
      <c r="AS239" s="252"/>
      <c r="AT239" s="229"/>
      <c r="AU239" s="252"/>
    </row>
    <row r="240" spans="1:47" s="198" customFormat="1" ht="15.75" customHeight="1">
      <c r="A240" s="229"/>
      <c r="B240" s="297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  <c r="AA240" s="229"/>
      <c r="AB240" s="229"/>
      <c r="AC240" s="229"/>
      <c r="AD240" s="229"/>
      <c r="AE240" s="229"/>
      <c r="AF240" s="229"/>
      <c r="AG240" s="229"/>
      <c r="AH240" s="229"/>
      <c r="AI240" s="229"/>
      <c r="AJ240" s="229"/>
      <c r="AK240" s="229"/>
      <c r="AL240" s="229"/>
      <c r="AM240" s="229"/>
      <c r="AN240" s="229"/>
      <c r="AO240" s="229"/>
      <c r="AP240" s="229"/>
      <c r="AQ240" s="229"/>
      <c r="AR240" s="229"/>
      <c r="AS240" s="252"/>
      <c r="AT240" s="229"/>
      <c r="AU240" s="252"/>
    </row>
    <row r="241" spans="1:47" s="198" customFormat="1" ht="15.75" customHeight="1">
      <c r="A241" s="229"/>
      <c r="B241" s="297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  <c r="AA241" s="229"/>
      <c r="AB241" s="229"/>
      <c r="AC241" s="229"/>
      <c r="AD241" s="229"/>
      <c r="AE241" s="229"/>
      <c r="AF241" s="229"/>
      <c r="AG241" s="229"/>
      <c r="AH241" s="229"/>
      <c r="AI241" s="229"/>
      <c r="AJ241" s="229"/>
      <c r="AK241" s="229"/>
      <c r="AL241" s="229"/>
      <c r="AM241" s="229"/>
      <c r="AN241" s="229"/>
      <c r="AO241" s="229"/>
      <c r="AP241" s="229"/>
      <c r="AQ241" s="229"/>
      <c r="AR241" s="229"/>
      <c r="AS241" s="252"/>
      <c r="AT241" s="229"/>
      <c r="AU241" s="252"/>
    </row>
    <row r="242" spans="1:47" s="198" customFormat="1" ht="15.75" customHeight="1">
      <c r="A242" s="229"/>
      <c r="B242" s="297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  <c r="AA242" s="229"/>
      <c r="AB242" s="229"/>
      <c r="AC242" s="229"/>
      <c r="AD242" s="229"/>
      <c r="AE242" s="229"/>
      <c r="AF242" s="229"/>
      <c r="AG242" s="229"/>
      <c r="AH242" s="229"/>
      <c r="AI242" s="229"/>
      <c r="AJ242" s="229"/>
      <c r="AK242" s="229"/>
      <c r="AL242" s="229"/>
      <c r="AM242" s="229"/>
      <c r="AN242" s="229"/>
      <c r="AO242" s="229"/>
      <c r="AP242" s="229"/>
      <c r="AQ242" s="229"/>
      <c r="AR242" s="229"/>
      <c r="AS242" s="252"/>
      <c r="AT242" s="229"/>
      <c r="AU242" s="252"/>
    </row>
    <row r="243" spans="1:47" s="198" customFormat="1" ht="15.75" customHeight="1">
      <c r="A243" s="229"/>
      <c r="B243" s="297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  <c r="AA243" s="229"/>
      <c r="AB243" s="229"/>
      <c r="AC243" s="229"/>
      <c r="AD243" s="229"/>
      <c r="AE243" s="229"/>
      <c r="AF243" s="229"/>
      <c r="AG243" s="229"/>
      <c r="AH243" s="229"/>
      <c r="AI243" s="229"/>
      <c r="AJ243" s="229"/>
      <c r="AK243" s="229"/>
      <c r="AL243" s="229"/>
      <c r="AM243" s="229"/>
      <c r="AN243" s="229"/>
      <c r="AO243" s="229"/>
      <c r="AP243" s="229"/>
      <c r="AQ243" s="229"/>
      <c r="AR243" s="229"/>
      <c r="AS243" s="252"/>
      <c r="AT243" s="229"/>
      <c r="AU243" s="252"/>
    </row>
    <row r="244" spans="1:47" s="198" customFormat="1" ht="15.75" customHeight="1">
      <c r="A244" s="229"/>
      <c r="B244" s="297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  <c r="AC244" s="229"/>
      <c r="AD244" s="229"/>
      <c r="AE244" s="229"/>
      <c r="AF244" s="229"/>
      <c r="AG244" s="229"/>
      <c r="AH244" s="229"/>
      <c r="AI244" s="229"/>
      <c r="AJ244" s="229"/>
      <c r="AK244" s="229"/>
      <c r="AL244" s="229"/>
      <c r="AM244" s="229"/>
      <c r="AN244" s="229"/>
      <c r="AO244" s="229"/>
      <c r="AP244" s="229"/>
      <c r="AQ244" s="229"/>
      <c r="AR244" s="229"/>
      <c r="AS244" s="252"/>
      <c r="AT244" s="229"/>
      <c r="AU244" s="252"/>
    </row>
    <row r="245" spans="1:47" s="198" customFormat="1" ht="15.75" customHeight="1">
      <c r="A245" s="229"/>
      <c r="B245" s="297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229"/>
      <c r="AQ245" s="229"/>
      <c r="AR245" s="229"/>
      <c r="AS245" s="252"/>
      <c r="AT245" s="229"/>
      <c r="AU245" s="252"/>
    </row>
    <row r="246" spans="1:47" s="198" customFormat="1" ht="15.75" customHeight="1">
      <c r="A246" s="229"/>
      <c r="B246" s="297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  <c r="AA246" s="229"/>
      <c r="AB246" s="229"/>
      <c r="AC246" s="229"/>
      <c r="AD246" s="229"/>
      <c r="AE246" s="229"/>
      <c r="AF246" s="229"/>
      <c r="AG246" s="229"/>
      <c r="AH246" s="229"/>
      <c r="AI246" s="229"/>
      <c r="AJ246" s="229"/>
      <c r="AK246" s="229"/>
      <c r="AL246" s="229"/>
      <c r="AM246" s="229"/>
      <c r="AN246" s="229"/>
      <c r="AO246" s="229"/>
      <c r="AP246" s="229"/>
      <c r="AQ246" s="229"/>
      <c r="AR246" s="229"/>
      <c r="AS246" s="252"/>
      <c r="AT246" s="229"/>
      <c r="AU246" s="252"/>
    </row>
    <row r="247" spans="1:47" s="198" customFormat="1" ht="15.75" customHeight="1"/>
    <row r="248" spans="1:47" s="198" customFormat="1" ht="15.75" customHeight="1"/>
    <row r="249" spans="1:47" s="198" customFormat="1" ht="15.75" customHeight="1"/>
    <row r="250" spans="1:47" s="198" customFormat="1" ht="15.75" customHeight="1"/>
    <row r="251" spans="1:47" s="198" customFormat="1" ht="15.75" customHeight="1"/>
    <row r="252" spans="1:47" s="198" customFormat="1" ht="15.75" customHeight="1"/>
    <row r="253" spans="1:47" s="198" customFormat="1" ht="15.75" customHeight="1"/>
    <row r="254" spans="1:47" s="198" customFormat="1" ht="15.75" customHeight="1"/>
    <row r="255" spans="1:47" s="198" customFormat="1" ht="15.75" customHeight="1"/>
    <row r="256" spans="1:47" s="198" customFormat="1" ht="15.75" customHeight="1"/>
    <row r="257" s="198" customFormat="1" ht="15.75" customHeight="1"/>
    <row r="258" s="198" customFormat="1" ht="15.75" customHeight="1"/>
    <row r="259" s="198" customFormat="1" ht="15.75" customHeight="1"/>
    <row r="260" s="198" customFormat="1" ht="15.75" customHeight="1"/>
    <row r="261" s="198" customFormat="1" ht="15.75" customHeight="1"/>
    <row r="262" s="198" customFormat="1" ht="15.75" customHeight="1"/>
    <row r="263" s="198" customFormat="1" ht="15.75" customHeight="1"/>
    <row r="264" s="198" customFormat="1" ht="15.75" customHeight="1"/>
    <row r="265" s="198" customFormat="1" ht="15.75" customHeight="1"/>
    <row r="266" s="198" customFormat="1" ht="15.75" customHeight="1"/>
    <row r="267" s="198" customFormat="1" ht="15.75" customHeight="1"/>
    <row r="268" s="198" customFormat="1" ht="15.75" customHeight="1"/>
    <row r="269" s="198" customFormat="1" ht="15.75" customHeight="1"/>
    <row r="270" s="198" customFormat="1" ht="15.75" customHeight="1"/>
    <row r="271" s="198" customFormat="1" ht="15.75" customHeight="1"/>
    <row r="272" s="198" customFormat="1" ht="15.75" customHeight="1"/>
    <row r="273" s="198" customFormat="1" ht="15.75" customHeight="1"/>
    <row r="274" s="198" customFormat="1" ht="15.75" customHeight="1"/>
    <row r="275" s="198" customFormat="1" ht="15.75" customHeight="1"/>
    <row r="276" s="198" customFormat="1" ht="15.75" customHeight="1"/>
    <row r="277" s="198" customFormat="1" ht="15.75" customHeight="1"/>
    <row r="278" s="198" customFormat="1" ht="15.75" customHeight="1"/>
    <row r="279" s="198" customFormat="1" ht="15.75" customHeight="1"/>
    <row r="280" s="198" customFormat="1" ht="15.75" customHeight="1"/>
    <row r="281" s="198" customFormat="1" ht="15.75" customHeight="1"/>
    <row r="282" s="198" customFormat="1" ht="15.75" customHeight="1"/>
    <row r="283" s="198" customFormat="1" ht="15.75" customHeight="1"/>
    <row r="284" s="198" customFormat="1" ht="15.75" customHeight="1"/>
    <row r="285" s="198" customFormat="1" ht="15.75" customHeight="1"/>
    <row r="286" s="198" customFormat="1" ht="15.75" customHeight="1"/>
    <row r="287" s="198" customFormat="1" ht="15.75" customHeight="1"/>
    <row r="288" s="198" customFormat="1" ht="15.75" customHeight="1"/>
    <row r="289" s="198" customFormat="1" ht="15.75" customHeight="1"/>
    <row r="290" s="198" customFormat="1" ht="15.75" customHeight="1"/>
    <row r="291" s="198" customFormat="1" ht="15.75" customHeight="1"/>
    <row r="292" s="198" customFormat="1" ht="15.75" customHeight="1"/>
    <row r="293" s="198" customFormat="1" ht="15.75" customHeight="1"/>
    <row r="294" s="198" customFormat="1" ht="15.75" customHeight="1"/>
    <row r="295" s="198" customFormat="1" ht="15.75" customHeight="1"/>
    <row r="296" s="198" customFormat="1" ht="15.75" customHeight="1"/>
    <row r="297" s="198" customFormat="1" ht="15.75" customHeight="1"/>
    <row r="298" s="198" customFormat="1" ht="15.75" customHeight="1"/>
    <row r="299" s="198" customFormat="1" ht="15.75" customHeight="1"/>
    <row r="300" s="198" customFormat="1" ht="15.75" customHeight="1"/>
    <row r="301" s="198" customFormat="1" ht="15.75" customHeight="1"/>
    <row r="302" s="198" customFormat="1" ht="15.75" customHeight="1"/>
    <row r="303" s="198" customFormat="1" ht="15.75" customHeight="1"/>
    <row r="304" s="198" customFormat="1" ht="15.75" customHeight="1"/>
    <row r="305" s="198" customFormat="1" ht="15.75" customHeight="1"/>
    <row r="306" s="198" customFormat="1" ht="15.75" customHeight="1"/>
    <row r="307" s="198" customFormat="1" ht="15.75" customHeight="1"/>
    <row r="308" s="198" customFormat="1" ht="15.75" customHeight="1"/>
    <row r="309" s="198" customFormat="1" ht="15.75" customHeight="1"/>
    <row r="310" s="198" customFormat="1" ht="15.75" customHeight="1"/>
    <row r="311" s="198" customFormat="1" ht="15.75" customHeight="1"/>
    <row r="312" s="198" customFormat="1" ht="15.75" customHeight="1"/>
    <row r="313" s="198" customFormat="1" ht="15.75" customHeight="1"/>
    <row r="314" s="198" customFormat="1" ht="15.75" customHeight="1"/>
    <row r="315" s="198" customFormat="1" ht="15.75" customHeight="1"/>
    <row r="316" s="198" customFormat="1" ht="15.75" customHeight="1"/>
    <row r="317" s="198" customFormat="1" ht="15.75" customHeight="1"/>
    <row r="318" s="198" customFormat="1" ht="15.75" customHeight="1"/>
    <row r="319" s="198" customFormat="1" ht="15.75" customHeight="1"/>
    <row r="320" s="198" customFormat="1" ht="15.75" customHeight="1"/>
    <row r="321" s="198" customFormat="1" ht="15.75" customHeight="1"/>
    <row r="322" s="198" customFormat="1" ht="15.75" customHeight="1"/>
    <row r="323" s="198" customFormat="1" ht="15.75" customHeight="1"/>
    <row r="324" s="198" customFormat="1" ht="15.75" customHeight="1"/>
    <row r="325" s="198" customFormat="1" ht="15.75" customHeight="1"/>
    <row r="326" s="198" customFormat="1" ht="15.75" customHeight="1"/>
    <row r="327" s="198" customFormat="1" ht="15.75" customHeight="1"/>
    <row r="328" s="198" customFormat="1" ht="15.75" customHeight="1"/>
    <row r="329" s="198" customFormat="1" ht="15.75" customHeight="1"/>
    <row r="330" s="198" customFormat="1" ht="15.75" customHeight="1"/>
    <row r="331" s="198" customFormat="1" ht="15.75" customHeight="1"/>
    <row r="332" s="198" customFormat="1" ht="15.75" customHeight="1"/>
    <row r="333" s="198" customFormat="1" ht="15.75" customHeight="1"/>
    <row r="334" s="198" customFormat="1" ht="15.75" customHeight="1"/>
    <row r="335" s="198" customFormat="1" ht="15.75" customHeight="1"/>
    <row r="336" s="198" customFormat="1" ht="15.75" customHeight="1"/>
    <row r="337" s="198" customFormat="1" ht="15.75" customHeight="1"/>
    <row r="338" s="198" customFormat="1" ht="15.75" customHeight="1"/>
    <row r="339" s="198" customFormat="1" ht="15.75" customHeight="1"/>
    <row r="340" s="198" customFormat="1" ht="15.75" customHeight="1"/>
    <row r="341" s="198" customFormat="1" ht="15.75" customHeight="1"/>
    <row r="342" s="198" customFormat="1" ht="15.75" customHeight="1"/>
    <row r="343" s="198" customFormat="1" ht="15.75" customHeight="1"/>
    <row r="344" s="198" customFormat="1" ht="15.75" customHeight="1"/>
    <row r="345" s="198" customFormat="1" ht="15.75" customHeight="1"/>
    <row r="346" s="198" customFormat="1" ht="15.75" customHeight="1"/>
    <row r="347" s="198" customFormat="1" ht="15.75" customHeight="1"/>
    <row r="348" s="198" customFormat="1" ht="15.75" customHeight="1"/>
    <row r="349" s="198" customFormat="1" ht="15.75" customHeight="1"/>
    <row r="350" s="198" customFormat="1" ht="15.75" customHeight="1"/>
    <row r="351" s="198" customFormat="1" ht="15.75" customHeight="1"/>
    <row r="352" s="198" customFormat="1" ht="15.75" customHeight="1"/>
    <row r="353" s="198" customFormat="1" ht="15.75" customHeight="1"/>
    <row r="354" s="198" customFormat="1" ht="15.75" customHeight="1"/>
    <row r="355" s="198" customFormat="1" ht="15.75" customHeight="1"/>
    <row r="356" s="198" customFormat="1" ht="15.75" customHeight="1"/>
    <row r="357" s="198" customFormat="1" ht="15.75" customHeight="1"/>
    <row r="358" s="198" customFormat="1" ht="15.75" customHeight="1"/>
    <row r="359" s="198" customFormat="1" ht="15.75" customHeight="1"/>
    <row r="360" s="198" customFormat="1" ht="15.75" customHeight="1"/>
    <row r="361" s="198" customFormat="1" ht="15.75" customHeight="1"/>
    <row r="362" s="198" customFormat="1" ht="15.75" customHeight="1"/>
    <row r="363" s="198" customFormat="1" ht="15.75" customHeight="1"/>
    <row r="364" s="198" customFormat="1" ht="15.75" customHeight="1"/>
    <row r="365" s="198" customFormat="1" ht="15.75" customHeight="1"/>
    <row r="366" s="198" customFormat="1" ht="15.75" customHeight="1"/>
    <row r="367" s="198" customFormat="1" ht="15.75" customHeight="1"/>
    <row r="368" s="198" customFormat="1" ht="15.75" customHeight="1"/>
    <row r="369" s="198" customFormat="1" ht="15.75" customHeight="1"/>
    <row r="370" s="198" customFormat="1" ht="15.75" customHeight="1"/>
    <row r="371" s="198" customFormat="1" ht="15.75" customHeight="1"/>
    <row r="372" s="198" customFormat="1" ht="15.75" customHeight="1"/>
    <row r="373" s="198" customFormat="1" ht="15.75" customHeight="1"/>
    <row r="374" s="198" customFormat="1" ht="15.75" customHeight="1"/>
    <row r="375" s="198" customFormat="1" ht="15.75" customHeight="1"/>
    <row r="376" s="198" customFormat="1" ht="15.75" customHeight="1"/>
    <row r="377" s="198" customFormat="1" ht="15.75" customHeight="1"/>
    <row r="378" s="198" customFormat="1" ht="15.75" customHeight="1"/>
    <row r="379" s="198" customFormat="1" ht="15.75" customHeight="1"/>
    <row r="380" s="198" customFormat="1" ht="15.75" customHeight="1"/>
    <row r="381" s="198" customFormat="1" ht="15.75" customHeight="1"/>
    <row r="382" s="198" customFormat="1" ht="15.75" customHeight="1"/>
    <row r="383" s="198" customFormat="1" ht="15.75" customHeight="1"/>
    <row r="384" s="198" customFormat="1" ht="15.75" customHeight="1"/>
    <row r="385" s="198" customFormat="1" ht="15.75" customHeight="1"/>
    <row r="386" s="198" customFormat="1" ht="15.75" customHeight="1"/>
    <row r="387" s="198" customFormat="1" ht="15.75" customHeight="1"/>
    <row r="388" s="198" customFormat="1" ht="15.75" customHeight="1"/>
    <row r="389" s="198" customFormat="1" ht="15.75" customHeight="1"/>
    <row r="390" s="198" customFormat="1" ht="15.75" customHeight="1"/>
    <row r="391" s="198" customFormat="1" ht="15.75" customHeight="1"/>
    <row r="392" s="198" customFormat="1" ht="15.75" customHeight="1"/>
    <row r="393" s="198" customFormat="1" ht="15.75" customHeight="1"/>
    <row r="394" s="198" customFormat="1" ht="15.75" customHeight="1"/>
    <row r="395" s="198" customFormat="1" ht="15.75" customHeight="1"/>
    <row r="396" s="198" customFormat="1" ht="15.75" customHeight="1"/>
    <row r="397" s="198" customFormat="1" ht="15.75" customHeight="1"/>
    <row r="398" s="198" customFormat="1" ht="15.75" customHeight="1"/>
    <row r="399" s="198" customFormat="1" ht="15.75" customHeight="1"/>
    <row r="400" s="198" customFormat="1" ht="15.75" customHeight="1"/>
    <row r="401" s="198" customFormat="1" ht="15.75" customHeight="1"/>
    <row r="402" s="198" customFormat="1" ht="15.75" customHeight="1"/>
    <row r="403" s="198" customFormat="1" ht="15.75" customHeight="1"/>
    <row r="404" s="198" customFormat="1" ht="15.75" customHeight="1"/>
    <row r="405" s="198" customFormat="1" ht="15.75" customHeight="1"/>
    <row r="406" s="198" customFormat="1" ht="15.75" customHeight="1"/>
    <row r="407" s="198" customFormat="1" ht="15.75" customHeight="1"/>
    <row r="408" s="198" customFormat="1" ht="15.75" customHeight="1"/>
    <row r="409" s="198" customFormat="1" ht="15.75" customHeight="1"/>
    <row r="410" s="198" customFormat="1" ht="15.75" customHeight="1"/>
    <row r="411" s="198" customFormat="1" ht="15.75" customHeight="1"/>
    <row r="412" s="198" customFormat="1" ht="15.75" customHeight="1"/>
    <row r="413" s="198" customFormat="1" ht="15.75" customHeight="1"/>
    <row r="414" s="198" customFormat="1" ht="15.75" customHeight="1"/>
    <row r="415" s="198" customFormat="1" ht="15.75" customHeight="1"/>
    <row r="416" s="198" customFormat="1" ht="15.75" customHeight="1"/>
    <row r="417" s="198" customFormat="1" ht="15.75" customHeight="1"/>
    <row r="418" s="198" customFormat="1" ht="15.75" customHeight="1"/>
    <row r="419" s="198" customFormat="1" ht="15.75" customHeight="1"/>
    <row r="420" s="198" customFormat="1" ht="15.75" customHeight="1"/>
    <row r="421" s="198" customFormat="1" ht="15.75" customHeight="1"/>
    <row r="422" s="198" customFormat="1" ht="15.75" customHeight="1"/>
    <row r="423" s="198" customFormat="1" ht="15.75" customHeight="1"/>
    <row r="424" s="198" customFormat="1" ht="15.75" customHeight="1"/>
    <row r="425" s="198" customFormat="1" ht="15.75" customHeight="1"/>
    <row r="426" s="198" customFormat="1" ht="15.75" customHeight="1"/>
    <row r="427" s="198" customFormat="1" ht="15.75" customHeight="1"/>
    <row r="428" s="198" customFormat="1" ht="15.75" customHeight="1"/>
    <row r="429" s="198" customFormat="1" ht="15.75" customHeight="1"/>
    <row r="430" s="198" customFormat="1" ht="15.75" customHeight="1"/>
    <row r="431" s="198" customFormat="1" ht="15.75" customHeight="1"/>
    <row r="432" s="198" customFormat="1" ht="15.75" customHeight="1"/>
    <row r="433" s="198" customFormat="1" ht="15.75" customHeight="1"/>
    <row r="434" s="198" customFormat="1" ht="15.75" customHeight="1"/>
    <row r="435" s="198" customFormat="1" ht="15.75" customHeight="1"/>
    <row r="436" s="198" customFormat="1" ht="15.75" customHeight="1"/>
    <row r="437" s="198" customFormat="1" ht="15.75" customHeight="1"/>
    <row r="438" s="198" customFormat="1" ht="15.75" customHeight="1"/>
    <row r="439" s="198" customFormat="1" ht="15.75" customHeight="1"/>
    <row r="440" s="198" customFormat="1" ht="15.75" customHeight="1"/>
    <row r="441" s="198" customFormat="1" ht="15.75" customHeight="1"/>
    <row r="442" s="198" customFormat="1" ht="15.75" customHeight="1"/>
    <row r="443" s="198" customFormat="1" ht="15.75" customHeight="1"/>
    <row r="444" s="198" customFormat="1" ht="15.75" customHeight="1"/>
    <row r="445" s="198" customFormat="1" ht="15.75" customHeight="1"/>
    <row r="446" s="198" customFormat="1" ht="15.75" customHeight="1"/>
    <row r="447" s="198" customFormat="1" ht="15.75" customHeight="1"/>
    <row r="448" s="198" customFormat="1" ht="15.75" customHeight="1"/>
    <row r="449" s="198" customFormat="1" ht="15.75" customHeight="1"/>
    <row r="450" s="198" customFormat="1" ht="15.75" customHeight="1"/>
    <row r="451" s="198" customFormat="1" ht="15.75" customHeight="1"/>
    <row r="452" s="198" customFormat="1" ht="15.75" customHeight="1"/>
    <row r="453" s="198" customFormat="1" ht="15.75" customHeight="1"/>
    <row r="454" s="198" customFormat="1" ht="15.75" customHeight="1"/>
    <row r="455" s="198" customFormat="1" ht="15.75" customHeight="1"/>
    <row r="456" s="198" customFormat="1" ht="15.75" customHeight="1"/>
    <row r="457" s="198" customFormat="1" ht="15.75" customHeight="1"/>
    <row r="458" s="198" customFormat="1" ht="15.75" customHeight="1"/>
    <row r="459" s="198" customFormat="1" ht="15.75" customHeight="1"/>
    <row r="460" s="198" customFormat="1" ht="15.75" customHeight="1"/>
    <row r="461" s="198" customFormat="1" ht="15.75" customHeight="1"/>
    <row r="462" s="198" customFormat="1" ht="15.75" customHeight="1"/>
    <row r="463" s="198" customFormat="1" ht="15.75" customHeight="1"/>
    <row r="464" s="198" customFormat="1" ht="15.75" customHeight="1"/>
    <row r="465" s="198" customFormat="1" ht="15.75" customHeight="1"/>
    <row r="466" s="198" customFormat="1" ht="15.75" customHeight="1"/>
    <row r="467" s="198" customFormat="1" ht="15.75" customHeight="1"/>
    <row r="468" s="198" customFormat="1" ht="15.75" customHeight="1"/>
    <row r="469" s="198" customFormat="1" ht="15.75" customHeight="1"/>
    <row r="470" s="198" customFormat="1" ht="15.75" customHeight="1"/>
    <row r="471" s="198" customFormat="1" ht="15.75" customHeight="1"/>
    <row r="472" s="198" customFormat="1" ht="15.75" customHeight="1"/>
    <row r="473" s="198" customFormat="1" ht="15.75" customHeight="1"/>
    <row r="474" s="198" customFormat="1" ht="15.75" customHeight="1"/>
    <row r="475" s="198" customFormat="1" ht="15.75" customHeight="1"/>
    <row r="476" s="198" customFormat="1" ht="15.75" customHeight="1"/>
    <row r="477" s="198" customFormat="1" ht="15.75" customHeight="1"/>
    <row r="478" s="198" customFormat="1" ht="15.75" customHeight="1"/>
    <row r="479" s="198" customFormat="1" ht="15.75" customHeight="1"/>
    <row r="480" s="198" customFormat="1" ht="15.75" customHeight="1"/>
    <row r="481" s="198" customFormat="1" ht="15.75" customHeight="1"/>
    <row r="482" s="198" customFormat="1" ht="15.75" customHeight="1"/>
    <row r="483" s="198" customFormat="1" ht="15.75" customHeight="1"/>
    <row r="484" s="198" customFormat="1" ht="15.75" customHeight="1"/>
    <row r="485" s="198" customFormat="1" ht="15.75" customHeight="1"/>
    <row r="486" s="198" customFormat="1" ht="15.75" customHeight="1"/>
    <row r="487" s="198" customFormat="1" ht="15.75" customHeight="1"/>
    <row r="488" s="198" customFormat="1" ht="15.75" customHeight="1"/>
    <row r="489" s="198" customFormat="1" ht="15.75" customHeight="1"/>
    <row r="490" s="198" customFormat="1" ht="15.75" customHeight="1"/>
    <row r="491" s="198" customFormat="1" ht="15.75" customHeight="1"/>
    <row r="492" s="198" customFormat="1" ht="15.75" customHeight="1"/>
    <row r="493" s="198" customFormat="1" ht="15.75" customHeight="1"/>
    <row r="494" s="198" customFormat="1" ht="15.75" customHeight="1"/>
    <row r="495" s="198" customFormat="1" ht="15.75" customHeight="1"/>
    <row r="496" s="198" customFormat="1" ht="15.75" customHeight="1"/>
    <row r="497" s="198" customFormat="1" ht="15.75" customHeight="1"/>
    <row r="498" s="198" customFormat="1" ht="15.75" customHeight="1"/>
    <row r="499" s="198" customFormat="1" ht="15.75" customHeight="1"/>
    <row r="500" s="198" customFormat="1" ht="15.75" customHeight="1"/>
    <row r="501" s="198" customFormat="1" ht="15.75" customHeight="1"/>
    <row r="502" s="198" customFormat="1" ht="15.75" customHeight="1"/>
    <row r="503" s="198" customFormat="1" ht="15.75" customHeight="1"/>
    <row r="504" s="198" customFormat="1" ht="15.75" customHeight="1"/>
    <row r="505" s="198" customFormat="1" ht="15.75" customHeight="1"/>
    <row r="506" s="198" customFormat="1" ht="15.75" customHeight="1"/>
    <row r="507" s="198" customFormat="1" ht="15.75" customHeight="1"/>
    <row r="508" s="198" customFormat="1" ht="15.75" customHeight="1"/>
    <row r="509" s="198" customFormat="1" ht="15.75" customHeight="1"/>
    <row r="510" s="198" customFormat="1" ht="15.75" customHeight="1"/>
    <row r="511" s="198" customFormat="1" ht="15.75" customHeight="1"/>
    <row r="512" s="198" customFormat="1" ht="15.75" customHeight="1"/>
    <row r="513" s="198" customFormat="1" ht="15.75" customHeight="1"/>
    <row r="514" s="198" customFormat="1" ht="15.75" customHeight="1"/>
    <row r="515" s="198" customFormat="1" ht="15.75" customHeight="1"/>
    <row r="516" s="198" customFormat="1" ht="15.75" customHeight="1"/>
    <row r="517" s="198" customFormat="1" ht="15.75" customHeight="1"/>
    <row r="518" s="198" customFormat="1" ht="15.75" customHeight="1"/>
    <row r="519" s="198" customFormat="1" ht="15.75" customHeight="1"/>
    <row r="520" s="198" customFormat="1" ht="15.75" customHeight="1"/>
    <row r="521" s="198" customFormat="1" ht="15.75" customHeight="1"/>
    <row r="522" s="198" customFormat="1" ht="15.75" customHeight="1"/>
    <row r="523" s="198" customFormat="1" ht="15.75" customHeight="1"/>
    <row r="524" s="198" customFormat="1" ht="15.75" customHeight="1"/>
    <row r="525" s="198" customFormat="1" ht="15.75" customHeight="1"/>
    <row r="526" s="198" customFormat="1" ht="15.75" customHeight="1"/>
    <row r="527" s="198" customFormat="1" ht="15.75" customHeight="1"/>
    <row r="528" s="198" customFormat="1" ht="15.75" customHeight="1"/>
    <row r="529" s="198" customFormat="1" ht="15.75" customHeight="1"/>
    <row r="530" s="198" customFormat="1" ht="15.75" customHeight="1"/>
    <row r="531" s="198" customFormat="1" ht="15.75" customHeight="1"/>
    <row r="532" s="198" customFormat="1" ht="15.75" customHeight="1"/>
    <row r="533" s="198" customFormat="1" ht="15.75" customHeight="1"/>
    <row r="534" s="198" customFormat="1" ht="15.75" customHeight="1"/>
    <row r="535" s="198" customFormat="1" ht="15.75" customHeight="1"/>
    <row r="536" s="198" customFormat="1" ht="15.75" customHeight="1"/>
    <row r="537" s="198" customFormat="1" ht="15.75" customHeight="1"/>
    <row r="538" s="198" customFormat="1" ht="15.75" customHeight="1"/>
    <row r="539" s="198" customFormat="1" ht="15.75" customHeight="1"/>
    <row r="540" s="198" customFormat="1" ht="15.75" customHeight="1"/>
    <row r="541" s="198" customFormat="1" ht="15.75" customHeight="1"/>
    <row r="542" s="198" customFormat="1" ht="15.75" customHeight="1"/>
    <row r="543" s="198" customFormat="1" ht="15.75" customHeight="1"/>
    <row r="544" s="198" customFormat="1" ht="15.75" customHeight="1"/>
    <row r="545" s="198" customFormat="1" ht="15.75" customHeight="1"/>
    <row r="546" s="198" customFormat="1" ht="15.75" customHeight="1"/>
    <row r="547" s="198" customFormat="1" ht="15.75" customHeight="1"/>
    <row r="548" s="198" customFormat="1" ht="15.75" customHeight="1"/>
    <row r="549" s="198" customFormat="1" ht="15.75" customHeight="1"/>
    <row r="550" s="198" customFormat="1" ht="15.75" customHeight="1"/>
    <row r="551" s="198" customFormat="1" ht="15.75" customHeight="1"/>
    <row r="552" s="198" customFormat="1" ht="15.75" customHeight="1"/>
    <row r="553" s="198" customFormat="1" ht="15.75" customHeight="1"/>
    <row r="554" s="198" customFormat="1" ht="15.75" customHeight="1"/>
    <row r="555" s="198" customFormat="1" ht="15.75" customHeight="1"/>
    <row r="556" s="198" customFormat="1" ht="15.75" customHeight="1"/>
    <row r="557" s="198" customFormat="1" ht="15.75" customHeight="1"/>
    <row r="558" s="198" customFormat="1" ht="15.75" customHeight="1"/>
    <row r="559" s="198" customFormat="1" ht="15.75" customHeight="1"/>
    <row r="560" s="198" customFormat="1" ht="15.75" customHeight="1"/>
    <row r="561" s="198" customFormat="1" ht="15.75" customHeight="1"/>
    <row r="562" s="198" customFormat="1" ht="15.75" customHeight="1"/>
    <row r="563" s="198" customFormat="1" ht="15.75" customHeight="1"/>
    <row r="564" s="198" customFormat="1" ht="15.75" customHeight="1"/>
    <row r="565" s="198" customFormat="1" ht="15.75" customHeight="1"/>
    <row r="566" s="198" customFormat="1" ht="15.75" customHeight="1"/>
    <row r="567" s="198" customFormat="1" ht="15.75" customHeight="1"/>
    <row r="568" s="198" customFormat="1" ht="15.75" customHeight="1"/>
    <row r="569" s="198" customFormat="1" ht="15.75" customHeight="1"/>
    <row r="570" s="198" customFormat="1" ht="15.75" customHeight="1"/>
    <row r="571" s="198" customFormat="1" ht="15.75" customHeight="1"/>
    <row r="572" s="198" customFormat="1" ht="15.75" customHeight="1"/>
    <row r="573" s="198" customFormat="1" ht="15.75" customHeight="1"/>
    <row r="574" s="198" customFormat="1" ht="15.75" customHeight="1"/>
    <row r="575" s="198" customFormat="1" ht="15.75" customHeight="1"/>
    <row r="576" s="198" customFormat="1" ht="15.75" customHeight="1"/>
    <row r="577" s="198" customFormat="1" ht="15.75" customHeight="1"/>
    <row r="578" s="198" customFormat="1" ht="15.75" customHeight="1"/>
    <row r="579" s="198" customFormat="1" ht="15.75" customHeight="1"/>
    <row r="580" s="198" customFormat="1" ht="15.75" customHeight="1"/>
    <row r="581" s="198" customFormat="1" ht="15.75" customHeight="1"/>
    <row r="582" s="198" customFormat="1" ht="15.75" customHeight="1"/>
    <row r="583" s="198" customFormat="1" ht="15.75" customHeight="1"/>
    <row r="584" s="198" customFormat="1" ht="15.75" customHeight="1"/>
    <row r="585" s="198" customFormat="1" ht="15.75" customHeight="1"/>
    <row r="586" s="198" customFormat="1" ht="15.75" customHeight="1"/>
    <row r="587" s="198" customFormat="1" ht="15.75" customHeight="1"/>
    <row r="588" s="198" customFormat="1" ht="15.75" customHeight="1"/>
    <row r="589" s="198" customFormat="1" ht="15.75" customHeight="1"/>
    <row r="590" s="198" customFormat="1" ht="15.75" customHeight="1"/>
    <row r="591" s="198" customFormat="1" ht="15.75" customHeight="1"/>
    <row r="592" s="198" customFormat="1" ht="15.75" customHeight="1"/>
    <row r="593" s="198" customFormat="1" ht="15.75" customHeight="1"/>
    <row r="594" s="198" customFormat="1" ht="15.75" customHeight="1"/>
    <row r="595" s="198" customFormat="1" ht="15.75" customHeight="1"/>
    <row r="596" s="198" customFormat="1" ht="15.75" customHeight="1"/>
    <row r="597" s="198" customFormat="1" ht="15.75" customHeight="1"/>
    <row r="598" s="198" customFormat="1" ht="15.75" customHeight="1"/>
    <row r="599" s="198" customFormat="1" ht="15.75" customHeight="1"/>
    <row r="600" s="198" customFormat="1" ht="15.75" customHeight="1"/>
    <row r="601" s="198" customFormat="1" ht="15.75" customHeight="1"/>
    <row r="602" s="198" customFormat="1" ht="15.75" customHeight="1"/>
    <row r="603" s="198" customFormat="1" ht="15.75" customHeight="1"/>
    <row r="604" s="198" customFormat="1" ht="15.75" customHeight="1"/>
    <row r="605" s="198" customFormat="1" ht="15.75" customHeight="1"/>
    <row r="606" s="198" customFormat="1" ht="15.75" customHeight="1"/>
    <row r="607" s="198" customFormat="1" ht="15.75" customHeight="1"/>
    <row r="608" s="198" customFormat="1" ht="15.75" customHeight="1"/>
    <row r="609" s="198" customFormat="1" ht="15.75" customHeight="1"/>
    <row r="610" s="198" customFormat="1" ht="15.75" customHeight="1"/>
    <row r="611" s="198" customFormat="1" ht="15.75" customHeight="1"/>
    <row r="612" s="198" customFormat="1" ht="15.75" customHeight="1"/>
    <row r="613" s="198" customFormat="1" ht="15.75" customHeight="1"/>
    <row r="614" s="198" customFormat="1" ht="15.75" customHeight="1"/>
    <row r="615" s="198" customFormat="1" ht="15.75" customHeight="1"/>
    <row r="616" s="198" customFormat="1" ht="15.75" customHeight="1"/>
    <row r="617" s="198" customFormat="1" ht="15.75" customHeight="1"/>
    <row r="618" s="198" customFormat="1" ht="15.75" customHeight="1"/>
    <row r="619" s="198" customFormat="1" ht="15.75" customHeight="1"/>
    <row r="620" s="198" customFormat="1" ht="15.75" customHeight="1"/>
    <row r="621" s="198" customFormat="1" ht="15.75" customHeight="1"/>
    <row r="622" s="198" customFormat="1" ht="15.75" customHeight="1"/>
    <row r="623" s="198" customFormat="1" ht="15.75" customHeight="1"/>
    <row r="624" s="198" customFormat="1" ht="15.75" customHeight="1"/>
    <row r="625" s="198" customFormat="1" ht="15.75" customHeight="1"/>
    <row r="626" s="198" customFormat="1" ht="15.75" customHeight="1"/>
    <row r="627" s="198" customFormat="1" ht="15.75" customHeight="1"/>
    <row r="628" s="198" customFormat="1" ht="15.75" customHeight="1"/>
    <row r="629" s="198" customFormat="1" ht="15.75" customHeight="1"/>
    <row r="630" s="198" customFormat="1" ht="15.75" customHeight="1"/>
    <row r="631" s="198" customFormat="1" ht="15.75" customHeight="1"/>
    <row r="632" s="198" customFormat="1" ht="15.75" customHeight="1"/>
    <row r="633" s="198" customFormat="1" ht="15.75" customHeight="1"/>
    <row r="634" s="198" customFormat="1" ht="15.75" customHeight="1"/>
    <row r="635" s="198" customFormat="1" ht="15.75" customHeight="1"/>
    <row r="636" s="198" customFormat="1" ht="15.75" customHeight="1"/>
    <row r="637" s="198" customFormat="1" ht="15.75" customHeight="1"/>
    <row r="638" s="198" customFormat="1" ht="15.75" customHeight="1"/>
    <row r="639" s="198" customFormat="1" ht="15.75" customHeight="1"/>
    <row r="640" s="198" customFormat="1" ht="15.75" customHeight="1"/>
    <row r="641" s="198" customFormat="1" ht="15.75" customHeight="1"/>
    <row r="642" s="198" customFormat="1" ht="15.75" customHeight="1"/>
    <row r="643" s="198" customFormat="1" ht="15.75" customHeight="1"/>
    <row r="644" s="198" customFormat="1" ht="15.75" customHeight="1"/>
    <row r="645" s="198" customFormat="1" ht="15.75" customHeight="1"/>
    <row r="646" s="198" customFormat="1" ht="15.75" customHeight="1"/>
    <row r="647" s="198" customFormat="1" ht="15.75" customHeight="1"/>
    <row r="648" s="198" customFormat="1" ht="15.75" customHeight="1"/>
    <row r="649" s="198" customFormat="1" ht="15.75" customHeight="1"/>
    <row r="650" s="198" customFormat="1" ht="15.75" customHeight="1"/>
    <row r="651" s="198" customFormat="1" ht="15.75" customHeight="1"/>
    <row r="652" s="198" customFormat="1" ht="15.75" customHeight="1"/>
    <row r="653" s="198" customFormat="1" ht="15.75" customHeight="1"/>
    <row r="654" s="198" customFormat="1" ht="15.75" customHeight="1"/>
    <row r="655" s="198" customFormat="1" ht="15.75" customHeight="1"/>
    <row r="656" s="198" customFormat="1" ht="15.75" customHeight="1"/>
    <row r="657" s="198" customFormat="1" ht="15.75" customHeight="1"/>
    <row r="658" s="198" customFormat="1" ht="15.75" customHeight="1"/>
    <row r="659" s="198" customFormat="1" ht="15.75" customHeight="1"/>
    <row r="660" s="198" customFormat="1" ht="15.75" customHeight="1"/>
    <row r="661" s="198" customFormat="1" ht="15.75" customHeight="1"/>
    <row r="662" s="198" customFormat="1" ht="15.75" customHeight="1"/>
    <row r="663" s="198" customFormat="1" ht="15.75" customHeight="1"/>
    <row r="664" s="198" customFormat="1" ht="15.75" customHeight="1"/>
    <row r="665" s="198" customFormat="1" ht="15.75" customHeight="1"/>
    <row r="666" s="198" customFormat="1" ht="15.75" customHeight="1"/>
    <row r="667" s="198" customFormat="1" ht="15.75" customHeight="1"/>
    <row r="668" s="198" customFormat="1" ht="15.75" customHeight="1"/>
    <row r="669" s="198" customFormat="1" ht="15.75" customHeight="1"/>
    <row r="670" s="198" customFormat="1" ht="15.75" customHeight="1"/>
    <row r="671" s="198" customFormat="1" ht="15.75" customHeight="1"/>
    <row r="672" s="198" customFormat="1" ht="15.75" customHeight="1"/>
    <row r="673" s="198" customFormat="1" ht="15.75" customHeight="1"/>
    <row r="674" s="198" customFormat="1" ht="15.75" customHeight="1"/>
    <row r="675" s="198" customFormat="1" ht="15.75" customHeight="1"/>
    <row r="676" s="198" customFormat="1" ht="15.75" customHeight="1"/>
    <row r="677" s="198" customFormat="1" ht="15.75" customHeight="1"/>
    <row r="678" s="198" customFormat="1" ht="15.75" customHeight="1"/>
    <row r="679" s="198" customFormat="1" ht="15.75" customHeight="1"/>
    <row r="680" s="198" customFormat="1" ht="15.75" customHeight="1"/>
    <row r="681" s="198" customFormat="1" ht="15.75" customHeight="1"/>
    <row r="682" s="198" customFormat="1" ht="15.75" customHeight="1"/>
    <row r="683" s="198" customFormat="1" ht="15.75" customHeight="1"/>
    <row r="684" s="198" customFormat="1" ht="15.75" customHeight="1"/>
    <row r="685" s="198" customFormat="1" ht="15.75" customHeight="1"/>
    <row r="686" s="198" customFormat="1" ht="15.75" customHeight="1"/>
    <row r="687" s="198" customFormat="1" ht="15.75" customHeight="1"/>
    <row r="688" s="198" customFormat="1" ht="15.75" customHeight="1"/>
    <row r="689" s="198" customFormat="1" ht="15.75" customHeight="1"/>
    <row r="690" s="198" customFormat="1" ht="15.75" customHeight="1"/>
    <row r="691" s="198" customFormat="1" ht="15.75" customHeight="1"/>
    <row r="692" s="198" customFormat="1" ht="15.75" customHeight="1"/>
    <row r="693" s="198" customFormat="1" ht="15.75" customHeight="1"/>
    <row r="694" s="198" customFormat="1" ht="15.75" customHeight="1"/>
    <row r="695" s="198" customFormat="1" ht="15.75" customHeight="1"/>
    <row r="696" s="198" customFormat="1" ht="15.75" customHeight="1"/>
    <row r="697" s="198" customFormat="1" ht="15.75" customHeight="1"/>
    <row r="698" s="198" customFormat="1" ht="15.75" customHeight="1"/>
    <row r="699" s="198" customFormat="1" ht="15.75" customHeight="1"/>
    <row r="700" s="198" customFormat="1" ht="15.75" customHeight="1"/>
    <row r="701" s="198" customFormat="1" ht="15.75" customHeight="1"/>
    <row r="702" s="198" customFormat="1" ht="15.75" customHeight="1"/>
    <row r="703" s="198" customFormat="1" ht="15.75" customHeight="1"/>
    <row r="704" s="198" customFormat="1" ht="15.75" customHeight="1"/>
    <row r="705" s="198" customFormat="1" ht="15.75" customHeight="1"/>
    <row r="706" s="198" customFormat="1" ht="15.75" customHeight="1"/>
    <row r="707" s="198" customFormat="1" ht="15.75" customHeight="1"/>
    <row r="708" s="198" customFormat="1" ht="15.75" customHeight="1"/>
    <row r="709" s="198" customFormat="1" ht="15.75" customHeight="1"/>
    <row r="710" s="198" customFormat="1" ht="15.75" customHeight="1"/>
    <row r="711" s="198" customFormat="1" ht="15.75" customHeight="1"/>
    <row r="712" s="198" customFormat="1" ht="15.75" customHeight="1"/>
    <row r="713" s="198" customFormat="1" ht="15.75" customHeight="1"/>
    <row r="714" s="198" customFormat="1" ht="15.75" customHeight="1"/>
    <row r="715" s="198" customFormat="1" ht="15.75" customHeight="1"/>
    <row r="716" s="198" customFormat="1" ht="15.75" customHeight="1"/>
    <row r="717" s="198" customFormat="1" ht="15.75" customHeight="1"/>
    <row r="718" s="198" customFormat="1" ht="15.75" customHeight="1"/>
    <row r="719" s="198" customFormat="1" ht="15.75" customHeight="1"/>
    <row r="720" s="198" customFormat="1" ht="15.75" customHeight="1"/>
    <row r="721" s="198" customFormat="1" ht="15.75" customHeight="1"/>
    <row r="722" s="198" customFormat="1" ht="15.75" customHeight="1"/>
    <row r="723" s="198" customFormat="1" ht="15.75" customHeight="1"/>
    <row r="724" s="198" customFormat="1" ht="15.75" customHeight="1"/>
    <row r="725" s="198" customFormat="1" ht="15.75" customHeight="1"/>
    <row r="726" s="198" customFormat="1" ht="15.75" customHeight="1"/>
    <row r="727" s="198" customFormat="1" ht="15.75" customHeight="1"/>
    <row r="728" s="198" customFormat="1" ht="15.75" customHeight="1"/>
    <row r="729" s="198" customFormat="1" ht="15.75" customHeight="1"/>
    <row r="730" s="198" customFormat="1" ht="15.75" customHeight="1"/>
    <row r="731" s="198" customFormat="1" ht="15.75" customHeight="1"/>
    <row r="732" s="198" customFormat="1" ht="15.75" customHeight="1"/>
    <row r="733" s="198" customFormat="1" ht="15.75" customHeight="1"/>
    <row r="734" s="198" customFormat="1" ht="15.75" customHeight="1"/>
    <row r="735" s="198" customFormat="1" ht="15.75" customHeight="1"/>
    <row r="736" s="198" customFormat="1" ht="15.75" customHeight="1"/>
    <row r="737" s="198" customFormat="1" ht="15.75" customHeight="1"/>
    <row r="738" s="198" customFormat="1" ht="15.75" customHeight="1"/>
    <row r="739" s="198" customFormat="1" ht="15.75" customHeight="1"/>
    <row r="740" s="198" customFormat="1" ht="15.75" customHeight="1"/>
    <row r="741" s="198" customFormat="1" ht="15.75" customHeight="1"/>
    <row r="742" s="198" customFormat="1" ht="15.75" customHeight="1"/>
    <row r="743" s="198" customFormat="1" ht="15.75" customHeight="1"/>
    <row r="744" s="198" customFormat="1" ht="15.75" customHeight="1"/>
    <row r="745" s="198" customFormat="1" ht="15.75" customHeight="1"/>
    <row r="746" s="198" customFormat="1" ht="15.75" customHeight="1"/>
    <row r="747" s="198" customFormat="1" ht="15.75" customHeight="1"/>
    <row r="748" s="198" customFormat="1" ht="15.75" customHeight="1"/>
    <row r="749" s="198" customFormat="1" ht="15.75" customHeight="1"/>
    <row r="750" s="198" customFormat="1" ht="15.75" customHeight="1"/>
    <row r="751" s="198" customFormat="1" ht="15.75" customHeight="1"/>
    <row r="752" s="198" customFormat="1" ht="15.75" customHeight="1"/>
    <row r="753" s="198" customFormat="1" ht="15.75" customHeight="1"/>
    <row r="754" s="198" customFormat="1" ht="15.75" customHeight="1"/>
    <row r="755" s="198" customFormat="1" ht="15.75" customHeight="1"/>
    <row r="756" s="198" customFormat="1" ht="15.75" customHeight="1"/>
    <row r="757" s="198" customFormat="1" ht="15.75" customHeight="1"/>
    <row r="758" s="198" customFormat="1" ht="15.75" customHeight="1"/>
    <row r="759" s="198" customFormat="1" ht="15.75" customHeight="1"/>
    <row r="760" s="198" customFormat="1" ht="15.75" customHeight="1"/>
    <row r="761" s="198" customFormat="1" ht="15.75" customHeight="1"/>
    <row r="762" s="198" customFormat="1" ht="15.75" customHeight="1"/>
    <row r="763" s="198" customFormat="1" ht="15.75" customHeight="1"/>
    <row r="764" s="198" customFormat="1" ht="15.75" customHeight="1"/>
    <row r="765" s="198" customFormat="1" ht="15.75" customHeight="1"/>
    <row r="766" s="198" customFormat="1" ht="15.75" customHeight="1"/>
    <row r="767" s="198" customFormat="1" ht="15.75" customHeight="1"/>
    <row r="768" s="198" customFormat="1" ht="15.75" customHeight="1"/>
    <row r="769" s="198" customFormat="1" ht="15.75" customHeight="1"/>
    <row r="770" s="198" customFormat="1" ht="15.75" customHeight="1"/>
    <row r="771" s="198" customFormat="1" ht="15.75" customHeight="1"/>
    <row r="772" s="198" customFormat="1" ht="15.75" customHeight="1"/>
    <row r="773" s="198" customFormat="1" ht="15.75" customHeight="1"/>
    <row r="774" s="198" customFormat="1" ht="15.75" customHeight="1"/>
    <row r="775" s="198" customFormat="1" ht="15.75" customHeight="1"/>
    <row r="776" s="198" customFormat="1" ht="15.75" customHeight="1"/>
    <row r="777" s="198" customFormat="1" ht="15.75" customHeight="1"/>
    <row r="778" s="198" customFormat="1" ht="15.75" customHeight="1"/>
    <row r="779" s="198" customFormat="1" ht="15.75" customHeight="1"/>
    <row r="780" s="198" customFormat="1" ht="15.75" customHeight="1"/>
    <row r="781" s="198" customFormat="1" ht="15.75" customHeight="1"/>
    <row r="782" s="198" customFormat="1" ht="15.75" customHeight="1"/>
    <row r="783" s="198" customFormat="1" ht="15.75" customHeight="1"/>
    <row r="784" s="198" customFormat="1" ht="15.75" customHeight="1"/>
    <row r="785" s="198" customFormat="1" ht="15.75" customHeight="1"/>
    <row r="786" s="198" customFormat="1" ht="15.75" customHeight="1"/>
    <row r="787" s="198" customFormat="1" ht="15.75" customHeight="1"/>
    <row r="788" s="198" customFormat="1" ht="15.75" customHeight="1"/>
    <row r="789" s="198" customFormat="1" ht="15.75" customHeight="1"/>
    <row r="790" s="198" customFormat="1" ht="15.75" customHeight="1"/>
    <row r="791" s="198" customFormat="1" ht="15.75" customHeight="1"/>
    <row r="792" s="198" customFormat="1" ht="15.75" customHeight="1"/>
    <row r="793" s="198" customFormat="1" ht="15.75" customHeight="1"/>
    <row r="794" s="198" customFormat="1" ht="15.75" customHeight="1"/>
    <row r="795" s="198" customFormat="1" ht="15.75" customHeight="1"/>
    <row r="796" s="198" customFormat="1" ht="15.75" customHeight="1"/>
    <row r="797" s="198" customFormat="1" ht="15.75" customHeight="1"/>
    <row r="798" s="198" customFormat="1" ht="15.75" customHeight="1"/>
    <row r="799" s="198" customFormat="1" ht="15.75" customHeight="1"/>
    <row r="800" s="198" customFormat="1" ht="15.75" customHeight="1"/>
    <row r="801" s="198" customFormat="1" ht="15.75" customHeight="1"/>
    <row r="802" s="198" customFormat="1" ht="15.75" customHeight="1"/>
    <row r="803" s="198" customFormat="1" ht="15.75" customHeight="1"/>
    <row r="804" s="198" customFormat="1" ht="15.75" customHeight="1"/>
    <row r="805" s="198" customFormat="1" ht="15.75" customHeight="1"/>
    <row r="806" s="198" customFormat="1" ht="15.75" customHeight="1"/>
    <row r="807" s="198" customFormat="1" ht="15.75" customHeight="1"/>
    <row r="808" s="198" customFormat="1" ht="15.75" customHeight="1"/>
    <row r="809" s="198" customFormat="1" ht="15.75" customHeight="1"/>
    <row r="810" s="198" customFormat="1" ht="15.75" customHeight="1"/>
    <row r="811" s="198" customFormat="1" ht="15.75" customHeight="1"/>
    <row r="812" s="198" customFormat="1" ht="15.75" customHeight="1"/>
    <row r="813" s="198" customFormat="1" ht="15.75" customHeight="1"/>
    <row r="814" s="198" customFormat="1" ht="15.75" customHeight="1"/>
    <row r="815" s="198" customFormat="1" ht="15.75" customHeight="1"/>
    <row r="816" s="198" customFormat="1" ht="15.75" customHeight="1"/>
    <row r="817" s="198" customFormat="1" ht="15.75" customHeight="1"/>
    <row r="818" s="198" customFormat="1" ht="15.75" customHeight="1"/>
    <row r="819" s="198" customFormat="1" ht="15.75" customHeight="1"/>
    <row r="820" s="198" customFormat="1" ht="15.75" customHeight="1"/>
    <row r="821" s="198" customFormat="1" ht="15.75" customHeight="1"/>
    <row r="822" s="198" customFormat="1" ht="15.75" customHeight="1"/>
    <row r="823" s="198" customFormat="1" ht="15.75" customHeight="1"/>
    <row r="824" s="198" customFormat="1" ht="15.75" customHeight="1"/>
    <row r="825" s="198" customFormat="1" ht="15.75" customHeight="1"/>
    <row r="826" s="198" customFormat="1" ht="15.75" customHeight="1"/>
    <row r="827" s="198" customFormat="1" ht="15.75" customHeight="1"/>
    <row r="828" s="198" customFormat="1" ht="15.75" customHeight="1"/>
    <row r="829" s="198" customFormat="1" ht="15.75" customHeight="1"/>
    <row r="830" s="198" customFormat="1" ht="15.75" customHeight="1"/>
    <row r="831" s="198" customFormat="1" ht="15.75" customHeight="1"/>
    <row r="832" s="198" customFormat="1" ht="15.75" customHeight="1"/>
    <row r="833" s="198" customFormat="1" ht="15.75" customHeight="1"/>
    <row r="834" s="198" customFormat="1" ht="15.75" customHeight="1"/>
    <row r="835" s="198" customFormat="1" ht="15.75" customHeight="1"/>
    <row r="836" s="198" customFormat="1" ht="15.75" customHeight="1"/>
    <row r="837" s="198" customFormat="1" ht="15.75" customHeight="1"/>
    <row r="838" s="198" customFormat="1" ht="15.75" customHeight="1"/>
    <row r="839" s="198" customFormat="1" ht="15.75" customHeight="1"/>
    <row r="840" s="198" customFormat="1" ht="15.75" customHeight="1"/>
    <row r="841" s="198" customFormat="1" ht="15.75" customHeight="1"/>
    <row r="842" s="198" customFormat="1" ht="15.75" customHeight="1"/>
    <row r="843" s="198" customFormat="1" ht="15.75" customHeight="1"/>
    <row r="844" s="198" customFormat="1" ht="15.75" customHeight="1"/>
    <row r="845" s="198" customFormat="1" ht="15.75" customHeight="1"/>
    <row r="846" s="198" customFormat="1" ht="15.75" customHeight="1"/>
    <row r="847" s="198" customFormat="1" ht="15.75" customHeight="1"/>
    <row r="848" s="198" customFormat="1" ht="15.75" customHeight="1"/>
    <row r="849" s="198" customFormat="1" ht="15.75" customHeight="1"/>
    <row r="850" s="198" customFormat="1" ht="15.75" customHeight="1"/>
    <row r="851" s="198" customFormat="1" ht="15.75" customHeight="1"/>
    <row r="852" s="198" customFormat="1" ht="15.75" customHeight="1"/>
    <row r="853" s="198" customFormat="1" ht="15.75" customHeight="1"/>
    <row r="854" s="198" customFormat="1" ht="15.75" customHeight="1"/>
    <row r="855" s="198" customFormat="1" ht="15.75" customHeight="1"/>
    <row r="856" s="198" customFormat="1" ht="15.75" customHeight="1"/>
    <row r="857" s="198" customFormat="1" ht="15.75" customHeight="1"/>
    <row r="858" s="198" customFormat="1" ht="15.75" customHeight="1"/>
    <row r="859" s="198" customFormat="1" ht="15.75" customHeight="1"/>
    <row r="860" s="198" customFormat="1" ht="15.75" customHeight="1"/>
    <row r="861" s="198" customFormat="1" ht="15.75" customHeight="1"/>
    <row r="862" s="198" customFormat="1" ht="15.75" customHeight="1"/>
    <row r="863" s="198" customFormat="1" ht="15.75" customHeight="1"/>
    <row r="864" s="198" customFormat="1" ht="15.75" customHeight="1"/>
    <row r="865" s="198" customFormat="1" ht="15.75" customHeight="1"/>
    <row r="866" s="198" customFormat="1" ht="15.75" customHeight="1"/>
    <row r="867" s="198" customFormat="1" ht="15.75" customHeight="1"/>
    <row r="868" s="198" customFormat="1" ht="15.75" customHeight="1"/>
    <row r="869" s="198" customFormat="1" ht="15.75" customHeight="1"/>
    <row r="870" s="198" customFormat="1" ht="15.75" customHeight="1"/>
    <row r="871" s="198" customFormat="1" ht="15.75" customHeight="1"/>
    <row r="872" s="198" customFormat="1" ht="15.75" customHeight="1"/>
    <row r="873" s="198" customFormat="1" ht="15.75" customHeight="1"/>
    <row r="874" s="198" customFormat="1" ht="15.75" customHeight="1"/>
    <row r="875" s="198" customFormat="1" ht="15.75" customHeight="1"/>
    <row r="876" s="198" customFormat="1" ht="15.75" customHeight="1"/>
    <row r="877" s="198" customFormat="1" ht="15.75" customHeight="1"/>
    <row r="878" s="198" customFormat="1" ht="15.75" customHeight="1"/>
    <row r="879" s="198" customFormat="1" ht="15.75" customHeight="1"/>
    <row r="880" s="198" customFormat="1" ht="15.75" customHeight="1"/>
    <row r="881" s="198" customFormat="1" ht="15.75" customHeight="1"/>
    <row r="882" s="198" customFormat="1" ht="15.75" customHeight="1"/>
    <row r="883" s="198" customFormat="1" ht="15.75" customHeight="1"/>
    <row r="884" s="198" customFormat="1" ht="15.75" customHeight="1"/>
    <row r="885" s="198" customFormat="1" ht="15.75" customHeight="1"/>
    <row r="886" s="198" customFormat="1" ht="15.75" customHeight="1"/>
    <row r="887" s="198" customFormat="1" ht="15.75" customHeight="1"/>
    <row r="888" s="198" customFormat="1" ht="15.75" customHeight="1"/>
    <row r="889" s="198" customFormat="1" ht="15.75" customHeight="1"/>
    <row r="890" s="198" customFormat="1" ht="15.75" customHeight="1"/>
    <row r="891" s="198" customFormat="1" ht="15.75" customHeight="1"/>
    <row r="892" s="198" customFormat="1" ht="15.75" customHeight="1"/>
    <row r="893" s="198" customFormat="1" ht="15.75" customHeight="1"/>
    <row r="894" s="198" customFormat="1" ht="15.75" customHeight="1"/>
    <row r="895" s="198" customFormat="1" ht="15.75" customHeight="1"/>
    <row r="896" s="198" customFormat="1" ht="15.75" customHeight="1"/>
    <row r="897" s="198" customFormat="1" ht="15.75" customHeight="1"/>
    <row r="898" s="198" customFormat="1" ht="15.75" customHeight="1"/>
    <row r="899" s="198" customFormat="1" ht="15.75" customHeight="1"/>
    <row r="900" s="198" customFormat="1" ht="15.75" customHeight="1"/>
    <row r="901" s="198" customFormat="1" ht="15.75" customHeight="1"/>
    <row r="902" s="198" customFormat="1" ht="15.75" customHeight="1"/>
    <row r="903" s="198" customFormat="1" ht="15.75" customHeight="1"/>
    <row r="904" s="198" customFormat="1" ht="15.75" customHeight="1"/>
    <row r="905" s="198" customFormat="1" ht="15.75" customHeight="1"/>
    <row r="906" s="198" customFormat="1" ht="15.75" customHeight="1"/>
    <row r="907" s="198" customFormat="1" ht="15.75" customHeight="1"/>
    <row r="908" s="198" customFormat="1" ht="15.75" customHeight="1"/>
    <row r="909" s="198" customFormat="1" ht="15.75" customHeight="1"/>
    <row r="910" s="198" customFormat="1" ht="15.75" customHeight="1"/>
    <row r="911" s="198" customFormat="1" ht="15.75" customHeight="1"/>
    <row r="912" s="198" customFormat="1" ht="15.75" customHeight="1"/>
    <row r="913" s="198" customFormat="1" ht="15.75" customHeight="1"/>
    <row r="914" s="198" customFormat="1" ht="15.75" customHeight="1"/>
    <row r="915" s="198" customFormat="1" ht="15.75" customHeight="1"/>
    <row r="916" s="198" customFormat="1" ht="15.75" customHeight="1"/>
    <row r="917" s="198" customFormat="1" ht="15.75" customHeight="1"/>
    <row r="918" s="198" customFormat="1" ht="15.75" customHeight="1"/>
    <row r="919" s="198" customFormat="1" ht="15.75" customHeight="1"/>
    <row r="920" s="198" customFormat="1" ht="15.75" customHeight="1"/>
    <row r="921" s="198" customFormat="1" ht="15.75" customHeight="1"/>
    <row r="922" s="198" customFormat="1" ht="15.75" customHeight="1"/>
    <row r="923" s="198" customFormat="1" ht="15.75" customHeight="1"/>
    <row r="924" s="198" customFormat="1" ht="15.75" customHeight="1"/>
    <row r="925" s="198" customFormat="1" ht="15.75" customHeight="1"/>
    <row r="926" s="198" customFormat="1" ht="15.75" customHeight="1"/>
    <row r="927" s="198" customFormat="1" ht="15.75" customHeight="1"/>
    <row r="928" s="198" customFormat="1" ht="15.75" customHeight="1"/>
    <row r="929" s="198" customFormat="1" ht="15.75" customHeight="1"/>
    <row r="930" s="198" customFormat="1" ht="15.75" customHeight="1"/>
    <row r="931" s="198" customFormat="1" ht="15.75" customHeight="1"/>
    <row r="932" s="198" customFormat="1" ht="15.75" customHeight="1"/>
    <row r="933" s="198" customFormat="1" ht="15.75" customHeight="1"/>
    <row r="934" s="198" customFormat="1" ht="15.75" customHeight="1"/>
    <row r="935" s="198" customFormat="1" ht="15.75" customHeight="1"/>
    <row r="936" s="198" customFormat="1" ht="15.75" customHeight="1"/>
    <row r="937" s="198" customFormat="1" ht="15.75" customHeight="1"/>
    <row r="938" s="198" customFormat="1" ht="15.75" customHeight="1"/>
    <row r="939" s="198" customFormat="1" ht="15.75" customHeight="1"/>
    <row r="940" s="198" customFormat="1" ht="15.75" customHeight="1"/>
    <row r="941" s="198" customFormat="1" ht="15.75" customHeight="1"/>
    <row r="942" s="198" customFormat="1" ht="15.75" customHeight="1"/>
    <row r="943" s="198" customFormat="1" ht="15.75" customHeight="1"/>
    <row r="944" s="198" customFormat="1" ht="15.75" customHeight="1"/>
    <row r="945" s="198" customFormat="1" ht="15.75" customHeight="1"/>
    <row r="946" s="198" customFormat="1" ht="15.75" customHeight="1"/>
    <row r="947" s="198" customFormat="1" ht="15.75" customHeight="1"/>
    <row r="948" s="198" customFormat="1" ht="15.75" customHeight="1"/>
    <row r="949" s="198" customFormat="1" ht="15.75" customHeight="1"/>
    <row r="950" s="198" customFormat="1" ht="15.75" customHeight="1"/>
    <row r="951" s="198" customFormat="1" ht="15.75" customHeight="1"/>
    <row r="952" s="198" customFormat="1" ht="15.75" customHeight="1"/>
    <row r="953" s="198" customFormat="1" ht="15.75" customHeight="1"/>
    <row r="954" s="198" customFormat="1" ht="15.75" customHeight="1"/>
    <row r="955" s="198" customFormat="1" ht="15.75" customHeight="1"/>
    <row r="956" s="198" customFormat="1" ht="15.75" customHeight="1"/>
    <row r="957" s="198" customFormat="1" ht="15.75" customHeight="1"/>
    <row r="958" s="198" customFormat="1" ht="15.75" customHeight="1"/>
    <row r="959" s="198" customFormat="1" ht="15.75" customHeight="1"/>
    <row r="960" s="198" customFormat="1" ht="15.75" customHeight="1"/>
    <row r="961" s="198" customFormat="1" ht="15.75" customHeight="1"/>
    <row r="962" s="198" customFormat="1" ht="15.75" customHeight="1"/>
    <row r="963" s="198" customFormat="1" ht="15.75" customHeight="1"/>
    <row r="964" s="198" customFormat="1" ht="15.75" customHeight="1"/>
    <row r="965" s="198" customFormat="1" ht="15.75" customHeight="1"/>
    <row r="966" s="198" customFormat="1" ht="15.75" customHeight="1"/>
    <row r="967" s="198" customFormat="1" ht="15.75" customHeight="1"/>
    <row r="968" s="198" customFormat="1" ht="15.75" customHeight="1"/>
    <row r="969" s="198" customFormat="1" ht="15.75" customHeight="1"/>
    <row r="970" s="198" customFormat="1" ht="15.75" customHeight="1"/>
    <row r="971" s="198" customFormat="1" ht="15.75" customHeight="1"/>
    <row r="972" s="198" customFormat="1" ht="15.75" customHeight="1"/>
    <row r="973" s="198" customFormat="1" ht="15.75" customHeight="1"/>
    <row r="974" s="198" customFormat="1" ht="15.75" customHeight="1"/>
    <row r="975" s="198" customFormat="1" ht="15.75" customHeight="1"/>
    <row r="976" s="198" customFormat="1" ht="15.75" customHeight="1"/>
    <row r="977" s="198" customFormat="1" ht="15.75" customHeight="1"/>
    <row r="978" s="198" customFormat="1" ht="15.75" customHeight="1"/>
    <row r="979" s="198" customFormat="1" ht="15.75" customHeight="1"/>
    <row r="980" s="198" customFormat="1" ht="15.75" customHeight="1"/>
    <row r="981" s="198" customFormat="1" ht="15.75" customHeight="1"/>
    <row r="982" s="198" customFormat="1" ht="15.75" customHeight="1"/>
    <row r="983" s="198" customFormat="1" ht="15.75" customHeight="1"/>
    <row r="984" s="198" customFormat="1" ht="15.75" customHeight="1"/>
    <row r="985" s="198" customFormat="1" ht="15.75" customHeight="1"/>
    <row r="986" s="198" customFormat="1" ht="15.75" customHeight="1"/>
    <row r="987" s="198" customFormat="1" ht="15.75" customHeight="1"/>
    <row r="988" s="198" customFormat="1" ht="15.75" customHeight="1"/>
    <row r="989" s="198" customFormat="1" ht="15.75" customHeight="1"/>
    <row r="990" s="198" customFormat="1" ht="15.75" customHeight="1"/>
    <row r="991" s="198" customFormat="1" ht="15.75" customHeight="1"/>
    <row r="992" s="198" customFormat="1" ht="15.75" customHeight="1"/>
    <row r="993" s="198" customFormat="1" ht="15.75" customHeight="1"/>
    <row r="994" s="198" customFormat="1" ht="15.75" customHeight="1"/>
    <row r="995" s="198" customFormat="1" ht="15.75" customHeight="1"/>
    <row r="996" s="198" customFormat="1" ht="15.75" customHeight="1"/>
    <row r="997" s="198" customFormat="1" ht="15.75" customHeight="1"/>
    <row r="998" s="198" customFormat="1" ht="15.75" customHeight="1"/>
    <row r="999" s="198" customFormat="1" ht="15.75" customHeight="1"/>
    <row r="1000" s="198" customFormat="1" ht="15" customHeight="1"/>
  </sheetData>
  <mergeCells count="10">
    <mergeCell ref="AL3:AS3"/>
    <mergeCell ref="B3:B4"/>
    <mergeCell ref="D3:K3"/>
    <mergeCell ref="L3:S3"/>
    <mergeCell ref="T3:X3"/>
    <mergeCell ref="Y3:AF3"/>
    <mergeCell ref="AG3:AK3"/>
    <mergeCell ref="D39:K43"/>
    <mergeCell ref="L39:S43"/>
    <mergeCell ref="Y39:AF4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２０２4.07</vt:lpstr>
      <vt:lpstr>2024.08</vt:lpstr>
      <vt:lpstr>2024.09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2026-02-11T10:44:07Z</dcterms:modified>
</cp:coreProperties>
</file>