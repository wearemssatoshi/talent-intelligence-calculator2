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CE424930-053B-8843-AFDF-9DA1FC2F7B76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4.04" sheetId="1" r:id="rId1"/>
    <sheet name="2024.05" sheetId="2" r:id="rId2"/>
    <sheet name="2024.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3" l="1"/>
  <c r="AK44" i="3"/>
  <c r="AJ44" i="3"/>
  <c r="AC37" i="3"/>
  <c r="AD37" i="3" s="1"/>
  <c r="AA37" i="3"/>
  <c r="AB37" i="3" s="1"/>
  <c r="H37" i="3"/>
  <c r="I37" i="3" s="1"/>
  <c r="AS36" i="3"/>
  <c r="AR36" i="3"/>
  <c r="AQ36" i="3"/>
  <c r="AP36" i="3"/>
  <c r="AO36" i="3"/>
  <c r="AN36" i="3"/>
  <c r="AM36" i="3"/>
  <c r="AL36" i="3"/>
  <c r="AC36" i="3"/>
  <c r="AA36" i="3"/>
  <c r="Z36" i="3"/>
  <c r="Y36" i="3"/>
  <c r="N36" i="3"/>
  <c r="O36" i="3" s="1"/>
  <c r="M36" i="3"/>
  <c r="N38" i="3" s="1"/>
  <c r="L36" i="3"/>
  <c r="I36" i="3"/>
  <c r="H36" i="3"/>
  <c r="F36" i="3"/>
  <c r="F37" i="3" s="1"/>
  <c r="G37" i="3" s="1"/>
  <c r="K37" i="3" s="1"/>
  <c r="E36" i="3"/>
  <c r="F38" i="3" s="1"/>
  <c r="D36" i="3"/>
  <c r="C36" i="3"/>
  <c r="AS35" i="3"/>
  <c r="AV35" i="3" s="1"/>
  <c r="AK35" i="3"/>
  <c r="AK36" i="3" s="1"/>
  <c r="AK37" i="3" s="1"/>
  <c r="AL45" i="3" s="1"/>
  <c r="AH35" i="3"/>
  <c r="AG35" i="3"/>
  <c r="AF35" i="3"/>
  <c r="AE35" i="3"/>
  <c r="AD35" i="3"/>
  <c r="AB35" i="3"/>
  <c r="V35" i="3"/>
  <c r="AI35" i="3" s="1"/>
  <c r="U35" i="3"/>
  <c r="T35" i="3"/>
  <c r="T36" i="3" s="1"/>
  <c r="R35" i="3"/>
  <c r="Q35" i="3"/>
  <c r="P35" i="3"/>
  <c r="N35" i="3"/>
  <c r="O35" i="3" s="1"/>
  <c r="M35" i="3"/>
  <c r="K35" i="3"/>
  <c r="J35" i="3"/>
  <c r="I35" i="3"/>
  <c r="G35" i="3"/>
  <c r="AV34" i="3"/>
  <c r="AW34" i="3" s="1"/>
  <c r="AU34" i="3"/>
  <c r="AS34" i="3"/>
  <c r="AK34" i="3"/>
  <c r="AG34" i="3"/>
  <c r="AE34" i="3"/>
  <c r="AF34" i="3" s="1"/>
  <c r="AD34" i="3"/>
  <c r="AB34" i="3"/>
  <c r="U34" i="3"/>
  <c r="AH34" i="3" s="1"/>
  <c r="T34" i="3"/>
  <c r="Q34" i="3"/>
  <c r="P34" i="3"/>
  <c r="V34" i="3" s="1"/>
  <c r="AI34" i="3" s="1"/>
  <c r="O34" i="3"/>
  <c r="N34" i="3"/>
  <c r="M34" i="3"/>
  <c r="J34" i="3"/>
  <c r="I34" i="3"/>
  <c r="G34" i="3"/>
  <c r="AV33" i="3"/>
  <c r="AW33" i="3" s="1"/>
  <c r="AU33" i="3"/>
  <c r="AS33" i="3"/>
  <c r="AK33" i="3"/>
  <c r="AG33" i="3"/>
  <c r="AE33" i="3"/>
  <c r="AF33" i="3" s="1"/>
  <c r="AD33" i="3"/>
  <c r="AB33" i="3"/>
  <c r="U33" i="3"/>
  <c r="AH33" i="3" s="1"/>
  <c r="T33" i="3"/>
  <c r="R33" i="3"/>
  <c r="S33" i="3" s="1"/>
  <c r="P33" i="3"/>
  <c r="V33" i="3" s="1"/>
  <c r="AI33" i="3" s="1"/>
  <c r="O33" i="3"/>
  <c r="N33" i="3"/>
  <c r="M33" i="3"/>
  <c r="J33" i="3"/>
  <c r="I33" i="3"/>
  <c r="G33" i="3"/>
  <c r="AU32" i="3"/>
  <c r="AS32" i="3"/>
  <c r="AK32" i="3"/>
  <c r="AG32" i="3"/>
  <c r="AE32" i="3"/>
  <c r="AV32" i="3" s="1"/>
  <c r="AW32" i="3" s="1"/>
  <c r="AD32" i="3"/>
  <c r="AB32" i="3"/>
  <c r="U32" i="3"/>
  <c r="AH32" i="3" s="1"/>
  <c r="T32" i="3"/>
  <c r="P32" i="3"/>
  <c r="V32" i="3" s="1"/>
  <c r="AI32" i="3" s="1"/>
  <c r="O32" i="3"/>
  <c r="N32" i="3"/>
  <c r="M32" i="3"/>
  <c r="K32" i="3"/>
  <c r="J32" i="3"/>
  <c r="I32" i="3"/>
  <c r="G32" i="3"/>
  <c r="AV31" i="3"/>
  <c r="AW31" i="3" s="1"/>
  <c r="AU31" i="3"/>
  <c r="AS31" i="3"/>
  <c r="AK31" i="3"/>
  <c r="AG31" i="3"/>
  <c r="AE31" i="3"/>
  <c r="AF31" i="3" s="1"/>
  <c r="AD31" i="3"/>
  <c r="AB31" i="3"/>
  <c r="U31" i="3"/>
  <c r="AH31" i="3" s="1"/>
  <c r="T31" i="3"/>
  <c r="Q31" i="3"/>
  <c r="P31" i="3"/>
  <c r="V31" i="3" s="1"/>
  <c r="AI31" i="3" s="1"/>
  <c r="O31" i="3"/>
  <c r="N31" i="3"/>
  <c r="M31" i="3"/>
  <c r="K31" i="3"/>
  <c r="J31" i="3"/>
  <c r="I31" i="3"/>
  <c r="G31" i="3"/>
  <c r="AU30" i="3"/>
  <c r="AS30" i="3"/>
  <c r="AK30" i="3"/>
  <c r="AG30" i="3"/>
  <c r="AE30" i="3"/>
  <c r="AF30" i="3" s="1"/>
  <c r="AD30" i="3"/>
  <c r="AB30" i="3"/>
  <c r="U30" i="3"/>
  <c r="AH30" i="3" s="1"/>
  <c r="T30" i="3"/>
  <c r="P30" i="3"/>
  <c r="V30" i="3" s="1"/>
  <c r="AI30" i="3" s="1"/>
  <c r="O30" i="3"/>
  <c r="N30" i="3"/>
  <c r="M30" i="3"/>
  <c r="K30" i="3"/>
  <c r="J30" i="3"/>
  <c r="I30" i="3"/>
  <c r="G30" i="3"/>
  <c r="AU29" i="3"/>
  <c r="AS29" i="3"/>
  <c r="AK29" i="3"/>
  <c r="AG29" i="3"/>
  <c r="AF29" i="3"/>
  <c r="AE29" i="3"/>
  <c r="AV29" i="3" s="1"/>
  <c r="AW29" i="3" s="1"/>
  <c r="AD29" i="3"/>
  <c r="AB29" i="3"/>
  <c r="U29" i="3"/>
  <c r="AH29" i="3" s="1"/>
  <c r="T29" i="3"/>
  <c r="Q29" i="3"/>
  <c r="P29" i="3"/>
  <c r="V29" i="3" s="1"/>
  <c r="AI29" i="3" s="1"/>
  <c r="O29" i="3"/>
  <c r="N29" i="3"/>
  <c r="M29" i="3"/>
  <c r="K29" i="3"/>
  <c r="J29" i="3"/>
  <c r="I29" i="3"/>
  <c r="G29" i="3"/>
  <c r="AW28" i="3"/>
  <c r="AV28" i="3"/>
  <c r="AU28" i="3"/>
  <c r="AS28" i="3"/>
  <c r="AK28" i="3"/>
  <c r="AG28" i="3"/>
  <c r="AE28" i="3"/>
  <c r="AF28" i="3" s="1"/>
  <c r="AD28" i="3"/>
  <c r="AB28" i="3"/>
  <c r="U28" i="3"/>
  <c r="AH28" i="3" s="1"/>
  <c r="T28" i="3"/>
  <c r="R28" i="3"/>
  <c r="S28" i="3" s="1"/>
  <c r="Q28" i="3"/>
  <c r="P28" i="3"/>
  <c r="V28" i="3" s="1"/>
  <c r="AI28" i="3" s="1"/>
  <c r="O28" i="3"/>
  <c r="N28" i="3"/>
  <c r="M28" i="3"/>
  <c r="J28" i="3"/>
  <c r="I28" i="3"/>
  <c r="G28" i="3"/>
  <c r="AU27" i="3"/>
  <c r="AS27" i="3"/>
  <c r="AK27" i="3"/>
  <c r="AG27" i="3"/>
  <c r="AF27" i="3"/>
  <c r="AE27" i="3"/>
  <c r="AV27" i="3" s="1"/>
  <c r="AW27" i="3" s="1"/>
  <c r="AD27" i="3"/>
  <c r="AB27" i="3"/>
  <c r="U27" i="3"/>
  <c r="AH27" i="3" s="1"/>
  <c r="T27" i="3"/>
  <c r="P27" i="3"/>
  <c r="V27" i="3" s="1"/>
  <c r="AI27" i="3" s="1"/>
  <c r="O27" i="3"/>
  <c r="N27" i="3"/>
  <c r="M27" i="3"/>
  <c r="J27" i="3"/>
  <c r="I27" i="3"/>
  <c r="G27" i="3"/>
  <c r="AU26" i="3"/>
  <c r="AS26" i="3"/>
  <c r="AK26" i="3"/>
  <c r="AG26" i="3"/>
  <c r="AF26" i="3"/>
  <c r="AE26" i="3"/>
  <c r="AV26" i="3" s="1"/>
  <c r="AW26" i="3" s="1"/>
  <c r="AD26" i="3"/>
  <c r="AB26" i="3"/>
  <c r="U26" i="3"/>
  <c r="AH26" i="3" s="1"/>
  <c r="T26" i="3"/>
  <c r="Q26" i="3"/>
  <c r="P26" i="3"/>
  <c r="V26" i="3" s="1"/>
  <c r="AI26" i="3" s="1"/>
  <c r="O26" i="3"/>
  <c r="N26" i="3"/>
  <c r="M26" i="3"/>
  <c r="J26" i="3"/>
  <c r="I26" i="3"/>
  <c r="G26" i="3"/>
  <c r="AV25" i="3"/>
  <c r="AW25" i="3" s="1"/>
  <c r="AU25" i="3"/>
  <c r="AS25" i="3"/>
  <c r="AK25" i="3"/>
  <c r="AG25" i="3"/>
  <c r="AE25" i="3"/>
  <c r="AF25" i="3" s="1"/>
  <c r="AD25" i="3"/>
  <c r="AB25" i="3"/>
  <c r="U25" i="3"/>
  <c r="AH25" i="3" s="1"/>
  <c r="T25" i="3"/>
  <c r="R25" i="3"/>
  <c r="S25" i="3" s="1"/>
  <c r="Q25" i="3"/>
  <c r="P25" i="3"/>
  <c r="V25" i="3" s="1"/>
  <c r="AI25" i="3" s="1"/>
  <c r="O25" i="3"/>
  <c r="N25" i="3"/>
  <c r="M25" i="3"/>
  <c r="K25" i="3"/>
  <c r="J25" i="3"/>
  <c r="I25" i="3"/>
  <c r="G25" i="3"/>
  <c r="AU24" i="3"/>
  <c r="AS24" i="3"/>
  <c r="AK24" i="3"/>
  <c r="AG24" i="3"/>
  <c r="AF24" i="3"/>
  <c r="AE24" i="3"/>
  <c r="AV24" i="3" s="1"/>
  <c r="AW24" i="3" s="1"/>
  <c r="AD24" i="3"/>
  <c r="AB24" i="3"/>
  <c r="U24" i="3"/>
  <c r="AH24" i="3" s="1"/>
  <c r="T24" i="3"/>
  <c r="P24" i="3"/>
  <c r="V24" i="3" s="1"/>
  <c r="AI24" i="3" s="1"/>
  <c r="O24" i="3"/>
  <c r="N24" i="3"/>
  <c r="M24" i="3"/>
  <c r="K24" i="3"/>
  <c r="J24" i="3"/>
  <c r="I24" i="3"/>
  <c r="G24" i="3"/>
  <c r="AV23" i="3"/>
  <c r="AW23" i="3" s="1"/>
  <c r="AU23" i="3"/>
  <c r="AS23" i="3"/>
  <c r="AK23" i="3"/>
  <c r="AI23" i="3"/>
  <c r="AG23" i="3"/>
  <c r="AE23" i="3"/>
  <c r="AF23" i="3" s="1"/>
  <c r="AD23" i="3"/>
  <c r="AB23" i="3"/>
  <c r="U23" i="3"/>
  <c r="AH23" i="3" s="1"/>
  <c r="T23" i="3"/>
  <c r="R23" i="3"/>
  <c r="S23" i="3" s="1"/>
  <c r="Q23" i="3"/>
  <c r="P23" i="3"/>
  <c r="V23" i="3" s="1"/>
  <c r="O23" i="3"/>
  <c r="N23" i="3"/>
  <c r="M23" i="3"/>
  <c r="K23" i="3"/>
  <c r="J23" i="3"/>
  <c r="I23" i="3"/>
  <c r="G23" i="3"/>
  <c r="AU22" i="3"/>
  <c r="AS22" i="3"/>
  <c r="AK22" i="3"/>
  <c r="AG22" i="3"/>
  <c r="AF22" i="3"/>
  <c r="AE22" i="3"/>
  <c r="AV22" i="3" s="1"/>
  <c r="AW22" i="3" s="1"/>
  <c r="AD22" i="3"/>
  <c r="AB22" i="3"/>
  <c r="U22" i="3"/>
  <c r="AH22" i="3" s="1"/>
  <c r="T22" i="3"/>
  <c r="P22" i="3"/>
  <c r="V22" i="3" s="1"/>
  <c r="AI22" i="3" s="1"/>
  <c r="O22" i="3"/>
  <c r="N22" i="3"/>
  <c r="M22" i="3"/>
  <c r="K22" i="3"/>
  <c r="J22" i="3"/>
  <c r="I22" i="3"/>
  <c r="G22" i="3"/>
  <c r="AV21" i="3"/>
  <c r="AW21" i="3" s="1"/>
  <c r="AU21" i="3"/>
  <c r="AS21" i="3"/>
  <c r="AK21" i="3"/>
  <c r="AI21" i="3"/>
  <c r="AG21" i="3"/>
  <c r="AE21" i="3"/>
  <c r="AF21" i="3" s="1"/>
  <c r="AD21" i="3"/>
  <c r="AB21" i="3"/>
  <c r="U21" i="3"/>
  <c r="AH21" i="3" s="1"/>
  <c r="T21" i="3"/>
  <c r="R21" i="3"/>
  <c r="S21" i="3" s="1"/>
  <c r="Q21" i="3"/>
  <c r="P21" i="3"/>
  <c r="V21" i="3" s="1"/>
  <c r="O21" i="3"/>
  <c r="N21" i="3"/>
  <c r="M21" i="3"/>
  <c r="K21" i="3"/>
  <c r="J21" i="3"/>
  <c r="I21" i="3"/>
  <c r="G21" i="3"/>
  <c r="AU20" i="3"/>
  <c r="AS20" i="3"/>
  <c r="AK20" i="3"/>
  <c r="AG20" i="3"/>
  <c r="AF20" i="3"/>
  <c r="AE20" i="3"/>
  <c r="AV20" i="3" s="1"/>
  <c r="AW20" i="3" s="1"/>
  <c r="AD20" i="3"/>
  <c r="AB20" i="3"/>
  <c r="U20" i="3"/>
  <c r="AH20" i="3" s="1"/>
  <c r="T20" i="3"/>
  <c r="P20" i="3"/>
  <c r="V20" i="3" s="1"/>
  <c r="AI20" i="3" s="1"/>
  <c r="O20" i="3"/>
  <c r="N20" i="3"/>
  <c r="M20" i="3"/>
  <c r="J20" i="3"/>
  <c r="I20" i="3"/>
  <c r="G20" i="3"/>
  <c r="AV19" i="3"/>
  <c r="AW19" i="3" s="1"/>
  <c r="AU19" i="3"/>
  <c r="AS19" i="3"/>
  <c r="AK19" i="3"/>
  <c r="AG19" i="3"/>
  <c r="AF19" i="3"/>
  <c r="AE19" i="3"/>
  <c r="AD19" i="3"/>
  <c r="AB19" i="3"/>
  <c r="U19" i="3"/>
  <c r="AH19" i="3" s="1"/>
  <c r="T19" i="3"/>
  <c r="P19" i="3"/>
  <c r="V19" i="3" s="1"/>
  <c r="AI19" i="3" s="1"/>
  <c r="O19" i="3"/>
  <c r="N19" i="3"/>
  <c r="M19" i="3"/>
  <c r="J19" i="3"/>
  <c r="I19" i="3"/>
  <c r="G19" i="3"/>
  <c r="AV18" i="3"/>
  <c r="AW18" i="3" s="1"/>
  <c r="AU18" i="3"/>
  <c r="AS18" i="3"/>
  <c r="AK18" i="3"/>
  <c r="AG18" i="3"/>
  <c r="AE18" i="3"/>
  <c r="AF18" i="3" s="1"/>
  <c r="AD18" i="3"/>
  <c r="AB18" i="3"/>
  <c r="U18" i="3"/>
  <c r="AH18" i="3" s="1"/>
  <c r="T18" i="3"/>
  <c r="P18" i="3"/>
  <c r="V18" i="3" s="1"/>
  <c r="AI18" i="3" s="1"/>
  <c r="O18" i="3"/>
  <c r="N18" i="3"/>
  <c r="M18" i="3"/>
  <c r="K18" i="3"/>
  <c r="J18" i="3"/>
  <c r="I18" i="3"/>
  <c r="G18" i="3"/>
  <c r="AU17" i="3"/>
  <c r="AS17" i="3"/>
  <c r="AK17" i="3"/>
  <c r="AG17" i="3"/>
  <c r="AF17" i="3"/>
  <c r="AE17" i="3"/>
  <c r="AV17" i="3" s="1"/>
  <c r="AW17" i="3" s="1"/>
  <c r="AD17" i="3"/>
  <c r="AB17" i="3"/>
  <c r="U17" i="3"/>
  <c r="AH17" i="3" s="1"/>
  <c r="T17" i="3"/>
  <c r="R17" i="3"/>
  <c r="S17" i="3" s="1"/>
  <c r="P17" i="3"/>
  <c r="V17" i="3" s="1"/>
  <c r="AI17" i="3" s="1"/>
  <c r="O17" i="3"/>
  <c r="N17" i="3"/>
  <c r="M17" i="3"/>
  <c r="K17" i="3"/>
  <c r="J17" i="3"/>
  <c r="I17" i="3"/>
  <c r="G17" i="3"/>
  <c r="AV16" i="3"/>
  <c r="AW16" i="3" s="1"/>
  <c r="AU16" i="3"/>
  <c r="AS16" i="3"/>
  <c r="AK16" i="3"/>
  <c r="AG16" i="3"/>
  <c r="AE16" i="3"/>
  <c r="AF16" i="3" s="1"/>
  <c r="AD16" i="3"/>
  <c r="AB16" i="3"/>
  <c r="U16" i="3"/>
  <c r="AH16" i="3" s="1"/>
  <c r="T16" i="3"/>
  <c r="P16" i="3"/>
  <c r="V16" i="3" s="1"/>
  <c r="AI16" i="3" s="1"/>
  <c r="O16" i="3"/>
  <c r="N16" i="3"/>
  <c r="M16" i="3"/>
  <c r="J16" i="3"/>
  <c r="I16" i="3"/>
  <c r="G16" i="3"/>
  <c r="AU15" i="3"/>
  <c r="AS15" i="3"/>
  <c r="AK15" i="3"/>
  <c r="AI15" i="3"/>
  <c r="AG15" i="3"/>
  <c r="AE15" i="3"/>
  <c r="AV15" i="3" s="1"/>
  <c r="AW15" i="3" s="1"/>
  <c r="AD15" i="3"/>
  <c r="AB15" i="3"/>
  <c r="U15" i="3"/>
  <c r="AH15" i="3" s="1"/>
  <c r="T15" i="3"/>
  <c r="Q15" i="3"/>
  <c r="P15" i="3"/>
  <c r="V15" i="3" s="1"/>
  <c r="O15" i="3"/>
  <c r="N15" i="3"/>
  <c r="M15" i="3"/>
  <c r="K15" i="3"/>
  <c r="J15" i="3"/>
  <c r="I15" i="3"/>
  <c r="G15" i="3"/>
  <c r="AW14" i="3"/>
  <c r="AV14" i="3"/>
  <c r="AU14" i="3"/>
  <c r="AS14" i="3"/>
  <c r="AK14" i="3"/>
  <c r="AG14" i="3"/>
  <c r="AF14" i="3"/>
  <c r="AE14" i="3"/>
  <c r="AD14" i="3"/>
  <c r="AB14" i="3"/>
  <c r="U14" i="3"/>
  <c r="AH14" i="3" s="1"/>
  <c r="T14" i="3"/>
  <c r="X14" i="3" s="1"/>
  <c r="S14" i="3"/>
  <c r="R14" i="3"/>
  <c r="P14" i="3"/>
  <c r="V14" i="3" s="1"/>
  <c r="AI14" i="3" s="1"/>
  <c r="O14" i="3"/>
  <c r="N14" i="3"/>
  <c r="M14" i="3"/>
  <c r="K14" i="3"/>
  <c r="J14" i="3"/>
  <c r="W14" i="3" s="1"/>
  <c r="AJ14" i="3" s="1"/>
  <c r="I14" i="3"/>
  <c r="G14" i="3"/>
  <c r="AU13" i="3"/>
  <c r="AS13" i="3"/>
  <c r="AK13" i="3"/>
  <c r="AI13" i="3"/>
  <c r="AG13" i="3"/>
  <c r="AF13" i="3"/>
  <c r="AE13" i="3"/>
  <c r="AV13" i="3" s="1"/>
  <c r="AW13" i="3" s="1"/>
  <c r="AD13" i="3"/>
  <c r="AB13" i="3"/>
  <c r="U13" i="3"/>
  <c r="AH13" i="3" s="1"/>
  <c r="T13" i="3"/>
  <c r="Q13" i="3"/>
  <c r="P13" i="3"/>
  <c r="V13" i="3" s="1"/>
  <c r="O13" i="3"/>
  <c r="N13" i="3"/>
  <c r="M13" i="3"/>
  <c r="J13" i="3"/>
  <c r="I13" i="3"/>
  <c r="G13" i="3"/>
  <c r="AV12" i="3"/>
  <c r="AW12" i="3" s="1"/>
  <c r="AU12" i="3"/>
  <c r="AS12" i="3"/>
  <c r="AK12" i="3"/>
  <c r="AI12" i="3"/>
  <c r="AG12" i="3"/>
  <c r="AE12" i="3"/>
  <c r="AF12" i="3" s="1"/>
  <c r="AD12" i="3"/>
  <c r="AB12" i="3"/>
  <c r="U12" i="3"/>
  <c r="AH12" i="3" s="1"/>
  <c r="T12" i="3"/>
  <c r="S12" i="3"/>
  <c r="R12" i="3"/>
  <c r="Q12" i="3"/>
  <c r="P12" i="3"/>
  <c r="V12" i="3" s="1"/>
  <c r="O12" i="3"/>
  <c r="N12" i="3"/>
  <c r="M12" i="3"/>
  <c r="J12" i="3"/>
  <c r="I12" i="3"/>
  <c r="G12" i="3"/>
  <c r="AU11" i="3"/>
  <c r="AS11" i="3"/>
  <c r="AK11" i="3"/>
  <c r="AG11" i="3"/>
  <c r="AF11" i="3"/>
  <c r="AE11" i="3"/>
  <c r="AV11" i="3" s="1"/>
  <c r="AW11" i="3" s="1"/>
  <c r="AD11" i="3"/>
  <c r="AB11" i="3"/>
  <c r="U11" i="3"/>
  <c r="AH11" i="3" s="1"/>
  <c r="T11" i="3"/>
  <c r="P11" i="3"/>
  <c r="V11" i="3" s="1"/>
  <c r="AI11" i="3" s="1"/>
  <c r="O11" i="3"/>
  <c r="N11" i="3"/>
  <c r="M11" i="3"/>
  <c r="K11" i="3"/>
  <c r="J11" i="3"/>
  <c r="I11" i="3"/>
  <c r="G11" i="3"/>
  <c r="AV10" i="3"/>
  <c r="AW10" i="3" s="1"/>
  <c r="AU10" i="3"/>
  <c r="AS10" i="3"/>
  <c r="AK10" i="3"/>
  <c r="AI10" i="3"/>
  <c r="AG10" i="3"/>
  <c r="AE10" i="3"/>
  <c r="AF10" i="3" s="1"/>
  <c r="AD10" i="3"/>
  <c r="AB10" i="3"/>
  <c r="U10" i="3"/>
  <c r="AH10" i="3" s="1"/>
  <c r="T10" i="3"/>
  <c r="R10" i="3"/>
  <c r="S10" i="3" s="1"/>
  <c r="Q10" i="3"/>
  <c r="P10" i="3"/>
  <c r="V10" i="3" s="1"/>
  <c r="O10" i="3"/>
  <c r="N10" i="3"/>
  <c r="M10" i="3"/>
  <c r="K10" i="3"/>
  <c r="J10" i="3"/>
  <c r="I10" i="3"/>
  <c r="G10" i="3"/>
  <c r="AU9" i="3"/>
  <c r="AS9" i="3"/>
  <c r="AK9" i="3"/>
  <c r="AG9" i="3"/>
  <c r="AE9" i="3"/>
  <c r="AF9" i="3" s="1"/>
  <c r="AD9" i="3"/>
  <c r="AB9" i="3"/>
  <c r="U9" i="3"/>
  <c r="AH9" i="3" s="1"/>
  <c r="T9" i="3"/>
  <c r="P9" i="3"/>
  <c r="V9" i="3" s="1"/>
  <c r="AI9" i="3" s="1"/>
  <c r="O9" i="3"/>
  <c r="N9" i="3"/>
  <c r="M9" i="3"/>
  <c r="K9" i="3"/>
  <c r="J9" i="3"/>
  <c r="I9" i="3"/>
  <c r="G9" i="3"/>
  <c r="AV8" i="3"/>
  <c r="AW8" i="3" s="1"/>
  <c r="AU8" i="3"/>
  <c r="AS8" i="3"/>
  <c r="AK8" i="3"/>
  <c r="AI8" i="3"/>
  <c r="AG8" i="3"/>
  <c r="AE8" i="3"/>
  <c r="AF8" i="3" s="1"/>
  <c r="AD8" i="3"/>
  <c r="AB8" i="3"/>
  <c r="U8" i="3"/>
  <c r="AH8" i="3" s="1"/>
  <c r="T8" i="3"/>
  <c r="R8" i="3"/>
  <c r="S8" i="3" s="1"/>
  <c r="Q8" i="3"/>
  <c r="P8" i="3"/>
  <c r="V8" i="3" s="1"/>
  <c r="O8" i="3"/>
  <c r="N8" i="3"/>
  <c r="M8" i="3"/>
  <c r="K8" i="3"/>
  <c r="J8" i="3"/>
  <c r="I8" i="3"/>
  <c r="G8" i="3"/>
  <c r="AU7" i="3"/>
  <c r="AS7" i="3"/>
  <c r="AK7" i="3"/>
  <c r="AG7" i="3"/>
  <c r="AF7" i="3"/>
  <c r="AE7" i="3"/>
  <c r="AV7" i="3" s="1"/>
  <c r="AW7" i="3" s="1"/>
  <c r="AD7" i="3"/>
  <c r="AB7" i="3"/>
  <c r="U7" i="3"/>
  <c r="AH7" i="3" s="1"/>
  <c r="T7" i="3"/>
  <c r="P7" i="3"/>
  <c r="V7" i="3" s="1"/>
  <c r="AI7" i="3" s="1"/>
  <c r="O7" i="3"/>
  <c r="N7" i="3"/>
  <c r="M7" i="3"/>
  <c r="K7" i="3"/>
  <c r="J7" i="3"/>
  <c r="I7" i="3"/>
  <c r="G7" i="3"/>
  <c r="AV6" i="3"/>
  <c r="AW6" i="3" s="1"/>
  <c r="AU6" i="3"/>
  <c r="AS6" i="3"/>
  <c r="AK6" i="3"/>
  <c r="AI6" i="3"/>
  <c r="AG6" i="3"/>
  <c r="AE6" i="3"/>
  <c r="AF6" i="3" s="1"/>
  <c r="AD6" i="3"/>
  <c r="AB6" i="3"/>
  <c r="U6" i="3"/>
  <c r="AH6" i="3" s="1"/>
  <c r="T6" i="3"/>
  <c r="R6" i="3"/>
  <c r="S6" i="3" s="1"/>
  <c r="Q6" i="3"/>
  <c r="P6" i="3"/>
  <c r="V6" i="3" s="1"/>
  <c r="O6" i="3"/>
  <c r="N6" i="3"/>
  <c r="M6" i="3"/>
  <c r="J6" i="3"/>
  <c r="I6" i="3"/>
  <c r="G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V5" i="3"/>
  <c r="AU5" i="3"/>
  <c r="AS5" i="3"/>
  <c r="AK5" i="3"/>
  <c r="AG5" i="3"/>
  <c r="AE5" i="3"/>
  <c r="AF5" i="3" s="1"/>
  <c r="AD5" i="3"/>
  <c r="AB5" i="3"/>
  <c r="V5" i="3"/>
  <c r="V36" i="3" s="1"/>
  <c r="V37" i="3" s="1"/>
  <c r="U5" i="3"/>
  <c r="T5" i="3"/>
  <c r="P5" i="3"/>
  <c r="O5" i="3"/>
  <c r="N5" i="3"/>
  <c r="M5" i="3"/>
  <c r="K5" i="3"/>
  <c r="J5" i="3"/>
  <c r="I5" i="3"/>
  <c r="G5" i="3"/>
  <c r="B5" i="3"/>
  <c r="B5" i="2"/>
  <c r="G5" i="2"/>
  <c r="I5" i="2"/>
  <c r="J5" i="2"/>
  <c r="K5" i="2"/>
  <c r="M5" i="2"/>
  <c r="AG5" i="2" s="1"/>
  <c r="N5" i="2"/>
  <c r="O5" i="2"/>
  <c r="P5" i="2"/>
  <c r="V5" i="2" s="1"/>
  <c r="Q5" i="2"/>
  <c r="T5" i="2"/>
  <c r="U5" i="2"/>
  <c r="AH5" i="2" s="1"/>
  <c r="AB5" i="2"/>
  <c r="AD5" i="2"/>
  <c r="AE5" i="2"/>
  <c r="AF5" i="2"/>
  <c r="AK5" i="2"/>
  <c r="AS5" i="2"/>
  <c r="AU5" i="2"/>
  <c r="B6" i="2"/>
  <c r="B7" i="2" s="1"/>
  <c r="G6" i="2"/>
  <c r="I6" i="2"/>
  <c r="J6" i="2"/>
  <c r="K6" i="2"/>
  <c r="M6" i="2"/>
  <c r="N6" i="2"/>
  <c r="N36" i="2" s="1"/>
  <c r="P6" i="2"/>
  <c r="V6" i="2" s="1"/>
  <c r="AI6" i="2" s="1"/>
  <c r="AB6" i="2"/>
  <c r="AD6" i="2"/>
  <c r="AE6" i="2"/>
  <c r="AF6" i="2"/>
  <c r="AG6" i="2"/>
  <c r="AK6" i="2"/>
  <c r="AS6" i="2"/>
  <c r="AU6" i="2"/>
  <c r="G7" i="2"/>
  <c r="I7" i="2"/>
  <c r="J7" i="2"/>
  <c r="M7" i="2"/>
  <c r="N7" i="2"/>
  <c r="O7" i="2"/>
  <c r="P7" i="2"/>
  <c r="T7" i="2"/>
  <c r="U7" i="2"/>
  <c r="AB7" i="2"/>
  <c r="AD7" i="2"/>
  <c r="AE7" i="2"/>
  <c r="AF7" i="2" s="1"/>
  <c r="AG7" i="2"/>
  <c r="AH7" i="2"/>
  <c r="AK7" i="2"/>
  <c r="AS7" i="2"/>
  <c r="AU7" i="2"/>
  <c r="AV7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G8" i="2"/>
  <c r="I8" i="2"/>
  <c r="J8" i="2"/>
  <c r="W8" i="2" s="1"/>
  <c r="AJ8" i="2" s="1"/>
  <c r="K8" i="2"/>
  <c r="M8" i="2"/>
  <c r="N8" i="2"/>
  <c r="P8" i="2"/>
  <c r="R8" i="2"/>
  <c r="U8" i="2"/>
  <c r="AH8" i="2" s="1"/>
  <c r="V8" i="2"/>
  <c r="AI8" i="2" s="1"/>
  <c r="AB8" i="2"/>
  <c r="AD8" i="2"/>
  <c r="AE8" i="2"/>
  <c r="AF8" i="2"/>
  <c r="AK8" i="2"/>
  <c r="AS8" i="2"/>
  <c r="G9" i="2"/>
  <c r="I9" i="2"/>
  <c r="J9" i="2"/>
  <c r="K9" i="2"/>
  <c r="M9" i="2"/>
  <c r="AG9" i="2" s="1"/>
  <c r="N9" i="2"/>
  <c r="P9" i="2"/>
  <c r="V9" i="2"/>
  <c r="AB9" i="2"/>
  <c r="AD9" i="2"/>
  <c r="AE9" i="2"/>
  <c r="AF9" i="2" s="1"/>
  <c r="AI9" i="2"/>
  <c r="AK9" i="2"/>
  <c r="AS9" i="2"/>
  <c r="AV9" i="2" s="1"/>
  <c r="AU9" i="2"/>
  <c r="G10" i="2"/>
  <c r="I10" i="2"/>
  <c r="J10" i="2"/>
  <c r="K10" i="2"/>
  <c r="M10" i="2"/>
  <c r="AG10" i="2" s="1"/>
  <c r="N10" i="2"/>
  <c r="O10" i="2"/>
  <c r="P10" i="2"/>
  <c r="Q10" i="2"/>
  <c r="T10" i="2"/>
  <c r="U10" i="2"/>
  <c r="AH10" i="2" s="1"/>
  <c r="V10" i="2"/>
  <c r="AI10" i="2" s="1"/>
  <c r="AB10" i="2"/>
  <c r="AD10" i="2"/>
  <c r="AE10" i="2"/>
  <c r="AF10" i="2"/>
  <c r="AK10" i="2"/>
  <c r="AS10" i="2"/>
  <c r="AU10" i="2"/>
  <c r="AV10" i="2"/>
  <c r="G11" i="2"/>
  <c r="I11" i="2"/>
  <c r="J11" i="2"/>
  <c r="K11" i="2"/>
  <c r="M11" i="2"/>
  <c r="T11" i="2" s="1"/>
  <c r="N11" i="2"/>
  <c r="R11" i="2" s="1"/>
  <c r="P11" i="2"/>
  <c r="V11" i="2" s="1"/>
  <c r="AI11" i="2" s="1"/>
  <c r="AB11" i="2"/>
  <c r="AD11" i="2"/>
  <c r="AE11" i="2"/>
  <c r="AF11" i="2"/>
  <c r="AG11" i="2"/>
  <c r="AK11" i="2"/>
  <c r="AS11" i="2"/>
  <c r="AV11" i="2" s="1"/>
  <c r="AU11" i="2"/>
  <c r="G12" i="2"/>
  <c r="I12" i="2"/>
  <c r="J12" i="2"/>
  <c r="K12" i="2"/>
  <c r="M12" i="2"/>
  <c r="N12" i="2"/>
  <c r="O12" i="2"/>
  <c r="P12" i="2"/>
  <c r="T12" i="2"/>
  <c r="U12" i="2"/>
  <c r="AH12" i="2" s="1"/>
  <c r="AB12" i="2"/>
  <c r="AD12" i="2"/>
  <c r="AE12" i="2"/>
  <c r="AF12" i="2" s="1"/>
  <c r="AG12" i="2"/>
  <c r="AK12" i="2"/>
  <c r="AS12" i="2"/>
  <c r="AU12" i="2"/>
  <c r="AV12" i="2"/>
  <c r="G13" i="2"/>
  <c r="I13" i="2"/>
  <c r="J13" i="2"/>
  <c r="W13" i="2" s="1"/>
  <c r="AJ13" i="2" s="1"/>
  <c r="K13" i="2"/>
  <c r="M13" i="2"/>
  <c r="N13" i="2"/>
  <c r="O13" i="2" s="1"/>
  <c r="P13" i="2"/>
  <c r="Q13" i="2"/>
  <c r="R13" i="2"/>
  <c r="U13" i="2"/>
  <c r="AH13" i="2" s="1"/>
  <c r="V13" i="2"/>
  <c r="AI13" i="2" s="1"/>
  <c r="AB13" i="2"/>
  <c r="AD13" i="2"/>
  <c r="AE13" i="2"/>
  <c r="AF13" i="2"/>
  <c r="AG13" i="2"/>
  <c r="AK13" i="2"/>
  <c r="AS13" i="2"/>
  <c r="G14" i="2"/>
  <c r="I14" i="2"/>
  <c r="J14" i="2"/>
  <c r="K14" i="2"/>
  <c r="M14" i="2"/>
  <c r="AG14" i="2" s="1"/>
  <c r="N14" i="2"/>
  <c r="O14" i="2"/>
  <c r="P14" i="2"/>
  <c r="Q14" i="2" s="1"/>
  <c r="V14" i="2"/>
  <c r="AB14" i="2"/>
  <c r="AD14" i="2"/>
  <c r="AE14" i="2"/>
  <c r="AF14" i="2" s="1"/>
  <c r="AI14" i="2"/>
  <c r="AK14" i="2"/>
  <c r="AS14" i="2"/>
  <c r="AU14" i="2" s="1"/>
  <c r="G15" i="2"/>
  <c r="I15" i="2"/>
  <c r="J15" i="2"/>
  <c r="K15" i="2" s="1"/>
  <c r="M15" i="2"/>
  <c r="AG15" i="2" s="1"/>
  <c r="N15" i="2"/>
  <c r="O15" i="2"/>
  <c r="P15" i="2"/>
  <c r="Q15" i="2" s="1"/>
  <c r="T15" i="2"/>
  <c r="U15" i="2"/>
  <c r="AH15" i="2" s="1"/>
  <c r="AB15" i="2"/>
  <c r="AD15" i="2"/>
  <c r="AE15" i="2"/>
  <c r="AV15" i="2" s="1"/>
  <c r="AF15" i="2"/>
  <c r="AK15" i="2"/>
  <c r="AS15" i="2"/>
  <c r="AU15" i="2"/>
  <c r="G16" i="2"/>
  <c r="I16" i="2"/>
  <c r="J16" i="2"/>
  <c r="K16" i="2"/>
  <c r="M16" i="2"/>
  <c r="T16" i="2" s="1"/>
  <c r="N16" i="2"/>
  <c r="P16" i="2"/>
  <c r="V16" i="2" s="1"/>
  <c r="AI16" i="2" s="1"/>
  <c r="AB16" i="2"/>
  <c r="AD16" i="2"/>
  <c r="AE16" i="2"/>
  <c r="AF16" i="2"/>
  <c r="AG16" i="2"/>
  <c r="AK16" i="2"/>
  <c r="AS16" i="2"/>
  <c r="AV16" i="2" s="1"/>
  <c r="AU16" i="2"/>
  <c r="G17" i="2"/>
  <c r="I17" i="2"/>
  <c r="J17" i="2"/>
  <c r="K17" i="2"/>
  <c r="M17" i="2"/>
  <c r="N17" i="2"/>
  <c r="O17" i="2"/>
  <c r="P17" i="2"/>
  <c r="T17" i="2"/>
  <c r="U17" i="2"/>
  <c r="AB17" i="2"/>
  <c r="AD17" i="2"/>
  <c r="AE17" i="2"/>
  <c r="AF17" i="2" s="1"/>
  <c r="AG17" i="2"/>
  <c r="AH17" i="2"/>
  <c r="AK17" i="2"/>
  <c r="AS17" i="2"/>
  <c r="AU17" i="2"/>
  <c r="G18" i="2"/>
  <c r="I18" i="2"/>
  <c r="J18" i="2"/>
  <c r="W18" i="2" s="1"/>
  <c r="AJ18" i="2" s="1"/>
  <c r="K18" i="2"/>
  <c r="M18" i="2"/>
  <c r="N18" i="2"/>
  <c r="O18" i="2" s="1"/>
  <c r="P18" i="2"/>
  <c r="Q18" i="2"/>
  <c r="R18" i="2"/>
  <c r="U18" i="2"/>
  <c r="AH18" i="2" s="1"/>
  <c r="V18" i="2"/>
  <c r="AI18" i="2" s="1"/>
  <c r="AB18" i="2"/>
  <c r="AD18" i="2"/>
  <c r="AE18" i="2"/>
  <c r="AF18" i="2"/>
  <c r="AG18" i="2"/>
  <c r="AK18" i="2"/>
  <c r="AS18" i="2"/>
  <c r="G19" i="2"/>
  <c r="I19" i="2"/>
  <c r="J19" i="2"/>
  <c r="K19" i="2"/>
  <c r="M19" i="2"/>
  <c r="AG19" i="2" s="1"/>
  <c r="N19" i="2"/>
  <c r="O19" i="2"/>
  <c r="P19" i="2"/>
  <c r="Q19" i="2" s="1"/>
  <c r="T19" i="2"/>
  <c r="V19" i="2"/>
  <c r="AB19" i="2"/>
  <c r="AD19" i="2"/>
  <c r="AE19" i="2"/>
  <c r="AF19" i="2" s="1"/>
  <c r="AI19" i="2"/>
  <c r="AK19" i="2"/>
  <c r="AS19" i="2"/>
  <c r="AU19" i="2"/>
  <c r="AV19" i="2"/>
  <c r="G20" i="2"/>
  <c r="I20" i="2"/>
  <c r="J20" i="2"/>
  <c r="K20" i="2"/>
  <c r="M20" i="2"/>
  <c r="N20" i="2"/>
  <c r="R20" i="2" s="1"/>
  <c r="O20" i="2"/>
  <c r="P20" i="2"/>
  <c r="Q20" i="2"/>
  <c r="T20" i="2"/>
  <c r="U20" i="2"/>
  <c r="AH20" i="2" s="1"/>
  <c r="V20" i="2"/>
  <c r="AI20" i="2" s="1"/>
  <c r="AB20" i="2"/>
  <c r="AD20" i="2"/>
  <c r="AE20" i="2"/>
  <c r="AF20" i="2"/>
  <c r="AG20" i="2"/>
  <c r="AK20" i="2"/>
  <c r="AS20" i="2"/>
  <c r="AU20" i="2"/>
  <c r="AV20" i="2"/>
  <c r="G21" i="2"/>
  <c r="I21" i="2"/>
  <c r="J21" i="2"/>
  <c r="K21" i="2"/>
  <c r="M21" i="2"/>
  <c r="T21" i="2" s="1"/>
  <c r="N21" i="2"/>
  <c r="P21" i="2"/>
  <c r="V21" i="2" s="1"/>
  <c r="AI21" i="2" s="1"/>
  <c r="Q21" i="2"/>
  <c r="R21" i="2"/>
  <c r="W21" i="2" s="1"/>
  <c r="AJ21" i="2" s="1"/>
  <c r="AB21" i="2"/>
  <c r="AD21" i="2"/>
  <c r="AE21" i="2"/>
  <c r="AF21" i="2"/>
  <c r="AG21" i="2"/>
  <c r="AK21" i="2"/>
  <c r="AS21" i="2"/>
  <c r="AV21" i="2" s="1"/>
  <c r="G22" i="2"/>
  <c r="I22" i="2"/>
  <c r="J22" i="2"/>
  <c r="M22" i="2"/>
  <c r="N22" i="2"/>
  <c r="O22" i="2"/>
  <c r="P22" i="2"/>
  <c r="T22" i="2"/>
  <c r="U22" i="2"/>
  <c r="AB22" i="2"/>
  <c r="AD22" i="2"/>
  <c r="AE22" i="2"/>
  <c r="AF22" i="2" s="1"/>
  <c r="AG22" i="2"/>
  <c r="AH22" i="2"/>
  <c r="AK22" i="2"/>
  <c r="AS22" i="2"/>
  <c r="AU22" i="2"/>
  <c r="G23" i="2"/>
  <c r="I23" i="2"/>
  <c r="J23" i="2"/>
  <c r="K23" i="2"/>
  <c r="M23" i="2"/>
  <c r="N23" i="2"/>
  <c r="O23" i="2" s="1"/>
  <c r="P23" i="2"/>
  <c r="R23" i="2"/>
  <c r="U23" i="2"/>
  <c r="AH23" i="2" s="1"/>
  <c r="V23" i="2"/>
  <c r="AI23" i="2" s="1"/>
  <c r="W23" i="2"/>
  <c r="AJ23" i="2" s="1"/>
  <c r="AB23" i="2"/>
  <c r="AD23" i="2"/>
  <c r="AE23" i="2"/>
  <c r="AF23" i="2"/>
  <c r="AG23" i="2"/>
  <c r="AK23" i="2"/>
  <c r="AS23" i="2"/>
  <c r="G24" i="2"/>
  <c r="I24" i="2"/>
  <c r="J24" i="2"/>
  <c r="K24" i="2"/>
  <c r="M24" i="2"/>
  <c r="AG24" i="2" s="1"/>
  <c r="N24" i="2"/>
  <c r="O24" i="2"/>
  <c r="P24" i="2"/>
  <c r="V24" i="2"/>
  <c r="AB24" i="2"/>
  <c r="AD24" i="2"/>
  <c r="AE24" i="2"/>
  <c r="AF24" i="2" s="1"/>
  <c r="AI24" i="2"/>
  <c r="AK24" i="2"/>
  <c r="AS24" i="2"/>
  <c r="AU24" i="2"/>
  <c r="AV24" i="2"/>
  <c r="G25" i="2"/>
  <c r="I25" i="2"/>
  <c r="J25" i="2"/>
  <c r="K25" i="2"/>
  <c r="M25" i="2"/>
  <c r="N25" i="2"/>
  <c r="R25" i="2" s="1"/>
  <c r="O25" i="2"/>
  <c r="P25" i="2"/>
  <c r="Q25" i="2"/>
  <c r="T25" i="2"/>
  <c r="U25" i="2"/>
  <c r="AH25" i="2" s="1"/>
  <c r="V25" i="2"/>
  <c r="AI25" i="2" s="1"/>
  <c r="AB25" i="2"/>
  <c r="AD25" i="2"/>
  <c r="AE25" i="2"/>
  <c r="AV25" i="2" s="1"/>
  <c r="AF25" i="2"/>
  <c r="AG25" i="2"/>
  <c r="AK25" i="2"/>
  <c r="AS25" i="2"/>
  <c r="AU25" i="2"/>
  <c r="G26" i="2"/>
  <c r="I26" i="2"/>
  <c r="J26" i="2"/>
  <c r="K26" i="2"/>
  <c r="M26" i="2"/>
  <c r="T26" i="2" s="1"/>
  <c r="N26" i="2"/>
  <c r="R26" i="2" s="1"/>
  <c r="P26" i="2"/>
  <c r="V26" i="2" s="1"/>
  <c r="AI26" i="2" s="1"/>
  <c r="Q26" i="2"/>
  <c r="AB26" i="2"/>
  <c r="AD26" i="2"/>
  <c r="AE26" i="2"/>
  <c r="AF26" i="2"/>
  <c r="AG26" i="2"/>
  <c r="AK26" i="2"/>
  <c r="AS26" i="2"/>
  <c r="AV26" i="2" s="1"/>
  <c r="AU26" i="2"/>
  <c r="G27" i="2"/>
  <c r="I27" i="2"/>
  <c r="J27" i="2"/>
  <c r="K27" i="2"/>
  <c r="M27" i="2"/>
  <c r="N27" i="2"/>
  <c r="O27" i="2"/>
  <c r="P27" i="2"/>
  <c r="T27" i="2"/>
  <c r="U27" i="2"/>
  <c r="AH27" i="2" s="1"/>
  <c r="AB27" i="2"/>
  <c r="AD27" i="2"/>
  <c r="AE27" i="2"/>
  <c r="AF27" i="2" s="1"/>
  <c r="AG27" i="2"/>
  <c r="AK27" i="2"/>
  <c r="AS27" i="2"/>
  <c r="AU27" i="2"/>
  <c r="AV27" i="2"/>
  <c r="G28" i="2"/>
  <c r="I28" i="2"/>
  <c r="J28" i="2"/>
  <c r="W28" i="2" s="1"/>
  <c r="AJ28" i="2" s="1"/>
  <c r="K28" i="2"/>
  <c r="M28" i="2"/>
  <c r="AG28" i="2" s="1"/>
  <c r="N28" i="2"/>
  <c r="P28" i="2"/>
  <c r="R28" i="2"/>
  <c r="U28" i="2"/>
  <c r="AH28" i="2" s="1"/>
  <c r="V28" i="2"/>
  <c r="AI28" i="2" s="1"/>
  <c r="AB28" i="2"/>
  <c r="AD28" i="2"/>
  <c r="AE28" i="2"/>
  <c r="AF28" i="2"/>
  <c r="AK28" i="2"/>
  <c r="AS28" i="2"/>
  <c r="G29" i="2"/>
  <c r="I29" i="2"/>
  <c r="J29" i="2"/>
  <c r="K29" i="2"/>
  <c r="M29" i="2"/>
  <c r="AG29" i="2" s="1"/>
  <c r="N29" i="2"/>
  <c r="P29" i="2"/>
  <c r="T29" i="2"/>
  <c r="V29" i="2"/>
  <c r="AB29" i="2"/>
  <c r="AD29" i="2"/>
  <c r="AE29" i="2"/>
  <c r="AF29" i="2" s="1"/>
  <c r="AI29" i="2"/>
  <c r="AK29" i="2"/>
  <c r="AS29" i="2"/>
  <c r="AV29" i="2" s="1"/>
  <c r="AU29" i="2"/>
  <c r="G30" i="2"/>
  <c r="I30" i="2"/>
  <c r="J30" i="2"/>
  <c r="K30" i="2"/>
  <c r="M30" i="2"/>
  <c r="N30" i="2"/>
  <c r="O30" i="2"/>
  <c r="P30" i="2"/>
  <c r="V30" i="2" s="1"/>
  <c r="AI30" i="2" s="1"/>
  <c r="Q30" i="2"/>
  <c r="T30" i="2"/>
  <c r="U30" i="2"/>
  <c r="AH30" i="2" s="1"/>
  <c r="AB30" i="2"/>
  <c r="AD30" i="2"/>
  <c r="AE30" i="2"/>
  <c r="AF30" i="2"/>
  <c r="AG30" i="2"/>
  <c r="AK30" i="2"/>
  <c r="AS30" i="2"/>
  <c r="AU30" i="2"/>
  <c r="AV30" i="2"/>
  <c r="G31" i="2"/>
  <c r="I31" i="2"/>
  <c r="J31" i="2"/>
  <c r="K31" i="2"/>
  <c r="M31" i="2"/>
  <c r="T31" i="2" s="1"/>
  <c r="N31" i="2"/>
  <c r="P31" i="2"/>
  <c r="V31" i="2" s="1"/>
  <c r="AB31" i="2"/>
  <c r="AD31" i="2"/>
  <c r="AE31" i="2"/>
  <c r="AF31" i="2"/>
  <c r="AI31" i="2"/>
  <c r="AK31" i="2"/>
  <c r="AS31" i="2"/>
  <c r="AU31" i="2"/>
  <c r="AV31" i="2"/>
  <c r="G32" i="2"/>
  <c r="I32" i="2"/>
  <c r="J32" i="2"/>
  <c r="W32" i="2" s="1"/>
  <c r="K32" i="2"/>
  <c r="M32" i="2"/>
  <c r="AG32" i="2" s="1"/>
  <c r="N32" i="2"/>
  <c r="O32" i="2"/>
  <c r="P32" i="2"/>
  <c r="R32" i="2" s="1"/>
  <c r="S32" i="2" s="1"/>
  <c r="Q32" i="2"/>
  <c r="T32" i="2"/>
  <c r="U32" i="2"/>
  <c r="V32" i="2"/>
  <c r="AB32" i="2"/>
  <c r="AD32" i="2"/>
  <c r="AE32" i="2"/>
  <c r="AF32" i="2" s="1"/>
  <c r="AK32" i="2"/>
  <c r="AS32" i="2"/>
  <c r="AU32" i="2"/>
  <c r="G33" i="2"/>
  <c r="I33" i="2"/>
  <c r="J33" i="2"/>
  <c r="K33" i="2"/>
  <c r="M33" i="2"/>
  <c r="N33" i="2"/>
  <c r="R33" i="2" s="1"/>
  <c r="P33" i="2"/>
  <c r="T33" i="2"/>
  <c r="AB33" i="2"/>
  <c r="AD33" i="2"/>
  <c r="AE33" i="2"/>
  <c r="AF33" i="2" s="1"/>
  <c r="AK33" i="2"/>
  <c r="AS33" i="2"/>
  <c r="AU33" i="2"/>
  <c r="G34" i="2"/>
  <c r="I34" i="2"/>
  <c r="J34" i="2"/>
  <c r="K34" i="2"/>
  <c r="M34" i="2"/>
  <c r="N34" i="2"/>
  <c r="P34" i="2"/>
  <c r="R34" i="2"/>
  <c r="W34" i="2" s="1"/>
  <c r="AJ34" i="2" s="1"/>
  <c r="U34" i="2"/>
  <c r="AH34" i="2" s="1"/>
  <c r="V34" i="2"/>
  <c r="AI34" i="2" s="1"/>
  <c r="AB34" i="2"/>
  <c r="AD34" i="2"/>
  <c r="AE34" i="2"/>
  <c r="AF34" i="2"/>
  <c r="AK34" i="2"/>
  <c r="AS34" i="2"/>
  <c r="G35" i="2"/>
  <c r="I35" i="2"/>
  <c r="J35" i="2"/>
  <c r="K35" i="2"/>
  <c r="M35" i="2"/>
  <c r="N35" i="2"/>
  <c r="U35" i="2" s="1"/>
  <c r="AH35" i="2" s="1"/>
  <c r="P35" i="2"/>
  <c r="V35" i="2" s="1"/>
  <c r="Q35" i="2"/>
  <c r="T35" i="2"/>
  <c r="AB35" i="2"/>
  <c r="AD35" i="2"/>
  <c r="AE35" i="2"/>
  <c r="AF35" i="2"/>
  <c r="AG35" i="2"/>
  <c r="AI35" i="2"/>
  <c r="AK35" i="2"/>
  <c r="AS35" i="2"/>
  <c r="AU35" i="2"/>
  <c r="AV35" i="2"/>
  <c r="C36" i="2"/>
  <c r="D36" i="2"/>
  <c r="E36" i="2"/>
  <c r="G36" i="2" s="1"/>
  <c r="F36" i="2"/>
  <c r="H36" i="2"/>
  <c r="L36" i="2"/>
  <c r="X36" i="2"/>
  <c r="Y36" i="2"/>
  <c r="Z36" i="2"/>
  <c r="AA36" i="2"/>
  <c r="AC36" i="2"/>
  <c r="AC37" i="2" s="1"/>
  <c r="AD37" i="2" s="1"/>
  <c r="AK36" i="2"/>
  <c r="AK37" i="2" s="1"/>
  <c r="AL44" i="2" s="1"/>
  <c r="AL36" i="2"/>
  <c r="AM36" i="2"/>
  <c r="AN36" i="2"/>
  <c r="AO36" i="2"/>
  <c r="AP36" i="2"/>
  <c r="AQ36" i="2"/>
  <c r="AR36" i="2"/>
  <c r="F37" i="2"/>
  <c r="G37" i="2" s="1"/>
  <c r="H37" i="2"/>
  <c r="AA37" i="2"/>
  <c r="AB37" i="2"/>
  <c r="AK44" i="2"/>
  <c r="AJ44" i="1"/>
  <c r="F38" i="1"/>
  <c r="I37" i="1"/>
  <c r="H37" i="1"/>
  <c r="AR36" i="1"/>
  <c r="AQ36" i="1"/>
  <c r="AP36" i="1"/>
  <c r="AO36" i="1"/>
  <c r="AN36" i="1"/>
  <c r="AM36" i="1"/>
  <c r="AL36" i="1"/>
  <c r="AC36" i="1"/>
  <c r="AC37" i="1" s="1"/>
  <c r="AD37" i="1" s="1"/>
  <c r="AA36" i="1"/>
  <c r="AA37" i="1" s="1"/>
  <c r="AB37" i="1" s="1"/>
  <c r="Z36" i="1"/>
  <c r="Y36" i="1"/>
  <c r="X36" i="1"/>
  <c r="L36" i="1"/>
  <c r="I36" i="1"/>
  <c r="H36" i="1"/>
  <c r="G36" i="1"/>
  <c r="F36" i="1"/>
  <c r="F37" i="1" s="1"/>
  <c r="G37" i="1" s="1"/>
  <c r="E36" i="1"/>
  <c r="D36" i="1"/>
  <c r="C36" i="1"/>
  <c r="AU34" i="1"/>
  <c r="AS34" i="1"/>
  <c r="AK34" i="1"/>
  <c r="AJ34" i="1"/>
  <c r="AE34" i="1"/>
  <c r="AF34" i="1" s="1"/>
  <c r="AD34" i="1"/>
  <c r="AB34" i="1"/>
  <c r="U34" i="1"/>
  <c r="AH34" i="1" s="1"/>
  <c r="T34" i="1"/>
  <c r="S34" i="1"/>
  <c r="P34" i="1"/>
  <c r="Q34" i="1" s="1"/>
  <c r="O34" i="1"/>
  <c r="N34" i="1"/>
  <c r="R34" i="1" s="1"/>
  <c r="M34" i="1"/>
  <c r="AG34" i="1" s="1"/>
  <c r="K34" i="1"/>
  <c r="J34" i="1"/>
  <c r="W34" i="1" s="1"/>
  <c r="I34" i="1"/>
  <c r="G34" i="1"/>
  <c r="AS33" i="1"/>
  <c r="AU33" i="1" s="1"/>
  <c r="AK33" i="1"/>
  <c r="AG33" i="1"/>
  <c r="AE33" i="1"/>
  <c r="AF33" i="1" s="1"/>
  <c r="AD33" i="1"/>
  <c r="AB33" i="1"/>
  <c r="U33" i="1"/>
  <c r="AH33" i="1" s="1"/>
  <c r="P33" i="1"/>
  <c r="V33" i="1" s="1"/>
  <c r="AI33" i="1" s="1"/>
  <c r="N33" i="1"/>
  <c r="M33" i="1"/>
  <c r="O33" i="1" s="1"/>
  <c r="J33" i="1"/>
  <c r="K33" i="1" s="1"/>
  <c r="I33" i="1"/>
  <c r="G33" i="1"/>
  <c r="AS32" i="1"/>
  <c r="AU32" i="1" s="1"/>
  <c r="AK32" i="1"/>
  <c r="AE32" i="1"/>
  <c r="AF32" i="1" s="1"/>
  <c r="AD32" i="1"/>
  <c r="AB32" i="1"/>
  <c r="P32" i="1"/>
  <c r="V32" i="1" s="1"/>
  <c r="AI32" i="1" s="1"/>
  <c r="N32" i="1"/>
  <c r="U32" i="1" s="1"/>
  <c r="AH32" i="1" s="1"/>
  <c r="M32" i="1"/>
  <c r="T32" i="1" s="1"/>
  <c r="K32" i="1"/>
  <c r="J32" i="1"/>
  <c r="I32" i="1"/>
  <c r="G32" i="1"/>
  <c r="AS31" i="1"/>
  <c r="AU31" i="1" s="1"/>
  <c r="AK31" i="1"/>
  <c r="AI31" i="1"/>
  <c r="AE31" i="1"/>
  <c r="AF31" i="1" s="1"/>
  <c r="AD31" i="1"/>
  <c r="AB31" i="1"/>
  <c r="V31" i="1"/>
  <c r="U31" i="1"/>
  <c r="AH31" i="1" s="1"/>
  <c r="T31" i="1"/>
  <c r="P31" i="1"/>
  <c r="Q31" i="1" s="1"/>
  <c r="O31" i="1"/>
  <c r="N31" i="1"/>
  <c r="R31" i="1" s="1"/>
  <c r="M31" i="1"/>
  <c r="S31" i="1" s="1"/>
  <c r="J31" i="1"/>
  <c r="I31" i="1"/>
  <c r="G31" i="1"/>
  <c r="AS30" i="1"/>
  <c r="AU30" i="1" s="1"/>
  <c r="AK30" i="1"/>
  <c r="AF30" i="1"/>
  <c r="AE30" i="1"/>
  <c r="AD30" i="1"/>
  <c r="AB30" i="1"/>
  <c r="W30" i="1"/>
  <c r="AJ30" i="1" s="1"/>
  <c r="V30" i="1"/>
  <c r="AI30" i="1" s="1"/>
  <c r="R30" i="1"/>
  <c r="P30" i="1"/>
  <c r="N30" i="1"/>
  <c r="M30" i="1"/>
  <c r="T30" i="1" s="1"/>
  <c r="K30" i="1"/>
  <c r="J30" i="1"/>
  <c r="I30" i="1"/>
  <c r="G30" i="1"/>
  <c r="AU29" i="1"/>
  <c r="AS29" i="1"/>
  <c r="AK29" i="1"/>
  <c r="AG29" i="1"/>
  <c r="AF29" i="1"/>
  <c r="AE29" i="1"/>
  <c r="AD29" i="1"/>
  <c r="AB29" i="1"/>
  <c r="T29" i="1"/>
  <c r="P29" i="1"/>
  <c r="N29" i="1"/>
  <c r="O29" i="1" s="1"/>
  <c r="M29" i="1"/>
  <c r="K29" i="1"/>
  <c r="J29" i="1"/>
  <c r="I29" i="1"/>
  <c r="G29" i="1"/>
  <c r="AS28" i="1"/>
  <c r="AU28" i="1" s="1"/>
  <c r="AK28" i="1"/>
  <c r="AG28" i="1"/>
  <c r="AF28" i="1"/>
  <c r="AE28" i="1"/>
  <c r="AD28" i="1"/>
  <c r="AB28" i="1"/>
  <c r="U28" i="1"/>
  <c r="AH28" i="1" s="1"/>
  <c r="P28" i="1"/>
  <c r="V28" i="1" s="1"/>
  <c r="AI28" i="1" s="1"/>
  <c r="N28" i="1"/>
  <c r="O28" i="1" s="1"/>
  <c r="M28" i="1"/>
  <c r="K28" i="1"/>
  <c r="J28" i="1"/>
  <c r="I28" i="1"/>
  <c r="G28" i="1"/>
  <c r="AS27" i="1"/>
  <c r="AU27" i="1" s="1"/>
  <c r="AK27" i="1"/>
  <c r="AI27" i="1"/>
  <c r="AF27" i="1"/>
  <c r="AE27" i="1"/>
  <c r="AD27" i="1"/>
  <c r="AB27" i="1"/>
  <c r="V27" i="1"/>
  <c r="T27" i="1"/>
  <c r="P27" i="1"/>
  <c r="N27" i="1"/>
  <c r="U27" i="1" s="1"/>
  <c r="AH27" i="1" s="1"/>
  <c r="M27" i="1"/>
  <c r="Q27" i="1" s="1"/>
  <c r="K27" i="1"/>
  <c r="J27" i="1"/>
  <c r="I27" i="1"/>
  <c r="G27" i="1"/>
  <c r="AU26" i="1"/>
  <c r="AS26" i="1"/>
  <c r="AK26" i="1"/>
  <c r="AG26" i="1"/>
  <c r="AF26" i="1"/>
  <c r="AE26" i="1"/>
  <c r="AD26" i="1"/>
  <c r="AB26" i="1"/>
  <c r="U26" i="1"/>
  <c r="AH26" i="1" s="1"/>
  <c r="T26" i="1"/>
  <c r="P26" i="1"/>
  <c r="R26" i="1" s="1"/>
  <c r="S26" i="1" s="1"/>
  <c r="O26" i="1"/>
  <c r="N26" i="1"/>
  <c r="M26" i="1"/>
  <c r="K26" i="1"/>
  <c r="J26" i="1"/>
  <c r="W26" i="1" s="1"/>
  <c r="AJ26" i="1" s="1"/>
  <c r="I26" i="1"/>
  <c r="G26" i="1"/>
  <c r="AS25" i="1"/>
  <c r="AU25" i="1" s="1"/>
  <c r="AK25" i="1"/>
  <c r="AF25" i="1"/>
  <c r="AE25" i="1"/>
  <c r="AD25" i="1"/>
  <c r="AB25" i="1"/>
  <c r="V25" i="1"/>
  <c r="AI25" i="1" s="1"/>
  <c r="R25" i="1"/>
  <c r="W25" i="1" s="1"/>
  <c r="AJ25" i="1" s="1"/>
  <c r="P25" i="1"/>
  <c r="N25" i="1"/>
  <c r="M25" i="1"/>
  <c r="T25" i="1" s="1"/>
  <c r="K25" i="1"/>
  <c r="J25" i="1"/>
  <c r="I25" i="1"/>
  <c r="G25" i="1"/>
  <c r="AU24" i="1"/>
  <c r="AS24" i="1"/>
  <c r="AK24" i="1"/>
  <c r="AF24" i="1"/>
  <c r="AE24" i="1"/>
  <c r="AD24" i="1"/>
  <c r="AB24" i="1"/>
  <c r="T24" i="1"/>
  <c r="P24" i="1"/>
  <c r="N24" i="1"/>
  <c r="R24" i="1" s="1"/>
  <c r="S24" i="1" s="1"/>
  <c r="M24" i="1"/>
  <c r="AG24" i="1" s="1"/>
  <c r="K24" i="1"/>
  <c r="J24" i="1"/>
  <c r="I24" i="1"/>
  <c r="G24" i="1"/>
  <c r="AS23" i="1"/>
  <c r="AU23" i="1" s="1"/>
  <c r="AK23" i="1"/>
  <c r="AG23" i="1"/>
  <c r="AF23" i="1"/>
  <c r="AE23" i="1"/>
  <c r="AD23" i="1"/>
  <c r="AB23" i="1"/>
  <c r="U23" i="1"/>
  <c r="AH23" i="1" s="1"/>
  <c r="P23" i="1"/>
  <c r="V23" i="1" s="1"/>
  <c r="AI23" i="1" s="1"/>
  <c r="N23" i="1"/>
  <c r="M23" i="1"/>
  <c r="K23" i="1"/>
  <c r="J23" i="1"/>
  <c r="I23" i="1"/>
  <c r="G23" i="1"/>
  <c r="AS22" i="1"/>
  <c r="AU22" i="1" s="1"/>
  <c r="AK22" i="1"/>
  <c r="AI22" i="1"/>
  <c r="AF22" i="1"/>
  <c r="AE22" i="1"/>
  <c r="AD22" i="1"/>
  <c r="AB22" i="1"/>
  <c r="T22" i="1"/>
  <c r="R22" i="1"/>
  <c r="W22" i="1" s="1"/>
  <c r="AJ22" i="1" s="1"/>
  <c r="P22" i="1"/>
  <c r="V22" i="1" s="1"/>
  <c r="N22" i="1"/>
  <c r="U22" i="1" s="1"/>
  <c r="AH22" i="1" s="1"/>
  <c r="M22" i="1"/>
  <c r="AG22" i="1" s="1"/>
  <c r="K22" i="1"/>
  <c r="J22" i="1"/>
  <c r="I22" i="1"/>
  <c r="G22" i="1"/>
  <c r="AS21" i="1"/>
  <c r="AU21" i="1" s="1"/>
  <c r="AK21" i="1"/>
  <c r="AF21" i="1"/>
  <c r="AE21" i="1"/>
  <c r="AD21" i="1"/>
  <c r="AB21" i="1"/>
  <c r="V21" i="1"/>
  <c r="AI21" i="1" s="1"/>
  <c r="U21" i="1"/>
  <c r="AH21" i="1" s="1"/>
  <c r="T21" i="1"/>
  <c r="P21" i="1"/>
  <c r="Q21" i="1" s="1"/>
  <c r="O21" i="1"/>
  <c r="N21" i="1"/>
  <c r="R21" i="1" s="1"/>
  <c r="M21" i="1"/>
  <c r="S21" i="1" s="1"/>
  <c r="K21" i="1"/>
  <c r="J21" i="1"/>
  <c r="I21" i="1"/>
  <c r="G21" i="1"/>
  <c r="AU20" i="1"/>
  <c r="AS20" i="1"/>
  <c r="AK20" i="1"/>
  <c r="AG20" i="1"/>
  <c r="AF20" i="1"/>
  <c r="AE20" i="1"/>
  <c r="AD20" i="1"/>
  <c r="AB20" i="1"/>
  <c r="V20" i="1"/>
  <c r="AI20" i="1" s="1"/>
  <c r="Q20" i="1"/>
  <c r="P20" i="1"/>
  <c r="N20" i="1"/>
  <c r="R20" i="1" s="1"/>
  <c r="W20" i="1" s="1"/>
  <c r="AJ20" i="1" s="1"/>
  <c r="M20" i="1"/>
  <c r="T20" i="1" s="1"/>
  <c r="K20" i="1"/>
  <c r="J20" i="1"/>
  <c r="I20" i="1"/>
  <c r="G20" i="1"/>
  <c r="AU19" i="1"/>
  <c r="AS19" i="1"/>
  <c r="AK19" i="1"/>
  <c r="AG19" i="1"/>
  <c r="AF19" i="1"/>
  <c r="AE19" i="1"/>
  <c r="AD19" i="1"/>
  <c r="AB19" i="1"/>
  <c r="T19" i="1"/>
  <c r="S19" i="1"/>
  <c r="P19" i="1"/>
  <c r="N19" i="1"/>
  <c r="R19" i="1" s="1"/>
  <c r="M19" i="1"/>
  <c r="K19" i="1"/>
  <c r="J19" i="1"/>
  <c r="I19" i="1"/>
  <c r="G19" i="1"/>
  <c r="AS18" i="1"/>
  <c r="AU18" i="1" s="1"/>
  <c r="AK18" i="1"/>
  <c r="AF18" i="1"/>
  <c r="AE18" i="1"/>
  <c r="AD18" i="1"/>
  <c r="AB18" i="1"/>
  <c r="U18" i="1"/>
  <c r="AH18" i="1" s="1"/>
  <c r="R18" i="1"/>
  <c r="W18" i="1" s="1"/>
  <c r="AJ18" i="1" s="1"/>
  <c r="P18" i="1"/>
  <c r="V18" i="1" s="1"/>
  <c r="AI18" i="1" s="1"/>
  <c r="N18" i="1"/>
  <c r="M18" i="1"/>
  <c r="K18" i="1"/>
  <c r="J18" i="1"/>
  <c r="I18" i="1"/>
  <c r="G18" i="1"/>
  <c r="AU17" i="1"/>
  <c r="AS17" i="1"/>
  <c r="AK17" i="1"/>
  <c r="AI17" i="1"/>
  <c r="AH17" i="1"/>
  <c r="AG17" i="1"/>
  <c r="AF17" i="1"/>
  <c r="AE17" i="1"/>
  <c r="AD17" i="1"/>
  <c r="AB17" i="1"/>
  <c r="V17" i="1"/>
  <c r="T17" i="1"/>
  <c r="R17" i="1"/>
  <c r="W17" i="1" s="1"/>
  <c r="AJ17" i="1" s="1"/>
  <c r="P17" i="1"/>
  <c r="N17" i="1"/>
  <c r="U17" i="1" s="1"/>
  <c r="M17" i="1"/>
  <c r="Q17" i="1" s="1"/>
  <c r="K17" i="1"/>
  <c r="J17" i="1"/>
  <c r="I17" i="1"/>
  <c r="G17" i="1"/>
  <c r="AU16" i="1"/>
  <c r="AS16" i="1"/>
  <c r="AK16" i="1"/>
  <c r="AG16" i="1"/>
  <c r="AF16" i="1"/>
  <c r="AE16" i="1"/>
  <c r="AD16" i="1"/>
  <c r="AB16" i="1"/>
  <c r="V16" i="1"/>
  <c r="AI16" i="1" s="1"/>
  <c r="U16" i="1"/>
  <c r="AH16" i="1" s="1"/>
  <c r="T16" i="1"/>
  <c r="P16" i="1"/>
  <c r="R16" i="1" s="1"/>
  <c r="S16" i="1" s="1"/>
  <c r="O16" i="1"/>
  <c r="N16" i="1"/>
  <c r="M16" i="1"/>
  <c r="K16" i="1"/>
  <c r="J16" i="1"/>
  <c r="W16" i="1" s="1"/>
  <c r="AJ16" i="1" s="1"/>
  <c r="I16" i="1"/>
  <c r="G16" i="1"/>
  <c r="AS15" i="1"/>
  <c r="AU15" i="1" s="1"/>
  <c r="AK15" i="1"/>
  <c r="AG15" i="1"/>
  <c r="AF15" i="1"/>
  <c r="AE15" i="1"/>
  <c r="AD15" i="1"/>
  <c r="AB15" i="1"/>
  <c r="W15" i="1"/>
  <c r="AJ15" i="1" s="1"/>
  <c r="V15" i="1"/>
  <c r="AI15" i="1" s="1"/>
  <c r="R15" i="1"/>
  <c r="Q15" i="1"/>
  <c r="P15" i="1"/>
  <c r="N15" i="1"/>
  <c r="M15" i="1"/>
  <c r="T15" i="1" s="1"/>
  <c r="K15" i="1"/>
  <c r="J15" i="1"/>
  <c r="I15" i="1"/>
  <c r="G15" i="1"/>
  <c r="AU14" i="1"/>
  <c r="AS14" i="1"/>
  <c r="AK14" i="1"/>
  <c r="AF14" i="1"/>
  <c r="AE14" i="1"/>
  <c r="AD14" i="1"/>
  <c r="AB14" i="1"/>
  <c r="T14" i="1"/>
  <c r="S14" i="1"/>
  <c r="P14" i="1"/>
  <c r="N14" i="1"/>
  <c r="R14" i="1" s="1"/>
  <c r="M14" i="1"/>
  <c r="AG14" i="1" s="1"/>
  <c r="K14" i="1"/>
  <c r="J14" i="1"/>
  <c r="I14" i="1"/>
  <c r="G14" i="1"/>
  <c r="AS13" i="1"/>
  <c r="AU13" i="1" s="1"/>
  <c r="AK13" i="1"/>
  <c r="AF13" i="1"/>
  <c r="AE13" i="1"/>
  <c r="AD13" i="1"/>
  <c r="AB13" i="1"/>
  <c r="U13" i="1"/>
  <c r="AH13" i="1" s="1"/>
  <c r="R13" i="1"/>
  <c r="W13" i="1" s="1"/>
  <c r="AJ13" i="1" s="1"/>
  <c r="P13" i="1"/>
  <c r="V13" i="1" s="1"/>
  <c r="AI13" i="1" s="1"/>
  <c r="N13" i="1"/>
  <c r="M13" i="1"/>
  <c r="K13" i="1"/>
  <c r="J13" i="1"/>
  <c r="I13" i="1"/>
  <c r="G13" i="1"/>
  <c r="AU12" i="1"/>
  <c r="AS12" i="1"/>
  <c r="AK12" i="1"/>
  <c r="AH12" i="1"/>
  <c r="AG12" i="1"/>
  <c r="AF12" i="1"/>
  <c r="AE12" i="1"/>
  <c r="AD12" i="1"/>
  <c r="AB12" i="1"/>
  <c r="W12" i="1"/>
  <c r="AJ12" i="1" s="1"/>
  <c r="T12" i="1"/>
  <c r="R12" i="1"/>
  <c r="S12" i="1" s="1"/>
  <c r="P12" i="1"/>
  <c r="V12" i="1" s="1"/>
  <c r="AI12" i="1" s="1"/>
  <c r="O12" i="1"/>
  <c r="N12" i="1"/>
  <c r="U12" i="1" s="1"/>
  <c r="M12" i="1"/>
  <c r="K12" i="1"/>
  <c r="J12" i="1"/>
  <c r="I12" i="1"/>
  <c r="G12" i="1"/>
  <c r="AS11" i="1"/>
  <c r="AU11" i="1" s="1"/>
  <c r="AK11" i="1"/>
  <c r="AF11" i="1"/>
  <c r="AE11" i="1"/>
  <c r="AD11" i="1"/>
  <c r="AB11" i="1"/>
  <c r="U11" i="1"/>
  <c r="AH11" i="1" s="1"/>
  <c r="T11" i="1"/>
  <c r="P11" i="1"/>
  <c r="V11" i="1" s="1"/>
  <c r="AI11" i="1" s="1"/>
  <c r="O11" i="1"/>
  <c r="N11" i="1"/>
  <c r="M11" i="1"/>
  <c r="K11" i="1"/>
  <c r="J11" i="1"/>
  <c r="I11" i="1"/>
  <c r="G11" i="1"/>
  <c r="AS10" i="1"/>
  <c r="AU10" i="1" s="1"/>
  <c r="AK10" i="1"/>
  <c r="AF10" i="1"/>
  <c r="AE10" i="1"/>
  <c r="AD10" i="1"/>
  <c r="AB10" i="1"/>
  <c r="V10" i="1"/>
  <c r="AI10" i="1" s="1"/>
  <c r="R10" i="1"/>
  <c r="W10" i="1" s="1"/>
  <c r="AJ10" i="1" s="1"/>
  <c r="P10" i="1"/>
  <c r="N10" i="1"/>
  <c r="M10" i="1"/>
  <c r="T10" i="1" s="1"/>
  <c r="K10" i="1"/>
  <c r="J10" i="1"/>
  <c r="I10" i="1"/>
  <c r="G10" i="1"/>
  <c r="AU9" i="1"/>
  <c r="AS9" i="1"/>
  <c r="AK9" i="1"/>
  <c r="AG9" i="1"/>
  <c r="AF9" i="1"/>
  <c r="AE9" i="1"/>
  <c r="AD9" i="1"/>
  <c r="AB9" i="1"/>
  <c r="T9" i="1"/>
  <c r="P9" i="1"/>
  <c r="O9" i="1"/>
  <c r="N9" i="1"/>
  <c r="M9" i="1"/>
  <c r="K9" i="1"/>
  <c r="J9" i="1"/>
  <c r="I9" i="1"/>
  <c r="G9" i="1"/>
  <c r="AS8" i="1"/>
  <c r="AU8" i="1" s="1"/>
  <c r="AK8" i="1"/>
  <c r="AF8" i="1"/>
  <c r="AE8" i="1"/>
  <c r="AD8" i="1"/>
  <c r="AB8" i="1"/>
  <c r="R8" i="1"/>
  <c r="Q8" i="1"/>
  <c r="P8" i="1"/>
  <c r="V8" i="1" s="1"/>
  <c r="AI8" i="1" s="1"/>
  <c r="N8" i="1"/>
  <c r="M8" i="1"/>
  <c r="K8" i="1"/>
  <c r="J8" i="1"/>
  <c r="W8" i="1" s="1"/>
  <c r="AJ8" i="1" s="1"/>
  <c r="I8" i="1"/>
  <c r="G8" i="1"/>
  <c r="AS7" i="1"/>
  <c r="AU7" i="1" s="1"/>
  <c r="AK7" i="1"/>
  <c r="AI7" i="1"/>
  <c r="AH7" i="1"/>
  <c r="AG7" i="1"/>
  <c r="AF7" i="1"/>
  <c r="AE7" i="1"/>
  <c r="AD7" i="1"/>
  <c r="AB7" i="1"/>
  <c r="V7" i="1"/>
  <c r="U7" i="1"/>
  <c r="T7" i="1"/>
  <c r="R7" i="1"/>
  <c r="W7" i="1" s="1"/>
  <c r="AJ7" i="1" s="1"/>
  <c r="P7" i="1"/>
  <c r="N7" i="1"/>
  <c r="O7" i="1" s="1"/>
  <c r="M7" i="1"/>
  <c r="Q7" i="1" s="1"/>
  <c r="K7" i="1"/>
  <c r="J7" i="1"/>
  <c r="I7" i="1"/>
  <c r="G7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AU6" i="1"/>
  <c r="AS6" i="1"/>
  <c r="AK6" i="1"/>
  <c r="AG6" i="1"/>
  <c r="AF6" i="1"/>
  <c r="AE6" i="1"/>
  <c r="AE36" i="1" s="1"/>
  <c r="AD6" i="1"/>
  <c r="AB6" i="1"/>
  <c r="V6" i="1"/>
  <c r="AI6" i="1" s="1"/>
  <c r="U6" i="1"/>
  <c r="AH6" i="1" s="1"/>
  <c r="T6" i="1"/>
  <c r="P6" i="1"/>
  <c r="R6" i="1" s="1"/>
  <c r="S6" i="1" s="1"/>
  <c r="O6" i="1"/>
  <c r="N6" i="1"/>
  <c r="M6" i="1"/>
  <c r="K6" i="1"/>
  <c r="J6" i="1"/>
  <c r="I6" i="1"/>
  <c r="G6" i="1"/>
  <c r="B6" i="1"/>
  <c r="AS5" i="1"/>
  <c r="AU5" i="1" s="1"/>
  <c r="AK5" i="1"/>
  <c r="AG5" i="1"/>
  <c r="AF5" i="1"/>
  <c r="AE5" i="1"/>
  <c r="AD5" i="1"/>
  <c r="AB5" i="1"/>
  <c r="V5" i="1"/>
  <c r="AI5" i="1" s="1"/>
  <c r="Q5" i="1"/>
  <c r="P5" i="1"/>
  <c r="N5" i="1"/>
  <c r="R5" i="1" s="1"/>
  <c r="M5" i="1"/>
  <c r="T5" i="1" s="1"/>
  <c r="K5" i="1"/>
  <c r="J5" i="1"/>
  <c r="I5" i="1"/>
  <c r="G5" i="1"/>
  <c r="B5" i="1"/>
  <c r="J36" i="3" l="1"/>
  <c r="U36" i="3"/>
  <c r="U37" i="3" s="1"/>
  <c r="AH5" i="3"/>
  <c r="AH36" i="3" s="1"/>
  <c r="AH37" i="3" s="1"/>
  <c r="W7" i="3"/>
  <c r="AJ7" i="3" s="1"/>
  <c r="W9" i="3"/>
  <c r="AJ9" i="3" s="1"/>
  <c r="AV9" i="3"/>
  <c r="AW9" i="3" s="1"/>
  <c r="W11" i="3"/>
  <c r="AJ11" i="3" s="1"/>
  <c r="W22" i="3"/>
  <c r="AJ22" i="3" s="1"/>
  <c r="K20" i="3"/>
  <c r="AV30" i="3"/>
  <c r="AW30" i="3" s="1"/>
  <c r="X33" i="3"/>
  <c r="AE36" i="3"/>
  <c r="AW5" i="3"/>
  <c r="AF15" i="3"/>
  <c r="Q19" i="3"/>
  <c r="W27" i="3"/>
  <c r="AJ27" i="3" s="1"/>
  <c r="K27" i="3"/>
  <c r="W30" i="3"/>
  <c r="AJ30" i="3" s="1"/>
  <c r="K16" i="3"/>
  <c r="Q17" i="3"/>
  <c r="R19" i="3"/>
  <c r="S19" i="3" s="1"/>
  <c r="R31" i="3"/>
  <c r="S31" i="3" s="1"/>
  <c r="AF32" i="3"/>
  <c r="R34" i="3"/>
  <c r="S34" i="3" s="1"/>
  <c r="X6" i="3"/>
  <c r="K33" i="3"/>
  <c r="W33" i="3"/>
  <c r="AJ33" i="3" s="1"/>
  <c r="P36" i="3"/>
  <c r="K12" i="3"/>
  <c r="W12" i="3"/>
  <c r="AJ12" i="3" s="1"/>
  <c r="R13" i="3"/>
  <c r="S13" i="3" s="1"/>
  <c r="R15" i="3"/>
  <c r="S15" i="3" s="1"/>
  <c r="W21" i="3"/>
  <c r="AJ21" i="3" s="1"/>
  <c r="W23" i="3"/>
  <c r="AJ23" i="3" s="1"/>
  <c r="W25" i="3"/>
  <c r="AJ25" i="3" s="1"/>
  <c r="R26" i="3"/>
  <c r="S26" i="3" s="1"/>
  <c r="K28" i="3"/>
  <c r="W28" i="3"/>
  <c r="AJ28" i="3" s="1"/>
  <c r="R29" i="3"/>
  <c r="S29" i="3" s="1"/>
  <c r="W35" i="3"/>
  <c r="AJ35" i="3" s="1"/>
  <c r="S35" i="3"/>
  <c r="W10" i="3"/>
  <c r="AJ10" i="3" s="1"/>
  <c r="Q5" i="3"/>
  <c r="AG36" i="3"/>
  <c r="AL38" i="3" s="1"/>
  <c r="K6" i="3"/>
  <c r="W6" i="3"/>
  <c r="AJ6" i="3" s="1"/>
  <c r="Q7" i="3"/>
  <c r="Q9" i="3"/>
  <c r="Q11" i="3"/>
  <c r="Q20" i="3"/>
  <c r="Q22" i="3"/>
  <c r="Q24" i="3"/>
  <c r="W31" i="3"/>
  <c r="AJ31" i="3" s="1"/>
  <c r="Q32" i="3"/>
  <c r="R5" i="3"/>
  <c r="AI5" i="3"/>
  <c r="AI36" i="3" s="1"/>
  <c r="AI37" i="3" s="1"/>
  <c r="R7" i="3"/>
  <c r="S7" i="3" s="1"/>
  <c r="R9" i="3"/>
  <c r="S9" i="3" s="1"/>
  <c r="R11" i="3"/>
  <c r="S11" i="3" s="1"/>
  <c r="W17" i="3"/>
  <c r="AJ17" i="3" s="1"/>
  <c r="W19" i="3"/>
  <c r="AJ19" i="3" s="1"/>
  <c r="K19" i="3"/>
  <c r="R20" i="3"/>
  <c r="S20" i="3" s="1"/>
  <c r="R22" i="3"/>
  <c r="S22" i="3" s="1"/>
  <c r="R24" i="3"/>
  <c r="S24" i="3" s="1"/>
  <c r="Q27" i="3"/>
  <c r="R32" i="3"/>
  <c r="S32" i="3" s="1"/>
  <c r="K34" i="3"/>
  <c r="W8" i="3"/>
  <c r="AJ8" i="3" s="1"/>
  <c r="W15" i="3"/>
  <c r="AJ15" i="3" s="1"/>
  <c r="Q16" i="3"/>
  <c r="Q18" i="3"/>
  <c r="R27" i="3"/>
  <c r="S27" i="3" s="1"/>
  <c r="Q30" i="3"/>
  <c r="AK45" i="3"/>
  <c r="X7" i="3"/>
  <c r="X9" i="3"/>
  <c r="X11" i="3"/>
  <c r="W13" i="3"/>
  <c r="AJ13" i="3" s="1"/>
  <c r="K13" i="3"/>
  <c r="Q14" i="3"/>
  <c r="R16" i="3"/>
  <c r="S16" i="3" s="1"/>
  <c r="R18" i="3"/>
  <c r="S18" i="3" s="1"/>
  <c r="K26" i="3"/>
  <c r="W26" i="3"/>
  <c r="AJ26" i="3" s="1"/>
  <c r="X27" i="3"/>
  <c r="R30" i="3"/>
  <c r="S30" i="3" s="1"/>
  <c r="Q33" i="3"/>
  <c r="N37" i="3"/>
  <c r="O37" i="3" s="1"/>
  <c r="G36" i="3"/>
  <c r="AU35" i="3"/>
  <c r="AU36" i="3" s="1"/>
  <c r="AI5" i="2"/>
  <c r="N37" i="2"/>
  <c r="O37" i="2" s="1"/>
  <c r="O36" i="2"/>
  <c r="S26" i="2"/>
  <c r="W26" i="2"/>
  <c r="AJ26" i="2" s="1"/>
  <c r="S11" i="2"/>
  <c r="W11" i="2"/>
  <c r="AJ11" i="2" s="1"/>
  <c r="S8" i="2"/>
  <c r="T8" i="2"/>
  <c r="U16" i="2"/>
  <c r="AH16" i="2" s="1"/>
  <c r="O16" i="2"/>
  <c r="P36" i="2"/>
  <c r="AJ32" i="2"/>
  <c r="Q29" i="2"/>
  <c r="Q28" i="2"/>
  <c r="S23" i="2"/>
  <c r="T23" i="2"/>
  <c r="V22" i="2"/>
  <c r="AI22" i="2" s="1"/>
  <c r="Q22" i="2"/>
  <c r="R22" i="2"/>
  <c r="S22" i="2" s="1"/>
  <c r="R15" i="2"/>
  <c r="S15" i="2" s="1"/>
  <c r="T6" i="2"/>
  <c r="T36" i="2" s="1"/>
  <c r="M36" i="2"/>
  <c r="N38" i="2" s="1"/>
  <c r="W33" i="2"/>
  <c r="AJ33" i="2" s="1"/>
  <c r="R30" i="2"/>
  <c r="S30" i="2" s="1"/>
  <c r="O29" i="2"/>
  <c r="W25" i="2"/>
  <c r="AJ25" i="2" s="1"/>
  <c r="U21" i="2"/>
  <c r="AH21" i="2" s="1"/>
  <c r="O21" i="2"/>
  <c r="AU18" i="2"/>
  <c r="AV18" i="2"/>
  <c r="W17" i="2"/>
  <c r="AJ17" i="2" s="1"/>
  <c r="R14" i="2"/>
  <c r="U14" i="2"/>
  <c r="AH14" i="2" s="1"/>
  <c r="R5" i="2"/>
  <c r="AK45" i="2"/>
  <c r="R29" i="2"/>
  <c r="U29" i="2"/>
  <c r="AH29" i="2" s="1"/>
  <c r="O28" i="2"/>
  <c r="AV17" i="2"/>
  <c r="S13" i="2"/>
  <c r="T13" i="2"/>
  <c r="V12" i="2"/>
  <c r="AI12" i="2" s="1"/>
  <c r="Q12" i="2"/>
  <c r="R12" i="2"/>
  <c r="S12" i="2" s="1"/>
  <c r="Q11" i="2"/>
  <c r="K7" i="2"/>
  <c r="AE36" i="2"/>
  <c r="V7" i="2"/>
  <c r="AI7" i="2" s="1"/>
  <c r="Q7" i="2"/>
  <c r="R7" i="2"/>
  <c r="S7" i="2" s="1"/>
  <c r="R24" i="2"/>
  <c r="W24" i="2" s="1"/>
  <c r="AJ24" i="2" s="1"/>
  <c r="U24" i="2"/>
  <c r="AH24" i="2" s="1"/>
  <c r="F38" i="2"/>
  <c r="S28" i="2"/>
  <c r="T28" i="2"/>
  <c r="R35" i="2"/>
  <c r="J36" i="2"/>
  <c r="U33" i="2"/>
  <c r="AH33" i="2" s="1"/>
  <c r="AU28" i="2"/>
  <c r="AV28" i="2"/>
  <c r="S34" i="2"/>
  <c r="T34" i="2"/>
  <c r="O34" i="2"/>
  <c r="S25" i="2"/>
  <c r="U6" i="2"/>
  <c r="O6" i="2"/>
  <c r="V27" i="2"/>
  <c r="AI27" i="2" s="1"/>
  <c r="Q27" i="2"/>
  <c r="R27" i="2"/>
  <c r="S27" i="2" s="1"/>
  <c r="W15" i="2"/>
  <c r="AJ15" i="2" s="1"/>
  <c r="AU8" i="2"/>
  <c r="AU36" i="2" s="1"/>
  <c r="AV8" i="2"/>
  <c r="K22" i="2"/>
  <c r="W22" i="2"/>
  <c r="AJ22" i="2" s="1"/>
  <c r="I36" i="2"/>
  <c r="AU34" i="2"/>
  <c r="AV34" i="2"/>
  <c r="T24" i="2"/>
  <c r="AU23" i="2"/>
  <c r="AV23" i="2"/>
  <c r="R19" i="2"/>
  <c r="U19" i="2"/>
  <c r="AH19" i="2" s="1"/>
  <c r="Q9" i="2"/>
  <c r="Q8" i="2"/>
  <c r="I37" i="2"/>
  <c r="K37" i="2" s="1"/>
  <c r="Q34" i="2"/>
  <c r="Q33" i="2"/>
  <c r="V33" i="2"/>
  <c r="AI33" i="2" s="1"/>
  <c r="Q31" i="2"/>
  <c r="AV22" i="2"/>
  <c r="S18" i="2"/>
  <c r="T18" i="2"/>
  <c r="V17" i="2"/>
  <c r="AI17" i="2" s="1"/>
  <c r="Q17" i="2"/>
  <c r="R17" i="2"/>
  <c r="S17" i="2" s="1"/>
  <c r="Q16" i="2"/>
  <c r="AV14" i="2"/>
  <c r="R10" i="2"/>
  <c r="S10" i="2" s="1"/>
  <c r="O9" i="2"/>
  <c r="AG8" i="2"/>
  <c r="AV6" i="2"/>
  <c r="AS36" i="2"/>
  <c r="R6" i="2"/>
  <c r="W6" i="2" s="1"/>
  <c r="AJ6" i="2" s="1"/>
  <c r="AV5" i="2"/>
  <c r="U31" i="2"/>
  <c r="AH31" i="2" s="1"/>
  <c r="O31" i="2"/>
  <c r="W27" i="2"/>
  <c r="AJ27" i="2" s="1"/>
  <c r="S33" i="2"/>
  <c r="T9" i="2"/>
  <c r="V15" i="2"/>
  <c r="AI15" i="2" s="1"/>
  <c r="U11" i="2"/>
  <c r="AH11" i="2" s="1"/>
  <c r="O11" i="2"/>
  <c r="AV33" i="2"/>
  <c r="AV32" i="2"/>
  <c r="R31" i="2"/>
  <c r="W31" i="2" s="1"/>
  <c r="AJ31" i="2" s="1"/>
  <c r="U26" i="2"/>
  <c r="AH26" i="2" s="1"/>
  <c r="O26" i="2"/>
  <c r="S20" i="2"/>
  <c r="R16" i="2"/>
  <c r="W16" i="2" s="1"/>
  <c r="AJ16" i="2" s="1"/>
  <c r="O35" i="2"/>
  <c r="AG34" i="2"/>
  <c r="O33" i="2"/>
  <c r="Q24" i="2"/>
  <c r="Q23" i="2"/>
  <c r="AU21" i="2"/>
  <c r="S21" i="2"/>
  <c r="W20" i="2"/>
  <c r="AJ20" i="2" s="1"/>
  <c r="T14" i="2"/>
  <c r="AU13" i="2"/>
  <c r="AV13" i="2"/>
  <c r="R9" i="2"/>
  <c r="W9" i="2" s="1"/>
  <c r="AJ9" i="2" s="1"/>
  <c r="U9" i="2"/>
  <c r="AH9" i="2" s="1"/>
  <c r="O8" i="2"/>
  <c r="Q6" i="2"/>
  <c r="AG33" i="2"/>
  <c r="AG36" i="2" s="1"/>
  <c r="AL38" i="2" s="1"/>
  <c r="AE37" i="1"/>
  <c r="AF36" i="1"/>
  <c r="W5" i="1"/>
  <c r="S5" i="1"/>
  <c r="AU36" i="1"/>
  <c r="W6" i="1"/>
  <c r="AJ6" i="1" s="1"/>
  <c r="J36" i="1"/>
  <c r="O5" i="1"/>
  <c r="S7" i="1"/>
  <c r="W9" i="1"/>
  <c r="AJ9" i="1" s="1"/>
  <c r="S10" i="1"/>
  <c r="Q11" i="1"/>
  <c r="O13" i="1"/>
  <c r="T13" i="1"/>
  <c r="S13" i="1"/>
  <c r="T18" i="1"/>
  <c r="S18" i="1"/>
  <c r="S22" i="1"/>
  <c r="O24" i="1"/>
  <c r="O30" i="1"/>
  <c r="O32" i="1"/>
  <c r="P36" i="1"/>
  <c r="T8" i="1"/>
  <c r="S8" i="1"/>
  <c r="S17" i="1"/>
  <c r="O18" i="1"/>
  <c r="Q23" i="1"/>
  <c r="Q24" i="1"/>
  <c r="V24" i="1"/>
  <c r="AI24" i="1" s="1"/>
  <c r="U25" i="1"/>
  <c r="AH25" i="1" s="1"/>
  <c r="O25" i="1"/>
  <c r="Q28" i="1"/>
  <c r="V29" i="1"/>
  <c r="AI29" i="1" s="1"/>
  <c r="Q29" i="1"/>
  <c r="AG30" i="1"/>
  <c r="Q33" i="1"/>
  <c r="M36" i="1"/>
  <c r="N38" i="1" s="1"/>
  <c r="O8" i="1"/>
  <c r="AG13" i="1"/>
  <c r="O14" i="1"/>
  <c r="AG18" i="1"/>
  <c r="O19" i="1"/>
  <c r="W21" i="1"/>
  <c r="AJ21" i="1" s="1"/>
  <c r="R23" i="1"/>
  <c r="W23" i="1" s="1"/>
  <c r="AJ23" i="1" s="1"/>
  <c r="AG25" i="1"/>
  <c r="R28" i="1"/>
  <c r="W28" i="1" s="1"/>
  <c r="AJ28" i="1" s="1"/>
  <c r="Q30" i="1"/>
  <c r="R32" i="1"/>
  <c r="R33" i="1"/>
  <c r="AS36" i="1"/>
  <c r="AK36" i="1"/>
  <c r="AK37" i="1" s="1"/>
  <c r="AG8" i="1"/>
  <c r="AG36" i="1" s="1"/>
  <c r="AL38" i="1" s="1"/>
  <c r="R9" i="1"/>
  <c r="S9" i="1" s="1"/>
  <c r="Q13" i="1"/>
  <c r="Q14" i="1"/>
  <c r="V14" i="1"/>
  <c r="AI14" i="1" s="1"/>
  <c r="U15" i="1"/>
  <c r="AH15" i="1" s="1"/>
  <c r="O15" i="1"/>
  <c r="Q18" i="1"/>
  <c r="V19" i="1"/>
  <c r="AI19" i="1" s="1"/>
  <c r="Q19" i="1"/>
  <c r="Q25" i="1"/>
  <c r="U29" i="1"/>
  <c r="AH29" i="1" s="1"/>
  <c r="R29" i="1"/>
  <c r="S29" i="1" s="1"/>
  <c r="S30" i="1"/>
  <c r="Q6" i="1"/>
  <c r="U8" i="1"/>
  <c r="AH8" i="1" s="1"/>
  <c r="AG10" i="1"/>
  <c r="R11" i="1"/>
  <c r="S11" i="1" s="1"/>
  <c r="S15" i="1"/>
  <c r="Q16" i="1"/>
  <c r="O22" i="1"/>
  <c r="AG27" i="1"/>
  <c r="W31" i="1"/>
  <c r="AJ31" i="1" s="1"/>
  <c r="U5" i="1"/>
  <c r="N36" i="1"/>
  <c r="O20" i="1"/>
  <c r="U20" i="1"/>
  <c r="AH20" i="1" s="1"/>
  <c r="U24" i="1"/>
  <c r="AH24" i="1" s="1"/>
  <c r="V9" i="1"/>
  <c r="AI9" i="1" s="1"/>
  <c r="AI36" i="1" s="1"/>
  <c r="AI37" i="1" s="1"/>
  <c r="Q9" i="1"/>
  <c r="S25" i="1"/>
  <c r="Q26" i="1"/>
  <c r="O10" i="1"/>
  <c r="U10" i="1"/>
  <c r="AH10" i="1" s="1"/>
  <c r="U14" i="1"/>
  <c r="AH14" i="1" s="1"/>
  <c r="U19" i="1"/>
  <c r="AH19" i="1" s="1"/>
  <c r="W24" i="1"/>
  <c r="AJ24" i="1" s="1"/>
  <c r="O27" i="1"/>
  <c r="W33" i="1"/>
  <c r="AJ33" i="1" s="1"/>
  <c r="K37" i="1"/>
  <c r="T36" i="1"/>
  <c r="U9" i="1"/>
  <c r="AH9" i="1" s="1"/>
  <c r="Q10" i="1"/>
  <c r="W14" i="1"/>
  <c r="AJ14" i="1" s="1"/>
  <c r="O17" i="1"/>
  <c r="W19" i="1"/>
  <c r="AJ19" i="1" s="1"/>
  <c r="S20" i="1"/>
  <c r="O23" i="1"/>
  <c r="T23" i="1"/>
  <c r="S23" i="1"/>
  <c r="V26" i="1"/>
  <c r="AI26" i="1" s="1"/>
  <c r="R27" i="1"/>
  <c r="T28" i="1"/>
  <c r="K31" i="1"/>
  <c r="AG32" i="1"/>
  <c r="S33" i="1"/>
  <c r="V34" i="1"/>
  <c r="AI34" i="1" s="1"/>
  <c r="Q12" i="1"/>
  <c r="Q22" i="1"/>
  <c r="U30" i="1"/>
  <c r="AH30" i="1" s="1"/>
  <c r="Q32" i="1"/>
  <c r="T33" i="1"/>
  <c r="AG11" i="1"/>
  <c r="AG21" i="1"/>
  <c r="AG31" i="1"/>
  <c r="R36" i="3" l="1"/>
  <c r="S5" i="3"/>
  <c r="X8" i="3"/>
  <c r="X12" i="3"/>
  <c r="X22" i="3"/>
  <c r="X15" i="3"/>
  <c r="W34" i="3"/>
  <c r="X13" i="3"/>
  <c r="X26" i="3"/>
  <c r="X25" i="3"/>
  <c r="W20" i="3"/>
  <c r="W18" i="3"/>
  <c r="AV36" i="3"/>
  <c r="W32" i="3"/>
  <c r="X28" i="3"/>
  <c r="Q36" i="3"/>
  <c r="P37" i="3"/>
  <c r="Q37" i="3" s="1"/>
  <c r="W29" i="3"/>
  <c r="X10" i="3"/>
  <c r="X19" i="3"/>
  <c r="X23" i="3"/>
  <c r="W16" i="3"/>
  <c r="AW36" i="3"/>
  <c r="X30" i="3"/>
  <c r="W5" i="3"/>
  <c r="X31" i="3"/>
  <c r="X17" i="3"/>
  <c r="X21" i="3"/>
  <c r="AF36" i="3"/>
  <c r="AE37" i="3"/>
  <c r="W24" i="3"/>
  <c r="J37" i="3"/>
  <c r="K36" i="3"/>
  <c r="R36" i="2"/>
  <c r="W14" i="2"/>
  <c r="AJ14" i="2" s="1"/>
  <c r="S14" i="2"/>
  <c r="AV36" i="2"/>
  <c r="W5" i="2"/>
  <c r="W12" i="2"/>
  <c r="AJ12" i="2" s="1"/>
  <c r="W10" i="2"/>
  <c r="AJ10" i="2" s="1"/>
  <c r="S9" i="2"/>
  <c r="S31" i="2"/>
  <c r="W30" i="2"/>
  <c r="AJ30" i="2" s="1"/>
  <c r="S29" i="2"/>
  <c r="W29" i="2"/>
  <c r="AJ29" i="2" s="1"/>
  <c r="V36" i="2"/>
  <c r="V37" i="2" s="1"/>
  <c r="P37" i="2"/>
  <c r="Q37" i="2" s="1"/>
  <c r="Q36" i="2"/>
  <c r="S6" i="2"/>
  <c r="J37" i="2"/>
  <c r="K36" i="2"/>
  <c r="AH6" i="2"/>
  <c r="AH36" i="2" s="1"/>
  <c r="AH37" i="2" s="1"/>
  <c r="U36" i="2"/>
  <c r="U37" i="2" s="1"/>
  <c r="AF36" i="2"/>
  <c r="AE37" i="2"/>
  <c r="S5" i="2"/>
  <c r="S16" i="2"/>
  <c r="W35" i="2"/>
  <c r="AJ35" i="2" s="1"/>
  <c r="S35" i="2"/>
  <c r="W7" i="2"/>
  <c r="AJ7" i="2" s="1"/>
  <c r="S24" i="2"/>
  <c r="S19" i="2"/>
  <c r="W19" i="2"/>
  <c r="AJ19" i="2" s="1"/>
  <c r="AI36" i="2"/>
  <c r="AI37" i="2" s="1"/>
  <c r="V36" i="1"/>
  <c r="V37" i="1" s="1"/>
  <c r="U36" i="1"/>
  <c r="U37" i="1" s="1"/>
  <c r="AH5" i="1"/>
  <c r="AH36" i="1" s="1"/>
  <c r="AH37" i="1" s="1"/>
  <c r="K36" i="1"/>
  <c r="J37" i="1"/>
  <c r="W29" i="1"/>
  <c r="AJ29" i="1" s="1"/>
  <c r="R36" i="1"/>
  <c r="W11" i="1"/>
  <c r="AJ11" i="1" s="1"/>
  <c r="W32" i="1"/>
  <c r="AJ32" i="1" s="1"/>
  <c r="S32" i="1"/>
  <c r="AK45" i="1"/>
  <c r="AL45" i="1"/>
  <c r="P37" i="1"/>
  <c r="Q37" i="1" s="1"/>
  <c r="Q36" i="1"/>
  <c r="S28" i="1"/>
  <c r="AJ5" i="1"/>
  <c r="S27" i="1"/>
  <c r="W27" i="1"/>
  <c r="AJ27" i="1" s="1"/>
  <c r="O36" i="1"/>
  <c r="N37" i="1"/>
  <c r="O37" i="1" s="1"/>
  <c r="AF47" i="1"/>
  <c r="AF37" i="1"/>
  <c r="AF38" i="1"/>
  <c r="AE46" i="1"/>
  <c r="AE47" i="1" s="1"/>
  <c r="AF47" i="3" l="1"/>
  <c r="AF37" i="3"/>
  <c r="AF38" i="3"/>
  <c r="AE46" i="3"/>
  <c r="AE47" i="3" s="1"/>
  <c r="AJ29" i="3"/>
  <c r="X29" i="3"/>
  <c r="AJ34" i="3"/>
  <c r="X34" i="3"/>
  <c r="AJ5" i="3"/>
  <c r="AJ36" i="3" s="1"/>
  <c r="W36" i="3"/>
  <c r="X5" i="3"/>
  <c r="AJ32" i="3"/>
  <c r="X32" i="3"/>
  <c r="J46" i="3"/>
  <c r="J47" i="3" s="1"/>
  <c r="K47" i="3"/>
  <c r="K38" i="3"/>
  <c r="AJ16" i="3"/>
  <c r="X16" i="3"/>
  <c r="AJ18" i="3"/>
  <c r="X18" i="3"/>
  <c r="AJ24" i="3"/>
  <c r="X24" i="3"/>
  <c r="AJ20" i="3"/>
  <c r="X20" i="3"/>
  <c r="R37" i="3"/>
  <c r="S36" i="3"/>
  <c r="K47" i="2"/>
  <c r="K38" i="2"/>
  <c r="J46" i="2"/>
  <c r="J47" i="2" s="1"/>
  <c r="W36" i="2"/>
  <c r="W37" i="2" s="1"/>
  <c r="AJ5" i="2"/>
  <c r="AJ36" i="2" s="1"/>
  <c r="AE46" i="2"/>
  <c r="AE47" i="2" s="1"/>
  <c r="AF37" i="2"/>
  <c r="AF47" i="2"/>
  <c r="AF38" i="2"/>
  <c r="S36" i="2"/>
  <c r="R37" i="2"/>
  <c r="AJ36" i="1"/>
  <c r="J46" i="1"/>
  <c r="J47" i="1" s="1"/>
  <c r="K38" i="1"/>
  <c r="K47" i="1"/>
  <c r="W36" i="1"/>
  <c r="W37" i="1" s="1"/>
  <c r="R37" i="1"/>
  <c r="S36" i="1"/>
  <c r="W37" i="3" l="1"/>
  <c r="X37" i="3" s="1"/>
  <c r="X36" i="3"/>
  <c r="AJ40" i="3"/>
  <c r="AK40" i="3" s="1"/>
  <c r="AJ37" i="3"/>
  <c r="R46" i="3"/>
  <c r="R47" i="3" s="1"/>
  <c r="S47" i="3"/>
  <c r="S37" i="3"/>
  <c r="S38" i="3"/>
  <c r="AJ39" i="2"/>
  <c r="AK39" i="2" s="1"/>
  <c r="AJ37" i="2"/>
  <c r="R46" i="2"/>
  <c r="R47" i="2" s="1"/>
  <c r="S47" i="2"/>
  <c r="S38" i="2"/>
  <c r="S37" i="2"/>
  <c r="S37" i="1"/>
  <c r="S47" i="1"/>
  <c r="S38" i="1"/>
  <c r="R46" i="1"/>
  <c r="R47" i="1" s="1"/>
  <c r="AJ37" i="1"/>
  <c r="AJ39" i="1"/>
  <c r="AK39" i="1" s="1"/>
  <c r="AK39" i="3" l="1"/>
  <c r="AK38" i="3"/>
  <c r="AK46" i="3"/>
  <c r="AJ43" i="3"/>
  <c r="AJ41" i="3"/>
  <c r="AK41" i="3" s="1"/>
  <c r="AJ45" i="3"/>
  <c r="AJ46" i="3" s="1"/>
  <c r="AJ40" i="2"/>
  <c r="AK41" i="2" s="1"/>
  <c r="AJ43" i="2"/>
  <c r="AK38" i="2"/>
  <c r="AJ45" i="2"/>
  <c r="AJ46" i="2" s="1"/>
  <c r="AK46" i="2"/>
  <c r="AK38" i="1"/>
  <c r="AJ43" i="1"/>
  <c r="AK46" i="1"/>
  <c r="AJ40" i="1"/>
  <c r="AK41" i="1" s="1"/>
  <c r="AJ45" i="1"/>
  <c r="AJ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13F62A1-5D43-7F40-9133-F5F823FBB4B2}">
      <text>
        <r>
          <rPr>
            <sz val="10"/>
            <color rgb="FF000000"/>
            <rFont val="游ゴシック"/>
            <family val="2"/>
            <scheme val="minor"/>
          </rPr>
          <t>======
ID#AAAA3zLDsB4
    (2023-08-01 08:19:57)
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DB55943-60CB-534D-B6CC-19A76C66312B}">
      <text>
        <r>
          <rPr>
            <sz val="10"/>
            <color rgb="FF000000"/>
            <rFont val="游ゴシック"/>
            <family val="2"/>
            <scheme val="minor"/>
          </rPr>
          <t>======
ID#AAAA3zLDsBA
    (2023-08-01 08:19:57)
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5389EF29-D657-1043-8017-597CB7F305E8}">
      <text>
        <r>
          <rPr>
            <sz val="10"/>
            <color rgb="FF000000"/>
            <rFont val="游ゴシック"/>
            <family val="2"/>
            <scheme val="minor"/>
          </rPr>
          <t>======
ID#AAAA3zLDsBQ
    (2023-08-01 08:19:57)
月の数字のみ入力</t>
        </r>
      </text>
    </comment>
  </commentList>
</comments>
</file>

<file path=xl/sharedStrings.xml><?xml version="1.0" encoding="utf-8"?>
<sst xmlns="http://schemas.openxmlformats.org/spreadsheetml/2006/main" count="346" uniqueCount="82">
  <si>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</si>
  <si>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</si>
  <si>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</si>
  <si>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</si>
  <si>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</si>
  <si>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</si>
  <si>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</si>
  <si>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</si>
  <si>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</si>
  <si>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</si>
  <si>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</si>
  <si>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</si>
  <si>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</si>
  <si>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</si>
  <si>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</si>
  <si>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</si>
  <si>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</si>
  <si>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</si>
  <si>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</si>
  <si>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</si>
  <si>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</si>
  <si>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</si>
  <si>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</si>
  <si>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</si>
  <si>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</si>
  <si>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</si>
  <si>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</si>
  <si>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</si>
  <si>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</si>
  <si>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</si>
  <si>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</si>
  <si>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</si>
  <si>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</si>
  <si>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</si>
  <si>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</si>
  <si>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</si>
  <si>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</si>
  <si>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</si>
  <si>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</si>
  <si>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</si>
  <si>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</si>
  <si>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</si>
  <si>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</si>
  <si>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</si>
  <si>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　1日売上平均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</si>
  <si>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</si>
  <si>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</si>
  <si>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</si>
  <si>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</si>
  <si>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</si>
  <si>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</si>
  <si>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</si>
  <si>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</si>
  <si>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</si>
  <si>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ランチ貸切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</si>
  <si>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</si>
  <si>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</si>
  <si>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</si>
  <si>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</si>
  <si>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</si>
  <si>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</si>
  <si>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休業</t>
    <phoneticPr fontId="2"/>
  </si>
  <si>
    <t>ディナー特別営業</t>
    <rPh sb="4" eb="8">
      <t>トクベツエイギョウ</t>
    </rPh>
    <phoneticPr fontId="24"/>
  </si>
  <si>
    <t>夏期営業</t>
    <rPh sb="0" eb="4">
      <t>カキエイギョウ</t>
    </rPh>
    <phoneticPr fontId="2"/>
  </si>
  <si>
    <t>昨年に引き続き土日祝日のみ営業。4月のランチ営業は3日間</t>
    <rPh sb="0" eb="2">
      <t>サクネン</t>
    </rPh>
    <rPh sb="3" eb="4">
      <t>ヒ</t>
    </rPh>
    <rPh sb="5" eb="6">
      <t>ツヅ</t>
    </rPh>
    <rPh sb="7" eb="11">
      <t>ドニチシュクジツ</t>
    </rPh>
    <rPh sb="13" eb="15">
      <t>エイギョウ</t>
    </rPh>
    <rPh sb="17" eb="18">
      <t>ガツ</t>
    </rPh>
    <rPh sb="22" eb="24">
      <t>エイギョウ</t>
    </rPh>
    <rPh sb="26" eb="28">
      <t>カカン</t>
    </rPh>
    <phoneticPr fontId="24"/>
  </si>
  <si>
    <t>本年度より4/19～4/25ディナー特別営業
特別営業期間実績
7日間合計99名1,109千円。
4/26より夏期営業</t>
    <rPh sb="23" eb="31">
      <t>トクベツエイギョウキカンジッセキ</t>
    </rPh>
    <rPh sb="33" eb="35">
      <t>カカン</t>
    </rPh>
    <rPh sb="35" eb="37">
      <t>ゴウケイ</t>
    </rPh>
    <rPh sb="39" eb="40">
      <t>メイ</t>
    </rPh>
    <rPh sb="45" eb="46">
      <t>セン</t>
    </rPh>
    <rPh sb="46" eb="47">
      <t>エン</t>
    </rPh>
    <rPh sb="55" eb="59">
      <t>カキエイギョウ</t>
    </rPh>
    <phoneticPr fontId="24"/>
  </si>
  <si>
    <t>ソフトクリーム400円→480円に単価アップ</t>
    <rPh sb="10" eb="11">
      <t>エン</t>
    </rPh>
    <rPh sb="15" eb="16">
      <t>エン</t>
    </rPh>
    <rPh sb="17" eb="19">
      <t>タンカ</t>
    </rPh>
    <phoneticPr fontId="24"/>
  </si>
  <si>
    <t>ランチ休業 始発から一時運休→16:00通常運行</t>
    <rPh sb="3" eb="5">
      <t>キュウギョウ</t>
    </rPh>
    <phoneticPr fontId="24"/>
  </si>
  <si>
    <t>ランチ休業</t>
    <rPh sb="3" eb="5">
      <t>キュウギョウ</t>
    </rPh>
    <phoneticPr fontId="24"/>
  </si>
  <si>
    <t>始発から一時運休19:00再開</t>
    <rPh sb="0" eb="2">
      <t>シハツ</t>
    </rPh>
    <rPh sb="4" eb="8">
      <t>イチジウンキュウ</t>
    </rPh>
    <rPh sb="13" eb="15">
      <t>サイカイ</t>
    </rPh>
    <phoneticPr fontId="24"/>
  </si>
  <si>
    <t>ランチ休業</t>
    <phoneticPr fontId="24"/>
  </si>
  <si>
    <t>ランチ休業,RW終日運休</t>
    <rPh sb="8" eb="12">
      <t>シュウジツウンキュウ</t>
    </rPh>
    <phoneticPr fontId="24"/>
  </si>
  <si>
    <t>始発から20分間隔→19：00通常運行</t>
    <phoneticPr fontId="24"/>
  </si>
  <si>
    <t>ランチ休業、RW終日運休</t>
    <rPh sb="8" eb="12">
      <t>シュウジツウンキュウ</t>
    </rPh>
    <phoneticPr fontId="24"/>
  </si>
  <si>
    <t>始発から一時運休</t>
    <phoneticPr fontId="24"/>
  </si>
  <si>
    <t>ランチ休業,RW運休19:15再開</t>
    <rPh sb="8" eb="10">
      <t>ウンキュウ</t>
    </rPh>
    <rPh sb="15" eb="17">
      <t>サイカイ</t>
    </rPh>
    <phoneticPr fontId="24"/>
  </si>
  <si>
    <t>ランチ休業、ディナー貸切</t>
    <rPh sb="10" eb="12">
      <t>カシキリ</t>
    </rPh>
    <phoneticPr fontId="24"/>
  </si>
  <si>
    <t>エクラ　340点＝2169200円
ルミエール203点＝1,786,400円
ジュエルズ（旧料金）80点＝924,000円
ジュエルズ（新料金）281点＝3,400,100円
ワインペアリング　　5杯ペアリング＠5,500-20点＝110,000円
　　　　　　　　　　4杯ペアリング＠4,400-11点＝48,400円
　　　　　　　　　　3杯ペアリング＠3,300-73点＝240,900円</t>
    <rPh sb="7" eb="8">
      <t>テン</t>
    </rPh>
    <rPh sb="26" eb="27">
      <t>テン</t>
    </rPh>
    <rPh sb="29" eb="38">
      <t>786400エン</t>
    </rPh>
    <rPh sb="45" eb="48">
      <t>キュウリョウキン</t>
    </rPh>
    <rPh sb="51" eb="52">
      <t>テン</t>
    </rPh>
    <rPh sb="60" eb="61">
      <t>エン</t>
    </rPh>
    <rPh sb="68" eb="71">
      <t>シンリョウキン</t>
    </rPh>
    <rPh sb="75" eb="76">
      <t>テン</t>
    </rPh>
    <rPh sb="86" eb="87">
      <t>エン</t>
    </rPh>
    <rPh sb="99" eb="100">
      <t>ハイ</t>
    </rPh>
    <rPh sb="114" eb="115">
      <t>テン</t>
    </rPh>
    <rPh sb="123" eb="124">
      <t>エン</t>
    </rPh>
    <rPh sb="136" eb="137">
      <t>ハイ</t>
    </rPh>
    <rPh sb="151" eb="152">
      <t>テン</t>
    </rPh>
    <rPh sb="159" eb="160">
      <t>エン</t>
    </rPh>
    <rPh sb="172" eb="173">
      <t>ハイ</t>
    </rPh>
    <rPh sb="187" eb="188">
      <t>テン</t>
    </rPh>
    <rPh sb="192" eb="197">
      <t>900エン</t>
    </rPh>
    <phoneticPr fontId="24"/>
  </si>
  <si>
    <t>Ｆ＋Ｂ＋席＋他</t>
    <rPh sb="4" eb="5">
      <t>セキ</t>
    </rPh>
    <rPh sb="6" eb="7">
      <t>ホカ</t>
    </rPh>
    <phoneticPr fontId="24"/>
  </si>
  <si>
    <t>ランチ休業団体貸切</t>
    <rPh sb="5" eb="9">
      <t>ダンタイカシキリ</t>
    </rPh>
    <phoneticPr fontId="24"/>
  </si>
  <si>
    <t>ランチ貸切営業
6/12（水）旭川調理師専門学校　32名＠4,000円
6/24（月）タイインセンティブツアー　36名＠6,000円</t>
    <rPh sb="3" eb="7">
      <t>カシキリエイギョウ</t>
    </rPh>
    <rPh sb="13" eb="14">
      <t>スイ</t>
    </rPh>
    <rPh sb="27" eb="28">
      <t>メイ</t>
    </rPh>
    <rPh sb="30" eb="35">
      <t>000エン</t>
    </rPh>
    <rPh sb="41" eb="42">
      <t>ゲツ</t>
    </rPh>
    <rPh sb="58" eb="59">
      <t>メイ</t>
    </rPh>
    <rPh sb="61" eb="66">
      <t>000エン</t>
    </rPh>
    <phoneticPr fontId="24"/>
  </si>
  <si>
    <t>ワインペアリング
スタンダード（3杯/＠3300）64点、211,200円
プレミアム（4杯/＠4400）14点　61,600円
ラグジュアリー（5杯/＠5500）19点　104,500円</t>
    <rPh sb="17" eb="18">
      <t>ハイ</t>
    </rPh>
    <rPh sb="27" eb="28">
      <t>テン</t>
    </rPh>
    <rPh sb="32" eb="37">
      <t>200エン</t>
    </rPh>
    <rPh sb="45" eb="46">
      <t>ハイ</t>
    </rPh>
    <rPh sb="55" eb="56">
      <t>テン</t>
    </rPh>
    <rPh sb="63" eb="64">
      <t>エン</t>
    </rPh>
    <rPh sb="74" eb="75">
      <t>ハイ</t>
    </rPh>
    <rPh sb="84" eb="85">
      <t>テン</t>
    </rPh>
    <rPh sb="93" eb="94">
      <t>エン</t>
    </rPh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</si>
</sst>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5">
    <font>
      <sz val="12"/>
      <color theme="1"/>
      <name val="游ゴシック"/>
      <family val="2"/>
      <charset val="128"/>
      <scheme val="minor"/>
    </font>
    <font>
      <sz val="9"/>
      <color rgb="FF000000"/>
      <name val="Meiryo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2"/>
      <color rgb="FF000000"/>
      <name val="メイリオ1"/>
      <family val="3"/>
      <charset val="128"/>
    </font>
    <font>
      <b/>
      <sz val="12"/>
      <color rgb="FF000000"/>
      <name val="Meiryo"/>
      <family val="3"/>
      <charset val="128"/>
    </font>
    <font>
      <sz val="10"/>
      <name val="Calibri"/>
      <family val="2"/>
    </font>
    <font>
      <b/>
      <sz val="11"/>
      <color rgb="FF000000"/>
      <name val="Meiryo"/>
      <family val="3"/>
      <charset val="128"/>
    </font>
    <font>
      <b/>
      <sz val="11"/>
      <color rgb="FF000000"/>
      <name val="メイリオ1"/>
      <family val="3"/>
      <charset val="128"/>
    </font>
    <font>
      <sz val="9"/>
      <color rgb="FFFF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7"/>
      <color rgb="FF000000"/>
      <name val="Meiryo"/>
      <family val="3"/>
      <charset val="128"/>
    </font>
    <font>
      <b/>
      <sz val="6"/>
      <color rgb="FF000000"/>
      <name val="Meiryo"/>
      <family val="3"/>
      <charset val="128"/>
    </font>
    <font>
      <sz val="9"/>
      <color theme="1"/>
      <name val="Meiryo"/>
      <family val="3"/>
      <charset val="128"/>
    </font>
    <font>
      <b/>
      <sz val="14"/>
      <color rgb="FF000000"/>
      <name val="メイリオ1"/>
      <family val="3"/>
      <charset val="128"/>
    </font>
    <font>
      <b/>
      <sz val="9"/>
      <color rgb="FF000000"/>
      <name val="メイリオ1"/>
      <family val="3"/>
      <charset val="128"/>
    </font>
    <font>
      <sz val="11"/>
      <color rgb="FF000000"/>
      <name val="メイリオ1"/>
      <family val="3"/>
      <charset val="128"/>
    </font>
    <font>
      <b/>
      <sz val="10"/>
      <color rgb="FF000000"/>
      <name val="メイリオ1"/>
      <family val="3"/>
      <charset val="128"/>
    </font>
    <font>
      <sz val="12"/>
      <color rgb="FF000000"/>
      <name val="Meiryo"/>
      <family val="3"/>
      <charset val="128"/>
    </font>
    <font>
      <sz val="11"/>
      <color rgb="FF000000"/>
      <name val="游ゴシック"/>
      <family val="3"/>
      <charset val="128"/>
    </font>
    <font>
      <sz val="10"/>
      <color rgb="FF000000"/>
      <name val="游ゴシック"/>
      <family val="2"/>
      <scheme val="minor"/>
    </font>
    <font>
      <sz val="9"/>
      <color rgb="FF00B0F0"/>
      <name val="Meiryo"/>
      <family val="3"/>
      <charset val="128"/>
    </font>
    <font>
      <sz val="9"/>
      <color theme="4"/>
      <name val="Meiryo"/>
      <family val="3"/>
      <charset val="128"/>
    </font>
    <font>
      <sz val="6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3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8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178" fontId="1" fillId="0" borderId="17" xfId="0" applyNumberFormat="1" applyFont="1" applyBorder="1" applyAlignment="1"/>
    <xf numFmtId="38" fontId="1" fillId="0" borderId="17" xfId="0" applyNumberFormat="1" applyFont="1" applyBorder="1" applyAlignment="1"/>
    <xf numFmtId="179" fontId="1" fillId="0" borderId="18" xfId="0" applyNumberFormat="1" applyFont="1" applyBorder="1" applyAlignment="1"/>
    <xf numFmtId="180" fontId="1" fillId="2" borderId="18" xfId="0" applyNumberFormat="1" applyFont="1" applyFill="1" applyBorder="1" applyAlignment="1"/>
    <xf numFmtId="38" fontId="1" fillId="6" borderId="18" xfId="0" applyNumberFormat="1" applyFont="1" applyFill="1" applyBorder="1" applyAlignment="1"/>
    <xf numFmtId="38" fontId="4" fillId="0" borderId="19" xfId="0" applyNumberFormat="1" applyFont="1" applyBorder="1" applyAlignment="1"/>
    <xf numFmtId="38" fontId="4" fillId="0" borderId="17" xfId="0" applyNumberFormat="1" applyFont="1" applyBorder="1" applyAlignment="1"/>
    <xf numFmtId="38" fontId="8" fillId="2" borderId="18" xfId="0" applyNumberFormat="1" applyFont="1" applyFill="1" applyBorder="1" applyAlignment="1"/>
    <xf numFmtId="40" fontId="1" fillId="0" borderId="20" xfId="0" applyNumberFormat="1" applyFont="1" applyBorder="1" applyAlignment="1"/>
    <xf numFmtId="181" fontId="1" fillId="0" borderId="18" xfId="0" applyNumberFormat="1" applyFont="1" applyBorder="1" applyAlignment="1"/>
    <xf numFmtId="180" fontId="1" fillId="3" borderId="18" xfId="0" applyNumberFormat="1" applyFont="1" applyFill="1" applyBorder="1" applyAlignment="1"/>
    <xf numFmtId="38" fontId="1" fillId="0" borderId="18" xfId="0" applyNumberFormat="1" applyFont="1" applyBorder="1" applyAlignment="1"/>
    <xf numFmtId="38" fontId="8" fillId="0" borderId="16" xfId="0" applyNumberFormat="1" applyFont="1" applyBorder="1" applyAlignment="1"/>
    <xf numFmtId="180" fontId="1" fillId="0" borderId="21" xfId="0" applyNumberFormat="1" applyFont="1" applyBorder="1" applyAlignment="1"/>
    <xf numFmtId="38" fontId="1" fillId="7" borderId="17" xfId="0" applyNumberFormat="1" applyFont="1" applyFill="1" applyBorder="1" applyAlignment="1"/>
    <xf numFmtId="179" fontId="1" fillId="4" borderId="18" xfId="0" applyNumberFormat="1" applyFont="1" applyFill="1" applyBorder="1" applyAlignment="1"/>
    <xf numFmtId="180" fontId="1" fillId="0" borderId="18" xfId="0" applyNumberFormat="1" applyFont="1" applyBorder="1" applyAlignment="1"/>
    <xf numFmtId="38" fontId="1" fillId="3" borderId="16" xfId="0" applyNumberFormat="1" applyFont="1" applyFill="1" applyBorder="1" applyAlignment="1"/>
    <xf numFmtId="38" fontId="9" fillId="0" borderId="17" xfId="0" applyNumberFormat="1" applyFont="1" applyBorder="1" applyAlignment="1"/>
    <xf numFmtId="38" fontId="1" fillId="0" borderId="16" xfId="0" applyNumberFormat="1" applyFont="1" applyBorder="1" applyAlignment="1"/>
    <xf numFmtId="38" fontId="4" fillId="0" borderId="16" xfId="0" applyNumberFormat="1" applyFont="1" applyBorder="1" applyAlignment="1"/>
    <xf numFmtId="38" fontId="1" fillId="7" borderId="16" xfId="0" applyNumberFormat="1" applyFont="1" applyFill="1" applyBorder="1" applyAlignment="1"/>
    <xf numFmtId="38" fontId="1" fillId="0" borderId="0" xfId="0" applyNumberFormat="1" applyFont="1" applyAlignment="1"/>
    <xf numFmtId="178" fontId="1" fillId="0" borderId="7" xfId="0" applyNumberFormat="1" applyFont="1" applyBorder="1" applyAlignment="1"/>
    <xf numFmtId="38" fontId="1" fillId="0" borderId="7" xfId="0" applyNumberFormat="1" applyFont="1" applyBorder="1" applyAlignment="1"/>
    <xf numFmtId="180" fontId="1" fillId="0" borderId="22" xfId="0" applyNumberFormat="1" applyFont="1" applyBorder="1" applyAlignment="1"/>
    <xf numFmtId="38" fontId="9" fillId="8" borderId="17" xfId="0" applyNumberFormat="1" applyFont="1" applyFill="1" applyBorder="1" applyAlignment="1"/>
    <xf numFmtId="178" fontId="10" fillId="0" borderId="7" xfId="0" applyNumberFormat="1" applyFont="1" applyBorder="1" applyAlignment="1"/>
    <xf numFmtId="38" fontId="3" fillId="0" borderId="7" xfId="0" applyNumberFormat="1" applyFont="1" applyBorder="1" applyAlignment="1"/>
    <xf numFmtId="38" fontId="4" fillId="8" borderId="17" xfId="0" applyNumberFormat="1" applyFont="1" applyFill="1" applyBorder="1" applyAlignment="1"/>
    <xf numFmtId="179" fontId="1" fillId="4" borderId="16" xfId="0" applyNumberFormat="1" applyFont="1" applyFill="1" applyBorder="1" applyAlignment="1"/>
    <xf numFmtId="180" fontId="1" fillId="0" borderId="16" xfId="0" applyNumberFormat="1" applyFont="1" applyBorder="1" applyAlignment="1"/>
    <xf numFmtId="38" fontId="1" fillId="6" borderId="16" xfId="0" applyNumberFormat="1" applyFont="1" applyFill="1" applyBorder="1" applyAlignment="1"/>
    <xf numFmtId="180" fontId="1" fillId="3" borderId="2" xfId="0" applyNumberFormat="1" applyFont="1" applyFill="1" applyBorder="1" applyAlignment="1"/>
    <xf numFmtId="180" fontId="1" fillId="0" borderId="23" xfId="0" applyNumberFormat="1" applyFont="1" applyBorder="1" applyAlignment="1"/>
    <xf numFmtId="38" fontId="1" fillId="0" borderId="2" xfId="0" applyNumberFormat="1" applyFont="1" applyBorder="1" applyAlignment="1"/>
    <xf numFmtId="38" fontId="1" fillId="7" borderId="1" xfId="0" applyNumberFormat="1" applyFont="1" applyFill="1" applyBorder="1" applyAlignment="1"/>
    <xf numFmtId="179" fontId="1" fillId="4" borderId="2" xfId="0" applyNumberFormat="1" applyFont="1" applyFill="1" applyBorder="1" applyAlignment="1"/>
    <xf numFmtId="180" fontId="1" fillId="0" borderId="2" xfId="0" applyNumberFormat="1" applyFont="1" applyBorder="1" applyAlignment="1"/>
    <xf numFmtId="38" fontId="1" fillId="6" borderId="2" xfId="0" applyNumberFormat="1" applyFont="1" applyFill="1" applyBorder="1" applyAlignment="1"/>
    <xf numFmtId="38" fontId="4" fillId="0" borderId="24" xfId="0" applyNumberFormat="1" applyFont="1" applyBorder="1" applyAlignment="1"/>
    <xf numFmtId="38" fontId="4" fillId="0" borderId="25" xfId="0" applyNumberFormat="1" applyFont="1" applyBorder="1" applyAlignment="1"/>
    <xf numFmtId="38" fontId="1" fillId="3" borderId="2" xfId="0" applyNumberFormat="1" applyFont="1" applyFill="1" applyBorder="1" applyAlignment="1"/>
    <xf numFmtId="0" fontId="4" fillId="0" borderId="0" xfId="0" applyFont="1" applyAlignment="1"/>
    <xf numFmtId="0" fontId="4" fillId="0" borderId="26" xfId="0" applyFont="1" applyBorder="1" applyAlignment="1"/>
    <xf numFmtId="38" fontId="4" fillId="0" borderId="27" xfId="0" applyNumberFormat="1" applyFont="1" applyBorder="1" applyAlignment="1"/>
    <xf numFmtId="179" fontId="4" fillId="0" borderId="28" xfId="0" applyNumberFormat="1" applyFont="1" applyBorder="1" applyAlignment="1"/>
    <xf numFmtId="180" fontId="4" fillId="0" borderId="27" xfId="0" applyNumberFormat="1" applyFont="1" applyBorder="1" applyAlignment="1"/>
    <xf numFmtId="38" fontId="11" fillId="0" borderId="28" xfId="0" applyNumberFormat="1" applyFont="1" applyBorder="1" applyAlignment="1"/>
    <xf numFmtId="38" fontId="4" fillId="0" borderId="28" xfId="0" applyNumberFormat="1" applyFont="1" applyBorder="1" applyAlignment="1"/>
    <xf numFmtId="38" fontId="4" fillId="0" borderId="26" xfId="0" applyNumberFormat="1" applyFont="1" applyBorder="1" applyAlignment="1"/>
    <xf numFmtId="38" fontId="4" fillId="5" borderId="27" xfId="0" applyNumberFormat="1" applyFont="1" applyFill="1" applyBorder="1" applyAlignment="1"/>
    <xf numFmtId="182" fontId="4" fillId="0" borderId="27" xfId="0" applyNumberFormat="1" applyFont="1" applyBorder="1" applyAlignment="1">
      <alignment shrinkToFit="1"/>
    </xf>
    <xf numFmtId="181" fontId="4" fillId="0" borderId="28" xfId="0" applyNumberFormat="1" applyFont="1" applyBorder="1" applyAlignment="1"/>
    <xf numFmtId="38" fontId="11" fillId="0" borderId="27" xfId="0" applyNumberFormat="1" applyFont="1" applyBorder="1" applyAlignment="1"/>
    <xf numFmtId="38" fontId="8" fillId="5" borderId="27" xfId="0" applyNumberFormat="1" applyFont="1" applyFill="1" applyBorder="1" applyAlignment="1"/>
    <xf numFmtId="182" fontId="12" fillId="0" borderId="28" xfId="0" applyNumberFormat="1" applyFont="1" applyBorder="1" applyAlignment="1">
      <alignment shrinkToFit="1"/>
    </xf>
    <xf numFmtId="182" fontId="4" fillId="0" borderId="28" xfId="0" applyNumberFormat="1" applyFont="1" applyBorder="1" applyAlignment="1"/>
    <xf numFmtId="38" fontId="4" fillId="5" borderId="16" xfId="0" applyNumberFormat="1" applyFont="1" applyFill="1" applyBorder="1" applyAlignment="1"/>
    <xf numFmtId="38" fontId="4" fillId="8" borderId="16" xfId="0" applyNumberFormat="1" applyFont="1" applyFill="1" applyBorder="1" applyAlignment="1"/>
    <xf numFmtId="0" fontId="4" fillId="0" borderId="7" xfId="0" applyFont="1" applyBorder="1" applyAlignment="1"/>
    <xf numFmtId="38" fontId="11" fillId="0" borderId="16" xfId="0" applyNumberFormat="1" applyFont="1" applyBorder="1" applyAlignment="1"/>
    <xf numFmtId="38" fontId="8" fillId="5" borderId="16" xfId="0" applyNumberFormat="1" applyFont="1" applyFill="1" applyBorder="1" applyAlignment="1"/>
    <xf numFmtId="182" fontId="4" fillId="0" borderId="0" xfId="0" applyNumberFormat="1" applyFont="1" applyAlignment="1">
      <alignment shrinkToFit="1"/>
    </xf>
    <xf numFmtId="179" fontId="4" fillId="0" borderId="0" xfId="0" applyNumberFormat="1" applyFont="1" applyAlignment="1"/>
    <xf numFmtId="182" fontId="11" fillId="0" borderId="0" xfId="0" applyNumberFormat="1" applyFont="1" applyAlignment="1"/>
    <xf numFmtId="0" fontId="4" fillId="0" borderId="6" xfId="0" applyFont="1" applyBorder="1" applyAlignment="1"/>
    <xf numFmtId="182" fontId="4" fillId="0" borderId="0" xfId="0" applyNumberFormat="1" applyFont="1" applyAlignment="1"/>
    <xf numFmtId="38" fontId="4" fillId="0" borderId="6" xfId="0" applyNumberFormat="1" applyFont="1" applyBorder="1" applyAlignment="1"/>
    <xf numFmtId="38" fontId="4" fillId="0" borderId="0" xfId="0" applyNumberFormat="1" applyFont="1" applyAlignment="1"/>
    <xf numFmtId="0" fontId="1" fillId="0" borderId="0" xfId="0" applyFont="1" applyAlignment="1">
      <alignment horizontal="right"/>
    </xf>
    <xf numFmtId="183" fontId="4" fillId="0" borderId="0" xfId="0" applyNumberFormat="1" applyFont="1" applyAlignment="1"/>
    <xf numFmtId="183" fontId="4" fillId="6" borderId="0" xfId="0" applyNumberFormat="1" applyFont="1" applyFill="1" applyAlignment="1"/>
    <xf numFmtId="183" fontId="13" fillId="0" borderId="0" xfId="0" applyNumberFormat="1" applyFont="1" applyAlignment="1"/>
    <xf numFmtId="183" fontId="4" fillId="0" borderId="0" xfId="0" applyNumberFormat="1" applyFont="1" applyAlignment="1">
      <alignment horizontal="right"/>
    </xf>
    <xf numFmtId="184" fontId="4" fillId="0" borderId="0" xfId="0" applyNumberFormat="1" applyFont="1" applyAlignment="1"/>
    <xf numFmtId="184" fontId="4" fillId="0" borderId="0" xfId="0" applyNumberFormat="1" applyFont="1" applyAlignment="1">
      <alignment shrinkToFit="1"/>
    </xf>
    <xf numFmtId="183" fontId="4" fillId="4" borderId="0" xfId="0" applyNumberFormat="1" applyFont="1" applyFill="1" applyAlignment="1"/>
    <xf numFmtId="180" fontId="1" fillId="0" borderId="0" xfId="0" applyNumberFormat="1" applyFont="1" applyAlignment="1"/>
    <xf numFmtId="0" fontId="1" fillId="0" borderId="19" xfId="0" applyFont="1" applyBorder="1" applyAlignment="1"/>
    <xf numFmtId="0" fontId="1" fillId="0" borderId="25" xfId="0" applyFont="1" applyBorder="1" applyAlignment="1">
      <alignment horizontal="right"/>
    </xf>
    <xf numFmtId="183" fontId="4" fillId="8" borderId="0" xfId="0" applyNumberFormat="1" applyFont="1" applyFill="1" applyAlignment="1"/>
    <xf numFmtId="0" fontId="1" fillId="0" borderId="29" xfId="0" applyFont="1" applyBorder="1" applyAlignment="1"/>
    <xf numFmtId="185" fontId="1" fillId="0" borderId="0" xfId="0" applyNumberFormat="1" applyFont="1" applyAlignment="1"/>
    <xf numFmtId="38" fontId="15" fillId="0" borderId="0" xfId="0" applyNumberFormat="1" applyFont="1">
      <alignment vertical="center"/>
    </xf>
    <xf numFmtId="0" fontId="1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38" fontId="16" fillId="0" borderId="0" xfId="0" applyNumberFormat="1" applyFont="1" applyAlignment="1"/>
    <xf numFmtId="38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 shrinkToFit="1"/>
    </xf>
    <xf numFmtId="186" fontId="16" fillId="0" borderId="0" xfId="0" applyNumberFormat="1" applyFont="1" applyAlignment="1"/>
    <xf numFmtId="0" fontId="16" fillId="5" borderId="0" xfId="0" applyFont="1" applyFill="1" applyAlignment="1"/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84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7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84" fontId="18" fillId="0" borderId="0" xfId="0" applyNumberFormat="1" applyFont="1">
      <alignment vertical="center"/>
    </xf>
    <xf numFmtId="10" fontId="18" fillId="0" borderId="0" xfId="0" applyNumberFormat="1" applyFont="1">
      <alignment vertical="center"/>
    </xf>
    <xf numFmtId="38" fontId="17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6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19" fillId="0" borderId="0" xfId="0" applyNumberFormat="1" applyFont="1">
      <alignment vertical="center"/>
    </xf>
    <xf numFmtId="0" fontId="19" fillId="0" borderId="0" xfId="0" applyFont="1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178" fontId="22" fillId="0" borderId="7" xfId="0" applyNumberFormat="1" applyFont="1" applyBorder="1" applyAlignment="1"/>
    <xf numFmtId="178" fontId="14" fillId="0" borderId="7" xfId="0" applyNumberFormat="1" applyFont="1" applyBorder="1" applyAlignment="1"/>
    <xf numFmtId="38" fontId="12" fillId="0" borderId="27" xfId="0" applyNumberFormat="1" applyFont="1" applyBorder="1" applyAlignment="1"/>
    <xf numFmtId="38" fontId="11" fillId="5" borderId="27" xfId="0" applyNumberFormat="1" applyFont="1" applyFill="1" applyBorder="1" applyAlignment="1"/>
    <xf numFmtId="182" fontId="12" fillId="0" borderId="0" xfId="0" applyNumberFormat="1" applyFont="1" applyAlignment="1"/>
    <xf numFmtId="38" fontId="11" fillId="5" borderId="16" xfId="0" applyNumberFormat="1" applyFont="1" applyFill="1" applyBorder="1" applyAlignment="1"/>
    <xf numFmtId="38" fontId="12" fillId="0" borderId="16" xfId="0" applyNumberFormat="1" applyFont="1" applyBorder="1" applyAlignment="1"/>
    <xf numFmtId="178" fontId="14" fillId="0" borderId="17" xfId="0" applyNumberFormat="1" applyFont="1" applyBorder="1" applyAlignment="1"/>
    <xf numFmtId="178" fontId="23" fillId="0" borderId="7" xfId="0" applyNumberFormat="1" applyFont="1" applyBorder="1" applyAlignment="1"/>
    <xf numFmtId="182" fontId="11" fillId="0" borderId="28" xfId="0" applyNumberFormat="1" applyFont="1" applyBorder="1" applyAlignment="1">
      <alignment shrinkToFit="1"/>
    </xf>
    <xf numFmtId="3" fontId="1" fillId="0" borderId="0" xfId="0" applyNumberFormat="1" applyFont="1" applyAlignment="1"/>
    <xf numFmtId="38" fontId="16" fillId="0" borderId="0" xfId="0" applyNumberFormat="1" applyFont="1">
      <alignment vertical="center"/>
    </xf>
    <xf numFmtId="0" fontId="8" fillId="5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/>
    <xf numFmtId="0" fontId="7" fillId="0" borderId="6" xfId="0" applyFont="1" applyBorder="1" applyAlignment="1"/>
    <xf numFmtId="0" fontId="14" fillId="0" borderId="1" xfId="0" applyFont="1" applyBorder="1" applyAlignment="1">
      <alignment horizontal="left" vertical="top" wrapText="1"/>
    </xf>
    <xf numFmtId="0" fontId="7" fillId="0" borderId="3" xfId="0" applyFont="1" applyBorder="1" applyAlignment="1"/>
    <xf numFmtId="0" fontId="7" fillId="0" borderId="24" xfId="0" applyFont="1" applyBorder="1" applyAlignment="1"/>
    <xf numFmtId="0" fontId="7" fillId="0" borderId="25" xfId="0" applyFont="1" applyBorder="1" applyAlignment="1"/>
    <xf numFmtId="0" fontId="0" fillId="0" borderId="0" xfId="0" applyAlignment="1"/>
    <xf numFmtId="0" fontId="7" fillId="0" borderId="29" xfId="0" applyFont="1" applyBorder="1" applyAlignment="1"/>
    <xf numFmtId="0" fontId="7" fillId="0" borderId="17" xfId="0" applyFont="1" applyBorder="1" applyAlignment="1"/>
    <xf numFmtId="0" fontId="7" fillId="0" borderId="20" xfId="0" applyFont="1" applyBorder="1" applyAlignment="1"/>
    <xf numFmtId="0" fontId="7" fillId="0" borderId="19" xfId="0" applyFont="1" applyBorder="1" applyAlignment="1"/>
    <xf numFmtId="0" fontId="10" fillId="0" borderId="1" xfId="0" applyFont="1" applyBorder="1" applyAlignment="1">
      <alignment horizontal="left" vertical="top" wrapText="1"/>
    </xf>
    <xf numFmtId="177" fontId="5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/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38" fontId="3" fillId="0" borderId="17" xfId="0" applyNumberFormat="1" applyFont="1" applyBorder="1" applyAlignment="1"/>
    <xf numFmtId="177" fontId="5" fillId="0" borderId="2" xfId="0" applyNumberFormat="1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177" fontId="5" fillId="0" borderId="9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29" xfId="0" applyFont="1" applyBorder="1" applyAlignment="1">
      <alignment horizontal="left" vertical="top" wrapText="1"/>
    </xf>
    <xf numFmtId="0" fontId="10" fillId="0" borderId="2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178" fontId="23" fillId="0" borderId="17" xfId="0" applyNumberFormat="1" applyFont="1" applyBorder="1" applyAlignment="1"/>
    <xf numFmtId="38" fontId="0" fillId="0" borderId="0" xfId="0" applyNumberFormat="1" applyAlignment="1"/>
    <xf numFmtId="0" fontId="14" fillId="0" borderId="0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V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7.5703125" style="4" customWidth="1"/>
    <col min="11" max="11" width="7.425781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19" width="6.85546875" style="4" customWidth="1"/>
    <col min="20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8" width="9.28515625" style="4" customWidth="1"/>
    <col min="49" max="16384" width="10.28515625" style="4"/>
  </cols>
  <sheetData>
    <row r="1" spans="1:48" ht="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8" ht="34">
      <c r="A2" s="5">
        <v>2024</v>
      </c>
      <c r="B2" s="6">
        <v>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8" ht="33" customHeight="1">
      <c r="A3" s="9"/>
      <c r="B3" s="177" t="s">
        <v>2</v>
      </c>
      <c r="C3" s="10"/>
      <c r="D3" s="178" t="s">
        <v>3</v>
      </c>
      <c r="E3" s="179"/>
      <c r="F3" s="179"/>
      <c r="G3" s="179"/>
      <c r="H3" s="179"/>
      <c r="I3" s="179"/>
      <c r="J3" s="179"/>
      <c r="K3" s="180"/>
      <c r="L3" s="181" t="s">
        <v>4</v>
      </c>
      <c r="M3" s="182"/>
      <c r="N3" s="182"/>
      <c r="O3" s="182"/>
      <c r="P3" s="182"/>
      <c r="Q3" s="182"/>
      <c r="R3" s="182"/>
      <c r="S3" s="183"/>
      <c r="T3" s="172" t="s">
        <v>5</v>
      </c>
      <c r="U3" s="184"/>
      <c r="V3" s="184"/>
      <c r="W3" s="184"/>
      <c r="X3" s="185"/>
      <c r="Y3" s="173" t="s">
        <v>6</v>
      </c>
      <c r="Z3" s="174"/>
      <c r="AA3" s="174"/>
      <c r="AB3" s="174"/>
      <c r="AC3" s="174"/>
      <c r="AD3" s="174"/>
      <c r="AE3" s="174"/>
      <c r="AF3" s="186"/>
      <c r="AG3" s="172" t="s">
        <v>7</v>
      </c>
      <c r="AH3" s="184"/>
      <c r="AI3" s="184"/>
      <c r="AJ3" s="184"/>
      <c r="AK3" s="185"/>
      <c r="AL3" s="155" t="s">
        <v>8</v>
      </c>
      <c r="AM3" s="175"/>
      <c r="AN3" s="175"/>
      <c r="AO3" s="175"/>
      <c r="AP3" s="175"/>
      <c r="AQ3" s="175"/>
      <c r="AR3" s="175"/>
      <c r="AS3" s="187"/>
      <c r="AT3" s="2"/>
      <c r="AU3" s="3"/>
      <c r="AV3" s="2"/>
    </row>
    <row r="4" spans="1:48" ht="53.25" customHeight="1" thickBot="1">
      <c r="A4" s="9"/>
      <c r="B4" s="188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19"/>
      <c r="Y4" s="21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19" t="s">
        <v>27</v>
      </c>
      <c r="AL4" s="24" t="s">
        <v>28</v>
      </c>
      <c r="AM4" s="24" t="s">
        <v>29</v>
      </c>
      <c r="AN4" s="24" t="s">
        <v>30</v>
      </c>
      <c r="AO4" s="24" t="s">
        <v>31</v>
      </c>
      <c r="AP4" s="24" t="s">
        <v>32</v>
      </c>
      <c r="AQ4" s="24" t="s">
        <v>33</v>
      </c>
      <c r="AR4" s="24" t="s">
        <v>34</v>
      </c>
      <c r="AS4" s="25" t="s">
        <v>35</v>
      </c>
      <c r="AT4" s="2"/>
      <c r="AU4" s="3"/>
      <c r="AV4" s="2"/>
    </row>
    <row r="5" spans="1:48" ht="22" thickTop="1">
      <c r="A5" s="26"/>
      <c r="B5" s="150">
        <f>DATE($A$2,$B$2,1)</f>
        <v>45383</v>
      </c>
      <c r="C5" s="176" t="s">
        <v>61</v>
      </c>
      <c r="D5" s="29"/>
      <c r="E5" s="30"/>
      <c r="F5" s="31"/>
      <c r="G5" s="32" t="e">
        <f t="shared" ref="G5:G34" si="0">ROUNDDOWN(F5/1.1,0)/E5</f>
        <v>#DIV/0!</v>
      </c>
      <c r="H5" s="31"/>
      <c r="I5" s="33" t="e">
        <f t="shared" ref="I5:I34" si="1">ROUNDDOWN(H5/1.1,0)/E5</f>
        <v>#DIV/0!</v>
      </c>
      <c r="J5" s="34">
        <f t="shared" ref="J5:J34" si="2">F5+H5</f>
        <v>0</v>
      </c>
      <c r="K5" s="35" t="str">
        <f t="shared" ref="K5:K34" si="3">IF(E5="","",J5/E5)</f>
        <v/>
      </c>
      <c r="L5" s="36"/>
      <c r="M5" s="37">
        <f t="shared" ref="M5:N20" si="4">AL5-E5</f>
        <v>0</v>
      </c>
      <c r="N5" s="38">
        <f t="shared" si="4"/>
        <v>0</v>
      </c>
      <c r="O5" s="32" t="e">
        <f t="shared" ref="O5:O34" si="5">ROUNDDOWN(N5/1.1,0)/M5</f>
        <v>#DIV/0!</v>
      </c>
      <c r="P5" s="38">
        <f t="shared" ref="P5:P34" si="6">AN5-H5</f>
        <v>0</v>
      </c>
      <c r="Q5" s="33" t="e">
        <f t="shared" ref="Q5:Q34" si="7">ROUNDDOWN(P5/1.1,0)/M5</f>
        <v>#DIV/0!</v>
      </c>
      <c r="R5" s="39">
        <f t="shared" ref="R5:R34" si="8">N5+P5</f>
        <v>0</v>
      </c>
      <c r="S5" s="35" t="e">
        <f t="shared" ref="S5:S34" si="9">IF(M5="","",R5/M5)</f>
        <v>#DIV/0!</v>
      </c>
      <c r="T5" s="40">
        <f t="shared" ref="T5:U20" si="10">E5+M5</f>
        <v>0</v>
      </c>
      <c r="U5" s="38">
        <f t="shared" si="10"/>
        <v>0</v>
      </c>
      <c r="V5" s="38">
        <f t="shared" ref="V5:V34" si="11">H5+P5</f>
        <v>0</v>
      </c>
      <c r="W5" s="41">
        <f t="shared" ref="W5:W34" si="12">J5+R5</f>
        <v>0</v>
      </c>
      <c r="X5" s="38"/>
      <c r="Y5" s="42"/>
      <c r="Z5" s="43"/>
      <c r="AA5" s="31"/>
      <c r="AB5" s="32" t="e">
        <f t="shared" ref="AB5:AB34" si="13">AA5/Z5</f>
        <v>#DIV/0!</v>
      </c>
      <c r="AC5" s="31"/>
      <c r="AD5" s="33" t="e">
        <f t="shared" ref="AD5:AD34" si="14">AC5/Z5</f>
        <v>#DIV/0!</v>
      </c>
      <c r="AE5" s="44">
        <f t="shared" ref="AE5:AE34" si="15">AA5+AC5</f>
        <v>0</v>
      </c>
      <c r="AF5" s="35" t="str">
        <f t="shared" ref="AF5:AF34" si="16">IF(Z5="","",AE5/Z5)</f>
        <v/>
      </c>
      <c r="AG5" s="40">
        <f t="shared" ref="AG5:AG34" si="17">SUM(E5,M5)</f>
        <v>0</v>
      </c>
      <c r="AH5" s="38">
        <f t="shared" ref="AH5:AH34" si="18">U5+AA5</f>
        <v>0</v>
      </c>
      <c r="AI5" s="38">
        <f t="shared" ref="AI5:AI34" si="19">V5+AC5</f>
        <v>0</v>
      </c>
      <c r="AJ5" s="45">
        <f t="shared" ref="AJ5:AJ34" si="20">W5+AE5</f>
        <v>0</v>
      </c>
      <c r="AK5" s="38">
        <f t="shared" ref="AK5:AK34" si="21">AO5+AP5+AQ5</f>
        <v>0</v>
      </c>
      <c r="AL5" s="46"/>
      <c r="AM5" s="46"/>
      <c r="AN5" s="46"/>
      <c r="AO5" s="47"/>
      <c r="AP5" s="47"/>
      <c r="AQ5" s="47"/>
      <c r="AR5" s="47"/>
      <c r="AS5" s="48">
        <f t="shared" ref="AS5:AS34" si="22">SUM(AM5:AQ5)</f>
        <v>0</v>
      </c>
      <c r="AT5" s="26">
        <v>1</v>
      </c>
      <c r="AU5" s="49">
        <f>AR5+AS5</f>
        <v>0</v>
      </c>
      <c r="AV5" s="26"/>
    </row>
    <row r="6" spans="1:48" ht="21">
      <c r="A6" s="26"/>
      <c r="B6" s="144">
        <f t="shared" ref="B6:B34" si="23">B5+1</f>
        <v>45384</v>
      </c>
      <c r="C6" s="176" t="s">
        <v>61</v>
      </c>
      <c r="D6" s="29"/>
      <c r="E6" s="30"/>
      <c r="F6" s="31"/>
      <c r="G6" s="32" t="e">
        <f t="shared" si="0"/>
        <v>#DIV/0!</v>
      </c>
      <c r="H6" s="31"/>
      <c r="I6" s="33" t="e">
        <f t="shared" si="1"/>
        <v>#DIV/0!</v>
      </c>
      <c r="J6" s="34">
        <f t="shared" si="2"/>
        <v>0</v>
      </c>
      <c r="K6" s="35" t="str">
        <f t="shared" si="3"/>
        <v/>
      </c>
      <c r="L6" s="36"/>
      <c r="M6" s="37">
        <f t="shared" si="4"/>
        <v>0</v>
      </c>
      <c r="N6" s="38">
        <f t="shared" si="4"/>
        <v>0</v>
      </c>
      <c r="O6" s="32" t="e">
        <f t="shared" si="5"/>
        <v>#DIV/0!</v>
      </c>
      <c r="P6" s="38">
        <f t="shared" si="6"/>
        <v>0</v>
      </c>
      <c r="Q6" s="33" t="e">
        <f t="shared" si="7"/>
        <v>#DIV/0!</v>
      </c>
      <c r="R6" s="39">
        <f t="shared" si="8"/>
        <v>0</v>
      </c>
      <c r="S6" s="35" t="e">
        <f t="shared" si="9"/>
        <v>#DIV/0!</v>
      </c>
      <c r="T6" s="52">
        <f t="shared" si="10"/>
        <v>0</v>
      </c>
      <c r="U6" s="38">
        <f t="shared" si="10"/>
        <v>0</v>
      </c>
      <c r="V6" s="38">
        <f t="shared" si="11"/>
        <v>0</v>
      </c>
      <c r="W6" s="41">
        <f t="shared" si="12"/>
        <v>0</v>
      </c>
      <c r="X6" s="46"/>
      <c r="Y6" s="42"/>
      <c r="Z6" s="43"/>
      <c r="AA6" s="31"/>
      <c r="AB6" s="32" t="e">
        <f t="shared" si="13"/>
        <v>#DIV/0!</v>
      </c>
      <c r="AC6" s="31"/>
      <c r="AD6" s="33" t="e">
        <f t="shared" si="14"/>
        <v>#DIV/0!</v>
      </c>
      <c r="AE6" s="44">
        <f t="shared" si="15"/>
        <v>0</v>
      </c>
      <c r="AF6" s="35" t="str">
        <f t="shared" si="16"/>
        <v/>
      </c>
      <c r="AG6" s="52">
        <f t="shared" si="17"/>
        <v>0</v>
      </c>
      <c r="AH6" s="38">
        <f t="shared" si="18"/>
        <v>0</v>
      </c>
      <c r="AI6" s="38">
        <f t="shared" si="19"/>
        <v>0</v>
      </c>
      <c r="AJ6" s="45">
        <f t="shared" si="20"/>
        <v>0</v>
      </c>
      <c r="AK6" s="38">
        <f t="shared" si="21"/>
        <v>0</v>
      </c>
      <c r="AL6" s="46"/>
      <c r="AM6" s="46"/>
      <c r="AN6" s="46"/>
      <c r="AO6" s="47"/>
      <c r="AP6" s="47"/>
      <c r="AQ6" s="47"/>
      <c r="AR6" s="47"/>
      <c r="AS6" s="48">
        <f t="shared" si="22"/>
        <v>0</v>
      </c>
      <c r="AT6" s="26">
        <v>2</v>
      </c>
      <c r="AU6" s="49">
        <f t="shared" ref="AU6:AU34" si="24">AR6+AS6</f>
        <v>0</v>
      </c>
      <c r="AV6" s="26"/>
    </row>
    <row r="7" spans="1:48" ht="21">
      <c r="A7" s="26"/>
      <c r="B7" s="144">
        <f t="shared" si="23"/>
        <v>45385</v>
      </c>
      <c r="C7" s="176" t="s">
        <v>61</v>
      </c>
      <c r="D7" s="29"/>
      <c r="E7" s="30"/>
      <c r="F7" s="31"/>
      <c r="G7" s="32" t="e">
        <f t="shared" si="0"/>
        <v>#DIV/0!</v>
      </c>
      <c r="H7" s="31"/>
      <c r="I7" s="33" t="e">
        <f t="shared" si="1"/>
        <v>#DIV/0!</v>
      </c>
      <c r="J7" s="34">
        <f t="shared" si="2"/>
        <v>0</v>
      </c>
      <c r="K7" s="35" t="str">
        <f t="shared" si="3"/>
        <v/>
      </c>
      <c r="L7" s="36"/>
      <c r="M7" s="37">
        <f t="shared" si="4"/>
        <v>0</v>
      </c>
      <c r="N7" s="38">
        <f t="shared" si="4"/>
        <v>0</v>
      </c>
      <c r="O7" s="32" t="e">
        <f t="shared" si="5"/>
        <v>#DIV/0!</v>
      </c>
      <c r="P7" s="38">
        <f t="shared" si="6"/>
        <v>0</v>
      </c>
      <c r="Q7" s="33" t="e">
        <f t="shared" si="7"/>
        <v>#DIV/0!</v>
      </c>
      <c r="R7" s="39">
        <f t="shared" si="8"/>
        <v>0</v>
      </c>
      <c r="S7" s="35" t="e">
        <f t="shared" si="9"/>
        <v>#DIV/0!</v>
      </c>
      <c r="T7" s="52">
        <f t="shared" si="10"/>
        <v>0</v>
      </c>
      <c r="U7" s="38">
        <f t="shared" si="10"/>
        <v>0</v>
      </c>
      <c r="V7" s="38">
        <f t="shared" si="11"/>
        <v>0</v>
      </c>
      <c r="W7" s="41">
        <f t="shared" si="12"/>
        <v>0</v>
      </c>
      <c r="X7" s="46"/>
      <c r="Y7" s="42"/>
      <c r="Z7" s="43"/>
      <c r="AA7" s="31"/>
      <c r="AB7" s="32" t="e">
        <f t="shared" si="13"/>
        <v>#DIV/0!</v>
      </c>
      <c r="AC7" s="31"/>
      <c r="AD7" s="33" t="e">
        <f t="shared" si="14"/>
        <v>#DIV/0!</v>
      </c>
      <c r="AE7" s="44">
        <f t="shared" si="15"/>
        <v>0</v>
      </c>
      <c r="AF7" s="35" t="str">
        <f t="shared" si="16"/>
        <v/>
      </c>
      <c r="AG7" s="52">
        <f t="shared" si="17"/>
        <v>0</v>
      </c>
      <c r="AH7" s="38">
        <f t="shared" si="18"/>
        <v>0</v>
      </c>
      <c r="AI7" s="38">
        <f t="shared" si="19"/>
        <v>0</v>
      </c>
      <c r="AJ7" s="45">
        <f t="shared" si="20"/>
        <v>0</v>
      </c>
      <c r="AK7" s="38">
        <f t="shared" si="21"/>
        <v>0</v>
      </c>
      <c r="AL7" s="46"/>
      <c r="AM7" s="46"/>
      <c r="AN7" s="46"/>
      <c r="AO7" s="47"/>
      <c r="AP7" s="47"/>
      <c r="AQ7" s="47"/>
      <c r="AR7" s="47"/>
      <c r="AS7" s="48">
        <f t="shared" si="22"/>
        <v>0</v>
      </c>
      <c r="AT7" s="26">
        <v>3</v>
      </c>
      <c r="AU7" s="49">
        <f t="shared" si="24"/>
        <v>0</v>
      </c>
      <c r="AV7" s="26"/>
    </row>
    <row r="8" spans="1:48" ht="21">
      <c r="A8" s="26"/>
      <c r="B8" s="144">
        <f t="shared" si="23"/>
        <v>45386</v>
      </c>
      <c r="C8" s="176" t="s">
        <v>61</v>
      </c>
      <c r="D8" s="29"/>
      <c r="E8" s="30"/>
      <c r="F8" s="31"/>
      <c r="G8" s="32" t="e">
        <f t="shared" si="0"/>
        <v>#DIV/0!</v>
      </c>
      <c r="H8" s="31"/>
      <c r="I8" s="33" t="e">
        <f t="shared" si="1"/>
        <v>#DIV/0!</v>
      </c>
      <c r="J8" s="34">
        <f t="shared" si="2"/>
        <v>0</v>
      </c>
      <c r="K8" s="35" t="str">
        <f t="shared" si="3"/>
        <v/>
      </c>
      <c r="L8" s="36"/>
      <c r="M8" s="37">
        <f t="shared" si="4"/>
        <v>0</v>
      </c>
      <c r="N8" s="38">
        <f t="shared" si="4"/>
        <v>0</v>
      </c>
      <c r="O8" s="32" t="e">
        <f t="shared" si="5"/>
        <v>#DIV/0!</v>
      </c>
      <c r="P8" s="38">
        <f t="shared" si="6"/>
        <v>0</v>
      </c>
      <c r="Q8" s="33" t="e">
        <f t="shared" si="7"/>
        <v>#DIV/0!</v>
      </c>
      <c r="R8" s="39">
        <f t="shared" si="8"/>
        <v>0</v>
      </c>
      <c r="S8" s="35" t="e">
        <f t="shared" si="9"/>
        <v>#DIV/0!</v>
      </c>
      <c r="T8" s="52">
        <f t="shared" si="10"/>
        <v>0</v>
      </c>
      <c r="U8" s="38">
        <f t="shared" si="10"/>
        <v>0</v>
      </c>
      <c r="V8" s="38">
        <f t="shared" si="11"/>
        <v>0</v>
      </c>
      <c r="W8" s="41">
        <f t="shared" si="12"/>
        <v>0</v>
      </c>
      <c r="X8" s="46"/>
      <c r="Y8" s="42"/>
      <c r="Z8" s="43"/>
      <c r="AA8" s="31"/>
      <c r="AB8" s="32" t="e">
        <f t="shared" si="13"/>
        <v>#DIV/0!</v>
      </c>
      <c r="AC8" s="31"/>
      <c r="AD8" s="33" t="e">
        <f t="shared" si="14"/>
        <v>#DIV/0!</v>
      </c>
      <c r="AE8" s="44">
        <f t="shared" si="15"/>
        <v>0</v>
      </c>
      <c r="AF8" s="35" t="str">
        <f t="shared" si="16"/>
        <v/>
      </c>
      <c r="AG8" s="52">
        <f t="shared" si="17"/>
        <v>0</v>
      </c>
      <c r="AH8" s="38">
        <f t="shared" si="18"/>
        <v>0</v>
      </c>
      <c r="AI8" s="38">
        <f t="shared" si="19"/>
        <v>0</v>
      </c>
      <c r="AJ8" s="53">
        <f t="shared" si="20"/>
        <v>0</v>
      </c>
      <c r="AK8" s="38">
        <f t="shared" si="21"/>
        <v>0</v>
      </c>
      <c r="AL8" s="46"/>
      <c r="AM8" s="46"/>
      <c r="AN8" s="46"/>
      <c r="AO8" s="47"/>
      <c r="AP8" s="47"/>
      <c r="AQ8" s="47"/>
      <c r="AR8" s="47"/>
      <c r="AS8" s="48">
        <f t="shared" si="22"/>
        <v>0</v>
      </c>
      <c r="AT8" s="26">
        <v>4</v>
      </c>
      <c r="AU8" s="49">
        <f t="shared" si="24"/>
        <v>0</v>
      </c>
      <c r="AV8" s="26"/>
    </row>
    <row r="9" spans="1:48" ht="21">
      <c r="A9" s="26"/>
      <c r="B9" s="144">
        <f t="shared" si="23"/>
        <v>45387</v>
      </c>
      <c r="C9" s="176" t="s">
        <v>61</v>
      </c>
      <c r="D9" s="29"/>
      <c r="E9" s="30"/>
      <c r="F9" s="31"/>
      <c r="G9" s="32" t="e">
        <f t="shared" si="0"/>
        <v>#DIV/0!</v>
      </c>
      <c r="H9" s="31"/>
      <c r="I9" s="33" t="e">
        <f t="shared" si="1"/>
        <v>#DIV/0!</v>
      </c>
      <c r="J9" s="34">
        <f t="shared" si="2"/>
        <v>0</v>
      </c>
      <c r="K9" s="35" t="str">
        <f t="shared" si="3"/>
        <v/>
      </c>
      <c r="L9" s="36"/>
      <c r="M9" s="37">
        <f t="shared" si="4"/>
        <v>0</v>
      </c>
      <c r="N9" s="38">
        <f t="shared" si="4"/>
        <v>0</v>
      </c>
      <c r="O9" s="32" t="e">
        <f t="shared" si="5"/>
        <v>#DIV/0!</v>
      </c>
      <c r="P9" s="38">
        <f t="shared" si="6"/>
        <v>0</v>
      </c>
      <c r="Q9" s="33" t="e">
        <f t="shared" si="7"/>
        <v>#DIV/0!</v>
      </c>
      <c r="R9" s="39">
        <f t="shared" si="8"/>
        <v>0</v>
      </c>
      <c r="S9" s="35" t="e">
        <f t="shared" si="9"/>
        <v>#DIV/0!</v>
      </c>
      <c r="T9" s="52">
        <f t="shared" si="10"/>
        <v>0</v>
      </c>
      <c r="U9" s="38">
        <f t="shared" si="10"/>
        <v>0</v>
      </c>
      <c r="V9" s="38">
        <f t="shared" si="11"/>
        <v>0</v>
      </c>
      <c r="W9" s="41">
        <f t="shared" si="12"/>
        <v>0</v>
      </c>
      <c r="X9" s="46"/>
      <c r="Y9" s="42"/>
      <c r="Z9" s="43"/>
      <c r="AA9" s="31"/>
      <c r="AB9" s="32" t="e">
        <f t="shared" si="13"/>
        <v>#DIV/0!</v>
      </c>
      <c r="AC9" s="31"/>
      <c r="AD9" s="33" t="e">
        <f t="shared" si="14"/>
        <v>#DIV/0!</v>
      </c>
      <c r="AE9" s="44">
        <f t="shared" si="15"/>
        <v>0</v>
      </c>
      <c r="AF9" s="35" t="str">
        <f t="shared" si="16"/>
        <v/>
      </c>
      <c r="AG9" s="52">
        <f t="shared" si="17"/>
        <v>0</v>
      </c>
      <c r="AH9" s="38">
        <f t="shared" si="18"/>
        <v>0</v>
      </c>
      <c r="AI9" s="38">
        <f t="shared" si="19"/>
        <v>0</v>
      </c>
      <c r="AJ9" s="45">
        <f t="shared" si="20"/>
        <v>0</v>
      </c>
      <c r="AK9" s="38">
        <f t="shared" si="21"/>
        <v>0</v>
      </c>
      <c r="AL9" s="46"/>
      <c r="AM9" s="46"/>
      <c r="AN9" s="46"/>
      <c r="AO9" s="47"/>
      <c r="AP9" s="47"/>
      <c r="AQ9" s="47"/>
      <c r="AR9" s="47"/>
      <c r="AS9" s="48">
        <f t="shared" si="22"/>
        <v>0</v>
      </c>
      <c r="AT9" s="26">
        <v>5</v>
      </c>
      <c r="AU9" s="49">
        <f t="shared" si="24"/>
        <v>0</v>
      </c>
      <c r="AV9" s="26"/>
    </row>
    <row r="10" spans="1:48" ht="21">
      <c r="A10" s="26"/>
      <c r="B10" s="143">
        <f t="shared" si="23"/>
        <v>45388</v>
      </c>
      <c r="C10" s="176" t="s">
        <v>61</v>
      </c>
      <c r="D10" s="29"/>
      <c r="E10" s="30"/>
      <c r="F10" s="31"/>
      <c r="G10" s="32" t="e">
        <f t="shared" si="0"/>
        <v>#DIV/0!</v>
      </c>
      <c r="H10" s="31"/>
      <c r="I10" s="33" t="e">
        <f t="shared" si="1"/>
        <v>#DIV/0!</v>
      </c>
      <c r="J10" s="34">
        <f t="shared" si="2"/>
        <v>0</v>
      </c>
      <c r="K10" s="35" t="str">
        <f t="shared" si="3"/>
        <v/>
      </c>
      <c r="L10" s="36"/>
      <c r="M10" s="37">
        <f t="shared" si="4"/>
        <v>0</v>
      </c>
      <c r="N10" s="38">
        <f t="shared" si="4"/>
        <v>0</v>
      </c>
      <c r="O10" s="32" t="e">
        <f t="shared" si="5"/>
        <v>#DIV/0!</v>
      </c>
      <c r="P10" s="38">
        <f t="shared" si="6"/>
        <v>0</v>
      </c>
      <c r="Q10" s="33" t="e">
        <f t="shared" si="7"/>
        <v>#DIV/0!</v>
      </c>
      <c r="R10" s="39">
        <f t="shared" si="8"/>
        <v>0</v>
      </c>
      <c r="S10" s="35" t="e">
        <f t="shared" si="9"/>
        <v>#DIV/0!</v>
      </c>
      <c r="T10" s="52">
        <f t="shared" si="10"/>
        <v>0</v>
      </c>
      <c r="U10" s="38">
        <f t="shared" si="10"/>
        <v>0</v>
      </c>
      <c r="V10" s="38">
        <f t="shared" si="11"/>
        <v>0</v>
      </c>
      <c r="W10" s="41">
        <f t="shared" si="12"/>
        <v>0</v>
      </c>
      <c r="X10" s="46"/>
      <c r="Y10" s="42"/>
      <c r="Z10" s="43"/>
      <c r="AA10" s="31"/>
      <c r="AB10" s="32" t="e">
        <f t="shared" si="13"/>
        <v>#DIV/0!</v>
      </c>
      <c r="AC10" s="31"/>
      <c r="AD10" s="33" t="e">
        <f t="shared" si="14"/>
        <v>#DIV/0!</v>
      </c>
      <c r="AE10" s="44">
        <f t="shared" si="15"/>
        <v>0</v>
      </c>
      <c r="AF10" s="35" t="str">
        <f t="shared" si="16"/>
        <v/>
      </c>
      <c r="AG10" s="52">
        <f t="shared" si="17"/>
        <v>0</v>
      </c>
      <c r="AH10" s="38">
        <f t="shared" si="18"/>
        <v>0</v>
      </c>
      <c r="AI10" s="38">
        <f t="shared" si="19"/>
        <v>0</v>
      </c>
      <c r="AJ10" s="45">
        <f t="shared" si="20"/>
        <v>0</v>
      </c>
      <c r="AK10" s="38">
        <f t="shared" si="21"/>
        <v>0</v>
      </c>
      <c r="AL10" s="46"/>
      <c r="AM10" s="46"/>
      <c r="AN10" s="46"/>
      <c r="AO10" s="47"/>
      <c r="AP10" s="47"/>
      <c r="AQ10" s="47"/>
      <c r="AR10" s="47"/>
      <c r="AS10" s="48">
        <f t="shared" si="22"/>
        <v>0</v>
      </c>
      <c r="AT10" s="26">
        <v>6</v>
      </c>
      <c r="AU10" s="49">
        <f t="shared" si="24"/>
        <v>0</v>
      </c>
      <c r="AV10" s="26"/>
    </row>
    <row r="11" spans="1:48" ht="21">
      <c r="A11" s="26"/>
      <c r="B11" s="54">
        <f t="shared" si="23"/>
        <v>45389</v>
      </c>
      <c r="C11" s="176" t="s">
        <v>61</v>
      </c>
      <c r="D11" s="29"/>
      <c r="E11" s="30"/>
      <c r="F11" s="31"/>
      <c r="G11" s="32" t="e">
        <f t="shared" si="0"/>
        <v>#DIV/0!</v>
      </c>
      <c r="H11" s="31"/>
      <c r="I11" s="33" t="e">
        <f t="shared" si="1"/>
        <v>#DIV/0!</v>
      </c>
      <c r="J11" s="34">
        <f t="shared" si="2"/>
        <v>0</v>
      </c>
      <c r="K11" s="35" t="str">
        <f t="shared" si="3"/>
        <v/>
      </c>
      <c r="L11" s="36"/>
      <c r="M11" s="37">
        <f t="shared" si="4"/>
        <v>0</v>
      </c>
      <c r="N11" s="38">
        <f t="shared" si="4"/>
        <v>0</v>
      </c>
      <c r="O11" s="32" t="e">
        <f t="shared" si="5"/>
        <v>#DIV/0!</v>
      </c>
      <c r="P11" s="38">
        <f t="shared" si="6"/>
        <v>0</v>
      </c>
      <c r="Q11" s="33" t="e">
        <f t="shared" si="7"/>
        <v>#DIV/0!</v>
      </c>
      <c r="R11" s="39">
        <f t="shared" si="8"/>
        <v>0</v>
      </c>
      <c r="S11" s="35" t="e">
        <f t="shared" si="9"/>
        <v>#DIV/0!</v>
      </c>
      <c r="T11" s="52">
        <f t="shared" si="10"/>
        <v>0</v>
      </c>
      <c r="U11" s="38">
        <f t="shared" si="10"/>
        <v>0</v>
      </c>
      <c r="V11" s="38">
        <f t="shared" si="11"/>
        <v>0</v>
      </c>
      <c r="W11" s="41">
        <f t="shared" si="12"/>
        <v>0</v>
      </c>
      <c r="X11" s="46"/>
      <c r="Y11" s="42"/>
      <c r="Z11" s="43"/>
      <c r="AA11" s="31"/>
      <c r="AB11" s="32" t="e">
        <f t="shared" si="13"/>
        <v>#DIV/0!</v>
      </c>
      <c r="AC11" s="31"/>
      <c r="AD11" s="33" t="e">
        <f t="shared" si="14"/>
        <v>#DIV/0!</v>
      </c>
      <c r="AE11" s="44">
        <f t="shared" si="15"/>
        <v>0</v>
      </c>
      <c r="AF11" s="35" t="str">
        <f t="shared" si="16"/>
        <v/>
      </c>
      <c r="AG11" s="52">
        <f t="shared" si="17"/>
        <v>0</v>
      </c>
      <c r="AH11" s="38">
        <f t="shared" si="18"/>
        <v>0</v>
      </c>
      <c r="AI11" s="38">
        <f t="shared" si="19"/>
        <v>0</v>
      </c>
      <c r="AJ11" s="45">
        <f t="shared" si="20"/>
        <v>0</v>
      </c>
      <c r="AK11" s="38">
        <f t="shared" si="21"/>
        <v>0</v>
      </c>
      <c r="AL11" s="46"/>
      <c r="AM11" s="46"/>
      <c r="AN11" s="46"/>
      <c r="AO11" s="47"/>
      <c r="AP11" s="47"/>
      <c r="AQ11" s="47"/>
      <c r="AR11" s="47"/>
      <c r="AS11" s="48">
        <f t="shared" si="22"/>
        <v>0</v>
      </c>
      <c r="AT11" s="26">
        <v>7</v>
      </c>
      <c r="AU11" s="49">
        <f t="shared" si="24"/>
        <v>0</v>
      </c>
      <c r="AV11" s="26"/>
    </row>
    <row r="12" spans="1:48" ht="21">
      <c r="A12" s="26"/>
      <c r="B12" s="144">
        <f t="shared" si="23"/>
        <v>45390</v>
      </c>
      <c r="C12" s="176" t="s">
        <v>61</v>
      </c>
      <c r="D12" s="29"/>
      <c r="E12" s="30"/>
      <c r="F12" s="31"/>
      <c r="G12" s="32" t="e">
        <f t="shared" si="0"/>
        <v>#DIV/0!</v>
      </c>
      <c r="H12" s="31"/>
      <c r="I12" s="33" t="e">
        <f t="shared" si="1"/>
        <v>#DIV/0!</v>
      </c>
      <c r="J12" s="34">
        <f t="shared" si="2"/>
        <v>0</v>
      </c>
      <c r="K12" s="35" t="str">
        <f t="shared" si="3"/>
        <v/>
      </c>
      <c r="L12" s="36"/>
      <c r="M12" s="37">
        <f t="shared" si="4"/>
        <v>0</v>
      </c>
      <c r="N12" s="38">
        <f t="shared" si="4"/>
        <v>0</v>
      </c>
      <c r="O12" s="32" t="e">
        <f t="shared" si="5"/>
        <v>#DIV/0!</v>
      </c>
      <c r="P12" s="38">
        <f t="shared" si="6"/>
        <v>0</v>
      </c>
      <c r="Q12" s="56" t="e">
        <f t="shared" si="7"/>
        <v>#DIV/0!</v>
      </c>
      <c r="R12" s="39">
        <f t="shared" si="8"/>
        <v>0</v>
      </c>
      <c r="S12" s="35" t="e">
        <f t="shared" si="9"/>
        <v>#DIV/0!</v>
      </c>
      <c r="T12" s="52">
        <f t="shared" si="10"/>
        <v>0</v>
      </c>
      <c r="U12" s="38">
        <f t="shared" si="10"/>
        <v>0</v>
      </c>
      <c r="V12" s="38">
        <f t="shared" si="11"/>
        <v>0</v>
      </c>
      <c r="W12" s="41">
        <f t="shared" si="12"/>
        <v>0</v>
      </c>
      <c r="X12" s="46"/>
      <c r="Y12" s="42"/>
      <c r="Z12" s="43"/>
      <c r="AA12" s="31"/>
      <c r="AB12" s="32" t="e">
        <f t="shared" si="13"/>
        <v>#DIV/0!</v>
      </c>
      <c r="AC12" s="31"/>
      <c r="AD12" s="33" t="e">
        <f t="shared" si="14"/>
        <v>#DIV/0!</v>
      </c>
      <c r="AE12" s="44">
        <f t="shared" si="15"/>
        <v>0</v>
      </c>
      <c r="AF12" s="35" t="str">
        <f t="shared" si="16"/>
        <v/>
      </c>
      <c r="AG12" s="52">
        <f t="shared" si="17"/>
        <v>0</v>
      </c>
      <c r="AH12" s="38">
        <f t="shared" si="18"/>
        <v>0</v>
      </c>
      <c r="AI12" s="38">
        <f t="shared" si="19"/>
        <v>0</v>
      </c>
      <c r="AJ12" s="45">
        <f t="shared" si="20"/>
        <v>0</v>
      </c>
      <c r="AK12" s="38">
        <f t="shared" si="21"/>
        <v>0</v>
      </c>
      <c r="AL12" s="46"/>
      <c r="AM12" s="46"/>
      <c r="AN12" s="46"/>
      <c r="AO12" s="47"/>
      <c r="AP12" s="47"/>
      <c r="AQ12" s="47"/>
      <c r="AR12" s="47"/>
      <c r="AS12" s="48">
        <f t="shared" si="22"/>
        <v>0</v>
      </c>
      <c r="AT12" s="26">
        <v>8</v>
      </c>
      <c r="AU12" s="49">
        <f t="shared" si="24"/>
        <v>0</v>
      </c>
      <c r="AV12" s="26"/>
    </row>
    <row r="13" spans="1:48" ht="21">
      <c r="A13" s="26"/>
      <c r="B13" s="144">
        <f t="shared" si="23"/>
        <v>45391</v>
      </c>
      <c r="C13" s="176" t="s">
        <v>61</v>
      </c>
      <c r="D13" s="29"/>
      <c r="E13" s="30"/>
      <c r="F13" s="31"/>
      <c r="G13" s="32" t="e">
        <f t="shared" si="0"/>
        <v>#DIV/0!</v>
      </c>
      <c r="H13" s="31"/>
      <c r="I13" s="33" t="e">
        <f t="shared" si="1"/>
        <v>#DIV/0!</v>
      </c>
      <c r="J13" s="34">
        <f t="shared" si="2"/>
        <v>0</v>
      </c>
      <c r="K13" s="35" t="str">
        <f t="shared" si="3"/>
        <v/>
      </c>
      <c r="L13" s="36"/>
      <c r="M13" s="37">
        <f t="shared" si="4"/>
        <v>0</v>
      </c>
      <c r="N13" s="38">
        <f t="shared" si="4"/>
        <v>0</v>
      </c>
      <c r="O13" s="32" t="e">
        <f t="shared" si="5"/>
        <v>#DIV/0!</v>
      </c>
      <c r="P13" s="38">
        <f t="shared" si="6"/>
        <v>0</v>
      </c>
      <c r="Q13" s="33" t="e">
        <f t="shared" si="7"/>
        <v>#DIV/0!</v>
      </c>
      <c r="R13" s="39">
        <f t="shared" si="8"/>
        <v>0</v>
      </c>
      <c r="S13" s="35" t="e">
        <f t="shared" si="9"/>
        <v>#DIV/0!</v>
      </c>
      <c r="T13" s="52">
        <f t="shared" si="10"/>
        <v>0</v>
      </c>
      <c r="U13" s="38">
        <f t="shared" si="10"/>
        <v>0</v>
      </c>
      <c r="V13" s="38">
        <f t="shared" si="11"/>
        <v>0</v>
      </c>
      <c r="W13" s="41">
        <f t="shared" si="12"/>
        <v>0</v>
      </c>
      <c r="X13" s="46"/>
      <c r="Y13" s="42"/>
      <c r="Z13" s="43"/>
      <c r="AA13" s="31"/>
      <c r="AB13" s="32" t="e">
        <f t="shared" si="13"/>
        <v>#DIV/0!</v>
      </c>
      <c r="AC13" s="31"/>
      <c r="AD13" s="33" t="e">
        <f t="shared" si="14"/>
        <v>#DIV/0!</v>
      </c>
      <c r="AE13" s="44">
        <f t="shared" si="15"/>
        <v>0</v>
      </c>
      <c r="AF13" s="35" t="str">
        <f t="shared" si="16"/>
        <v/>
      </c>
      <c r="AG13" s="52">
        <f t="shared" si="17"/>
        <v>0</v>
      </c>
      <c r="AH13" s="38">
        <f t="shared" si="18"/>
        <v>0</v>
      </c>
      <c r="AI13" s="38">
        <f t="shared" si="19"/>
        <v>0</v>
      </c>
      <c r="AJ13" s="45">
        <f t="shared" si="20"/>
        <v>0</v>
      </c>
      <c r="AK13" s="38">
        <f t="shared" si="21"/>
        <v>0</v>
      </c>
      <c r="AL13" s="46"/>
      <c r="AM13" s="46"/>
      <c r="AN13" s="46"/>
      <c r="AO13" s="47"/>
      <c r="AP13" s="47"/>
      <c r="AQ13" s="47"/>
      <c r="AR13" s="47"/>
      <c r="AS13" s="48">
        <f t="shared" si="22"/>
        <v>0</v>
      </c>
      <c r="AT13" s="26">
        <v>9</v>
      </c>
      <c r="AU13" s="49">
        <f t="shared" si="24"/>
        <v>0</v>
      </c>
      <c r="AV13" s="26"/>
    </row>
    <row r="14" spans="1:48" ht="21">
      <c r="A14" s="26"/>
      <c r="B14" s="144">
        <f t="shared" si="23"/>
        <v>45392</v>
      </c>
      <c r="C14" s="176" t="s">
        <v>61</v>
      </c>
      <c r="D14" s="29"/>
      <c r="E14" s="30"/>
      <c r="F14" s="31"/>
      <c r="G14" s="32" t="e">
        <f t="shared" si="0"/>
        <v>#DIV/0!</v>
      </c>
      <c r="H14" s="31"/>
      <c r="I14" s="33" t="e">
        <f t="shared" si="1"/>
        <v>#DIV/0!</v>
      </c>
      <c r="J14" s="34">
        <f t="shared" si="2"/>
        <v>0</v>
      </c>
      <c r="K14" s="35" t="str">
        <f t="shared" si="3"/>
        <v/>
      </c>
      <c r="L14" s="36"/>
      <c r="M14" s="37">
        <f t="shared" si="4"/>
        <v>0</v>
      </c>
      <c r="N14" s="38">
        <f t="shared" si="4"/>
        <v>0</v>
      </c>
      <c r="O14" s="32" t="e">
        <f t="shared" si="5"/>
        <v>#DIV/0!</v>
      </c>
      <c r="P14" s="38">
        <f t="shared" si="6"/>
        <v>0</v>
      </c>
      <c r="Q14" s="33" t="e">
        <f t="shared" si="7"/>
        <v>#DIV/0!</v>
      </c>
      <c r="R14" s="39">
        <f t="shared" si="8"/>
        <v>0</v>
      </c>
      <c r="S14" s="35" t="e">
        <f t="shared" si="9"/>
        <v>#DIV/0!</v>
      </c>
      <c r="T14" s="52">
        <f t="shared" si="10"/>
        <v>0</v>
      </c>
      <c r="U14" s="38">
        <f t="shared" si="10"/>
        <v>0</v>
      </c>
      <c r="V14" s="38">
        <f t="shared" si="11"/>
        <v>0</v>
      </c>
      <c r="W14" s="41">
        <f t="shared" si="12"/>
        <v>0</v>
      </c>
      <c r="X14" s="46"/>
      <c r="Y14" s="42"/>
      <c r="Z14" s="43"/>
      <c r="AA14" s="31"/>
      <c r="AB14" s="32" t="e">
        <f t="shared" si="13"/>
        <v>#DIV/0!</v>
      </c>
      <c r="AC14" s="31"/>
      <c r="AD14" s="33" t="e">
        <f t="shared" si="14"/>
        <v>#DIV/0!</v>
      </c>
      <c r="AE14" s="44">
        <f t="shared" si="15"/>
        <v>0</v>
      </c>
      <c r="AF14" s="35" t="str">
        <f t="shared" si="16"/>
        <v/>
      </c>
      <c r="AG14" s="52">
        <f t="shared" si="17"/>
        <v>0</v>
      </c>
      <c r="AH14" s="38">
        <f t="shared" si="18"/>
        <v>0</v>
      </c>
      <c r="AI14" s="38">
        <f t="shared" si="19"/>
        <v>0</v>
      </c>
      <c r="AJ14" s="53">
        <f t="shared" si="20"/>
        <v>0</v>
      </c>
      <c r="AK14" s="38">
        <f t="shared" si="21"/>
        <v>0</v>
      </c>
      <c r="AL14" s="46"/>
      <c r="AM14" s="46"/>
      <c r="AN14" s="46"/>
      <c r="AO14" s="47"/>
      <c r="AP14" s="47"/>
      <c r="AQ14" s="47"/>
      <c r="AR14" s="47"/>
      <c r="AS14" s="48">
        <f t="shared" si="22"/>
        <v>0</v>
      </c>
      <c r="AT14" s="26">
        <v>10</v>
      </c>
      <c r="AU14" s="49">
        <f t="shared" si="24"/>
        <v>0</v>
      </c>
      <c r="AV14" s="26"/>
    </row>
    <row r="15" spans="1:48" ht="21">
      <c r="A15" s="26"/>
      <c r="B15" s="144">
        <f t="shared" si="23"/>
        <v>45393</v>
      </c>
      <c r="C15" s="176" t="s">
        <v>61</v>
      </c>
      <c r="D15" s="29"/>
      <c r="E15" s="30"/>
      <c r="F15" s="31"/>
      <c r="G15" s="32" t="e">
        <f t="shared" si="0"/>
        <v>#DIV/0!</v>
      </c>
      <c r="H15" s="31"/>
      <c r="I15" s="33" t="e">
        <f t="shared" si="1"/>
        <v>#DIV/0!</v>
      </c>
      <c r="J15" s="34">
        <f t="shared" si="2"/>
        <v>0</v>
      </c>
      <c r="K15" s="35" t="str">
        <f t="shared" si="3"/>
        <v/>
      </c>
      <c r="L15" s="36"/>
      <c r="M15" s="37">
        <f t="shared" si="4"/>
        <v>0</v>
      </c>
      <c r="N15" s="38">
        <f t="shared" si="4"/>
        <v>0</v>
      </c>
      <c r="O15" s="32" t="e">
        <f t="shared" si="5"/>
        <v>#DIV/0!</v>
      </c>
      <c r="P15" s="38">
        <f t="shared" si="6"/>
        <v>0</v>
      </c>
      <c r="Q15" s="33" t="e">
        <f t="shared" si="7"/>
        <v>#DIV/0!</v>
      </c>
      <c r="R15" s="39">
        <f t="shared" si="8"/>
        <v>0</v>
      </c>
      <c r="S15" s="35" t="e">
        <f t="shared" si="9"/>
        <v>#DIV/0!</v>
      </c>
      <c r="T15" s="52">
        <f t="shared" si="10"/>
        <v>0</v>
      </c>
      <c r="U15" s="38">
        <f t="shared" si="10"/>
        <v>0</v>
      </c>
      <c r="V15" s="38">
        <f t="shared" si="11"/>
        <v>0</v>
      </c>
      <c r="W15" s="41">
        <f t="shared" si="12"/>
        <v>0</v>
      </c>
      <c r="X15" s="46"/>
      <c r="Y15" s="42"/>
      <c r="Z15" s="43"/>
      <c r="AA15" s="31"/>
      <c r="AB15" s="32" t="e">
        <f t="shared" si="13"/>
        <v>#DIV/0!</v>
      </c>
      <c r="AC15" s="31"/>
      <c r="AD15" s="33" t="e">
        <f t="shared" si="14"/>
        <v>#DIV/0!</v>
      </c>
      <c r="AE15" s="44">
        <f t="shared" si="15"/>
        <v>0</v>
      </c>
      <c r="AF15" s="35" t="str">
        <f t="shared" si="16"/>
        <v/>
      </c>
      <c r="AG15" s="52">
        <f t="shared" si="17"/>
        <v>0</v>
      </c>
      <c r="AH15" s="38">
        <f t="shared" si="18"/>
        <v>0</v>
      </c>
      <c r="AI15" s="38">
        <f t="shared" si="19"/>
        <v>0</v>
      </c>
      <c r="AJ15" s="45">
        <f t="shared" si="20"/>
        <v>0</v>
      </c>
      <c r="AK15" s="38">
        <f t="shared" si="21"/>
        <v>0</v>
      </c>
      <c r="AL15" s="46"/>
      <c r="AM15" s="46"/>
      <c r="AN15" s="46"/>
      <c r="AO15" s="47"/>
      <c r="AP15" s="47"/>
      <c r="AQ15" s="47"/>
      <c r="AR15" s="47"/>
      <c r="AS15" s="48">
        <f t="shared" si="22"/>
        <v>0</v>
      </c>
      <c r="AT15" s="26">
        <v>11</v>
      </c>
      <c r="AU15" s="49">
        <f t="shared" si="24"/>
        <v>0</v>
      </c>
      <c r="AV15" s="26"/>
    </row>
    <row r="16" spans="1:48" ht="21">
      <c r="A16" s="26"/>
      <c r="B16" s="144">
        <f t="shared" si="23"/>
        <v>45394</v>
      </c>
      <c r="C16" s="176" t="s">
        <v>61</v>
      </c>
      <c r="D16" s="29"/>
      <c r="E16" s="30"/>
      <c r="F16" s="31"/>
      <c r="G16" s="32" t="e">
        <f t="shared" si="0"/>
        <v>#DIV/0!</v>
      </c>
      <c r="H16" s="31"/>
      <c r="I16" s="33" t="e">
        <f t="shared" si="1"/>
        <v>#DIV/0!</v>
      </c>
      <c r="J16" s="34">
        <f t="shared" si="2"/>
        <v>0</v>
      </c>
      <c r="K16" s="35" t="str">
        <f t="shared" si="3"/>
        <v/>
      </c>
      <c r="L16" s="36"/>
      <c r="M16" s="37">
        <f t="shared" si="4"/>
        <v>0</v>
      </c>
      <c r="N16" s="38">
        <f t="shared" si="4"/>
        <v>0</v>
      </c>
      <c r="O16" s="32" t="e">
        <f t="shared" si="5"/>
        <v>#DIV/0!</v>
      </c>
      <c r="P16" s="38">
        <f t="shared" si="6"/>
        <v>0</v>
      </c>
      <c r="Q16" s="33" t="e">
        <f t="shared" si="7"/>
        <v>#DIV/0!</v>
      </c>
      <c r="R16" s="39">
        <f t="shared" si="8"/>
        <v>0</v>
      </c>
      <c r="S16" s="35" t="e">
        <f t="shared" si="9"/>
        <v>#DIV/0!</v>
      </c>
      <c r="T16" s="52">
        <f t="shared" si="10"/>
        <v>0</v>
      </c>
      <c r="U16" s="38">
        <f t="shared" si="10"/>
        <v>0</v>
      </c>
      <c r="V16" s="38">
        <f t="shared" si="11"/>
        <v>0</v>
      </c>
      <c r="W16" s="41">
        <f t="shared" si="12"/>
        <v>0</v>
      </c>
      <c r="X16" s="46"/>
      <c r="Y16" s="42"/>
      <c r="Z16" s="43"/>
      <c r="AA16" s="31"/>
      <c r="AB16" s="32" t="e">
        <f t="shared" si="13"/>
        <v>#DIV/0!</v>
      </c>
      <c r="AC16" s="31"/>
      <c r="AD16" s="33" t="e">
        <f t="shared" si="14"/>
        <v>#DIV/0!</v>
      </c>
      <c r="AE16" s="44">
        <f t="shared" si="15"/>
        <v>0</v>
      </c>
      <c r="AF16" s="35" t="str">
        <f t="shared" si="16"/>
        <v/>
      </c>
      <c r="AG16" s="52">
        <f t="shared" si="17"/>
        <v>0</v>
      </c>
      <c r="AH16" s="38">
        <f t="shared" si="18"/>
        <v>0</v>
      </c>
      <c r="AI16" s="38">
        <f t="shared" si="19"/>
        <v>0</v>
      </c>
      <c r="AJ16" s="45">
        <f t="shared" si="20"/>
        <v>0</v>
      </c>
      <c r="AK16" s="38">
        <f t="shared" si="21"/>
        <v>0</v>
      </c>
      <c r="AL16" s="46"/>
      <c r="AM16" s="46"/>
      <c r="AN16" s="46"/>
      <c r="AO16" s="47"/>
      <c r="AP16" s="47"/>
      <c r="AQ16" s="47"/>
      <c r="AR16" s="47"/>
      <c r="AS16" s="48">
        <f t="shared" si="22"/>
        <v>0</v>
      </c>
      <c r="AT16" s="26">
        <v>12</v>
      </c>
      <c r="AU16" s="49">
        <f t="shared" si="24"/>
        <v>0</v>
      </c>
      <c r="AV16" s="26"/>
    </row>
    <row r="17" spans="1:48" ht="21">
      <c r="A17" s="26"/>
      <c r="B17" s="143">
        <f t="shared" si="23"/>
        <v>45395</v>
      </c>
      <c r="C17" s="176" t="s">
        <v>61</v>
      </c>
      <c r="D17" s="29"/>
      <c r="E17" s="30"/>
      <c r="F17" s="31"/>
      <c r="G17" s="32" t="e">
        <f t="shared" si="0"/>
        <v>#DIV/0!</v>
      </c>
      <c r="H17" s="31"/>
      <c r="I17" s="33" t="e">
        <f t="shared" si="1"/>
        <v>#DIV/0!</v>
      </c>
      <c r="J17" s="34">
        <f t="shared" si="2"/>
        <v>0</v>
      </c>
      <c r="K17" s="35" t="str">
        <f t="shared" si="3"/>
        <v/>
      </c>
      <c r="L17" s="36"/>
      <c r="M17" s="37">
        <f t="shared" si="4"/>
        <v>0</v>
      </c>
      <c r="N17" s="38">
        <f t="shared" si="4"/>
        <v>0</v>
      </c>
      <c r="O17" s="32" t="e">
        <f t="shared" si="5"/>
        <v>#DIV/0!</v>
      </c>
      <c r="P17" s="38">
        <f t="shared" si="6"/>
        <v>0</v>
      </c>
      <c r="Q17" s="33" t="e">
        <f t="shared" si="7"/>
        <v>#DIV/0!</v>
      </c>
      <c r="R17" s="39">
        <f t="shared" si="8"/>
        <v>0</v>
      </c>
      <c r="S17" s="35" t="e">
        <f t="shared" si="9"/>
        <v>#DIV/0!</v>
      </c>
      <c r="T17" s="52">
        <f t="shared" si="10"/>
        <v>0</v>
      </c>
      <c r="U17" s="38">
        <f t="shared" si="10"/>
        <v>0</v>
      </c>
      <c r="V17" s="38">
        <f t="shared" si="11"/>
        <v>0</v>
      </c>
      <c r="W17" s="41">
        <f t="shared" si="12"/>
        <v>0</v>
      </c>
      <c r="X17" s="46"/>
      <c r="Y17" s="42"/>
      <c r="Z17" s="43"/>
      <c r="AA17" s="31"/>
      <c r="AB17" s="32" t="e">
        <f t="shared" si="13"/>
        <v>#DIV/0!</v>
      </c>
      <c r="AC17" s="31"/>
      <c r="AD17" s="33" t="e">
        <f t="shared" si="14"/>
        <v>#DIV/0!</v>
      </c>
      <c r="AE17" s="44">
        <f t="shared" si="15"/>
        <v>0</v>
      </c>
      <c r="AF17" s="35" t="str">
        <f t="shared" si="16"/>
        <v/>
      </c>
      <c r="AG17" s="52">
        <f t="shared" si="17"/>
        <v>0</v>
      </c>
      <c r="AH17" s="38">
        <f t="shared" si="18"/>
        <v>0</v>
      </c>
      <c r="AI17" s="38">
        <f t="shared" si="19"/>
        <v>0</v>
      </c>
      <c r="AJ17" s="45">
        <f t="shared" si="20"/>
        <v>0</v>
      </c>
      <c r="AK17" s="38">
        <f t="shared" si="21"/>
        <v>0</v>
      </c>
      <c r="AL17" s="46"/>
      <c r="AM17" s="46"/>
      <c r="AN17" s="46"/>
      <c r="AO17" s="47"/>
      <c r="AP17" s="47"/>
      <c r="AQ17" s="47"/>
      <c r="AR17" s="47"/>
      <c r="AS17" s="48">
        <f t="shared" si="22"/>
        <v>0</v>
      </c>
      <c r="AT17" s="26">
        <v>13</v>
      </c>
      <c r="AU17" s="49">
        <f t="shared" si="24"/>
        <v>0</v>
      </c>
      <c r="AV17" s="26"/>
    </row>
    <row r="18" spans="1:48" ht="21">
      <c r="A18" s="26"/>
      <c r="B18" s="54">
        <f t="shared" si="23"/>
        <v>45396</v>
      </c>
      <c r="C18" s="176" t="s">
        <v>61</v>
      </c>
      <c r="D18" s="29"/>
      <c r="E18" s="30"/>
      <c r="F18" s="31"/>
      <c r="G18" s="32" t="e">
        <f t="shared" si="0"/>
        <v>#DIV/0!</v>
      </c>
      <c r="H18" s="31"/>
      <c r="I18" s="33" t="e">
        <f t="shared" si="1"/>
        <v>#DIV/0!</v>
      </c>
      <c r="J18" s="34">
        <f t="shared" si="2"/>
        <v>0</v>
      </c>
      <c r="K18" s="35" t="str">
        <f t="shared" si="3"/>
        <v/>
      </c>
      <c r="L18" s="36"/>
      <c r="M18" s="37">
        <f t="shared" si="4"/>
        <v>0</v>
      </c>
      <c r="N18" s="38">
        <f t="shared" si="4"/>
        <v>0</v>
      </c>
      <c r="O18" s="32" t="e">
        <f t="shared" si="5"/>
        <v>#DIV/0!</v>
      </c>
      <c r="P18" s="38">
        <f t="shared" si="6"/>
        <v>0</v>
      </c>
      <c r="Q18" s="33" t="e">
        <f t="shared" si="7"/>
        <v>#DIV/0!</v>
      </c>
      <c r="R18" s="39">
        <f t="shared" si="8"/>
        <v>0</v>
      </c>
      <c r="S18" s="35" t="e">
        <f t="shared" si="9"/>
        <v>#DIV/0!</v>
      </c>
      <c r="T18" s="52">
        <f t="shared" si="10"/>
        <v>0</v>
      </c>
      <c r="U18" s="38">
        <f t="shared" si="10"/>
        <v>0</v>
      </c>
      <c r="V18" s="38">
        <f t="shared" si="11"/>
        <v>0</v>
      </c>
      <c r="W18" s="41">
        <f t="shared" si="12"/>
        <v>0</v>
      </c>
      <c r="X18" s="46"/>
      <c r="Y18" s="42"/>
      <c r="Z18" s="43"/>
      <c r="AA18" s="31"/>
      <c r="AB18" s="32" t="e">
        <f t="shared" si="13"/>
        <v>#DIV/0!</v>
      </c>
      <c r="AC18" s="31"/>
      <c r="AD18" s="33" t="e">
        <f t="shared" si="14"/>
        <v>#DIV/0!</v>
      </c>
      <c r="AE18" s="44">
        <f t="shared" si="15"/>
        <v>0</v>
      </c>
      <c r="AF18" s="35" t="str">
        <f t="shared" si="16"/>
        <v/>
      </c>
      <c r="AG18" s="52">
        <f t="shared" si="17"/>
        <v>0</v>
      </c>
      <c r="AH18" s="38">
        <f t="shared" si="18"/>
        <v>0</v>
      </c>
      <c r="AI18" s="38">
        <f t="shared" si="19"/>
        <v>0</v>
      </c>
      <c r="AJ18" s="45">
        <f t="shared" si="20"/>
        <v>0</v>
      </c>
      <c r="AK18" s="38">
        <f t="shared" si="21"/>
        <v>0</v>
      </c>
      <c r="AL18" s="46"/>
      <c r="AM18" s="46"/>
      <c r="AN18" s="46"/>
      <c r="AO18" s="47"/>
      <c r="AP18" s="47"/>
      <c r="AQ18" s="47"/>
      <c r="AR18" s="47"/>
      <c r="AS18" s="48">
        <f t="shared" si="22"/>
        <v>0</v>
      </c>
      <c r="AT18" s="26">
        <v>14</v>
      </c>
      <c r="AU18" s="49">
        <f t="shared" si="24"/>
        <v>0</v>
      </c>
      <c r="AV18" s="26"/>
    </row>
    <row r="19" spans="1:48" ht="21">
      <c r="A19" s="26"/>
      <c r="B19" s="144">
        <f t="shared" si="23"/>
        <v>45397</v>
      </c>
      <c r="C19" s="176" t="s">
        <v>61</v>
      </c>
      <c r="D19" s="29"/>
      <c r="E19" s="30"/>
      <c r="F19" s="31"/>
      <c r="G19" s="32" t="e">
        <f t="shared" si="0"/>
        <v>#DIV/0!</v>
      </c>
      <c r="H19" s="31"/>
      <c r="I19" s="33" t="e">
        <f t="shared" si="1"/>
        <v>#DIV/0!</v>
      </c>
      <c r="J19" s="34">
        <f t="shared" si="2"/>
        <v>0</v>
      </c>
      <c r="K19" s="35" t="str">
        <f t="shared" si="3"/>
        <v/>
      </c>
      <c r="L19" s="36"/>
      <c r="M19" s="37">
        <f t="shared" si="4"/>
        <v>0</v>
      </c>
      <c r="N19" s="38">
        <f t="shared" si="4"/>
        <v>0</v>
      </c>
      <c r="O19" s="32" t="e">
        <f t="shared" si="5"/>
        <v>#DIV/0!</v>
      </c>
      <c r="P19" s="38">
        <f t="shared" si="6"/>
        <v>0</v>
      </c>
      <c r="Q19" s="56" t="e">
        <f t="shared" si="7"/>
        <v>#DIV/0!</v>
      </c>
      <c r="R19" s="39">
        <f t="shared" si="8"/>
        <v>0</v>
      </c>
      <c r="S19" s="35" t="e">
        <f t="shared" si="9"/>
        <v>#DIV/0!</v>
      </c>
      <c r="T19" s="52">
        <f t="shared" si="10"/>
        <v>0</v>
      </c>
      <c r="U19" s="38">
        <f t="shared" si="10"/>
        <v>0</v>
      </c>
      <c r="V19" s="38">
        <f t="shared" si="11"/>
        <v>0</v>
      </c>
      <c r="W19" s="41">
        <f t="shared" si="12"/>
        <v>0</v>
      </c>
      <c r="X19" s="46"/>
      <c r="Y19" s="42"/>
      <c r="Z19" s="43"/>
      <c r="AA19" s="31"/>
      <c r="AB19" s="32" t="e">
        <f t="shared" si="13"/>
        <v>#DIV/0!</v>
      </c>
      <c r="AC19" s="31"/>
      <c r="AD19" s="33" t="e">
        <f t="shared" si="14"/>
        <v>#DIV/0!</v>
      </c>
      <c r="AE19" s="44">
        <f t="shared" si="15"/>
        <v>0</v>
      </c>
      <c r="AF19" s="35" t="str">
        <f t="shared" si="16"/>
        <v/>
      </c>
      <c r="AG19" s="52">
        <f t="shared" si="17"/>
        <v>0</v>
      </c>
      <c r="AH19" s="38">
        <f t="shared" si="18"/>
        <v>0</v>
      </c>
      <c r="AI19" s="38">
        <f t="shared" si="19"/>
        <v>0</v>
      </c>
      <c r="AJ19" s="45">
        <f t="shared" si="20"/>
        <v>0</v>
      </c>
      <c r="AK19" s="38">
        <f t="shared" si="21"/>
        <v>0</v>
      </c>
      <c r="AL19" s="46"/>
      <c r="AM19" s="46"/>
      <c r="AN19" s="46"/>
      <c r="AO19" s="47"/>
      <c r="AP19" s="47"/>
      <c r="AQ19" s="47"/>
      <c r="AR19" s="47"/>
      <c r="AS19" s="48">
        <f t="shared" si="22"/>
        <v>0</v>
      </c>
      <c r="AT19" s="26">
        <v>15</v>
      </c>
      <c r="AU19" s="49">
        <f t="shared" si="24"/>
        <v>0</v>
      </c>
      <c r="AV19" s="26"/>
    </row>
    <row r="20" spans="1:48" ht="21">
      <c r="A20" s="26"/>
      <c r="B20" s="144">
        <f t="shared" si="23"/>
        <v>45398</v>
      </c>
      <c r="C20" s="176" t="s">
        <v>61</v>
      </c>
      <c r="D20" s="29"/>
      <c r="E20" s="30"/>
      <c r="F20" s="31"/>
      <c r="G20" s="32" t="e">
        <f t="shared" si="0"/>
        <v>#DIV/0!</v>
      </c>
      <c r="H20" s="31"/>
      <c r="I20" s="32" t="e">
        <f t="shared" si="1"/>
        <v>#DIV/0!</v>
      </c>
      <c r="J20" s="34">
        <f t="shared" si="2"/>
        <v>0</v>
      </c>
      <c r="K20" s="35" t="str">
        <f t="shared" si="3"/>
        <v/>
      </c>
      <c r="L20" s="36"/>
      <c r="M20" s="37">
        <f t="shared" si="4"/>
        <v>0</v>
      </c>
      <c r="N20" s="38">
        <f t="shared" si="4"/>
        <v>0</v>
      </c>
      <c r="O20" s="32" t="e">
        <f t="shared" si="5"/>
        <v>#DIV/0!</v>
      </c>
      <c r="P20" s="38">
        <f t="shared" si="6"/>
        <v>0</v>
      </c>
      <c r="Q20" s="56" t="e">
        <f t="shared" si="7"/>
        <v>#DIV/0!</v>
      </c>
      <c r="R20" s="39">
        <f t="shared" si="8"/>
        <v>0</v>
      </c>
      <c r="S20" s="35" t="e">
        <f t="shared" si="9"/>
        <v>#DIV/0!</v>
      </c>
      <c r="T20" s="52">
        <f t="shared" si="10"/>
        <v>0</v>
      </c>
      <c r="U20" s="38">
        <f t="shared" si="10"/>
        <v>0</v>
      </c>
      <c r="V20" s="38">
        <f t="shared" si="11"/>
        <v>0</v>
      </c>
      <c r="W20" s="41">
        <f t="shared" si="12"/>
        <v>0</v>
      </c>
      <c r="X20" s="46"/>
      <c r="Y20" s="42"/>
      <c r="Z20" s="43"/>
      <c r="AA20" s="31"/>
      <c r="AB20" s="32" t="e">
        <f t="shared" si="13"/>
        <v>#DIV/0!</v>
      </c>
      <c r="AC20" s="31"/>
      <c r="AD20" s="33" t="e">
        <f t="shared" si="14"/>
        <v>#DIV/0!</v>
      </c>
      <c r="AE20" s="44">
        <f t="shared" si="15"/>
        <v>0</v>
      </c>
      <c r="AF20" s="35" t="str">
        <f t="shared" si="16"/>
        <v/>
      </c>
      <c r="AG20" s="52">
        <f t="shared" si="17"/>
        <v>0</v>
      </c>
      <c r="AH20" s="46">
        <f t="shared" si="18"/>
        <v>0</v>
      </c>
      <c r="AI20" s="46">
        <f t="shared" si="19"/>
        <v>0</v>
      </c>
      <c r="AJ20" s="45">
        <f t="shared" si="20"/>
        <v>0</v>
      </c>
      <c r="AK20" s="38">
        <f t="shared" si="21"/>
        <v>0</v>
      </c>
      <c r="AL20" s="46"/>
      <c r="AM20" s="46"/>
      <c r="AN20" s="46"/>
      <c r="AO20" s="47"/>
      <c r="AP20" s="47"/>
      <c r="AQ20" s="47"/>
      <c r="AR20" s="47"/>
      <c r="AS20" s="48">
        <f t="shared" si="22"/>
        <v>0</v>
      </c>
      <c r="AT20" s="26">
        <v>16</v>
      </c>
      <c r="AU20" s="49">
        <f t="shared" si="24"/>
        <v>0</v>
      </c>
      <c r="AV20" s="26"/>
    </row>
    <row r="21" spans="1:48" ht="15.75" customHeight="1">
      <c r="A21" s="26"/>
      <c r="B21" s="144">
        <f t="shared" si="23"/>
        <v>45399</v>
      </c>
      <c r="C21" s="176" t="s">
        <v>61</v>
      </c>
      <c r="D21" s="29"/>
      <c r="E21" s="30"/>
      <c r="F21" s="31"/>
      <c r="G21" s="32" t="e">
        <f t="shared" si="0"/>
        <v>#DIV/0!</v>
      </c>
      <c r="H21" s="31"/>
      <c r="I21" s="32" t="e">
        <f t="shared" si="1"/>
        <v>#DIV/0!</v>
      </c>
      <c r="J21" s="34">
        <f t="shared" si="2"/>
        <v>0</v>
      </c>
      <c r="K21" s="35" t="str">
        <f t="shared" si="3"/>
        <v/>
      </c>
      <c r="L21" s="36"/>
      <c r="M21" s="37">
        <f t="shared" ref="M21:N34" si="25">AL21-E21</f>
        <v>0</v>
      </c>
      <c r="N21" s="38">
        <f t="shared" si="25"/>
        <v>0</v>
      </c>
      <c r="O21" s="32" t="e">
        <f t="shared" si="5"/>
        <v>#DIV/0!</v>
      </c>
      <c r="P21" s="38">
        <f t="shared" si="6"/>
        <v>0</v>
      </c>
      <c r="Q21" s="56" t="e">
        <f t="shared" si="7"/>
        <v>#DIV/0!</v>
      </c>
      <c r="R21" s="39">
        <f t="shared" si="8"/>
        <v>0</v>
      </c>
      <c r="S21" s="35" t="e">
        <f t="shared" si="9"/>
        <v>#DIV/0!</v>
      </c>
      <c r="T21" s="52">
        <f t="shared" ref="T21:U34" si="26">E21+M21</f>
        <v>0</v>
      </c>
      <c r="U21" s="38">
        <f t="shared" si="26"/>
        <v>0</v>
      </c>
      <c r="V21" s="38">
        <f t="shared" si="11"/>
        <v>0</v>
      </c>
      <c r="W21" s="41">
        <f t="shared" si="12"/>
        <v>0</v>
      </c>
      <c r="X21" s="46"/>
      <c r="Y21" s="42"/>
      <c r="Z21" s="43"/>
      <c r="AA21" s="31"/>
      <c r="AB21" s="32" t="e">
        <f t="shared" si="13"/>
        <v>#DIV/0!</v>
      </c>
      <c r="AC21" s="31"/>
      <c r="AD21" s="33" t="e">
        <f t="shared" si="14"/>
        <v>#DIV/0!</v>
      </c>
      <c r="AE21" s="44">
        <f t="shared" si="15"/>
        <v>0</v>
      </c>
      <c r="AF21" s="35" t="str">
        <f t="shared" si="16"/>
        <v/>
      </c>
      <c r="AG21" s="52">
        <f t="shared" si="17"/>
        <v>0</v>
      </c>
      <c r="AH21" s="46">
        <f t="shared" si="18"/>
        <v>0</v>
      </c>
      <c r="AI21" s="46">
        <f t="shared" si="19"/>
        <v>0</v>
      </c>
      <c r="AJ21" s="45">
        <f t="shared" si="20"/>
        <v>0</v>
      </c>
      <c r="AK21" s="38">
        <f t="shared" si="21"/>
        <v>0</v>
      </c>
      <c r="AL21" s="46"/>
      <c r="AM21" s="46"/>
      <c r="AN21" s="46"/>
      <c r="AO21" s="47"/>
      <c r="AP21" s="47"/>
      <c r="AQ21" s="47"/>
      <c r="AR21" s="47"/>
      <c r="AS21" s="48">
        <f t="shared" si="22"/>
        <v>0</v>
      </c>
      <c r="AT21" s="26">
        <v>17</v>
      </c>
      <c r="AU21" s="49">
        <f t="shared" si="24"/>
        <v>0</v>
      </c>
      <c r="AV21" s="26"/>
    </row>
    <row r="22" spans="1:48" ht="15.75" customHeight="1">
      <c r="A22" s="26"/>
      <c r="B22" s="144">
        <f t="shared" si="23"/>
        <v>45400</v>
      </c>
      <c r="C22" s="176" t="s">
        <v>61</v>
      </c>
      <c r="D22" s="29"/>
      <c r="E22" s="30"/>
      <c r="F22" s="31"/>
      <c r="G22" s="32" t="e">
        <f t="shared" si="0"/>
        <v>#DIV/0!</v>
      </c>
      <c r="H22" s="31"/>
      <c r="I22" s="32" t="e">
        <f t="shared" si="1"/>
        <v>#DIV/0!</v>
      </c>
      <c r="J22" s="34">
        <f t="shared" si="2"/>
        <v>0</v>
      </c>
      <c r="K22" s="35" t="str">
        <f t="shared" si="3"/>
        <v/>
      </c>
      <c r="L22" s="36"/>
      <c r="M22" s="37">
        <f t="shared" si="25"/>
        <v>0</v>
      </c>
      <c r="N22" s="38">
        <f t="shared" si="25"/>
        <v>0</v>
      </c>
      <c r="O22" s="32" t="e">
        <f t="shared" si="5"/>
        <v>#DIV/0!</v>
      </c>
      <c r="P22" s="38">
        <f t="shared" si="6"/>
        <v>0</v>
      </c>
      <c r="Q22" s="56" t="e">
        <f t="shared" si="7"/>
        <v>#DIV/0!</v>
      </c>
      <c r="R22" s="39">
        <f t="shared" si="8"/>
        <v>0</v>
      </c>
      <c r="S22" s="35" t="e">
        <f t="shared" si="9"/>
        <v>#DIV/0!</v>
      </c>
      <c r="T22" s="52">
        <f t="shared" si="26"/>
        <v>0</v>
      </c>
      <c r="U22" s="38">
        <f t="shared" si="26"/>
        <v>0</v>
      </c>
      <c r="V22" s="38">
        <f t="shared" si="11"/>
        <v>0</v>
      </c>
      <c r="W22" s="41">
        <f t="shared" si="12"/>
        <v>0</v>
      </c>
      <c r="X22" s="46"/>
      <c r="Y22" s="42"/>
      <c r="Z22" s="43"/>
      <c r="AA22" s="31"/>
      <c r="AB22" s="32" t="e">
        <f t="shared" si="13"/>
        <v>#DIV/0!</v>
      </c>
      <c r="AC22" s="31"/>
      <c r="AD22" s="33" t="e">
        <f t="shared" si="14"/>
        <v>#DIV/0!</v>
      </c>
      <c r="AE22" s="44">
        <f t="shared" si="15"/>
        <v>0</v>
      </c>
      <c r="AF22" s="35" t="str">
        <f t="shared" si="16"/>
        <v/>
      </c>
      <c r="AG22" s="52">
        <f t="shared" si="17"/>
        <v>0</v>
      </c>
      <c r="AH22" s="46">
        <f t="shared" si="18"/>
        <v>0</v>
      </c>
      <c r="AI22" s="46">
        <f t="shared" si="19"/>
        <v>0</v>
      </c>
      <c r="AJ22" s="45">
        <f t="shared" si="20"/>
        <v>0</v>
      </c>
      <c r="AK22" s="38">
        <f t="shared" si="21"/>
        <v>0</v>
      </c>
      <c r="AL22" s="46"/>
      <c r="AM22" s="46"/>
      <c r="AN22" s="46"/>
      <c r="AO22" s="47"/>
      <c r="AP22" s="47"/>
      <c r="AQ22" s="47"/>
      <c r="AR22" s="47"/>
      <c r="AS22" s="48">
        <f t="shared" si="22"/>
        <v>0</v>
      </c>
      <c r="AT22" s="26">
        <v>18</v>
      </c>
      <c r="AU22" s="49">
        <f t="shared" si="24"/>
        <v>0</v>
      </c>
      <c r="AV22" s="26"/>
    </row>
    <row r="23" spans="1:48" ht="15.75" customHeight="1">
      <c r="A23" s="26"/>
      <c r="B23" s="144">
        <f t="shared" si="23"/>
        <v>45401</v>
      </c>
      <c r="C23" s="55" t="s">
        <v>62</v>
      </c>
      <c r="D23" s="29"/>
      <c r="E23" s="30"/>
      <c r="F23" s="31"/>
      <c r="G23" s="32" t="e">
        <f t="shared" si="0"/>
        <v>#DIV/0!</v>
      </c>
      <c r="H23" s="31"/>
      <c r="I23" s="32" t="e">
        <f t="shared" si="1"/>
        <v>#DIV/0!</v>
      </c>
      <c r="J23" s="34">
        <f t="shared" si="2"/>
        <v>0</v>
      </c>
      <c r="K23" s="35" t="str">
        <f t="shared" si="3"/>
        <v/>
      </c>
      <c r="L23" s="36"/>
      <c r="M23" s="37">
        <f t="shared" si="25"/>
        <v>8</v>
      </c>
      <c r="N23" s="38">
        <f t="shared" si="25"/>
        <v>89100</v>
      </c>
      <c r="O23" s="32">
        <f t="shared" si="5"/>
        <v>10125</v>
      </c>
      <c r="P23" s="38">
        <f t="shared" si="6"/>
        <v>19040</v>
      </c>
      <c r="Q23" s="56">
        <f t="shared" si="7"/>
        <v>2163.625</v>
      </c>
      <c r="R23" s="39">
        <f t="shared" si="8"/>
        <v>108140</v>
      </c>
      <c r="S23" s="35">
        <f t="shared" si="9"/>
        <v>13517.5</v>
      </c>
      <c r="T23" s="52">
        <f t="shared" si="26"/>
        <v>8</v>
      </c>
      <c r="U23" s="38">
        <f t="shared" si="26"/>
        <v>89100</v>
      </c>
      <c r="V23" s="38">
        <f t="shared" si="11"/>
        <v>19040</v>
      </c>
      <c r="W23" s="41">
        <f t="shared" si="12"/>
        <v>108140</v>
      </c>
      <c r="X23" s="46"/>
      <c r="Y23" s="42"/>
      <c r="Z23" s="43"/>
      <c r="AA23" s="31"/>
      <c r="AB23" s="32" t="e">
        <f t="shared" si="13"/>
        <v>#DIV/0!</v>
      </c>
      <c r="AC23" s="31"/>
      <c r="AD23" s="33" t="e">
        <f t="shared" si="14"/>
        <v>#DIV/0!</v>
      </c>
      <c r="AE23" s="44">
        <f t="shared" si="15"/>
        <v>0</v>
      </c>
      <c r="AF23" s="35" t="str">
        <f t="shared" si="16"/>
        <v/>
      </c>
      <c r="AG23" s="52">
        <f t="shared" si="17"/>
        <v>8</v>
      </c>
      <c r="AH23" s="46">
        <f t="shared" si="18"/>
        <v>89100</v>
      </c>
      <c r="AI23" s="46">
        <f t="shared" si="19"/>
        <v>19040</v>
      </c>
      <c r="AJ23" s="45">
        <f t="shared" si="20"/>
        <v>108140</v>
      </c>
      <c r="AK23" s="38">
        <f t="shared" si="21"/>
        <v>7700</v>
      </c>
      <c r="AL23" s="46">
        <v>8</v>
      </c>
      <c r="AM23" s="46">
        <v>89100</v>
      </c>
      <c r="AN23" s="46">
        <v>19040</v>
      </c>
      <c r="AO23" s="47">
        <v>7700</v>
      </c>
      <c r="AP23" s="47"/>
      <c r="AQ23" s="47"/>
      <c r="AR23" s="47"/>
      <c r="AS23" s="48">
        <f t="shared" si="22"/>
        <v>115840</v>
      </c>
      <c r="AT23" s="26">
        <v>19</v>
      </c>
      <c r="AU23" s="49">
        <f t="shared" si="24"/>
        <v>115840</v>
      </c>
      <c r="AV23" s="26"/>
    </row>
    <row r="24" spans="1:48" ht="15.75" customHeight="1">
      <c r="A24" s="26"/>
      <c r="B24" s="143">
        <f t="shared" si="23"/>
        <v>45402</v>
      </c>
      <c r="C24" s="55" t="s">
        <v>62</v>
      </c>
      <c r="D24" s="29"/>
      <c r="E24" s="30"/>
      <c r="F24" s="31"/>
      <c r="G24" s="32" t="e">
        <f t="shared" si="0"/>
        <v>#DIV/0!</v>
      </c>
      <c r="H24" s="31"/>
      <c r="I24" s="32" t="e">
        <f t="shared" si="1"/>
        <v>#DIV/0!</v>
      </c>
      <c r="J24" s="34">
        <f t="shared" si="2"/>
        <v>0</v>
      </c>
      <c r="K24" s="35" t="str">
        <f t="shared" si="3"/>
        <v/>
      </c>
      <c r="L24" s="36"/>
      <c r="M24" s="37">
        <f t="shared" si="25"/>
        <v>30</v>
      </c>
      <c r="N24" s="38">
        <f t="shared" si="25"/>
        <v>273020</v>
      </c>
      <c r="O24" s="32">
        <f t="shared" si="5"/>
        <v>8273.3333333333339</v>
      </c>
      <c r="P24" s="38">
        <f t="shared" si="6"/>
        <v>58230</v>
      </c>
      <c r="Q24" s="56">
        <f t="shared" si="7"/>
        <v>1764.5333333333333</v>
      </c>
      <c r="R24" s="39">
        <f t="shared" si="8"/>
        <v>331250</v>
      </c>
      <c r="S24" s="35">
        <f t="shared" si="9"/>
        <v>11041.666666666666</v>
      </c>
      <c r="T24" s="52">
        <f t="shared" si="26"/>
        <v>30</v>
      </c>
      <c r="U24" s="38">
        <f t="shared" si="26"/>
        <v>273020</v>
      </c>
      <c r="V24" s="38">
        <f t="shared" si="11"/>
        <v>58230</v>
      </c>
      <c r="W24" s="41">
        <f t="shared" si="12"/>
        <v>331250</v>
      </c>
      <c r="X24" s="46"/>
      <c r="Y24" s="42"/>
      <c r="Z24" s="43"/>
      <c r="AA24" s="31"/>
      <c r="AB24" s="32" t="e">
        <f t="shared" si="13"/>
        <v>#DIV/0!</v>
      </c>
      <c r="AC24" s="31"/>
      <c r="AD24" s="33" t="e">
        <f t="shared" si="14"/>
        <v>#DIV/0!</v>
      </c>
      <c r="AE24" s="44">
        <f t="shared" si="15"/>
        <v>0</v>
      </c>
      <c r="AF24" s="35" t="str">
        <f t="shared" si="16"/>
        <v/>
      </c>
      <c r="AG24" s="52">
        <f t="shared" si="17"/>
        <v>30</v>
      </c>
      <c r="AH24" s="46">
        <f t="shared" si="18"/>
        <v>273020</v>
      </c>
      <c r="AI24" s="46">
        <f t="shared" si="19"/>
        <v>58230</v>
      </c>
      <c r="AJ24" s="45">
        <f t="shared" si="20"/>
        <v>331250</v>
      </c>
      <c r="AK24" s="38">
        <f t="shared" si="21"/>
        <v>14300</v>
      </c>
      <c r="AL24" s="46">
        <v>30</v>
      </c>
      <c r="AM24" s="46">
        <v>273020</v>
      </c>
      <c r="AN24" s="46">
        <v>58230</v>
      </c>
      <c r="AO24" s="47">
        <v>14300</v>
      </c>
      <c r="AP24" s="47"/>
      <c r="AQ24" s="47"/>
      <c r="AR24" s="47"/>
      <c r="AS24" s="48">
        <f t="shared" si="22"/>
        <v>345550</v>
      </c>
      <c r="AT24" s="26">
        <v>20</v>
      </c>
      <c r="AU24" s="49">
        <f t="shared" si="24"/>
        <v>345550</v>
      </c>
      <c r="AV24" s="26"/>
    </row>
    <row r="25" spans="1:48" ht="15.75" customHeight="1">
      <c r="A25" s="26"/>
      <c r="B25" s="54">
        <f t="shared" si="23"/>
        <v>45403</v>
      </c>
      <c r="C25" s="55" t="s">
        <v>62</v>
      </c>
      <c r="D25" s="29"/>
      <c r="E25" s="30"/>
      <c r="F25" s="31"/>
      <c r="G25" s="32" t="e">
        <f t="shared" si="0"/>
        <v>#DIV/0!</v>
      </c>
      <c r="H25" s="31"/>
      <c r="I25" s="32" t="e">
        <f t="shared" si="1"/>
        <v>#DIV/0!</v>
      </c>
      <c r="J25" s="34">
        <f t="shared" si="2"/>
        <v>0</v>
      </c>
      <c r="K25" s="35" t="str">
        <f t="shared" si="3"/>
        <v/>
      </c>
      <c r="L25" s="36"/>
      <c r="M25" s="37">
        <f t="shared" si="25"/>
        <v>26</v>
      </c>
      <c r="N25" s="38">
        <f t="shared" si="25"/>
        <v>265320</v>
      </c>
      <c r="O25" s="32">
        <f t="shared" si="5"/>
        <v>9276.9230769230762</v>
      </c>
      <c r="P25" s="38">
        <f t="shared" si="6"/>
        <v>31630</v>
      </c>
      <c r="Q25" s="56">
        <f t="shared" si="7"/>
        <v>1105.9230769230769</v>
      </c>
      <c r="R25" s="39">
        <f t="shared" si="8"/>
        <v>296950</v>
      </c>
      <c r="S25" s="35">
        <f t="shared" si="9"/>
        <v>11421.153846153846</v>
      </c>
      <c r="T25" s="52">
        <f t="shared" si="26"/>
        <v>26</v>
      </c>
      <c r="U25" s="38">
        <f t="shared" si="26"/>
        <v>265320</v>
      </c>
      <c r="V25" s="38">
        <f t="shared" si="11"/>
        <v>31630</v>
      </c>
      <c r="W25" s="41">
        <f t="shared" si="12"/>
        <v>296950</v>
      </c>
      <c r="X25" s="46"/>
      <c r="Y25" s="42"/>
      <c r="Z25" s="43"/>
      <c r="AA25" s="31"/>
      <c r="AB25" s="32" t="e">
        <f t="shared" si="13"/>
        <v>#DIV/0!</v>
      </c>
      <c r="AC25" s="31"/>
      <c r="AD25" s="33" t="e">
        <f t="shared" si="14"/>
        <v>#DIV/0!</v>
      </c>
      <c r="AE25" s="44">
        <f t="shared" si="15"/>
        <v>0</v>
      </c>
      <c r="AF25" s="35" t="str">
        <f t="shared" si="16"/>
        <v/>
      </c>
      <c r="AG25" s="52">
        <f t="shared" si="17"/>
        <v>26</v>
      </c>
      <c r="AH25" s="46">
        <f t="shared" si="18"/>
        <v>265320</v>
      </c>
      <c r="AI25" s="46">
        <f t="shared" si="19"/>
        <v>31630</v>
      </c>
      <c r="AJ25" s="45">
        <f t="shared" si="20"/>
        <v>296950</v>
      </c>
      <c r="AK25" s="38">
        <f t="shared" si="21"/>
        <v>5960</v>
      </c>
      <c r="AL25" s="46">
        <v>26</v>
      </c>
      <c r="AM25" s="46">
        <v>265320</v>
      </c>
      <c r="AN25" s="46">
        <v>31630</v>
      </c>
      <c r="AO25" s="47">
        <v>4400</v>
      </c>
      <c r="AP25" s="47">
        <v>1560</v>
      </c>
      <c r="AQ25" s="47"/>
      <c r="AR25" s="47"/>
      <c r="AS25" s="48">
        <f t="shared" si="22"/>
        <v>302910</v>
      </c>
      <c r="AT25" s="26">
        <v>21</v>
      </c>
      <c r="AU25" s="49">
        <f t="shared" si="24"/>
        <v>302910</v>
      </c>
      <c r="AV25" s="26"/>
    </row>
    <row r="26" spans="1:48" ht="15.75" customHeight="1">
      <c r="A26" s="26"/>
      <c r="B26" s="144">
        <f t="shared" si="23"/>
        <v>45404</v>
      </c>
      <c r="C26" s="55" t="s">
        <v>62</v>
      </c>
      <c r="D26" s="29"/>
      <c r="E26" s="30"/>
      <c r="F26" s="31"/>
      <c r="G26" s="32" t="e">
        <f t="shared" si="0"/>
        <v>#DIV/0!</v>
      </c>
      <c r="H26" s="31"/>
      <c r="I26" s="32" t="e">
        <f t="shared" si="1"/>
        <v>#DIV/0!</v>
      </c>
      <c r="J26" s="34">
        <f t="shared" si="2"/>
        <v>0</v>
      </c>
      <c r="K26" s="35" t="str">
        <f t="shared" si="3"/>
        <v/>
      </c>
      <c r="L26" s="36"/>
      <c r="M26" s="37">
        <f t="shared" si="25"/>
        <v>10</v>
      </c>
      <c r="N26" s="38">
        <f t="shared" si="25"/>
        <v>97020</v>
      </c>
      <c r="O26" s="32">
        <f t="shared" si="5"/>
        <v>8820</v>
      </c>
      <c r="P26" s="38">
        <f t="shared" si="6"/>
        <v>21910</v>
      </c>
      <c r="Q26" s="56">
        <f t="shared" si="7"/>
        <v>1991.8</v>
      </c>
      <c r="R26" s="39">
        <f t="shared" si="8"/>
        <v>118930</v>
      </c>
      <c r="S26" s="35">
        <f t="shared" si="9"/>
        <v>11893</v>
      </c>
      <c r="T26" s="52">
        <f t="shared" si="26"/>
        <v>10</v>
      </c>
      <c r="U26" s="38">
        <f t="shared" si="26"/>
        <v>97020</v>
      </c>
      <c r="V26" s="38">
        <f t="shared" si="11"/>
        <v>21910</v>
      </c>
      <c r="W26" s="41">
        <f t="shared" si="12"/>
        <v>118930</v>
      </c>
      <c r="X26" s="46"/>
      <c r="Y26" s="42"/>
      <c r="Z26" s="43"/>
      <c r="AA26" s="31"/>
      <c r="AB26" s="32" t="e">
        <f t="shared" si="13"/>
        <v>#DIV/0!</v>
      </c>
      <c r="AC26" s="31"/>
      <c r="AD26" s="33" t="e">
        <f t="shared" si="14"/>
        <v>#DIV/0!</v>
      </c>
      <c r="AE26" s="44">
        <f t="shared" si="15"/>
        <v>0</v>
      </c>
      <c r="AF26" s="35" t="str">
        <f t="shared" si="16"/>
        <v/>
      </c>
      <c r="AG26" s="52">
        <f t="shared" si="17"/>
        <v>10</v>
      </c>
      <c r="AH26" s="46">
        <f t="shared" si="18"/>
        <v>97020</v>
      </c>
      <c r="AI26" s="46">
        <f t="shared" si="19"/>
        <v>21910</v>
      </c>
      <c r="AJ26" s="45">
        <f t="shared" si="20"/>
        <v>118930</v>
      </c>
      <c r="AK26" s="38">
        <f t="shared" si="21"/>
        <v>16410</v>
      </c>
      <c r="AL26" s="46">
        <v>10</v>
      </c>
      <c r="AM26" s="46">
        <v>97020</v>
      </c>
      <c r="AN26" s="46">
        <v>21910</v>
      </c>
      <c r="AO26" s="47">
        <v>9900</v>
      </c>
      <c r="AP26" s="47">
        <v>3210</v>
      </c>
      <c r="AQ26" s="47">
        <v>3300</v>
      </c>
      <c r="AR26" s="47"/>
      <c r="AS26" s="48">
        <f t="shared" si="22"/>
        <v>135340</v>
      </c>
      <c r="AT26" s="26">
        <v>22</v>
      </c>
      <c r="AU26" s="49">
        <f t="shared" si="24"/>
        <v>135340</v>
      </c>
      <c r="AV26" s="26"/>
    </row>
    <row r="27" spans="1:48" ht="15.75" customHeight="1">
      <c r="A27" s="26"/>
      <c r="B27" s="144">
        <f t="shared" si="23"/>
        <v>45405</v>
      </c>
      <c r="C27" s="55" t="s">
        <v>62</v>
      </c>
      <c r="D27" s="29"/>
      <c r="E27" s="30"/>
      <c r="F27" s="31"/>
      <c r="G27" s="32" t="e">
        <f t="shared" si="0"/>
        <v>#DIV/0!</v>
      </c>
      <c r="H27" s="31"/>
      <c r="I27" s="32" t="e">
        <f t="shared" si="1"/>
        <v>#DIV/0!</v>
      </c>
      <c r="J27" s="34">
        <f t="shared" si="2"/>
        <v>0</v>
      </c>
      <c r="K27" s="35" t="str">
        <f t="shared" si="3"/>
        <v/>
      </c>
      <c r="L27" s="36"/>
      <c r="M27" s="37">
        <f t="shared" si="25"/>
        <v>17</v>
      </c>
      <c r="N27" s="38">
        <f t="shared" si="25"/>
        <v>160680</v>
      </c>
      <c r="O27" s="32">
        <f t="shared" si="5"/>
        <v>8592.4705882352937</v>
      </c>
      <c r="P27" s="38">
        <f t="shared" si="6"/>
        <v>22580</v>
      </c>
      <c r="Q27" s="33">
        <f t="shared" si="7"/>
        <v>1207.4705882352941</v>
      </c>
      <c r="R27" s="39">
        <f t="shared" si="8"/>
        <v>183260</v>
      </c>
      <c r="S27" s="35">
        <f t="shared" si="9"/>
        <v>10780</v>
      </c>
      <c r="T27" s="52">
        <f t="shared" si="26"/>
        <v>17</v>
      </c>
      <c r="U27" s="38">
        <f t="shared" si="26"/>
        <v>160680</v>
      </c>
      <c r="V27" s="38">
        <f t="shared" si="11"/>
        <v>22580</v>
      </c>
      <c r="W27" s="41">
        <f t="shared" si="12"/>
        <v>183260</v>
      </c>
      <c r="X27" s="46"/>
      <c r="Y27" s="42"/>
      <c r="Z27" s="43"/>
      <c r="AA27" s="31"/>
      <c r="AB27" s="32" t="e">
        <f t="shared" si="13"/>
        <v>#DIV/0!</v>
      </c>
      <c r="AC27" s="31"/>
      <c r="AD27" s="33" t="e">
        <f t="shared" si="14"/>
        <v>#DIV/0!</v>
      </c>
      <c r="AE27" s="44">
        <f t="shared" si="15"/>
        <v>0</v>
      </c>
      <c r="AF27" s="35" t="str">
        <f t="shared" si="16"/>
        <v/>
      </c>
      <c r="AG27" s="52">
        <f t="shared" si="17"/>
        <v>17</v>
      </c>
      <c r="AH27" s="46">
        <f t="shared" si="18"/>
        <v>160680</v>
      </c>
      <c r="AI27" s="46">
        <f t="shared" si="19"/>
        <v>22580</v>
      </c>
      <c r="AJ27" s="45">
        <f t="shared" si="20"/>
        <v>183260</v>
      </c>
      <c r="AK27" s="38">
        <f t="shared" si="21"/>
        <v>14300</v>
      </c>
      <c r="AL27" s="46">
        <v>17</v>
      </c>
      <c r="AM27" s="46">
        <v>160680</v>
      </c>
      <c r="AN27" s="46">
        <v>22580</v>
      </c>
      <c r="AO27" s="47">
        <v>14300</v>
      </c>
      <c r="AP27" s="47"/>
      <c r="AQ27" s="47"/>
      <c r="AR27" s="47">
        <v>5500</v>
      </c>
      <c r="AS27" s="48">
        <f t="shared" si="22"/>
        <v>197560</v>
      </c>
      <c r="AT27" s="26">
        <v>23</v>
      </c>
      <c r="AU27" s="49">
        <f t="shared" si="24"/>
        <v>203060</v>
      </c>
      <c r="AV27" s="26"/>
    </row>
    <row r="28" spans="1:48" ht="15.75" customHeight="1">
      <c r="A28" s="26"/>
      <c r="B28" s="144">
        <f t="shared" si="23"/>
        <v>45406</v>
      </c>
      <c r="C28" s="55" t="s">
        <v>62</v>
      </c>
      <c r="D28" s="29"/>
      <c r="E28" s="30"/>
      <c r="F28" s="31"/>
      <c r="G28" s="32" t="e">
        <f t="shared" si="0"/>
        <v>#DIV/0!</v>
      </c>
      <c r="H28" s="31"/>
      <c r="I28" s="32" t="e">
        <f t="shared" si="1"/>
        <v>#DIV/0!</v>
      </c>
      <c r="J28" s="34">
        <f t="shared" si="2"/>
        <v>0</v>
      </c>
      <c r="K28" s="35" t="str">
        <f t="shared" si="3"/>
        <v/>
      </c>
      <c r="L28" s="36"/>
      <c r="M28" s="37">
        <f t="shared" si="25"/>
        <v>4</v>
      </c>
      <c r="N28" s="38">
        <f t="shared" si="25"/>
        <v>51370</v>
      </c>
      <c r="O28" s="32">
        <f t="shared" si="5"/>
        <v>11675</v>
      </c>
      <c r="P28" s="38">
        <f t="shared" si="6"/>
        <v>4090</v>
      </c>
      <c r="Q28" s="33">
        <f t="shared" si="7"/>
        <v>929.5</v>
      </c>
      <c r="R28" s="39">
        <f t="shared" si="8"/>
        <v>55460</v>
      </c>
      <c r="S28" s="35">
        <f t="shared" si="9"/>
        <v>13865</v>
      </c>
      <c r="T28" s="52">
        <f t="shared" si="26"/>
        <v>4</v>
      </c>
      <c r="U28" s="38">
        <f t="shared" si="26"/>
        <v>51370</v>
      </c>
      <c r="V28" s="38">
        <f t="shared" si="11"/>
        <v>4090</v>
      </c>
      <c r="W28" s="41">
        <f t="shared" si="12"/>
        <v>55460</v>
      </c>
      <c r="X28" s="46"/>
      <c r="Y28" s="42"/>
      <c r="Z28" s="43"/>
      <c r="AA28" s="31"/>
      <c r="AB28" s="32" t="e">
        <f t="shared" si="13"/>
        <v>#DIV/0!</v>
      </c>
      <c r="AC28" s="31"/>
      <c r="AD28" s="33" t="e">
        <f t="shared" si="14"/>
        <v>#DIV/0!</v>
      </c>
      <c r="AE28" s="44">
        <f t="shared" si="15"/>
        <v>0</v>
      </c>
      <c r="AF28" s="35" t="str">
        <f t="shared" si="16"/>
        <v/>
      </c>
      <c r="AG28" s="52">
        <f t="shared" si="17"/>
        <v>4</v>
      </c>
      <c r="AH28" s="46">
        <f t="shared" si="18"/>
        <v>51370</v>
      </c>
      <c r="AI28" s="46">
        <f t="shared" si="19"/>
        <v>4090</v>
      </c>
      <c r="AJ28" s="45">
        <f t="shared" si="20"/>
        <v>55460</v>
      </c>
      <c r="AK28" s="38">
        <f t="shared" si="21"/>
        <v>7810</v>
      </c>
      <c r="AL28" s="46">
        <v>4</v>
      </c>
      <c r="AM28" s="46">
        <v>51370</v>
      </c>
      <c r="AN28" s="46">
        <v>4090</v>
      </c>
      <c r="AO28" s="47">
        <v>6600</v>
      </c>
      <c r="AP28" s="47">
        <v>1210</v>
      </c>
      <c r="AQ28" s="47"/>
      <c r="AR28" s="47">
        <v>3300</v>
      </c>
      <c r="AS28" s="48">
        <f t="shared" si="22"/>
        <v>63270</v>
      </c>
      <c r="AT28" s="26">
        <v>24</v>
      </c>
      <c r="AU28" s="49">
        <f t="shared" si="24"/>
        <v>66570</v>
      </c>
      <c r="AV28" s="26"/>
    </row>
    <row r="29" spans="1:48" ht="15.75" customHeight="1">
      <c r="A29" s="26"/>
      <c r="B29" s="144">
        <f t="shared" si="23"/>
        <v>45407</v>
      </c>
      <c r="C29" s="55" t="s">
        <v>62</v>
      </c>
      <c r="D29" s="29"/>
      <c r="E29" s="30"/>
      <c r="F29" s="31"/>
      <c r="G29" s="32" t="e">
        <f t="shared" si="0"/>
        <v>#DIV/0!</v>
      </c>
      <c r="H29" s="31"/>
      <c r="I29" s="32" t="e">
        <f t="shared" si="1"/>
        <v>#DIV/0!</v>
      </c>
      <c r="J29" s="34">
        <f t="shared" si="2"/>
        <v>0</v>
      </c>
      <c r="K29" s="35" t="str">
        <f t="shared" si="3"/>
        <v/>
      </c>
      <c r="L29" s="36"/>
      <c r="M29" s="37">
        <f t="shared" si="25"/>
        <v>4</v>
      </c>
      <c r="N29" s="38">
        <f t="shared" si="25"/>
        <v>38170</v>
      </c>
      <c r="O29" s="32">
        <f t="shared" si="5"/>
        <v>8675</v>
      </c>
      <c r="P29" s="38">
        <f t="shared" si="6"/>
        <v>10500</v>
      </c>
      <c r="Q29" s="33">
        <f t="shared" si="7"/>
        <v>2386.25</v>
      </c>
      <c r="R29" s="39">
        <f t="shared" si="8"/>
        <v>48670</v>
      </c>
      <c r="S29" s="35">
        <f t="shared" si="9"/>
        <v>12167.5</v>
      </c>
      <c r="T29" s="52">
        <f t="shared" si="26"/>
        <v>4</v>
      </c>
      <c r="U29" s="38">
        <f t="shared" si="26"/>
        <v>38170</v>
      </c>
      <c r="V29" s="38">
        <f t="shared" si="11"/>
        <v>10500</v>
      </c>
      <c r="W29" s="41">
        <f t="shared" si="12"/>
        <v>48670</v>
      </c>
      <c r="X29" s="46"/>
      <c r="Y29" s="42"/>
      <c r="Z29" s="43"/>
      <c r="AA29" s="31"/>
      <c r="AB29" s="32" t="e">
        <f t="shared" si="13"/>
        <v>#DIV/0!</v>
      </c>
      <c r="AC29" s="31"/>
      <c r="AD29" s="33" t="e">
        <f t="shared" si="14"/>
        <v>#DIV/0!</v>
      </c>
      <c r="AE29" s="44">
        <f t="shared" si="15"/>
        <v>0</v>
      </c>
      <c r="AF29" s="35" t="str">
        <f t="shared" si="16"/>
        <v/>
      </c>
      <c r="AG29" s="52">
        <f t="shared" si="17"/>
        <v>4</v>
      </c>
      <c r="AH29" s="46">
        <f t="shared" si="18"/>
        <v>38170</v>
      </c>
      <c r="AI29" s="46">
        <f t="shared" si="19"/>
        <v>10500</v>
      </c>
      <c r="AJ29" s="45">
        <f t="shared" si="20"/>
        <v>48670</v>
      </c>
      <c r="AK29" s="38">
        <f t="shared" si="21"/>
        <v>2200</v>
      </c>
      <c r="AL29" s="46">
        <v>4</v>
      </c>
      <c r="AM29" s="46">
        <v>38170</v>
      </c>
      <c r="AN29" s="46">
        <v>10500</v>
      </c>
      <c r="AO29" s="47">
        <v>2200</v>
      </c>
      <c r="AP29" s="47"/>
      <c r="AQ29" s="47"/>
      <c r="AR29" s="47"/>
      <c r="AS29" s="48">
        <f t="shared" si="22"/>
        <v>50870</v>
      </c>
      <c r="AT29" s="26">
        <v>25</v>
      </c>
      <c r="AU29" s="49">
        <f t="shared" si="24"/>
        <v>50870</v>
      </c>
      <c r="AV29" s="26"/>
    </row>
    <row r="30" spans="1:48" ht="15.75" customHeight="1">
      <c r="A30" s="26"/>
      <c r="B30" s="144">
        <f t="shared" si="23"/>
        <v>45408</v>
      </c>
      <c r="C30" s="51" t="s">
        <v>63</v>
      </c>
      <c r="D30" s="29"/>
      <c r="E30" s="30"/>
      <c r="F30" s="31"/>
      <c r="G30" s="32" t="e">
        <f t="shared" si="0"/>
        <v>#DIV/0!</v>
      </c>
      <c r="H30" s="31"/>
      <c r="I30" s="32" t="e">
        <f t="shared" si="1"/>
        <v>#DIV/0!</v>
      </c>
      <c r="J30" s="34">
        <f t="shared" si="2"/>
        <v>0</v>
      </c>
      <c r="K30" s="35" t="str">
        <f t="shared" si="3"/>
        <v/>
      </c>
      <c r="L30" s="36"/>
      <c r="M30" s="37">
        <f t="shared" si="25"/>
        <v>34</v>
      </c>
      <c r="N30" s="38">
        <f t="shared" si="25"/>
        <v>296010</v>
      </c>
      <c r="O30" s="32">
        <f t="shared" si="5"/>
        <v>7914.7058823529414</v>
      </c>
      <c r="P30" s="38">
        <f t="shared" si="6"/>
        <v>64410</v>
      </c>
      <c r="Q30" s="32">
        <f>ROUNDDOWN(P30/1.1,0)/M30</f>
        <v>1722.1764705882354</v>
      </c>
      <c r="R30" s="39">
        <f t="shared" si="8"/>
        <v>360420</v>
      </c>
      <c r="S30" s="35">
        <f t="shared" si="9"/>
        <v>10600.588235294117</v>
      </c>
      <c r="T30" s="52">
        <f t="shared" si="26"/>
        <v>34</v>
      </c>
      <c r="U30" s="38">
        <f t="shared" si="26"/>
        <v>296010</v>
      </c>
      <c r="V30" s="38">
        <f t="shared" si="11"/>
        <v>64410</v>
      </c>
      <c r="W30" s="41">
        <f t="shared" si="12"/>
        <v>360420</v>
      </c>
      <c r="X30" s="46"/>
      <c r="Y30" s="42"/>
      <c r="Z30" s="43">
        <v>92</v>
      </c>
      <c r="AA30" s="31">
        <v>60910</v>
      </c>
      <c r="AB30" s="32">
        <f t="shared" si="13"/>
        <v>662.06521739130437</v>
      </c>
      <c r="AC30" s="31">
        <v>13950</v>
      </c>
      <c r="AD30" s="33">
        <f t="shared" si="14"/>
        <v>151.63043478260869</v>
      </c>
      <c r="AE30" s="44">
        <f t="shared" si="15"/>
        <v>74860</v>
      </c>
      <c r="AF30" s="35">
        <f t="shared" si="16"/>
        <v>813.695652173913</v>
      </c>
      <c r="AG30" s="52">
        <f t="shared" si="17"/>
        <v>34</v>
      </c>
      <c r="AH30" s="46">
        <f t="shared" si="18"/>
        <v>356920</v>
      </c>
      <c r="AI30" s="46">
        <f t="shared" si="19"/>
        <v>78360</v>
      </c>
      <c r="AJ30" s="45">
        <f t="shared" si="20"/>
        <v>435280</v>
      </c>
      <c r="AK30" s="38">
        <f t="shared" si="21"/>
        <v>27960</v>
      </c>
      <c r="AL30" s="46">
        <v>34</v>
      </c>
      <c r="AM30" s="46">
        <v>296010</v>
      </c>
      <c r="AN30" s="46">
        <v>64410</v>
      </c>
      <c r="AO30" s="47">
        <v>26400</v>
      </c>
      <c r="AP30" s="47">
        <v>1560</v>
      </c>
      <c r="AQ30" s="47"/>
      <c r="AR30" s="47"/>
      <c r="AS30" s="48">
        <f t="shared" si="22"/>
        <v>388380</v>
      </c>
      <c r="AT30" s="26">
        <v>26</v>
      </c>
      <c r="AU30" s="49">
        <f t="shared" si="24"/>
        <v>388380</v>
      </c>
      <c r="AV30" s="26"/>
    </row>
    <row r="31" spans="1:48" ht="15.75" customHeight="1">
      <c r="A31" s="26"/>
      <c r="B31" s="143">
        <f t="shared" si="23"/>
        <v>45409</v>
      </c>
      <c r="C31" s="51" t="s">
        <v>63</v>
      </c>
      <c r="D31" s="29"/>
      <c r="E31" s="30">
        <v>27</v>
      </c>
      <c r="F31" s="31">
        <v>93214</v>
      </c>
      <c r="G31" s="32">
        <f t="shared" si="0"/>
        <v>3138.5185185185187</v>
      </c>
      <c r="H31" s="31">
        <v>18810</v>
      </c>
      <c r="I31" s="32">
        <f t="shared" si="1"/>
        <v>633.33333333333337</v>
      </c>
      <c r="J31" s="34">
        <f t="shared" si="2"/>
        <v>112024</v>
      </c>
      <c r="K31" s="35">
        <f t="shared" si="3"/>
        <v>4149.0370370370374</v>
      </c>
      <c r="L31" s="36"/>
      <c r="M31" s="37">
        <f t="shared" si="25"/>
        <v>38</v>
      </c>
      <c r="N31" s="38">
        <f t="shared" si="25"/>
        <v>357170</v>
      </c>
      <c r="O31" s="32">
        <f t="shared" si="5"/>
        <v>8544.7368421052633</v>
      </c>
      <c r="P31" s="38">
        <f t="shared" si="6"/>
        <v>49270</v>
      </c>
      <c r="Q31" s="32">
        <f t="shared" si="7"/>
        <v>1178.6842105263158</v>
      </c>
      <c r="R31" s="39">
        <f t="shared" si="8"/>
        <v>406440</v>
      </c>
      <c r="S31" s="35">
        <f t="shared" si="9"/>
        <v>10695.78947368421</v>
      </c>
      <c r="T31" s="52">
        <f t="shared" si="26"/>
        <v>65</v>
      </c>
      <c r="U31" s="38">
        <f t="shared" si="26"/>
        <v>450384</v>
      </c>
      <c r="V31" s="38">
        <f t="shared" si="11"/>
        <v>68080</v>
      </c>
      <c r="W31" s="41">
        <f t="shared" si="12"/>
        <v>518464</v>
      </c>
      <c r="X31" s="46"/>
      <c r="Y31" s="42"/>
      <c r="Z31" s="43">
        <v>149</v>
      </c>
      <c r="AA31" s="31">
        <v>107110</v>
      </c>
      <c r="AB31" s="32">
        <f t="shared" si="13"/>
        <v>718.85906040268458</v>
      </c>
      <c r="AC31" s="31">
        <v>28200</v>
      </c>
      <c r="AD31" s="33">
        <f t="shared" si="14"/>
        <v>189.26174496644296</v>
      </c>
      <c r="AE31" s="44">
        <f t="shared" si="15"/>
        <v>135310</v>
      </c>
      <c r="AF31" s="35">
        <f t="shared" si="16"/>
        <v>908.12080536912754</v>
      </c>
      <c r="AG31" s="52">
        <f t="shared" si="17"/>
        <v>65</v>
      </c>
      <c r="AH31" s="46">
        <f t="shared" si="18"/>
        <v>557494</v>
      </c>
      <c r="AI31" s="46">
        <f t="shared" si="19"/>
        <v>96280</v>
      </c>
      <c r="AJ31" s="45">
        <f t="shared" si="20"/>
        <v>653774</v>
      </c>
      <c r="AK31" s="38">
        <f t="shared" si="21"/>
        <v>22550</v>
      </c>
      <c r="AL31" s="46">
        <v>65</v>
      </c>
      <c r="AM31" s="46">
        <v>450384</v>
      </c>
      <c r="AN31" s="46">
        <v>68080</v>
      </c>
      <c r="AO31" s="47">
        <v>22550</v>
      </c>
      <c r="AP31" s="47"/>
      <c r="AQ31" s="47"/>
      <c r="AR31" s="47">
        <v>6600</v>
      </c>
      <c r="AS31" s="48">
        <f>SUM(AM31:AQ31)</f>
        <v>541014</v>
      </c>
      <c r="AT31" s="26">
        <v>27</v>
      </c>
      <c r="AU31" s="49">
        <f>AR31+AS31</f>
        <v>547614</v>
      </c>
      <c r="AV31" s="26"/>
    </row>
    <row r="32" spans="1:48" ht="15.75" customHeight="1">
      <c r="A32" s="26"/>
      <c r="B32" s="54">
        <f t="shared" si="23"/>
        <v>45410</v>
      </c>
      <c r="C32" s="51" t="s">
        <v>63</v>
      </c>
      <c r="D32" s="29"/>
      <c r="E32" s="30">
        <v>18</v>
      </c>
      <c r="F32" s="31">
        <v>56562</v>
      </c>
      <c r="G32" s="32">
        <f t="shared" si="0"/>
        <v>2856.6666666666665</v>
      </c>
      <c r="H32" s="31">
        <v>10500</v>
      </c>
      <c r="I32" s="32">
        <f t="shared" si="1"/>
        <v>530.27777777777783</v>
      </c>
      <c r="J32" s="34">
        <f t="shared" si="2"/>
        <v>67062</v>
      </c>
      <c r="K32" s="35">
        <f t="shared" si="3"/>
        <v>3725.6666666666665</v>
      </c>
      <c r="L32" s="36"/>
      <c r="M32" s="37">
        <f t="shared" si="25"/>
        <v>40</v>
      </c>
      <c r="N32" s="38">
        <f t="shared" si="25"/>
        <v>410960</v>
      </c>
      <c r="O32" s="32">
        <f t="shared" si="5"/>
        <v>9340</v>
      </c>
      <c r="P32" s="38">
        <f t="shared" si="6"/>
        <v>95050</v>
      </c>
      <c r="Q32" s="32">
        <f t="shared" si="7"/>
        <v>2160.2249999999999</v>
      </c>
      <c r="R32" s="39">
        <f t="shared" si="8"/>
        <v>506010</v>
      </c>
      <c r="S32" s="35">
        <f t="shared" si="9"/>
        <v>12650.25</v>
      </c>
      <c r="T32" s="52">
        <f t="shared" si="26"/>
        <v>58</v>
      </c>
      <c r="U32" s="38">
        <f t="shared" si="26"/>
        <v>467522</v>
      </c>
      <c r="V32" s="38">
        <f t="shared" si="11"/>
        <v>105550</v>
      </c>
      <c r="W32" s="41">
        <f t="shared" si="12"/>
        <v>573072</v>
      </c>
      <c r="X32" s="46"/>
      <c r="Y32" s="42"/>
      <c r="Z32" s="43">
        <v>136</v>
      </c>
      <c r="AA32" s="31">
        <v>91280</v>
      </c>
      <c r="AB32" s="32">
        <f t="shared" si="13"/>
        <v>671.17647058823525</v>
      </c>
      <c r="AC32" s="31">
        <v>40450</v>
      </c>
      <c r="AD32" s="33">
        <f t="shared" si="14"/>
        <v>297.4264705882353</v>
      </c>
      <c r="AE32" s="44">
        <f t="shared" si="15"/>
        <v>131730</v>
      </c>
      <c r="AF32" s="35">
        <f t="shared" si="16"/>
        <v>968.60294117647061</v>
      </c>
      <c r="AG32" s="52">
        <f t="shared" si="17"/>
        <v>58</v>
      </c>
      <c r="AH32" s="46">
        <f t="shared" si="18"/>
        <v>558802</v>
      </c>
      <c r="AI32" s="46">
        <f t="shared" si="19"/>
        <v>146000</v>
      </c>
      <c r="AJ32" s="45">
        <f t="shared" si="20"/>
        <v>704802</v>
      </c>
      <c r="AK32" s="38">
        <f t="shared" si="21"/>
        <v>21360</v>
      </c>
      <c r="AL32" s="46">
        <v>58</v>
      </c>
      <c r="AM32" s="46">
        <v>467522</v>
      </c>
      <c r="AN32" s="46">
        <v>105550</v>
      </c>
      <c r="AO32" s="47">
        <v>19800</v>
      </c>
      <c r="AP32" s="47">
        <v>1560</v>
      </c>
      <c r="AQ32" s="47"/>
      <c r="AR32" s="47"/>
      <c r="AS32" s="48">
        <f t="shared" si="22"/>
        <v>594432</v>
      </c>
      <c r="AT32" s="26">
        <v>28</v>
      </c>
      <c r="AU32" s="49">
        <f t="shared" si="24"/>
        <v>594432</v>
      </c>
      <c r="AV32" s="26"/>
    </row>
    <row r="33" spans="1:48" ht="15.75" customHeight="1">
      <c r="A33" s="26"/>
      <c r="B33" s="54">
        <f>B32+1</f>
        <v>45411</v>
      </c>
      <c r="C33" s="51" t="s">
        <v>63</v>
      </c>
      <c r="D33" s="29"/>
      <c r="E33" s="30">
        <v>18</v>
      </c>
      <c r="F33" s="31">
        <v>116050</v>
      </c>
      <c r="G33" s="32">
        <f t="shared" si="0"/>
        <v>5861.1111111111113</v>
      </c>
      <c r="H33" s="31">
        <v>18030</v>
      </c>
      <c r="I33" s="32">
        <f t="shared" si="1"/>
        <v>910.55555555555554</v>
      </c>
      <c r="J33" s="34">
        <f t="shared" si="2"/>
        <v>134080</v>
      </c>
      <c r="K33" s="35">
        <f t="shared" si="3"/>
        <v>7448.8888888888887</v>
      </c>
      <c r="L33" s="36"/>
      <c r="M33" s="37">
        <f t="shared" si="25"/>
        <v>40</v>
      </c>
      <c r="N33" s="38">
        <f t="shared" si="25"/>
        <v>335610</v>
      </c>
      <c r="O33" s="32">
        <f t="shared" si="5"/>
        <v>7627.5</v>
      </c>
      <c r="P33" s="38">
        <f t="shared" si="6"/>
        <v>56760</v>
      </c>
      <c r="Q33" s="32">
        <f t="shared" si="7"/>
        <v>1290</v>
      </c>
      <c r="R33" s="39">
        <f t="shared" si="8"/>
        <v>392370</v>
      </c>
      <c r="S33" s="35">
        <f t="shared" si="9"/>
        <v>9809.25</v>
      </c>
      <c r="T33" s="52">
        <f t="shared" si="26"/>
        <v>58</v>
      </c>
      <c r="U33" s="38">
        <f t="shared" si="26"/>
        <v>451660</v>
      </c>
      <c r="V33" s="38">
        <f t="shared" si="11"/>
        <v>74790</v>
      </c>
      <c r="W33" s="41">
        <f t="shared" si="12"/>
        <v>526450</v>
      </c>
      <c r="X33" s="46"/>
      <c r="Y33" s="42"/>
      <c r="Z33" s="43">
        <v>192</v>
      </c>
      <c r="AA33" s="31">
        <v>117750</v>
      </c>
      <c r="AB33" s="32">
        <f t="shared" si="13"/>
        <v>613.28125</v>
      </c>
      <c r="AC33" s="31">
        <v>47500</v>
      </c>
      <c r="AD33" s="33">
        <f t="shared" si="14"/>
        <v>247.39583333333334</v>
      </c>
      <c r="AE33" s="44">
        <f t="shared" si="15"/>
        <v>165250</v>
      </c>
      <c r="AF33" s="35">
        <f t="shared" si="16"/>
        <v>860.67708333333337</v>
      </c>
      <c r="AG33" s="52">
        <f t="shared" si="17"/>
        <v>58</v>
      </c>
      <c r="AH33" s="46">
        <f t="shared" si="18"/>
        <v>569410</v>
      </c>
      <c r="AI33" s="46">
        <f t="shared" si="19"/>
        <v>122290</v>
      </c>
      <c r="AJ33" s="45">
        <f t="shared" si="20"/>
        <v>691700</v>
      </c>
      <c r="AK33" s="38">
        <f t="shared" si="21"/>
        <v>28070</v>
      </c>
      <c r="AL33" s="46">
        <v>58</v>
      </c>
      <c r="AM33" s="46">
        <v>451660</v>
      </c>
      <c r="AN33" s="46">
        <v>74790</v>
      </c>
      <c r="AO33" s="47">
        <v>25300</v>
      </c>
      <c r="AP33" s="47">
        <v>2770</v>
      </c>
      <c r="AQ33" s="47"/>
      <c r="AR33" s="47"/>
      <c r="AS33" s="48">
        <f t="shared" si="22"/>
        <v>554520</v>
      </c>
      <c r="AT33" s="26">
        <v>29</v>
      </c>
      <c r="AU33" s="49">
        <f t="shared" si="24"/>
        <v>554520</v>
      </c>
      <c r="AV33" s="26"/>
    </row>
    <row r="34" spans="1:48" ht="15.75" customHeight="1">
      <c r="A34" s="26"/>
      <c r="B34" s="144">
        <f t="shared" si="23"/>
        <v>45412</v>
      </c>
      <c r="C34" s="51" t="s">
        <v>63</v>
      </c>
      <c r="D34" s="29"/>
      <c r="E34" s="30"/>
      <c r="F34" s="31"/>
      <c r="G34" s="32" t="e">
        <f t="shared" si="0"/>
        <v>#DIV/0!</v>
      </c>
      <c r="H34" s="31"/>
      <c r="I34" s="32" t="e">
        <f t="shared" si="1"/>
        <v>#DIV/0!</v>
      </c>
      <c r="J34" s="34">
        <f t="shared" si="2"/>
        <v>0</v>
      </c>
      <c r="K34" s="35" t="str">
        <f t="shared" si="3"/>
        <v/>
      </c>
      <c r="L34" s="36"/>
      <c r="M34" s="37">
        <f t="shared" si="25"/>
        <v>33</v>
      </c>
      <c r="N34" s="38">
        <f t="shared" si="25"/>
        <v>291060</v>
      </c>
      <c r="O34" s="32">
        <f t="shared" si="5"/>
        <v>8018.181818181818</v>
      </c>
      <c r="P34" s="38">
        <f t="shared" si="6"/>
        <v>50140</v>
      </c>
      <c r="Q34" s="32">
        <f t="shared" si="7"/>
        <v>1381.2424242424242</v>
      </c>
      <c r="R34" s="39">
        <f t="shared" si="8"/>
        <v>341200</v>
      </c>
      <c r="S34" s="35">
        <f t="shared" si="9"/>
        <v>10339.39393939394</v>
      </c>
      <c r="T34" s="52">
        <f t="shared" si="26"/>
        <v>33</v>
      </c>
      <c r="U34" s="38">
        <f t="shared" si="26"/>
        <v>291060</v>
      </c>
      <c r="V34" s="38">
        <f t="shared" si="11"/>
        <v>50140</v>
      </c>
      <c r="W34" s="41">
        <f t="shared" si="12"/>
        <v>341200</v>
      </c>
      <c r="X34" s="46"/>
      <c r="Y34" s="57"/>
      <c r="Z34" s="58">
        <v>30</v>
      </c>
      <c r="AA34" s="59">
        <v>16540</v>
      </c>
      <c r="AB34" s="32">
        <f t="shared" si="13"/>
        <v>551.33333333333337</v>
      </c>
      <c r="AC34" s="59">
        <v>9050</v>
      </c>
      <c r="AD34" s="33">
        <f t="shared" si="14"/>
        <v>301.66666666666669</v>
      </c>
      <c r="AE34" s="44">
        <f t="shared" si="15"/>
        <v>25590</v>
      </c>
      <c r="AF34" s="35">
        <f t="shared" si="16"/>
        <v>853</v>
      </c>
      <c r="AG34" s="52">
        <f t="shared" si="17"/>
        <v>33</v>
      </c>
      <c r="AH34" s="46">
        <f t="shared" si="18"/>
        <v>307600</v>
      </c>
      <c r="AI34" s="46">
        <f t="shared" si="19"/>
        <v>59190</v>
      </c>
      <c r="AJ34" s="45">
        <f t="shared" si="20"/>
        <v>366790</v>
      </c>
      <c r="AK34" s="38">
        <f t="shared" si="21"/>
        <v>23100</v>
      </c>
      <c r="AL34" s="46">
        <v>33</v>
      </c>
      <c r="AM34" s="46">
        <v>291060</v>
      </c>
      <c r="AN34" s="46">
        <v>50140</v>
      </c>
      <c r="AO34" s="47">
        <v>19800</v>
      </c>
      <c r="AP34" s="47">
        <v>3300</v>
      </c>
      <c r="AQ34" s="47"/>
      <c r="AR34" s="47"/>
      <c r="AS34" s="48">
        <f t="shared" si="22"/>
        <v>364300</v>
      </c>
      <c r="AT34" s="26">
        <v>30</v>
      </c>
      <c r="AU34" s="49">
        <f t="shared" si="24"/>
        <v>364300</v>
      </c>
      <c r="AV34" s="26"/>
    </row>
    <row r="35" spans="1:48" ht="15.75" customHeight="1" thickBot="1">
      <c r="A35" s="26"/>
      <c r="B35" s="144"/>
      <c r="C35" s="51"/>
      <c r="D35" s="29"/>
      <c r="E35" s="30"/>
      <c r="F35" s="31"/>
      <c r="G35" s="32"/>
      <c r="H35" s="31"/>
      <c r="I35" s="32"/>
      <c r="J35" s="34"/>
      <c r="K35" s="35"/>
      <c r="L35" s="36"/>
      <c r="M35" s="60"/>
      <c r="N35" s="38"/>
      <c r="O35" s="32"/>
      <c r="P35" s="38"/>
      <c r="Q35" s="32"/>
      <c r="R35" s="39"/>
      <c r="S35" s="35"/>
      <c r="T35" s="61"/>
      <c r="U35" s="62"/>
      <c r="V35" s="62"/>
      <c r="W35" s="63"/>
      <c r="X35" s="62"/>
      <c r="Y35" s="64"/>
      <c r="Z35" s="65"/>
      <c r="AA35" s="66"/>
      <c r="AB35" s="67"/>
      <c r="AC35" s="66"/>
      <c r="AD35" s="68"/>
      <c r="AE35" s="69"/>
      <c r="AF35" s="35"/>
      <c r="AG35" s="61"/>
      <c r="AH35" s="62"/>
      <c r="AI35" s="62"/>
      <c r="AJ35" s="45"/>
      <c r="AK35" s="38"/>
      <c r="AL35" s="46"/>
      <c r="AM35" s="46"/>
      <c r="AN35" s="46"/>
      <c r="AO35" s="47"/>
      <c r="AP35" s="47"/>
      <c r="AQ35" s="47"/>
      <c r="AR35" s="47"/>
      <c r="AS35" s="48"/>
      <c r="AT35" s="26"/>
      <c r="AU35" s="49"/>
      <c r="AV35" s="26"/>
    </row>
    <row r="36" spans="1:48" ht="15.75" customHeight="1" thickTop="1">
      <c r="A36" s="70"/>
      <c r="B36" s="71" t="s">
        <v>26</v>
      </c>
      <c r="C36" s="72">
        <f>SUM(C5:C35)</f>
        <v>0</v>
      </c>
      <c r="D36" s="73">
        <f>SUM(D5:D35)</f>
        <v>0</v>
      </c>
      <c r="E36" s="74">
        <f>SUM(E5:E35)</f>
        <v>63</v>
      </c>
      <c r="F36" s="75">
        <f>SUM(F5:F35)</f>
        <v>265826</v>
      </c>
      <c r="G36" s="76">
        <f>F36/E36</f>
        <v>4219.4603174603171</v>
      </c>
      <c r="H36" s="72">
        <f>SUM(H5:H35)</f>
        <v>47340</v>
      </c>
      <c r="I36" s="77">
        <f>H36/E36</f>
        <v>751.42857142857144</v>
      </c>
      <c r="J36" s="78">
        <f>SUM(J5:J35)</f>
        <v>313166</v>
      </c>
      <c r="K36" s="79">
        <f>J36/E36</f>
        <v>4970.8888888888887</v>
      </c>
      <c r="L36" s="80">
        <f>SUM(L5:L35)</f>
        <v>0</v>
      </c>
      <c r="M36" s="74">
        <f>SUM(M5:M35)</f>
        <v>284</v>
      </c>
      <c r="N36" s="75">
        <f>SUM(N5:N35)</f>
        <v>2665490</v>
      </c>
      <c r="O36" s="76">
        <f>N36/M36</f>
        <v>9385.5281690140837</v>
      </c>
      <c r="P36" s="81">
        <f>SUM(P5:P35)</f>
        <v>483610</v>
      </c>
      <c r="Q36" s="77">
        <f>P36/M36</f>
        <v>1702.8521126760563</v>
      </c>
      <c r="R36" s="82">
        <f>SUM(R5:R35)</f>
        <v>3149100</v>
      </c>
      <c r="S36" s="83">
        <f>R36/M36</f>
        <v>11088.380281690141</v>
      </c>
      <c r="T36" s="74">
        <f t="shared" ref="T36:AA36" si="27">SUM(T5:T35)</f>
        <v>347</v>
      </c>
      <c r="U36" s="81">
        <f t="shared" si="27"/>
        <v>2931316</v>
      </c>
      <c r="V36" s="81">
        <f t="shared" si="27"/>
        <v>530950</v>
      </c>
      <c r="W36" s="78">
        <f t="shared" si="27"/>
        <v>3462266</v>
      </c>
      <c r="X36" s="72">
        <f t="shared" si="27"/>
        <v>0</v>
      </c>
      <c r="Y36" s="73">
        <f t="shared" si="27"/>
        <v>0</v>
      </c>
      <c r="Z36" s="74">
        <f t="shared" si="27"/>
        <v>599</v>
      </c>
      <c r="AA36" s="76">
        <f t="shared" si="27"/>
        <v>393590</v>
      </c>
      <c r="AB36" s="76"/>
      <c r="AC36" s="72">
        <f>SUM(AC5:AC35)</f>
        <v>139150</v>
      </c>
      <c r="AD36" s="77"/>
      <c r="AE36" s="82">
        <f>SUM(AE5:AE35)</f>
        <v>532740</v>
      </c>
      <c r="AF36" s="84">
        <f>AE36/Z36</f>
        <v>889.38230383973291</v>
      </c>
      <c r="AG36" s="74">
        <f t="shared" ref="AG36:AS36" si="28">SUM(AG5:AG35)</f>
        <v>347</v>
      </c>
      <c r="AH36" s="81">
        <f t="shared" si="28"/>
        <v>3324906</v>
      </c>
      <c r="AI36" s="81">
        <f t="shared" si="28"/>
        <v>670100</v>
      </c>
      <c r="AJ36" s="82">
        <f t="shared" si="28"/>
        <v>3995006</v>
      </c>
      <c r="AK36" s="72">
        <f>SUM(AK5:AK35)</f>
        <v>191720</v>
      </c>
      <c r="AL36" s="85">
        <f t="shared" si="28"/>
        <v>347</v>
      </c>
      <c r="AM36" s="85">
        <f t="shared" si="28"/>
        <v>2931316</v>
      </c>
      <c r="AN36" s="85">
        <f t="shared" si="28"/>
        <v>530950</v>
      </c>
      <c r="AO36" s="85">
        <f t="shared" si="28"/>
        <v>173250</v>
      </c>
      <c r="AP36" s="85">
        <f t="shared" si="28"/>
        <v>15170</v>
      </c>
      <c r="AQ36" s="85">
        <f t="shared" si="28"/>
        <v>3300</v>
      </c>
      <c r="AR36" s="85">
        <f t="shared" si="28"/>
        <v>15400</v>
      </c>
      <c r="AS36" s="85">
        <f t="shared" si="28"/>
        <v>3653986</v>
      </c>
      <c r="AT36" s="70"/>
      <c r="AU36" s="86">
        <f>SUM(AU5:AU35)</f>
        <v>3669386</v>
      </c>
      <c r="AV36" s="70"/>
    </row>
    <row r="37" spans="1:48" ht="15.75" customHeight="1">
      <c r="A37" s="70"/>
      <c r="B37" s="70"/>
      <c r="C37" s="70"/>
      <c r="D37" s="70"/>
      <c r="E37" s="87" t="s">
        <v>36</v>
      </c>
      <c r="F37" s="88">
        <f>F36/1.1</f>
        <v>241659.99999999997</v>
      </c>
      <c r="G37" s="89">
        <f>F37/E36</f>
        <v>3835.8730158730154</v>
      </c>
      <c r="H37" s="47">
        <f>H36/1.1</f>
        <v>43036.363636363632</v>
      </c>
      <c r="I37" s="89">
        <f>H37/E36</f>
        <v>683.11688311688306</v>
      </c>
      <c r="J37" s="85">
        <f>J36/1.1</f>
        <v>284696.36363636359</v>
      </c>
      <c r="K37" s="90">
        <f>G37+I37</f>
        <v>4518.9898989898984</v>
      </c>
      <c r="L37" s="91"/>
      <c r="M37" s="87" t="s">
        <v>36</v>
      </c>
      <c r="N37" s="88">
        <f>N36/1.1</f>
        <v>2423172.7272727271</v>
      </c>
      <c r="O37" s="89">
        <f>N37/M36</f>
        <v>8532.2983354673488</v>
      </c>
      <c r="P37" s="47">
        <f>P36/1.1</f>
        <v>439645.45454545453</v>
      </c>
      <c r="Q37" s="89">
        <f>P37/M36</f>
        <v>1548.0473751600512</v>
      </c>
      <c r="R37" s="89">
        <f>R36/1.1</f>
        <v>2862818.1818181816</v>
      </c>
      <c r="S37" s="92">
        <f>R37/M36</f>
        <v>10080.3457106274</v>
      </c>
      <c r="T37" s="87" t="s">
        <v>36</v>
      </c>
      <c r="U37" s="88">
        <f>U36/1.1</f>
        <v>2664832.7272727271</v>
      </c>
      <c r="V37" s="88">
        <f>V36/1.1</f>
        <v>482681.81818181812</v>
      </c>
      <c r="W37" s="85">
        <f>W36/1.1</f>
        <v>3147514.5454545454</v>
      </c>
      <c r="X37" s="93"/>
      <c r="Y37" s="91"/>
      <c r="Z37" s="87" t="s">
        <v>36</v>
      </c>
      <c r="AA37" s="88">
        <f>AA36/1.1</f>
        <v>357809.09090909088</v>
      </c>
      <c r="AB37" s="47">
        <f>AA37/Z36</f>
        <v>597.34405827894977</v>
      </c>
      <c r="AC37" s="47">
        <f>AC36/1.1</f>
        <v>126499.99999999999</v>
      </c>
      <c r="AD37" s="47">
        <f>AC37/Z36</f>
        <v>211.1853088480801</v>
      </c>
      <c r="AE37" s="89">
        <f>AE36/1.1</f>
        <v>484309.09090909088</v>
      </c>
      <c r="AF37" s="94">
        <f>AE37/Z36</f>
        <v>808.5293671270299</v>
      </c>
      <c r="AG37" s="87" t="s">
        <v>36</v>
      </c>
      <c r="AH37" s="88">
        <f>AH36/1.1</f>
        <v>3022641.8181818179</v>
      </c>
      <c r="AI37" s="88">
        <f>AI36/1.1</f>
        <v>609181.81818181812</v>
      </c>
      <c r="AJ37" s="89">
        <f>AJ36/1.1</f>
        <v>3631823.6363636362</v>
      </c>
      <c r="AK37" s="95">
        <f>AK36/1.1</f>
        <v>174290.90909090909</v>
      </c>
      <c r="AL37" s="70"/>
      <c r="AM37" s="70"/>
      <c r="AN37" s="70"/>
      <c r="AO37" s="70"/>
      <c r="AP37" s="96"/>
      <c r="AQ37" s="70"/>
      <c r="AR37" s="70"/>
      <c r="AS37" s="96"/>
      <c r="AT37" s="70"/>
      <c r="AU37" s="96"/>
      <c r="AV37" s="70"/>
    </row>
    <row r="38" spans="1:48" ht="15.75" customHeight="1">
      <c r="A38" s="26"/>
      <c r="B38" s="26"/>
      <c r="C38" s="26"/>
      <c r="D38" s="26"/>
      <c r="E38" s="97" t="s">
        <v>37</v>
      </c>
      <c r="F38" s="98">
        <f>E36/G38</f>
        <v>31.5</v>
      </c>
      <c r="G38" s="99">
        <v>2</v>
      </c>
      <c r="H38" s="100" t="s">
        <v>38</v>
      </c>
      <c r="I38" s="98"/>
      <c r="J38" s="101" t="s">
        <v>39</v>
      </c>
      <c r="K38" s="102">
        <f>J37/G38</f>
        <v>142348.18181818179</v>
      </c>
      <c r="L38" s="26"/>
      <c r="M38" s="97" t="s">
        <v>37</v>
      </c>
      <c r="N38" s="98">
        <f>M36/O38</f>
        <v>71</v>
      </c>
      <c r="O38" s="99">
        <v>4</v>
      </c>
      <c r="P38" s="100" t="s">
        <v>38</v>
      </c>
      <c r="Q38" s="98"/>
      <c r="R38" s="101" t="s">
        <v>39</v>
      </c>
      <c r="S38" s="103">
        <f>R37/O38</f>
        <v>715704.54545454541</v>
      </c>
      <c r="T38" s="26"/>
      <c r="U38" s="26"/>
      <c r="V38" s="26"/>
      <c r="W38" s="49"/>
      <c r="X38" s="49"/>
      <c r="Y38" s="26"/>
      <c r="Z38" s="26"/>
      <c r="AA38" s="104">
        <v>7</v>
      </c>
      <c r="AB38" s="100" t="s">
        <v>38</v>
      </c>
      <c r="AC38" s="98"/>
      <c r="AD38" s="98"/>
      <c r="AE38" s="98"/>
      <c r="AF38" s="102">
        <f>AE37/AA38</f>
        <v>69187.012987012989</v>
      </c>
      <c r="AG38" s="26"/>
      <c r="AH38" s="26"/>
      <c r="AI38" s="26"/>
      <c r="AJ38" s="49"/>
      <c r="AK38" s="49" t="e">
        <f>AJ37/AL37</f>
        <v>#DIV/0!</v>
      </c>
      <c r="AL38" s="105">
        <f>AG36+T36</f>
        <v>694</v>
      </c>
      <c r="AM38" s="26"/>
      <c r="AN38" s="26"/>
      <c r="AO38" s="26"/>
      <c r="AP38" s="49"/>
      <c r="AQ38" s="26"/>
      <c r="AR38" s="26"/>
      <c r="AS38" s="49"/>
      <c r="AT38" s="26"/>
      <c r="AU38" s="49"/>
      <c r="AV38" s="26"/>
    </row>
    <row r="39" spans="1:48" ht="15.75" customHeight="1">
      <c r="A39" s="26"/>
      <c r="B39" s="26"/>
      <c r="C39" s="26"/>
      <c r="D39" s="106" t="s">
        <v>40</v>
      </c>
      <c r="E39" s="107"/>
      <c r="F39" s="98"/>
      <c r="G39" s="108"/>
      <c r="H39" s="98"/>
      <c r="I39" s="98"/>
      <c r="J39" s="101"/>
      <c r="K39" s="102"/>
      <c r="L39" s="109" t="s">
        <v>41</v>
      </c>
      <c r="M39" s="97"/>
      <c r="N39" s="98"/>
      <c r="O39" s="98"/>
      <c r="P39" s="98"/>
      <c r="Q39" s="98"/>
      <c r="R39" s="101"/>
      <c r="S39" s="102"/>
      <c r="T39" s="26"/>
      <c r="U39" s="26"/>
      <c r="V39" s="26"/>
      <c r="W39" s="49"/>
      <c r="X39" s="49"/>
      <c r="Y39" s="109" t="s">
        <v>42</v>
      </c>
      <c r="Z39" s="26"/>
      <c r="AA39" s="98"/>
      <c r="AB39" s="98"/>
      <c r="AC39" s="98"/>
      <c r="AD39" s="98"/>
      <c r="AE39" s="98"/>
      <c r="AF39" s="102"/>
      <c r="AG39" s="26"/>
      <c r="AH39" s="26"/>
      <c r="AI39" s="26"/>
      <c r="AJ39" s="49">
        <f>AJ36+AK36</f>
        <v>4186726</v>
      </c>
      <c r="AK39" s="110">
        <f>AJ39/G38</f>
        <v>2093363</v>
      </c>
      <c r="AL39" s="26" t="s">
        <v>43</v>
      </c>
      <c r="AM39" s="26"/>
      <c r="AN39" s="26"/>
      <c r="AO39" s="26"/>
      <c r="AP39" s="49"/>
      <c r="AQ39" s="26"/>
      <c r="AR39" s="26"/>
      <c r="AS39" s="49"/>
      <c r="AT39" s="26"/>
      <c r="AU39" s="49"/>
      <c r="AV39" s="26"/>
    </row>
    <row r="40" spans="1:48" ht="21" customHeight="1">
      <c r="A40" s="26"/>
      <c r="B40" s="26"/>
      <c r="C40" s="109"/>
      <c r="D40" s="158" t="s">
        <v>64</v>
      </c>
      <c r="E40" s="189"/>
      <c r="F40" s="189"/>
      <c r="G40" s="189"/>
      <c r="H40" s="189"/>
      <c r="I40" s="189"/>
      <c r="J40" s="189"/>
      <c r="K40" s="190"/>
      <c r="L40" s="158" t="s">
        <v>65</v>
      </c>
      <c r="M40" s="189"/>
      <c r="N40" s="189"/>
      <c r="O40" s="189"/>
      <c r="P40" s="189"/>
      <c r="Q40" s="189"/>
      <c r="R40" s="189"/>
      <c r="S40" s="190"/>
      <c r="T40" s="26"/>
      <c r="U40" s="26"/>
      <c r="V40" s="26"/>
      <c r="W40" s="49"/>
      <c r="X40" s="26"/>
      <c r="Y40" s="167" t="s">
        <v>66</v>
      </c>
      <c r="Z40" s="191"/>
      <c r="AA40" s="191"/>
      <c r="AB40" s="191"/>
      <c r="AC40" s="191"/>
      <c r="AD40" s="191"/>
      <c r="AE40" s="191"/>
      <c r="AF40" s="192"/>
      <c r="AG40" s="26"/>
      <c r="AH40" s="26"/>
      <c r="AI40" s="26"/>
      <c r="AJ40" s="111">
        <f>AJ37+AK37</f>
        <v>3806114.5454545454</v>
      </c>
      <c r="AK40" s="26"/>
      <c r="AL40" s="26"/>
      <c r="AM40" s="26"/>
      <c r="AN40" s="26"/>
      <c r="AO40" s="26"/>
      <c r="AP40" s="26"/>
      <c r="AQ40" s="26"/>
      <c r="AR40" s="26"/>
      <c r="AS40" s="49"/>
      <c r="AT40" s="26"/>
      <c r="AU40" s="49"/>
      <c r="AV40" s="26"/>
    </row>
    <row r="41" spans="1:48" ht="21" customHeight="1">
      <c r="A41" s="26"/>
      <c r="B41" s="26"/>
      <c r="C41" s="109"/>
      <c r="D41" s="193"/>
      <c r="E41" s="194"/>
      <c r="F41" s="194"/>
      <c r="G41" s="194"/>
      <c r="H41" s="194"/>
      <c r="I41" s="194"/>
      <c r="J41" s="194"/>
      <c r="K41" s="195"/>
      <c r="L41" s="193"/>
      <c r="M41" s="194"/>
      <c r="N41" s="194"/>
      <c r="O41" s="194"/>
      <c r="P41" s="194"/>
      <c r="Q41" s="194"/>
      <c r="R41" s="194"/>
      <c r="S41" s="195"/>
      <c r="T41" s="26"/>
      <c r="U41" s="26"/>
      <c r="V41" s="26"/>
      <c r="W41" s="49"/>
      <c r="X41" s="26"/>
      <c r="Y41" s="196"/>
      <c r="Z41" s="197"/>
      <c r="AA41" s="197"/>
      <c r="AB41" s="197"/>
      <c r="AC41" s="197"/>
      <c r="AD41" s="197"/>
      <c r="AE41" s="197"/>
      <c r="AF41" s="198"/>
      <c r="AG41" s="26"/>
      <c r="AH41" s="26"/>
      <c r="AI41" s="26"/>
      <c r="AJ41" s="49"/>
      <c r="AK41" s="110">
        <f>AJ40/G38</f>
        <v>1903057.2727272727</v>
      </c>
      <c r="AL41" s="26" t="s">
        <v>44</v>
      </c>
      <c r="AM41" s="26"/>
      <c r="AN41" s="26"/>
      <c r="AO41" s="26"/>
      <c r="AP41" s="26"/>
      <c r="AQ41" s="26"/>
      <c r="AR41" s="26"/>
      <c r="AS41" s="49"/>
      <c r="AT41" s="26"/>
      <c r="AU41" s="49"/>
      <c r="AV41" s="26"/>
    </row>
    <row r="42" spans="1:48" ht="21" customHeight="1">
      <c r="A42" s="26"/>
      <c r="B42" s="26"/>
      <c r="C42" s="109"/>
      <c r="D42" s="193"/>
      <c r="E42" s="194"/>
      <c r="F42" s="194"/>
      <c r="G42" s="194"/>
      <c r="H42" s="194"/>
      <c r="I42" s="194"/>
      <c r="J42" s="194"/>
      <c r="K42" s="195"/>
      <c r="L42" s="193"/>
      <c r="M42" s="194"/>
      <c r="N42" s="194"/>
      <c r="O42" s="194"/>
      <c r="P42" s="194"/>
      <c r="Q42" s="194"/>
      <c r="R42" s="194"/>
      <c r="S42" s="195"/>
      <c r="T42" s="26"/>
      <c r="U42" s="26"/>
      <c r="V42" s="26"/>
      <c r="W42" s="49"/>
      <c r="X42" s="26"/>
      <c r="Y42" s="196"/>
      <c r="Z42" s="197"/>
      <c r="AA42" s="197"/>
      <c r="AB42" s="197"/>
      <c r="AC42" s="197"/>
      <c r="AD42" s="197"/>
      <c r="AE42" s="197"/>
      <c r="AF42" s="198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9"/>
      <c r="AT42" s="26"/>
      <c r="AU42" s="49"/>
      <c r="AV42" s="26"/>
    </row>
    <row r="43" spans="1:48" ht="21" customHeight="1">
      <c r="A43" s="26"/>
      <c r="B43" s="26"/>
      <c r="C43" s="109"/>
      <c r="D43" s="193"/>
      <c r="E43" s="194"/>
      <c r="F43" s="194"/>
      <c r="G43" s="194"/>
      <c r="H43" s="194"/>
      <c r="I43" s="194"/>
      <c r="J43" s="194"/>
      <c r="K43" s="195"/>
      <c r="L43" s="193"/>
      <c r="M43" s="194"/>
      <c r="N43" s="194"/>
      <c r="O43" s="194"/>
      <c r="P43" s="194"/>
      <c r="Q43" s="194"/>
      <c r="R43" s="194"/>
      <c r="S43" s="195"/>
      <c r="T43" s="26"/>
      <c r="U43" s="26"/>
      <c r="V43" s="26"/>
      <c r="W43" s="26"/>
      <c r="X43" s="26"/>
      <c r="Y43" s="196"/>
      <c r="Z43" s="197"/>
      <c r="AA43" s="197"/>
      <c r="AB43" s="197"/>
      <c r="AC43" s="197"/>
      <c r="AD43" s="197"/>
      <c r="AE43" s="197"/>
      <c r="AF43" s="198"/>
      <c r="AG43" s="26"/>
      <c r="AH43" s="26"/>
      <c r="AI43" s="26"/>
      <c r="AJ43" s="49">
        <f>AJ37+AK37</f>
        <v>3806114.5454545454</v>
      </c>
      <c r="AK43" s="112" t="s">
        <v>45</v>
      </c>
      <c r="AL43" s="26"/>
      <c r="AM43" s="26"/>
      <c r="AN43" s="26"/>
      <c r="AO43" s="26"/>
      <c r="AP43" s="26"/>
      <c r="AQ43" s="26"/>
      <c r="AR43" s="26"/>
      <c r="AS43" s="49"/>
      <c r="AT43" s="26"/>
      <c r="AU43" s="49"/>
      <c r="AV43" s="26"/>
    </row>
    <row r="44" spans="1:48" ht="21" customHeight="1">
      <c r="A44" s="26"/>
      <c r="B44" s="26"/>
      <c r="C44" s="109"/>
      <c r="D44" s="199"/>
      <c r="E44" s="200"/>
      <c r="F44" s="200"/>
      <c r="G44" s="200"/>
      <c r="H44" s="200"/>
      <c r="I44" s="200"/>
      <c r="J44" s="200"/>
      <c r="K44" s="201"/>
      <c r="L44" s="199"/>
      <c r="M44" s="200"/>
      <c r="N44" s="200"/>
      <c r="O44" s="200"/>
      <c r="P44" s="200"/>
      <c r="Q44" s="200"/>
      <c r="R44" s="200"/>
      <c r="S44" s="201"/>
      <c r="T44" s="26"/>
      <c r="U44" s="26"/>
      <c r="V44" s="26"/>
      <c r="W44" s="26"/>
      <c r="X44" s="26"/>
      <c r="Y44" s="202"/>
      <c r="Z44" s="203"/>
      <c r="AA44" s="203"/>
      <c r="AB44" s="203"/>
      <c r="AC44" s="203"/>
      <c r="AD44" s="203"/>
      <c r="AE44" s="203"/>
      <c r="AF44" s="204"/>
      <c r="AG44" s="26"/>
      <c r="AH44" s="113"/>
      <c r="AI44" s="114" t="s">
        <v>46</v>
      </c>
      <c r="AJ44" s="115">
        <f>J45+R45+AE45+AK44</f>
        <v>3838500</v>
      </c>
      <c r="AK44" s="116">
        <v>60500</v>
      </c>
      <c r="AL44" s="113"/>
      <c r="AM44" s="26"/>
      <c r="AN44" s="26"/>
      <c r="AO44" s="26"/>
      <c r="AP44" s="26"/>
      <c r="AQ44" s="26"/>
      <c r="AR44" s="26"/>
      <c r="AS44" s="49"/>
      <c r="AT44" s="26"/>
      <c r="AU44" s="49"/>
      <c r="AV44" s="26"/>
    </row>
    <row r="45" spans="1:48" ht="21" customHeight="1">
      <c r="A45" s="26"/>
      <c r="B45" s="26"/>
      <c r="C45" s="26"/>
      <c r="D45" s="26"/>
      <c r="E45" s="26"/>
      <c r="F45" s="26"/>
      <c r="G45" s="26"/>
      <c r="H45" s="117"/>
      <c r="I45" s="118" t="s">
        <v>47</v>
      </c>
      <c r="J45" s="115">
        <v>290400</v>
      </c>
      <c r="K45" s="119" t="s">
        <v>48</v>
      </c>
      <c r="L45" s="113"/>
      <c r="M45" s="113"/>
      <c r="N45" s="113"/>
      <c r="O45" s="113"/>
      <c r="P45" s="113"/>
      <c r="Q45" s="118" t="s">
        <v>49</v>
      </c>
      <c r="R45" s="115">
        <v>2989600</v>
      </c>
      <c r="S45" s="119" t="s">
        <v>48</v>
      </c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7" t="s">
        <v>50</v>
      </c>
      <c r="AE45" s="115">
        <v>498000</v>
      </c>
      <c r="AF45" s="119" t="s">
        <v>48</v>
      </c>
      <c r="AG45" s="113"/>
      <c r="AH45" s="113"/>
      <c r="AI45" s="114" t="s">
        <v>51</v>
      </c>
      <c r="AJ45" s="115">
        <f>AJ44-AJ37-AK37</f>
        <v>32385.454545454675</v>
      </c>
      <c r="AK45" s="115">
        <f>AK44-AK37</f>
        <v>-113790.90909090909</v>
      </c>
      <c r="AL45" s="120">
        <f>AK37/AK44</f>
        <v>2.8808414725770097</v>
      </c>
      <c r="AM45" s="26"/>
      <c r="AN45" s="26"/>
      <c r="AO45" s="26"/>
      <c r="AP45" s="26"/>
      <c r="AQ45" s="49"/>
      <c r="AR45" s="26"/>
      <c r="AS45" s="49"/>
      <c r="AT45" s="26"/>
      <c r="AU45" s="26"/>
      <c r="AV45" s="26"/>
    </row>
    <row r="46" spans="1:48" ht="21" customHeight="1">
      <c r="A46" s="26"/>
      <c r="B46" s="26"/>
      <c r="C46" s="26"/>
      <c r="D46" s="26"/>
      <c r="E46" s="26"/>
      <c r="F46" s="26"/>
      <c r="G46" s="26"/>
      <c r="H46" s="117"/>
      <c r="I46" s="117" t="s">
        <v>51</v>
      </c>
      <c r="J46" s="115">
        <f>J45-J37</f>
        <v>5703.6363636364113</v>
      </c>
      <c r="K46" s="121">
        <v>0</v>
      </c>
      <c r="L46" s="113"/>
      <c r="M46" s="113"/>
      <c r="N46" s="113"/>
      <c r="O46" s="113"/>
      <c r="P46" s="113"/>
      <c r="Q46" s="117" t="s">
        <v>51</v>
      </c>
      <c r="R46" s="115">
        <f>R45-R37</f>
        <v>126781.81818181835</v>
      </c>
      <c r="S46" s="113">
        <v>0</v>
      </c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7" t="s">
        <v>51</v>
      </c>
      <c r="AE46" s="115">
        <f>AE45-AE37</f>
        <v>13690.909090909117</v>
      </c>
      <c r="AF46" s="113">
        <v>0</v>
      </c>
      <c r="AG46" s="113"/>
      <c r="AH46" s="122"/>
      <c r="AI46" s="123" t="s">
        <v>52</v>
      </c>
      <c r="AJ46" s="124" t="e">
        <f>AJ45/S46</f>
        <v>#DIV/0!</v>
      </c>
      <c r="AK46" s="125">
        <f>(AJ37+AK37)/AJ44</f>
        <v>0.99156299217260524</v>
      </c>
      <c r="AL46" s="122"/>
      <c r="AM46" s="126"/>
      <c r="AN46" s="26"/>
      <c r="AO46" s="26"/>
      <c r="AP46" s="26"/>
      <c r="AQ46" s="49"/>
      <c r="AR46" s="26"/>
      <c r="AS46" s="49"/>
      <c r="AT46" s="26"/>
      <c r="AU46" s="26"/>
      <c r="AV46" s="26"/>
    </row>
    <row r="47" spans="1:48" ht="25.5" customHeight="1">
      <c r="A47" s="126"/>
      <c r="B47" s="126"/>
      <c r="C47" s="126"/>
      <c r="D47" s="126"/>
      <c r="E47" s="126"/>
      <c r="F47" s="126"/>
      <c r="G47" s="126"/>
      <c r="H47" s="127"/>
      <c r="I47" s="123" t="s">
        <v>52</v>
      </c>
      <c r="J47" s="128" t="e">
        <f>J46/K46</f>
        <v>#DIV/0!</v>
      </c>
      <c r="K47" s="129">
        <f>J37/J45</f>
        <v>0.98035937891309777</v>
      </c>
      <c r="L47" s="122"/>
      <c r="M47" s="122"/>
      <c r="N47" s="122"/>
      <c r="O47" s="122"/>
      <c r="P47" s="122"/>
      <c r="Q47" s="123" t="s">
        <v>52</v>
      </c>
      <c r="R47" s="124" t="e">
        <f>R46/S46</f>
        <v>#DIV/0!</v>
      </c>
      <c r="S47" s="129">
        <f>R37/R45</f>
        <v>0.95759238085970755</v>
      </c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3" t="s">
        <v>52</v>
      </c>
      <c r="AE47" s="128" t="e">
        <f>AE46/AF46</f>
        <v>#DIV/0!</v>
      </c>
      <c r="AF47" s="129">
        <f>AE37/AE45</f>
        <v>0.9725082146768893</v>
      </c>
      <c r="AG47" s="122"/>
      <c r="AH47" s="26"/>
      <c r="AI47" s="26"/>
      <c r="AJ47" s="49"/>
      <c r="AK47" s="26"/>
      <c r="AL47" s="26"/>
      <c r="AM47" s="26"/>
      <c r="AN47" s="126"/>
      <c r="AO47" s="126"/>
      <c r="AP47" s="126"/>
      <c r="AQ47" s="130"/>
      <c r="AR47" s="126"/>
      <c r="AS47" s="130"/>
      <c r="AT47" s="126"/>
      <c r="AU47" s="126"/>
      <c r="AV47" s="126"/>
    </row>
    <row r="48" spans="1: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31"/>
      <c r="AI48" s="131"/>
      <c r="AJ48" s="131"/>
      <c r="AK48" s="131"/>
      <c r="AL48" s="131"/>
      <c r="AM48" s="131"/>
      <c r="AN48" s="26"/>
      <c r="AO48" s="26"/>
      <c r="AP48" s="26"/>
      <c r="AQ48" s="49"/>
      <c r="AR48" s="26"/>
      <c r="AS48" s="49"/>
      <c r="AT48" s="26"/>
      <c r="AU48" s="26"/>
      <c r="AV48" s="26"/>
    </row>
    <row r="49" spans="1:48" ht="36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2"/>
      <c r="M49" s="26"/>
      <c r="N49" s="26"/>
      <c r="O49" s="26"/>
      <c r="P49" s="26"/>
      <c r="Q49" s="26"/>
      <c r="R49" s="132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"/>
      <c r="AI49" s="1"/>
      <c r="AJ49" s="1"/>
      <c r="AK49" s="1"/>
      <c r="AL49" s="1"/>
      <c r="AM49" s="1"/>
      <c r="AN49" s="131"/>
      <c r="AO49" s="131"/>
      <c r="AP49" s="131"/>
      <c r="AQ49" s="133"/>
      <c r="AR49" s="131"/>
      <c r="AS49" s="133"/>
      <c r="AT49" s="131"/>
      <c r="AU49" s="131"/>
      <c r="AV49" s="131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34"/>
      <c r="M50" s="26"/>
      <c r="N50" s="26"/>
      <c r="O50" s="26"/>
      <c r="P50" s="26"/>
      <c r="Q50" s="26"/>
      <c r="R50" s="134"/>
      <c r="S50" s="134"/>
      <c r="T50" s="1"/>
      <c r="U50" s="1"/>
      <c r="V50" s="1"/>
      <c r="W50" s="1"/>
      <c r="X50" s="1"/>
      <c r="Y50" s="1"/>
      <c r="Z50" s="135"/>
      <c r="AA50" s="1"/>
      <c r="AB50" s="1"/>
      <c r="AC50" s="1"/>
      <c r="AD50" s="1"/>
      <c r="AE50" s="1"/>
      <c r="AF50" s="1"/>
      <c r="AG50" s="1"/>
      <c r="AH50" s="131"/>
      <c r="AI50" s="131"/>
      <c r="AJ50" s="131"/>
      <c r="AK50" s="131"/>
      <c r="AL50" s="131"/>
      <c r="AM50" s="131"/>
      <c r="AN50" s="1"/>
      <c r="AO50" s="1"/>
      <c r="AP50" s="1"/>
      <c r="AQ50" s="136"/>
      <c r="AR50" s="1"/>
      <c r="AS50" s="136"/>
      <c r="AT50" s="1"/>
      <c r="AU50" s="1"/>
      <c r="AV50" s="1"/>
    </row>
    <row r="51" spans="1:48" ht="36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"/>
      <c r="L51" s="134"/>
      <c r="M51" s="26"/>
      <c r="N51" s="26"/>
      <c r="O51" s="26"/>
      <c r="P51" s="26"/>
      <c r="Q51" s="26"/>
      <c r="R51" s="137"/>
      <c r="S51" s="138"/>
      <c r="T51" s="138"/>
      <c r="U51" s="138"/>
      <c r="V51" s="138"/>
      <c r="W51" s="139"/>
      <c r="X51" s="140"/>
      <c r="Y51" s="141"/>
      <c r="Z51" s="142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3"/>
      <c r="AR51" s="131"/>
      <c r="AS51" s="133"/>
      <c r="AT51" s="131"/>
      <c r="AU51" s="131"/>
      <c r="AV51" s="131"/>
    </row>
    <row r="52" spans="1:48" ht="36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"/>
      <c r="L52" s="134"/>
      <c r="M52" s="26"/>
      <c r="N52" s="26"/>
      <c r="O52" s="26"/>
      <c r="P52" s="26"/>
      <c r="Q52" s="26"/>
      <c r="R52" s="139"/>
      <c r="S52" s="138"/>
      <c r="T52" s="138"/>
      <c r="U52" s="138"/>
      <c r="V52" s="138"/>
      <c r="W52" s="139"/>
      <c r="X52" s="140"/>
      <c r="Y52" s="141"/>
      <c r="Z52" s="142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3"/>
      <c r="AR52" s="131"/>
      <c r="AS52" s="133"/>
      <c r="AT52" s="131"/>
      <c r="AU52" s="131"/>
      <c r="AV52" s="131"/>
    </row>
    <row r="53" spans="1:48" ht="36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"/>
      <c r="L53" s="134"/>
      <c r="M53" s="26"/>
      <c r="N53" s="26"/>
      <c r="O53" s="26"/>
      <c r="P53" s="26"/>
      <c r="Q53" s="26"/>
      <c r="R53" s="139"/>
      <c r="S53" s="138"/>
      <c r="T53" s="138"/>
      <c r="U53" s="138"/>
      <c r="V53" s="138"/>
      <c r="W53" s="139"/>
      <c r="X53" s="140"/>
      <c r="Y53" s="141"/>
      <c r="Z53" s="142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3"/>
      <c r="AR53" s="131"/>
      <c r="AS53" s="133"/>
      <c r="AT53" s="131"/>
      <c r="AU53" s="131"/>
      <c r="AV53" s="131"/>
    </row>
    <row r="54" spans="1:48" ht="36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"/>
      <c r="L54" s="134"/>
      <c r="M54" s="26"/>
      <c r="N54" s="26"/>
      <c r="O54" s="26"/>
      <c r="P54" s="26"/>
      <c r="Q54" s="26"/>
      <c r="R54" s="139"/>
      <c r="S54" s="138"/>
      <c r="T54" s="138"/>
      <c r="U54" s="138"/>
      <c r="V54" s="138"/>
      <c r="W54" s="139"/>
      <c r="X54" s="140"/>
      <c r="Y54" s="141"/>
      <c r="Z54" s="142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3"/>
      <c r="AR54" s="131"/>
      <c r="AS54" s="133"/>
      <c r="AT54" s="131"/>
      <c r="AU54" s="131"/>
      <c r="AV54" s="131"/>
    </row>
    <row r="55" spans="1:48" ht="36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2"/>
      <c r="M55" s="26"/>
      <c r="N55" s="26"/>
      <c r="O55" s="26"/>
      <c r="P55" s="26"/>
      <c r="Q55" s="26"/>
      <c r="R55" s="139"/>
      <c r="S55" s="138"/>
      <c r="T55" s="138"/>
      <c r="U55" s="138"/>
      <c r="V55" s="138"/>
      <c r="W55" s="140"/>
      <c r="X55" s="140"/>
      <c r="Y55" s="141"/>
      <c r="Z55" s="142"/>
      <c r="AA55" s="131"/>
      <c r="AB55" s="131"/>
      <c r="AC55" s="131"/>
      <c r="AD55" s="131"/>
      <c r="AE55" s="131"/>
      <c r="AF55" s="131"/>
      <c r="AG55" s="131"/>
      <c r="AH55" s="26"/>
      <c r="AI55" s="26"/>
      <c r="AJ55" s="26"/>
      <c r="AK55" s="26"/>
      <c r="AL55" s="26"/>
      <c r="AM55" s="26"/>
      <c r="AN55" s="131"/>
      <c r="AO55" s="131"/>
      <c r="AP55" s="131"/>
      <c r="AQ55" s="133"/>
      <c r="AR55" s="131"/>
      <c r="AS55" s="133"/>
      <c r="AT55" s="131"/>
      <c r="AU55" s="131"/>
      <c r="AV55" s="131"/>
    </row>
    <row r="56" spans="1:48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41"/>
      <c r="Z56" s="141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9"/>
      <c r="AT56" s="26"/>
      <c r="AU56" s="49"/>
      <c r="AV56" s="26"/>
    </row>
    <row r="57" spans="1:48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31"/>
      <c r="Z57" s="131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9"/>
      <c r="AT57" s="26"/>
      <c r="AU57" s="49"/>
      <c r="AV57" s="26"/>
    </row>
    <row r="58" spans="1:4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9"/>
      <c r="AT58" s="26"/>
      <c r="AU58" s="49"/>
      <c r="AV58" s="26"/>
    </row>
    <row r="59" spans="1:48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9"/>
      <c r="AT59" s="26"/>
      <c r="AU59" s="49"/>
      <c r="AV59" s="26"/>
    </row>
    <row r="60" spans="1:48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9"/>
      <c r="AT60" s="26"/>
      <c r="AU60" s="49"/>
      <c r="AV60" s="26"/>
    </row>
    <row r="61" spans="1:48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9"/>
      <c r="AT61" s="26"/>
      <c r="AU61" s="49"/>
      <c r="AV61" s="26"/>
    </row>
    <row r="62" spans="1:48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9"/>
      <c r="AT62" s="26"/>
      <c r="AU62" s="49"/>
      <c r="AV62" s="26"/>
    </row>
    <row r="63" spans="1:48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9"/>
      <c r="AT63" s="26"/>
      <c r="AU63" s="49"/>
      <c r="AV63" s="26"/>
    </row>
    <row r="64" spans="1:48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9"/>
      <c r="AT64" s="26"/>
      <c r="AU64" s="49"/>
      <c r="AV64" s="26"/>
    </row>
    <row r="65" spans="1:48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9"/>
      <c r="AT65" s="26"/>
      <c r="AU65" s="49"/>
      <c r="AV65" s="26"/>
    </row>
    <row r="66" spans="1:48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9"/>
      <c r="AT66" s="26"/>
      <c r="AU66" s="49"/>
      <c r="AV66" s="26"/>
    </row>
    <row r="67" spans="1:48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9"/>
      <c r="AT67" s="26"/>
      <c r="AU67" s="49"/>
      <c r="AV67" s="26"/>
    </row>
    <row r="68" spans="1:4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9"/>
      <c r="AT68" s="26"/>
      <c r="AU68" s="49"/>
      <c r="AV68" s="26"/>
    </row>
    <row r="69" spans="1:48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9"/>
      <c r="AT69" s="26"/>
      <c r="AU69" s="49"/>
      <c r="AV69" s="26"/>
    </row>
    <row r="70" spans="1:48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9"/>
      <c r="AT70" s="26"/>
      <c r="AU70" s="49"/>
      <c r="AV70" s="26"/>
    </row>
    <row r="71" spans="1:48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9"/>
      <c r="AT71" s="26"/>
      <c r="AU71" s="49"/>
      <c r="AV71" s="26"/>
    </row>
    <row r="72" spans="1:48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9"/>
      <c r="AT72" s="26"/>
      <c r="AU72" s="49"/>
      <c r="AV72" s="26"/>
    </row>
    <row r="73" spans="1:48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9"/>
      <c r="AT73" s="26"/>
      <c r="AU73" s="49"/>
      <c r="AV73" s="26"/>
    </row>
    <row r="74" spans="1:48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9"/>
      <c r="AT74" s="26"/>
      <c r="AU74" s="49"/>
      <c r="AV74" s="26"/>
    </row>
    <row r="75" spans="1:48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9"/>
      <c r="AT75" s="26"/>
      <c r="AU75" s="49"/>
      <c r="AV75" s="26"/>
    </row>
    <row r="76" spans="1:48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9"/>
      <c r="AT76" s="26"/>
      <c r="AU76" s="49"/>
      <c r="AV76" s="26"/>
    </row>
    <row r="77" spans="1:48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9"/>
      <c r="AT77" s="26"/>
      <c r="AU77" s="49"/>
      <c r="AV77" s="26"/>
    </row>
    <row r="78" spans="1:4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9"/>
      <c r="AT78" s="26"/>
      <c r="AU78" s="49"/>
      <c r="AV78" s="26"/>
    </row>
    <row r="79" spans="1:48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9"/>
      <c r="AT79" s="26"/>
      <c r="AU79" s="49"/>
      <c r="AV79" s="26"/>
    </row>
    <row r="80" spans="1:48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9"/>
      <c r="AT80" s="26"/>
      <c r="AU80" s="49"/>
      <c r="AV80" s="26"/>
    </row>
    <row r="81" spans="1:48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9"/>
      <c r="AT81" s="26"/>
      <c r="AU81" s="49"/>
      <c r="AV81" s="26"/>
    </row>
    <row r="82" spans="1:48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9"/>
      <c r="AT82" s="26"/>
      <c r="AU82" s="49"/>
      <c r="AV82" s="26"/>
    </row>
    <row r="83" spans="1:48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9"/>
      <c r="AT83" s="26"/>
      <c r="AU83" s="49"/>
      <c r="AV83" s="26"/>
    </row>
    <row r="84" spans="1:48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9"/>
      <c r="AT84" s="26"/>
      <c r="AU84" s="49"/>
      <c r="AV84" s="26"/>
    </row>
    <row r="85" spans="1:48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9"/>
      <c r="AT85" s="26"/>
      <c r="AU85" s="49"/>
      <c r="AV85" s="26"/>
    </row>
    <row r="86" spans="1:48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9"/>
      <c r="AT86" s="26"/>
      <c r="AU86" s="49"/>
      <c r="AV86" s="26"/>
    </row>
    <row r="87" spans="1:48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9"/>
      <c r="AT87" s="26"/>
      <c r="AU87" s="49"/>
      <c r="AV87" s="26"/>
    </row>
    <row r="88" spans="1:4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9"/>
      <c r="AT88" s="26"/>
      <c r="AU88" s="49"/>
      <c r="AV88" s="26"/>
    </row>
    <row r="89" spans="1:48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9"/>
      <c r="AT89" s="26"/>
      <c r="AU89" s="49"/>
      <c r="AV89" s="26"/>
    </row>
    <row r="90" spans="1:48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9"/>
      <c r="AT90" s="26"/>
      <c r="AU90" s="49"/>
      <c r="AV90" s="26"/>
    </row>
    <row r="91" spans="1:48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9"/>
      <c r="AT91" s="26"/>
      <c r="AU91" s="49"/>
      <c r="AV91" s="26"/>
    </row>
    <row r="92" spans="1:48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9"/>
      <c r="AT92" s="26"/>
      <c r="AU92" s="49"/>
      <c r="AV92" s="26"/>
    </row>
    <row r="93" spans="1:48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9"/>
      <c r="AT93" s="26"/>
      <c r="AU93" s="49"/>
      <c r="AV93" s="26"/>
    </row>
    <row r="94" spans="1:48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9"/>
      <c r="AT94" s="26"/>
      <c r="AU94" s="49"/>
      <c r="AV94" s="26"/>
    </row>
    <row r="95" spans="1:48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9"/>
      <c r="AT95" s="26"/>
      <c r="AU95" s="49"/>
      <c r="AV95" s="26"/>
    </row>
    <row r="96" spans="1:48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9"/>
      <c r="AT96" s="26"/>
      <c r="AU96" s="49"/>
      <c r="AV96" s="26"/>
    </row>
    <row r="97" spans="1:48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9"/>
      <c r="AT97" s="26"/>
      <c r="AU97" s="49"/>
      <c r="AV97" s="26"/>
    </row>
    <row r="98" spans="1:4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9"/>
      <c r="AT98" s="26"/>
      <c r="AU98" s="49"/>
      <c r="AV98" s="26"/>
    </row>
    <row r="99" spans="1:48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9"/>
      <c r="AT99" s="26"/>
      <c r="AU99" s="49"/>
      <c r="AV99" s="26"/>
    </row>
    <row r="100" spans="1:48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9"/>
      <c r="AT100" s="26"/>
      <c r="AU100" s="49"/>
      <c r="AV100" s="26"/>
    </row>
    <row r="101" spans="1:48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9"/>
      <c r="AT101" s="26"/>
      <c r="AU101" s="49"/>
      <c r="AV101" s="26"/>
    </row>
    <row r="102" spans="1:48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9"/>
      <c r="AT102" s="26"/>
      <c r="AU102" s="49"/>
      <c r="AV102" s="26"/>
    </row>
    <row r="103" spans="1:48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9"/>
      <c r="AT103" s="26"/>
      <c r="AU103" s="49"/>
      <c r="AV103" s="26"/>
    </row>
    <row r="104" spans="1:48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9"/>
      <c r="AT104" s="26"/>
      <c r="AU104" s="49"/>
      <c r="AV104" s="26"/>
    </row>
    <row r="105" spans="1:48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9"/>
      <c r="AT105" s="26"/>
      <c r="AU105" s="49"/>
      <c r="AV105" s="26"/>
    </row>
    <row r="106" spans="1:48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9"/>
      <c r="AT106" s="26"/>
      <c r="AU106" s="49"/>
      <c r="AV106" s="26"/>
    </row>
    <row r="107" spans="1:48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9"/>
      <c r="AT107" s="26"/>
      <c r="AU107" s="49"/>
      <c r="AV107" s="26"/>
    </row>
    <row r="108" spans="1:4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9"/>
      <c r="AT108" s="26"/>
      <c r="AU108" s="49"/>
      <c r="AV108" s="26"/>
    </row>
    <row r="109" spans="1:48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9"/>
      <c r="AT109" s="26"/>
      <c r="AU109" s="49"/>
      <c r="AV109" s="26"/>
    </row>
    <row r="110" spans="1:48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9"/>
      <c r="AT110" s="26"/>
      <c r="AU110" s="49"/>
      <c r="AV110" s="26"/>
    </row>
    <row r="111" spans="1:48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9"/>
      <c r="AT111" s="26"/>
      <c r="AU111" s="49"/>
      <c r="AV111" s="26"/>
    </row>
    <row r="112" spans="1:48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9"/>
      <c r="AT112" s="26"/>
      <c r="AU112" s="49"/>
      <c r="AV112" s="26"/>
    </row>
    <row r="113" spans="1:48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9"/>
      <c r="AT113" s="26"/>
      <c r="AU113" s="49"/>
      <c r="AV113" s="26"/>
    </row>
    <row r="114" spans="1:48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9"/>
      <c r="AT114" s="26"/>
      <c r="AU114" s="49"/>
      <c r="AV114" s="26"/>
    </row>
    <row r="115" spans="1:48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9"/>
      <c r="AT115" s="26"/>
      <c r="AU115" s="49"/>
      <c r="AV115" s="26"/>
    </row>
    <row r="116" spans="1:48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9"/>
      <c r="AT116" s="26"/>
      <c r="AU116" s="49"/>
      <c r="AV116" s="26"/>
    </row>
    <row r="117" spans="1:48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9"/>
      <c r="AT117" s="26"/>
      <c r="AU117" s="49"/>
      <c r="AV117" s="26"/>
    </row>
    <row r="118" spans="1:4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9"/>
      <c r="AT118" s="26"/>
      <c r="AU118" s="49"/>
      <c r="AV118" s="26"/>
    </row>
    <row r="119" spans="1:48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9"/>
      <c r="AT119" s="26"/>
      <c r="AU119" s="49"/>
      <c r="AV119" s="26"/>
    </row>
    <row r="120" spans="1:48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9"/>
      <c r="AT120" s="26"/>
      <c r="AU120" s="49"/>
      <c r="AV120" s="26"/>
    </row>
    <row r="121" spans="1:48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9"/>
      <c r="AT121" s="26"/>
      <c r="AU121" s="49"/>
      <c r="AV121" s="26"/>
    </row>
    <row r="122" spans="1:48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9"/>
      <c r="AT122" s="26"/>
      <c r="AU122" s="49"/>
      <c r="AV122" s="26"/>
    </row>
    <row r="123" spans="1:48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9"/>
      <c r="AT123" s="26"/>
      <c r="AU123" s="49"/>
      <c r="AV123" s="26"/>
    </row>
    <row r="124" spans="1:48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9"/>
      <c r="AT124" s="26"/>
      <c r="AU124" s="49"/>
      <c r="AV124" s="26"/>
    </row>
    <row r="125" spans="1:48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9"/>
      <c r="AT125" s="26"/>
      <c r="AU125" s="49"/>
      <c r="AV125" s="26"/>
    </row>
    <row r="126" spans="1:48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9"/>
      <c r="AT126" s="26"/>
      <c r="AU126" s="49"/>
      <c r="AV126" s="26"/>
    </row>
    <row r="127" spans="1:48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9"/>
      <c r="AT127" s="26"/>
      <c r="AU127" s="49"/>
      <c r="AV127" s="26"/>
    </row>
    <row r="128" spans="1:4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9"/>
      <c r="AT128" s="26"/>
      <c r="AU128" s="49"/>
      <c r="AV128" s="26"/>
    </row>
    <row r="129" spans="1:48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9"/>
      <c r="AT129" s="26"/>
      <c r="AU129" s="49"/>
      <c r="AV129" s="26"/>
    </row>
    <row r="130" spans="1:48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9"/>
      <c r="AT130" s="26"/>
      <c r="AU130" s="49"/>
      <c r="AV130" s="26"/>
    </row>
    <row r="131" spans="1:48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9"/>
      <c r="AT131" s="26"/>
      <c r="AU131" s="49"/>
      <c r="AV131" s="26"/>
    </row>
    <row r="132" spans="1:48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9"/>
      <c r="AT132" s="26"/>
      <c r="AU132" s="49"/>
      <c r="AV132" s="26"/>
    </row>
    <row r="133" spans="1:48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9"/>
      <c r="AT133" s="26"/>
      <c r="AU133" s="49"/>
      <c r="AV133" s="26"/>
    </row>
    <row r="134" spans="1:48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9"/>
      <c r="AT134" s="26"/>
      <c r="AU134" s="49"/>
      <c r="AV134" s="26"/>
    </row>
    <row r="135" spans="1:48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9"/>
      <c r="AT135" s="26"/>
      <c r="AU135" s="49"/>
      <c r="AV135" s="26"/>
    </row>
    <row r="136" spans="1:48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9"/>
      <c r="AT136" s="26"/>
      <c r="AU136" s="49"/>
      <c r="AV136" s="26"/>
    </row>
    <row r="137" spans="1:48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9"/>
      <c r="AT137" s="26"/>
      <c r="AU137" s="49"/>
      <c r="AV137" s="26"/>
    </row>
    <row r="138" spans="1:4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9"/>
      <c r="AT138" s="26"/>
      <c r="AU138" s="49"/>
      <c r="AV138" s="26"/>
    </row>
    <row r="139" spans="1:48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9"/>
      <c r="AT139" s="26"/>
      <c r="AU139" s="49"/>
      <c r="AV139" s="26"/>
    </row>
    <row r="140" spans="1:48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9"/>
      <c r="AT140" s="26"/>
      <c r="AU140" s="49"/>
      <c r="AV140" s="26"/>
    </row>
    <row r="141" spans="1:48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9"/>
      <c r="AT141" s="26"/>
      <c r="AU141" s="49"/>
      <c r="AV141" s="26"/>
    </row>
    <row r="142" spans="1:48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9"/>
      <c r="AT142" s="26"/>
      <c r="AU142" s="49"/>
      <c r="AV142" s="26"/>
    </row>
    <row r="143" spans="1:48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9"/>
      <c r="AT143" s="26"/>
      <c r="AU143" s="49"/>
      <c r="AV143" s="26"/>
    </row>
    <row r="144" spans="1:48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9"/>
      <c r="AT144" s="26"/>
      <c r="AU144" s="49"/>
      <c r="AV144" s="26"/>
    </row>
    <row r="145" spans="1:48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9"/>
      <c r="AT145" s="26"/>
      <c r="AU145" s="49"/>
      <c r="AV145" s="26"/>
    </row>
    <row r="146" spans="1:48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9"/>
      <c r="AT146" s="26"/>
      <c r="AU146" s="49"/>
      <c r="AV146" s="26"/>
    </row>
    <row r="147" spans="1:48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9"/>
      <c r="AT147" s="26"/>
      <c r="AU147" s="49"/>
      <c r="AV147" s="26"/>
    </row>
    <row r="148" spans="1: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9"/>
      <c r="AT148" s="26"/>
      <c r="AU148" s="49"/>
      <c r="AV148" s="26"/>
    </row>
    <row r="149" spans="1:48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9"/>
      <c r="AT149" s="26"/>
      <c r="AU149" s="49"/>
      <c r="AV149" s="26"/>
    </row>
    <row r="150" spans="1:48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9"/>
      <c r="AT150" s="26"/>
      <c r="AU150" s="49"/>
      <c r="AV150" s="26"/>
    </row>
    <row r="151" spans="1:48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9"/>
      <c r="AT151" s="26"/>
      <c r="AU151" s="49"/>
      <c r="AV151" s="26"/>
    </row>
    <row r="152" spans="1:48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9"/>
      <c r="AT152" s="26"/>
      <c r="AU152" s="49"/>
      <c r="AV152" s="26"/>
    </row>
    <row r="153" spans="1:48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9"/>
      <c r="AT153" s="26"/>
      <c r="AU153" s="49"/>
      <c r="AV153" s="26"/>
    </row>
    <row r="154" spans="1:48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9"/>
      <c r="AT154" s="26"/>
      <c r="AU154" s="49"/>
      <c r="AV154" s="26"/>
    </row>
    <row r="155" spans="1:48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9"/>
      <c r="AT155" s="26"/>
      <c r="AU155" s="49"/>
      <c r="AV155" s="26"/>
    </row>
    <row r="156" spans="1:48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9"/>
      <c r="AT156" s="26"/>
      <c r="AU156" s="49"/>
      <c r="AV156" s="26"/>
    </row>
    <row r="157" spans="1:48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9"/>
      <c r="AT157" s="26"/>
      <c r="AU157" s="49"/>
      <c r="AV157" s="26"/>
    </row>
    <row r="158" spans="1:4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9"/>
      <c r="AT158" s="26"/>
      <c r="AU158" s="49"/>
      <c r="AV158" s="26"/>
    </row>
    <row r="159" spans="1:48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9"/>
      <c r="AT159" s="26"/>
      <c r="AU159" s="49"/>
      <c r="AV159" s="26"/>
    </row>
    <row r="160" spans="1:48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9"/>
      <c r="AT160" s="26"/>
      <c r="AU160" s="49"/>
      <c r="AV160" s="26"/>
    </row>
    <row r="161" spans="1:48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9"/>
      <c r="AT161" s="26"/>
      <c r="AU161" s="49"/>
      <c r="AV161" s="26"/>
    </row>
    <row r="162" spans="1:48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9"/>
      <c r="AT162" s="26"/>
      <c r="AU162" s="49"/>
      <c r="AV162" s="26"/>
    </row>
    <row r="163" spans="1:48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9"/>
      <c r="AT163" s="26"/>
      <c r="AU163" s="49"/>
      <c r="AV163" s="26"/>
    </row>
    <row r="164" spans="1:48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9"/>
      <c r="AT164" s="26"/>
      <c r="AU164" s="49"/>
      <c r="AV164" s="26"/>
    </row>
    <row r="165" spans="1:48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9"/>
      <c r="AT165" s="26"/>
      <c r="AU165" s="49"/>
      <c r="AV165" s="26"/>
    </row>
    <row r="166" spans="1:48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9"/>
      <c r="AT166" s="26"/>
      <c r="AU166" s="49"/>
      <c r="AV166" s="26"/>
    </row>
    <row r="167" spans="1:48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9"/>
      <c r="AT167" s="26"/>
      <c r="AU167" s="49"/>
      <c r="AV167" s="26"/>
    </row>
    <row r="168" spans="1:4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9"/>
      <c r="AT168" s="26"/>
      <c r="AU168" s="49"/>
      <c r="AV168" s="26"/>
    </row>
    <row r="169" spans="1:48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9"/>
      <c r="AT169" s="26"/>
      <c r="AU169" s="49"/>
      <c r="AV169" s="26"/>
    </row>
    <row r="170" spans="1:48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9"/>
      <c r="AT170" s="26"/>
      <c r="AU170" s="49"/>
      <c r="AV170" s="26"/>
    </row>
    <row r="171" spans="1:48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9"/>
      <c r="AT171" s="26"/>
      <c r="AU171" s="49"/>
      <c r="AV171" s="26"/>
    </row>
    <row r="172" spans="1:48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9"/>
      <c r="AT172" s="26"/>
      <c r="AU172" s="49"/>
      <c r="AV172" s="26"/>
    </row>
    <row r="173" spans="1:48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9"/>
      <c r="AT173" s="26"/>
      <c r="AU173" s="49"/>
      <c r="AV173" s="26"/>
    </row>
    <row r="174" spans="1:48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9"/>
      <c r="AT174" s="26"/>
      <c r="AU174" s="49"/>
      <c r="AV174" s="26"/>
    </row>
    <row r="175" spans="1:48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9"/>
      <c r="AT175" s="26"/>
      <c r="AU175" s="49"/>
      <c r="AV175" s="26"/>
    </row>
    <row r="176" spans="1:48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9"/>
      <c r="AT176" s="26"/>
      <c r="AU176" s="49"/>
      <c r="AV176" s="26"/>
    </row>
    <row r="177" spans="1:48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9"/>
      <c r="AT177" s="26"/>
      <c r="AU177" s="49"/>
      <c r="AV177" s="26"/>
    </row>
    <row r="178" spans="1:4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9"/>
      <c r="AT178" s="26"/>
      <c r="AU178" s="49"/>
      <c r="AV178" s="26"/>
    </row>
    <row r="179" spans="1:48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9"/>
      <c r="AT179" s="26"/>
      <c r="AU179" s="49"/>
      <c r="AV179" s="26"/>
    </row>
    <row r="180" spans="1:48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9"/>
      <c r="AT180" s="26"/>
      <c r="AU180" s="49"/>
      <c r="AV180" s="26"/>
    </row>
    <row r="181" spans="1:48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9"/>
      <c r="AT181" s="26"/>
      <c r="AU181" s="49"/>
      <c r="AV181" s="26"/>
    </row>
    <row r="182" spans="1:48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9"/>
      <c r="AT182" s="26"/>
      <c r="AU182" s="49"/>
      <c r="AV182" s="26"/>
    </row>
    <row r="183" spans="1:48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9"/>
      <c r="AT183" s="26"/>
      <c r="AU183" s="49"/>
      <c r="AV183" s="26"/>
    </row>
    <row r="184" spans="1:48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9"/>
      <c r="AT184" s="26"/>
      <c r="AU184" s="49"/>
      <c r="AV184" s="26"/>
    </row>
    <row r="185" spans="1:48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9"/>
      <c r="AT185" s="26"/>
      <c r="AU185" s="49"/>
      <c r="AV185" s="26"/>
    </row>
    <row r="186" spans="1:48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9"/>
      <c r="AT186" s="26"/>
      <c r="AU186" s="49"/>
      <c r="AV186" s="26"/>
    </row>
    <row r="187" spans="1:48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9"/>
      <c r="AT187" s="26"/>
      <c r="AU187" s="49"/>
      <c r="AV187" s="26"/>
    </row>
    <row r="188" spans="1:4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9"/>
      <c r="AT188" s="26"/>
      <c r="AU188" s="49"/>
      <c r="AV188" s="26"/>
    </row>
    <row r="189" spans="1:48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9"/>
      <c r="AT189" s="26"/>
      <c r="AU189" s="49"/>
      <c r="AV189" s="26"/>
    </row>
    <row r="190" spans="1:48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9"/>
      <c r="AT190" s="26"/>
      <c r="AU190" s="49"/>
      <c r="AV190" s="26"/>
    </row>
    <row r="191" spans="1:48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9"/>
      <c r="AT191" s="26"/>
      <c r="AU191" s="49"/>
      <c r="AV191" s="26"/>
    </row>
    <row r="192" spans="1:48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9"/>
      <c r="AT192" s="26"/>
      <c r="AU192" s="49"/>
      <c r="AV192" s="26"/>
    </row>
    <row r="193" spans="1:48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9"/>
      <c r="AT193" s="26"/>
      <c r="AU193" s="49"/>
      <c r="AV193" s="26"/>
    </row>
    <row r="194" spans="1:48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9"/>
      <c r="AT194" s="26"/>
      <c r="AU194" s="49"/>
      <c r="AV194" s="26"/>
    </row>
    <row r="195" spans="1:48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9"/>
      <c r="AT195" s="26"/>
      <c r="AU195" s="49"/>
      <c r="AV195" s="26"/>
    </row>
    <row r="196" spans="1:48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9"/>
      <c r="AT196" s="26"/>
      <c r="AU196" s="49"/>
      <c r="AV196" s="26"/>
    </row>
    <row r="197" spans="1:48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9"/>
      <c r="AT197" s="26"/>
      <c r="AU197" s="49"/>
      <c r="AV197" s="26"/>
    </row>
    <row r="198" spans="1:4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9"/>
      <c r="AT198" s="26"/>
      <c r="AU198" s="49"/>
      <c r="AV198" s="26"/>
    </row>
    <row r="199" spans="1:48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9"/>
      <c r="AT199" s="26"/>
      <c r="AU199" s="49"/>
      <c r="AV199" s="26"/>
    </row>
    <row r="200" spans="1:48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9"/>
      <c r="AT200" s="26"/>
      <c r="AU200" s="49"/>
      <c r="AV200" s="26"/>
    </row>
    <row r="201" spans="1:48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9"/>
      <c r="AT201" s="26"/>
      <c r="AU201" s="49"/>
      <c r="AV201" s="26"/>
    </row>
    <row r="202" spans="1:48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9"/>
      <c r="AT202" s="26"/>
      <c r="AU202" s="49"/>
      <c r="AV202" s="26"/>
    </row>
    <row r="203" spans="1:48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9"/>
      <c r="AT203" s="26"/>
      <c r="AU203" s="49"/>
      <c r="AV203" s="26"/>
    </row>
    <row r="204" spans="1:48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9"/>
      <c r="AT204" s="26"/>
      <c r="AU204" s="49"/>
      <c r="AV204" s="26"/>
    </row>
    <row r="205" spans="1:48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9"/>
      <c r="AT205" s="26"/>
      <c r="AU205" s="49"/>
      <c r="AV205" s="26"/>
    </row>
    <row r="206" spans="1:48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9"/>
      <c r="AT206" s="26"/>
      <c r="AU206" s="49"/>
      <c r="AV206" s="26"/>
    </row>
    <row r="207" spans="1:48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9"/>
      <c r="AT207" s="26"/>
      <c r="AU207" s="49"/>
      <c r="AV207" s="26"/>
    </row>
    <row r="208" spans="1:4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9"/>
      <c r="AT208" s="26"/>
      <c r="AU208" s="49"/>
      <c r="AV208" s="26"/>
    </row>
    <row r="209" spans="1:48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9"/>
      <c r="AT209" s="26"/>
      <c r="AU209" s="49"/>
      <c r="AV209" s="26"/>
    </row>
    <row r="210" spans="1:48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9"/>
      <c r="AT210" s="26"/>
      <c r="AU210" s="49"/>
      <c r="AV210" s="26"/>
    </row>
    <row r="211" spans="1:48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9"/>
      <c r="AT211" s="26"/>
      <c r="AU211" s="49"/>
      <c r="AV211" s="26"/>
    </row>
    <row r="212" spans="1:48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9"/>
      <c r="AT212" s="26"/>
      <c r="AU212" s="49"/>
      <c r="AV212" s="26"/>
    </row>
    <row r="213" spans="1:48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9"/>
      <c r="AT213" s="26"/>
      <c r="AU213" s="49"/>
      <c r="AV213" s="26"/>
    </row>
    <row r="214" spans="1:48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9"/>
      <c r="AT214" s="26"/>
      <c r="AU214" s="49"/>
      <c r="AV214" s="26"/>
    </row>
    <row r="215" spans="1:48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9"/>
      <c r="AT215" s="26"/>
      <c r="AU215" s="49"/>
      <c r="AV215" s="26"/>
    </row>
    <row r="216" spans="1:48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9"/>
      <c r="AT216" s="26"/>
      <c r="AU216" s="49"/>
      <c r="AV216" s="26"/>
    </row>
    <row r="217" spans="1:48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9"/>
      <c r="AT217" s="26"/>
      <c r="AU217" s="49"/>
      <c r="AV217" s="26"/>
    </row>
    <row r="218" spans="1:4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9"/>
      <c r="AT218" s="26"/>
      <c r="AU218" s="49"/>
      <c r="AV218" s="26"/>
    </row>
    <row r="219" spans="1:48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9"/>
      <c r="AT219" s="26"/>
      <c r="AU219" s="49"/>
      <c r="AV219" s="26"/>
    </row>
    <row r="220" spans="1:48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9"/>
      <c r="AT220" s="26"/>
      <c r="AU220" s="49"/>
      <c r="AV220" s="26"/>
    </row>
    <row r="221" spans="1:48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9"/>
      <c r="AT221" s="26"/>
      <c r="AU221" s="49"/>
      <c r="AV221" s="26"/>
    </row>
    <row r="222" spans="1:48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9"/>
      <c r="AT222" s="26"/>
      <c r="AU222" s="49"/>
      <c r="AV222" s="26"/>
    </row>
    <row r="223" spans="1:48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9"/>
      <c r="AT223" s="26"/>
      <c r="AU223" s="49"/>
      <c r="AV223" s="26"/>
    </row>
    <row r="224" spans="1:48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9"/>
      <c r="AT224" s="26"/>
      <c r="AU224" s="49"/>
      <c r="AV224" s="26"/>
    </row>
    <row r="225" spans="1:48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9"/>
      <c r="AT225" s="26"/>
      <c r="AU225" s="49"/>
      <c r="AV225" s="26"/>
    </row>
    <row r="226" spans="1:48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9"/>
      <c r="AT226" s="26"/>
      <c r="AU226" s="49"/>
      <c r="AV226" s="26"/>
    </row>
    <row r="227" spans="1:48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9"/>
      <c r="AT227" s="26"/>
      <c r="AU227" s="49"/>
      <c r="AV227" s="26"/>
    </row>
    <row r="228" spans="1:4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9"/>
      <c r="AT228" s="26"/>
      <c r="AU228" s="49"/>
      <c r="AV228" s="26"/>
    </row>
    <row r="229" spans="1:48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9"/>
      <c r="AT229" s="26"/>
      <c r="AU229" s="49"/>
      <c r="AV229" s="26"/>
    </row>
    <row r="230" spans="1:48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9"/>
      <c r="AT230" s="26"/>
      <c r="AU230" s="49"/>
      <c r="AV230" s="26"/>
    </row>
    <row r="231" spans="1:48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9"/>
      <c r="AT231" s="26"/>
      <c r="AU231" s="49"/>
      <c r="AV231" s="26"/>
    </row>
    <row r="232" spans="1:48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9"/>
      <c r="AT232" s="26"/>
      <c r="AU232" s="49"/>
      <c r="AV232" s="26"/>
    </row>
    <row r="233" spans="1:48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9"/>
      <c r="AT233" s="26"/>
      <c r="AU233" s="49"/>
      <c r="AV233" s="26"/>
    </row>
    <row r="234" spans="1:48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9"/>
      <c r="AT234" s="26"/>
      <c r="AU234" s="49"/>
      <c r="AV234" s="26"/>
    </row>
    <row r="235" spans="1:48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9"/>
      <c r="AT235" s="26"/>
      <c r="AU235" s="49"/>
      <c r="AV235" s="26"/>
    </row>
    <row r="236" spans="1:48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9"/>
      <c r="AT236" s="26"/>
      <c r="AU236" s="49"/>
      <c r="AV236" s="26"/>
    </row>
    <row r="237" spans="1:48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9"/>
      <c r="AT237" s="26"/>
      <c r="AU237" s="49"/>
      <c r="AV237" s="26"/>
    </row>
    <row r="238" spans="1:4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9"/>
      <c r="AT238" s="26"/>
      <c r="AU238" s="49"/>
      <c r="AV238" s="26"/>
    </row>
    <row r="239" spans="1:48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9"/>
      <c r="AT239" s="26"/>
      <c r="AU239" s="49"/>
      <c r="AV239" s="26"/>
    </row>
    <row r="240" spans="1:48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9"/>
      <c r="AT240" s="26"/>
      <c r="AU240" s="49"/>
      <c r="AV240" s="26"/>
    </row>
    <row r="241" spans="1:48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9"/>
      <c r="AT241" s="26"/>
      <c r="AU241" s="49"/>
      <c r="AV241" s="26"/>
    </row>
    <row r="242" spans="1:48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9"/>
      <c r="AT242" s="26"/>
      <c r="AU242" s="49"/>
      <c r="AV242" s="26"/>
    </row>
    <row r="243" spans="1:48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9"/>
      <c r="AT243" s="26"/>
      <c r="AU243" s="49"/>
      <c r="AV243" s="26"/>
    </row>
    <row r="244" spans="1:48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9"/>
      <c r="AT244" s="26"/>
      <c r="AU244" s="49"/>
      <c r="AV244" s="26"/>
    </row>
    <row r="245" spans="1:48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9"/>
      <c r="AT245" s="26"/>
      <c r="AU245" s="49"/>
      <c r="AV245" s="26"/>
    </row>
    <row r="246" spans="1:48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9"/>
      <c r="AT246" s="26"/>
      <c r="AU246" s="49"/>
      <c r="AV246" s="26"/>
    </row>
    <row r="247" spans="1:48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9"/>
      <c r="AT247" s="26"/>
      <c r="AU247" s="49"/>
      <c r="AV247" s="2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V1000"/>
  <sheetViews>
    <sheetView zoomScale="94" workbookViewId="0">
      <selection activeCell="A15"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5" width="6.28515625" style="4" customWidth="1"/>
    <col min="6" max="6" width="7.140625" style="4" customWidth="1"/>
    <col min="7" max="7" width="10.28515625" style="4" customWidth="1"/>
    <col min="8" max="9" width="7" style="4" customWidth="1"/>
    <col min="10" max="10" width="7.85546875" style="4" customWidth="1"/>
    <col min="11" max="11" width="7.42578125" style="4" customWidth="1"/>
    <col min="12" max="12" width="3.28515625" style="4" customWidth="1"/>
    <col min="13" max="13" width="6.28515625" style="4" customWidth="1"/>
    <col min="14" max="14" width="7.42578125" style="4" customWidth="1"/>
    <col min="15" max="15" width="9.7109375" style="4" customWidth="1"/>
    <col min="16" max="16" width="7" style="4" customWidth="1"/>
    <col min="17" max="17" width="6.28515625" style="4" customWidth="1"/>
    <col min="18" max="18" width="10.28515625" style="4"/>
    <col min="19" max="22" width="6.28515625" style="4" customWidth="1"/>
    <col min="23" max="23" width="8.85546875" style="4" customWidth="1"/>
    <col min="24" max="24" width="6.28515625" style="4" customWidth="1"/>
    <col min="25" max="25" width="2.5703125" style="4" customWidth="1"/>
    <col min="26" max="26" width="6.28515625" style="4" customWidth="1"/>
    <col min="27" max="27" width="7.42578125" style="4" customWidth="1"/>
    <col min="28" max="30" width="6.28515625" style="4" customWidth="1"/>
    <col min="31" max="31" width="9.140625" style="4" customWidth="1"/>
    <col min="32" max="32" width="6.28515625" style="4" customWidth="1"/>
    <col min="33" max="33" width="7.140625" style="4" customWidth="1"/>
    <col min="34" max="34" width="8" style="4" customWidth="1"/>
    <col min="35" max="35" width="8.140625" style="4" customWidth="1"/>
    <col min="36" max="36" width="12.42578125" style="4" customWidth="1"/>
    <col min="37" max="44" width="9.28515625" style="4" customWidth="1"/>
    <col min="45" max="45" width="10.5703125" style="4" customWidth="1"/>
    <col min="46" max="48" width="9.28515625" style="4" customWidth="1"/>
    <col min="49" max="16384" width="10.28515625" style="4"/>
  </cols>
  <sheetData>
    <row r="1" spans="1:48" ht="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8" ht="34">
      <c r="A2" s="5">
        <v>2024</v>
      </c>
      <c r="B2" s="6">
        <v>5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8" ht="33" customHeight="1">
      <c r="A3" s="9"/>
      <c r="B3" s="177" t="s">
        <v>2</v>
      </c>
      <c r="C3" s="10"/>
      <c r="D3" s="178" t="s">
        <v>3</v>
      </c>
      <c r="E3" s="179"/>
      <c r="F3" s="179"/>
      <c r="G3" s="179"/>
      <c r="H3" s="179"/>
      <c r="I3" s="179"/>
      <c r="J3" s="179"/>
      <c r="K3" s="180"/>
      <c r="L3" s="181" t="s">
        <v>4</v>
      </c>
      <c r="M3" s="182"/>
      <c r="N3" s="182"/>
      <c r="O3" s="182"/>
      <c r="P3" s="182"/>
      <c r="Q3" s="182"/>
      <c r="R3" s="182"/>
      <c r="S3" s="183"/>
      <c r="T3" s="172" t="s">
        <v>5</v>
      </c>
      <c r="U3" s="184"/>
      <c r="V3" s="184"/>
      <c r="W3" s="184"/>
      <c r="X3" s="185"/>
      <c r="Y3" s="173" t="s">
        <v>6</v>
      </c>
      <c r="Z3" s="174"/>
      <c r="AA3" s="174"/>
      <c r="AB3" s="174"/>
      <c r="AC3" s="174"/>
      <c r="AD3" s="174"/>
      <c r="AE3" s="174"/>
      <c r="AF3" s="186"/>
      <c r="AG3" s="172" t="s">
        <v>7</v>
      </c>
      <c r="AH3" s="184"/>
      <c r="AI3" s="184"/>
      <c r="AJ3" s="184"/>
      <c r="AK3" s="185"/>
      <c r="AL3" s="155" t="s">
        <v>8</v>
      </c>
      <c r="AM3" s="175"/>
      <c r="AN3" s="175"/>
      <c r="AO3" s="175"/>
      <c r="AP3" s="175"/>
      <c r="AQ3" s="175"/>
      <c r="AR3" s="175"/>
      <c r="AS3" s="187"/>
      <c r="AT3" s="2"/>
      <c r="AU3" s="3"/>
      <c r="AV3" s="2"/>
    </row>
    <row r="4" spans="1:48" ht="53.25" customHeight="1" thickBot="1">
      <c r="A4" s="9"/>
      <c r="B4" s="188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19"/>
      <c r="Y4" s="21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19" t="s">
        <v>27</v>
      </c>
      <c r="AL4" s="24" t="s">
        <v>28</v>
      </c>
      <c r="AM4" s="24" t="s">
        <v>29</v>
      </c>
      <c r="AN4" s="24" t="s">
        <v>30</v>
      </c>
      <c r="AO4" s="24" t="s">
        <v>31</v>
      </c>
      <c r="AP4" s="24" t="s">
        <v>32</v>
      </c>
      <c r="AQ4" s="24" t="s">
        <v>33</v>
      </c>
      <c r="AR4" s="24" t="s">
        <v>34</v>
      </c>
      <c r="AS4" s="25" t="s">
        <v>35</v>
      </c>
      <c r="AT4" s="2"/>
      <c r="AU4" s="3"/>
      <c r="AV4" s="2"/>
    </row>
    <row r="5" spans="1:48" ht="22" thickTop="1">
      <c r="A5" s="26"/>
      <c r="B5" s="27">
        <f>DATE($A$2,$B$2,1)</f>
        <v>45413</v>
      </c>
      <c r="C5" s="28" t="s">
        <v>67</v>
      </c>
      <c r="D5" s="29"/>
      <c r="E5" s="30"/>
      <c r="F5" s="31"/>
      <c r="G5" s="32" t="e">
        <f t="shared" ref="G5:G35" si="0">ROUNDDOWN(F5/1.1,0)/E5</f>
        <v>#DIV/0!</v>
      </c>
      <c r="H5" s="31"/>
      <c r="I5" s="33" t="e">
        <f t="shared" ref="I5:I35" si="1">ROUNDDOWN(H5/1.1,0)/E5</f>
        <v>#DIV/0!</v>
      </c>
      <c r="J5" s="34">
        <f t="shared" ref="J5:J35" si="2">F5+H5</f>
        <v>0</v>
      </c>
      <c r="K5" s="35" t="str">
        <f t="shared" ref="K5:K35" si="3">IF(E5="","",J5/E5)</f>
        <v/>
      </c>
      <c r="L5" s="36"/>
      <c r="M5" s="37">
        <f t="shared" ref="M5:N20" si="4">AL5-E5</f>
        <v>38</v>
      </c>
      <c r="N5" s="38">
        <f t="shared" si="4"/>
        <v>335610</v>
      </c>
      <c r="O5" s="32">
        <f t="shared" ref="O5:O35" si="5">ROUNDDOWN(N5/1.1,0)/M5</f>
        <v>8028.9473684210525</v>
      </c>
      <c r="P5" s="38">
        <f t="shared" ref="P5:P35" si="6">AN5-H5</f>
        <v>63850</v>
      </c>
      <c r="Q5" s="33">
        <f t="shared" ref="Q5:Q35" si="7">ROUNDDOWN(P5/1.1,0)/M5</f>
        <v>1527.5</v>
      </c>
      <c r="R5" s="39">
        <f t="shared" ref="R5:R35" si="8">N5+P5</f>
        <v>399460</v>
      </c>
      <c r="S5" s="35">
        <f t="shared" ref="S5:S35" si="9">IF(M5="","",R5/M5)</f>
        <v>10512.105263157895</v>
      </c>
      <c r="T5" s="40">
        <f t="shared" ref="T5:U20" si="10">E5+M5</f>
        <v>38</v>
      </c>
      <c r="U5" s="38">
        <f t="shared" si="10"/>
        <v>335610</v>
      </c>
      <c r="V5" s="38">
        <f t="shared" ref="V5:V35" si="11">H5+P5</f>
        <v>63850</v>
      </c>
      <c r="W5" s="41">
        <f t="shared" ref="W5:W35" si="12">J5+R5</f>
        <v>399460</v>
      </c>
      <c r="X5" s="38"/>
      <c r="Y5" s="42"/>
      <c r="Z5" s="43">
        <v>113</v>
      </c>
      <c r="AA5" s="31">
        <v>64830</v>
      </c>
      <c r="AB5" s="32">
        <f t="shared" ref="AB5:AB35" si="13">AA5/Z5</f>
        <v>573.71681415929208</v>
      </c>
      <c r="AC5" s="31">
        <v>31450</v>
      </c>
      <c r="AD5" s="33">
        <f t="shared" ref="AD5:AD35" si="14">AC5/Z5</f>
        <v>278.31858407079648</v>
      </c>
      <c r="AE5" s="44">
        <f t="shared" ref="AE5:AE35" si="15">AA5+AC5</f>
        <v>96280</v>
      </c>
      <c r="AF5" s="35">
        <f t="shared" ref="AF5:AF35" si="16">IF(Z5="","",AE5/Z5)</f>
        <v>852.0353982300885</v>
      </c>
      <c r="AG5" s="40">
        <f t="shared" ref="AG5:AG35" si="17">SUM(E5,M5)</f>
        <v>38</v>
      </c>
      <c r="AH5" s="38">
        <f t="shared" ref="AH5:AH35" si="18">U5+AA5</f>
        <v>400440</v>
      </c>
      <c r="AI5" s="38">
        <f t="shared" ref="AI5:AI35" si="19">V5+AC5</f>
        <v>95300</v>
      </c>
      <c r="AJ5" s="45">
        <f t="shared" ref="AJ5:AJ35" si="20">W5+AE5</f>
        <v>495740</v>
      </c>
      <c r="AK5" s="38">
        <f t="shared" ref="AK5:AK35" si="21">AO5+AP5+AQ5</f>
        <v>31260</v>
      </c>
      <c r="AL5" s="46">
        <v>38</v>
      </c>
      <c r="AM5" s="46">
        <v>335610</v>
      </c>
      <c r="AN5" s="46">
        <v>63850</v>
      </c>
      <c r="AO5" s="47">
        <v>29700</v>
      </c>
      <c r="AP5" s="47">
        <v>1560</v>
      </c>
      <c r="AQ5" s="47"/>
      <c r="AR5" s="47"/>
      <c r="AS5" s="48">
        <f t="shared" ref="AS5:AS35" si="22">SUM(AM5:AQ5)</f>
        <v>430720</v>
      </c>
      <c r="AT5" s="26">
        <v>1</v>
      </c>
      <c r="AU5" s="49">
        <f>AR5+AS5</f>
        <v>430720</v>
      </c>
      <c r="AV5" s="49">
        <f>AS5+AE5</f>
        <v>527000</v>
      </c>
    </row>
    <row r="6" spans="1:48" ht="21">
      <c r="A6" s="26"/>
      <c r="B6" s="50">
        <f t="shared" ref="B6:B35" si="23">B5+1</f>
        <v>45414</v>
      </c>
      <c r="C6" s="51" t="s">
        <v>68</v>
      </c>
      <c r="D6" s="29"/>
      <c r="E6" s="30"/>
      <c r="F6" s="31"/>
      <c r="G6" s="32" t="e">
        <f t="shared" si="0"/>
        <v>#DIV/0!</v>
      </c>
      <c r="H6" s="31"/>
      <c r="I6" s="33" t="e">
        <f t="shared" si="1"/>
        <v>#DIV/0!</v>
      </c>
      <c r="J6" s="34">
        <f t="shared" si="2"/>
        <v>0</v>
      </c>
      <c r="K6" s="35" t="str">
        <f t="shared" si="3"/>
        <v/>
      </c>
      <c r="L6" s="36"/>
      <c r="M6" s="37">
        <f t="shared" si="4"/>
        <v>41</v>
      </c>
      <c r="N6" s="38">
        <f t="shared" si="4"/>
        <v>371560</v>
      </c>
      <c r="O6" s="32">
        <f t="shared" si="5"/>
        <v>8238.5609756097565</v>
      </c>
      <c r="P6" s="38">
        <f t="shared" si="6"/>
        <v>70590</v>
      </c>
      <c r="Q6" s="33">
        <f t="shared" si="7"/>
        <v>1565.1707317073171</v>
      </c>
      <c r="R6" s="39">
        <f t="shared" si="8"/>
        <v>442150</v>
      </c>
      <c r="S6" s="35">
        <f t="shared" si="9"/>
        <v>10784.146341463415</v>
      </c>
      <c r="T6" s="52">
        <f t="shared" si="10"/>
        <v>41</v>
      </c>
      <c r="U6" s="38">
        <f t="shared" si="10"/>
        <v>371560</v>
      </c>
      <c r="V6" s="38">
        <f t="shared" si="11"/>
        <v>70590</v>
      </c>
      <c r="W6" s="41">
        <f t="shared" si="12"/>
        <v>442150</v>
      </c>
      <c r="X6" s="46"/>
      <c r="Y6" s="42"/>
      <c r="Z6" s="43">
        <v>155</v>
      </c>
      <c r="AA6" s="31">
        <v>99810</v>
      </c>
      <c r="AB6" s="32">
        <f t="shared" si="13"/>
        <v>643.93548387096769</v>
      </c>
      <c r="AC6" s="31">
        <v>36800</v>
      </c>
      <c r="AD6" s="33">
        <f t="shared" si="14"/>
        <v>237.41935483870967</v>
      </c>
      <c r="AE6" s="44">
        <f t="shared" si="15"/>
        <v>136610</v>
      </c>
      <c r="AF6" s="35">
        <f t="shared" si="16"/>
        <v>881.35483870967744</v>
      </c>
      <c r="AG6" s="52">
        <f t="shared" si="17"/>
        <v>41</v>
      </c>
      <c r="AH6" s="38">
        <f t="shared" si="18"/>
        <v>471370</v>
      </c>
      <c r="AI6" s="38">
        <f t="shared" si="19"/>
        <v>107390</v>
      </c>
      <c r="AJ6" s="45">
        <f t="shared" si="20"/>
        <v>578760</v>
      </c>
      <c r="AK6" s="38">
        <f t="shared" si="21"/>
        <v>24220</v>
      </c>
      <c r="AL6" s="46">
        <v>41</v>
      </c>
      <c r="AM6" s="46">
        <v>371560</v>
      </c>
      <c r="AN6" s="46">
        <v>70590</v>
      </c>
      <c r="AO6" s="47">
        <v>21450</v>
      </c>
      <c r="AP6" s="47">
        <v>2770</v>
      </c>
      <c r="AQ6" s="47"/>
      <c r="AR6" s="47"/>
      <c r="AS6" s="48">
        <f t="shared" si="22"/>
        <v>466370</v>
      </c>
      <c r="AT6" s="26">
        <v>2</v>
      </c>
      <c r="AU6" s="49">
        <f t="shared" ref="AU6:AU35" si="24">AR6+AS6</f>
        <v>466370</v>
      </c>
      <c r="AV6" s="49">
        <f t="shared" ref="AV6:AV35" si="25">AS6+AE6</f>
        <v>602980</v>
      </c>
    </row>
    <row r="7" spans="1:48" ht="21">
      <c r="A7" s="26"/>
      <c r="B7" s="54">
        <f t="shared" si="23"/>
        <v>45415</v>
      </c>
      <c r="C7" s="51" t="s">
        <v>69</v>
      </c>
      <c r="D7" s="29"/>
      <c r="E7" s="30">
        <v>30</v>
      </c>
      <c r="F7" s="31">
        <v>106040</v>
      </c>
      <c r="G7" s="32">
        <f t="shared" si="0"/>
        <v>3213.3333333333335</v>
      </c>
      <c r="H7" s="31">
        <v>13800</v>
      </c>
      <c r="I7" s="33">
        <f t="shared" si="1"/>
        <v>418.16666666666669</v>
      </c>
      <c r="J7" s="34">
        <f t="shared" si="2"/>
        <v>119840</v>
      </c>
      <c r="K7" s="35">
        <f t="shared" si="3"/>
        <v>3994.6666666666665</v>
      </c>
      <c r="L7" s="36"/>
      <c r="M7" s="37">
        <f t="shared" si="4"/>
        <v>41</v>
      </c>
      <c r="N7" s="38">
        <f t="shared" si="4"/>
        <v>326040</v>
      </c>
      <c r="O7" s="32">
        <f t="shared" si="5"/>
        <v>7229.2682926829266</v>
      </c>
      <c r="P7" s="38">
        <f t="shared" si="6"/>
        <v>56210</v>
      </c>
      <c r="Q7" s="33">
        <f t="shared" si="7"/>
        <v>1246.3414634146341</v>
      </c>
      <c r="R7" s="39">
        <f t="shared" si="8"/>
        <v>382250</v>
      </c>
      <c r="S7" s="35">
        <f t="shared" si="9"/>
        <v>9323.1707317073178</v>
      </c>
      <c r="T7" s="52">
        <f t="shared" si="10"/>
        <v>71</v>
      </c>
      <c r="U7" s="38">
        <f t="shared" si="10"/>
        <v>432080</v>
      </c>
      <c r="V7" s="38">
        <f t="shared" si="11"/>
        <v>70010</v>
      </c>
      <c r="W7" s="41">
        <f t="shared" si="12"/>
        <v>502090</v>
      </c>
      <c r="X7" s="46"/>
      <c r="Y7" s="42"/>
      <c r="Z7" s="43">
        <v>106</v>
      </c>
      <c r="AA7" s="31">
        <v>63280</v>
      </c>
      <c r="AB7" s="32">
        <f t="shared" si="13"/>
        <v>596.98113207547169</v>
      </c>
      <c r="AC7" s="31">
        <v>22350</v>
      </c>
      <c r="AD7" s="33">
        <f t="shared" si="14"/>
        <v>210.84905660377359</v>
      </c>
      <c r="AE7" s="44">
        <f t="shared" si="15"/>
        <v>85630</v>
      </c>
      <c r="AF7" s="35">
        <f t="shared" si="16"/>
        <v>807.83018867924534</v>
      </c>
      <c r="AG7" s="52">
        <f t="shared" si="17"/>
        <v>71</v>
      </c>
      <c r="AH7" s="38">
        <f t="shared" si="18"/>
        <v>495360</v>
      </c>
      <c r="AI7" s="38">
        <f t="shared" si="19"/>
        <v>92360</v>
      </c>
      <c r="AJ7" s="45">
        <f t="shared" si="20"/>
        <v>587720</v>
      </c>
      <c r="AK7" s="38">
        <f t="shared" si="21"/>
        <v>31350</v>
      </c>
      <c r="AL7" s="46">
        <v>71</v>
      </c>
      <c r="AM7" s="46">
        <v>432080</v>
      </c>
      <c r="AN7" s="46">
        <v>70010</v>
      </c>
      <c r="AO7" s="47">
        <v>31350</v>
      </c>
      <c r="AP7" s="47"/>
      <c r="AQ7" s="47"/>
      <c r="AR7" s="47"/>
      <c r="AS7" s="48">
        <f t="shared" si="22"/>
        <v>533440</v>
      </c>
      <c r="AT7" s="26">
        <v>3</v>
      </c>
      <c r="AU7" s="49">
        <f t="shared" si="24"/>
        <v>533440</v>
      </c>
      <c r="AV7" s="49">
        <f t="shared" si="25"/>
        <v>619070</v>
      </c>
    </row>
    <row r="8" spans="1:48" ht="21">
      <c r="A8" s="26"/>
      <c r="B8" s="143">
        <f t="shared" si="23"/>
        <v>45416</v>
      </c>
      <c r="C8" s="51"/>
      <c r="D8" s="29"/>
      <c r="E8" s="30">
        <v>33</v>
      </c>
      <c r="F8" s="31">
        <v>118420</v>
      </c>
      <c r="G8" s="32">
        <f t="shared" si="0"/>
        <v>3262.242424242424</v>
      </c>
      <c r="H8" s="31">
        <v>15810</v>
      </c>
      <c r="I8" s="33">
        <f t="shared" si="1"/>
        <v>435.5151515151515</v>
      </c>
      <c r="J8" s="34">
        <f t="shared" si="2"/>
        <v>134230</v>
      </c>
      <c r="K8" s="35">
        <f t="shared" si="3"/>
        <v>4067.5757575757575</v>
      </c>
      <c r="L8" s="36"/>
      <c r="M8" s="37">
        <f t="shared" si="4"/>
        <v>43</v>
      </c>
      <c r="N8" s="38">
        <f t="shared" si="4"/>
        <v>380820</v>
      </c>
      <c r="O8" s="32">
        <f t="shared" si="5"/>
        <v>8051.1627906976746</v>
      </c>
      <c r="P8" s="38">
        <f t="shared" si="6"/>
        <v>48630</v>
      </c>
      <c r="Q8" s="33">
        <f t="shared" si="7"/>
        <v>1028.1162790697674</v>
      </c>
      <c r="R8" s="39">
        <f t="shared" si="8"/>
        <v>429450</v>
      </c>
      <c r="S8" s="35">
        <f t="shared" si="9"/>
        <v>9987.209302325582</v>
      </c>
      <c r="T8" s="52">
        <f t="shared" si="10"/>
        <v>76</v>
      </c>
      <c r="U8" s="38">
        <f t="shared" si="10"/>
        <v>499240</v>
      </c>
      <c r="V8" s="38">
        <f t="shared" si="11"/>
        <v>64440</v>
      </c>
      <c r="W8" s="41">
        <f t="shared" si="12"/>
        <v>563680</v>
      </c>
      <c r="X8" s="46"/>
      <c r="Y8" s="42"/>
      <c r="Z8" s="43">
        <v>225</v>
      </c>
      <c r="AA8" s="31">
        <v>186490</v>
      </c>
      <c r="AB8" s="32">
        <f t="shared" si="13"/>
        <v>828.84444444444443</v>
      </c>
      <c r="AC8" s="31">
        <v>51600</v>
      </c>
      <c r="AD8" s="33">
        <f t="shared" si="14"/>
        <v>229.33333333333334</v>
      </c>
      <c r="AE8" s="44">
        <f t="shared" si="15"/>
        <v>238090</v>
      </c>
      <c r="AF8" s="35">
        <f t="shared" si="16"/>
        <v>1058.1777777777777</v>
      </c>
      <c r="AG8" s="52">
        <f t="shared" si="17"/>
        <v>76</v>
      </c>
      <c r="AH8" s="38">
        <f t="shared" si="18"/>
        <v>685730</v>
      </c>
      <c r="AI8" s="38">
        <f t="shared" si="19"/>
        <v>116040</v>
      </c>
      <c r="AJ8" s="53">
        <f t="shared" si="20"/>
        <v>801770</v>
      </c>
      <c r="AK8" s="38">
        <f t="shared" si="21"/>
        <v>29150</v>
      </c>
      <c r="AL8" s="46">
        <v>76</v>
      </c>
      <c r="AM8" s="46">
        <v>499240</v>
      </c>
      <c r="AN8" s="46">
        <v>64440</v>
      </c>
      <c r="AO8" s="47">
        <v>29150</v>
      </c>
      <c r="AP8" s="47"/>
      <c r="AQ8" s="47"/>
      <c r="AR8" s="47"/>
      <c r="AS8" s="48">
        <f t="shared" si="22"/>
        <v>592830</v>
      </c>
      <c r="AT8" s="26">
        <v>4</v>
      </c>
      <c r="AU8" s="49">
        <f t="shared" si="24"/>
        <v>592830</v>
      </c>
      <c r="AV8" s="49">
        <f t="shared" si="25"/>
        <v>830920</v>
      </c>
    </row>
    <row r="9" spans="1:48" ht="21">
      <c r="A9" s="26"/>
      <c r="B9" s="54">
        <f t="shared" si="23"/>
        <v>45417</v>
      </c>
      <c r="C9" s="51"/>
      <c r="D9" s="29"/>
      <c r="E9" s="30">
        <v>32</v>
      </c>
      <c r="F9" s="31">
        <v>151250</v>
      </c>
      <c r="G9" s="32">
        <f t="shared" si="0"/>
        <v>4296.875</v>
      </c>
      <c r="H9" s="31">
        <v>53800</v>
      </c>
      <c r="I9" s="33">
        <f t="shared" si="1"/>
        <v>1528.40625</v>
      </c>
      <c r="J9" s="34">
        <f t="shared" si="2"/>
        <v>205050</v>
      </c>
      <c r="K9" s="35">
        <f t="shared" si="3"/>
        <v>6407.8125</v>
      </c>
      <c r="L9" s="36"/>
      <c r="M9" s="37">
        <f t="shared" si="4"/>
        <v>39</v>
      </c>
      <c r="N9" s="38">
        <f t="shared" si="4"/>
        <v>406670</v>
      </c>
      <c r="O9" s="32">
        <f t="shared" si="5"/>
        <v>9479.4871794871797</v>
      </c>
      <c r="P9" s="38">
        <f t="shared" si="6"/>
        <v>53410</v>
      </c>
      <c r="Q9" s="33">
        <f t="shared" si="7"/>
        <v>1244.9743589743589</v>
      </c>
      <c r="R9" s="39">
        <f t="shared" si="8"/>
        <v>460080</v>
      </c>
      <c r="S9" s="35">
        <f t="shared" si="9"/>
        <v>11796.923076923076</v>
      </c>
      <c r="T9" s="52">
        <f t="shared" si="10"/>
        <v>71</v>
      </c>
      <c r="U9" s="38">
        <f t="shared" si="10"/>
        <v>557920</v>
      </c>
      <c r="V9" s="38">
        <f t="shared" si="11"/>
        <v>107210</v>
      </c>
      <c r="W9" s="41">
        <f t="shared" si="12"/>
        <v>665130</v>
      </c>
      <c r="X9" s="46"/>
      <c r="Y9" s="42"/>
      <c r="Z9" s="43">
        <v>194</v>
      </c>
      <c r="AA9" s="31">
        <v>132270</v>
      </c>
      <c r="AB9" s="32">
        <f t="shared" si="13"/>
        <v>681.80412371134025</v>
      </c>
      <c r="AC9" s="31">
        <v>52150</v>
      </c>
      <c r="AD9" s="33">
        <f t="shared" si="14"/>
        <v>268.81443298969072</v>
      </c>
      <c r="AE9" s="44">
        <f t="shared" si="15"/>
        <v>184420</v>
      </c>
      <c r="AF9" s="35">
        <f t="shared" si="16"/>
        <v>950.61855670103091</v>
      </c>
      <c r="AG9" s="52">
        <f t="shared" si="17"/>
        <v>71</v>
      </c>
      <c r="AH9" s="38">
        <f t="shared" si="18"/>
        <v>690190</v>
      </c>
      <c r="AI9" s="38">
        <f t="shared" si="19"/>
        <v>159360</v>
      </c>
      <c r="AJ9" s="45">
        <f t="shared" si="20"/>
        <v>849550</v>
      </c>
      <c r="AK9" s="38">
        <f t="shared" si="21"/>
        <v>17600</v>
      </c>
      <c r="AL9" s="46">
        <v>71</v>
      </c>
      <c r="AM9" s="46">
        <v>557920</v>
      </c>
      <c r="AN9" s="46">
        <v>107210</v>
      </c>
      <c r="AO9" s="47">
        <v>17600</v>
      </c>
      <c r="AP9" s="47"/>
      <c r="AQ9" s="47"/>
      <c r="AR9" s="47"/>
      <c r="AS9" s="48">
        <f t="shared" si="22"/>
        <v>682730</v>
      </c>
      <c r="AT9" s="26">
        <v>5</v>
      </c>
      <c r="AU9" s="49">
        <f t="shared" si="24"/>
        <v>682730</v>
      </c>
      <c r="AV9" s="49">
        <f t="shared" si="25"/>
        <v>867150</v>
      </c>
    </row>
    <row r="10" spans="1:48" ht="21">
      <c r="A10" s="26"/>
      <c r="B10" s="54">
        <f t="shared" si="23"/>
        <v>45418</v>
      </c>
      <c r="C10" s="51"/>
      <c r="D10" s="29"/>
      <c r="E10" s="30">
        <v>8</v>
      </c>
      <c r="F10" s="31">
        <v>36850</v>
      </c>
      <c r="G10" s="32">
        <f t="shared" si="0"/>
        <v>4187.5</v>
      </c>
      <c r="H10" s="31">
        <v>11070</v>
      </c>
      <c r="I10" s="33">
        <f t="shared" si="1"/>
        <v>1257.875</v>
      </c>
      <c r="J10" s="34">
        <f t="shared" si="2"/>
        <v>47920</v>
      </c>
      <c r="K10" s="35">
        <f t="shared" si="3"/>
        <v>5990</v>
      </c>
      <c r="L10" s="36"/>
      <c r="M10" s="37">
        <f t="shared" si="4"/>
        <v>24</v>
      </c>
      <c r="N10" s="38">
        <f t="shared" si="4"/>
        <v>270030</v>
      </c>
      <c r="O10" s="32">
        <f t="shared" si="5"/>
        <v>10228.375</v>
      </c>
      <c r="P10" s="38">
        <f t="shared" si="6"/>
        <v>28860</v>
      </c>
      <c r="Q10" s="33">
        <f t="shared" si="7"/>
        <v>1093.1666666666667</v>
      </c>
      <c r="R10" s="39">
        <f t="shared" si="8"/>
        <v>298890</v>
      </c>
      <c r="S10" s="35">
        <f t="shared" si="9"/>
        <v>12453.75</v>
      </c>
      <c r="T10" s="52">
        <f t="shared" si="10"/>
        <v>32</v>
      </c>
      <c r="U10" s="38">
        <f t="shared" si="10"/>
        <v>306880</v>
      </c>
      <c r="V10" s="38">
        <f t="shared" si="11"/>
        <v>39930</v>
      </c>
      <c r="W10" s="41">
        <f t="shared" si="12"/>
        <v>346810</v>
      </c>
      <c r="X10" s="46"/>
      <c r="Y10" s="42"/>
      <c r="Z10" s="43">
        <v>26</v>
      </c>
      <c r="AA10" s="31">
        <v>18530</v>
      </c>
      <c r="AB10" s="32">
        <f t="shared" si="13"/>
        <v>712.69230769230774</v>
      </c>
      <c r="AC10" s="31">
        <v>4850</v>
      </c>
      <c r="AD10" s="33">
        <f t="shared" si="14"/>
        <v>186.53846153846155</v>
      </c>
      <c r="AE10" s="44">
        <f t="shared" si="15"/>
        <v>23380</v>
      </c>
      <c r="AF10" s="35">
        <f t="shared" si="16"/>
        <v>899.23076923076928</v>
      </c>
      <c r="AG10" s="52">
        <f t="shared" si="17"/>
        <v>32</v>
      </c>
      <c r="AH10" s="38">
        <f t="shared" si="18"/>
        <v>325410</v>
      </c>
      <c r="AI10" s="38">
        <f t="shared" si="19"/>
        <v>44780</v>
      </c>
      <c r="AJ10" s="45">
        <f t="shared" si="20"/>
        <v>370190</v>
      </c>
      <c r="AK10" s="38">
        <f t="shared" si="21"/>
        <v>26400</v>
      </c>
      <c r="AL10" s="46">
        <v>32</v>
      </c>
      <c r="AM10" s="46">
        <v>306880</v>
      </c>
      <c r="AN10" s="46">
        <v>39930</v>
      </c>
      <c r="AO10" s="47">
        <v>26400</v>
      </c>
      <c r="AP10" s="47"/>
      <c r="AQ10" s="47"/>
      <c r="AR10" s="47"/>
      <c r="AS10" s="48">
        <f t="shared" si="22"/>
        <v>373210</v>
      </c>
      <c r="AT10" s="26">
        <v>6</v>
      </c>
      <c r="AU10" s="49">
        <f t="shared" si="24"/>
        <v>373210</v>
      </c>
      <c r="AV10" s="49">
        <f t="shared" si="25"/>
        <v>396590</v>
      </c>
    </row>
    <row r="11" spans="1:48" ht="21">
      <c r="A11" s="26"/>
      <c r="B11" s="144">
        <f t="shared" si="23"/>
        <v>45419</v>
      </c>
      <c r="C11" s="51" t="s">
        <v>70</v>
      </c>
      <c r="D11" s="29"/>
      <c r="E11" s="30"/>
      <c r="F11" s="31"/>
      <c r="G11" s="32" t="e">
        <f t="shared" si="0"/>
        <v>#DIV/0!</v>
      </c>
      <c r="H11" s="31"/>
      <c r="I11" s="33" t="e">
        <f t="shared" si="1"/>
        <v>#DIV/0!</v>
      </c>
      <c r="J11" s="34">
        <f t="shared" si="2"/>
        <v>0</v>
      </c>
      <c r="K11" s="35" t="str">
        <f t="shared" si="3"/>
        <v/>
      </c>
      <c r="L11" s="36"/>
      <c r="M11" s="37">
        <f t="shared" si="4"/>
        <v>35</v>
      </c>
      <c r="N11" s="38">
        <f t="shared" si="4"/>
        <v>320650</v>
      </c>
      <c r="O11" s="32">
        <f t="shared" si="5"/>
        <v>8328.5714285714294</v>
      </c>
      <c r="P11" s="38">
        <f t="shared" si="6"/>
        <v>46550</v>
      </c>
      <c r="Q11" s="33">
        <f t="shared" si="7"/>
        <v>1209.0857142857142</v>
      </c>
      <c r="R11" s="39">
        <f t="shared" si="8"/>
        <v>367200</v>
      </c>
      <c r="S11" s="35">
        <f t="shared" si="9"/>
        <v>10491.428571428571</v>
      </c>
      <c r="T11" s="52">
        <f t="shared" si="10"/>
        <v>35</v>
      </c>
      <c r="U11" s="38">
        <f t="shared" si="10"/>
        <v>320650</v>
      </c>
      <c r="V11" s="38">
        <f t="shared" si="11"/>
        <v>46550</v>
      </c>
      <c r="W11" s="41">
        <f t="shared" si="12"/>
        <v>367200</v>
      </c>
      <c r="X11" s="46"/>
      <c r="Y11" s="42"/>
      <c r="Z11" s="43">
        <v>10</v>
      </c>
      <c r="AA11" s="31">
        <v>6510</v>
      </c>
      <c r="AB11" s="32">
        <f t="shared" si="13"/>
        <v>651</v>
      </c>
      <c r="AC11" s="31">
        <v>4700</v>
      </c>
      <c r="AD11" s="33">
        <f t="shared" si="14"/>
        <v>470</v>
      </c>
      <c r="AE11" s="44">
        <f t="shared" si="15"/>
        <v>11210</v>
      </c>
      <c r="AF11" s="35">
        <f t="shared" si="16"/>
        <v>1121</v>
      </c>
      <c r="AG11" s="52">
        <f t="shared" si="17"/>
        <v>35</v>
      </c>
      <c r="AH11" s="38">
        <f t="shared" si="18"/>
        <v>327160</v>
      </c>
      <c r="AI11" s="38">
        <f t="shared" si="19"/>
        <v>51250</v>
      </c>
      <c r="AJ11" s="45">
        <f t="shared" si="20"/>
        <v>378410</v>
      </c>
      <c r="AK11" s="38">
        <f t="shared" si="21"/>
        <v>17050</v>
      </c>
      <c r="AL11" s="46">
        <v>35</v>
      </c>
      <c r="AM11" s="46">
        <v>320650</v>
      </c>
      <c r="AN11" s="46">
        <v>46550</v>
      </c>
      <c r="AO11" s="47">
        <v>17050</v>
      </c>
      <c r="AP11" s="47"/>
      <c r="AQ11" s="47"/>
      <c r="AR11" s="47"/>
      <c r="AS11" s="48">
        <f t="shared" si="22"/>
        <v>384250</v>
      </c>
      <c r="AT11" s="26">
        <v>7</v>
      </c>
      <c r="AU11" s="49">
        <f t="shared" si="24"/>
        <v>384250</v>
      </c>
      <c r="AV11" s="49">
        <f t="shared" si="25"/>
        <v>395460</v>
      </c>
    </row>
    <row r="12" spans="1:48" ht="21">
      <c r="A12" s="26"/>
      <c r="B12" s="144">
        <f t="shared" si="23"/>
        <v>45420</v>
      </c>
      <c r="C12" s="51" t="s">
        <v>71</v>
      </c>
      <c r="D12" s="29"/>
      <c r="E12" s="30"/>
      <c r="F12" s="31"/>
      <c r="G12" s="32" t="e">
        <f t="shared" si="0"/>
        <v>#DIV/0!</v>
      </c>
      <c r="H12" s="31"/>
      <c r="I12" s="33" t="e">
        <f t="shared" si="1"/>
        <v>#DIV/0!</v>
      </c>
      <c r="J12" s="34">
        <f t="shared" si="2"/>
        <v>0</v>
      </c>
      <c r="K12" s="35" t="str">
        <f t="shared" si="3"/>
        <v/>
      </c>
      <c r="L12" s="36"/>
      <c r="M12" s="37">
        <f t="shared" si="4"/>
        <v>14</v>
      </c>
      <c r="N12" s="38">
        <f t="shared" si="4"/>
        <v>154660</v>
      </c>
      <c r="O12" s="32">
        <f t="shared" si="5"/>
        <v>10042.857142857143</v>
      </c>
      <c r="P12" s="38">
        <f t="shared" si="6"/>
        <v>31670</v>
      </c>
      <c r="Q12" s="56">
        <f t="shared" si="7"/>
        <v>2056.4285714285716</v>
      </c>
      <c r="R12" s="39">
        <f t="shared" si="8"/>
        <v>186330</v>
      </c>
      <c r="S12" s="35">
        <f t="shared" si="9"/>
        <v>13309.285714285714</v>
      </c>
      <c r="T12" s="52">
        <f t="shared" si="10"/>
        <v>14</v>
      </c>
      <c r="U12" s="38">
        <f t="shared" si="10"/>
        <v>154660</v>
      </c>
      <c r="V12" s="38">
        <f t="shared" si="11"/>
        <v>31670</v>
      </c>
      <c r="W12" s="41">
        <f t="shared" si="12"/>
        <v>186330</v>
      </c>
      <c r="X12" s="46"/>
      <c r="Y12" s="42"/>
      <c r="Z12" s="43">
        <v>10</v>
      </c>
      <c r="AA12" s="31">
        <v>6450</v>
      </c>
      <c r="AB12" s="32">
        <f t="shared" si="13"/>
        <v>645</v>
      </c>
      <c r="AC12" s="31">
        <v>5100</v>
      </c>
      <c r="AD12" s="33">
        <f t="shared" si="14"/>
        <v>510</v>
      </c>
      <c r="AE12" s="44">
        <f t="shared" si="15"/>
        <v>11550</v>
      </c>
      <c r="AF12" s="35">
        <f t="shared" si="16"/>
        <v>1155</v>
      </c>
      <c r="AG12" s="52">
        <f t="shared" si="17"/>
        <v>14</v>
      </c>
      <c r="AH12" s="38">
        <f t="shared" si="18"/>
        <v>161110</v>
      </c>
      <c r="AI12" s="38">
        <f t="shared" si="19"/>
        <v>36770</v>
      </c>
      <c r="AJ12" s="45">
        <f t="shared" si="20"/>
        <v>197880</v>
      </c>
      <c r="AK12" s="38">
        <f t="shared" si="21"/>
        <v>12100</v>
      </c>
      <c r="AL12" s="46">
        <v>14</v>
      </c>
      <c r="AM12" s="46">
        <v>154660</v>
      </c>
      <c r="AN12" s="46">
        <v>31670</v>
      </c>
      <c r="AO12" s="47">
        <v>12100</v>
      </c>
      <c r="AP12" s="47"/>
      <c r="AQ12" s="47"/>
      <c r="AR12" s="47"/>
      <c r="AS12" s="48">
        <f t="shared" si="22"/>
        <v>198430</v>
      </c>
      <c r="AT12" s="26">
        <v>8</v>
      </c>
      <c r="AU12" s="49">
        <f t="shared" si="24"/>
        <v>198430</v>
      </c>
      <c r="AV12" s="49">
        <f t="shared" si="25"/>
        <v>209980</v>
      </c>
    </row>
    <row r="13" spans="1:48" ht="21">
      <c r="A13" s="26"/>
      <c r="B13" s="144">
        <f t="shared" si="23"/>
        <v>45421</v>
      </c>
      <c r="C13" s="51" t="s">
        <v>53</v>
      </c>
      <c r="D13" s="29"/>
      <c r="E13" s="30"/>
      <c r="F13" s="31"/>
      <c r="G13" s="32" t="e">
        <f t="shared" si="0"/>
        <v>#DIV/0!</v>
      </c>
      <c r="H13" s="31"/>
      <c r="I13" s="33" t="e">
        <f t="shared" si="1"/>
        <v>#DIV/0!</v>
      </c>
      <c r="J13" s="34">
        <f t="shared" si="2"/>
        <v>0</v>
      </c>
      <c r="K13" s="35" t="str">
        <f t="shared" si="3"/>
        <v/>
      </c>
      <c r="L13" s="36"/>
      <c r="M13" s="37">
        <f t="shared" si="4"/>
        <v>21</v>
      </c>
      <c r="N13" s="38">
        <f t="shared" si="4"/>
        <v>208670</v>
      </c>
      <c r="O13" s="32">
        <f t="shared" si="5"/>
        <v>9033.3333333333339</v>
      </c>
      <c r="P13" s="38">
        <f t="shared" si="6"/>
        <v>27700</v>
      </c>
      <c r="Q13" s="33">
        <f t="shared" si="7"/>
        <v>1199.0952380952381</v>
      </c>
      <c r="R13" s="39">
        <f t="shared" si="8"/>
        <v>236370</v>
      </c>
      <c r="S13" s="35">
        <f t="shared" si="9"/>
        <v>11255.714285714286</v>
      </c>
      <c r="T13" s="52">
        <f t="shared" si="10"/>
        <v>21</v>
      </c>
      <c r="U13" s="38">
        <f t="shared" si="10"/>
        <v>208670</v>
      </c>
      <c r="V13" s="38">
        <f t="shared" si="11"/>
        <v>27700</v>
      </c>
      <c r="W13" s="41">
        <f t="shared" si="12"/>
        <v>236370</v>
      </c>
      <c r="X13" s="46"/>
      <c r="Y13" s="42"/>
      <c r="Z13" s="43">
        <v>79</v>
      </c>
      <c r="AA13" s="31">
        <v>43760</v>
      </c>
      <c r="AB13" s="32">
        <f t="shared" si="13"/>
        <v>553.92405063291142</v>
      </c>
      <c r="AC13" s="31">
        <v>21750</v>
      </c>
      <c r="AD13" s="33">
        <f t="shared" si="14"/>
        <v>275.31645569620252</v>
      </c>
      <c r="AE13" s="44">
        <f t="shared" si="15"/>
        <v>65510</v>
      </c>
      <c r="AF13" s="35">
        <f t="shared" si="16"/>
        <v>829.24050632911394</v>
      </c>
      <c r="AG13" s="52">
        <f t="shared" si="17"/>
        <v>21</v>
      </c>
      <c r="AH13" s="38">
        <f t="shared" si="18"/>
        <v>252430</v>
      </c>
      <c r="AI13" s="38">
        <f t="shared" si="19"/>
        <v>49450</v>
      </c>
      <c r="AJ13" s="45">
        <f t="shared" si="20"/>
        <v>301880</v>
      </c>
      <c r="AK13" s="38">
        <f t="shared" si="21"/>
        <v>16960</v>
      </c>
      <c r="AL13" s="46">
        <v>21</v>
      </c>
      <c r="AM13" s="46">
        <v>208670</v>
      </c>
      <c r="AN13" s="46">
        <v>27700</v>
      </c>
      <c r="AO13" s="47">
        <v>15400</v>
      </c>
      <c r="AP13" s="47">
        <v>1560</v>
      </c>
      <c r="AQ13" s="47"/>
      <c r="AR13" s="47"/>
      <c r="AS13" s="48">
        <f t="shared" si="22"/>
        <v>253330</v>
      </c>
      <c r="AT13" s="26">
        <v>9</v>
      </c>
      <c r="AU13" s="49">
        <f t="shared" si="24"/>
        <v>253330</v>
      </c>
      <c r="AV13" s="49">
        <f t="shared" si="25"/>
        <v>318840</v>
      </c>
    </row>
    <row r="14" spans="1:48" ht="21">
      <c r="A14" s="26"/>
      <c r="B14" s="144">
        <f t="shared" si="23"/>
        <v>45422</v>
      </c>
      <c r="C14" s="51" t="s">
        <v>54</v>
      </c>
      <c r="D14" s="29"/>
      <c r="E14" s="30"/>
      <c r="F14" s="31"/>
      <c r="G14" s="32" t="e">
        <f t="shared" si="0"/>
        <v>#DIV/0!</v>
      </c>
      <c r="H14" s="31"/>
      <c r="I14" s="33" t="e">
        <f t="shared" si="1"/>
        <v>#DIV/0!</v>
      </c>
      <c r="J14" s="34">
        <f t="shared" si="2"/>
        <v>0</v>
      </c>
      <c r="K14" s="35" t="str">
        <f t="shared" si="3"/>
        <v/>
      </c>
      <c r="L14" s="36"/>
      <c r="M14" s="37">
        <f t="shared" si="4"/>
        <v>31</v>
      </c>
      <c r="N14" s="38">
        <f t="shared" si="4"/>
        <v>269390</v>
      </c>
      <c r="O14" s="32">
        <f t="shared" si="5"/>
        <v>7900</v>
      </c>
      <c r="P14" s="38">
        <f t="shared" si="6"/>
        <v>24870</v>
      </c>
      <c r="Q14" s="33">
        <f t="shared" si="7"/>
        <v>729.32258064516134</v>
      </c>
      <c r="R14" s="39">
        <f t="shared" si="8"/>
        <v>294260</v>
      </c>
      <c r="S14" s="35">
        <f t="shared" si="9"/>
        <v>9492.2580645161288</v>
      </c>
      <c r="T14" s="52">
        <f t="shared" si="10"/>
        <v>31</v>
      </c>
      <c r="U14" s="38">
        <f t="shared" si="10"/>
        <v>269390</v>
      </c>
      <c r="V14" s="38">
        <f t="shared" si="11"/>
        <v>24870</v>
      </c>
      <c r="W14" s="41">
        <f t="shared" si="12"/>
        <v>294260</v>
      </c>
      <c r="X14" s="46"/>
      <c r="Y14" s="42"/>
      <c r="Z14" s="43">
        <v>64</v>
      </c>
      <c r="AA14" s="31">
        <v>39960</v>
      </c>
      <c r="AB14" s="32">
        <f t="shared" si="13"/>
        <v>624.375</v>
      </c>
      <c r="AC14" s="31">
        <v>17400</v>
      </c>
      <c r="AD14" s="33">
        <f t="shared" si="14"/>
        <v>271.875</v>
      </c>
      <c r="AE14" s="44">
        <f t="shared" si="15"/>
        <v>57360</v>
      </c>
      <c r="AF14" s="35">
        <f t="shared" si="16"/>
        <v>896.25</v>
      </c>
      <c r="AG14" s="52">
        <f t="shared" si="17"/>
        <v>31</v>
      </c>
      <c r="AH14" s="38">
        <f t="shared" si="18"/>
        <v>309350</v>
      </c>
      <c r="AI14" s="38">
        <f t="shared" si="19"/>
        <v>42270</v>
      </c>
      <c r="AJ14" s="53">
        <f t="shared" si="20"/>
        <v>351620</v>
      </c>
      <c r="AK14" s="38">
        <f t="shared" si="21"/>
        <v>11550</v>
      </c>
      <c r="AL14" s="46">
        <v>31</v>
      </c>
      <c r="AM14" s="46">
        <v>269390</v>
      </c>
      <c r="AN14" s="46">
        <v>24870</v>
      </c>
      <c r="AO14" s="47">
        <v>11550</v>
      </c>
      <c r="AP14" s="47"/>
      <c r="AQ14" s="47"/>
      <c r="AR14" s="47"/>
      <c r="AS14" s="48">
        <f t="shared" si="22"/>
        <v>305810</v>
      </c>
      <c r="AT14" s="26">
        <v>10</v>
      </c>
      <c r="AU14" s="49">
        <f t="shared" si="24"/>
        <v>305810</v>
      </c>
      <c r="AV14" s="49">
        <f t="shared" si="25"/>
        <v>363170</v>
      </c>
    </row>
    <row r="15" spans="1:48" ht="21">
      <c r="A15" s="26"/>
      <c r="B15" s="143">
        <f>B14+1</f>
        <v>45423</v>
      </c>
      <c r="C15" s="51"/>
      <c r="D15" s="29"/>
      <c r="E15" s="30">
        <v>22</v>
      </c>
      <c r="F15" s="31">
        <v>81180</v>
      </c>
      <c r="G15" s="32">
        <f t="shared" si="0"/>
        <v>3354.5454545454545</v>
      </c>
      <c r="H15" s="31">
        <v>15610</v>
      </c>
      <c r="I15" s="33">
        <f t="shared" si="1"/>
        <v>645</v>
      </c>
      <c r="J15" s="34">
        <f t="shared" si="2"/>
        <v>96790</v>
      </c>
      <c r="K15" s="35">
        <f t="shared" si="3"/>
        <v>4399.545454545455</v>
      </c>
      <c r="L15" s="36"/>
      <c r="M15" s="37">
        <f t="shared" si="4"/>
        <v>39</v>
      </c>
      <c r="N15" s="38">
        <f t="shared" si="4"/>
        <v>372360</v>
      </c>
      <c r="O15" s="32">
        <f t="shared" si="5"/>
        <v>8679.7179487179492</v>
      </c>
      <c r="P15" s="38">
        <f t="shared" si="6"/>
        <v>70550</v>
      </c>
      <c r="Q15" s="33">
        <f t="shared" si="7"/>
        <v>1644.5128205128206</v>
      </c>
      <c r="R15" s="39">
        <f t="shared" si="8"/>
        <v>442910</v>
      </c>
      <c r="S15" s="35">
        <f t="shared" si="9"/>
        <v>11356.666666666666</v>
      </c>
      <c r="T15" s="52">
        <f t="shared" si="10"/>
        <v>61</v>
      </c>
      <c r="U15" s="38">
        <f t="shared" si="10"/>
        <v>453540</v>
      </c>
      <c r="V15" s="38">
        <f t="shared" si="11"/>
        <v>86160</v>
      </c>
      <c r="W15" s="41">
        <f t="shared" si="12"/>
        <v>539700</v>
      </c>
      <c r="X15" s="46"/>
      <c r="Y15" s="42"/>
      <c r="Z15" s="43">
        <v>130</v>
      </c>
      <c r="AA15" s="31">
        <v>76290</v>
      </c>
      <c r="AB15" s="32">
        <f t="shared" si="13"/>
        <v>586.84615384615381</v>
      </c>
      <c r="AC15" s="31">
        <v>32400</v>
      </c>
      <c r="AD15" s="33">
        <f t="shared" si="14"/>
        <v>249.23076923076923</v>
      </c>
      <c r="AE15" s="44">
        <f t="shared" si="15"/>
        <v>108690</v>
      </c>
      <c r="AF15" s="35">
        <f t="shared" si="16"/>
        <v>836.07692307692309</v>
      </c>
      <c r="AG15" s="52">
        <f t="shared" si="17"/>
        <v>61</v>
      </c>
      <c r="AH15" s="38">
        <f t="shared" si="18"/>
        <v>529830</v>
      </c>
      <c r="AI15" s="38">
        <f t="shared" si="19"/>
        <v>118560</v>
      </c>
      <c r="AJ15" s="45">
        <f t="shared" si="20"/>
        <v>648390</v>
      </c>
      <c r="AK15" s="38">
        <f t="shared" si="21"/>
        <v>30800</v>
      </c>
      <c r="AL15" s="46">
        <v>61</v>
      </c>
      <c r="AM15" s="46">
        <v>453540</v>
      </c>
      <c r="AN15" s="46">
        <v>86160</v>
      </c>
      <c r="AO15" s="47">
        <v>29150</v>
      </c>
      <c r="AP15" s="47">
        <v>1650</v>
      </c>
      <c r="AQ15" s="47"/>
      <c r="AR15" s="47"/>
      <c r="AS15" s="48">
        <f t="shared" si="22"/>
        <v>570500</v>
      </c>
      <c r="AT15" s="26">
        <v>11</v>
      </c>
      <c r="AU15" s="49">
        <f t="shared" si="24"/>
        <v>570500</v>
      </c>
      <c r="AV15" s="49">
        <f t="shared" si="25"/>
        <v>679190</v>
      </c>
    </row>
    <row r="16" spans="1:48" ht="21">
      <c r="A16" s="26"/>
      <c r="B16" s="54">
        <f>B15+1</f>
        <v>45424</v>
      </c>
      <c r="C16" s="51" t="s">
        <v>72</v>
      </c>
      <c r="D16" s="29"/>
      <c r="E16" s="30">
        <v>24</v>
      </c>
      <c r="F16" s="31">
        <v>53504</v>
      </c>
      <c r="G16" s="32">
        <f t="shared" si="0"/>
        <v>2026.6666666666667</v>
      </c>
      <c r="H16" s="31">
        <v>6020</v>
      </c>
      <c r="I16" s="33">
        <f t="shared" si="1"/>
        <v>228</v>
      </c>
      <c r="J16" s="34">
        <f t="shared" si="2"/>
        <v>59524</v>
      </c>
      <c r="K16" s="35">
        <f t="shared" si="3"/>
        <v>2480.1666666666665</v>
      </c>
      <c r="L16" s="36"/>
      <c r="M16" s="37">
        <f t="shared" si="4"/>
        <v>30</v>
      </c>
      <c r="N16" s="38">
        <f t="shared" si="4"/>
        <v>244400</v>
      </c>
      <c r="O16" s="32">
        <f t="shared" si="5"/>
        <v>7406.0333333333338</v>
      </c>
      <c r="P16" s="38">
        <f t="shared" si="6"/>
        <v>23280</v>
      </c>
      <c r="Q16" s="33">
        <f t="shared" si="7"/>
        <v>705.43333333333328</v>
      </c>
      <c r="R16" s="39">
        <f t="shared" si="8"/>
        <v>267680</v>
      </c>
      <c r="S16" s="35">
        <f t="shared" si="9"/>
        <v>8922.6666666666661</v>
      </c>
      <c r="T16" s="52">
        <f t="shared" si="10"/>
        <v>54</v>
      </c>
      <c r="U16" s="38">
        <f t="shared" si="10"/>
        <v>297904</v>
      </c>
      <c r="V16" s="38">
        <f t="shared" si="11"/>
        <v>29300</v>
      </c>
      <c r="W16" s="41">
        <f t="shared" si="12"/>
        <v>327204</v>
      </c>
      <c r="X16" s="46"/>
      <c r="Y16" s="42"/>
      <c r="Z16" s="43">
        <v>69</v>
      </c>
      <c r="AA16" s="31">
        <v>37420</v>
      </c>
      <c r="AB16" s="32">
        <f t="shared" si="13"/>
        <v>542.31884057971013</v>
      </c>
      <c r="AC16" s="31">
        <v>19150</v>
      </c>
      <c r="AD16" s="33">
        <f t="shared" si="14"/>
        <v>277.536231884058</v>
      </c>
      <c r="AE16" s="44">
        <f t="shared" si="15"/>
        <v>56570</v>
      </c>
      <c r="AF16" s="35">
        <f t="shared" si="16"/>
        <v>819.85507246376812</v>
      </c>
      <c r="AG16" s="52">
        <f t="shared" si="17"/>
        <v>54</v>
      </c>
      <c r="AH16" s="38">
        <f t="shared" si="18"/>
        <v>335324</v>
      </c>
      <c r="AI16" s="38">
        <f t="shared" si="19"/>
        <v>48450</v>
      </c>
      <c r="AJ16" s="45">
        <f t="shared" si="20"/>
        <v>383774</v>
      </c>
      <c r="AK16" s="38">
        <f t="shared" si="21"/>
        <v>10450</v>
      </c>
      <c r="AL16" s="46">
        <v>54</v>
      </c>
      <c r="AM16" s="46">
        <v>297904</v>
      </c>
      <c r="AN16" s="46">
        <v>29300</v>
      </c>
      <c r="AO16" s="47">
        <v>10450</v>
      </c>
      <c r="AP16" s="47"/>
      <c r="AQ16" s="47"/>
      <c r="AR16" s="47"/>
      <c r="AS16" s="48">
        <f t="shared" si="22"/>
        <v>337654</v>
      </c>
      <c r="AT16" s="26">
        <v>12</v>
      </c>
      <c r="AU16" s="49">
        <f t="shared" si="24"/>
        <v>337654</v>
      </c>
      <c r="AV16" s="49">
        <f t="shared" si="25"/>
        <v>394224</v>
      </c>
    </row>
    <row r="17" spans="1:48" ht="21">
      <c r="A17" s="26"/>
      <c r="B17" s="144">
        <f t="shared" si="23"/>
        <v>45425</v>
      </c>
      <c r="C17" s="51" t="s">
        <v>70</v>
      </c>
      <c r="D17" s="29"/>
      <c r="E17" s="30"/>
      <c r="F17" s="31"/>
      <c r="G17" s="32" t="e">
        <f t="shared" si="0"/>
        <v>#DIV/0!</v>
      </c>
      <c r="H17" s="31"/>
      <c r="I17" s="33" t="e">
        <f t="shared" si="1"/>
        <v>#DIV/0!</v>
      </c>
      <c r="J17" s="34">
        <f t="shared" si="2"/>
        <v>0</v>
      </c>
      <c r="K17" s="35" t="str">
        <f t="shared" si="3"/>
        <v/>
      </c>
      <c r="L17" s="36"/>
      <c r="M17" s="37">
        <f t="shared" si="4"/>
        <v>24</v>
      </c>
      <c r="N17" s="38">
        <f t="shared" si="4"/>
        <v>244950</v>
      </c>
      <c r="O17" s="32">
        <f t="shared" si="5"/>
        <v>9278.375</v>
      </c>
      <c r="P17" s="38">
        <f t="shared" si="6"/>
        <v>53830</v>
      </c>
      <c r="Q17" s="33">
        <f t="shared" si="7"/>
        <v>2039</v>
      </c>
      <c r="R17" s="39">
        <f t="shared" si="8"/>
        <v>298780</v>
      </c>
      <c r="S17" s="35">
        <f t="shared" si="9"/>
        <v>12449.166666666666</v>
      </c>
      <c r="T17" s="52">
        <f t="shared" si="10"/>
        <v>24</v>
      </c>
      <c r="U17" s="38">
        <f t="shared" si="10"/>
        <v>244950</v>
      </c>
      <c r="V17" s="38">
        <f t="shared" si="11"/>
        <v>53830</v>
      </c>
      <c r="W17" s="41">
        <f t="shared" si="12"/>
        <v>298780</v>
      </c>
      <c r="X17" s="46"/>
      <c r="Y17" s="42"/>
      <c r="Z17" s="43">
        <v>39</v>
      </c>
      <c r="AA17" s="31">
        <v>23070</v>
      </c>
      <c r="AB17" s="32">
        <f t="shared" si="13"/>
        <v>591.53846153846155</v>
      </c>
      <c r="AC17" s="31">
        <v>11650</v>
      </c>
      <c r="AD17" s="33">
        <f t="shared" si="14"/>
        <v>298.71794871794873</v>
      </c>
      <c r="AE17" s="44">
        <f t="shared" si="15"/>
        <v>34720</v>
      </c>
      <c r="AF17" s="35">
        <f t="shared" si="16"/>
        <v>890.25641025641028</v>
      </c>
      <c r="AG17" s="52">
        <f t="shared" si="17"/>
        <v>24</v>
      </c>
      <c r="AH17" s="38">
        <f t="shared" si="18"/>
        <v>268020</v>
      </c>
      <c r="AI17" s="38">
        <f t="shared" si="19"/>
        <v>65480</v>
      </c>
      <c r="AJ17" s="45">
        <f t="shared" si="20"/>
        <v>333500</v>
      </c>
      <c r="AK17" s="38">
        <f t="shared" si="21"/>
        <v>24750</v>
      </c>
      <c r="AL17" s="46">
        <v>24</v>
      </c>
      <c r="AM17" s="46">
        <v>244950</v>
      </c>
      <c r="AN17" s="46">
        <v>53830</v>
      </c>
      <c r="AO17" s="47">
        <v>23100</v>
      </c>
      <c r="AP17" s="47">
        <v>1650</v>
      </c>
      <c r="AQ17" s="47"/>
      <c r="AR17" s="47"/>
      <c r="AS17" s="48">
        <f t="shared" si="22"/>
        <v>323530</v>
      </c>
      <c r="AT17" s="26">
        <v>13</v>
      </c>
      <c r="AU17" s="49">
        <f t="shared" si="24"/>
        <v>323530</v>
      </c>
      <c r="AV17" s="49">
        <f t="shared" si="25"/>
        <v>358250</v>
      </c>
    </row>
    <row r="18" spans="1:48" ht="21">
      <c r="A18" s="26"/>
      <c r="B18" s="144">
        <f t="shared" si="23"/>
        <v>45426</v>
      </c>
      <c r="C18" s="51" t="s">
        <v>70</v>
      </c>
      <c r="D18" s="29"/>
      <c r="E18" s="30"/>
      <c r="F18" s="31"/>
      <c r="G18" s="32" t="e">
        <f t="shared" si="0"/>
        <v>#DIV/0!</v>
      </c>
      <c r="H18" s="31"/>
      <c r="I18" s="33" t="e">
        <f t="shared" si="1"/>
        <v>#DIV/0!</v>
      </c>
      <c r="J18" s="34">
        <f t="shared" si="2"/>
        <v>0</v>
      </c>
      <c r="K18" s="35" t="str">
        <f t="shared" si="3"/>
        <v/>
      </c>
      <c r="L18" s="36"/>
      <c r="M18" s="37">
        <f t="shared" si="4"/>
        <v>31</v>
      </c>
      <c r="N18" s="38">
        <f t="shared" si="4"/>
        <v>278630</v>
      </c>
      <c r="O18" s="32">
        <f t="shared" si="5"/>
        <v>8170.9677419354839</v>
      </c>
      <c r="P18" s="38">
        <f t="shared" si="6"/>
        <v>46310</v>
      </c>
      <c r="Q18" s="33">
        <f t="shared" si="7"/>
        <v>1358.0645161290322</v>
      </c>
      <c r="R18" s="39">
        <f t="shared" si="8"/>
        <v>324940</v>
      </c>
      <c r="S18" s="35">
        <f t="shared" si="9"/>
        <v>10481.935483870968</v>
      </c>
      <c r="T18" s="52">
        <f t="shared" si="10"/>
        <v>31</v>
      </c>
      <c r="U18" s="38">
        <f t="shared" si="10"/>
        <v>278630</v>
      </c>
      <c r="V18" s="38">
        <f t="shared" si="11"/>
        <v>46310</v>
      </c>
      <c r="W18" s="41">
        <f t="shared" si="12"/>
        <v>324940</v>
      </c>
      <c r="X18" s="46"/>
      <c r="Y18" s="42"/>
      <c r="Z18" s="43">
        <v>100</v>
      </c>
      <c r="AA18" s="31">
        <v>60750</v>
      </c>
      <c r="AB18" s="32">
        <f t="shared" si="13"/>
        <v>607.5</v>
      </c>
      <c r="AC18" s="31">
        <v>17750</v>
      </c>
      <c r="AD18" s="33">
        <f t="shared" si="14"/>
        <v>177.5</v>
      </c>
      <c r="AE18" s="44">
        <f t="shared" si="15"/>
        <v>78500</v>
      </c>
      <c r="AF18" s="35">
        <f t="shared" si="16"/>
        <v>785</v>
      </c>
      <c r="AG18" s="52">
        <f t="shared" si="17"/>
        <v>31</v>
      </c>
      <c r="AH18" s="38">
        <f t="shared" si="18"/>
        <v>339380</v>
      </c>
      <c r="AI18" s="38">
        <f t="shared" si="19"/>
        <v>64060</v>
      </c>
      <c r="AJ18" s="45">
        <f t="shared" si="20"/>
        <v>403440</v>
      </c>
      <c r="AK18" s="38">
        <f t="shared" si="21"/>
        <v>11000</v>
      </c>
      <c r="AL18" s="46">
        <v>31</v>
      </c>
      <c r="AM18" s="46">
        <v>278630</v>
      </c>
      <c r="AN18" s="46">
        <v>46310</v>
      </c>
      <c r="AO18" s="47">
        <v>11000</v>
      </c>
      <c r="AP18" s="47"/>
      <c r="AQ18" s="47"/>
      <c r="AR18" s="47"/>
      <c r="AS18" s="48">
        <f t="shared" si="22"/>
        <v>335940</v>
      </c>
      <c r="AT18" s="26">
        <v>14</v>
      </c>
      <c r="AU18" s="49">
        <f t="shared" si="24"/>
        <v>335940</v>
      </c>
      <c r="AV18" s="49">
        <f t="shared" si="25"/>
        <v>414440</v>
      </c>
    </row>
    <row r="19" spans="1:48" ht="21">
      <c r="A19" s="26"/>
      <c r="B19" s="144">
        <f t="shared" si="23"/>
        <v>45427</v>
      </c>
      <c r="C19" s="51" t="s">
        <v>70</v>
      </c>
      <c r="D19" s="29"/>
      <c r="E19" s="30"/>
      <c r="F19" s="31"/>
      <c r="G19" s="32" t="e">
        <f t="shared" si="0"/>
        <v>#DIV/0!</v>
      </c>
      <c r="H19" s="31"/>
      <c r="I19" s="33" t="e">
        <f t="shared" si="1"/>
        <v>#DIV/0!</v>
      </c>
      <c r="J19" s="34">
        <f t="shared" si="2"/>
        <v>0</v>
      </c>
      <c r="K19" s="35" t="str">
        <f t="shared" si="3"/>
        <v/>
      </c>
      <c r="L19" s="36"/>
      <c r="M19" s="37">
        <f t="shared" si="4"/>
        <v>35</v>
      </c>
      <c r="N19" s="38">
        <f t="shared" si="4"/>
        <v>337810</v>
      </c>
      <c r="O19" s="32">
        <f t="shared" si="5"/>
        <v>8774.2857142857138</v>
      </c>
      <c r="P19" s="38">
        <f t="shared" si="6"/>
        <v>52780</v>
      </c>
      <c r="Q19" s="56">
        <f t="shared" si="7"/>
        <v>1370.8857142857144</v>
      </c>
      <c r="R19" s="39">
        <f t="shared" si="8"/>
        <v>390590</v>
      </c>
      <c r="S19" s="35">
        <f t="shared" si="9"/>
        <v>11159.714285714286</v>
      </c>
      <c r="T19" s="52">
        <f t="shared" si="10"/>
        <v>35</v>
      </c>
      <c r="U19" s="38">
        <f t="shared" si="10"/>
        <v>337810</v>
      </c>
      <c r="V19" s="38">
        <f t="shared" si="11"/>
        <v>52780</v>
      </c>
      <c r="W19" s="41">
        <f t="shared" si="12"/>
        <v>390590</v>
      </c>
      <c r="X19" s="46"/>
      <c r="Y19" s="42"/>
      <c r="Z19" s="43">
        <v>79</v>
      </c>
      <c r="AA19" s="31">
        <v>48140</v>
      </c>
      <c r="AB19" s="32">
        <f t="shared" si="13"/>
        <v>609.36708860759495</v>
      </c>
      <c r="AC19" s="31">
        <v>26550</v>
      </c>
      <c r="AD19" s="33">
        <f t="shared" si="14"/>
        <v>336.07594936708858</v>
      </c>
      <c r="AE19" s="44">
        <f t="shared" si="15"/>
        <v>74690</v>
      </c>
      <c r="AF19" s="35">
        <f t="shared" si="16"/>
        <v>945.44303797468353</v>
      </c>
      <c r="AG19" s="52">
        <f t="shared" si="17"/>
        <v>35</v>
      </c>
      <c r="AH19" s="38">
        <f t="shared" si="18"/>
        <v>385950</v>
      </c>
      <c r="AI19" s="38">
        <f t="shared" si="19"/>
        <v>79330</v>
      </c>
      <c r="AJ19" s="45">
        <f t="shared" si="20"/>
        <v>465280</v>
      </c>
      <c r="AK19" s="38">
        <f t="shared" si="21"/>
        <v>28510</v>
      </c>
      <c r="AL19" s="46">
        <v>35</v>
      </c>
      <c r="AM19" s="46">
        <v>337810</v>
      </c>
      <c r="AN19" s="46">
        <v>52780</v>
      </c>
      <c r="AO19" s="47">
        <v>25300</v>
      </c>
      <c r="AP19" s="47">
        <v>3210</v>
      </c>
      <c r="AQ19" s="47"/>
      <c r="AR19" s="47"/>
      <c r="AS19" s="48">
        <f t="shared" si="22"/>
        <v>419100</v>
      </c>
      <c r="AT19" s="26">
        <v>15</v>
      </c>
      <c r="AU19" s="49">
        <f t="shared" si="24"/>
        <v>419100</v>
      </c>
      <c r="AV19" s="49">
        <f t="shared" si="25"/>
        <v>493790</v>
      </c>
    </row>
    <row r="20" spans="1:48" ht="21">
      <c r="A20" s="26"/>
      <c r="B20" s="144">
        <f t="shared" si="23"/>
        <v>45428</v>
      </c>
      <c r="C20" s="51" t="s">
        <v>53</v>
      </c>
      <c r="D20" s="29"/>
      <c r="E20" s="30"/>
      <c r="F20" s="31"/>
      <c r="G20" s="32" t="e">
        <f t="shared" si="0"/>
        <v>#DIV/0!</v>
      </c>
      <c r="H20" s="31"/>
      <c r="I20" s="32" t="e">
        <f t="shared" si="1"/>
        <v>#DIV/0!</v>
      </c>
      <c r="J20" s="34">
        <f t="shared" si="2"/>
        <v>0</v>
      </c>
      <c r="K20" s="35" t="str">
        <f t="shared" si="3"/>
        <v/>
      </c>
      <c r="L20" s="36"/>
      <c r="M20" s="37">
        <f t="shared" si="4"/>
        <v>25</v>
      </c>
      <c r="N20" s="38">
        <f t="shared" si="4"/>
        <v>244420</v>
      </c>
      <c r="O20" s="32">
        <f t="shared" si="5"/>
        <v>8888</v>
      </c>
      <c r="P20" s="38">
        <f t="shared" si="6"/>
        <v>36000</v>
      </c>
      <c r="Q20" s="56">
        <f t="shared" si="7"/>
        <v>1309.08</v>
      </c>
      <c r="R20" s="39">
        <f t="shared" si="8"/>
        <v>280420</v>
      </c>
      <c r="S20" s="35">
        <f t="shared" si="9"/>
        <v>11216.8</v>
      </c>
      <c r="T20" s="52">
        <f t="shared" si="10"/>
        <v>25</v>
      </c>
      <c r="U20" s="38">
        <f t="shared" si="10"/>
        <v>244420</v>
      </c>
      <c r="V20" s="38">
        <f t="shared" si="11"/>
        <v>36000</v>
      </c>
      <c r="W20" s="41">
        <f t="shared" si="12"/>
        <v>280420</v>
      </c>
      <c r="X20" s="46"/>
      <c r="Y20" s="42"/>
      <c r="Z20" s="43">
        <v>93</v>
      </c>
      <c r="AA20" s="31">
        <v>60130</v>
      </c>
      <c r="AB20" s="32">
        <f t="shared" si="13"/>
        <v>646.55913978494618</v>
      </c>
      <c r="AC20" s="31">
        <v>30450</v>
      </c>
      <c r="AD20" s="33">
        <f t="shared" si="14"/>
        <v>327.41935483870969</v>
      </c>
      <c r="AE20" s="44">
        <f t="shared" si="15"/>
        <v>90580</v>
      </c>
      <c r="AF20" s="35">
        <f t="shared" si="16"/>
        <v>973.97849462365593</v>
      </c>
      <c r="AG20" s="52">
        <f t="shared" si="17"/>
        <v>25</v>
      </c>
      <c r="AH20" s="46">
        <f t="shared" si="18"/>
        <v>304550</v>
      </c>
      <c r="AI20" s="46">
        <f t="shared" si="19"/>
        <v>66450</v>
      </c>
      <c r="AJ20" s="45">
        <f t="shared" si="20"/>
        <v>371000</v>
      </c>
      <c r="AK20" s="38">
        <f t="shared" si="21"/>
        <v>20350</v>
      </c>
      <c r="AL20" s="46">
        <v>25</v>
      </c>
      <c r="AM20" s="46">
        <v>244420</v>
      </c>
      <c r="AN20" s="46">
        <v>36000</v>
      </c>
      <c r="AO20" s="47">
        <v>20350</v>
      </c>
      <c r="AP20" s="47"/>
      <c r="AQ20" s="47"/>
      <c r="AR20" s="47"/>
      <c r="AS20" s="48">
        <f t="shared" si="22"/>
        <v>300770</v>
      </c>
      <c r="AT20" s="26">
        <v>16</v>
      </c>
      <c r="AU20" s="49">
        <f>AR20+AS20</f>
        <v>300770</v>
      </c>
      <c r="AV20" s="49">
        <f t="shared" si="25"/>
        <v>391350</v>
      </c>
    </row>
    <row r="21" spans="1:48" ht="15.75" customHeight="1">
      <c r="A21" s="26"/>
      <c r="B21" s="144">
        <f t="shared" si="23"/>
        <v>45429</v>
      </c>
      <c r="C21" s="51" t="s">
        <v>53</v>
      </c>
      <c r="D21" s="29"/>
      <c r="E21" s="30"/>
      <c r="F21" s="31"/>
      <c r="G21" s="32" t="e">
        <f t="shared" si="0"/>
        <v>#DIV/0!</v>
      </c>
      <c r="H21" s="31"/>
      <c r="I21" s="32" t="e">
        <f t="shared" si="1"/>
        <v>#DIV/0!</v>
      </c>
      <c r="J21" s="34">
        <f t="shared" si="2"/>
        <v>0</v>
      </c>
      <c r="K21" s="35" t="str">
        <f t="shared" si="3"/>
        <v/>
      </c>
      <c r="L21" s="36"/>
      <c r="M21" s="37">
        <f t="shared" ref="M21:N35" si="26">AL21-E21</f>
        <v>32</v>
      </c>
      <c r="N21" s="38">
        <f t="shared" si="26"/>
        <v>256520</v>
      </c>
      <c r="O21" s="32">
        <f t="shared" si="5"/>
        <v>7287.5</v>
      </c>
      <c r="P21" s="38">
        <f t="shared" si="6"/>
        <v>20230</v>
      </c>
      <c r="Q21" s="56">
        <f>ROUNDDOWN(P21/1.1,0)/M21</f>
        <v>574.6875</v>
      </c>
      <c r="R21" s="39">
        <f t="shared" si="8"/>
        <v>276750</v>
      </c>
      <c r="S21" s="35">
        <f t="shared" si="9"/>
        <v>8648.4375</v>
      </c>
      <c r="T21" s="52">
        <f t="shared" ref="T21:U35" si="27">E21+M21</f>
        <v>32</v>
      </c>
      <c r="U21" s="38">
        <f t="shared" si="27"/>
        <v>256520</v>
      </c>
      <c r="V21" s="38">
        <f t="shared" si="11"/>
        <v>20230</v>
      </c>
      <c r="W21" s="41">
        <f t="shared" si="12"/>
        <v>276750</v>
      </c>
      <c r="X21" s="46"/>
      <c r="Y21" s="42"/>
      <c r="Z21" s="43">
        <v>41</v>
      </c>
      <c r="AA21" s="31">
        <v>20230</v>
      </c>
      <c r="AB21" s="32">
        <f t="shared" si="13"/>
        <v>493.41463414634148</v>
      </c>
      <c r="AC21" s="31">
        <v>21700</v>
      </c>
      <c r="AD21" s="33">
        <f t="shared" si="14"/>
        <v>529.26829268292681</v>
      </c>
      <c r="AE21" s="44">
        <f t="shared" si="15"/>
        <v>41930</v>
      </c>
      <c r="AF21" s="35">
        <f t="shared" si="16"/>
        <v>1022.6829268292682</v>
      </c>
      <c r="AG21" s="52">
        <f t="shared" si="17"/>
        <v>32</v>
      </c>
      <c r="AH21" s="46">
        <f t="shared" si="18"/>
        <v>276750</v>
      </c>
      <c r="AI21" s="46">
        <f t="shared" si="19"/>
        <v>41930</v>
      </c>
      <c r="AJ21" s="45">
        <f t="shared" si="20"/>
        <v>318680</v>
      </c>
      <c r="AK21" s="38">
        <f t="shared" si="21"/>
        <v>20900</v>
      </c>
      <c r="AL21" s="46">
        <v>32</v>
      </c>
      <c r="AM21" s="46">
        <v>256520</v>
      </c>
      <c r="AN21" s="46">
        <v>20230</v>
      </c>
      <c r="AO21" s="47">
        <v>20900</v>
      </c>
      <c r="AP21" s="47"/>
      <c r="AQ21" s="47"/>
      <c r="AR21" s="47"/>
      <c r="AS21" s="48">
        <f t="shared" si="22"/>
        <v>297650</v>
      </c>
      <c r="AT21" s="26">
        <v>17</v>
      </c>
      <c r="AU21" s="49">
        <f t="shared" si="24"/>
        <v>297650</v>
      </c>
      <c r="AV21" s="49">
        <f t="shared" si="25"/>
        <v>339580</v>
      </c>
    </row>
    <row r="22" spans="1:48" ht="15.75" customHeight="1">
      <c r="A22" s="26"/>
      <c r="B22" s="143">
        <f t="shared" si="23"/>
        <v>45430</v>
      </c>
      <c r="C22" s="51"/>
      <c r="D22" s="29"/>
      <c r="E22" s="30">
        <v>36</v>
      </c>
      <c r="F22" s="31">
        <v>156750</v>
      </c>
      <c r="G22" s="32">
        <f t="shared" si="0"/>
        <v>3958.3333333333335</v>
      </c>
      <c r="H22" s="31">
        <v>11170</v>
      </c>
      <c r="I22" s="32">
        <f t="shared" si="1"/>
        <v>282.05555555555554</v>
      </c>
      <c r="J22" s="34">
        <f t="shared" si="2"/>
        <v>167920</v>
      </c>
      <c r="K22" s="35">
        <f t="shared" si="3"/>
        <v>4664.4444444444443</v>
      </c>
      <c r="L22" s="36"/>
      <c r="M22" s="37">
        <f t="shared" si="26"/>
        <v>38</v>
      </c>
      <c r="N22" s="38">
        <f t="shared" si="26"/>
        <v>349230</v>
      </c>
      <c r="O22" s="32">
        <f t="shared" si="5"/>
        <v>8354.7631578947367</v>
      </c>
      <c r="P22" s="38">
        <f t="shared" si="6"/>
        <v>46040</v>
      </c>
      <c r="Q22" s="56">
        <f t="shared" si="7"/>
        <v>1101.421052631579</v>
      </c>
      <c r="R22" s="39">
        <f t="shared" si="8"/>
        <v>395270</v>
      </c>
      <c r="S22" s="35">
        <f t="shared" si="9"/>
        <v>10401.842105263158</v>
      </c>
      <c r="T22" s="52">
        <f t="shared" si="27"/>
        <v>74</v>
      </c>
      <c r="U22" s="38">
        <f t="shared" si="27"/>
        <v>505980</v>
      </c>
      <c r="V22" s="38">
        <f t="shared" si="11"/>
        <v>57210</v>
      </c>
      <c r="W22" s="41">
        <f t="shared" si="12"/>
        <v>563190</v>
      </c>
      <c r="X22" s="46"/>
      <c r="Y22" s="42"/>
      <c r="Z22" s="43">
        <v>153</v>
      </c>
      <c r="AA22" s="31">
        <v>106680</v>
      </c>
      <c r="AB22" s="32">
        <f t="shared" si="13"/>
        <v>697.25490196078431</v>
      </c>
      <c r="AC22" s="31">
        <v>26350</v>
      </c>
      <c r="AD22" s="33">
        <f t="shared" si="14"/>
        <v>172.22222222222223</v>
      </c>
      <c r="AE22" s="44">
        <f t="shared" si="15"/>
        <v>133030</v>
      </c>
      <c r="AF22" s="35">
        <f t="shared" si="16"/>
        <v>869.47712418300648</v>
      </c>
      <c r="AG22" s="52">
        <f t="shared" si="17"/>
        <v>74</v>
      </c>
      <c r="AH22" s="46">
        <f t="shared" si="18"/>
        <v>612660</v>
      </c>
      <c r="AI22" s="46">
        <f t="shared" si="19"/>
        <v>83560</v>
      </c>
      <c r="AJ22" s="45">
        <f t="shared" si="20"/>
        <v>696220</v>
      </c>
      <c r="AK22" s="38">
        <f t="shared" si="21"/>
        <v>34650</v>
      </c>
      <c r="AL22" s="46">
        <v>74</v>
      </c>
      <c r="AM22" s="46">
        <v>505980</v>
      </c>
      <c r="AN22" s="46">
        <v>57210</v>
      </c>
      <c r="AO22" s="47">
        <v>34650</v>
      </c>
      <c r="AP22" s="47"/>
      <c r="AQ22" s="47"/>
      <c r="AR22" s="47"/>
      <c r="AS22" s="48">
        <f t="shared" si="22"/>
        <v>597840</v>
      </c>
      <c r="AT22" s="26">
        <v>18</v>
      </c>
      <c r="AU22" s="49">
        <f t="shared" si="24"/>
        <v>597840</v>
      </c>
      <c r="AV22" s="49">
        <f t="shared" si="25"/>
        <v>730870</v>
      </c>
    </row>
    <row r="23" spans="1:48" ht="15.75" customHeight="1">
      <c r="A23" s="26"/>
      <c r="B23" s="54">
        <f t="shared" si="23"/>
        <v>45431</v>
      </c>
      <c r="C23" s="51"/>
      <c r="D23" s="29"/>
      <c r="E23" s="30">
        <v>26</v>
      </c>
      <c r="F23" s="31">
        <v>62018</v>
      </c>
      <c r="G23" s="32">
        <f t="shared" si="0"/>
        <v>2168.4615384615386</v>
      </c>
      <c r="H23" s="31">
        <v>9680</v>
      </c>
      <c r="I23" s="32">
        <f t="shared" si="1"/>
        <v>338.46153846153845</v>
      </c>
      <c r="J23" s="34">
        <f t="shared" si="2"/>
        <v>71698</v>
      </c>
      <c r="K23" s="35">
        <f t="shared" si="3"/>
        <v>2757.6153846153848</v>
      </c>
      <c r="L23" s="36"/>
      <c r="M23" s="37">
        <f t="shared" si="26"/>
        <v>33</v>
      </c>
      <c r="N23" s="38">
        <f t="shared" si="26"/>
        <v>299180</v>
      </c>
      <c r="O23" s="32">
        <f t="shared" si="5"/>
        <v>8241.8484848484841</v>
      </c>
      <c r="P23" s="38">
        <f t="shared" si="6"/>
        <v>62240</v>
      </c>
      <c r="Q23" s="56">
        <f t="shared" si="7"/>
        <v>1714.5757575757575</v>
      </c>
      <c r="R23" s="39">
        <f t="shared" si="8"/>
        <v>361420</v>
      </c>
      <c r="S23" s="35">
        <f t="shared" si="9"/>
        <v>10952.121212121212</v>
      </c>
      <c r="T23" s="52">
        <f t="shared" si="27"/>
        <v>59</v>
      </c>
      <c r="U23" s="38">
        <f t="shared" si="27"/>
        <v>361198</v>
      </c>
      <c r="V23" s="38">
        <f t="shared" si="11"/>
        <v>71920</v>
      </c>
      <c r="W23" s="41">
        <f t="shared" si="12"/>
        <v>433118</v>
      </c>
      <c r="X23" s="46"/>
      <c r="Y23" s="42"/>
      <c r="Z23" s="43">
        <v>133</v>
      </c>
      <c r="AA23" s="31">
        <v>94290</v>
      </c>
      <c r="AB23" s="32">
        <f t="shared" si="13"/>
        <v>708.9473684210526</v>
      </c>
      <c r="AC23" s="31">
        <v>18800</v>
      </c>
      <c r="AD23" s="33">
        <f t="shared" si="14"/>
        <v>141.35338345864662</v>
      </c>
      <c r="AE23" s="44">
        <f t="shared" si="15"/>
        <v>113090</v>
      </c>
      <c r="AF23" s="35">
        <f t="shared" si="16"/>
        <v>850.30075187969919</v>
      </c>
      <c r="AG23" s="52">
        <f t="shared" si="17"/>
        <v>59</v>
      </c>
      <c r="AH23" s="46">
        <f t="shared" si="18"/>
        <v>455488</v>
      </c>
      <c r="AI23" s="46">
        <f t="shared" si="19"/>
        <v>90720</v>
      </c>
      <c r="AJ23" s="45">
        <f t="shared" si="20"/>
        <v>546208</v>
      </c>
      <c r="AK23" s="38">
        <f t="shared" si="21"/>
        <v>24750</v>
      </c>
      <c r="AL23" s="46">
        <v>59</v>
      </c>
      <c r="AM23" s="46">
        <v>361198</v>
      </c>
      <c r="AN23" s="46">
        <v>71920</v>
      </c>
      <c r="AO23" s="47">
        <v>24750</v>
      </c>
      <c r="AP23" s="47"/>
      <c r="AQ23" s="47"/>
      <c r="AR23" s="47"/>
      <c r="AS23" s="48">
        <f t="shared" si="22"/>
        <v>457868</v>
      </c>
      <c r="AT23" s="26">
        <v>19</v>
      </c>
      <c r="AU23" s="49">
        <f t="shared" si="24"/>
        <v>457868</v>
      </c>
      <c r="AV23" s="49">
        <f t="shared" si="25"/>
        <v>570958</v>
      </c>
    </row>
    <row r="24" spans="1:48" ht="15.75" customHeight="1">
      <c r="A24" s="26"/>
      <c r="B24" s="144">
        <f t="shared" si="23"/>
        <v>45432</v>
      </c>
      <c r="C24" s="51" t="s">
        <v>53</v>
      </c>
      <c r="D24" s="29"/>
      <c r="E24" s="30"/>
      <c r="F24" s="31"/>
      <c r="G24" s="32" t="e">
        <f t="shared" si="0"/>
        <v>#DIV/0!</v>
      </c>
      <c r="H24" s="31"/>
      <c r="I24" s="32" t="e">
        <f t="shared" si="1"/>
        <v>#DIV/0!</v>
      </c>
      <c r="J24" s="34">
        <f t="shared" si="2"/>
        <v>0</v>
      </c>
      <c r="K24" s="35" t="str">
        <f t="shared" si="3"/>
        <v/>
      </c>
      <c r="L24" s="36"/>
      <c r="M24" s="37">
        <f t="shared" si="26"/>
        <v>27</v>
      </c>
      <c r="N24" s="38">
        <f t="shared" si="26"/>
        <v>242550</v>
      </c>
      <c r="O24" s="32">
        <f t="shared" si="5"/>
        <v>8166.666666666667</v>
      </c>
      <c r="P24" s="38">
        <f t="shared" si="6"/>
        <v>53990</v>
      </c>
      <c r="Q24" s="56">
        <f t="shared" si="7"/>
        <v>1817.8148148148148</v>
      </c>
      <c r="R24" s="39">
        <f t="shared" si="8"/>
        <v>296540</v>
      </c>
      <c r="S24" s="35">
        <f t="shared" si="9"/>
        <v>10982.962962962964</v>
      </c>
      <c r="T24" s="52">
        <f t="shared" si="27"/>
        <v>27</v>
      </c>
      <c r="U24" s="38">
        <f t="shared" si="27"/>
        <v>242550</v>
      </c>
      <c r="V24" s="38">
        <f t="shared" si="11"/>
        <v>53990</v>
      </c>
      <c r="W24" s="41">
        <f t="shared" si="12"/>
        <v>296540</v>
      </c>
      <c r="X24" s="46"/>
      <c r="Y24" s="42"/>
      <c r="Z24" s="43">
        <v>118</v>
      </c>
      <c r="AA24" s="31">
        <v>136930</v>
      </c>
      <c r="AB24" s="32">
        <f t="shared" si="13"/>
        <v>1160.4237288135594</v>
      </c>
      <c r="AC24" s="31">
        <v>21950</v>
      </c>
      <c r="AD24" s="33">
        <f t="shared" si="14"/>
        <v>186.01694915254237</v>
      </c>
      <c r="AE24" s="44">
        <f t="shared" si="15"/>
        <v>158880</v>
      </c>
      <c r="AF24" s="35">
        <f t="shared" si="16"/>
        <v>1346.4406779661017</v>
      </c>
      <c r="AG24" s="52">
        <f t="shared" si="17"/>
        <v>27</v>
      </c>
      <c r="AH24" s="46">
        <f t="shared" si="18"/>
        <v>379480</v>
      </c>
      <c r="AI24" s="46">
        <f t="shared" si="19"/>
        <v>75940</v>
      </c>
      <c r="AJ24" s="45">
        <f t="shared" si="20"/>
        <v>455420</v>
      </c>
      <c r="AK24" s="38">
        <f t="shared" si="21"/>
        <v>99250</v>
      </c>
      <c r="AL24" s="46">
        <v>27</v>
      </c>
      <c r="AM24" s="46">
        <v>242550</v>
      </c>
      <c r="AN24" s="46">
        <v>53990</v>
      </c>
      <c r="AO24" s="47">
        <v>17600</v>
      </c>
      <c r="AP24" s="47">
        <v>81650</v>
      </c>
      <c r="AQ24" s="47"/>
      <c r="AR24" s="47">
        <v>3300</v>
      </c>
      <c r="AS24" s="48">
        <f>SUM(AM24:AQ24)</f>
        <v>395790</v>
      </c>
      <c r="AT24" s="26">
        <v>20</v>
      </c>
      <c r="AU24" s="49">
        <f t="shared" si="24"/>
        <v>399090</v>
      </c>
      <c r="AV24" s="49">
        <f>AS24+AE24</f>
        <v>554670</v>
      </c>
    </row>
    <row r="25" spans="1:48" ht="15.75" customHeight="1">
      <c r="A25" s="26"/>
      <c r="B25" s="144">
        <f t="shared" si="23"/>
        <v>45433</v>
      </c>
      <c r="C25" s="51" t="s">
        <v>53</v>
      </c>
      <c r="D25" s="29"/>
      <c r="E25" s="30"/>
      <c r="F25" s="31"/>
      <c r="G25" s="32" t="e">
        <f t="shared" si="0"/>
        <v>#DIV/0!</v>
      </c>
      <c r="H25" s="31"/>
      <c r="I25" s="32" t="e">
        <f t="shared" si="1"/>
        <v>#DIV/0!</v>
      </c>
      <c r="J25" s="34">
        <f t="shared" si="2"/>
        <v>0</v>
      </c>
      <c r="K25" s="35" t="str">
        <f t="shared" si="3"/>
        <v/>
      </c>
      <c r="L25" s="36"/>
      <c r="M25" s="37">
        <f t="shared" si="26"/>
        <v>28</v>
      </c>
      <c r="N25" s="38">
        <f t="shared" si="26"/>
        <v>273220</v>
      </c>
      <c r="O25" s="32">
        <f t="shared" si="5"/>
        <v>8870.75</v>
      </c>
      <c r="P25" s="38">
        <f t="shared" si="6"/>
        <v>51500</v>
      </c>
      <c r="Q25" s="56">
        <f t="shared" si="7"/>
        <v>1672.0714285714287</v>
      </c>
      <c r="R25" s="39">
        <f t="shared" si="8"/>
        <v>324720</v>
      </c>
      <c r="S25" s="35">
        <f t="shared" si="9"/>
        <v>11597.142857142857</v>
      </c>
      <c r="T25" s="52">
        <f t="shared" si="27"/>
        <v>28</v>
      </c>
      <c r="U25" s="38">
        <f t="shared" si="27"/>
        <v>273220</v>
      </c>
      <c r="V25" s="38">
        <f t="shared" si="11"/>
        <v>51500</v>
      </c>
      <c r="W25" s="41">
        <f t="shared" si="12"/>
        <v>324720</v>
      </c>
      <c r="X25" s="46"/>
      <c r="Y25" s="42"/>
      <c r="Z25" s="43">
        <v>19</v>
      </c>
      <c r="AA25" s="31">
        <v>9990</v>
      </c>
      <c r="AB25" s="32">
        <f t="shared" si="13"/>
        <v>525.78947368421052</v>
      </c>
      <c r="AC25" s="31">
        <v>9000</v>
      </c>
      <c r="AD25" s="33">
        <f t="shared" si="14"/>
        <v>473.68421052631578</v>
      </c>
      <c r="AE25" s="44">
        <f t="shared" si="15"/>
        <v>18990</v>
      </c>
      <c r="AF25" s="35">
        <f t="shared" si="16"/>
        <v>999.47368421052636</v>
      </c>
      <c r="AG25" s="52">
        <f t="shared" si="17"/>
        <v>28</v>
      </c>
      <c r="AH25" s="46">
        <f t="shared" si="18"/>
        <v>283210</v>
      </c>
      <c r="AI25" s="46">
        <f t="shared" si="19"/>
        <v>60500</v>
      </c>
      <c r="AJ25" s="45">
        <f t="shared" si="20"/>
        <v>343710</v>
      </c>
      <c r="AK25" s="38">
        <f t="shared" si="21"/>
        <v>16320</v>
      </c>
      <c r="AL25" s="46">
        <v>28</v>
      </c>
      <c r="AM25" s="46">
        <v>273220</v>
      </c>
      <c r="AN25" s="46">
        <v>51500</v>
      </c>
      <c r="AO25" s="47">
        <v>13200</v>
      </c>
      <c r="AP25" s="47">
        <v>3120</v>
      </c>
      <c r="AQ25" s="47"/>
      <c r="AR25" s="47">
        <v>3300</v>
      </c>
      <c r="AS25" s="48">
        <f t="shared" si="22"/>
        <v>341040</v>
      </c>
      <c r="AT25" s="26">
        <v>21</v>
      </c>
      <c r="AU25" s="49">
        <f t="shared" si="24"/>
        <v>344340</v>
      </c>
      <c r="AV25" s="49">
        <f t="shared" si="25"/>
        <v>360030</v>
      </c>
    </row>
    <row r="26" spans="1:48" ht="15.75" customHeight="1">
      <c r="A26" s="26"/>
      <c r="B26" s="144">
        <f t="shared" si="23"/>
        <v>45434</v>
      </c>
      <c r="C26" s="51" t="s">
        <v>53</v>
      </c>
      <c r="D26" s="29"/>
      <c r="E26" s="30"/>
      <c r="F26" s="31"/>
      <c r="G26" s="32" t="e">
        <f t="shared" si="0"/>
        <v>#DIV/0!</v>
      </c>
      <c r="H26" s="31"/>
      <c r="I26" s="32" t="e">
        <f t="shared" si="1"/>
        <v>#DIV/0!</v>
      </c>
      <c r="J26" s="34">
        <f t="shared" si="2"/>
        <v>0</v>
      </c>
      <c r="K26" s="35" t="str">
        <f t="shared" si="3"/>
        <v/>
      </c>
      <c r="L26" s="36"/>
      <c r="M26" s="37">
        <f t="shared" si="26"/>
        <v>18</v>
      </c>
      <c r="N26" s="38">
        <f t="shared" si="26"/>
        <v>155870</v>
      </c>
      <c r="O26" s="32">
        <f t="shared" si="5"/>
        <v>7872.2222222222226</v>
      </c>
      <c r="P26" s="38">
        <f t="shared" si="6"/>
        <v>23560</v>
      </c>
      <c r="Q26" s="56">
        <f t="shared" si="7"/>
        <v>1189.8888888888889</v>
      </c>
      <c r="R26" s="39">
        <f t="shared" si="8"/>
        <v>179430</v>
      </c>
      <c r="S26" s="35">
        <f t="shared" si="9"/>
        <v>9968.3333333333339</v>
      </c>
      <c r="T26" s="52">
        <f t="shared" si="27"/>
        <v>18</v>
      </c>
      <c r="U26" s="38">
        <f t="shared" si="27"/>
        <v>155870</v>
      </c>
      <c r="V26" s="38">
        <f t="shared" si="11"/>
        <v>23560</v>
      </c>
      <c r="W26" s="41">
        <f t="shared" si="12"/>
        <v>179430</v>
      </c>
      <c r="X26" s="46"/>
      <c r="Y26" s="42"/>
      <c r="Z26" s="43">
        <v>78</v>
      </c>
      <c r="AA26" s="31">
        <v>43130</v>
      </c>
      <c r="AB26" s="32">
        <f t="shared" si="13"/>
        <v>552.9487179487179</v>
      </c>
      <c r="AC26" s="31">
        <v>14900</v>
      </c>
      <c r="AD26" s="33">
        <f t="shared" si="14"/>
        <v>191.02564102564102</v>
      </c>
      <c r="AE26" s="44">
        <f t="shared" si="15"/>
        <v>58030</v>
      </c>
      <c r="AF26" s="35">
        <f t="shared" si="16"/>
        <v>743.97435897435901</v>
      </c>
      <c r="AG26" s="52">
        <f t="shared" si="17"/>
        <v>18</v>
      </c>
      <c r="AH26" s="46">
        <f t="shared" si="18"/>
        <v>199000</v>
      </c>
      <c r="AI26" s="46">
        <f t="shared" si="19"/>
        <v>38460</v>
      </c>
      <c r="AJ26" s="45">
        <f t="shared" si="20"/>
        <v>237460</v>
      </c>
      <c r="AK26" s="38">
        <f t="shared" si="21"/>
        <v>11920</v>
      </c>
      <c r="AL26" s="46">
        <v>18</v>
      </c>
      <c r="AM26" s="46">
        <v>155870</v>
      </c>
      <c r="AN26" s="46">
        <v>23560</v>
      </c>
      <c r="AO26" s="47">
        <v>8800</v>
      </c>
      <c r="AP26" s="47">
        <v>3120</v>
      </c>
      <c r="AQ26" s="47"/>
      <c r="AR26" s="47"/>
      <c r="AS26" s="48">
        <f t="shared" si="22"/>
        <v>191350</v>
      </c>
      <c r="AT26" s="26">
        <v>22</v>
      </c>
      <c r="AU26" s="49">
        <f t="shared" si="24"/>
        <v>191350</v>
      </c>
      <c r="AV26" s="49">
        <f t="shared" si="25"/>
        <v>249380</v>
      </c>
    </row>
    <row r="27" spans="1:48" ht="15.75" customHeight="1">
      <c r="A27" s="26"/>
      <c r="B27" s="144">
        <f t="shared" si="23"/>
        <v>45435</v>
      </c>
      <c r="C27" s="51" t="s">
        <v>54</v>
      </c>
      <c r="D27" s="29"/>
      <c r="E27" s="30"/>
      <c r="F27" s="31"/>
      <c r="G27" s="32" t="e">
        <f t="shared" si="0"/>
        <v>#DIV/0!</v>
      </c>
      <c r="H27" s="31"/>
      <c r="I27" s="32" t="e">
        <f t="shared" si="1"/>
        <v>#DIV/0!</v>
      </c>
      <c r="J27" s="34">
        <f t="shared" si="2"/>
        <v>0</v>
      </c>
      <c r="K27" s="35" t="str">
        <f t="shared" si="3"/>
        <v/>
      </c>
      <c r="L27" s="36"/>
      <c r="M27" s="37">
        <f t="shared" si="26"/>
        <v>31</v>
      </c>
      <c r="N27" s="38">
        <f t="shared" si="26"/>
        <v>291530</v>
      </c>
      <c r="O27" s="32">
        <f t="shared" si="5"/>
        <v>8549.2580645161288</v>
      </c>
      <c r="P27" s="38">
        <f t="shared" si="6"/>
        <v>48340</v>
      </c>
      <c r="Q27" s="33">
        <f t="shared" si="7"/>
        <v>1417.5806451612902</v>
      </c>
      <c r="R27" s="39">
        <f t="shared" si="8"/>
        <v>339870</v>
      </c>
      <c r="S27" s="35">
        <f t="shared" si="9"/>
        <v>10963.548387096775</v>
      </c>
      <c r="T27" s="52">
        <f t="shared" si="27"/>
        <v>31</v>
      </c>
      <c r="U27" s="38">
        <f t="shared" si="27"/>
        <v>291530</v>
      </c>
      <c r="V27" s="38">
        <f t="shared" si="11"/>
        <v>48340</v>
      </c>
      <c r="W27" s="41">
        <f t="shared" si="12"/>
        <v>339870</v>
      </c>
      <c r="X27" s="46"/>
      <c r="Y27" s="42"/>
      <c r="Z27" s="43">
        <v>82</v>
      </c>
      <c r="AA27" s="31">
        <v>50010</v>
      </c>
      <c r="AB27" s="32">
        <f t="shared" si="13"/>
        <v>609.8780487804878</v>
      </c>
      <c r="AC27" s="31">
        <v>15600</v>
      </c>
      <c r="AD27" s="33">
        <f t="shared" si="14"/>
        <v>190.2439024390244</v>
      </c>
      <c r="AE27" s="44">
        <f t="shared" si="15"/>
        <v>65610</v>
      </c>
      <c r="AF27" s="35">
        <f t="shared" si="16"/>
        <v>800.1219512195122</v>
      </c>
      <c r="AG27" s="52">
        <f t="shared" si="17"/>
        <v>31</v>
      </c>
      <c r="AH27" s="46">
        <f t="shared" si="18"/>
        <v>341540</v>
      </c>
      <c r="AI27" s="46">
        <f t="shared" si="19"/>
        <v>63940</v>
      </c>
      <c r="AJ27" s="45">
        <f t="shared" si="20"/>
        <v>405480</v>
      </c>
      <c r="AK27" s="38">
        <f t="shared" si="21"/>
        <v>25850</v>
      </c>
      <c r="AL27" s="46">
        <v>31</v>
      </c>
      <c r="AM27" s="46">
        <v>291530</v>
      </c>
      <c r="AN27" s="46">
        <v>48340</v>
      </c>
      <c r="AO27" s="47">
        <v>25850</v>
      </c>
      <c r="AP27" s="47"/>
      <c r="AQ27" s="47"/>
      <c r="AR27" s="47"/>
      <c r="AS27" s="48">
        <f t="shared" si="22"/>
        <v>365720</v>
      </c>
      <c r="AT27" s="26">
        <v>23</v>
      </c>
      <c r="AU27" s="49">
        <f t="shared" si="24"/>
        <v>365720</v>
      </c>
      <c r="AV27" s="49">
        <f t="shared" si="25"/>
        <v>431330</v>
      </c>
    </row>
    <row r="28" spans="1:48" ht="15.75" customHeight="1">
      <c r="A28" s="26"/>
      <c r="B28" s="144">
        <f t="shared" si="23"/>
        <v>45436</v>
      </c>
      <c r="C28" s="51" t="s">
        <v>73</v>
      </c>
      <c r="D28" s="29"/>
      <c r="E28" s="30"/>
      <c r="F28" s="31"/>
      <c r="G28" s="32" t="e">
        <f t="shared" si="0"/>
        <v>#DIV/0!</v>
      </c>
      <c r="H28" s="31"/>
      <c r="I28" s="32" t="e">
        <f t="shared" si="1"/>
        <v>#DIV/0!</v>
      </c>
      <c r="J28" s="34">
        <f t="shared" si="2"/>
        <v>0</v>
      </c>
      <c r="K28" s="35" t="str">
        <f t="shared" si="3"/>
        <v/>
      </c>
      <c r="L28" s="36"/>
      <c r="M28" s="37">
        <f t="shared" si="26"/>
        <v>35</v>
      </c>
      <c r="N28" s="38">
        <f t="shared" si="26"/>
        <v>342760</v>
      </c>
      <c r="O28" s="32">
        <f t="shared" si="5"/>
        <v>8902.8571428571431</v>
      </c>
      <c r="P28" s="38">
        <f t="shared" si="6"/>
        <v>55810</v>
      </c>
      <c r="Q28" s="33">
        <f t="shared" si="7"/>
        <v>1449.6</v>
      </c>
      <c r="R28" s="39">
        <f t="shared" si="8"/>
        <v>398570</v>
      </c>
      <c r="S28" s="35">
        <f t="shared" si="9"/>
        <v>11387.714285714286</v>
      </c>
      <c r="T28" s="52">
        <f t="shared" si="27"/>
        <v>35</v>
      </c>
      <c r="U28" s="38">
        <f t="shared" si="27"/>
        <v>342760</v>
      </c>
      <c r="V28" s="38">
        <f t="shared" si="11"/>
        <v>55810</v>
      </c>
      <c r="W28" s="41">
        <f t="shared" si="12"/>
        <v>398570</v>
      </c>
      <c r="X28" s="46"/>
      <c r="Y28" s="42"/>
      <c r="Z28" s="43">
        <v>14</v>
      </c>
      <c r="AA28" s="31">
        <v>6610</v>
      </c>
      <c r="AB28" s="32">
        <f t="shared" si="13"/>
        <v>472.14285714285717</v>
      </c>
      <c r="AC28" s="31">
        <v>5350</v>
      </c>
      <c r="AD28" s="33">
        <f t="shared" si="14"/>
        <v>382.14285714285717</v>
      </c>
      <c r="AE28" s="44">
        <f t="shared" si="15"/>
        <v>11960</v>
      </c>
      <c r="AF28" s="35">
        <f t="shared" si="16"/>
        <v>854.28571428571433</v>
      </c>
      <c r="AG28" s="52">
        <f t="shared" si="17"/>
        <v>35</v>
      </c>
      <c r="AH28" s="46">
        <f t="shared" si="18"/>
        <v>349370</v>
      </c>
      <c r="AI28" s="46">
        <f t="shared" si="19"/>
        <v>61160</v>
      </c>
      <c r="AJ28" s="45">
        <f t="shared" si="20"/>
        <v>410530</v>
      </c>
      <c r="AK28" s="38">
        <f t="shared" si="21"/>
        <v>18700</v>
      </c>
      <c r="AL28" s="46">
        <v>35</v>
      </c>
      <c r="AM28" s="46">
        <v>342760</v>
      </c>
      <c r="AN28" s="46">
        <v>55810</v>
      </c>
      <c r="AO28" s="47">
        <v>18700</v>
      </c>
      <c r="AP28" s="47"/>
      <c r="AQ28" s="47"/>
      <c r="AR28" s="47"/>
      <c r="AS28" s="48">
        <f t="shared" si="22"/>
        <v>417270</v>
      </c>
      <c r="AT28" s="26">
        <v>24</v>
      </c>
      <c r="AU28" s="49">
        <f t="shared" si="24"/>
        <v>417270</v>
      </c>
      <c r="AV28" s="49">
        <f t="shared" si="25"/>
        <v>429230</v>
      </c>
    </row>
    <row r="29" spans="1:48" ht="15.75" customHeight="1">
      <c r="A29" s="26"/>
      <c r="B29" s="143">
        <f t="shared" si="23"/>
        <v>45437</v>
      </c>
      <c r="C29" s="51" t="s">
        <v>74</v>
      </c>
      <c r="D29" s="29"/>
      <c r="E29" s="30">
        <v>25</v>
      </c>
      <c r="F29" s="31">
        <v>119570</v>
      </c>
      <c r="G29" s="32">
        <f t="shared" si="0"/>
        <v>4348</v>
      </c>
      <c r="H29" s="31">
        <v>18110</v>
      </c>
      <c r="I29" s="32">
        <f t="shared" si="1"/>
        <v>658.52</v>
      </c>
      <c r="J29" s="34">
        <f t="shared" si="2"/>
        <v>137680</v>
      </c>
      <c r="K29" s="35">
        <f t="shared" si="3"/>
        <v>5507.2</v>
      </c>
      <c r="L29" s="36"/>
      <c r="M29" s="37">
        <f t="shared" si="26"/>
        <v>39</v>
      </c>
      <c r="N29" s="38">
        <f t="shared" si="26"/>
        <v>374190</v>
      </c>
      <c r="O29" s="32">
        <f t="shared" si="5"/>
        <v>8722.3589743589746</v>
      </c>
      <c r="P29" s="38">
        <f t="shared" si="6"/>
        <v>69370</v>
      </c>
      <c r="Q29" s="33">
        <f t="shared" si="7"/>
        <v>1617</v>
      </c>
      <c r="R29" s="39">
        <f t="shared" si="8"/>
        <v>443560</v>
      </c>
      <c r="S29" s="35">
        <f t="shared" si="9"/>
        <v>11373.333333333334</v>
      </c>
      <c r="T29" s="52">
        <f t="shared" si="27"/>
        <v>64</v>
      </c>
      <c r="U29" s="38">
        <f t="shared" si="27"/>
        <v>493760</v>
      </c>
      <c r="V29" s="38">
        <f t="shared" si="11"/>
        <v>87480</v>
      </c>
      <c r="W29" s="41">
        <f t="shared" si="12"/>
        <v>581240</v>
      </c>
      <c r="X29" s="46"/>
      <c r="Y29" s="42"/>
      <c r="Z29" s="43">
        <v>61</v>
      </c>
      <c r="AA29" s="31">
        <v>43180</v>
      </c>
      <c r="AB29" s="32">
        <f t="shared" si="13"/>
        <v>707.86885245901635</v>
      </c>
      <c r="AC29" s="31">
        <v>10950</v>
      </c>
      <c r="AD29" s="33">
        <f t="shared" si="14"/>
        <v>179.50819672131146</v>
      </c>
      <c r="AE29" s="44">
        <f t="shared" si="15"/>
        <v>54130</v>
      </c>
      <c r="AF29" s="35">
        <f t="shared" si="16"/>
        <v>887.37704918032784</v>
      </c>
      <c r="AG29" s="52">
        <f t="shared" si="17"/>
        <v>64</v>
      </c>
      <c r="AH29" s="46">
        <f t="shared" si="18"/>
        <v>536940</v>
      </c>
      <c r="AI29" s="46">
        <f t="shared" si="19"/>
        <v>98430</v>
      </c>
      <c r="AJ29" s="45">
        <f t="shared" si="20"/>
        <v>635370</v>
      </c>
      <c r="AK29" s="38">
        <f t="shared" si="21"/>
        <v>38500</v>
      </c>
      <c r="AL29" s="46">
        <v>64</v>
      </c>
      <c r="AM29" s="46">
        <v>493760</v>
      </c>
      <c r="AN29" s="46">
        <v>87480</v>
      </c>
      <c r="AO29" s="47">
        <v>38500</v>
      </c>
      <c r="AP29" s="47"/>
      <c r="AQ29" s="47"/>
      <c r="AR29" s="47"/>
      <c r="AS29" s="48">
        <f>SUM(AM29:AQ29)</f>
        <v>619740</v>
      </c>
      <c r="AT29" s="26">
        <v>25</v>
      </c>
      <c r="AU29" s="49">
        <f t="shared" si="24"/>
        <v>619740</v>
      </c>
      <c r="AV29" s="49">
        <f t="shared" si="25"/>
        <v>673870</v>
      </c>
    </row>
    <row r="30" spans="1:48" ht="15.75" customHeight="1">
      <c r="A30" s="26"/>
      <c r="B30" s="54">
        <f t="shared" si="23"/>
        <v>45438</v>
      </c>
      <c r="C30" s="51"/>
      <c r="D30" s="29"/>
      <c r="E30" s="30">
        <v>32</v>
      </c>
      <c r="F30" s="31">
        <v>88792</v>
      </c>
      <c r="G30" s="32">
        <f t="shared" si="0"/>
        <v>2522.5</v>
      </c>
      <c r="H30" s="31">
        <v>10470</v>
      </c>
      <c r="I30" s="32">
        <f t="shared" si="1"/>
        <v>297.4375</v>
      </c>
      <c r="J30" s="34">
        <f t="shared" si="2"/>
        <v>99262</v>
      </c>
      <c r="K30" s="35">
        <f t="shared" si="3"/>
        <v>3101.9375</v>
      </c>
      <c r="L30" s="36"/>
      <c r="M30" s="37">
        <f t="shared" si="26"/>
        <v>40</v>
      </c>
      <c r="N30" s="38">
        <f t="shared" si="26"/>
        <v>355940</v>
      </c>
      <c r="O30" s="32">
        <f t="shared" si="5"/>
        <v>8089.5249999999996</v>
      </c>
      <c r="P30" s="38">
        <f t="shared" si="6"/>
        <v>66280</v>
      </c>
      <c r="Q30" s="32">
        <f t="shared" si="7"/>
        <v>1506.35</v>
      </c>
      <c r="R30" s="39">
        <f t="shared" si="8"/>
        <v>422220</v>
      </c>
      <c r="S30" s="35">
        <f t="shared" si="9"/>
        <v>10555.5</v>
      </c>
      <c r="T30" s="52">
        <f t="shared" si="27"/>
        <v>72</v>
      </c>
      <c r="U30" s="38">
        <f t="shared" si="27"/>
        <v>444732</v>
      </c>
      <c r="V30" s="38">
        <f t="shared" si="11"/>
        <v>76750</v>
      </c>
      <c r="W30" s="41">
        <f t="shared" si="12"/>
        <v>521482</v>
      </c>
      <c r="X30" s="46"/>
      <c r="Y30" s="42"/>
      <c r="Z30" s="43">
        <v>151</v>
      </c>
      <c r="AA30" s="31">
        <v>85560</v>
      </c>
      <c r="AB30" s="32">
        <f t="shared" si="13"/>
        <v>566.62251655629143</v>
      </c>
      <c r="AC30" s="31">
        <v>32250</v>
      </c>
      <c r="AD30" s="33">
        <f t="shared" si="14"/>
        <v>213.57615894039736</v>
      </c>
      <c r="AE30" s="44">
        <f t="shared" si="15"/>
        <v>117810</v>
      </c>
      <c r="AF30" s="35">
        <f t="shared" si="16"/>
        <v>780.19867549668879</v>
      </c>
      <c r="AG30" s="52">
        <f t="shared" si="17"/>
        <v>72</v>
      </c>
      <c r="AH30" s="46">
        <f t="shared" si="18"/>
        <v>530292</v>
      </c>
      <c r="AI30" s="46">
        <f t="shared" si="19"/>
        <v>109000</v>
      </c>
      <c r="AJ30" s="45">
        <f t="shared" si="20"/>
        <v>639292</v>
      </c>
      <c r="AK30" s="38">
        <f t="shared" si="21"/>
        <v>25300</v>
      </c>
      <c r="AL30" s="46">
        <v>72</v>
      </c>
      <c r="AM30" s="46">
        <v>444732</v>
      </c>
      <c r="AN30" s="46">
        <v>76750</v>
      </c>
      <c r="AO30" s="47">
        <v>25300</v>
      </c>
      <c r="AP30" s="47"/>
      <c r="AQ30" s="47"/>
      <c r="AR30" s="47"/>
      <c r="AS30" s="48">
        <f>SUM(AM30:AQ30)</f>
        <v>546782</v>
      </c>
      <c r="AT30" s="26">
        <v>26</v>
      </c>
      <c r="AU30" s="49">
        <f t="shared" si="24"/>
        <v>546782</v>
      </c>
      <c r="AV30" s="49">
        <f>AS30+AE30</f>
        <v>664592</v>
      </c>
    </row>
    <row r="31" spans="1:48" ht="15.75" customHeight="1">
      <c r="A31" s="26"/>
      <c r="B31" s="144">
        <f t="shared" si="23"/>
        <v>45439</v>
      </c>
      <c r="C31" s="51" t="s">
        <v>71</v>
      </c>
      <c r="D31" s="29"/>
      <c r="E31" s="30"/>
      <c r="F31" s="31"/>
      <c r="G31" s="32" t="e">
        <f t="shared" si="0"/>
        <v>#DIV/0!</v>
      </c>
      <c r="H31" s="31"/>
      <c r="I31" s="32" t="e">
        <f t="shared" si="1"/>
        <v>#DIV/0!</v>
      </c>
      <c r="J31" s="34">
        <f t="shared" si="2"/>
        <v>0</v>
      </c>
      <c r="K31" s="35" t="str">
        <f t="shared" si="3"/>
        <v/>
      </c>
      <c r="L31" s="36"/>
      <c r="M31" s="37">
        <f t="shared" si="26"/>
        <v>26</v>
      </c>
      <c r="N31" s="38">
        <f t="shared" si="26"/>
        <v>267630</v>
      </c>
      <c r="O31" s="32">
        <f t="shared" si="5"/>
        <v>9357.6923076923085</v>
      </c>
      <c r="P31" s="38">
        <f t="shared" si="6"/>
        <v>77680</v>
      </c>
      <c r="Q31" s="32">
        <f t="shared" si="7"/>
        <v>2716.0769230769229</v>
      </c>
      <c r="R31" s="39">
        <f t="shared" si="8"/>
        <v>345310</v>
      </c>
      <c r="S31" s="35">
        <f t="shared" si="9"/>
        <v>13281.153846153846</v>
      </c>
      <c r="T31" s="52">
        <f t="shared" si="27"/>
        <v>26</v>
      </c>
      <c r="U31" s="38">
        <f t="shared" si="27"/>
        <v>267630</v>
      </c>
      <c r="V31" s="38">
        <f t="shared" si="11"/>
        <v>77680</v>
      </c>
      <c r="W31" s="41">
        <f t="shared" si="12"/>
        <v>345310</v>
      </c>
      <c r="X31" s="46"/>
      <c r="Y31" s="42"/>
      <c r="Z31" s="43">
        <v>4</v>
      </c>
      <c r="AA31" s="31">
        <v>3280</v>
      </c>
      <c r="AB31" s="32">
        <f t="shared" si="13"/>
        <v>820</v>
      </c>
      <c r="AC31" s="31">
        <v>1450</v>
      </c>
      <c r="AD31" s="33">
        <f t="shared" si="14"/>
        <v>362.5</v>
      </c>
      <c r="AE31" s="44">
        <f t="shared" si="15"/>
        <v>4730</v>
      </c>
      <c r="AF31" s="35">
        <f t="shared" si="16"/>
        <v>1182.5</v>
      </c>
      <c r="AG31" s="52">
        <v>26</v>
      </c>
      <c r="AH31" s="46">
        <f t="shared" si="18"/>
        <v>270910</v>
      </c>
      <c r="AI31" s="46">
        <f t="shared" si="19"/>
        <v>79130</v>
      </c>
      <c r="AJ31" s="45">
        <f t="shared" si="20"/>
        <v>350040</v>
      </c>
      <c r="AK31" s="38">
        <f t="shared" si="21"/>
        <v>19800</v>
      </c>
      <c r="AL31" s="46">
        <v>26</v>
      </c>
      <c r="AM31" s="46">
        <v>267630</v>
      </c>
      <c r="AN31" s="46">
        <v>77680</v>
      </c>
      <c r="AO31" s="47">
        <v>19800</v>
      </c>
      <c r="AP31" s="47"/>
      <c r="AQ31" s="47"/>
      <c r="AR31" s="47"/>
      <c r="AS31" s="48">
        <f t="shared" si="22"/>
        <v>365110</v>
      </c>
      <c r="AT31" s="26">
        <v>27</v>
      </c>
      <c r="AU31" s="49">
        <f t="shared" si="24"/>
        <v>365110</v>
      </c>
      <c r="AV31" s="49">
        <f t="shared" si="25"/>
        <v>369840</v>
      </c>
    </row>
    <row r="32" spans="1:48" ht="15.75" customHeight="1">
      <c r="A32" s="26"/>
      <c r="B32" s="144">
        <f t="shared" si="23"/>
        <v>45440</v>
      </c>
      <c r="C32" s="51" t="s">
        <v>68</v>
      </c>
      <c r="D32" s="29"/>
      <c r="E32" s="30"/>
      <c r="F32" s="31"/>
      <c r="G32" s="32" t="e">
        <f t="shared" si="0"/>
        <v>#DIV/0!</v>
      </c>
      <c r="H32" s="31"/>
      <c r="I32" s="32" t="e">
        <f t="shared" si="1"/>
        <v>#DIV/0!</v>
      </c>
      <c r="J32" s="34">
        <f t="shared" si="2"/>
        <v>0</v>
      </c>
      <c r="K32" s="35" t="str">
        <f t="shared" si="3"/>
        <v/>
      </c>
      <c r="L32" s="36"/>
      <c r="M32" s="37">
        <f t="shared" si="26"/>
        <v>28</v>
      </c>
      <c r="N32" s="38">
        <f t="shared" si="26"/>
        <v>198110</v>
      </c>
      <c r="O32" s="32">
        <f t="shared" si="5"/>
        <v>6432.1428571428569</v>
      </c>
      <c r="P32" s="38">
        <f t="shared" si="6"/>
        <v>35420</v>
      </c>
      <c r="Q32" s="32">
        <f t="shared" si="7"/>
        <v>1150</v>
      </c>
      <c r="R32" s="39">
        <f t="shared" si="8"/>
        <v>233530</v>
      </c>
      <c r="S32" s="35">
        <f t="shared" si="9"/>
        <v>8340.3571428571431</v>
      </c>
      <c r="T32" s="52">
        <f t="shared" si="27"/>
        <v>28</v>
      </c>
      <c r="U32" s="38">
        <f t="shared" si="27"/>
        <v>198110</v>
      </c>
      <c r="V32" s="38">
        <f t="shared" si="11"/>
        <v>35420</v>
      </c>
      <c r="W32" s="41">
        <f t="shared" si="12"/>
        <v>233530</v>
      </c>
      <c r="X32" s="46"/>
      <c r="Y32" s="42"/>
      <c r="Z32" s="43">
        <v>31</v>
      </c>
      <c r="AA32" s="31">
        <v>21630</v>
      </c>
      <c r="AB32" s="32">
        <f t="shared" si="13"/>
        <v>697.74193548387098</v>
      </c>
      <c r="AC32" s="31">
        <v>9050</v>
      </c>
      <c r="AD32" s="33">
        <f t="shared" si="14"/>
        <v>291.93548387096774</v>
      </c>
      <c r="AE32" s="44">
        <f t="shared" si="15"/>
        <v>30680</v>
      </c>
      <c r="AF32" s="35">
        <f t="shared" si="16"/>
        <v>989.67741935483866</v>
      </c>
      <c r="AG32" s="52">
        <f t="shared" si="17"/>
        <v>28</v>
      </c>
      <c r="AH32" s="46">
        <v>198110</v>
      </c>
      <c r="AI32" s="46">
        <v>35420</v>
      </c>
      <c r="AJ32" s="45">
        <f t="shared" si="20"/>
        <v>264210</v>
      </c>
      <c r="AK32" s="38">
        <f t="shared" si="21"/>
        <v>4950</v>
      </c>
      <c r="AL32" s="46">
        <v>28</v>
      </c>
      <c r="AM32" s="46">
        <v>198110</v>
      </c>
      <c r="AN32" s="46">
        <v>35420</v>
      </c>
      <c r="AO32" s="47">
        <v>3300</v>
      </c>
      <c r="AP32" s="47">
        <v>1650</v>
      </c>
      <c r="AQ32" s="47"/>
      <c r="AR32" s="47"/>
      <c r="AS32" s="48">
        <f t="shared" si="22"/>
        <v>238480</v>
      </c>
      <c r="AT32" s="26">
        <v>28</v>
      </c>
      <c r="AU32" s="49">
        <f t="shared" si="24"/>
        <v>238480</v>
      </c>
      <c r="AV32" s="49">
        <f t="shared" si="25"/>
        <v>269160</v>
      </c>
    </row>
    <row r="33" spans="1:48" ht="15.75" customHeight="1">
      <c r="A33" s="26"/>
      <c r="B33" s="144">
        <f t="shared" si="23"/>
        <v>45441</v>
      </c>
      <c r="C33" s="51" t="s">
        <v>75</v>
      </c>
      <c r="D33" s="29"/>
      <c r="E33" s="30"/>
      <c r="F33" s="31"/>
      <c r="G33" s="32" t="e">
        <f t="shared" si="0"/>
        <v>#DIV/0!</v>
      </c>
      <c r="H33" s="31"/>
      <c r="I33" s="32" t="e">
        <f t="shared" si="1"/>
        <v>#DIV/0!</v>
      </c>
      <c r="J33" s="34">
        <f t="shared" si="2"/>
        <v>0</v>
      </c>
      <c r="K33" s="35" t="str">
        <f t="shared" si="3"/>
        <v/>
      </c>
      <c r="L33" s="36"/>
      <c r="M33" s="37">
        <f t="shared" si="26"/>
        <v>33</v>
      </c>
      <c r="N33" s="38">
        <f t="shared" si="26"/>
        <v>266290</v>
      </c>
      <c r="O33" s="32">
        <f t="shared" si="5"/>
        <v>7335.787878787879</v>
      </c>
      <c r="P33" s="38">
        <f t="shared" si="6"/>
        <v>31570</v>
      </c>
      <c r="Q33" s="32">
        <f>ROUNDDOWN(P33/1.1,0)/M33</f>
        <v>869.69696969696975</v>
      </c>
      <c r="R33" s="39">
        <f t="shared" si="8"/>
        <v>297860</v>
      </c>
      <c r="S33" s="35">
        <f t="shared" si="9"/>
        <v>9026.060606060606</v>
      </c>
      <c r="T33" s="52">
        <f t="shared" si="27"/>
        <v>33</v>
      </c>
      <c r="U33" s="38">
        <f t="shared" si="27"/>
        <v>266290</v>
      </c>
      <c r="V33" s="38">
        <f t="shared" si="11"/>
        <v>31570</v>
      </c>
      <c r="W33" s="41">
        <f t="shared" si="12"/>
        <v>297860</v>
      </c>
      <c r="X33" s="46"/>
      <c r="Y33" s="42"/>
      <c r="Z33" s="43">
        <v>14</v>
      </c>
      <c r="AA33" s="31">
        <v>12310</v>
      </c>
      <c r="AB33" s="32">
        <f t="shared" si="13"/>
        <v>879.28571428571433</v>
      </c>
      <c r="AC33" s="31">
        <v>1200</v>
      </c>
      <c r="AD33" s="33">
        <f t="shared" si="14"/>
        <v>85.714285714285708</v>
      </c>
      <c r="AE33" s="44">
        <f t="shared" si="15"/>
        <v>13510</v>
      </c>
      <c r="AF33" s="35">
        <f t="shared" si="16"/>
        <v>965</v>
      </c>
      <c r="AG33" s="52">
        <f t="shared" si="17"/>
        <v>33</v>
      </c>
      <c r="AH33" s="46">
        <f t="shared" si="18"/>
        <v>278600</v>
      </c>
      <c r="AI33" s="46">
        <f t="shared" si="19"/>
        <v>32770</v>
      </c>
      <c r="AJ33" s="45">
        <f t="shared" si="20"/>
        <v>311370</v>
      </c>
      <c r="AK33" s="38">
        <f t="shared" si="21"/>
        <v>17050</v>
      </c>
      <c r="AL33" s="46">
        <v>33</v>
      </c>
      <c r="AM33" s="46">
        <v>266290</v>
      </c>
      <c r="AN33" s="46">
        <v>31570</v>
      </c>
      <c r="AO33" s="47">
        <v>17050</v>
      </c>
      <c r="AP33" s="47"/>
      <c r="AQ33" s="47"/>
      <c r="AR33" s="47"/>
      <c r="AS33" s="48">
        <f t="shared" si="22"/>
        <v>314910</v>
      </c>
      <c r="AT33" s="26">
        <v>29</v>
      </c>
      <c r="AU33" s="49">
        <f t="shared" si="24"/>
        <v>314910</v>
      </c>
      <c r="AV33" s="49">
        <f t="shared" si="25"/>
        <v>328420</v>
      </c>
    </row>
    <row r="34" spans="1:48" ht="15.75" customHeight="1">
      <c r="A34" s="26"/>
      <c r="B34" s="144">
        <f t="shared" si="23"/>
        <v>45442</v>
      </c>
      <c r="C34" s="51" t="s">
        <v>76</v>
      </c>
      <c r="D34" s="29"/>
      <c r="E34" s="30"/>
      <c r="F34" s="31"/>
      <c r="G34" s="32" t="e">
        <f t="shared" si="0"/>
        <v>#DIV/0!</v>
      </c>
      <c r="H34" s="31"/>
      <c r="I34" s="32" t="e">
        <f t="shared" si="1"/>
        <v>#DIV/0!</v>
      </c>
      <c r="J34" s="34">
        <f t="shared" si="2"/>
        <v>0</v>
      </c>
      <c r="K34" s="35" t="str">
        <f t="shared" si="3"/>
        <v/>
      </c>
      <c r="L34" s="36"/>
      <c r="M34" s="37">
        <f t="shared" si="26"/>
        <v>26</v>
      </c>
      <c r="N34" s="38">
        <f t="shared" si="26"/>
        <v>300300</v>
      </c>
      <c r="O34" s="32">
        <f t="shared" si="5"/>
        <v>10500</v>
      </c>
      <c r="P34" s="38">
        <f t="shared" si="6"/>
        <v>30350</v>
      </c>
      <c r="Q34" s="32">
        <f t="shared" si="7"/>
        <v>1061.1538461538462</v>
      </c>
      <c r="R34" s="39">
        <f t="shared" si="8"/>
        <v>330650</v>
      </c>
      <c r="S34" s="35">
        <f t="shared" si="9"/>
        <v>12717.307692307691</v>
      </c>
      <c r="T34" s="52">
        <f t="shared" si="27"/>
        <v>26</v>
      </c>
      <c r="U34" s="38">
        <f t="shared" si="27"/>
        <v>300300</v>
      </c>
      <c r="V34" s="38">
        <f t="shared" si="11"/>
        <v>30350</v>
      </c>
      <c r="W34" s="41">
        <f t="shared" si="12"/>
        <v>330650</v>
      </c>
      <c r="X34" s="46"/>
      <c r="Y34" s="57"/>
      <c r="Z34" s="58">
        <v>31</v>
      </c>
      <c r="AA34" s="59">
        <v>41270</v>
      </c>
      <c r="AB34" s="32">
        <f t="shared" si="13"/>
        <v>1331.2903225806451</v>
      </c>
      <c r="AC34" s="59">
        <v>14500</v>
      </c>
      <c r="AD34" s="33">
        <f t="shared" si="14"/>
        <v>467.74193548387098</v>
      </c>
      <c r="AE34" s="44">
        <f t="shared" si="15"/>
        <v>55770</v>
      </c>
      <c r="AF34" s="35">
        <f t="shared" si="16"/>
        <v>1799.0322580645161</v>
      </c>
      <c r="AG34" s="52">
        <f t="shared" si="17"/>
        <v>26</v>
      </c>
      <c r="AH34" s="46">
        <f t="shared" si="18"/>
        <v>341570</v>
      </c>
      <c r="AI34" s="46">
        <f t="shared" si="19"/>
        <v>44850</v>
      </c>
      <c r="AJ34" s="45">
        <f t="shared" si="20"/>
        <v>386420</v>
      </c>
      <c r="AK34" s="38">
        <f t="shared" si="21"/>
        <v>0</v>
      </c>
      <c r="AL34" s="46">
        <v>26</v>
      </c>
      <c r="AM34" s="46">
        <v>300300</v>
      </c>
      <c r="AN34" s="46">
        <v>30350</v>
      </c>
      <c r="AO34" s="47"/>
      <c r="AP34" s="47"/>
      <c r="AQ34" s="47"/>
      <c r="AR34" s="47"/>
      <c r="AS34" s="48">
        <f t="shared" si="22"/>
        <v>330650</v>
      </c>
      <c r="AT34" s="26">
        <v>30</v>
      </c>
      <c r="AU34" s="49">
        <f t="shared" si="24"/>
        <v>330650</v>
      </c>
      <c r="AV34" s="49">
        <f t="shared" si="25"/>
        <v>386420</v>
      </c>
    </row>
    <row r="35" spans="1:48" ht="15.75" customHeight="1" thickBot="1">
      <c r="A35" s="26"/>
      <c r="B35" s="144">
        <f t="shared" si="23"/>
        <v>45443</v>
      </c>
      <c r="C35" s="51" t="s">
        <v>53</v>
      </c>
      <c r="D35" s="29"/>
      <c r="E35" s="30"/>
      <c r="F35" s="31"/>
      <c r="G35" s="32" t="e">
        <f t="shared" si="0"/>
        <v>#DIV/0!</v>
      </c>
      <c r="H35" s="31"/>
      <c r="I35" s="32" t="e">
        <f t="shared" si="1"/>
        <v>#DIV/0!</v>
      </c>
      <c r="J35" s="34">
        <f t="shared" si="2"/>
        <v>0</v>
      </c>
      <c r="K35" s="35" t="str">
        <f t="shared" si="3"/>
        <v/>
      </c>
      <c r="L35" s="36"/>
      <c r="M35" s="60">
        <f t="shared" si="26"/>
        <v>28</v>
      </c>
      <c r="N35" s="38">
        <f t="shared" si="26"/>
        <v>260040</v>
      </c>
      <c r="O35" s="32">
        <f t="shared" si="5"/>
        <v>8442.8571428571431</v>
      </c>
      <c r="P35" s="38">
        <f t="shared" si="6"/>
        <v>60720</v>
      </c>
      <c r="Q35" s="32">
        <f t="shared" si="7"/>
        <v>1971.4285714285713</v>
      </c>
      <c r="R35" s="39">
        <f t="shared" si="8"/>
        <v>320760</v>
      </c>
      <c r="S35" s="35">
        <f t="shared" si="9"/>
        <v>11455.714285714286</v>
      </c>
      <c r="T35" s="61">
        <f t="shared" si="27"/>
        <v>28</v>
      </c>
      <c r="U35" s="62">
        <f t="shared" si="27"/>
        <v>260040</v>
      </c>
      <c r="V35" s="62">
        <f t="shared" si="11"/>
        <v>60720</v>
      </c>
      <c r="W35" s="63">
        <f t="shared" si="12"/>
        <v>320760</v>
      </c>
      <c r="X35" s="62"/>
      <c r="Y35" s="64"/>
      <c r="Z35" s="65">
        <v>112</v>
      </c>
      <c r="AA35" s="66">
        <v>59350</v>
      </c>
      <c r="AB35" s="67">
        <f t="shared" si="13"/>
        <v>529.91071428571433</v>
      </c>
      <c r="AC35" s="66">
        <v>20550</v>
      </c>
      <c r="AD35" s="68">
        <f t="shared" si="14"/>
        <v>183.48214285714286</v>
      </c>
      <c r="AE35" s="69">
        <f t="shared" si="15"/>
        <v>79900</v>
      </c>
      <c r="AF35" s="35">
        <f t="shared" si="16"/>
        <v>713.39285714285711</v>
      </c>
      <c r="AG35" s="61">
        <f t="shared" si="17"/>
        <v>28</v>
      </c>
      <c r="AH35" s="62">
        <f t="shared" si="18"/>
        <v>319390</v>
      </c>
      <c r="AI35" s="62">
        <f t="shared" si="19"/>
        <v>81270</v>
      </c>
      <c r="AJ35" s="45">
        <f t="shared" si="20"/>
        <v>400660</v>
      </c>
      <c r="AK35" s="38">
        <f t="shared" si="21"/>
        <v>25520</v>
      </c>
      <c r="AL35" s="46">
        <v>28</v>
      </c>
      <c r="AM35" s="46">
        <v>260040</v>
      </c>
      <c r="AN35" s="46">
        <v>60720</v>
      </c>
      <c r="AO35" s="47">
        <v>23100</v>
      </c>
      <c r="AP35" s="47">
        <v>2420</v>
      </c>
      <c r="AQ35" s="47"/>
      <c r="AR35" s="47"/>
      <c r="AS35" s="48">
        <f t="shared" si="22"/>
        <v>346280</v>
      </c>
      <c r="AT35" s="26">
        <v>31</v>
      </c>
      <c r="AU35" s="49">
        <f t="shared" si="24"/>
        <v>346280</v>
      </c>
      <c r="AV35" s="49">
        <f t="shared" si="25"/>
        <v>426180</v>
      </c>
    </row>
    <row r="36" spans="1:48" ht="15.75" customHeight="1" thickTop="1">
      <c r="A36" s="70"/>
      <c r="B36" s="71" t="s">
        <v>26</v>
      </c>
      <c r="C36" s="72">
        <f>SUM(C5:C35)</f>
        <v>0</v>
      </c>
      <c r="D36" s="73">
        <f>SUM(D5:D35)</f>
        <v>0</v>
      </c>
      <c r="E36" s="74">
        <f>SUM(E5:E35)</f>
        <v>268</v>
      </c>
      <c r="F36" s="75">
        <f>SUM(F5:F35)</f>
        <v>974374</v>
      </c>
      <c r="G36" s="76">
        <f>F36/E36</f>
        <v>3635.7238805970151</v>
      </c>
      <c r="H36" s="72">
        <f>SUM(H5:H35)</f>
        <v>165540</v>
      </c>
      <c r="I36" s="77">
        <f>H36/E36</f>
        <v>617.68656716417911</v>
      </c>
      <c r="J36" s="78">
        <f>SUM(J5:J35)</f>
        <v>1139914</v>
      </c>
      <c r="K36" s="79">
        <f>J36/E36</f>
        <v>4253.4104477611936</v>
      </c>
      <c r="L36" s="80">
        <f>SUM(L5:L35)</f>
        <v>0</v>
      </c>
      <c r="M36" s="74">
        <f>SUM(M5:M35)</f>
        <v>973</v>
      </c>
      <c r="N36" s="75">
        <f>SUM(N5:N35)</f>
        <v>9000030</v>
      </c>
      <c r="O36" s="76">
        <f>N36/M36</f>
        <v>9249.7738951695792</v>
      </c>
      <c r="P36" s="81">
        <f>SUM(P5:P35)</f>
        <v>1468190</v>
      </c>
      <c r="Q36" s="77">
        <f>P36/M36</f>
        <v>1508.9311408016445</v>
      </c>
      <c r="R36" s="82">
        <f>SUM(R5:R35)</f>
        <v>10468220</v>
      </c>
      <c r="S36" s="83">
        <f>R36/M36</f>
        <v>10758.705035971223</v>
      </c>
      <c r="T36" s="74">
        <f t="shared" ref="T36:AA36" si="28">SUM(T5:T35)</f>
        <v>1241</v>
      </c>
      <c r="U36" s="145">
        <f t="shared" si="28"/>
        <v>9974404</v>
      </c>
      <c r="V36" s="81">
        <f t="shared" si="28"/>
        <v>1633730</v>
      </c>
      <c r="W36" s="146">
        <f t="shared" si="28"/>
        <v>11608134</v>
      </c>
      <c r="X36" s="72">
        <f t="shared" si="28"/>
        <v>0</v>
      </c>
      <c r="Y36" s="73">
        <f t="shared" si="28"/>
        <v>0</v>
      </c>
      <c r="Z36" s="74">
        <f t="shared" si="28"/>
        <v>2534</v>
      </c>
      <c r="AA36" s="75">
        <f t="shared" si="28"/>
        <v>1702140</v>
      </c>
      <c r="AB36" s="76"/>
      <c r="AC36" s="72">
        <f>SUM(AC5:AC35)</f>
        <v>609700</v>
      </c>
      <c r="AD36" s="77"/>
      <c r="AE36" s="82">
        <f>SUM(AE5:AE35)</f>
        <v>2311840</v>
      </c>
      <c r="AF36" s="84">
        <f>AE36/Z36</f>
        <v>912.3283346487766</v>
      </c>
      <c r="AG36" s="74">
        <f t="shared" ref="AG36:AS36" si="29">SUM(AG5:AG35)</f>
        <v>1241</v>
      </c>
      <c r="AH36" s="145">
        <f t="shared" si="29"/>
        <v>11654914</v>
      </c>
      <c r="AI36" s="81">
        <f t="shared" si="29"/>
        <v>2234380</v>
      </c>
      <c r="AJ36" s="82">
        <f t="shared" si="29"/>
        <v>13919974</v>
      </c>
      <c r="AK36" s="72">
        <f t="shared" si="29"/>
        <v>726960</v>
      </c>
      <c r="AL36" s="85">
        <f t="shared" si="29"/>
        <v>1241</v>
      </c>
      <c r="AM36" s="85">
        <f t="shared" si="29"/>
        <v>9974404</v>
      </c>
      <c r="AN36" s="85">
        <f t="shared" si="29"/>
        <v>1633730</v>
      </c>
      <c r="AO36" s="85">
        <f t="shared" si="29"/>
        <v>622600</v>
      </c>
      <c r="AP36" s="85">
        <f t="shared" si="29"/>
        <v>104360</v>
      </c>
      <c r="AQ36" s="85">
        <f t="shared" si="29"/>
        <v>0</v>
      </c>
      <c r="AR36" s="85">
        <f t="shared" si="29"/>
        <v>6600</v>
      </c>
      <c r="AS36" s="85">
        <f t="shared" si="29"/>
        <v>12335094</v>
      </c>
      <c r="AT36" s="70"/>
      <c r="AU36" s="86">
        <f>SUM(AU5:AU35)</f>
        <v>12341694</v>
      </c>
      <c r="AV36" s="96">
        <f>SUM(AV5:AV35)</f>
        <v>14646934</v>
      </c>
    </row>
    <row r="37" spans="1:48" ht="15.75" customHeight="1">
      <c r="A37" s="70"/>
      <c r="B37" s="70"/>
      <c r="C37" s="70"/>
      <c r="D37" s="70"/>
      <c r="E37" s="87" t="s">
        <v>36</v>
      </c>
      <c r="F37" s="88">
        <f>F36/1.1</f>
        <v>885794.54545454541</v>
      </c>
      <c r="G37" s="89">
        <f>F37/E36</f>
        <v>3305.2035278154681</v>
      </c>
      <c r="H37" s="47">
        <f>H36/1.1</f>
        <v>150490.90909090909</v>
      </c>
      <c r="I37" s="89">
        <f>H37/E36</f>
        <v>561.5332428765264</v>
      </c>
      <c r="J37" s="85">
        <f>J36/1.1</f>
        <v>1036285.4545454545</v>
      </c>
      <c r="K37" s="90">
        <f>G37+I37</f>
        <v>3866.7367706919945</v>
      </c>
      <c r="L37" s="91"/>
      <c r="M37" s="87" t="s">
        <v>36</v>
      </c>
      <c r="N37" s="88">
        <f>N36/1.1</f>
        <v>8181845.4545454541</v>
      </c>
      <c r="O37" s="89">
        <f>N37/M36</f>
        <v>8408.8853592450705</v>
      </c>
      <c r="P37" s="88">
        <f>P36/1.1</f>
        <v>1334718.1818181816</v>
      </c>
      <c r="Q37" s="89">
        <f>P37/M36</f>
        <v>1371.7555825469492</v>
      </c>
      <c r="R37" s="89">
        <f>R36/1.1</f>
        <v>9516563.6363636348</v>
      </c>
      <c r="S37" s="147">
        <f>R37/M36</f>
        <v>9780.6409417920186</v>
      </c>
      <c r="T37" s="87" t="s">
        <v>36</v>
      </c>
      <c r="U37" s="88">
        <f>U36/1.1</f>
        <v>9067640</v>
      </c>
      <c r="V37" s="88">
        <f>V36/1.1</f>
        <v>1485209.0909090908</v>
      </c>
      <c r="W37" s="148">
        <f>W36/1.1</f>
        <v>10552849.09090909</v>
      </c>
      <c r="X37" s="93"/>
      <c r="Y37" s="91"/>
      <c r="Z37" s="87" t="s">
        <v>36</v>
      </c>
      <c r="AA37" s="88">
        <f>AA36/1.1</f>
        <v>1547399.9999999998</v>
      </c>
      <c r="AB37" s="47">
        <f>AA37/Z36</f>
        <v>610.65509076558794</v>
      </c>
      <c r="AC37" s="47">
        <f>AC36/1.1</f>
        <v>554272.72727272718</v>
      </c>
      <c r="AD37" s="47">
        <f>AC37/Z36</f>
        <v>218.73430436966345</v>
      </c>
      <c r="AE37" s="89">
        <f>AE36/1.1</f>
        <v>2101672.7272727271</v>
      </c>
      <c r="AF37" s="94" t="e">
        <f>AE37/Y36</f>
        <v>#DIV/0!</v>
      </c>
      <c r="AG37" s="87" t="s">
        <v>36</v>
      </c>
      <c r="AH37" s="149">
        <f>AH36/1.1</f>
        <v>10595376.363636363</v>
      </c>
      <c r="AI37" s="88">
        <f>AI36/1.1</f>
        <v>2031254.5454545452</v>
      </c>
      <c r="AJ37" s="89">
        <f>AJ36/1.1</f>
        <v>12654521.818181816</v>
      </c>
      <c r="AK37" s="95">
        <f>AK36/1.1</f>
        <v>660872.72727272718</v>
      </c>
      <c r="AL37" s="70"/>
      <c r="AM37" s="70"/>
      <c r="AN37" s="70"/>
      <c r="AO37" s="70"/>
      <c r="AP37" s="96"/>
      <c r="AQ37" s="70"/>
      <c r="AR37" s="70"/>
      <c r="AS37" s="96"/>
      <c r="AT37" s="70"/>
      <c r="AU37" s="96"/>
      <c r="AV37" s="70"/>
    </row>
    <row r="38" spans="1:48" ht="15.75" customHeight="1">
      <c r="A38" s="26"/>
      <c r="B38" s="26"/>
      <c r="C38" s="26"/>
      <c r="D38" s="26"/>
      <c r="E38" s="97" t="s">
        <v>37</v>
      </c>
      <c r="F38" s="98">
        <f>E36/G38</f>
        <v>26.8</v>
      </c>
      <c r="G38" s="99">
        <v>10</v>
      </c>
      <c r="H38" s="100" t="s">
        <v>38</v>
      </c>
      <c r="I38" s="98"/>
      <c r="J38" s="101" t="s">
        <v>39</v>
      </c>
      <c r="K38" s="102">
        <f>J37/G38</f>
        <v>103628.54545454544</v>
      </c>
      <c r="L38" s="26"/>
      <c r="M38" s="97" t="s">
        <v>37</v>
      </c>
      <c r="N38" s="98">
        <f>M36/O38</f>
        <v>31.387096774193548</v>
      </c>
      <c r="O38" s="99">
        <v>31</v>
      </c>
      <c r="P38" s="100" t="s">
        <v>38</v>
      </c>
      <c r="Q38" s="98"/>
      <c r="R38" s="101" t="s">
        <v>39</v>
      </c>
      <c r="S38" s="103">
        <f>R37/O38</f>
        <v>306985.92375366564</v>
      </c>
      <c r="T38" s="26"/>
      <c r="U38" s="26"/>
      <c r="V38" s="26"/>
      <c r="W38" s="49"/>
      <c r="X38" s="49"/>
      <c r="Y38" s="26"/>
      <c r="Z38" s="26"/>
      <c r="AA38" s="104">
        <v>27</v>
      </c>
      <c r="AB38" s="100" t="s">
        <v>38</v>
      </c>
      <c r="AC38" s="98"/>
      <c r="AD38" s="98"/>
      <c r="AE38" s="98"/>
      <c r="AF38" s="102">
        <f>AE37/AA38</f>
        <v>77839.730639730638</v>
      </c>
      <c r="AG38" s="26"/>
      <c r="AH38" s="26"/>
      <c r="AI38" s="26"/>
      <c r="AJ38" s="49"/>
      <c r="AK38" s="49" t="e">
        <f>AJ37/AL37</f>
        <v>#DIV/0!</v>
      </c>
      <c r="AL38" s="105">
        <f>AG36+T36</f>
        <v>2482</v>
      </c>
      <c r="AM38" s="26"/>
      <c r="AN38" s="26"/>
      <c r="AO38" s="26"/>
      <c r="AP38" s="49"/>
      <c r="AQ38" s="26"/>
      <c r="AR38" s="26"/>
      <c r="AS38" s="49"/>
      <c r="AT38" s="26"/>
      <c r="AU38" s="49"/>
      <c r="AV38" s="26"/>
    </row>
    <row r="39" spans="1:48" ht="15.75" customHeight="1">
      <c r="A39" s="26"/>
      <c r="B39" s="26"/>
      <c r="C39" s="26"/>
      <c r="D39" s="106" t="s">
        <v>40</v>
      </c>
      <c r="E39" s="107"/>
      <c r="F39" s="98"/>
      <c r="G39" s="108"/>
      <c r="H39" s="98"/>
      <c r="I39" s="98"/>
      <c r="J39" s="101"/>
      <c r="K39" s="102"/>
      <c r="L39" s="109" t="s">
        <v>41</v>
      </c>
      <c r="M39" s="97"/>
      <c r="N39" s="98"/>
      <c r="O39" s="98"/>
      <c r="P39" s="98"/>
      <c r="Q39" s="98"/>
      <c r="R39" s="101"/>
      <c r="S39" s="102"/>
      <c r="T39" s="26"/>
      <c r="U39" s="26"/>
      <c r="V39" s="26"/>
      <c r="W39" s="49"/>
      <c r="X39" s="49"/>
      <c r="Y39" s="109" t="s">
        <v>42</v>
      </c>
      <c r="Z39" s="26"/>
      <c r="AA39" s="98"/>
      <c r="AB39" s="98"/>
      <c r="AC39" s="98"/>
      <c r="AD39" s="98"/>
      <c r="AE39" s="98"/>
      <c r="AF39" s="102"/>
      <c r="AG39" s="26"/>
      <c r="AH39" s="26"/>
      <c r="AI39" s="26"/>
      <c r="AJ39" s="49">
        <f>AJ36+AK36</f>
        <v>14646934</v>
      </c>
      <c r="AK39" s="110">
        <f>AJ39/G38</f>
        <v>1464693.4</v>
      </c>
      <c r="AL39" s="26" t="s">
        <v>43</v>
      </c>
      <c r="AM39" s="26"/>
      <c r="AN39" s="26"/>
      <c r="AO39" s="26"/>
      <c r="AP39" s="49"/>
      <c r="AQ39" s="26"/>
      <c r="AR39" s="26"/>
      <c r="AS39" s="49"/>
      <c r="AT39" s="26"/>
      <c r="AU39" s="49"/>
      <c r="AV39" s="26"/>
    </row>
    <row r="40" spans="1:48" ht="21" customHeight="1">
      <c r="A40" s="26"/>
      <c r="B40" s="26"/>
      <c r="C40" s="109"/>
      <c r="D40" s="158"/>
      <c r="E40" s="189"/>
      <c r="F40" s="189"/>
      <c r="G40" s="189"/>
      <c r="H40" s="189"/>
      <c r="I40" s="189"/>
      <c r="J40" s="189"/>
      <c r="K40" s="190"/>
      <c r="L40" s="158" t="s">
        <v>77</v>
      </c>
      <c r="M40" s="189"/>
      <c r="N40" s="189"/>
      <c r="O40" s="189"/>
      <c r="P40" s="189"/>
      <c r="Q40" s="189"/>
      <c r="R40" s="189"/>
      <c r="S40" s="190"/>
      <c r="T40" s="26"/>
      <c r="U40" s="26"/>
      <c r="V40" s="26"/>
      <c r="W40" s="49"/>
      <c r="X40" s="26"/>
      <c r="Y40" s="158"/>
      <c r="Z40" s="189"/>
      <c r="AA40" s="189"/>
      <c r="AB40" s="189"/>
      <c r="AC40" s="189"/>
      <c r="AD40" s="189"/>
      <c r="AE40" s="189"/>
      <c r="AF40" s="190"/>
      <c r="AG40" s="26"/>
      <c r="AI40" s="97" t="s">
        <v>78</v>
      </c>
      <c r="AJ40" s="111">
        <f>AJ37+AK37</f>
        <v>13315394.545454543</v>
      </c>
      <c r="AK40" s="26"/>
      <c r="AL40" s="26"/>
      <c r="AM40" s="26"/>
      <c r="AN40" s="26"/>
      <c r="AO40" s="26"/>
      <c r="AP40" s="26"/>
      <c r="AQ40" s="26"/>
      <c r="AR40" s="26"/>
      <c r="AS40" s="49"/>
      <c r="AT40" s="26"/>
      <c r="AU40" s="49"/>
      <c r="AV40" s="26"/>
    </row>
    <row r="41" spans="1:48" ht="21" customHeight="1">
      <c r="A41" s="26"/>
      <c r="B41" s="26"/>
      <c r="C41" s="109"/>
      <c r="D41" s="193"/>
      <c r="E41" s="207"/>
      <c r="F41" s="207"/>
      <c r="G41" s="207"/>
      <c r="H41" s="207"/>
      <c r="I41" s="207"/>
      <c r="J41" s="207"/>
      <c r="K41" s="195"/>
      <c r="L41" s="193"/>
      <c r="M41" s="207"/>
      <c r="N41" s="207"/>
      <c r="O41" s="207"/>
      <c r="P41" s="207"/>
      <c r="Q41" s="207"/>
      <c r="R41" s="207"/>
      <c r="S41" s="195"/>
      <c r="T41" s="26"/>
      <c r="U41" s="26"/>
      <c r="V41" s="26"/>
      <c r="W41" s="49"/>
      <c r="X41" s="26"/>
      <c r="Y41" s="193"/>
      <c r="Z41" s="207"/>
      <c r="AA41" s="207"/>
      <c r="AB41" s="207"/>
      <c r="AC41" s="207"/>
      <c r="AD41" s="207"/>
      <c r="AE41" s="207"/>
      <c r="AF41" s="195"/>
      <c r="AG41" s="26"/>
      <c r="AH41" s="26"/>
      <c r="AI41" s="26"/>
      <c r="AJ41" s="49"/>
      <c r="AK41" s="110">
        <f>AJ40/S46</f>
        <v>13315394.545454543</v>
      </c>
      <c r="AL41" s="26" t="s">
        <v>44</v>
      </c>
      <c r="AM41" s="26"/>
      <c r="AN41" s="26"/>
      <c r="AO41" s="26"/>
      <c r="AP41" s="26"/>
      <c r="AQ41" s="26"/>
      <c r="AR41" s="26"/>
      <c r="AS41" s="49"/>
      <c r="AT41" s="26"/>
      <c r="AU41" s="49"/>
      <c r="AV41" s="26"/>
    </row>
    <row r="42" spans="1:48" ht="21" customHeight="1">
      <c r="A42" s="26"/>
      <c r="B42" s="26"/>
      <c r="C42" s="109"/>
      <c r="D42" s="193"/>
      <c r="E42" s="207"/>
      <c r="F42" s="207"/>
      <c r="G42" s="207"/>
      <c r="H42" s="207"/>
      <c r="I42" s="207"/>
      <c r="J42" s="207"/>
      <c r="K42" s="195"/>
      <c r="L42" s="193"/>
      <c r="M42" s="207"/>
      <c r="N42" s="207"/>
      <c r="O42" s="207"/>
      <c r="P42" s="207"/>
      <c r="Q42" s="207"/>
      <c r="R42" s="207"/>
      <c r="S42" s="195"/>
      <c r="T42" s="26"/>
      <c r="U42" s="26"/>
      <c r="V42" s="26"/>
      <c r="W42" s="49"/>
      <c r="X42" s="26"/>
      <c r="Y42" s="193"/>
      <c r="Z42" s="207"/>
      <c r="AA42" s="207"/>
      <c r="AB42" s="207"/>
      <c r="AC42" s="207"/>
      <c r="AD42" s="207"/>
      <c r="AE42" s="207"/>
      <c r="AF42" s="195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9"/>
      <c r="AT42" s="26"/>
      <c r="AU42" s="49"/>
      <c r="AV42" s="26"/>
    </row>
    <row r="43" spans="1:48" ht="21" customHeight="1">
      <c r="A43" s="26"/>
      <c r="B43" s="26"/>
      <c r="C43" s="109"/>
      <c r="D43" s="193"/>
      <c r="E43" s="207"/>
      <c r="F43" s="207"/>
      <c r="G43" s="207"/>
      <c r="H43" s="207"/>
      <c r="I43" s="207"/>
      <c r="J43" s="207"/>
      <c r="K43" s="195"/>
      <c r="L43" s="193"/>
      <c r="M43" s="207"/>
      <c r="N43" s="207"/>
      <c r="O43" s="207"/>
      <c r="P43" s="207"/>
      <c r="Q43" s="207"/>
      <c r="R43" s="207"/>
      <c r="S43" s="195"/>
      <c r="T43" s="26"/>
      <c r="U43" s="26"/>
      <c r="V43" s="26"/>
      <c r="W43" s="26"/>
      <c r="X43" s="26"/>
      <c r="Y43" s="193"/>
      <c r="Z43" s="207"/>
      <c r="AA43" s="207"/>
      <c r="AB43" s="207"/>
      <c r="AC43" s="207"/>
      <c r="AD43" s="207"/>
      <c r="AE43" s="207"/>
      <c r="AF43" s="195"/>
      <c r="AG43" s="26"/>
      <c r="AH43" s="26"/>
      <c r="AI43" s="26"/>
      <c r="AJ43" s="49">
        <f>AJ37+AK37</f>
        <v>13315394.545454543</v>
      </c>
      <c r="AK43" s="112" t="s">
        <v>45</v>
      </c>
      <c r="AL43" s="26"/>
      <c r="AM43" s="26"/>
      <c r="AN43" s="26"/>
      <c r="AO43" s="26"/>
      <c r="AP43" s="26"/>
      <c r="AQ43" s="26"/>
      <c r="AR43" s="26"/>
      <c r="AS43" s="49"/>
      <c r="AT43" s="26"/>
      <c r="AU43" s="49"/>
      <c r="AV43" s="26"/>
    </row>
    <row r="44" spans="1:48" ht="21" customHeight="1">
      <c r="A44" s="26"/>
      <c r="B44" s="26"/>
      <c r="C44" s="109"/>
      <c r="D44" s="199"/>
      <c r="E44" s="200"/>
      <c r="F44" s="200"/>
      <c r="G44" s="200"/>
      <c r="H44" s="200"/>
      <c r="I44" s="200"/>
      <c r="J44" s="200"/>
      <c r="K44" s="201"/>
      <c r="L44" s="199"/>
      <c r="M44" s="200"/>
      <c r="N44" s="200"/>
      <c r="O44" s="200"/>
      <c r="P44" s="200"/>
      <c r="Q44" s="200"/>
      <c r="R44" s="200"/>
      <c r="S44" s="201"/>
      <c r="T44" s="26"/>
      <c r="U44" s="26"/>
      <c r="V44" s="26"/>
      <c r="W44" s="26"/>
      <c r="X44" s="26"/>
      <c r="Y44" s="199"/>
      <c r="Z44" s="200"/>
      <c r="AA44" s="200"/>
      <c r="AB44" s="200"/>
      <c r="AC44" s="200"/>
      <c r="AD44" s="200"/>
      <c r="AE44" s="200"/>
      <c r="AF44" s="201"/>
      <c r="AG44" s="26"/>
      <c r="AH44" s="113"/>
      <c r="AI44" s="114" t="s">
        <v>46</v>
      </c>
      <c r="AJ44" s="115">
        <v>14083345</v>
      </c>
      <c r="AK44" s="116">
        <f>550000+304945</f>
        <v>854945</v>
      </c>
      <c r="AL44" s="120">
        <f>AK37/AK44</f>
        <v>0.77300028337814386</v>
      </c>
      <c r="AM44" s="26"/>
      <c r="AN44" s="26"/>
      <c r="AO44" s="26"/>
      <c r="AP44" s="26"/>
      <c r="AQ44" s="26"/>
      <c r="AR44" s="26"/>
      <c r="AS44" s="49"/>
      <c r="AT44" s="26"/>
      <c r="AU44" s="49"/>
      <c r="AV44" s="26"/>
    </row>
    <row r="45" spans="1:48" ht="21" customHeight="1">
      <c r="A45" s="26"/>
      <c r="B45" s="26"/>
      <c r="C45" s="26"/>
      <c r="D45" s="26"/>
      <c r="E45" s="26"/>
      <c r="F45" s="26"/>
      <c r="G45" s="26"/>
      <c r="H45" s="117"/>
      <c r="I45" s="118" t="s">
        <v>47</v>
      </c>
      <c r="J45" s="115">
        <v>1197400</v>
      </c>
      <c r="K45" s="119" t="s">
        <v>48</v>
      </c>
      <c r="L45" s="113"/>
      <c r="M45" s="113"/>
      <c r="N45" s="113"/>
      <c r="O45" s="113"/>
      <c r="P45" s="113"/>
      <c r="Q45" s="118" t="s">
        <v>49</v>
      </c>
      <c r="R45" s="115">
        <v>9292000</v>
      </c>
      <c r="S45" s="119" t="s">
        <v>48</v>
      </c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7" t="s">
        <v>50</v>
      </c>
      <c r="AE45" s="115">
        <v>2739000</v>
      </c>
      <c r="AF45" s="119" t="s">
        <v>48</v>
      </c>
      <c r="AG45" s="113"/>
      <c r="AH45" s="113"/>
      <c r="AI45" s="114" t="s">
        <v>51</v>
      </c>
      <c r="AJ45" s="115">
        <f>AJ44-AJ37-AK37</f>
        <v>767950.45454545633</v>
      </c>
      <c r="AK45" s="115">
        <f>AK44-AK37</f>
        <v>194072.27272727282</v>
      </c>
      <c r="AM45" s="26"/>
      <c r="AN45" s="26"/>
      <c r="AO45" s="26"/>
      <c r="AP45" s="26"/>
      <c r="AQ45" s="49"/>
      <c r="AR45" s="26"/>
      <c r="AS45" s="49"/>
      <c r="AT45" s="26"/>
      <c r="AU45" s="26"/>
      <c r="AV45" s="26"/>
    </row>
    <row r="46" spans="1:48" ht="21" customHeight="1">
      <c r="A46" s="26"/>
      <c r="B46" s="26"/>
      <c r="C46" s="26"/>
      <c r="D46" s="26"/>
      <c r="E46" s="26"/>
      <c r="F46" s="26"/>
      <c r="G46" s="26"/>
      <c r="H46" s="117"/>
      <c r="I46" s="117" t="s">
        <v>51</v>
      </c>
      <c r="J46" s="115">
        <f>J45-J37</f>
        <v>161114.54545454553</v>
      </c>
      <c r="K46" s="121">
        <v>0</v>
      </c>
      <c r="L46" s="113"/>
      <c r="M46" s="113"/>
      <c r="N46" s="113"/>
      <c r="O46" s="113"/>
      <c r="P46" s="113"/>
      <c r="Q46" s="117" t="s">
        <v>51</v>
      </c>
      <c r="R46" s="115">
        <f>R45-R37</f>
        <v>-224563.63636363484</v>
      </c>
      <c r="S46" s="113">
        <v>1</v>
      </c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7" t="s">
        <v>51</v>
      </c>
      <c r="AE46" s="115">
        <f>AE45-AE37</f>
        <v>637327.27272727294</v>
      </c>
      <c r="AF46" s="113">
        <v>1</v>
      </c>
      <c r="AG46" s="113"/>
      <c r="AH46" s="122"/>
      <c r="AI46" s="123" t="s">
        <v>52</v>
      </c>
      <c r="AJ46" s="124">
        <f>AJ45/S46</f>
        <v>767950.45454545633</v>
      </c>
      <c r="AK46" s="125">
        <f>(AJ37+AK37)/AJ44</f>
        <v>0.94547101881367979</v>
      </c>
      <c r="AL46" s="122"/>
      <c r="AM46" s="126"/>
      <c r="AN46" s="26"/>
      <c r="AO46" s="26"/>
      <c r="AP46" s="26"/>
      <c r="AQ46" s="49"/>
      <c r="AR46" s="26"/>
      <c r="AS46" s="49"/>
      <c r="AT46" s="26"/>
      <c r="AU46" s="26"/>
      <c r="AV46" s="26"/>
    </row>
    <row r="47" spans="1:48" ht="25.5" customHeight="1">
      <c r="A47" s="126"/>
      <c r="B47" s="126"/>
      <c r="C47" s="126"/>
      <c r="D47" s="126"/>
      <c r="E47" s="126"/>
      <c r="F47" s="126"/>
      <c r="G47" s="126"/>
      <c r="H47" s="127"/>
      <c r="I47" s="123" t="s">
        <v>52</v>
      </c>
      <c r="J47" s="128" t="e">
        <f>J46/K46</f>
        <v>#DIV/0!</v>
      </c>
      <c r="K47" s="129">
        <f>J37/J45</f>
        <v>0.86544634587059832</v>
      </c>
      <c r="L47" s="122"/>
      <c r="M47" s="122"/>
      <c r="N47" s="122"/>
      <c r="O47" s="122"/>
      <c r="P47" s="122"/>
      <c r="Q47" s="123" t="s">
        <v>52</v>
      </c>
      <c r="R47" s="124">
        <f>R46/S46</f>
        <v>-224563.63636363484</v>
      </c>
      <c r="S47" s="129">
        <f>R37/R45</f>
        <v>1.0241674167416741</v>
      </c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3" t="s">
        <v>52</v>
      </c>
      <c r="AE47" s="128">
        <f>AE46/AF46</f>
        <v>637327.27272727294</v>
      </c>
      <c r="AF47" s="129">
        <f>AE37/AE45</f>
        <v>0.76731388363370834</v>
      </c>
      <c r="AG47" s="122"/>
      <c r="AH47" s="26"/>
      <c r="AI47" s="26"/>
      <c r="AJ47" s="49"/>
      <c r="AK47" s="26"/>
      <c r="AL47" s="26"/>
      <c r="AM47" s="26"/>
      <c r="AN47" s="126"/>
      <c r="AO47" s="126"/>
      <c r="AP47" s="126"/>
      <c r="AQ47" s="130"/>
      <c r="AR47" s="126"/>
      <c r="AS47" s="130"/>
      <c r="AT47" s="126"/>
      <c r="AU47" s="126"/>
      <c r="AV47" s="126"/>
    </row>
    <row r="48" spans="1: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31"/>
      <c r="AI48" s="131"/>
      <c r="AJ48" s="131"/>
      <c r="AK48" s="131"/>
      <c r="AL48" s="131"/>
      <c r="AM48" s="131"/>
      <c r="AN48" s="26"/>
      <c r="AO48" s="26"/>
      <c r="AP48" s="26"/>
      <c r="AQ48" s="49"/>
      <c r="AR48" s="26"/>
      <c r="AS48" s="49"/>
      <c r="AT48" s="26"/>
      <c r="AU48" s="26"/>
      <c r="AV48" s="26"/>
    </row>
    <row r="49" spans="1:48" ht="36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2"/>
      <c r="M49" s="26"/>
      <c r="N49" s="26"/>
      <c r="O49" s="26"/>
      <c r="P49" s="26"/>
      <c r="Q49" s="26"/>
      <c r="R49" s="132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"/>
      <c r="AI49" s="1"/>
      <c r="AJ49" s="1"/>
      <c r="AK49" s="1"/>
      <c r="AL49" s="1"/>
      <c r="AM49" s="1"/>
      <c r="AN49" s="131"/>
      <c r="AO49" s="131"/>
      <c r="AP49" s="131"/>
      <c r="AQ49" s="133"/>
      <c r="AR49" s="131"/>
      <c r="AS49" s="133"/>
      <c r="AT49" s="131"/>
      <c r="AU49" s="131"/>
      <c r="AV49" s="131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34"/>
      <c r="M50" s="26"/>
      <c r="N50" s="26"/>
      <c r="O50" s="26"/>
      <c r="P50" s="26"/>
      <c r="Q50" s="26"/>
      <c r="R50" s="134"/>
      <c r="S50" s="134"/>
      <c r="T50" s="1"/>
      <c r="U50" s="1"/>
      <c r="V50" s="1"/>
      <c r="W50" s="1"/>
      <c r="X50" s="1"/>
      <c r="Y50" s="1"/>
      <c r="Z50" s="135"/>
      <c r="AA50" s="1"/>
      <c r="AB50" s="1"/>
      <c r="AC50" s="1"/>
      <c r="AD50" s="1"/>
      <c r="AE50" s="1"/>
      <c r="AF50" s="1"/>
      <c r="AG50" s="1"/>
      <c r="AH50" s="131"/>
      <c r="AI50" s="131"/>
      <c r="AJ50" s="131"/>
      <c r="AK50" s="131"/>
      <c r="AL50" s="131"/>
      <c r="AM50" s="131"/>
      <c r="AN50" s="1"/>
      <c r="AO50" s="1"/>
      <c r="AP50" s="1"/>
      <c r="AQ50" s="136"/>
      <c r="AR50" s="1"/>
      <c r="AS50" s="136"/>
      <c r="AT50" s="1"/>
      <c r="AU50" s="1"/>
      <c r="AV50" s="1"/>
    </row>
    <row r="51" spans="1:48" ht="36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"/>
      <c r="L51" s="134"/>
      <c r="M51" s="26"/>
      <c r="N51" s="26"/>
      <c r="O51" s="26"/>
      <c r="P51" s="26"/>
      <c r="Q51" s="26"/>
      <c r="R51" s="137"/>
      <c r="S51" s="138"/>
      <c r="T51" s="138"/>
      <c r="U51" s="138"/>
      <c r="V51" s="138"/>
      <c r="W51" s="139"/>
      <c r="X51" s="140"/>
      <c r="Y51" s="141"/>
      <c r="Z51" s="142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3"/>
      <c r="AR51" s="131"/>
      <c r="AS51" s="133"/>
      <c r="AT51" s="131"/>
      <c r="AU51" s="131"/>
      <c r="AV51" s="131"/>
    </row>
    <row r="52" spans="1:48" ht="36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"/>
      <c r="L52" s="134"/>
      <c r="M52" s="26"/>
      <c r="N52" s="26"/>
      <c r="O52" s="26"/>
      <c r="P52" s="26"/>
      <c r="Q52" s="26"/>
      <c r="R52" s="139"/>
      <c r="S52" s="138"/>
      <c r="T52" s="138"/>
      <c r="U52" s="138"/>
      <c r="V52" s="138"/>
      <c r="W52" s="139"/>
      <c r="X52" s="140"/>
      <c r="Y52" s="141"/>
      <c r="Z52" s="142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3"/>
      <c r="AR52" s="131"/>
      <c r="AS52" s="133"/>
      <c r="AT52" s="131"/>
      <c r="AU52" s="131"/>
      <c r="AV52" s="131"/>
    </row>
    <row r="53" spans="1:48" ht="36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"/>
      <c r="L53" s="134"/>
      <c r="M53" s="26"/>
      <c r="N53" s="26"/>
      <c r="O53" s="26"/>
      <c r="P53" s="26"/>
      <c r="Q53" s="26"/>
      <c r="R53" s="139"/>
      <c r="S53" s="138"/>
      <c r="T53" s="138"/>
      <c r="U53" s="138"/>
      <c r="V53" s="138"/>
      <c r="W53" s="139"/>
      <c r="X53" s="140"/>
      <c r="Y53" s="141"/>
      <c r="Z53" s="142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3"/>
      <c r="AR53" s="131"/>
      <c r="AS53" s="133"/>
      <c r="AT53" s="131"/>
      <c r="AU53" s="131"/>
      <c r="AV53" s="131"/>
    </row>
    <row r="54" spans="1:48" ht="36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"/>
      <c r="L54" s="134"/>
      <c r="M54" s="26"/>
      <c r="N54" s="26"/>
      <c r="O54" s="26"/>
      <c r="P54" s="26"/>
      <c r="Q54" s="26"/>
      <c r="R54" s="139"/>
      <c r="S54" s="138"/>
      <c r="T54" s="138"/>
      <c r="U54" s="138"/>
      <c r="V54" s="138"/>
      <c r="W54" s="139"/>
      <c r="X54" s="140"/>
      <c r="Y54" s="141"/>
      <c r="Z54" s="142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3"/>
      <c r="AR54" s="131"/>
      <c r="AS54" s="133"/>
      <c r="AT54" s="131"/>
      <c r="AU54" s="131"/>
      <c r="AV54" s="131"/>
    </row>
    <row r="55" spans="1:48" ht="36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2"/>
      <c r="M55" s="26"/>
      <c r="N55" s="26"/>
      <c r="O55" s="26"/>
      <c r="P55" s="26"/>
      <c r="Q55" s="26"/>
      <c r="R55" s="139"/>
      <c r="S55" s="138"/>
      <c r="T55" s="138"/>
      <c r="U55" s="138"/>
      <c r="V55" s="138"/>
      <c r="W55" s="140"/>
      <c r="X55" s="140"/>
      <c r="Y55" s="141"/>
      <c r="Z55" s="142"/>
      <c r="AA55" s="131"/>
      <c r="AB55" s="131"/>
      <c r="AC55" s="131"/>
      <c r="AD55" s="131"/>
      <c r="AE55" s="131"/>
      <c r="AF55" s="131"/>
      <c r="AG55" s="131"/>
      <c r="AH55" s="26"/>
      <c r="AI55" s="26"/>
      <c r="AJ55" s="26"/>
      <c r="AK55" s="26"/>
      <c r="AL55" s="26"/>
      <c r="AM55" s="26"/>
      <c r="AN55" s="131"/>
      <c r="AO55" s="131"/>
      <c r="AP55" s="131"/>
      <c r="AQ55" s="133"/>
      <c r="AR55" s="131"/>
      <c r="AS55" s="133"/>
      <c r="AT55" s="131"/>
      <c r="AU55" s="131"/>
      <c r="AV55" s="131"/>
    </row>
    <row r="56" spans="1:48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41"/>
      <c r="Z56" s="141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9"/>
      <c r="AT56" s="26"/>
      <c r="AU56" s="49"/>
      <c r="AV56" s="26"/>
    </row>
    <row r="57" spans="1:48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31"/>
      <c r="Z57" s="131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9"/>
      <c r="AT57" s="26"/>
      <c r="AU57" s="49"/>
      <c r="AV57" s="26"/>
    </row>
    <row r="58" spans="1:4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9"/>
      <c r="AT58" s="26"/>
      <c r="AU58" s="49"/>
      <c r="AV58" s="26"/>
    </row>
    <row r="59" spans="1:48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9"/>
      <c r="AT59" s="26"/>
      <c r="AU59" s="49"/>
      <c r="AV59" s="26"/>
    </row>
    <row r="60" spans="1:48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9"/>
      <c r="AT60" s="26"/>
      <c r="AU60" s="49"/>
      <c r="AV60" s="26"/>
    </row>
    <row r="61" spans="1:48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9"/>
      <c r="AT61" s="26"/>
      <c r="AU61" s="49"/>
      <c r="AV61" s="26"/>
    </row>
    <row r="62" spans="1:48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9"/>
      <c r="AT62" s="26"/>
      <c r="AU62" s="49"/>
      <c r="AV62" s="26"/>
    </row>
    <row r="63" spans="1:48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9"/>
      <c r="AT63" s="26"/>
      <c r="AU63" s="49"/>
      <c r="AV63" s="26"/>
    </row>
    <row r="64" spans="1:48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9"/>
      <c r="AT64" s="26"/>
      <c r="AU64" s="49"/>
      <c r="AV64" s="26"/>
    </row>
    <row r="65" spans="1:48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9"/>
      <c r="AT65" s="26"/>
      <c r="AU65" s="49"/>
      <c r="AV65" s="26"/>
    </row>
    <row r="66" spans="1:48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9"/>
      <c r="AT66" s="26"/>
      <c r="AU66" s="49"/>
      <c r="AV66" s="26"/>
    </row>
    <row r="67" spans="1:48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9"/>
      <c r="AT67" s="26"/>
      <c r="AU67" s="49"/>
      <c r="AV67" s="26"/>
    </row>
    <row r="68" spans="1:4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9"/>
      <c r="AT68" s="26"/>
      <c r="AU68" s="49"/>
      <c r="AV68" s="26"/>
    </row>
    <row r="69" spans="1:48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9"/>
      <c r="AT69" s="26"/>
      <c r="AU69" s="49"/>
      <c r="AV69" s="26"/>
    </row>
    <row r="70" spans="1:48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9"/>
      <c r="AT70" s="26"/>
      <c r="AU70" s="49"/>
      <c r="AV70" s="26"/>
    </row>
    <row r="71" spans="1:48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9"/>
      <c r="AT71" s="26"/>
      <c r="AU71" s="49"/>
      <c r="AV71" s="26"/>
    </row>
    <row r="72" spans="1:48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9"/>
      <c r="AT72" s="26"/>
      <c r="AU72" s="49"/>
      <c r="AV72" s="26"/>
    </row>
    <row r="73" spans="1:48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9"/>
      <c r="AT73" s="26"/>
      <c r="AU73" s="49"/>
      <c r="AV73" s="26"/>
    </row>
    <row r="74" spans="1:48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9"/>
      <c r="AT74" s="26"/>
      <c r="AU74" s="49"/>
      <c r="AV74" s="26"/>
    </row>
    <row r="75" spans="1:48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9"/>
      <c r="AT75" s="26"/>
      <c r="AU75" s="49"/>
      <c r="AV75" s="26"/>
    </row>
    <row r="76" spans="1:48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9"/>
      <c r="AT76" s="26"/>
      <c r="AU76" s="49"/>
      <c r="AV76" s="26"/>
    </row>
    <row r="77" spans="1:48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9"/>
      <c r="AT77" s="26"/>
      <c r="AU77" s="49"/>
      <c r="AV77" s="26"/>
    </row>
    <row r="78" spans="1:4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9"/>
      <c r="AT78" s="26"/>
      <c r="AU78" s="49"/>
      <c r="AV78" s="26"/>
    </row>
    <row r="79" spans="1:48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9"/>
      <c r="AT79" s="26"/>
      <c r="AU79" s="49"/>
      <c r="AV79" s="26"/>
    </row>
    <row r="80" spans="1:48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9"/>
      <c r="AT80" s="26"/>
      <c r="AU80" s="49"/>
      <c r="AV80" s="26"/>
    </row>
    <row r="81" spans="1:48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9"/>
      <c r="AT81" s="26"/>
      <c r="AU81" s="49"/>
      <c r="AV81" s="26"/>
    </row>
    <row r="82" spans="1:48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9"/>
      <c r="AT82" s="26"/>
      <c r="AU82" s="49"/>
      <c r="AV82" s="26"/>
    </row>
    <row r="83" spans="1:48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9"/>
      <c r="AT83" s="26"/>
      <c r="AU83" s="49"/>
      <c r="AV83" s="26"/>
    </row>
    <row r="84" spans="1:48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9"/>
      <c r="AT84" s="26"/>
      <c r="AU84" s="49"/>
      <c r="AV84" s="26"/>
    </row>
    <row r="85" spans="1:48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9"/>
      <c r="AT85" s="26"/>
      <c r="AU85" s="49"/>
      <c r="AV85" s="26"/>
    </row>
    <row r="86" spans="1:48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9"/>
      <c r="AT86" s="26"/>
      <c r="AU86" s="49"/>
      <c r="AV86" s="26"/>
    </row>
    <row r="87" spans="1:48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9"/>
      <c r="AT87" s="26"/>
      <c r="AU87" s="49"/>
      <c r="AV87" s="26"/>
    </row>
    <row r="88" spans="1:4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9"/>
      <c r="AT88" s="26"/>
      <c r="AU88" s="49"/>
      <c r="AV88" s="26"/>
    </row>
    <row r="89" spans="1:48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9"/>
      <c r="AT89" s="26"/>
      <c r="AU89" s="49"/>
      <c r="AV89" s="26"/>
    </row>
    <row r="90" spans="1:48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9"/>
      <c r="AT90" s="26"/>
      <c r="AU90" s="49"/>
      <c r="AV90" s="26"/>
    </row>
    <row r="91" spans="1:48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9"/>
      <c r="AT91" s="26"/>
      <c r="AU91" s="49"/>
      <c r="AV91" s="26"/>
    </row>
    <row r="92" spans="1:48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9"/>
      <c r="AT92" s="26"/>
      <c r="AU92" s="49"/>
      <c r="AV92" s="26"/>
    </row>
    <row r="93" spans="1:48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9"/>
      <c r="AT93" s="26"/>
      <c r="AU93" s="49"/>
      <c r="AV93" s="26"/>
    </row>
    <row r="94" spans="1:48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9"/>
      <c r="AT94" s="26"/>
      <c r="AU94" s="49"/>
      <c r="AV94" s="26"/>
    </row>
    <row r="95" spans="1:48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9"/>
      <c r="AT95" s="26"/>
      <c r="AU95" s="49"/>
      <c r="AV95" s="26"/>
    </row>
    <row r="96" spans="1:48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9"/>
      <c r="AT96" s="26"/>
      <c r="AU96" s="49"/>
      <c r="AV96" s="26"/>
    </row>
    <row r="97" spans="1:48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9"/>
      <c r="AT97" s="26"/>
      <c r="AU97" s="49"/>
      <c r="AV97" s="26"/>
    </row>
    <row r="98" spans="1:4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9"/>
      <c r="AT98" s="26"/>
      <c r="AU98" s="49"/>
      <c r="AV98" s="26"/>
    </row>
    <row r="99" spans="1:48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9"/>
      <c r="AT99" s="26"/>
      <c r="AU99" s="49"/>
      <c r="AV99" s="26"/>
    </row>
    <row r="100" spans="1:48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9"/>
      <c r="AT100" s="26"/>
      <c r="AU100" s="49"/>
      <c r="AV100" s="26"/>
    </row>
    <row r="101" spans="1:48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9"/>
      <c r="AT101" s="26"/>
      <c r="AU101" s="49"/>
      <c r="AV101" s="26"/>
    </row>
    <row r="102" spans="1:48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9"/>
      <c r="AT102" s="26"/>
      <c r="AU102" s="49"/>
      <c r="AV102" s="26"/>
    </row>
    <row r="103" spans="1:48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9"/>
      <c r="AT103" s="26"/>
      <c r="AU103" s="49"/>
      <c r="AV103" s="26"/>
    </row>
    <row r="104" spans="1:48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9"/>
      <c r="AT104" s="26"/>
      <c r="AU104" s="49"/>
      <c r="AV104" s="26"/>
    </row>
    <row r="105" spans="1:48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9"/>
      <c r="AT105" s="26"/>
      <c r="AU105" s="49"/>
      <c r="AV105" s="26"/>
    </row>
    <row r="106" spans="1:48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9"/>
      <c r="AT106" s="26"/>
      <c r="AU106" s="49"/>
      <c r="AV106" s="26"/>
    </row>
    <row r="107" spans="1:48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9"/>
      <c r="AT107" s="26"/>
      <c r="AU107" s="49"/>
      <c r="AV107" s="26"/>
    </row>
    <row r="108" spans="1:4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9"/>
      <c r="AT108" s="26"/>
      <c r="AU108" s="49"/>
      <c r="AV108" s="26"/>
    </row>
    <row r="109" spans="1:48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9"/>
      <c r="AT109" s="26"/>
      <c r="AU109" s="49"/>
      <c r="AV109" s="26"/>
    </row>
    <row r="110" spans="1:48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9"/>
      <c r="AT110" s="26"/>
      <c r="AU110" s="49"/>
      <c r="AV110" s="26"/>
    </row>
    <row r="111" spans="1:48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9"/>
      <c r="AT111" s="26"/>
      <c r="AU111" s="49"/>
      <c r="AV111" s="26"/>
    </row>
    <row r="112" spans="1:48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9"/>
      <c r="AT112" s="26"/>
      <c r="AU112" s="49"/>
      <c r="AV112" s="26"/>
    </row>
    <row r="113" spans="1:48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9"/>
      <c r="AT113" s="26"/>
      <c r="AU113" s="49"/>
      <c r="AV113" s="26"/>
    </row>
    <row r="114" spans="1:48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9"/>
      <c r="AT114" s="26"/>
      <c r="AU114" s="49"/>
      <c r="AV114" s="26"/>
    </row>
    <row r="115" spans="1:48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9"/>
      <c r="AT115" s="26"/>
      <c r="AU115" s="49"/>
      <c r="AV115" s="26"/>
    </row>
    <row r="116" spans="1:48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9"/>
      <c r="AT116" s="26"/>
      <c r="AU116" s="49"/>
      <c r="AV116" s="26"/>
    </row>
    <row r="117" spans="1:48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9"/>
      <c r="AT117" s="26"/>
      <c r="AU117" s="49"/>
      <c r="AV117" s="26"/>
    </row>
    <row r="118" spans="1:4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9"/>
      <c r="AT118" s="26"/>
      <c r="AU118" s="49"/>
      <c r="AV118" s="26"/>
    </row>
    <row r="119" spans="1:48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9"/>
      <c r="AT119" s="26"/>
      <c r="AU119" s="49"/>
      <c r="AV119" s="26"/>
    </row>
    <row r="120" spans="1:48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9"/>
      <c r="AT120" s="26"/>
      <c r="AU120" s="49"/>
      <c r="AV120" s="26"/>
    </row>
    <row r="121" spans="1:48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9"/>
      <c r="AT121" s="26"/>
      <c r="AU121" s="49"/>
      <c r="AV121" s="26"/>
    </row>
    <row r="122" spans="1:48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9"/>
      <c r="AT122" s="26"/>
      <c r="AU122" s="49"/>
      <c r="AV122" s="26"/>
    </row>
    <row r="123" spans="1:48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9"/>
      <c r="AT123" s="26"/>
      <c r="AU123" s="49"/>
      <c r="AV123" s="26"/>
    </row>
    <row r="124" spans="1:48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9"/>
      <c r="AT124" s="26"/>
      <c r="AU124" s="49"/>
      <c r="AV124" s="26"/>
    </row>
    <row r="125" spans="1:48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9"/>
      <c r="AT125" s="26"/>
      <c r="AU125" s="49"/>
      <c r="AV125" s="26"/>
    </row>
    <row r="126" spans="1:48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9"/>
      <c r="AT126" s="26"/>
      <c r="AU126" s="49"/>
      <c r="AV126" s="26"/>
    </row>
    <row r="127" spans="1:48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9"/>
      <c r="AT127" s="26"/>
      <c r="AU127" s="49"/>
      <c r="AV127" s="26"/>
    </row>
    <row r="128" spans="1:4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9"/>
      <c r="AT128" s="26"/>
      <c r="AU128" s="49"/>
      <c r="AV128" s="26"/>
    </row>
    <row r="129" spans="1:48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9"/>
      <c r="AT129" s="26"/>
      <c r="AU129" s="49"/>
      <c r="AV129" s="26"/>
    </row>
    <row r="130" spans="1:48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9"/>
      <c r="AT130" s="26"/>
      <c r="AU130" s="49"/>
      <c r="AV130" s="26"/>
    </row>
    <row r="131" spans="1:48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9"/>
      <c r="AT131" s="26"/>
      <c r="AU131" s="49"/>
      <c r="AV131" s="26"/>
    </row>
    <row r="132" spans="1:48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9"/>
      <c r="AT132" s="26"/>
      <c r="AU132" s="49"/>
      <c r="AV132" s="26"/>
    </row>
    <row r="133" spans="1:48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9"/>
      <c r="AT133" s="26"/>
      <c r="AU133" s="49"/>
      <c r="AV133" s="26"/>
    </row>
    <row r="134" spans="1:48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9"/>
      <c r="AT134" s="26"/>
      <c r="AU134" s="49"/>
      <c r="AV134" s="26"/>
    </row>
    <row r="135" spans="1:48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9"/>
      <c r="AT135" s="26"/>
      <c r="AU135" s="49"/>
      <c r="AV135" s="26"/>
    </row>
    <row r="136" spans="1:48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9"/>
      <c r="AT136" s="26"/>
      <c r="AU136" s="49"/>
      <c r="AV136" s="26"/>
    </row>
    <row r="137" spans="1:48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9"/>
      <c r="AT137" s="26"/>
      <c r="AU137" s="49"/>
      <c r="AV137" s="26"/>
    </row>
    <row r="138" spans="1:4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9"/>
      <c r="AT138" s="26"/>
      <c r="AU138" s="49"/>
      <c r="AV138" s="26"/>
    </row>
    <row r="139" spans="1:48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9"/>
      <c r="AT139" s="26"/>
      <c r="AU139" s="49"/>
      <c r="AV139" s="26"/>
    </row>
    <row r="140" spans="1:48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9"/>
      <c r="AT140" s="26"/>
      <c r="AU140" s="49"/>
      <c r="AV140" s="26"/>
    </row>
    <row r="141" spans="1:48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9"/>
      <c r="AT141" s="26"/>
      <c r="AU141" s="49"/>
      <c r="AV141" s="26"/>
    </row>
    <row r="142" spans="1:48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9"/>
      <c r="AT142" s="26"/>
      <c r="AU142" s="49"/>
      <c r="AV142" s="26"/>
    </row>
    <row r="143" spans="1:48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9"/>
      <c r="AT143" s="26"/>
      <c r="AU143" s="49"/>
      <c r="AV143" s="26"/>
    </row>
    <row r="144" spans="1:48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9"/>
      <c r="AT144" s="26"/>
      <c r="AU144" s="49"/>
      <c r="AV144" s="26"/>
    </row>
    <row r="145" spans="1:48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9"/>
      <c r="AT145" s="26"/>
      <c r="AU145" s="49"/>
      <c r="AV145" s="26"/>
    </row>
    <row r="146" spans="1:48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9"/>
      <c r="AT146" s="26"/>
      <c r="AU146" s="49"/>
      <c r="AV146" s="26"/>
    </row>
    <row r="147" spans="1:48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9"/>
      <c r="AT147" s="26"/>
      <c r="AU147" s="49"/>
      <c r="AV147" s="26"/>
    </row>
    <row r="148" spans="1: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9"/>
      <c r="AT148" s="26"/>
      <c r="AU148" s="49"/>
      <c r="AV148" s="26"/>
    </row>
    <row r="149" spans="1:48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9"/>
      <c r="AT149" s="26"/>
      <c r="AU149" s="49"/>
      <c r="AV149" s="26"/>
    </row>
    <row r="150" spans="1:48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9"/>
      <c r="AT150" s="26"/>
      <c r="AU150" s="49"/>
      <c r="AV150" s="26"/>
    </row>
    <row r="151" spans="1:48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9"/>
      <c r="AT151" s="26"/>
      <c r="AU151" s="49"/>
      <c r="AV151" s="26"/>
    </row>
    <row r="152" spans="1:48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9"/>
      <c r="AT152" s="26"/>
      <c r="AU152" s="49"/>
      <c r="AV152" s="26"/>
    </row>
    <row r="153" spans="1:48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9"/>
      <c r="AT153" s="26"/>
      <c r="AU153" s="49"/>
      <c r="AV153" s="26"/>
    </row>
    <row r="154" spans="1:48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9"/>
      <c r="AT154" s="26"/>
      <c r="AU154" s="49"/>
      <c r="AV154" s="26"/>
    </row>
    <row r="155" spans="1:48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9"/>
      <c r="AT155" s="26"/>
      <c r="AU155" s="49"/>
      <c r="AV155" s="26"/>
    </row>
    <row r="156" spans="1:48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9"/>
      <c r="AT156" s="26"/>
      <c r="AU156" s="49"/>
      <c r="AV156" s="26"/>
    </row>
    <row r="157" spans="1:48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9"/>
      <c r="AT157" s="26"/>
      <c r="AU157" s="49"/>
      <c r="AV157" s="26"/>
    </row>
    <row r="158" spans="1:4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9"/>
      <c r="AT158" s="26"/>
      <c r="AU158" s="49"/>
      <c r="AV158" s="26"/>
    </row>
    <row r="159" spans="1:48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9"/>
      <c r="AT159" s="26"/>
      <c r="AU159" s="49"/>
      <c r="AV159" s="26"/>
    </row>
    <row r="160" spans="1:48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9"/>
      <c r="AT160" s="26"/>
      <c r="AU160" s="49"/>
      <c r="AV160" s="26"/>
    </row>
    <row r="161" spans="1:48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9"/>
      <c r="AT161" s="26"/>
      <c r="AU161" s="49"/>
      <c r="AV161" s="26"/>
    </row>
    <row r="162" spans="1:48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9"/>
      <c r="AT162" s="26"/>
      <c r="AU162" s="49"/>
      <c r="AV162" s="26"/>
    </row>
    <row r="163" spans="1:48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9"/>
      <c r="AT163" s="26"/>
      <c r="AU163" s="49"/>
      <c r="AV163" s="26"/>
    </row>
    <row r="164" spans="1:48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9"/>
      <c r="AT164" s="26"/>
      <c r="AU164" s="49"/>
      <c r="AV164" s="26"/>
    </row>
    <row r="165" spans="1:48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9"/>
      <c r="AT165" s="26"/>
      <c r="AU165" s="49"/>
      <c r="AV165" s="26"/>
    </row>
    <row r="166" spans="1:48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9"/>
      <c r="AT166" s="26"/>
      <c r="AU166" s="49"/>
      <c r="AV166" s="26"/>
    </row>
    <row r="167" spans="1:48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9"/>
      <c r="AT167" s="26"/>
      <c r="AU167" s="49"/>
      <c r="AV167" s="26"/>
    </row>
    <row r="168" spans="1:4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9"/>
      <c r="AT168" s="26"/>
      <c r="AU168" s="49"/>
      <c r="AV168" s="26"/>
    </row>
    <row r="169" spans="1:48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9"/>
      <c r="AT169" s="26"/>
      <c r="AU169" s="49"/>
      <c r="AV169" s="26"/>
    </row>
    <row r="170" spans="1:48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9"/>
      <c r="AT170" s="26"/>
      <c r="AU170" s="49"/>
      <c r="AV170" s="26"/>
    </row>
    <row r="171" spans="1:48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9"/>
      <c r="AT171" s="26"/>
      <c r="AU171" s="49"/>
      <c r="AV171" s="26"/>
    </row>
    <row r="172" spans="1:48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9"/>
      <c r="AT172" s="26"/>
      <c r="AU172" s="49"/>
      <c r="AV172" s="26"/>
    </row>
    <row r="173" spans="1:48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9"/>
      <c r="AT173" s="26"/>
      <c r="AU173" s="49"/>
      <c r="AV173" s="26"/>
    </row>
    <row r="174" spans="1:48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9"/>
      <c r="AT174" s="26"/>
      <c r="AU174" s="49"/>
      <c r="AV174" s="26"/>
    </row>
    <row r="175" spans="1:48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9"/>
      <c r="AT175" s="26"/>
      <c r="AU175" s="49"/>
      <c r="AV175" s="26"/>
    </row>
    <row r="176" spans="1:48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9"/>
      <c r="AT176" s="26"/>
      <c r="AU176" s="49"/>
      <c r="AV176" s="26"/>
    </row>
    <row r="177" spans="1:48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9"/>
      <c r="AT177" s="26"/>
      <c r="AU177" s="49"/>
      <c r="AV177" s="26"/>
    </row>
    <row r="178" spans="1:4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9"/>
      <c r="AT178" s="26"/>
      <c r="AU178" s="49"/>
      <c r="AV178" s="26"/>
    </row>
    <row r="179" spans="1:48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9"/>
      <c r="AT179" s="26"/>
      <c r="AU179" s="49"/>
      <c r="AV179" s="26"/>
    </row>
    <row r="180" spans="1:48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9"/>
      <c r="AT180" s="26"/>
      <c r="AU180" s="49"/>
      <c r="AV180" s="26"/>
    </row>
    <row r="181" spans="1:48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9"/>
      <c r="AT181" s="26"/>
      <c r="AU181" s="49"/>
      <c r="AV181" s="26"/>
    </row>
    <row r="182" spans="1:48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9"/>
      <c r="AT182" s="26"/>
      <c r="AU182" s="49"/>
      <c r="AV182" s="26"/>
    </row>
    <row r="183" spans="1:48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9"/>
      <c r="AT183" s="26"/>
      <c r="AU183" s="49"/>
      <c r="AV183" s="26"/>
    </row>
    <row r="184" spans="1:48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9"/>
      <c r="AT184" s="26"/>
      <c r="AU184" s="49"/>
      <c r="AV184" s="26"/>
    </row>
    <row r="185" spans="1:48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9"/>
      <c r="AT185" s="26"/>
      <c r="AU185" s="49"/>
      <c r="AV185" s="26"/>
    </row>
    <row r="186" spans="1:48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9"/>
      <c r="AT186" s="26"/>
      <c r="AU186" s="49"/>
      <c r="AV186" s="26"/>
    </row>
    <row r="187" spans="1:48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9"/>
      <c r="AT187" s="26"/>
      <c r="AU187" s="49"/>
      <c r="AV187" s="26"/>
    </row>
    <row r="188" spans="1:4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9"/>
      <c r="AT188" s="26"/>
      <c r="AU188" s="49"/>
      <c r="AV188" s="26"/>
    </row>
    <row r="189" spans="1:48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9"/>
      <c r="AT189" s="26"/>
      <c r="AU189" s="49"/>
      <c r="AV189" s="26"/>
    </row>
    <row r="190" spans="1:48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9"/>
      <c r="AT190" s="26"/>
      <c r="AU190" s="49"/>
      <c r="AV190" s="26"/>
    </row>
    <row r="191" spans="1:48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9"/>
      <c r="AT191" s="26"/>
      <c r="AU191" s="49"/>
      <c r="AV191" s="26"/>
    </row>
    <row r="192" spans="1:48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9"/>
      <c r="AT192" s="26"/>
      <c r="AU192" s="49"/>
      <c r="AV192" s="26"/>
    </row>
    <row r="193" spans="1:48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9"/>
      <c r="AT193" s="26"/>
      <c r="AU193" s="49"/>
      <c r="AV193" s="26"/>
    </row>
    <row r="194" spans="1:48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9"/>
      <c r="AT194" s="26"/>
      <c r="AU194" s="49"/>
      <c r="AV194" s="26"/>
    </row>
    <row r="195" spans="1:48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9"/>
      <c r="AT195" s="26"/>
      <c r="AU195" s="49"/>
      <c r="AV195" s="26"/>
    </row>
    <row r="196" spans="1:48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9"/>
      <c r="AT196" s="26"/>
      <c r="AU196" s="49"/>
      <c r="AV196" s="26"/>
    </row>
    <row r="197" spans="1:48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9"/>
      <c r="AT197" s="26"/>
      <c r="AU197" s="49"/>
      <c r="AV197" s="26"/>
    </row>
    <row r="198" spans="1:4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9"/>
      <c r="AT198" s="26"/>
      <c r="AU198" s="49"/>
      <c r="AV198" s="26"/>
    </row>
    <row r="199" spans="1:48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9"/>
      <c r="AT199" s="26"/>
      <c r="AU199" s="49"/>
      <c r="AV199" s="26"/>
    </row>
    <row r="200" spans="1:48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9"/>
      <c r="AT200" s="26"/>
      <c r="AU200" s="49"/>
      <c r="AV200" s="26"/>
    </row>
    <row r="201" spans="1:48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9"/>
      <c r="AT201" s="26"/>
      <c r="AU201" s="49"/>
      <c r="AV201" s="26"/>
    </row>
    <row r="202" spans="1:48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9"/>
      <c r="AT202" s="26"/>
      <c r="AU202" s="49"/>
      <c r="AV202" s="26"/>
    </row>
    <row r="203" spans="1:48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9"/>
      <c r="AT203" s="26"/>
      <c r="AU203" s="49"/>
      <c r="AV203" s="26"/>
    </row>
    <row r="204" spans="1:48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9"/>
      <c r="AT204" s="26"/>
      <c r="AU204" s="49"/>
      <c r="AV204" s="26"/>
    </row>
    <row r="205" spans="1:48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9"/>
      <c r="AT205" s="26"/>
      <c r="AU205" s="49"/>
      <c r="AV205" s="26"/>
    </row>
    <row r="206" spans="1:48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9"/>
      <c r="AT206" s="26"/>
      <c r="AU206" s="49"/>
      <c r="AV206" s="26"/>
    </row>
    <row r="207" spans="1:48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9"/>
      <c r="AT207" s="26"/>
      <c r="AU207" s="49"/>
      <c r="AV207" s="26"/>
    </row>
    <row r="208" spans="1:4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9"/>
      <c r="AT208" s="26"/>
      <c r="AU208" s="49"/>
      <c r="AV208" s="26"/>
    </row>
    <row r="209" spans="1:48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9"/>
      <c r="AT209" s="26"/>
      <c r="AU209" s="49"/>
      <c r="AV209" s="26"/>
    </row>
    <row r="210" spans="1:48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9"/>
      <c r="AT210" s="26"/>
      <c r="AU210" s="49"/>
      <c r="AV210" s="26"/>
    </row>
    <row r="211" spans="1:48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9"/>
      <c r="AT211" s="26"/>
      <c r="AU211" s="49"/>
      <c r="AV211" s="26"/>
    </row>
    <row r="212" spans="1:48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9"/>
      <c r="AT212" s="26"/>
      <c r="AU212" s="49"/>
      <c r="AV212" s="26"/>
    </row>
    <row r="213" spans="1:48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9"/>
      <c r="AT213" s="26"/>
      <c r="AU213" s="49"/>
      <c r="AV213" s="26"/>
    </row>
    <row r="214" spans="1:48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9"/>
      <c r="AT214" s="26"/>
      <c r="AU214" s="49"/>
      <c r="AV214" s="26"/>
    </row>
    <row r="215" spans="1:48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9"/>
      <c r="AT215" s="26"/>
      <c r="AU215" s="49"/>
      <c r="AV215" s="26"/>
    </row>
    <row r="216" spans="1:48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9"/>
      <c r="AT216" s="26"/>
      <c r="AU216" s="49"/>
      <c r="AV216" s="26"/>
    </row>
    <row r="217" spans="1:48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9"/>
      <c r="AT217" s="26"/>
      <c r="AU217" s="49"/>
      <c r="AV217" s="26"/>
    </row>
    <row r="218" spans="1:4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9"/>
      <c r="AT218" s="26"/>
      <c r="AU218" s="49"/>
      <c r="AV218" s="26"/>
    </row>
    <row r="219" spans="1:48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9"/>
      <c r="AT219" s="26"/>
      <c r="AU219" s="49"/>
      <c r="AV219" s="26"/>
    </row>
    <row r="220" spans="1:48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9"/>
      <c r="AT220" s="26"/>
      <c r="AU220" s="49"/>
      <c r="AV220" s="26"/>
    </row>
    <row r="221" spans="1:48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9"/>
      <c r="AT221" s="26"/>
      <c r="AU221" s="49"/>
      <c r="AV221" s="26"/>
    </row>
    <row r="222" spans="1:48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9"/>
      <c r="AT222" s="26"/>
      <c r="AU222" s="49"/>
      <c r="AV222" s="26"/>
    </row>
    <row r="223" spans="1:48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9"/>
      <c r="AT223" s="26"/>
      <c r="AU223" s="49"/>
      <c r="AV223" s="26"/>
    </row>
    <row r="224" spans="1:48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9"/>
      <c r="AT224" s="26"/>
      <c r="AU224" s="49"/>
      <c r="AV224" s="26"/>
    </row>
    <row r="225" spans="1:48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9"/>
      <c r="AT225" s="26"/>
      <c r="AU225" s="49"/>
      <c r="AV225" s="26"/>
    </row>
    <row r="226" spans="1:48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9"/>
      <c r="AT226" s="26"/>
      <c r="AU226" s="49"/>
      <c r="AV226" s="26"/>
    </row>
    <row r="227" spans="1:48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9"/>
      <c r="AT227" s="26"/>
      <c r="AU227" s="49"/>
      <c r="AV227" s="26"/>
    </row>
    <row r="228" spans="1:4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9"/>
      <c r="AT228" s="26"/>
      <c r="AU228" s="49"/>
      <c r="AV228" s="26"/>
    </row>
    <row r="229" spans="1:48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9"/>
      <c r="AT229" s="26"/>
      <c r="AU229" s="49"/>
      <c r="AV229" s="26"/>
    </row>
    <row r="230" spans="1:48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9"/>
      <c r="AT230" s="26"/>
      <c r="AU230" s="49"/>
      <c r="AV230" s="26"/>
    </row>
    <row r="231" spans="1:48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9"/>
      <c r="AT231" s="26"/>
      <c r="AU231" s="49"/>
      <c r="AV231" s="26"/>
    </row>
    <row r="232" spans="1:48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9"/>
      <c r="AT232" s="26"/>
      <c r="AU232" s="49"/>
      <c r="AV232" s="26"/>
    </row>
    <row r="233" spans="1:48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9"/>
      <c r="AT233" s="26"/>
      <c r="AU233" s="49"/>
      <c r="AV233" s="26"/>
    </row>
    <row r="234" spans="1:48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9"/>
      <c r="AT234" s="26"/>
      <c r="AU234" s="49"/>
      <c r="AV234" s="26"/>
    </row>
    <row r="235" spans="1:48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9"/>
      <c r="AT235" s="26"/>
      <c r="AU235" s="49"/>
      <c r="AV235" s="26"/>
    </row>
    <row r="236" spans="1:48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9"/>
      <c r="AT236" s="26"/>
      <c r="AU236" s="49"/>
      <c r="AV236" s="26"/>
    </row>
    <row r="237" spans="1:48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9"/>
      <c r="AT237" s="26"/>
      <c r="AU237" s="49"/>
      <c r="AV237" s="26"/>
    </row>
    <row r="238" spans="1:4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9"/>
      <c r="AT238" s="26"/>
      <c r="AU238" s="49"/>
      <c r="AV238" s="26"/>
    </row>
    <row r="239" spans="1:48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9"/>
      <c r="AT239" s="26"/>
      <c r="AU239" s="49"/>
      <c r="AV239" s="26"/>
    </row>
    <row r="240" spans="1:48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9"/>
      <c r="AT240" s="26"/>
      <c r="AU240" s="49"/>
      <c r="AV240" s="26"/>
    </row>
    <row r="241" spans="1:48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9"/>
      <c r="AT241" s="26"/>
      <c r="AU241" s="49"/>
      <c r="AV241" s="26"/>
    </row>
    <row r="242" spans="1:48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9"/>
      <c r="AT242" s="26"/>
      <c r="AU242" s="49"/>
      <c r="AV242" s="26"/>
    </row>
    <row r="243" spans="1:48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9"/>
      <c r="AT243" s="26"/>
      <c r="AU243" s="49"/>
      <c r="AV243" s="26"/>
    </row>
    <row r="244" spans="1:48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9"/>
      <c r="AT244" s="26"/>
      <c r="AU244" s="49"/>
      <c r="AV244" s="26"/>
    </row>
    <row r="245" spans="1:48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9"/>
      <c r="AT245" s="26"/>
      <c r="AU245" s="49"/>
      <c r="AV245" s="26"/>
    </row>
    <row r="246" spans="1:48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9"/>
      <c r="AT246" s="26"/>
      <c r="AU246" s="49"/>
      <c r="AV246" s="26"/>
    </row>
    <row r="247" spans="1:48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9"/>
      <c r="AT247" s="26"/>
      <c r="AU247" s="49"/>
      <c r="AV247" s="2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W1000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7109375" style="4" customWidth="1"/>
    <col min="11" max="11" width="7.28515625" style="4" customWidth="1"/>
    <col min="12" max="12" width="3.28515625" style="4" customWidth="1"/>
    <col min="13" max="13" width="6.28515625" style="4" customWidth="1"/>
    <col min="14" max="14" width="7.5703125" style="4" customWidth="1"/>
    <col min="15" max="15" width="9.7109375" style="4" customWidth="1"/>
    <col min="16" max="17" width="6.28515625" style="4" customWidth="1"/>
    <col min="18" max="18" width="11.7109375" style="4" customWidth="1"/>
    <col min="19" max="20" width="6.28515625" style="4" customWidth="1"/>
    <col min="21" max="21" width="7.5703125" style="4" customWidth="1"/>
    <col min="22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9.42578125" style="4" customWidth="1"/>
    <col min="32" max="35" width="6.28515625" style="4" customWidth="1"/>
    <col min="36" max="36" width="11.28515625" style="4" customWidth="1"/>
    <col min="37" max="48" width="9.28515625" style="4" customWidth="1"/>
    <col min="49" max="16384" width="10.28515625" style="4"/>
  </cols>
  <sheetData>
    <row r="1" spans="1:49" ht="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9" ht="34">
      <c r="A2" s="5">
        <v>2024</v>
      </c>
      <c r="B2" s="6">
        <v>6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9" ht="33" customHeight="1">
      <c r="A3" s="9"/>
      <c r="B3" s="168" t="s">
        <v>2</v>
      </c>
      <c r="C3" s="10"/>
      <c r="D3" s="170" t="s">
        <v>3</v>
      </c>
      <c r="E3" s="159"/>
      <c r="F3" s="159"/>
      <c r="G3" s="159"/>
      <c r="H3" s="159"/>
      <c r="I3" s="159"/>
      <c r="J3" s="159"/>
      <c r="K3" s="159"/>
      <c r="L3" s="171" t="s">
        <v>4</v>
      </c>
      <c r="M3" s="159"/>
      <c r="N3" s="159"/>
      <c r="O3" s="159"/>
      <c r="P3" s="159"/>
      <c r="Q3" s="159"/>
      <c r="R3" s="159"/>
      <c r="S3" s="159"/>
      <c r="T3" s="172" t="s">
        <v>5</v>
      </c>
      <c r="U3" s="156"/>
      <c r="V3" s="156"/>
      <c r="W3" s="156"/>
      <c r="X3" s="157"/>
      <c r="Y3" s="173" t="s">
        <v>6</v>
      </c>
      <c r="Z3" s="159"/>
      <c r="AA3" s="159"/>
      <c r="AB3" s="159"/>
      <c r="AC3" s="159"/>
      <c r="AD3" s="159"/>
      <c r="AE3" s="159"/>
      <c r="AF3" s="159"/>
      <c r="AG3" s="172" t="s">
        <v>7</v>
      </c>
      <c r="AH3" s="156"/>
      <c r="AI3" s="156"/>
      <c r="AJ3" s="156"/>
      <c r="AK3" s="157"/>
      <c r="AL3" s="155" t="s">
        <v>8</v>
      </c>
      <c r="AM3" s="156"/>
      <c r="AN3" s="156"/>
      <c r="AO3" s="156"/>
      <c r="AP3" s="156"/>
      <c r="AQ3" s="156"/>
      <c r="AR3" s="156"/>
      <c r="AS3" s="157"/>
      <c r="AT3" s="2"/>
      <c r="AU3" s="3"/>
      <c r="AV3" s="2"/>
    </row>
    <row r="4" spans="1:49" ht="53.25" customHeight="1" thickBot="1">
      <c r="A4" s="9"/>
      <c r="B4" s="169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19"/>
      <c r="Y4" s="21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19" t="s">
        <v>27</v>
      </c>
      <c r="AL4" s="24" t="s">
        <v>28</v>
      </c>
      <c r="AM4" s="24" t="s">
        <v>29</v>
      </c>
      <c r="AN4" s="24" t="s">
        <v>30</v>
      </c>
      <c r="AO4" s="24" t="s">
        <v>31</v>
      </c>
      <c r="AP4" s="24" t="s">
        <v>32</v>
      </c>
      <c r="AQ4" s="24" t="s">
        <v>33</v>
      </c>
      <c r="AR4" s="24" t="s">
        <v>34</v>
      </c>
      <c r="AS4" s="25" t="s">
        <v>35</v>
      </c>
      <c r="AT4" s="2"/>
      <c r="AU4" s="3"/>
      <c r="AV4" s="2"/>
    </row>
    <row r="5" spans="1:49" ht="22" thickTop="1">
      <c r="A5" s="26"/>
      <c r="B5" s="205">
        <f>DATE($A$2,$B$2,1)</f>
        <v>45444</v>
      </c>
      <c r="C5" s="51"/>
      <c r="D5" s="29"/>
      <c r="E5" s="30">
        <v>33</v>
      </c>
      <c r="F5" s="31">
        <v>97680</v>
      </c>
      <c r="G5" s="32">
        <f t="shared" ref="G5:G35" si="0">ROUNDDOWN(F5/1.1,0)/E5</f>
        <v>2690.909090909091</v>
      </c>
      <c r="H5" s="31">
        <v>31150</v>
      </c>
      <c r="I5" s="33">
        <f t="shared" ref="I5:I35" si="1">ROUNDDOWN(H5/1.1,0)/E5</f>
        <v>858.12121212121212</v>
      </c>
      <c r="J5" s="34">
        <f t="shared" ref="J5:J35" si="2">F5+H5</f>
        <v>128830</v>
      </c>
      <c r="K5" s="35">
        <f t="shared" ref="K5:K35" si="3">IF(E5="","",J5/E5)</f>
        <v>3903.939393939394</v>
      </c>
      <c r="L5" s="36"/>
      <c r="M5" s="37">
        <f t="shared" ref="M5:N20" si="4">AL5-E5</f>
        <v>37</v>
      </c>
      <c r="N5" s="38">
        <f t="shared" si="4"/>
        <v>384870</v>
      </c>
      <c r="O5" s="32">
        <f t="shared" ref="O5:O35" si="5">ROUNDDOWN(N5/1.1,0)/M5</f>
        <v>9456.2432432432433</v>
      </c>
      <c r="P5" s="38">
        <f t="shared" ref="P5:P35" si="6">AN5-H5</f>
        <v>60970</v>
      </c>
      <c r="Q5" s="33">
        <f t="shared" ref="Q5:Q35" si="7">ROUNDDOWN(P5/1.1,0)/M5</f>
        <v>1498.0270270270271</v>
      </c>
      <c r="R5" s="39">
        <f t="shared" ref="R5:R35" si="8">N5+P5</f>
        <v>445840</v>
      </c>
      <c r="S5" s="35">
        <f t="shared" ref="S5:S35" si="9">IF(M5="","",R5/M5)</f>
        <v>12049.72972972973</v>
      </c>
      <c r="T5" s="40">
        <f t="shared" ref="T5:U20" si="10">E5+M5</f>
        <v>70</v>
      </c>
      <c r="U5" s="38">
        <f t="shared" si="10"/>
        <v>482550</v>
      </c>
      <c r="V5" s="38">
        <f t="shared" ref="V5:V35" si="11">H5+P5</f>
        <v>92120</v>
      </c>
      <c r="W5" s="41">
        <f t="shared" ref="W5:W35" si="12">J5+R5</f>
        <v>574670</v>
      </c>
      <c r="X5" s="38">
        <f t="shared" ref="X5:X34" si="13">IF(T5="","",W5/T5)</f>
        <v>8209.5714285714294</v>
      </c>
      <c r="Y5" s="42"/>
      <c r="Z5" s="43">
        <v>249</v>
      </c>
      <c r="AA5" s="31">
        <v>179150</v>
      </c>
      <c r="AB5" s="32">
        <f t="shared" ref="AB5:AB35" si="14">AA5/Z5</f>
        <v>719.47791164658634</v>
      </c>
      <c r="AC5" s="31">
        <v>39350</v>
      </c>
      <c r="AD5" s="33">
        <f t="shared" ref="AD5:AD35" si="15">AC5/Z5</f>
        <v>158.03212851405621</v>
      </c>
      <c r="AE5" s="44">
        <f t="shared" ref="AE5:AE35" si="16">AA5+AC5</f>
        <v>218500</v>
      </c>
      <c r="AF5" s="35">
        <f t="shared" ref="AF5:AF34" si="17">IF(Z5="","",AE5/Z5)</f>
        <v>877.51004016064257</v>
      </c>
      <c r="AG5" s="40">
        <f t="shared" ref="AG5:AG35" si="18">SUM(E5,M5)</f>
        <v>70</v>
      </c>
      <c r="AH5" s="38">
        <f t="shared" ref="AH5:AH35" si="19">U5+AA5</f>
        <v>661700</v>
      </c>
      <c r="AI5" s="38">
        <f t="shared" ref="AI5:AI35" si="20">V5+AC5</f>
        <v>131470</v>
      </c>
      <c r="AJ5" s="45">
        <f>W5+AE5</f>
        <v>793170</v>
      </c>
      <c r="AK5" s="38">
        <f t="shared" ref="AK5:AK35" si="21">AO5+AP5+AQ5</f>
        <v>28600</v>
      </c>
      <c r="AL5" s="46">
        <v>70</v>
      </c>
      <c r="AM5" s="46">
        <v>482550</v>
      </c>
      <c r="AN5" s="46">
        <v>92120</v>
      </c>
      <c r="AO5" s="47">
        <v>23100</v>
      </c>
      <c r="AP5" s="47">
        <v>5500</v>
      </c>
      <c r="AQ5" s="47">
        <v>0</v>
      </c>
      <c r="AR5" s="47"/>
      <c r="AS5" s="48">
        <f>SUM(AM5:AQ5)</f>
        <v>603270</v>
      </c>
      <c r="AT5" s="26">
        <v>1</v>
      </c>
      <c r="AU5" s="49">
        <f>AR5+AS5</f>
        <v>603270</v>
      </c>
      <c r="AV5" s="49">
        <f>AS5+AE5</f>
        <v>821770</v>
      </c>
      <c r="AW5" s="206">
        <f>AV5+AR5</f>
        <v>821770</v>
      </c>
    </row>
    <row r="6" spans="1:49" ht="21">
      <c r="A6" s="26"/>
      <c r="B6" s="54">
        <f t="shared" ref="B6:B34" si="22">B5+1</f>
        <v>45445</v>
      </c>
      <c r="C6" s="51"/>
      <c r="D6" s="29"/>
      <c r="E6" s="30">
        <v>20</v>
      </c>
      <c r="F6" s="31">
        <v>75790</v>
      </c>
      <c r="G6" s="32">
        <f t="shared" si="0"/>
        <v>3445</v>
      </c>
      <c r="H6" s="31">
        <v>16110</v>
      </c>
      <c r="I6" s="33">
        <f t="shared" si="1"/>
        <v>732.25</v>
      </c>
      <c r="J6" s="34">
        <f t="shared" si="2"/>
        <v>91900</v>
      </c>
      <c r="K6" s="35">
        <f t="shared" si="3"/>
        <v>4595</v>
      </c>
      <c r="L6" s="36"/>
      <c r="M6" s="37">
        <f t="shared" si="4"/>
        <v>29</v>
      </c>
      <c r="N6" s="38">
        <f t="shared" si="4"/>
        <v>273020</v>
      </c>
      <c r="O6" s="32">
        <f t="shared" si="5"/>
        <v>8558.6206896551721</v>
      </c>
      <c r="P6" s="38">
        <f t="shared" si="6"/>
        <v>41770</v>
      </c>
      <c r="Q6" s="33">
        <f t="shared" si="7"/>
        <v>1309.3793103448277</v>
      </c>
      <c r="R6" s="39">
        <f t="shared" si="8"/>
        <v>314790</v>
      </c>
      <c r="S6" s="35">
        <f t="shared" si="9"/>
        <v>10854.827586206897</v>
      </c>
      <c r="T6" s="52">
        <f t="shared" si="10"/>
        <v>49</v>
      </c>
      <c r="U6" s="38">
        <f t="shared" si="10"/>
        <v>348810</v>
      </c>
      <c r="V6" s="38">
        <f t="shared" si="11"/>
        <v>57880</v>
      </c>
      <c r="W6" s="41">
        <f t="shared" si="12"/>
        <v>406690</v>
      </c>
      <c r="X6" s="38">
        <f t="shared" si="13"/>
        <v>8299.7959183673465</v>
      </c>
      <c r="Y6" s="42"/>
      <c r="Z6" s="43">
        <v>286</v>
      </c>
      <c r="AA6" s="31">
        <v>198410</v>
      </c>
      <c r="AB6" s="32">
        <f t="shared" si="14"/>
        <v>693.74125874125878</v>
      </c>
      <c r="AC6" s="31">
        <v>63750</v>
      </c>
      <c r="AD6" s="33">
        <f t="shared" si="15"/>
        <v>222.90209790209789</v>
      </c>
      <c r="AE6" s="44">
        <f t="shared" si="16"/>
        <v>262160</v>
      </c>
      <c r="AF6" s="35">
        <f t="shared" si="17"/>
        <v>916.6433566433567</v>
      </c>
      <c r="AG6" s="52">
        <f t="shared" si="18"/>
        <v>49</v>
      </c>
      <c r="AH6" s="38">
        <f t="shared" si="19"/>
        <v>547220</v>
      </c>
      <c r="AI6" s="38">
        <f t="shared" si="20"/>
        <v>121630</v>
      </c>
      <c r="AJ6" s="45">
        <f t="shared" ref="AJ6:AJ35" si="23">W6+AE6</f>
        <v>668850</v>
      </c>
      <c r="AK6" s="38">
        <f t="shared" si="21"/>
        <v>33550</v>
      </c>
      <c r="AL6" s="46">
        <v>49</v>
      </c>
      <c r="AM6" s="46">
        <v>348810</v>
      </c>
      <c r="AN6" s="46">
        <v>57880</v>
      </c>
      <c r="AO6" s="47">
        <v>33550</v>
      </c>
      <c r="AP6" s="47"/>
      <c r="AQ6" s="47">
        <v>0</v>
      </c>
      <c r="AR6" s="47">
        <v>4400</v>
      </c>
      <c r="AS6" s="48">
        <f t="shared" ref="AS6:AS35" si="24">SUM(AM6:AQ6)</f>
        <v>440240</v>
      </c>
      <c r="AT6" s="26">
        <v>2</v>
      </c>
      <c r="AU6" s="49">
        <f t="shared" ref="AU6:AU35" si="25">AR6+AS6</f>
        <v>444640</v>
      </c>
      <c r="AV6" s="49">
        <f>AS6+AE6+AR6</f>
        <v>706800</v>
      </c>
      <c r="AW6" s="206">
        <f t="shared" ref="AW6:AW34" si="26">AV6+AR6</f>
        <v>711200</v>
      </c>
    </row>
    <row r="7" spans="1:49" ht="21">
      <c r="A7" s="26"/>
      <c r="B7" s="144">
        <f t="shared" si="22"/>
        <v>45446</v>
      </c>
      <c r="C7" s="51" t="s">
        <v>53</v>
      </c>
      <c r="D7" s="29"/>
      <c r="E7" s="30"/>
      <c r="F7" s="31"/>
      <c r="G7" s="32" t="e">
        <f t="shared" si="0"/>
        <v>#DIV/0!</v>
      </c>
      <c r="H7" s="31"/>
      <c r="I7" s="33" t="e">
        <f t="shared" si="1"/>
        <v>#DIV/0!</v>
      </c>
      <c r="J7" s="34">
        <f t="shared" si="2"/>
        <v>0</v>
      </c>
      <c r="K7" s="35" t="str">
        <f t="shared" si="3"/>
        <v/>
      </c>
      <c r="L7" s="36"/>
      <c r="M7" s="37">
        <f t="shared" si="4"/>
        <v>41</v>
      </c>
      <c r="N7" s="38">
        <f t="shared" si="4"/>
        <v>451907</v>
      </c>
      <c r="O7" s="32">
        <f t="shared" si="5"/>
        <v>10020.09756097561</v>
      </c>
      <c r="P7" s="38">
        <f t="shared" si="6"/>
        <v>86860</v>
      </c>
      <c r="Q7" s="33">
        <f t="shared" si="7"/>
        <v>1925.9268292682927</v>
      </c>
      <c r="R7" s="39">
        <f t="shared" si="8"/>
        <v>538767</v>
      </c>
      <c r="S7" s="35">
        <f t="shared" si="9"/>
        <v>13140.658536585366</v>
      </c>
      <c r="T7" s="52">
        <f t="shared" si="10"/>
        <v>41</v>
      </c>
      <c r="U7" s="38">
        <f t="shared" si="10"/>
        <v>451907</v>
      </c>
      <c r="V7" s="38">
        <f t="shared" si="11"/>
        <v>86860</v>
      </c>
      <c r="W7" s="41">
        <f t="shared" si="12"/>
        <v>538767</v>
      </c>
      <c r="X7" s="38">
        <f t="shared" si="13"/>
        <v>13140.658536585366</v>
      </c>
      <c r="Y7" s="42"/>
      <c r="Z7" s="43">
        <v>66</v>
      </c>
      <c r="AA7" s="31">
        <v>40080</v>
      </c>
      <c r="AB7" s="32">
        <f t="shared" si="14"/>
        <v>607.27272727272725</v>
      </c>
      <c r="AC7" s="31">
        <v>14800</v>
      </c>
      <c r="AD7" s="33">
        <f t="shared" si="15"/>
        <v>224.24242424242425</v>
      </c>
      <c r="AE7" s="44">
        <f t="shared" si="16"/>
        <v>54880</v>
      </c>
      <c r="AF7" s="35">
        <f t="shared" si="17"/>
        <v>831.5151515151515</v>
      </c>
      <c r="AG7" s="52">
        <f t="shared" si="18"/>
        <v>41</v>
      </c>
      <c r="AH7" s="38">
        <f t="shared" si="19"/>
        <v>491987</v>
      </c>
      <c r="AI7" s="38">
        <f t="shared" si="20"/>
        <v>101660</v>
      </c>
      <c r="AJ7" s="45">
        <f t="shared" si="23"/>
        <v>593647</v>
      </c>
      <c r="AK7" s="38">
        <f t="shared" si="21"/>
        <v>23650</v>
      </c>
      <c r="AL7" s="46">
        <v>41</v>
      </c>
      <c r="AM7" s="46">
        <v>451907</v>
      </c>
      <c r="AN7" s="46">
        <v>86860</v>
      </c>
      <c r="AO7" s="47">
        <v>22000</v>
      </c>
      <c r="AP7" s="47">
        <v>1650</v>
      </c>
      <c r="AQ7" s="47">
        <v>0</v>
      </c>
      <c r="AR7" s="47"/>
      <c r="AS7" s="48">
        <f t="shared" si="24"/>
        <v>562417</v>
      </c>
      <c r="AT7" s="26">
        <v>3</v>
      </c>
      <c r="AU7" s="49">
        <f t="shared" si="25"/>
        <v>562417</v>
      </c>
      <c r="AV7" s="49">
        <f t="shared" ref="AV7:AV35" si="27">AS7+AE7</f>
        <v>617297</v>
      </c>
      <c r="AW7" s="206">
        <f t="shared" si="26"/>
        <v>617297</v>
      </c>
    </row>
    <row r="8" spans="1:49" ht="21">
      <c r="A8" s="26"/>
      <c r="B8" s="144">
        <f t="shared" si="22"/>
        <v>45447</v>
      </c>
      <c r="C8" s="51" t="s">
        <v>53</v>
      </c>
      <c r="D8" s="29"/>
      <c r="E8" s="30"/>
      <c r="F8" s="31"/>
      <c r="G8" s="32" t="e">
        <f t="shared" si="0"/>
        <v>#DIV/0!</v>
      </c>
      <c r="H8" s="31"/>
      <c r="I8" s="33" t="e">
        <f t="shared" si="1"/>
        <v>#DIV/0!</v>
      </c>
      <c r="J8" s="34">
        <f t="shared" si="2"/>
        <v>0</v>
      </c>
      <c r="K8" s="35" t="str">
        <f t="shared" si="3"/>
        <v/>
      </c>
      <c r="L8" s="36"/>
      <c r="M8" s="37">
        <f t="shared" si="4"/>
        <v>27</v>
      </c>
      <c r="N8" s="38">
        <f t="shared" si="4"/>
        <v>244200</v>
      </c>
      <c r="O8" s="32">
        <f t="shared" si="5"/>
        <v>8222.2222222222226</v>
      </c>
      <c r="P8" s="38">
        <f t="shared" si="6"/>
        <v>44310</v>
      </c>
      <c r="Q8" s="33">
        <f t="shared" si="7"/>
        <v>1491.8888888888889</v>
      </c>
      <c r="R8" s="39">
        <f t="shared" si="8"/>
        <v>288510</v>
      </c>
      <c r="S8" s="35">
        <f t="shared" si="9"/>
        <v>10685.555555555555</v>
      </c>
      <c r="T8" s="52">
        <f t="shared" si="10"/>
        <v>27</v>
      </c>
      <c r="U8" s="38">
        <f t="shared" si="10"/>
        <v>244200</v>
      </c>
      <c r="V8" s="38">
        <f t="shared" si="11"/>
        <v>44310</v>
      </c>
      <c r="W8" s="41">
        <f t="shared" si="12"/>
        <v>288510</v>
      </c>
      <c r="X8" s="38">
        <f t="shared" si="13"/>
        <v>10685.555555555555</v>
      </c>
      <c r="Y8" s="42"/>
      <c r="Z8" s="43">
        <v>40</v>
      </c>
      <c r="AA8" s="31">
        <v>22760</v>
      </c>
      <c r="AB8" s="32">
        <f t="shared" si="14"/>
        <v>569</v>
      </c>
      <c r="AC8" s="31">
        <v>7250</v>
      </c>
      <c r="AD8" s="33">
        <f t="shared" si="15"/>
        <v>181.25</v>
      </c>
      <c r="AE8" s="44">
        <f t="shared" si="16"/>
        <v>30010</v>
      </c>
      <c r="AF8" s="35">
        <f t="shared" si="17"/>
        <v>750.25</v>
      </c>
      <c r="AG8" s="52">
        <f t="shared" si="18"/>
        <v>27</v>
      </c>
      <c r="AH8" s="38">
        <f t="shared" si="19"/>
        <v>266960</v>
      </c>
      <c r="AI8" s="38">
        <f t="shared" si="20"/>
        <v>51560</v>
      </c>
      <c r="AJ8" s="53">
        <f t="shared" si="23"/>
        <v>318520</v>
      </c>
      <c r="AK8" s="38">
        <f t="shared" si="21"/>
        <v>7060</v>
      </c>
      <c r="AL8" s="46">
        <v>27</v>
      </c>
      <c r="AM8" s="46">
        <v>244200</v>
      </c>
      <c r="AN8" s="46">
        <v>44310</v>
      </c>
      <c r="AO8" s="47">
        <v>5500</v>
      </c>
      <c r="AP8" s="47">
        <v>1560</v>
      </c>
      <c r="AQ8" s="47">
        <v>0</v>
      </c>
      <c r="AR8" s="47"/>
      <c r="AS8" s="48">
        <f t="shared" si="24"/>
        <v>295570</v>
      </c>
      <c r="AT8" s="26">
        <v>4</v>
      </c>
      <c r="AU8" s="49">
        <f t="shared" si="25"/>
        <v>295570</v>
      </c>
      <c r="AV8" s="49">
        <f t="shared" si="27"/>
        <v>325580</v>
      </c>
      <c r="AW8" s="206">
        <f t="shared" si="26"/>
        <v>325580</v>
      </c>
    </row>
    <row r="9" spans="1:49" ht="21">
      <c r="A9" s="26"/>
      <c r="B9" s="144">
        <f t="shared" si="22"/>
        <v>45448</v>
      </c>
      <c r="C9" s="51" t="s">
        <v>53</v>
      </c>
      <c r="D9" s="29"/>
      <c r="E9" s="30"/>
      <c r="F9" s="31"/>
      <c r="G9" s="32" t="e">
        <f t="shared" si="0"/>
        <v>#DIV/0!</v>
      </c>
      <c r="H9" s="31"/>
      <c r="I9" s="33" t="e">
        <f t="shared" si="1"/>
        <v>#DIV/0!</v>
      </c>
      <c r="J9" s="34">
        <f t="shared" si="2"/>
        <v>0</v>
      </c>
      <c r="K9" s="35" t="str">
        <f t="shared" si="3"/>
        <v/>
      </c>
      <c r="L9" s="36"/>
      <c r="M9" s="37">
        <f t="shared" si="4"/>
        <v>29</v>
      </c>
      <c r="N9" s="38">
        <f t="shared" si="4"/>
        <v>273240</v>
      </c>
      <c r="O9" s="32">
        <f t="shared" si="5"/>
        <v>8565.5172413793098</v>
      </c>
      <c r="P9" s="38">
        <f t="shared" si="6"/>
        <v>28580</v>
      </c>
      <c r="Q9" s="33">
        <f t="shared" si="7"/>
        <v>895.89655172413791</v>
      </c>
      <c r="R9" s="39">
        <f t="shared" si="8"/>
        <v>301820</v>
      </c>
      <c r="S9" s="35">
        <f t="shared" si="9"/>
        <v>10407.586206896553</v>
      </c>
      <c r="T9" s="52">
        <f t="shared" si="10"/>
        <v>29</v>
      </c>
      <c r="U9" s="38">
        <f t="shared" si="10"/>
        <v>273240</v>
      </c>
      <c r="V9" s="38">
        <f t="shared" si="11"/>
        <v>28580</v>
      </c>
      <c r="W9" s="41">
        <f t="shared" si="12"/>
        <v>301820</v>
      </c>
      <c r="X9" s="38">
        <f t="shared" si="13"/>
        <v>10407.586206896553</v>
      </c>
      <c r="Y9" s="42"/>
      <c r="Z9" s="43">
        <v>7</v>
      </c>
      <c r="AA9" s="31">
        <v>5750</v>
      </c>
      <c r="AB9" s="32">
        <f t="shared" si="14"/>
        <v>821.42857142857144</v>
      </c>
      <c r="AC9" s="31">
        <v>2650</v>
      </c>
      <c r="AD9" s="33">
        <f t="shared" si="15"/>
        <v>378.57142857142856</v>
      </c>
      <c r="AE9" s="44">
        <f t="shared" si="16"/>
        <v>8400</v>
      </c>
      <c r="AF9" s="35">
        <f t="shared" si="17"/>
        <v>1200</v>
      </c>
      <c r="AG9" s="52">
        <f t="shared" si="18"/>
        <v>29</v>
      </c>
      <c r="AH9" s="38">
        <f t="shared" si="19"/>
        <v>278990</v>
      </c>
      <c r="AI9" s="38">
        <f t="shared" si="20"/>
        <v>31230</v>
      </c>
      <c r="AJ9" s="45">
        <f t="shared" si="23"/>
        <v>310220</v>
      </c>
      <c r="AK9" s="38">
        <f t="shared" si="21"/>
        <v>12650</v>
      </c>
      <c r="AL9" s="46">
        <v>29</v>
      </c>
      <c r="AM9" s="46">
        <v>273240</v>
      </c>
      <c r="AN9" s="46">
        <v>28580</v>
      </c>
      <c r="AO9" s="47">
        <v>11000</v>
      </c>
      <c r="AP9" s="47">
        <v>1650</v>
      </c>
      <c r="AQ9" s="47">
        <v>0</v>
      </c>
      <c r="AR9" s="47"/>
      <c r="AS9" s="48">
        <f t="shared" si="24"/>
        <v>314470</v>
      </c>
      <c r="AT9" s="26">
        <v>5</v>
      </c>
      <c r="AU9" s="49">
        <f t="shared" si="25"/>
        <v>314470</v>
      </c>
      <c r="AV9" s="49">
        <f t="shared" si="27"/>
        <v>322870</v>
      </c>
      <c r="AW9" s="206">
        <f t="shared" si="26"/>
        <v>322870</v>
      </c>
    </row>
    <row r="10" spans="1:49" ht="21">
      <c r="A10" s="26"/>
      <c r="B10" s="144">
        <f t="shared" si="22"/>
        <v>45449</v>
      </c>
      <c r="C10" s="51" t="s">
        <v>53</v>
      </c>
      <c r="D10" s="29"/>
      <c r="E10" s="30"/>
      <c r="F10" s="31"/>
      <c r="G10" s="32" t="e">
        <f t="shared" si="0"/>
        <v>#DIV/0!</v>
      </c>
      <c r="H10" s="31"/>
      <c r="I10" s="33" t="e">
        <f t="shared" si="1"/>
        <v>#DIV/0!</v>
      </c>
      <c r="J10" s="34">
        <f t="shared" si="2"/>
        <v>0</v>
      </c>
      <c r="K10" s="35" t="str">
        <f t="shared" si="3"/>
        <v/>
      </c>
      <c r="L10" s="36"/>
      <c r="M10" s="37">
        <f t="shared" si="4"/>
        <v>36</v>
      </c>
      <c r="N10" s="38">
        <f t="shared" si="4"/>
        <v>304260</v>
      </c>
      <c r="O10" s="32">
        <f t="shared" si="5"/>
        <v>7683.333333333333</v>
      </c>
      <c r="P10" s="38">
        <f t="shared" si="6"/>
        <v>45690</v>
      </c>
      <c r="Q10" s="33">
        <f t="shared" si="7"/>
        <v>1153.7777777777778</v>
      </c>
      <c r="R10" s="39">
        <f t="shared" si="8"/>
        <v>349950</v>
      </c>
      <c r="S10" s="35">
        <f t="shared" si="9"/>
        <v>9720.8333333333339</v>
      </c>
      <c r="T10" s="52">
        <f t="shared" si="10"/>
        <v>36</v>
      </c>
      <c r="U10" s="38">
        <f t="shared" si="10"/>
        <v>304260</v>
      </c>
      <c r="V10" s="38">
        <f t="shared" si="11"/>
        <v>45690</v>
      </c>
      <c r="W10" s="41">
        <f t="shared" si="12"/>
        <v>349950</v>
      </c>
      <c r="X10" s="38">
        <f t="shared" si="13"/>
        <v>9720.8333333333339</v>
      </c>
      <c r="Y10" s="42"/>
      <c r="Z10" s="43">
        <v>23</v>
      </c>
      <c r="AA10" s="31">
        <v>15570</v>
      </c>
      <c r="AB10" s="32">
        <f t="shared" si="14"/>
        <v>676.95652173913038</v>
      </c>
      <c r="AC10" s="31">
        <v>5350</v>
      </c>
      <c r="AD10" s="33">
        <f t="shared" si="15"/>
        <v>232.60869565217391</v>
      </c>
      <c r="AE10" s="44">
        <f t="shared" si="16"/>
        <v>20920</v>
      </c>
      <c r="AF10" s="35">
        <f t="shared" si="17"/>
        <v>909.56521739130437</v>
      </c>
      <c r="AG10" s="52">
        <f t="shared" si="18"/>
        <v>36</v>
      </c>
      <c r="AH10" s="38">
        <f t="shared" si="19"/>
        <v>319830</v>
      </c>
      <c r="AI10" s="38">
        <f t="shared" si="20"/>
        <v>51040</v>
      </c>
      <c r="AJ10" s="45">
        <f t="shared" si="23"/>
        <v>370870</v>
      </c>
      <c r="AK10" s="38">
        <f t="shared" si="21"/>
        <v>24660</v>
      </c>
      <c r="AL10" s="46">
        <v>36</v>
      </c>
      <c r="AM10" s="46">
        <v>304260</v>
      </c>
      <c r="AN10" s="46">
        <v>45690</v>
      </c>
      <c r="AO10" s="47">
        <v>23100</v>
      </c>
      <c r="AP10" s="47">
        <v>1560</v>
      </c>
      <c r="AQ10" s="47">
        <v>0</v>
      </c>
      <c r="AR10" s="47"/>
      <c r="AS10" s="48">
        <f t="shared" si="24"/>
        <v>374610</v>
      </c>
      <c r="AT10" s="26">
        <v>6</v>
      </c>
      <c r="AU10" s="49">
        <f t="shared" si="25"/>
        <v>374610</v>
      </c>
      <c r="AV10" s="49">
        <f t="shared" si="27"/>
        <v>395530</v>
      </c>
      <c r="AW10" s="206">
        <f t="shared" si="26"/>
        <v>395530</v>
      </c>
    </row>
    <row r="11" spans="1:49" ht="21">
      <c r="A11" s="26"/>
      <c r="B11" s="144">
        <f t="shared" si="22"/>
        <v>45450</v>
      </c>
      <c r="C11" s="51" t="s">
        <v>53</v>
      </c>
      <c r="D11" s="29"/>
      <c r="E11" s="30"/>
      <c r="F11" s="31"/>
      <c r="G11" s="32" t="e">
        <f t="shared" si="0"/>
        <v>#DIV/0!</v>
      </c>
      <c r="H11" s="31"/>
      <c r="I11" s="33" t="e">
        <f t="shared" si="1"/>
        <v>#DIV/0!</v>
      </c>
      <c r="J11" s="34">
        <f t="shared" si="2"/>
        <v>0</v>
      </c>
      <c r="K11" s="35" t="str">
        <f t="shared" si="3"/>
        <v/>
      </c>
      <c r="L11" s="36"/>
      <c r="M11" s="37">
        <f t="shared" si="4"/>
        <v>38</v>
      </c>
      <c r="N11" s="38">
        <f t="shared" si="4"/>
        <v>440440</v>
      </c>
      <c r="O11" s="32">
        <f t="shared" si="5"/>
        <v>10536.842105263158</v>
      </c>
      <c r="P11" s="38">
        <f t="shared" si="6"/>
        <v>209000</v>
      </c>
      <c r="Q11" s="33">
        <f t="shared" si="7"/>
        <v>5000</v>
      </c>
      <c r="R11" s="39">
        <f t="shared" si="8"/>
        <v>649440</v>
      </c>
      <c r="S11" s="35">
        <f t="shared" si="9"/>
        <v>17090.526315789473</v>
      </c>
      <c r="T11" s="52">
        <f t="shared" si="10"/>
        <v>38</v>
      </c>
      <c r="U11" s="38">
        <f t="shared" si="10"/>
        <v>440440</v>
      </c>
      <c r="V11" s="38">
        <f t="shared" si="11"/>
        <v>209000</v>
      </c>
      <c r="W11" s="41">
        <f t="shared" si="12"/>
        <v>649440</v>
      </c>
      <c r="X11" s="38">
        <f t="shared" si="13"/>
        <v>17090.526315789473</v>
      </c>
      <c r="Y11" s="42"/>
      <c r="Z11" s="43">
        <v>158</v>
      </c>
      <c r="AA11" s="31">
        <v>117420</v>
      </c>
      <c r="AB11" s="32">
        <f t="shared" si="14"/>
        <v>743.16455696202536</v>
      </c>
      <c r="AC11" s="31">
        <v>21350</v>
      </c>
      <c r="AD11" s="33">
        <f t="shared" si="15"/>
        <v>135.12658227848101</v>
      </c>
      <c r="AE11" s="44">
        <f t="shared" si="16"/>
        <v>138770</v>
      </c>
      <c r="AF11" s="35">
        <f t="shared" si="17"/>
        <v>878.29113924050637</v>
      </c>
      <c r="AG11" s="52">
        <f t="shared" si="18"/>
        <v>38</v>
      </c>
      <c r="AH11" s="38">
        <f t="shared" si="19"/>
        <v>557860</v>
      </c>
      <c r="AI11" s="38">
        <f t="shared" si="20"/>
        <v>230350</v>
      </c>
      <c r="AJ11" s="45">
        <f t="shared" si="23"/>
        <v>788210</v>
      </c>
      <c r="AK11" s="38">
        <f t="shared" si="21"/>
        <v>0</v>
      </c>
      <c r="AL11" s="46">
        <v>38</v>
      </c>
      <c r="AM11" s="46">
        <v>440440</v>
      </c>
      <c r="AN11" s="46">
        <v>209000</v>
      </c>
      <c r="AO11" s="47">
        <v>0</v>
      </c>
      <c r="AP11" s="47"/>
      <c r="AQ11" s="47">
        <v>0</v>
      </c>
      <c r="AR11" s="47"/>
      <c r="AS11" s="48">
        <f t="shared" si="24"/>
        <v>649440</v>
      </c>
      <c r="AT11" s="26">
        <v>7</v>
      </c>
      <c r="AU11" s="49">
        <f t="shared" si="25"/>
        <v>649440</v>
      </c>
      <c r="AV11" s="49">
        <f t="shared" si="27"/>
        <v>788210</v>
      </c>
      <c r="AW11" s="206">
        <f t="shared" si="26"/>
        <v>788210</v>
      </c>
    </row>
    <row r="12" spans="1:49" ht="21">
      <c r="A12" s="26"/>
      <c r="B12" s="151">
        <f t="shared" si="22"/>
        <v>45451</v>
      </c>
      <c r="C12" s="51"/>
      <c r="D12" s="29"/>
      <c r="E12" s="30">
        <v>27</v>
      </c>
      <c r="F12" s="31">
        <v>93390</v>
      </c>
      <c r="G12" s="32">
        <f t="shared" si="0"/>
        <v>3144.4444444444443</v>
      </c>
      <c r="H12" s="31">
        <v>17500</v>
      </c>
      <c r="I12" s="33">
        <f t="shared" si="1"/>
        <v>589.22222222222217</v>
      </c>
      <c r="J12" s="34">
        <f t="shared" si="2"/>
        <v>110890</v>
      </c>
      <c r="K12" s="35">
        <f t="shared" si="3"/>
        <v>4107.0370370370374</v>
      </c>
      <c r="L12" s="36"/>
      <c r="M12" s="37">
        <f t="shared" si="4"/>
        <v>42</v>
      </c>
      <c r="N12" s="38">
        <f t="shared" si="4"/>
        <v>369600</v>
      </c>
      <c r="O12" s="32">
        <f t="shared" si="5"/>
        <v>8000</v>
      </c>
      <c r="P12" s="38">
        <f t="shared" si="6"/>
        <v>138600</v>
      </c>
      <c r="Q12" s="56">
        <f t="shared" si="7"/>
        <v>3000</v>
      </c>
      <c r="R12" s="39">
        <f t="shared" si="8"/>
        <v>508200</v>
      </c>
      <c r="S12" s="35">
        <f t="shared" si="9"/>
        <v>12100</v>
      </c>
      <c r="T12" s="52">
        <f t="shared" si="10"/>
        <v>69</v>
      </c>
      <c r="U12" s="38">
        <f t="shared" si="10"/>
        <v>462990</v>
      </c>
      <c r="V12" s="38">
        <f t="shared" si="11"/>
        <v>156100</v>
      </c>
      <c r="W12" s="41">
        <f t="shared" si="12"/>
        <v>619090</v>
      </c>
      <c r="X12" s="38">
        <f t="shared" si="13"/>
        <v>8972.31884057971</v>
      </c>
      <c r="Y12" s="42"/>
      <c r="Z12" s="43">
        <v>168</v>
      </c>
      <c r="AA12" s="31">
        <v>121380</v>
      </c>
      <c r="AB12" s="32">
        <f t="shared" si="14"/>
        <v>722.5</v>
      </c>
      <c r="AC12" s="31">
        <v>29750</v>
      </c>
      <c r="AD12" s="33">
        <f t="shared" si="15"/>
        <v>177.08333333333334</v>
      </c>
      <c r="AE12" s="44">
        <f t="shared" si="16"/>
        <v>151130</v>
      </c>
      <c r="AF12" s="35">
        <f t="shared" si="17"/>
        <v>899.58333333333337</v>
      </c>
      <c r="AG12" s="52">
        <f t="shared" si="18"/>
        <v>69</v>
      </c>
      <c r="AH12" s="38">
        <f t="shared" si="19"/>
        <v>584370</v>
      </c>
      <c r="AI12" s="38">
        <f t="shared" si="20"/>
        <v>185850</v>
      </c>
      <c r="AJ12" s="45">
        <f t="shared" si="23"/>
        <v>770220</v>
      </c>
      <c r="AK12" s="38">
        <f t="shared" si="21"/>
        <v>6600</v>
      </c>
      <c r="AL12" s="46">
        <v>69</v>
      </c>
      <c r="AM12" s="46">
        <v>462990</v>
      </c>
      <c r="AN12" s="46">
        <v>156100</v>
      </c>
      <c r="AO12" s="47">
        <v>6600</v>
      </c>
      <c r="AP12" s="47"/>
      <c r="AQ12" s="47">
        <v>0</v>
      </c>
      <c r="AR12" s="47"/>
      <c r="AS12" s="48">
        <f t="shared" si="24"/>
        <v>625690</v>
      </c>
      <c r="AT12" s="26">
        <v>8</v>
      </c>
      <c r="AU12" s="49">
        <f>AR12+AS12</f>
        <v>625690</v>
      </c>
      <c r="AV12" s="49">
        <f t="shared" si="27"/>
        <v>776820</v>
      </c>
      <c r="AW12" s="206">
        <f t="shared" si="26"/>
        <v>776820</v>
      </c>
    </row>
    <row r="13" spans="1:49" ht="21">
      <c r="A13" s="26"/>
      <c r="B13" s="54">
        <f t="shared" si="22"/>
        <v>45452</v>
      </c>
      <c r="C13" s="51"/>
      <c r="D13" s="29"/>
      <c r="E13" s="30">
        <v>22</v>
      </c>
      <c r="F13" s="31">
        <v>61512</v>
      </c>
      <c r="G13" s="32">
        <f t="shared" si="0"/>
        <v>2541.818181818182</v>
      </c>
      <c r="H13" s="31">
        <v>11640</v>
      </c>
      <c r="I13" s="33">
        <f t="shared" si="1"/>
        <v>480.95454545454544</v>
      </c>
      <c r="J13" s="34">
        <f t="shared" si="2"/>
        <v>73152</v>
      </c>
      <c r="K13" s="35">
        <f t="shared" si="3"/>
        <v>3325.090909090909</v>
      </c>
      <c r="L13" s="36"/>
      <c r="M13" s="37">
        <f t="shared" si="4"/>
        <v>45</v>
      </c>
      <c r="N13" s="38">
        <f t="shared" si="4"/>
        <v>378400</v>
      </c>
      <c r="O13" s="32">
        <f t="shared" si="5"/>
        <v>7644.4444444444443</v>
      </c>
      <c r="P13" s="38">
        <f t="shared" si="6"/>
        <v>82520</v>
      </c>
      <c r="Q13" s="33">
        <f t="shared" si="7"/>
        <v>1667.0666666666666</v>
      </c>
      <c r="R13" s="39">
        <f t="shared" si="8"/>
        <v>460920</v>
      </c>
      <c r="S13" s="35">
        <f t="shared" si="9"/>
        <v>10242.666666666666</v>
      </c>
      <c r="T13" s="52">
        <f t="shared" si="10"/>
        <v>67</v>
      </c>
      <c r="U13" s="38">
        <f t="shared" si="10"/>
        <v>439912</v>
      </c>
      <c r="V13" s="38">
        <f t="shared" si="11"/>
        <v>94160</v>
      </c>
      <c r="W13" s="41">
        <f t="shared" si="12"/>
        <v>534072</v>
      </c>
      <c r="X13" s="38">
        <f t="shared" si="13"/>
        <v>7971.2238805970146</v>
      </c>
      <c r="Y13" s="42"/>
      <c r="Z13" s="43">
        <v>36</v>
      </c>
      <c r="AA13" s="31">
        <v>25930</v>
      </c>
      <c r="AB13" s="32">
        <f t="shared" si="14"/>
        <v>720.27777777777783</v>
      </c>
      <c r="AC13" s="31">
        <v>6700</v>
      </c>
      <c r="AD13" s="33">
        <f t="shared" si="15"/>
        <v>186.11111111111111</v>
      </c>
      <c r="AE13" s="44">
        <f t="shared" si="16"/>
        <v>32630</v>
      </c>
      <c r="AF13" s="35">
        <f t="shared" si="17"/>
        <v>906.38888888888891</v>
      </c>
      <c r="AG13" s="52">
        <f t="shared" si="18"/>
        <v>67</v>
      </c>
      <c r="AH13" s="38">
        <f t="shared" si="19"/>
        <v>465842</v>
      </c>
      <c r="AI13" s="38">
        <f t="shared" si="20"/>
        <v>100860</v>
      </c>
      <c r="AJ13" s="45">
        <f t="shared" si="23"/>
        <v>566702</v>
      </c>
      <c r="AK13" s="38">
        <f t="shared" si="21"/>
        <v>10450</v>
      </c>
      <c r="AL13" s="46">
        <v>67</v>
      </c>
      <c r="AM13" s="46">
        <v>439912</v>
      </c>
      <c r="AN13" s="46">
        <v>94160</v>
      </c>
      <c r="AO13" s="47">
        <v>8800</v>
      </c>
      <c r="AP13" s="47">
        <v>1650</v>
      </c>
      <c r="AQ13" s="47">
        <v>0</v>
      </c>
      <c r="AR13" s="47">
        <v>13200</v>
      </c>
      <c r="AS13" s="48">
        <f t="shared" si="24"/>
        <v>544522</v>
      </c>
      <c r="AT13" s="26">
        <v>9</v>
      </c>
      <c r="AU13" s="49">
        <f t="shared" si="25"/>
        <v>557722</v>
      </c>
      <c r="AV13" s="49">
        <f>AS13+AE13+AR13</f>
        <v>590352</v>
      </c>
      <c r="AW13" s="206">
        <f t="shared" si="26"/>
        <v>603552</v>
      </c>
    </row>
    <row r="14" spans="1:49" ht="21">
      <c r="A14" s="26"/>
      <c r="B14" s="144">
        <f t="shared" si="22"/>
        <v>45453</v>
      </c>
      <c r="C14" s="51" t="s">
        <v>53</v>
      </c>
      <c r="D14" s="29"/>
      <c r="E14" s="30"/>
      <c r="F14" s="31"/>
      <c r="G14" s="32" t="e">
        <f t="shared" si="0"/>
        <v>#DIV/0!</v>
      </c>
      <c r="H14" s="31"/>
      <c r="I14" s="33" t="e">
        <f t="shared" si="1"/>
        <v>#DIV/0!</v>
      </c>
      <c r="J14" s="34">
        <f t="shared" si="2"/>
        <v>0</v>
      </c>
      <c r="K14" s="35" t="str">
        <f t="shared" si="3"/>
        <v/>
      </c>
      <c r="L14" s="36"/>
      <c r="M14" s="37">
        <f t="shared" si="4"/>
        <v>41</v>
      </c>
      <c r="N14" s="38">
        <f t="shared" si="4"/>
        <v>335060</v>
      </c>
      <c r="O14" s="32">
        <f t="shared" si="5"/>
        <v>7429.2682926829266</v>
      </c>
      <c r="P14" s="38">
        <f t="shared" si="6"/>
        <v>50620</v>
      </c>
      <c r="Q14" s="33">
        <f t="shared" si="7"/>
        <v>1122.3902439024391</v>
      </c>
      <c r="R14" s="39">
        <f t="shared" si="8"/>
        <v>385680</v>
      </c>
      <c r="S14" s="35">
        <f t="shared" si="9"/>
        <v>9406.8292682926822</v>
      </c>
      <c r="T14" s="52">
        <f t="shared" si="10"/>
        <v>41</v>
      </c>
      <c r="U14" s="38">
        <f t="shared" si="10"/>
        <v>335060</v>
      </c>
      <c r="V14" s="38">
        <f t="shared" si="11"/>
        <v>50620</v>
      </c>
      <c r="W14" s="41">
        <f t="shared" si="12"/>
        <v>385680</v>
      </c>
      <c r="X14" s="38">
        <f t="shared" si="13"/>
        <v>9406.8292682926822</v>
      </c>
      <c r="Y14" s="42"/>
      <c r="Z14" s="43">
        <v>99</v>
      </c>
      <c r="AA14" s="31">
        <v>62210</v>
      </c>
      <c r="AB14" s="32">
        <f t="shared" si="14"/>
        <v>628.38383838383834</v>
      </c>
      <c r="AC14" s="31">
        <v>20800</v>
      </c>
      <c r="AD14" s="33">
        <f t="shared" si="15"/>
        <v>210.1010101010101</v>
      </c>
      <c r="AE14" s="44">
        <f t="shared" si="16"/>
        <v>83010</v>
      </c>
      <c r="AF14" s="35">
        <f t="shared" si="17"/>
        <v>838.4848484848485</v>
      </c>
      <c r="AG14" s="52">
        <f t="shared" si="18"/>
        <v>41</v>
      </c>
      <c r="AH14" s="38">
        <f t="shared" si="19"/>
        <v>397270</v>
      </c>
      <c r="AI14" s="38">
        <f t="shared" si="20"/>
        <v>71420</v>
      </c>
      <c r="AJ14" s="53">
        <f t="shared" si="23"/>
        <v>468690</v>
      </c>
      <c r="AK14" s="38">
        <f t="shared" si="21"/>
        <v>106300</v>
      </c>
      <c r="AL14" s="46">
        <v>41</v>
      </c>
      <c r="AM14" s="46">
        <v>335060</v>
      </c>
      <c r="AN14" s="46">
        <v>50620</v>
      </c>
      <c r="AO14" s="47">
        <v>23650</v>
      </c>
      <c r="AP14" s="47">
        <v>82650</v>
      </c>
      <c r="AQ14" s="47">
        <v>0</v>
      </c>
      <c r="AR14" s="47"/>
      <c r="AS14" s="48">
        <f t="shared" si="24"/>
        <v>491980</v>
      </c>
      <c r="AT14" s="26">
        <v>10</v>
      </c>
      <c r="AU14" s="49">
        <f t="shared" si="25"/>
        <v>491980</v>
      </c>
      <c r="AV14" s="49">
        <f t="shared" si="27"/>
        <v>574990</v>
      </c>
      <c r="AW14" s="206">
        <f t="shared" si="26"/>
        <v>574990</v>
      </c>
    </row>
    <row r="15" spans="1:49" ht="21">
      <c r="A15" s="26"/>
      <c r="B15" s="144">
        <f t="shared" si="22"/>
        <v>45454</v>
      </c>
      <c r="C15" s="51" t="s">
        <v>53</v>
      </c>
      <c r="D15" s="29"/>
      <c r="E15" s="30"/>
      <c r="F15" s="31"/>
      <c r="G15" s="32" t="e">
        <f t="shared" si="0"/>
        <v>#DIV/0!</v>
      </c>
      <c r="H15" s="31"/>
      <c r="I15" s="33" t="e">
        <f t="shared" si="1"/>
        <v>#DIV/0!</v>
      </c>
      <c r="J15" s="34">
        <f t="shared" si="2"/>
        <v>0</v>
      </c>
      <c r="K15" s="35" t="str">
        <f t="shared" si="3"/>
        <v/>
      </c>
      <c r="L15" s="36"/>
      <c r="M15" s="37">
        <f t="shared" si="4"/>
        <v>34</v>
      </c>
      <c r="N15" s="38">
        <f t="shared" si="4"/>
        <v>246400</v>
      </c>
      <c r="O15" s="32">
        <f t="shared" si="5"/>
        <v>6588.2352941176468</v>
      </c>
      <c r="P15" s="38">
        <f t="shared" si="6"/>
        <v>30460</v>
      </c>
      <c r="Q15" s="33">
        <f t="shared" si="7"/>
        <v>814.41176470588232</v>
      </c>
      <c r="R15" s="39">
        <f t="shared" si="8"/>
        <v>276860</v>
      </c>
      <c r="S15" s="35">
        <f t="shared" si="9"/>
        <v>8142.9411764705883</v>
      </c>
      <c r="T15" s="52">
        <f t="shared" si="10"/>
        <v>34</v>
      </c>
      <c r="U15" s="38">
        <f t="shared" si="10"/>
        <v>246400</v>
      </c>
      <c r="V15" s="38">
        <f t="shared" si="11"/>
        <v>30460</v>
      </c>
      <c r="W15" s="41">
        <f t="shared" si="12"/>
        <v>276860</v>
      </c>
      <c r="X15" s="38">
        <f t="shared" si="13"/>
        <v>8142.9411764705883</v>
      </c>
      <c r="Y15" s="42"/>
      <c r="Z15" s="43">
        <v>70</v>
      </c>
      <c r="AA15" s="31">
        <v>48570</v>
      </c>
      <c r="AB15" s="32">
        <f t="shared" si="14"/>
        <v>693.85714285714289</v>
      </c>
      <c r="AC15" s="31">
        <v>17750</v>
      </c>
      <c r="AD15" s="33">
        <f t="shared" si="15"/>
        <v>253.57142857142858</v>
      </c>
      <c r="AE15" s="44">
        <f t="shared" si="16"/>
        <v>66320</v>
      </c>
      <c r="AF15" s="35">
        <f t="shared" si="17"/>
        <v>947.42857142857144</v>
      </c>
      <c r="AG15" s="52">
        <f t="shared" si="18"/>
        <v>34</v>
      </c>
      <c r="AH15" s="38">
        <f t="shared" si="19"/>
        <v>294970</v>
      </c>
      <c r="AI15" s="38">
        <f t="shared" si="20"/>
        <v>48210</v>
      </c>
      <c r="AJ15" s="45">
        <f t="shared" si="23"/>
        <v>343180</v>
      </c>
      <c r="AK15" s="38">
        <f t="shared" si="21"/>
        <v>11550</v>
      </c>
      <c r="AL15" s="46">
        <v>34</v>
      </c>
      <c r="AM15" s="46">
        <v>246400</v>
      </c>
      <c r="AN15" s="46">
        <v>30460</v>
      </c>
      <c r="AO15" s="47">
        <v>11550</v>
      </c>
      <c r="AP15" s="47"/>
      <c r="AQ15" s="47">
        <v>0</v>
      </c>
      <c r="AR15" s="47"/>
      <c r="AS15" s="48">
        <f t="shared" si="24"/>
        <v>288410</v>
      </c>
      <c r="AT15" s="26">
        <v>11</v>
      </c>
      <c r="AU15" s="49">
        <f t="shared" si="25"/>
        <v>288410</v>
      </c>
      <c r="AV15" s="49">
        <f t="shared" si="27"/>
        <v>354730</v>
      </c>
      <c r="AW15" s="206">
        <f t="shared" si="26"/>
        <v>354730</v>
      </c>
    </row>
    <row r="16" spans="1:49" ht="21">
      <c r="A16" s="26"/>
      <c r="B16" s="144">
        <f t="shared" si="22"/>
        <v>45455</v>
      </c>
      <c r="C16" s="51" t="s">
        <v>79</v>
      </c>
      <c r="D16" s="29"/>
      <c r="E16" s="30">
        <v>32</v>
      </c>
      <c r="F16" s="31">
        <v>51410</v>
      </c>
      <c r="G16" s="32">
        <f t="shared" si="0"/>
        <v>1460.5</v>
      </c>
      <c r="H16" s="31">
        <v>6200</v>
      </c>
      <c r="I16" s="33">
        <f t="shared" si="1"/>
        <v>176.125</v>
      </c>
      <c r="J16" s="34">
        <f t="shared" si="2"/>
        <v>57610</v>
      </c>
      <c r="K16" s="35">
        <f t="shared" si="3"/>
        <v>1800.3125</v>
      </c>
      <c r="L16" s="36"/>
      <c r="M16" s="37">
        <f t="shared" si="4"/>
        <v>43</v>
      </c>
      <c r="N16" s="38">
        <f t="shared" si="4"/>
        <v>475630</v>
      </c>
      <c r="O16" s="32">
        <f t="shared" si="5"/>
        <v>10055.581395348838</v>
      </c>
      <c r="P16" s="38">
        <f t="shared" si="6"/>
        <v>77500</v>
      </c>
      <c r="Q16" s="33">
        <f t="shared" si="7"/>
        <v>1638.4651162790697</v>
      </c>
      <c r="R16" s="39">
        <f t="shared" si="8"/>
        <v>553130</v>
      </c>
      <c r="S16" s="35">
        <f t="shared" si="9"/>
        <v>12863.488372093023</v>
      </c>
      <c r="T16" s="52">
        <f t="shared" si="10"/>
        <v>75</v>
      </c>
      <c r="U16" s="38">
        <f t="shared" si="10"/>
        <v>527040</v>
      </c>
      <c r="V16" s="38">
        <f t="shared" si="11"/>
        <v>83700</v>
      </c>
      <c r="W16" s="41">
        <f t="shared" si="12"/>
        <v>610740</v>
      </c>
      <c r="X16" s="38">
        <f t="shared" si="13"/>
        <v>8143.2</v>
      </c>
      <c r="Y16" s="42"/>
      <c r="Z16" s="43">
        <v>109</v>
      </c>
      <c r="AA16" s="31">
        <v>72610</v>
      </c>
      <c r="AB16" s="32">
        <f t="shared" si="14"/>
        <v>666.14678899082571</v>
      </c>
      <c r="AC16" s="31">
        <v>14700</v>
      </c>
      <c r="AD16" s="33">
        <f t="shared" si="15"/>
        <v>134.86238532110093</v>
      </c>
      <c r="AE16" s="44">
        <f t="shared" si="16"/>
        <v>87310</v>
      </c>
      <c r="AF16" s="35">
        <f t="shared" si="17"/>
        <v>801.00917431192659</v>
      </c>
      <c r="AG16" s="52">
        <f t="shared" si="18"/>
        <v>75</v>
      </c>
      <c r="AH16" s="38">
        <f t="shared" si="19"/>
        <v>599650</v>
      </c>
      <c r="AI16" s="38">
        <f t="shared" si="20"/>
        <v>98400</v>
      </c>
      <c r="AJ16" s="45">
        <f t="shared" si="23"/>
        <v>698050</v>
      </c>
      <c r="AK16" s="38">
        <f t="shared" si="21"/>
        <v>24750</v>
      </c>
      <c r="AL16" s="46">
        <v>75</v>
      </c>
      <c r="AM16" s="46">
        <v>527040</v>
      </c>
      <c r="AN16" s="46">
        <v>83700</v>
      </c>
      <c r="AO16" s="47">
        <v>19800</v>
      </c>
      <c r="AP16" s="47">
        <v>1650</v>
      </c>
      <c r="AQ16" s="47">
        <v>3300</v>
      </c>
      <c r="AR16" s="47"/>
      <c r="AS16" s="48">
        <f t="shared" si="24"/>
        <v>635490</v>
      </c>
      <c r="AT16" s="26">
        <v>12</v>
      </c>
      <c r="AU16" s="49">
        <f t="shared" si="25"/>
        <v>635490</v>
      </c>
      <c r="AV16" s="49">
        <f t="shared" si="27"/>
        <v>722800</v>
      </c>
      <c r="AW16" s="206">
        <f t="shared" si="26"/>
        <v>722800</v>
      </c>
    </row>
    <row r="17" spans="1:49" ht="21">
      <c r="A17" s="26"/>
      <c r="B17" s="144">
        <f t="shared" si="22"/>
        <v>45456</v>
      </c>
      <c r="C17" s="51" t="s">
        <v>53</v>
      </c>
      <c r="D17" s="29"/>
      <c r="E17" s="30"/>
      <c r="F17" s="31"/>
      <c r="G17" s="32" t="e">
        <f t="shared" si="0"/>
        <v>#DIV/0!</v>
      </c>
      <c r="H17" s="31"/>
      <c r="I17" s="33" t="e">
        <f t="shared" si="1"/>
        <v>#DIV/0!</v>
      </c>
      <c r="J17" s="34">
        <f t="shared" si="2"/>
        <v>0</v>
      </c>
      <c r="K17" s="35" t="str">
        <f t="shared" si="3"/>
        <v/>
      </c>
      <c r="L17" s="36"/>
      <c r="M17" s="37">
        <f t="shared" si="4"/>
        <v>42</v>
      </c>
      <c r="N17" s="38">
        <f t="shared" si="4"/>
        <v>381260</v>
      </c>
      <c r="O17" s="32">
        <f t="shared" si="5"/>
        <v>8252.3809523809523</v>
      </c>
      <c r="P17" s="38">
        <f t="shared" si="6"/>
        <v>60890</v>
      </c>
      <c r="Q17" s="33">
        <f t="shared" si="7"/>
        <v>1317.952380952381</v>
      </c>
      <c r="R17" s="39">
        <f t="shared" si="8"/>
        <v>442150</v>
      </c>
      <c r="S17" s="35">
        <f t="shared" si="9"/>
        <v>10527.380952380952</v>
      </c>
      <c r="T17" s="52">
        <f t="shared" si="10"/>
        <v>42</v>
      </c>
      <c r="U17" s="38">
        <f t="shared" si="10"/>
        <v>381260</v>
      </c>
      <c r="V17" s="38">
        <f t="shared" si="11"/>
        <v>60890</v>
      </c>
      <c r="W17" s="41">
        <f t="shared" si="12"/>
        <v>442150</v>
      </c>
      <c r="X17" s="38">
        <f t="shared" si="13"/>
        <v>10527.380952380952</v>
      </c>
      <c r="Y17" s="42"/>
      <c r="Z17" s="43">
        <v>56</v>
      </c>
      <c r="AA17" s="31">
        <v>36380</v>
      </c>
      <c r="AB17" s="32">
        <f t="shared" si="14"/>
        <v>649.64285714285711</v>
      </c>
      <c r="AC17" s="31">
        <v>14700</v>
      </c>
      <c r="AD17" s="33">
        <f t="shared" si="15"/>
        <v>262.5</v>
      </c>
      <c r="AE17" s="44">
        <f t="shared" si="16"/>
        <v>51080</v>
      </c>
      <c r="AF17" s="35">
        <f t="shared" si="17"/>
        <v>912.14285714285711</v>
      </c>
      <c r="AG17" s="52">
        <f t="shared" si="18"/>
        <v>42</v>
      </c>
      <c r="AH17" s="38">
        <f t="shared" si="19"/>
        <v>417640</v>
      </c>
      <c r="AI17" s="38">
        <f t="shared" si="20"/>
        <v>75590</v>
      </c>
      <c r="AJ17" s="45">
        <f t="shared" si="23"/>
        <v>493230</v>
      </c>
      <c r="AK17" s="38">
        <f t="shared" si="21"/>
        <v>31350</v>
      </c>
      <c r="AL17" s="46">
        <v>42</v>
      </c>
      <c r="AM17" s="46">
        <v>381260</v>
      </c>
      <c r="AN17" s="46">
        <v>60890</v>
      </c>
      <c r="AO17" s="47">
        <v>31350</v>
      </c>
      <c r="AP17" s="47"/>
      <c r="AQ17" s="47">
        <v>0</v>
      </c>
      <c r="AR17" s="47"/>
      <c r="AS17" s="48">
        <f t="shared" si="24"/>
        <v>473500</v>
      </c>
      <c r="AT17" s="26">
        <v>13</v>
      </c>
      <c r="AU17" s="49">
        <f t="shared" si="25"/>
        <v>473500</v>
      </c>
      <c r="AV17" s="49">
        <f t="shared" si="27"/>
        <v>524580</v>
      </c>
      <c r="AW17" s="206">
        <f t="shared" si="26"/>
        <v>524580</v>
      </c>
    </row>
    <row r="18" spans="1:49" ht="21">
      <c r="A18" s="26"/>
      <c r="B18" s="144">
        <f t="shared" si="22"/>
        <v>45457</v>
      </c>
      <c r="C18" s="51" t="s">
        <v>53</v>
      </c>
      <c r="D18" s="29"/>
      <c r="E18" s="30"/>
      <c r="F18" s="31"/>
      <c r="G18" s="32" t="e">
        <f t="shared" si="0"/>
        <v>#DIV/0!</v>
      </c>
      <c r="H18" s="31"/>
      <c r="I18" s="33" t="e">
        <f t="shared" si="1"/>
        <v>#DIV/0!</v>
      </c>
      <c r="J18" s="34">
        <f t="shared" si="2"/>
        <v>0</v>
      </c>
      <c r="K18" s="35" t="str">
        <f t="shared" si="3"/>
        <v/>
      </c>
      <c r="L18" s="36"/>
      <c r="M18" s="37">
        <f t="shared" si="4"/>
        <v>36</v>
      </c>
      <c r="N18" s="38">
        <f t="shared" si="4"/>
        <v>345710</v>
      </c>
      <c r="O18" s="32">
        <f t="shared" si="5"/>
        <v>8730.0277777777774</v>
      </c>
      <c r="P18" s="38">
        <f t="shared" si="6"/>
        <v>51100</v>
      </c>
      <c r="Q18" s="33">
        <f t="shared" si="7"/>
        <v>1290.3888888888889</v>
      </c>
      <c r="R18" s="39">
        <f t="shared" si="8"/>
        <v>396810</v>
      </c>
      <c r="S18" s="35">
        <f t="shared" si="9"/>
        <v>11022.5</v>
      </c>
      <c r="T18" s="52">
        <f t="shared" si="10"/>
        <v>36</v>
      </c>
      <c r="U18" s="38">
        <f t="shared" si="10"/>
        <v>345710</v>
      </c>
      <c r="V18" s="38">
        <f t="shared" si="11"/>
        <v>51100</v>
      </c>
      <c r="W18" s="41">
        <f t="shared" si="12"/>
        <v>396810</v>
      </c>
      <c r="X18" s="38">
        <f t="shared" si="13"/>
        <v>11022.5</v>
      </c>
      <c r="Y18" s="42"/>
      <c r="Z18" s="43">
        <v>72</v>
      </c>
      <c r="AA18" s="31">
        <v>51540</v>
      </c>
      <c r="AB18" s="32">
        <f t="shared" si="14"/>
        <v>715.83333333333337</v>
      </c>
      <c r="AC18" s="31">
        <v>15450</v>
      </c>
      <c r="AD18" s="33">
        <f t="shared" si="15"/>
        <v>214.58333333333334</v>
      </c>
      <c r="AE18" s="44">
        <f t="shared" si="16"/>
        <v>66990</v>
      </c>
      <c r="AF18" s="35">
        <f t="shared" si="17"/>
        <v>930.41666666666663</v>
      </c>
      <c r="AG18" s="52">
        <f t="shared" si="18"/>
        <v>36</v>
      </c>
      <c r="AH18" s="38">
        <f t="shared" si="19"/>
        <v>397250</v>
      </c>
      <c r="AI18" s="38">
        <f t="shared" si="20"/>
        <v>66550</v>
      </c>
      <c r="AJ18" s="45">
        <f t="shared" si="23"/>
        <v>463800</v>
      </c>
      <c r="AK18" s="38">
        <f t="shared" si="21"/>
        <v>17600</v>
      </c>
      <c r="AL18" s="46">
        <v>36</v>
      </c>
      <c r="AM18" s="46">
        <v>345710</v>
      </c>
      <c r="AN18" s="46">
        <v>51100</v>
      </c>
      <c r="AO18" s="47">
        <v>17600</v>
      </c>
      <c r="AP18" s="47"/>
      <c r="AQ18" s="47">
        <v>0</v>
      </c>
      <c r="AR18" s="47"/>
      <c r="AS18" s="48">
        <f t="shared" si="24"/>
        <v>414410</v>
      </c>
      <c r="AT18" s="26">
        <v>14</v>
      </c>
      <c r="AU18" s="49">
        <f t="shared" si="25"/>
        <v>414410</v>
      </c>
      <c r="AV18" s="49">
        <f t="shared" si="27"/>
        <v>481400</v>
      </c>
      <c r="AW18" s="206">
        <f t="shared" si="26"/>
        <v>481400</v>
      </c>
    </row>
    <row r="19" spans="1:49" ht="21">
      <c r="A19" s="26"/>
      <c r="B19" s="151">
        <f t="shared" si="22"/>
        <v>45458</v>
      </c>
      <c r="C19" s="51"/>
      <c r="D19" s="29"/>
      <c r="E19" s="30">
        <v>40</v>
      </c>
      <c r="F19" s="31">
        <v>176660</v>
      </c>
      <c r="G19" s="32">
        <f t="shared" si="0"/>
        <v>4015</v>
      </c>
      <c r="H19" s="31">
        <v>46830</v>
      </c>
      <c r="I19" s="33">
        <f t="shared" si="1"/>
        <v>1064.3</v>
      </c>
      <c r="J19" s="34">
        <f t="shared" si="2"/>
        <v>223490</v>
      </c>
      <c r="K19" s="35">
        <f t="shared" si="3"/>
        <v>5587.25</v>
      </c>
      <c r="L19" s="36"/>
      <c r="M19" s="37">
        <f t="shared" si="4"/>
        <v>42</v>
      </c>
      <c r="N19" s="38">
        <f t="shared" si="4"/>
        <v>340780</v>
      </c>
      <c r="O19" s="32">
        <f t="shared" si="5"/>
        <v>7376.1904761904761</v>
      </c>
      <c r="P19" s="38">
        <f t="shared" si="6"/>
        <v>63030</v>
      </c>
      <c r="Q19" s="56">
        <f t="shared" si="7"/>
        <v>1364.2857142857142</v>
      </c>
      <c r="R19" s="39">
        <f t="shared" si="8"/>
        <v>403810</v>
      </c>
      <c r="S19" s="35">
        <f t="shared" si="9"/>
        <v>9614.5238095238092</v>
      </c>
      <c r="T19" s="52">
        <f t="shared" si="10"/>
        <v>82</v>
      </c>
      <c r="U19" s="38">
        <f t="shared" si="10"/>
        <v>517440</v>
      </c>
      <c r="V19" s="38">
        <f t="shared" si="11"/>
        <v>109860</v>
      </c>
      <c r="W19" s="41">
        <f t="shared" si="12"/>
        <v>627300</v>
      </c>
      <c r="X19" s="38">
        <f t="shared" si="13"/>
        <v>7650</v>
      </c>
      <c r="Y19" s="42"/>
      <c r="Z19" s="43">
        <v>161</v>
      </c>
      <c r="AA19" s="31">
        <v>124720</v>
      </c>
      <c r="AB19" s="32">
        <f t="shared" si="14"/>
        <v>774.65838509316768</v>
      </c>
      <c r="AC19" s="31">
        <v>39000</v>
      </c>
      <c r="AD19" s="33">
        <f t="shared" si="15"/>
        <v>242.2360248447205</v>
      </c>
      <c r="AE19" s="44">
        <f t="shared" si="16"/>
        <v>163720</v>
      </c>
      <c r="AF19" s="35">
        <f t="shared" si="17"/>
        <v>1016.8944099378882</v>
      </c>
      <c r="AG19" s="52">
        <f t="shared" si="18"/>
        <v>82</v>
      </c>
      <c r="AH19" s="38">
        <f t="shared" si="19"/>
        <v>642160</v>
      </c>
      <c r="AI19" s="38">
        <f t="shared" si="20"/>
        <v>148860</v>
      </c>
      <c r="AJ19" s="45">
        <f t="shared" si="23"/>
        <v>791020</v>
      </c>
      <c r="AK19" s="38">
        <f t="shared" si="21"/>
        <v>36850</v>
      </c>
      <c r="AL19" s="46">
        <v>82</v>
      </c>
      <c r="AM19" s="46">
        <v>517440</v>
      </c>
      <c r="AN19" s="46">
        <v>109860</v>
      </c>
      <c r="AO19" s="47">
        <v>36850</v>
      </c>
      <c r="AP19" s="47"/>
      <c r="AQ19" s="47">
        <v>0</v>
      </c>
      <c r="AR19" s="47"/>
      <c r="AS19" s="48">
        <f t="shared" si="24"/>
        <v>664150</v>
      </c>
      <c r="AT19" s="26">
        <v>15</v>
      </c>
      <c r="AU19" s="49">
        <f t="shared" si="25"/>
        <v>664150</v>
      </c>
      <c r="AV19" s="49">
        <f t="shared" si="27"/>
        <v>827870</v>
      </c>
      <c r="AW19" s="206">
        <f t="shared" si="26"/>
        <v>827870</v>
      </c>
    </row>
    <row r="20" spans="1:49" ht="21">
      <c r="A20" s="26"/>
      <c r="B20" s="54">
        <f t="shared" si="22"/>
        <v>45459</v>
      </c>
      <c r="C20" s="51"/>
      <c r="D20" s="29"/>
      <c r="E20" s="30">
        <v>27</v>
      </c>
      <c r="F20" s="31">
        <v>100210</v>
      </c>
      <c r="G20" s="32">
        <f t="shared" si="0"/>
        <v>3374.0740740740739</v>
      </c>
      <c r="H20" s="31">
        <v>19260</v>
      </c>
      <c r="I20" s="32">
        <f t="shared" si="1"/>
        <v>648.48148148148152</v>
      </c>
      <c r="J20" s="34">
        <f t="shared" si="2"/>
        <v>119470</v>
      </c>
      <c r="K20" s="35">
        <f t="shared" si="3"/>
        <v>4424.8148148148148</v>
      </c>
      <c r="L20" s="36"/>
      <c r="M20" s="37">
        <f t="shared" si="4"/>
        <v>39</v>
      </c>
      <c r="N20" s="38">
        <f t="shared" si="4"/>
        <v>389290</v>
      </c>
      <c r="O20" s="32">
        <f t="shared" si="5"/>
        <v>9074.3589743589746</v>
      </c>
      <c r="P20" s="38">
        <f t="shared" si="6"/>
        <v>75110</v>
      </c>
      <c r="Q20" s="56">
        <f t="shared" si="7"/>
        <v>1750.7948717948718</v>
      </c>
      <c r="R20" s="39">
        <f t="shared" si="8"/>
        <v>464400</v>
      </c>
      <c r="S20" s="35">
        <f t="shared" si="9"/>
        <v>11907.692307692309</v>
      </c>
      <c r="T20" s="52">
        <f t="shared" si="10"/>
        <v>66</v>
      </c>
      <c r="U20" s="38">
        <f t="shared" si="10"/>
        <v>489500</v>
      </c>
      <c r="V20" s="38">
        <f t="shared" si="11"/>
        <v>94370</v>
      </c>
      <c r="W20" s="41">
        <f t="shared" si="12"/>
        <v>583870</v>
      </c>
      <c r="X20" s="38">
        <f t="shared" si="13"/>
        <v>8846.515151515152</v>
      </c>
      <c r="Y20" s="42"/>
      <c r="Z20" s="43">
        <v>23</v>
      </c>
      <c r="AA20" s="31">
        <v>20050</v>
      </c>
      <c r="AB20" s="32">
        <f t="shared" si="14"/>
        <v>871.73913043478262</v>
      </c>
      <c r="AC20" s="31">
        <v>2700</v>
      </c>
      <c r="AD20" s="33">
        <f t="shared" si="15"/>
        <v>117.39130434782609</v>
      </c>
      <c r="AE20" s="44">
        <f t="shared" si="16"/>
        <v>22750</v>
      </c>
      <c r="AF20" s="35">
        <f t="shared" si="17"/>
        <v>989.13043478260875</v>
      </c>
      <c r="AG20" s="52">
        <f t="shared" si="18"/>
        <v>66</v>
      </c>
      <c r="AH20" s="46">
        <f t="shared" si="19"/>
        <v>509550</v>
      </c>
      <c r="AI20" s="46">
        <f t="shared" si="20"/>
        <v>97070</v>
      </c>
      <c r="AJ20" s="45">
        <f t="shared" si="23"/>
        <v>606620</v>
      </c>
      <c r="AK20" s="38">
        <f t="shared" si="21"/>
        <v>28050</v>
      </c>
      <c r="AL20" s="46">
        <v>66</v>
      </c>
      <c r="AM20" s="46">
        <v>489500</v>
      </c>
      <c r="AN20" s="46">
        <v>94370</v>
      </c>
      <c r="AO20" s="47">
        <v>28050</v>
      </c>
      <c r="AP20" s="47"/>
      <c r="AQ20" s="47">
        <v>0</v>
      </c>
      <c r="AR20" s="47"/>
      <c r="AS20" s="48">
        <f t="shared" si="24"/>
        <v>611920</v>
      </c>
      <c r="AT20" s="26">
        <v>16</v>
      </c>
      <c r="AU20" s="49">
        <f t="shared" si="25"/>
        <v>611920</v>
      </c>
      <c r="AV20" s="49">
        <f t="shared" si="27"/>
        <v>634670</v>
      </c>
      <c r="AW20" s="206">
        <f t="shared" si="26"/>
        <v>634670</v>
      </c>
    </row>
    <row r="21" spans="1:49" ht="15.75" customHeight="1">
      <c r="A21" s="26"/>
      <c r="B21" s="144">
        <f t="shared" si="22"/>
        <v>45460</v>
      </c>
      <c r="C21" s="51" t="s">
        <v>53</v>
      </c>
      <c r="D21" s="29"/>
      <c r="E21" s="30"/>
      <c r="F21" s="31"/>
      <c r="G21" s="32" t="e">
        <f t="shared" si="0"/>
        <v>#DIV/0!</v>
      </c>
      <c r="H21" s="31"/>
      <c r="I21" s="32" t="e">
        <f t="shared" si="1"/>
        <v>#DIV/0!</v>
      </c>
      <c r="J21" s="34">
        <f t="shared" si="2"/>
        <v>0</v>
      </c>
      <c r="K21" s="35" t="str">
        <f t="shared" si="3"/>
        <v/>
      </c>
      <c r="L21" s="36"/>
      <c r="M21" s="37">
        <f t="shared" ref="M21:N35" si="28">AL21-E21</f>
        <v>33</v>
      </c>
      <c r="N21" s="38">
        <f t="shared" si="28"/>
        <v>321640</v>
      </c>
      <c r="O21" s="32">
        <f t="shared" si="5"/>
        <v>8860.6060606060601</v>
      </c>
      <c r="P21" s="38">
        <f t="shared" si="6"/>
        <v>47480</v>
      </c>
      <c r="Q21" s="56">
        <f t="shared" si="7"/>
        <v>1307.969696969697</v>
      </c>
      <c r="R21" s="39">
        <f t="shared" si="8"/>
        <v>369120</v>
      </c>
      <c r="S21" s="35">
        <f t="shared" si="9"/>
        <v>11185.454545454546</v>
      </c>
      <c r="T21" s="52">
        <f t="shared" ref="T21:U35" si="29">E21+M21</f>
        <v>33</v>
      </c>
      <c r="U21" s="38">
        <f t="shared" si="29"/>
        <v>321640</v>
      </c>
      <c r="V21" s="38">
        <f t="shared" si="11"/>
        <v>47480</v>
      </c>
      <c r="W21" s="41">
        <f t="shared" si="12"/>
        <v>369120</v>
      </c>
      <c r="X21" s="38">
        <f t="shared" si="13"/>
        <v>11185.454545454546</v>
      </c>
      <c r="Y21" s="42"/>
      <c r="Z21" s="43">
        <v>86</v>
      </c>
      <c r="AA21" s="31">
        <v>57630</v>
      </c>
      <c r="AB21" s="32">
        <f t="shared" si="14"/>
        <v>670.11627906976742</v>
      </c>
      <c r="AC21" s="31">
        <v>21150</v>
      </c>
      <c r="AD21" s="33">
        <f t="shared" si="15"/>
        <v>245.93023255813952</v>
      </c>
      <c r="AE21" s="44">
        <f t="shared" si="16"/>
        <v>78780</v>
      </c>
      <c r="AF21" s="35">
        <f t="shared" si="17"/>
        <v>916.04651162790697</v>
      </c>
      <c r="AG21" s="52">
        <f t="shared" si="18"/>
        <v>33</v>
      </c>
      <c r="AH21" s="46">
        <f t="shared" si="19"/>
        <v>379270</v>
      </c>
      <c r="AI21" s="46">
        <f t="shared" si="20"/>
        <v>68630</v>
      </c>
      <c r="AJ21" s="45">
        <f t="shared" si="23"/>
        <v>447900</v>
      </c>
      <c r="AK21" s="38">
        <f t="shared" si="21"/>
        <v>23100</v>
      </c>
      <c r="AL21" s="46">
        <v>33</v>
      </c>
      <c r="AM21" s="46">
        <v>321640</v>
      </c>
      <c r="AN21" s="46">
        <v>47480</v>
      </c>
      <c r="AO21" s="47">
        <v>23100</v>
      </c>
      <c r="AP21" s="47"/>
      <c r="AQ21" s="47">
        <v>0</v>
      </c>
      <c r="AR21" s="47"/>
      <c r="AS21" s="48">
        <f t="shared" si="24"/>
        <v>392220</v>
      </c>
      <c r="AT21" s="26">
        <v>17</v>
      </c>
      <c r="AU21" s="49">
        <f t="shared" si="25"/>
        <v>392220</v>
      </c>
      <c r="AV21" s="49">
        <f t="shared" si="27"/>
        <v>471000</v>
      </c>
      <c r="AW21" s="206">
        <f t="shared" si="26"/>
        <v>471000</v>
      </c>
    </row>
    <row r="22" spans="1:49" ht="15.75" customHeight="1">
      <c r="A22" s="26"/>
      <c r="B22" s="144">
        <f t="shared" si="22"/>
        <v>45461</v>
      </c>
      <c r="C22" s="51" t="s">
        <v>53</v>
      </c>
      <c r="D22" s="29"/>
      <c r="E22" s="30"/>
      <c r="F22" s="31"/>
      <c r="G22" s="32" t="e">
        <f t="shared" si="0"/>
        <v>#DIV/0!</v>
      </c>
      <c r="H22" s="31"/>
      <c r="I22" s="32" t="e">
        <f t="shared" si="1"/>
        <v>#DIV/0!</v>
      </c>
      <c r="J22" s="34">
        <f t="shared" si="2"/>
        <v>0</v>
      </c>
      <c r="K22" s="35" t="str">
        <f t="shared" si="3"/>
        <v/>
      </c>
      <c r="L22" s="36"/>
      <c r="M22" s="37">
        <f t="shared" si="28"/>
        <v>39</v>
      </c>
      <c r="N22" s="38">
        <f t="shared" si="28"/>
        <v>371580</v>
      </c>
      <c r="O22" s="32">
        <f t="shared" si="5"/>
        <v>8661.538461538461</v>
      </c>
      <c r="P22" s="38">
        <f t="shared" si="6"/>
        <v>57720</v>
      </c>
      <c r="Q22" s="56">
        <f t="shared" si="7"/>
        <v>1345.4358974358975</v>
      </c>
      <c r="R22" s="39">
        <f t="shared" si="8"/>
        <v>429300</v>
      </c>
      <c r="S22" s="35">
        <f t="shared" si="9"/>
        <v>11007.692307692309</v>
      </c>
      <c r="T22" s="52">
        <f t="shared" si="29"/>
        <v>39</v>
      </c>
      <c r="U22" s="38">
        <f t="shared" si="29"/>
        <v>371580</v>
      </c>
      <c r="V22" s="38">
        <f t="shared" si="11"/>
        <v>57720</v>
      </c>
      <c r="W22" s="41">
        <f t="shared" si="12"/>
        <v>429300</v>
      </c>
      <c r="X22" s="38">
        <f t="shared" si="13"/>
        <v>11007.692307692309</v>
      </c>
      <c r="Y22" s="42"/>
      <c r="Z22" s="43">
        <v>53</v>
      </c>
      <c r="AA22" s="31">
        <v>35330</v>
      </c>
      <c r="AB22" s="32">
        <f t="shared" si="14"/>
        <v>666.60377358490564</v>
      </c>
      <c r="AC22" s="31">
        <v>19100</v>
      </c>
      <c r="AD22" s="33">
        <f t="shared" si="15"/>
        <v>360.37735849056605</v>
      </c>
      <c r="AE22" s="44">
        <f t="shared" si="16"/>
        <v>54430</v>
      </c>
      <c r="AF22" s="35">
        <f t="shared" si="17"/>
        <v>1026.9811320754718</v>
      </c>
      <c r="AG22" s="52">
        <f t="shared" si="18"/>
        <v>39</v>
      </c>
      <c r="AH22" s="46">
        <f t="shared" si="19"/>
        <v>406910</v>
      </c>
      <c r="AI22" s="46">
        <f t="shared" si="20"/>
        <v>76820</v>
      </c>
      <c r="AJ22" s="45">
        <f t="shared" si="23"/>
        <v>483730</v>
      </c>
      <c r="AK22" s="38">
        <f t="shared" si="21"/>
        <v>24310</v>
      </c>
      <c r="AL22" s="46">
        <v>39</v>
      </c>
      <c r="AM22" s="46">
        <v>371580</v>
      </c>
      <c r="AN22" s="46">
        <v>57720</v>
      </c>
      <c r="AO22" s="47">
        <v>23100</v>
      </c>
      <c r="AP22" s="47">
        <v>1210</v>
      </c>
      <c r="AQ22" s="47">
        <v>0</v>
      </c>
      <c r="AR22" s="47"/>
      <c r="AS22" s="48">
        <f t="shared" si="24"/>
        <v>453610</v>
      </c>
      <c r="AT22" s="26">
        <v>18</v>
      </c>
      <c r="AU22" s="49">
        <f t="shared" si="25"/>
        <v>453610</v>
      </c>
      <c r="AV22" s="49">
        <f t="shared" si="27"/>
        <v>508040</v>
      </c>
      <c r="AW22" s="206">
        <f t="shared" si="26"/>
        <v>508040</v>
      </c>
    </row>
    <row r="23" spans="1:49" ht="15.75" customHeight="1">
      <c r="A23" s="26"/>
      <c r="B23" s="144">
        <f t="shared" si="22"/>
        <v>45462</v>
      </c>
      <c r="C23" s="51" t="s">
        <v>53</v>
      </c>
      <c r="D23" s="29"/>
      <c r="E23" s="30"/>
      <c r="F23" s="31"/>
      <c r="G23" s="32" t="e">
        <f t="shared" si="0"/>
        <v>#DIV/0!</v>
      </c>
      <c r="H23" s="31"/>
      <c r="I23" s="32" t="e">
        <f t="shared" si="1"/>
        <v>#DIV/0!</v>
      </c>
      <c r="J23" s="34">
        <f t="shared" si="2"/>
        <v>0</v>
      </c>
      <c r="K23" s="35" t="str">
        <f t="shared" si="3"/>
        <v/>
      </c>
      <c r="L23" s="36"/>
      <c r="M23" s="37">
        <f t="shared" si="28"/>
        <v>46</v>
      </c>
      <c r="N23" s="38">
        <f t="shared" si="28"/>
        <v>472560</v>
      </c>
      <c r="O23" s="32">
        <f t="shared" si="5"/>
        <v>9339.1304347826081</v>
      </c>
      <c r="P23" s="38">
        <f t="shared" si="6"/>
        <v>77780</v>
      </c>
      <c r="Q23" s="56">
        <f t="shared" si="7"/>
        <v>1537.1521739130435</v>
      </c>
      <c r="R23" s="39">
        <f t="shared" si="8"/>
        <v>550340</v>
      </c>
      <c r="S23" s="35">
        <f t="shared" si="9"/>
        <v>11963.91304347826</v>
      </c>
      <c r="T23" s="52">
        <f t="shared" si="29"/>
        <v>46</v>
      </c>
      <c r="U23" s="38">
        <f t="shared" si="29"/>
        <v>472560</v>
      </c>
      <c r="V23" s="38">
        <f t="shared" si="11"/>
        <v>77780</v>
      </c>
      <c r="W23" s="41">
        <f t="shared" si="12"/>
        <v>550340</v>
      </c>
      <c r="X23" s="38">
        <f t="shared" si="13"/>
        <v>11963.91304347826</v>
      </c>
      <c r="Y23" s="42"/>
      <c r="Z23" s="43">
        <v>124</v>
      </c>
      <c r="AA23" s="31">
        <v>92020</v>
      </c>
      <c r="AB23" s="32">
        <f t="shared" si="14"/>
        <v>742.09677419354841</v>
      </c>
      <c r="AC23" s="31">
        <v>23550</v>
      </c>
      <c r="AD23" s="33">
        <f t="shared" si="15"/>
        <v>189.91935483870967</v>
      </c>
      <c r="AE23" s="44">
        <f t="shared" si="16"/>
        <v>115570</v>
      </c>
      <c r="AF23" s="35">
        <f t="shared" si="17"/>
        <v>932.01612903225805</v>
      </c>
      <c r="AG23" s="52">
        <f t="shared" si="18"/>
        <v>46</v>
      </c>
      <c r="AH23" s="46">
        <f t="shared" si="19"/>
        <v>564580</v>
      </c>
      <c r="AI23" s="46">
        <f t="shared" si="20"/>
        <v>101330</v>
      </c>
      <c r="AJ23" s="45">
        <f t="shared" si="23"/>
        <v>665910</v>
      </c>
      <c r="AK23" s="38">
        <f t="shared" si="21"/>
        <v>23100</v>
      </c>
      <c r="AL23" s="46">
        <v>46</v>
      </c>
      <c r="AM23" s="46">
        <v>472560</v>
      </c>
      <c r="AN23" s="46">
        <v>77780</v>
      </c>
      <c r="AO23" s="47">
        <v>23100</v>
      </c>
      <c r="AP23" s="47"/>
      <c r="AQ23" s="47">
        <v>0</v>
      </c>
      <c r="AR23" s="47"/>
      <c r="AS23" s="48">
        <f t="shared" si="24"/>
        <v>573440</v>
      </c>
      <c r="AT23" s="26">
        <v>19</v>
      </c>
      <c r="AU23" s="49">
        <f t="shared" si="25"/>
        <v>573440</v>
      </c>
      <c r="AV23" s="49">
        <f t="shared" si="27"/>
        <v>689010</v>
      </c>
      <c r="AW23" s="206">
        <f t="shared" si="26"/>
        <v>689010</v>
      </c>
    </row>
    <row r="24" spans="1:49" ht="15.75" customHeight="1">
      <c r="A24" s="26"/>
      <c r="B24" s="144">
        <f t="shared" si="22"/>
        <v>45463</v>
      </c>
      <c r="C24" s="51" t="s">
        <v>53</v>
      </c>
      <c r="D24" s="29"/>
      <c r="E24" s="30"/>
      <c r="F24" s="31"/>
      <c r="G24" s="32" t="e">
        <f t="shared" si="0"/>
        <v>#DIV/0!</v>
      </c>
      <c r="H24" s="31"/>
      <c r="I24" s="32" t="e">
        <f t="shared" si="1"/>
        <v>#DIV/0!</v>
      </c>
      <c r="J24" s="34">
        <f t="shared" si="2"/>
        <v>0</v>
      </c>
      <c r="K24" s="35" t="str">
        <f t="shared" si="3"/>
        <v/>
      </c>
      <c r="L24" s="36"/>
      <c r="M24" s="37">
        <f t="shared" si="28"/>
        <v>38</v>
      </c>
      <c r="N24" s="38">
        <f t="shared" si="28"/>
        <v>384670</v>
      </c>
      <c r="O24" s="32">
        <f t="shared" si="5"/>
        <v>9202.6315789473683</v>
      </c>
      <c r="P24" s="38">
        <f t="shared" si="6"/>
        <v>101150</v>
      </c>
      <c r="Q24" s="56">
        <f t="shared" si="7"/>
        <v>2419.8421052631579</v>
      </c>
      <c r="R24" s="39">
        <f t="shared" si="8"/>
        <v>485820</v>
      </c>
      <c r="S24" s="35">
        <f t="shared" si="9"/>
        <v>12784.736842105263</v>
      </c>
      <c r="T24" s="52">
        <f t="shared" si="29"/>
        <v>38</v>
      </c>
      <c r="U24" s="38">
        <f t="shared" si="29"/>
        <v>384670</v>
      </c>
      <c r="V24" s="38">
        <f t="shared" si="11"/>
        <v>101150</v>
      </c>
      <c r="W24" s="41">
        <f t="shared" si="12"/>
        <v>485820</v>
      </c>
      <c r="X24" s="38">
        <f t="shared" si="13"/>
        <v>12784.736842105263</v>
      </c>
      <c r="Y24" s="42"/>
      <c r="Z24" s="43">
        <v>78</v>
      </c>
      <c r="AA24" s="31">
        <v>37740</v>
      </c>
      <c r="AB24" s="32">
        <f t="shared" si="14"/>
        <v>483.84615384615387</v>
      </c>
      <c r="AC24" s="31">
        <v>26300</v>
      </c>
      <c r="AD24" s="33">
        <f t="shared" si="15"/>
        <v>337.17948717948718</v>
      </c>
      <c r="AE24" s="44">
        <f t="shared" si="16"/>
        <v>64040</v>
      </c>
      <c r="AF24" s="35">
        <f t="shared" si="17"/>
        <v>821.02564102564099</v>
      </c>
      <c r="AG24" s="52">
        <f t="shared" si="18"/>
        <v>38</v>
      </c>
      <c r="AH24" s="46">
        <f t="shared" si="19"/>
        <v>422410</v>
      </c>
      <c r="AI24" s="46">
        <f t="shared" si="20"/>
        <v>127450</v>
      </c>
      <c r="AJ24" s="45">
        <f t="shared" si="23"/>
        <v>549860</v>
      </c>
      <c r="AK24" s="38">
        <f t="shared" si="21"/>
        <v>24750</v>
      </c>
      <c r="AL24" s="46">
        <v>38</v>
      </c>
      <c r="AM24" s="46">
        <v>384670</v>
      </c>
      <c r="AN24" s="46">
        <v>101150</v>
      </c>
      <c r="AO24" s="47">
        <v>24750</v>
      </c>
      <c r="AP24" s="47"/>
      <c r="AQ24" s="47">
        <v>0</v>
      </c>
      <c r="AR24" s="47"/>
      <c r="AS24" s="48">
        <f t="shared" si="24"/>
        <v>510570</v>
      </c>
      <c r="AT24" s="26">
        <v>20</v>
      </c>
      <c r="AU24" s="49">
        <f t="shared" si="25"/>
        <v>510570</v>
      </c>
      <c r="AV24" s="49">
        <f>AS24+AE24</f>
        <v>574610</v>
      </c>
      <c r="AW24" s="206">
        <f t="shared" si="26"/>
        <v>574610</v>
      </c>
    </row>
    <row r="25" spans="1:49" ht="15.75" customHeight="1">
      <c r="A25" s="26"/>
      <c r="B25" s="144">
        <f t="shared" si="22"/>
        <v>45464</v>
      </c>
      <c r="C25" s="51" t="s">
        <v>53</v>
      </c>
      <c r="D25" s="29"/>
      <c r="E25" s="30"/>
      <c r="F25" s="31"/>
      <c r="G25" s="32" t="e">
        <f t="shared" si="0"/>
        <v>#DIV/0!</v>
      </c>
      <c r="H25" s="31"/>
      <c r="I25" s="32" t="e">
        <f t="shared" si="1"/>
        <v>#DIV/0!</v>
      </c>
      <c r="J25" s="34">
        <f t="shared" si="2"/>
        <v>0</v>
      </c>
      <c r="K25" s="35" t="str">
        <f t="shared" si="3"/>
        <v/>
      </c>
      <c r="L25" s="36"/>
      <c r="M25" s="37">
        <f t="shared" si="28"/>
        <v>44</v>
      </c>
      <c r="N25" s="38">
        <f t="shared" si="28"/>
        <v>445720</v>
      </c>
      <c r="O25" s="32">
        <f t="shared" si="5"/>
        <v>9209.0909090909099</v>
      </c>
      <c r="P25" s="38">
        <f t="shared" si="6"/>
        <v>71900</v>
      </c>
      <c r="Q25" s="56">
        <f t="shared" si="7"/>
        <v>1485.5227272727273</v>
      </c>
      <c r="R25" s="39">
        <f t="shared" si="8"/>
        <v>517620</v>
      </c>
      <c r="S25" s="35">
        <f t="shared" si="9"/>
        <v>11764.09090909091</v>
      </c>
      <c r="T25" s="52">
        <f t="shared" si="29"/>
        <v>44</v>
      </c>
      <c r="U25" s="38">
        <f t="shared" si="29"/>
        <v>445720</v>
      </c>
      <c r="V25" s="38">
        <f t="shared" si="11"/>
        <v>71900</v>
      </c>
      <c r="W25" s="41">
        <f t="shared" si="12"/>
        <v>517620</v>
      </c>
      <c r="X25" s="38">
        <f t="shared" si="13"/>
        <v>11764.09090909091</v>
      </c>
      <c r="Y25" s="42"/>
      <c r="Z25" s="43">
        <v>84</v>
      </c>
      <c r="AA25" s="31">
        <v>53950</v>
      </c>
      <c r="AB25" s="32">
        <f t="shared" si="14"/>
        <v>642.26190476190482</v>
      </c>
      <c r="AC25" s="31">
        <v>20000</v>
      </c>
      <c r="AD25" s="33">
        <f t="shared" si="15"/>
        <v>238.0952380952381</v>
      </c>
      <c r="AE25" s="44">
        <f t="shared" si="16"/>
        <v>73950</v>
      </c>
      <c r="AF25" s="35">
        <f t="shared" si="17"/>
        <v>880.35714285714289</v>
      </c>
      <c r="AG25" s="52">
        <f t="shared" si="18"/>
        <v>44</v>
      </c>
      <c r="AH25" s="46">
        <f t="shared" si="19"/>
        <v>499670</v>
      </c>
      <c r="AI25" s="46">
        <f t="shared" si="20"/>
        <v>91900</v>
      </c>
      <c r="AJ25" s="45">
        <f t="shared" si="23"/>
        <v>591570</v>
      </c>
      <c r="AK25" s="38">
        <f t="shared" si="21"/>
        <v>21450</v>
      </c>
      <c r="AL25" s="46">
        <v>44</v>
      </c>
      <c r="AM25" s="46">
        <v>445720</v>
      </c>
      <c r="AN25" s="46">
        <v>71900</v>
      </c>
      <c r="AO25" s="47">
        <v>19800</v>
      </c>
      <c r="AP25" s="47">
        <v>1650</v>
      </c>
      <c r="AQ25" s="47">
        <v>0</v>
      </c>
      <c r="AR25" s="47"/>
      <c r="AS25" s="48">
        <f t="shared" si="24"/>
        <v>539070</v>
      </c>
      <c r="AT25" s="26">
        <v>21</v>
      </c>
      <c r="AU25" s="49">
        <f t="shared" si="25"/>
        <v>539070</v>
      </c>
      <c r="AV25" s="49">
        <f t="shared" si="27"/>
        <v>613020</v>
      </c>
      <c r="AW25" s="206">
        <f t="shared" si="26"/>
        <v>613020</v>
      </c>
    </row>
    <row r="26" spans="1:49" ht="15.75" customHeight="1">
      <c r="A26" s="26"/>
      <c r="B26" s="151">
        <f t="shared" si="22"/>
        <v>45465</v>
      </c>
      <c r="C26" s="51"/>
      <c r="D26" s="29"/>
      <c r="E26" s="30">
        <v>28</v>
      </c>
      <c r="F26" s="31">
        <v>105864</v>
      </c>
      <c r="G26" s="32">
        <f t="shared" si="0"/>
        <v>3437.1428571428573</v>
      </c>
      <c r="H26" s="31">
        <v>35760</v>
      </c>
      <c r="I26" s="32">
        <f t="shared" si="1"/>
        <v>1161.0357142857142</v>
      </c>
      <c r="J26" s="34">
        <f t="shared" si="2"/>
        <v>141624</v>
      </c>
      <c r="K26" s="35">
        <f t="shared" si="3"/>
        <v>5058</v>
      </c>
      <c r="L26" s="36"/>
      <c r="M26" s="37">
        <f t="shared" si="28"/>
        <v>37</v>
      </c>
      <c r="N26" s="38">
        <f t="shared" si="28"/>
        <v>369160</v>
      </c>
      <c r="O26" s="32">
        <f t="shared" si="5"/>
        <v>9070.27027027027</v>
      </c>
      <c r="P26" s="38">
        <f t="shared" si="6"/>
        <v>50530</v>
      </c>
      <c r="Q26" s="56">
        <f t="shared" si="7"/>
        <v>1241.5135135135135</v>
      </c>
      <c r="R26" s="39">
        <f t="shared" si="8"/>
        <v>419690</v>
      </c>
      <c r="S26" s="35">
        <f t="shared" si="9"/>
        <v>11342.972972972973</v>
      </c>
      <c r="T26" s="52">
        <f t="shared" si="29"/>
        <v>65</v>
      </c>
      <c r="U26" s="38">
        <f t="shared" si="29"/>
        <v>475024</v>
      </c>
      <c r="V26" s="38">
        <f t="shared" si="11"/>
        <v>86290</v>
      </c>
      <c r="W26" s="41">
        <f t="shared" si="12"/>
        <v>561314</v>
      </c>
      <c r="X26" s="38">
        <f t="shared" si="13"/>
        <v>8635.6</v>
      </c>
      <c r="Y26" s="42"/>
      <c r="Z26" s="43">
        <v>99</v>
      </c>
      <c r="AA26" s="31">
        <v>66660</v>
      </c>
      <c r="AB26" s="32">
        <f t="shared" si="14"/>
        <v>673.33333333333337</v>
      </c>
      <c r="AC26" s="31">
        <v>15650</v>
      </c>
      <c r="AD26" s="33">
        <f t="shared" si="15"/>
        <v>158.08080808080808</v>
      </c>
      <c r="AE26" s="44">
        <f t="shared" si="16"/>
        <v>82310</v>
      </c>
      <c r="AF26" s="35">
        <f t="shared" si="17"/>
        <v>831.41414141414145</v>
      </c>
      <c r="AG26" s="52">
        <f t="shared" si="18"/>
        <v>65</v>
      </c>
      <c r="AH26" s="46">
        <f t="shared" si="19"/>
        <v>541684</v>
      </c>
      <c r="AI26" s="46">
        <f t="shared" si="20"/>
        <v>101940</v>
      </c>
      <c r="AJ26" s="45">
        <f t="shared" si="23"/>
        <v>643624</v>
      </c>
      <c r="AK26" s="38">
        <f t="shared" si="21"/>
        <v>16410</v>
      </c>
      <c r="AL26" s="46">
        <v>65</v>
      </c>
      <c r="AM26" s="46">
        <v>475024</v>
      </c>
      <c r="AN26" s="46">
        <v>86290</v>
      </c>
      <c r="AO26" s="47">
        <v>14850</v>
      </c>
      <c r="AP26" s="47">
        <v>1560</v>
      </c>
      <c r="AQ26" s="47">
        <v>0</v>
      </c>
      <c r="AR26" s="47"/>
      <c r="AS26" s="48">
        <f t="shared" si="24"/>
        <v>577724</v>
      </c>
      <c r="AT26" s="26">
        <v>22</v>
      </c>
      <c r="AU26" s="49">
        <f t="shared" si="25"/>
        <v>577724</v>
      </c>
      <c r="AV26" s="49">
        <f t="shared" si="27"/>
        <v>660034</v>
      </c>
      <c r="AW26" s="206">
        <f t="shared" si="26"/>
        <v>660034</v>
      </c>
    </row>
    <row r="27" spans="1:49" ht="15.75" customHeight="1">
      <c r="A27" s="26"/>
      <c r="B27" s="54">
        <f t="shared" si="22"/>
        <v>45466</v>
      </c>
      <c r="C27" s="51"/>
      <c r="D27" s="29"/>
      <c r="E27" s="30">
        <v>34</v>
      </c>
      <c r="F27" s="31">
        <v>108130</v>
      </c>
      <c r="G27" s="32">
        <f t="shared" si="0"/>
        <v>2891.1764705882351</v>
      </c>
      <c r="H27" s="31">
        <v>8880</v>
      </c>
      <c r="I27" s="32">
        <f t="shared" si="1"/>
        <v>237.41176470588235</v>
      </c>
      <c r="J27" s="34">
        <f t="shared" si="2"/>
        <v>117010</v>
      </c>
      <c r="K27" s="35">
        <f t="shared" si="3"/>
        <v>3441.4705882352941</v>
      </c>
      <c r="L27" s="36"/>
      <c r="M27" s="37">
        <f t="shared" si="28"/>
        <v>37</v>
      </c>
      <c r="N27" s="38">
        <f t="shared" si="28"/>
        <v>372020</v>
      </c>
      <c r="O27" s="32">
        <f t="shared" si="5"/>
        <v>9140.54054054054</v>
      </c>
      <c r="P27" s="38">
        <f t="shared" si="6"/>
        <v>46440</v>
      </c>
      <c r="Q27" s="33">
        <f t="shared" si="7"/>
        <v>1141.0270270270271</v>
      </c>
      <c r="R27" s="39">
        <f t="shared" si="8"/>
        <v>418460</v>
      </c>
      <c r="S27" s="35">
        <f t="shared" si="9"/>
        <v>11309.72972972973</v>
      </c>
      <c r="T27" s="52">
        <f t="shared" si="29"/>
        <v>71</v>
      </c>
      <c r="U27" s="38">
        <f t="shared" si="29"/>
        <v>480150</v>
      </c>
      <c r="V27" s="38">
        <f t="shared" si="11"/>
        <v>55320</v>
      </c>
      <c r="W27" s="41">
        <f t="shared" si="12"/>
        <v>535470</v>
      </c>
      <c r="X27" s="38">
        <f t="shared" si="13"/>
        <v>7541.8309859154933</v>
      </c>
      <c r="Y27" s="42"/>
      <c r="Z27" s="43">
        <v>121</v>
      </c>
      <c r="AA27" s="31">
        <v>78180</v>
      </c>
      <c r="AB27" s="32">
        <f t="shared" si="14"/>
        <v>646.11570247933889</v>
      </c>
      <c r="AC27" s="31">
        <v>16340</v>
      </c>
      <c r="AD27" s="33">
        <f t="shared" si="15"/>
        <v>135.04132231404958</v>
      </c>
      <c r="AE27" s="44">
        <f t="shared" si="16"/>
        <v>94520</v>
      </c>
      <c r="AF27" s="35">
        <f t="shared" si="17"/>
        <v>781.15702479338847</v>
      </c>
      <c r="AG27" s="52">
        <f t="shared" si="18"/>
        <v>71</v>
      </c>
      <c r="AH27" s="46">
        <f t="shared" si="19"/>
        <v>558330</v>
      </c>
      <c r="AI27" s="46">
        <f t="shared" si="20"/>
        <v>71660</v>
      </c>
      <c r="AJ27" s="45">
        <f t="shared" si="23"/>
        <v>629990</v>
      </c>
      <c r="AK27" s="38">
        <f t="shared" si="21"/>
        <v>8800</v>
      </c>
      <c r="AL27" s="46">
        <v>71</v>
      </c>
      <c r="AM27" s="46">
        <v>480150</v>
      </c>
      <c r="AN27" s="46">
        <v>55320</v>
      </c>
      <c r="AO27" s="47">
        <v>8800</v>
      </c>
      <c r="AP27" s="47"/>
      <c r="AQ27" s="47">
        <v>0</v>
      </c>
      <c r="AR27" s="47"/>
      <c r="AS27" s="48">
        <f t="shared" si="24"/>
        <v>544270</v>
      </c>
      <c r="AT27" s="26">
        <v>23</v>
      </c>
      <c r="AU27" s="49">
        <f t="shared" si="25"/>
        <v>544270</v>
      </c>
      <c r="AV27" s="49">
        <f t="shared" si="27"/>
        <v>638790</v>
      </c>
      <c r="AW27" s="206">
        <f t="shared" si="26"/>
        <v>638790</v>
      </c>
    </row>
    <row r="28" spans="1:49" ht="15.75" customHeight="1">
      <c r="A28" s="26"/>
      <c r="B28" s="144">
        <f t="shared" si="22"/>
        <v>45467</v>
      </c>
      <c r="C28" s="51" t="s">
        <v>79</v>
      </c>
      <c r="D28" s="29"/>
      <c r="E28" s="30">
        <v>36</v>
      </c>
      <c r="F28" s="31">
        <v>183000</v>
      </c>
      <c r="G28" s="32">
        <f t="shared" si="0"/>
        <v>4621.1944444444443</v>
      </c>
      <c r="H28" s="31">
        <v>56050</v>
      </c>
      <c r="I28" s="32">
        <f t="shared" si="1"/>
        <v>1415.3888888888889</v>
      </c>
      <c r="J28" s="34">
        <f t="shared" si="2"/>
        <v>239050</v>
      </c>
      <c r="K28" s="35">
        <f t="shared" si="3"/>
        <v>6640.2777777777774</v>
      </c>
      <c r="L28" s="36"/>
      <c r="M28" s="37">
        <f t="shared" si="28"/>
        <v>39</v>
      </c>
      <c r="N28" s="38">
        <f t="shared" si="28"/>
        <v>441650</v>
      </c>
      <c r="O28" s="32">
        <f t="shared" si="5"/>
        <v>10294.871794871795</v>
      </c>
      <c r="P28" s="38">
        <f t="shared" si="6"/>
        <v>74700</v>
      </c>
      <c r="Q28" s="33">
        <f t="shared" si="7"/>
        <v>1741.2564102564102</v>
      </c>
      <c r="R28" s="39">
        <f t="shared" si="8"/>
        <v>516350</v>
      </c>
      <c r="S28" s="35">
        <f t="shared" si="9"/>
        <v>13239.74358974359</v>
      </c>
      <c r="T28" s="52">
        <f t="shared" si="29"/>
        <v>75</v>
      </c>
      <c r="U28" s="38">
        <f t="shared" si="29"/>
        <v>624650</v>
      </c>
      <c r="V28" s="38">
        <f t="shared" si="11"/>
        <v>130750</v>
      </c>
      <c r="W28" s="41">
        <f t="shared" si="12"/>
        <v>755400</v>
      </c>
      <c r="X28" s="38">
        <f t="shared" si="13"/>
        <v>10072</v>
      </c>
      <c r="Y28" s="42"/>
      <c r="Z28" s="43">
        <v>72</v>
      </c>
      <c r="AA28" s="31">
        <v>43870</v>
      </c>
      <c r="AB28" s="32">
        <f t="shared" si="14"/>
        <v>609.30555555555554</v>
      </c>
      <c r="AC28" s="31">
        <v>15800</v>
      </c>
      <c r="AD28" s="33">
        <f t="shared" si="15"/>
        <v>219.44444444444446</v>
      </c>
      <c r="AE28" s="44">
        <f t="shared" si="16"/>
        <v>59670</v>
      </c>
      <c r="AF28" s="35">
        <f t="shared" si="17"/>
        <v>828.75</v>
      </c>
      <c r="AG28" s="52">
        <f t="shared" si="18"/>
        <v>75</v>
      </c>
      <c r="AH28" s="46">
        <f t="shared" si="19"/>
        <v>668520</v>
      </c>
      <c r="AI28" s="46">
        <f t="shared" si="20"/>
        <v>146550</v>
      </c>
      <c r="AJ28" s="45">
        <f t="shared" si="23"/>
        <v>815070</v>
      </c>
      <c r="AK28" s="38">
        <f t="shared" si="21"/>
        <v>137250</v>
      </c>
      <c r="AL28" s="46">
        <v>75</v>
      </c>
      <c r="AM28" s="46">
        <v>624650</v>
      </c>
      <c r="AN28" s="46">
        <v>130750</v>
      </c>
      <c r="AO28" s="47">
        <v>19250</v>
      </c>
      <c r="AP28" s="47">
        <v>118000</v>
      </c>
      <c r="AQ28" s="47">
        <v>0</v>
      </c>
      <c r="AR28" s="47">
        <v>12760</v>
      </c>
      <c r="AS28" s="48">
        <f t="shared" si="24"/>
        <v>892650</v>
      </c>
      <c r="AT28" s="26">
        <v>24</v>
      </c>
      <c r="AU28" s="49">
        <f t="shared" si="25"/>
        <v>905410</v>
      </c>
      <c r="AV28" s="49">
        <f t="shared" si="27"/>
        <v>952320</v>
      </c>
      <c r="AW28" s="206">
        <f t="shared" si="26"/>
        <v>965080</v>
      </c>
    </row>
    <row r="29" spans="1:49" ht="15.75" customHeight="1">
      <c r="A29" s="26"/>
      <c r="B29" s="144">
        <f t="shared" si="22"/>
        <v>45468</v>
      </c>
      <c r="C29" s="51" t="s">
        <v>53</v>
      </c>
      <c r="D29" s="29"/>
      <c r="E29" s="30"/>
      <c r="F29" s="31"/>
      <c r="G29" s="32" t="e">
        <f t="shared" si="0"/>
        <v>#DIV/0!</v>
      </c>
      <c r="H29" s="31"/>
      <c r="I29" s="32" t="e">
        <f t="shared" si="1"/>
        <v>#DIV/0!</v>
      </c>
      <c r="J29" s="34">
        <f t="shared" si="2"/>
        <v>0</v>
      </c>
      <c r="K29" s="35" t="str">
        <f t="shared" si="3"/>
        <v/>
      </c>
      <c r="L29" s="36"/>
      <c r="M29" s="37">
        <f t="shared" si="28"/>
        <v>36</v>
      </c>
      <c r="N29" s="38">
        <f t="shared" si="28"/>
        <v>330220</v>
      </c>
      <c r="O29" s="32">
        <f t="shared" si="5"/>
        <v>8338.8888888888887</v>
      </c>
      <c r="P29" s="38">
        <f t="shared" si="6"/>
        <v>48850</v>
      </c>
      <c r="Q29" s="33">
        <f t="shared" si="7"/>
        <v>1233.5833333333333</v>
      </c>
      <c r="R29" s="39">
        <f t="shared" si="8"/>
        <v>379070</v>
      </c>
      <c r="S29" s="35">
        <f t="shared" si="9"/>
        <v>10529.722222222223</v>
      </c>
      <c r="T29" s="52">
        <f t="shared" si="29"/>
        <v>36</v>
      </c>
      <c r="U29" s="38">
        <f t="shared" si="29"/>
        <v>330220</v>
      </c>
      <c r="V29" s="38">
        <f t="shared" si="11"/>
        <v>48850</v>
      </c>
      <c r="W29" s="41">
        <f t="shared" si="12"/>
        <v>379070</v>
      </c>
      <c r="X29" s="38">
        <f t="shared" si="13"/>
        <v>10529.722222222223</v>
      </c>
      <c r="Y29" s="42"/>
      <c r="Z29" s="43">
        <v>31</v>
      </c>
      <c r="AA29" s="31">
        <v>31060</v>
      </c>
      <c r="AB29" s="32">
        <f t="shared" si="14"/>
        <v>1001.9354838709677</v>
      </c>
      <c r="AC29" s="31">
        <v>8350</v>
      </c>
      <c r="AD29" s="33">
        <f t="shared" si="15"/>
        <v>269.35483870967744</v>
      </c>
      <c r="AE29" s="44">
        <f t="shared" si="16"/>
        <v>39410</v>
      </c>
      <c r="AF29" s="35">
        <f t="shared" si="17"/>
        <v>1271.2903225806451</v>
      </c>
      <c r="AG29" s="52">
        <f t="shared" si="18"/>
        <v>36</v>
      </c>
      <c r="AH29" s="46">
        <f t="shared" si="19"/>
        <v>361280</v>
      </c>
      <c r="AI29" s="46">
        <f t="shared" si="20"/>
        <v>57200</v>
      </c>
      <c r="AJ29" s="45">
        <f t="shared" si="23"/>
        <v>418480</v>
      </c>
      <c r="AK29" s="38">
        <f t="shared" si="21"/>
        <v>9900</v>
      </c>
      <c r="AL29" s="46">
        <v>36</v>
      </c>
      <c r="AM29" s="46">
        <v>330220</v>
      </c>
      <c r="AN29" s="46">
        <v>48850</v>
      </c>
      <c r="AO29" s="47">
        <v>9900</v>
      </c>
      <c r="AP29" s="47"/>
      <c r="AQ29" s="47">
        <v>0</v>
      </c>
      <c r="AR29" s="47"/>
      <c r="AS29" s="48">
        <f t="shared" si="24"/>
        <v>388970</v>
      </c>
      <c r="AT29" s="26">
        <v>25</v>
      </c>
      <c r="AU29" s="49">
        <f t="shared" si="25"/>
        <v>388970</v>
      </c>
      <c r="AV29" s="49">
        <f t="shared" si="27"/>
        <v>428380</v>
      </c>
      <c r="AW29" s="206">
        <f t="shared" si="26"/>
        <v>428380</v>
      </c>
    </row>
    <row r="30" spans="1:49" ht="15.75" customHeight="1">
      <c r="A30" s="26"/>
      <c r="B30" s="144">
        <f t="shared" si="22"/>
        <v>45469</v>
      </c>
      <c r="C30" s="51" t="s">
        <v>53</v>
      </c>
      <c r="D30" s="29"/>
      <c r="E30" s="30"/>
      <c r="F30" s="31"/>
      <c r="G30" s="32" t="e">
        <f t="shared" si="0"/>
        <v>#DIV/0!</v>
      </c>
      <c r="H30" s="31"/>
      <c r="I30" s="32" t="e">
        <f t="shared" si="1"/>
        <v>#DIV/0!</v>
      </c>
      <c r="J30" s="34">
        <f t="shared" si="2"/>
        <v>0</v>
      </c>
      <c r="K30" s="35" t="str">
        <f t="shared" si="3"/>
        <v/>
      </c>
      <c r="L30" s="36"/>
      <c r="M30" s="37">
        <f t="shared" si="28"/>
        <v>41</v>
      </c>
      <c r="N30" s="38">
        <f t="shared" si="28"/>
        <v>343310</v>
      </c>
      <c r="O30" s="32">
        <f t="shared" si="5"/>
        <v>7612.1951219512193</v>
      </c>
      <c r="P30" s="38">
        <f t="shared" si="6"/>
        <v>55030</v>
      </c>
      <c r="Q30" s="32">
        <f t="shared" si="7"/>
        <v>1220.1707317073171</v>
      </c>
      <c r="R30" s="39">
        <f t="shared" si="8"/>
        <v>398340</v>
      </c>
      <c r="S30" s="35">
        <f t="shared" si="9"/>
        <v>9715.6097560975613</v>
      </c>
      <c r="T30" s="52">
        <f t="shared" si="29"/>
        <v>41</v>
      </c>
      <c r="U30" s="38">
        <f t="shared" si="29"/>
        <v>343310</v>
      </c>
      <c r="V30" s="38">
        <f t="shared" si="11"/>
        <v>55030</v>
      </c>
      <c r="W30" s="41">
        <f t="shared" si="12"/>
        <v>398340</v>
      </c>
      <c r="X30" s="38">
        <f t="shared" si="13"/>
        <v>9715.6097560975613</v>
      </c>
      <c r="Y30" s="42"/>
      <c r="Z30" s="43">
        <v>99</v>
      </c>
      <c r="AA30" s="31">
        <v>61370</v>
      </c>
      <c r="AB30" s="32">
        <f t="shared" si="14"/>
        <v>619.89898989898995</v>
      </c>
      <c r="AC30" s="31">
        <v>24800</v>
      </c>
      <c r="AD30" s="33">
        <f t="shared" si="15"/>
        <v>250.50505050505049</v>
      </c>
      <c r="AE30" s="44">
        <f t="shared" si="16"/>
        <v>86170</v>
      </c>
      <c r="AF30" s="35">
        <f t="shared" si="17"/>
        <v>870.40404040404042</v>
      </c>
      <c r="AG30" s="52">
        <f t="shared" si="18"/>
        <v>41</v>
      </c>
      <c r="AH30" s="46">
        <f t="shared" si="19"/>
        <v>404680</v>
      </c>
      <c r="AI30" s="46">
        <f t="shared" si="20"/>
        <v>79830</v>
      </c>
      <c r="AJ30" s="45">
        <f t="shared" si="23"/>
        <v>484510</v>
      </c>
      <c r="AK30" s="38">
        <f t="shared" si="21"/>
        <v>18150</v>
      </c>
      <c r="AL30" s="46">
        <v>41</v>
      </c>
      <c r="AM30" s="46">
        <v>343310</v>
      </c>
      <c r="AN30" s="46">
        <v>55030</v>
      </c>
      <c r="AO30" s="47">
        <v>18150</v>
      </c>
      <c r="AP30" s="47"/>
      <c r="AQ30" s="47">
        <v>0</v>
      </c>
      <c r="AR30" s="47">
        <v>0</v>
      </c>
      <c r="AS30" s="48">
        <f t="shared" si="24"/>
        <v>416490</v>
      </c>
      <c r="AT30" s="26">
        <v>26</v>
      </c>
      <c r="AU30" s="49">
        <f t="shared" si="25"/>
        <v>416490</v>
      </c>
      <c r="AV30" s="49">
        <f>AS30+AE30</f>
        <v>502660</v>
      </c>
      <c r="AW30" s="206">
        <f t="shared" si="26"/>
        <v>502660</v>
      </c>
    </row>
    <row r="31" spans="1:49" ht="15.75" customHeight="1">
      <c r="A31" s="26"/>
      <c r="B31" s="144">
        <f t="shared" si="22"/>
        <v>45470</v>
      </c>
      <c r="C31" s="51" t="s">
        <v>53</v>
      </c>
      <c r="D31" s="29"/>
      <c r="E31" s="30"/>
      <c r="F31" s="31"/>
      <c r="G31" s="32" t="e">
        <f t="shared" si="0"/>
        <v>#DIV/0!</v>
      </c>
      <c r="H31" s="31"/>
      <c r="I31" s="32" t="e">
        <f t="shared" si="1"/>
        <v>#DIV/0!</v>
      </c>
      <c r="J31" s="34">
        <f t="shared" si="2"/>
        <v>0</v>
      </c>
      <c r="K31" s="35" t="str">
        <f t="shared" si="3"/>
        <v/>
      </c>
      <c r="L31" s="36"/>
      <c r="M31" s="37">
        <f t="shared" si="28"/>
        <v>30</v>
      </c>
      <c r="N31" s="38">
        <f t="shared" si="28"/>
        <v>259380</v>
      </c>
      <c r="O31" s="32">
        <f t="shared" si="5"/>
        <v>7860</v>
      </c>
      <c r="P31" s="38">
        <f t="shared" si="6"/>
        <v>47590</v>
      </c>
      <c r="Q31" s="32">
        <f t="shared" si="7"/>
        <v>1442.1</v>
      </c>
      <c r="R31" s="39">
        <f t="shared" si="8"/>
        <v>306970</v>
      </c>
      <c r="S31" s="35">
        <f t="shared" si="9"/>
        <v>10232.333333333334</v>
      </c>
      <c r="T31" s="52">
        <f t="shared" si="29"/>
        <v>30</v>
      </c>
      <c r="U31" s="38">
        <f t="shared" si="29"/>
        <v>259380</v>
      </c>
      <c r="V31" s="38">
        <f t="shared" si="11"/>
        <v>47590</v>
      </c>
      <c r="W31" s="41">
        <f t="shared" si="12"/>
        <v>306970</v>
      </c>
      <c r="X31" s="38">
        <f t="shared" si="13"/>
        <v>10232.333333333334</v>
      </c>
      <c r="Y31" s="42"/>
      <c r="Z31" s="43">
        <v>78</v>
      </c>
      <c r="AA31" s="31">
        <v>47840</v>
      </c>
      <c r="AB31" s="32">
        <f t="shared" si="14"/>
        <v>613.33333333333337</v>
      </c>
      <c r="AC31" s="31">
        <v>16000</v>
      </c>
      <c r="AD31" s="33">
        <f t="shared" si="15"/>
        <v>205.12820512820514</v>
      </c>
      <c r="AE31" s="44">
        <f t="shared" si="16"/>
        <v>63840</v>
      </c>
      <c r="AF31" s="35">
        <f t="shared" si="17"/>
        <v>818.46153846153845</v>
      </c>
      <c r="AG31" s="52">
        <f t="shared" si="18"/>
        <v>30</v>
      </c>
      <c r="AH31" s="46">
        <f t="shared" si="19"/>
        <v>307220</v>
      </c>
      <c r="AI31" s="46">
        <f t="shared" si="20"/>
        <v>63590</v>
      </c>
      <c r="AJ31" s="45">
        <f t="shared" si="23"/>
        <v>370810</v>
      </c>
      <c r="AK31" s="38">
        <f t="shared" si="21"/>
        <v>19800</v>
      </c>
      <c r="AL31" s="46">
        <v>30</v>
      </c>
      <c r="AM31" s="46">
        <v>259380</v>
      </c>
      <c r="AN31" s="46">
        <v>47590</v>
      </c>
      <c r="AO31" s="47">
        <v>19800</v>
      </c>
      <c r="AP31" s="47"/>
      <c r="AQ31" s="47">
        <v>0</v>
      </c>
      <c r="AR31" s="47">
        <v>5500</v>
      </c>
      <c r="AS31" s="48">
        <f t="shared" si="24"/>
        <v>326770</v>
      </c>
      <c r="AT31" s="26">
        <v>27</v>
      </c>
      <c r="AU31" s="49">
        <f t="shared" si="25"/>
        <v>332270</v>
      </c>
      <c r="AV31" s="49">
        <f t="shared" si="27"/>
        <v>390610</v>
      </c>
      <c r="AW31" s="206">
        <f t="shared" si="26"/>
        <v>396110</v>
      </c>
    </row>
    <row r="32" spans="1:49" ht="15.75" customHeight="1">
      <c r="A32" s="26"/>
      <c r="B32" s="144">
        <f t="shared" si="22"/>
        <v>45471</v>
      </c>
      <c r="C32" s="51" t="s">
        <v>53</v>
      </c>
      <c r="D32" s="29"/>
      <c r="E32" s="30"/>
      <c r="F32" s="31"/>
      <c r="G32" s="32" t="e">
        <f t="shared" si="0"/>
        <v>#DIV/0!</v>
      </c>
      <c r="H32" s="31"/>
      <c r="I32" s="32" t="e">
        <f t="shared" si="1"/>
        <v>#DIV/0!</v>
      </c>
      <c r="J32" s="34">
        <f t="shared" si="2"/>
        <v>0</v>
      </c>
      <c r="K32" s="35" t="str">
        <f t="shared" si="3"/>
        <v/>
      </c>
      <c r="L32" s="36"/>
      <c r="M32" s="37">
        <f t="shared" si="28"/>
        <v>38</v>
      </c>
      <c r="N32" s="38">
        <f t="shared" si="28"/>
        <v>293700</v>
      </c>
      <c r="O32" s="32">
        <f t="shared" si="5"/>
        <v>7026.3157894736842</v>
      </c>
      <c r="P32" s="38">
        <f t="shared" si="6"/>
        <v>51210</v>
      </c>
      <c r="Q32" s="32">
        <f t="shared" si="7"/>
        <v>1225.1052631578948</v>
      </c>
      <c r="R32" s="39">
        <f t="shared" si="8"/>
        <v>344910</v>
      </c>
      <c r="S32" s="35">
        <f t="shared" si="9"/>
        <v>9076.5789473684217</v>
      </c>
      <c r="T32" s="52">
        <f t="shared" si="29"/>
        <v>38</v>
      </c>
      <c r="U32" s="38">
        <f t="shared" si="29"/>
        <v>293700</v>
      </c>
      <c r="V32" s="38">
        <f t="shared" si="11"/>
        <v>51210</v>
      </c>
      <c r="W32" s="41">
        <f t="shared" si="12"/>
        <v>344910</v>
      </c>
      <c r="X32" s="38">
        <f t="shared" si="13"/>
        <v>9076.5789473684217</v>
      </c>
      <c r="Y32" s="42"/>
      <c r="Z32" s="43">
        <v>111</v>
      </c>
      <c r="AA32" s="31">
        <v>79490</v>
      </c>
      <c r="AB32" s="32">
        <f t="shared" si="14"/>
        <v>716.12612612612611</v>
      </c>
      <c r="AC32" s="31">
        <v>20900</v>
      </c>
      <c r="AD32" s="33">
        <f t="shared" si="15"/>
        <v>188.2882882882883</v>
      </c>
      <c r="AE32" s="44">
        <f t="shared" si="16"/>
        <v>100390</v>
      </c>
      <c r="AF32" s="35">
        <f t="shared" si="17"/>
        <v>904.41441441441441</v>
      </c>
      <c r="AG32" s="52">
        <f t="shared" si="18"/>
        <v>38</v>
      </c>
      <c r="AH32" s="46">
        <f t="shared" si="19"/>
        <v>373190</v>
      </c>
      <c r="AI32" s="46">
        <f t="shared" si="20"/>
        <v>72110</v>
      </c>
      <c r="AJ32" s="45">
        <f t="shared" si="23"/>
        <v>445300</v>
      </c>
      <c r="AK32" s="38">
        <f t="shared" si="21"/>
        <v>20900</v>
      </c>
      <c r="AL32" s="46">
        <v>38</v>
      </c>
      <c r="AM32" s="46">
        <v>293700</v>
      </c>
      <c r="AN32" s="46">
        <v>51210</v>
      </c>
      <c r="AO32" s="47">
        <v>20900</v>
      </c>
      <c r="AP32" s="47"/>
      <c r="AQ32" s="47">
        <v>0</v>
      </c>
      <c r="AR32" s="47">
        <v>0</v>
      </c>
      <c r="AS32" s="48">
        <f t="shared" si="24"/>
        <v>365810</v>
      </c>
      <c r="AT32" s="26">
        <v>28</v>
      </c>
      <c r="AU32" s="49">
        <f t="shared" si="25"/>
        <v>365810</v>
      </c>
      <c r="AV32" s="49">
        <f t="shared" si="27"/>
        <v>466200</v>
      </c>
      <c r="AW32" s="206">
        <f t="shared" si="26"/>
        <v>466200</v>
      </c>
    </row>
    <row r="33" spans="1:49" ht="15.75" customHeight="1">
      <c r="A33" s="26"/>
      <c r="B33" s="151">
        <f t="shared" si="22"/>
        <v>45472</v>
      </c>
      <c r="C33" s="51"/>
      <c r="D33" s="29"/>
      <c r="E33" s="30">
        <v>26</v>
      </c>
      <c r="F33" s="31">
        <v>97790</v>
      </c>
      <c r="G33" s="32">
        <f t="shared" si="0"/>
        <v>3419.2307692307691</v>
      </c>
      <c r="H33" s="31">
        <v>8080</v>
      </c>
      <c r="I33" s="32">
        <f t="shared" si="1"/>
        <v>282.5</v>
      </c>
      <c r="J33" s="34">
        <f t="shared" si="2"/>
        <v>105870</v>
      </c>
      <c r="K33" s="35">
        <f t="shared" si="3"/>
        <v>4071.9230769230771</v>
      </c>
      <c r="L33" s="36"/>
      <c r="M33" s="37">
        <f t="shared" si="28"/>
        <v>39</v>
      </c>
      <c r="N33" s="38">
        <f t="shared" si="28"/>
        <v>310860</v>
      </c>
      <c r="O33" s="32">
        <f t="shared" si="5"/>
        <v>7246.1538461538457</v>
      </c>
      <c r="P33" s="38">
        <f t="shared" si="6"/>
        <v>60100</v>
      </c>
      <c r="Q33" s="32">
        <f t="shared" si="7"/>
        <v>1400.9230769230769</v>
      </c>
      <c r="R33" s="39">
        <f t="shared" si="8"/>
        <v>370960</v>
      </c>
      <c r="S33" s="35">
        <f t="shared" si="9"/>
        <v>9511.7948717948711</v>
      </c>
      <c r="T33" s="52">
        <f t="shared" si="29"/>
        <v>65</v>
      </c>
      <c r="U33" s="38">
        <f t="shared" si="29"/>
        <v>408650</v>
      </c>
      <c r="V33" s="38">
        <f t="shared" si="11"/>
        <v>68180</v>
      </c>
      <c r="W33" s="41">
        <f t="shared" si="12"/>
        <v>476830</v>
      </c>
      <c r="X33" s="38">
        <f t="shared" si="13"/>
        <v>7335.8461538461543</v>
      </c>
      <c r="Y33" s="42"/>
      <c r="Z33" s="43">
        <v>147</v>
      </c>
      <c r="AA33" s="31">
        <v>96600</v>
      </c>
      <c r="AB33" s="32">
        <f t="shared" si="14"/>
        <v>657.14285714285711</v>
      </c>
      <c r="AC33" s="31">
        <v>19100</v>
      </c>
      <c r="AD33" s="33">
        <f t="shared" si="15"/>
        <v>129.93197278911563</v>
      </c>
      <c r="AE33" s="44">
        <f t="shared" si="16"/>
        <v>115700</v>
      </c>
      <c r="AF33" s="35">
        <f t="shared" si="17"/>
        <v>787.07482993197277</v>
      </c>
      <c r="AG33" s="52">
        <f t="shared" si="18"/>
        <v>65</v>
      </c>
      <c r="AH33" s="46">
        <f t="shared" si="19"/>
        <v>505250</v>
      </c>
      <c r="AI33" s="46">
        <f t="shared" si="20"/>
        <v>87280</v>
      </c>
      <c r="AJ33" s="45">
        <f t="shared" si="23"/>
        <v>592530</v>
      </c>
      <c r="AK33" s="38">
        <f t="shared" si="21"/>
        <v>37400</v>
      </c>
      <c r="AL33" s="46">
        <v>65</v>
      </c>
      <c r="AM33" s="46">
        <v>408650</v>
      </c>
      <c r="AN33" s="46">
        <v>68180</v>
      </c>
      <c r="AO33" s="47">
        <v>32450</v>
      </c>
      <c r="AP33" s="47">
        <v>1650</v>
      </c>
      <c r="AQ33" s="47">
        <v>3300</v>
      </c>
      <c r="AR33" s="47">
        <v>0</v>
      </c>
      <c r="AS33" s="48">
        <f t="shared" si="24"/>
        <v>514230</v>
      </c>
      <c r="AT33" s="26">
        <v>29</v>
      </c>
      <c r="AU33" s="49">
        <f t="shared" si="25"/>
        <v>514230</v>
      </c>
      <c r="AV33" s="49">
        <f t="shared" si="27"/>
        <v>629930</v>
      </c>
      <c r="AW33" s="206">
        <f t="shared" si="26"/>
        <v>629930</v>
      </c>
    </row>
    <row r="34" spans="1:49" ht="15.75" customHeight="1">
      <c r="A34" s="26"/>
      <c r="B34" s="54">
        <f t="shared" si="22"/>
        <v>45473</v>
      </c>
      <c r="C34" s="51"/>
      <c r="D34" s="29"/>
      <c r="E34" s="30">
        <v>31</v>
      </c>
      <c r="F34" s="31">
        <v>97900</v>
      </c>
      <c r="G34" s="32">
        <f t="shared" si="0"/>
        <v>2870.9677419354839</v>
      </c>
      <c r="H34" s="31">
        <v>11450</v>
      </c>
      <c r="I34" s="32">
        <f t="shared" si="1"/>
        <v>335.77419354838707</v>
      </c>
      <c r="J34" s="34">
        <f t="shared" si="2"/>
        <v>109350</v>
      </c>
      <c r="K34" s="35">
        <f t="shared" si="3"/>
        <v>3527.4193548387098</v>
      </c>
      <c r="L34" s="36"/>
      <c r="M34" s="37">
        <f t="shared" si="28"/>
        <v>36</v>
      </c>
      <c r="N34" s="38">
        <f t="shared" si="28"/>
        <v>355930</v>
      </c>
      <c r="O34" s="32">
        <f t="shared" si="5"/>
        <v>8988.1111111111113</v>
      </c>
      <c r="P34" s="38">
        <f t="shared" si="6"/>
        <v>51290</v>
      </c>
      <c r="Q34" s="32">
        <f t="shared" si="7"/>
        <v>1295.1944444444443</v>
      </c>
      <c r="R34" s="39">
        <f t="shared" si="8"/>
        <v>407220</v>
      </c>
      <c r="S34" s="35">
        <f t="shared" si="9"/>
        <v>11311.666666666666</v>
      </c>
      <c r="T34" s="52">
        <f t="shared" si="29"/>
        <v>67</v>
      </c>
      <c r="U34" s="38">
        <f t="shared" si="29"/>
        <v>453830</v>
      </c>
      <c r="V34" s="38">
        <f t="shared" si="11"/>
        <v>62740</v>
      </c>
      <c r="W34" s="41">
        <f t="shared" si="12"/>
        <v>516570</v>
      </c>
      <c r="X34" s="38">
        <f t="shared" si="13"/>
        <v>7710</v>
      </c>
      <c r="Y34" s="57"/>
      <c r="Z34" s="58">
        <v>147</v>
      </c>
      <c r="AA34" s="59">
        <v>113940</v>
      </c>
      <c r="AB34" s="32">
        <f t="shared" si="14"/>
        <v>775.10204081632651</v>
      </c>
      <c r="AC34" s="59">
        <v>18600</v>
      </c>
      <c r="AD34" s="33">
        <f t="shared" si="15"/>
        <v>126.53061224489795</v>
      </c>
      <c r="AE34" s="44">
        <f t="shared" si="16"/>
        <v>132540</v>
      </c>
      <c r="AF34" s="35">
        <f t="shared" si="17"/>
        <v>901.63265306122446</v>
      </c>
      <c r="AG34" s="52">
        <f t="shared" si="18"/>
        <v>67</v>
      </c>
      <c r="AH34" s="46">
        <f t="shared" si="19"/>
        <v>567770</v>
      </c>
      <c r="AI34" s="46">
        <f t="shared" si="20"/>
        <v>81340</v>
      </c>
      <c r="AJ34" s="45">
        <f t="shared" si="23"/>
        <v>649110</v>
      </c>
      <c r="AK34" s="38">
        <f t="shared" si="21"/>
        <v>53950</v>
      </c>
      <c r="AL34" s="46">
        <v>67</v>
      </c>
      <c r="AM34" s="46">
        <v>453830</v>
      </c>
      <c r="AN34" s="46">
        <v>62740</v>
      </c>
      <c r="AO34" s="47">
        <v>26950</v>
      </c>
      <c r="AP34" s="47">
        <v>27000</v>
      </c>
      <c r="AQ34" s="47">
        <v>0</v>
      </c>
      <c r="AR34" s="47">
        <v>0</v>
      </c>
      <c r="AS34" s="48">
        <f t="shared" si="24"/>
        <v>570520</v>
      </c>
      <c r="AT34" s="26">
        <v>30</v>
      </c>
      <c r="AU34" s="49">
        <f t="shared" si="25"/>
        <v>570520</v>
      </c>
      <c r="AV34" s="49">
        <f t="shared" si="27"/>
        <v>703060</v>
      </c>
      <c r="AW34" s="206">
        <f t="shared" si="26"/>
        <v>703060</v>
      </c>
    </row>
    <row r="35" spans="1:49" ht="15.75" customHeight="1" thickBot="1">
      <c r="A35" s="26"/>
      <c r="B35" s="50"/>
      <c r="C35" s="51"/>
      <c r="D35" s="29"/>
      <c r="E35" s="30"/>
      <c r="F35" s="31"/>
      <c r="G35" s="32" t="e">
        <f t="shared" si="0"/>
        <v>#DIV/0!</v>
      </c>
      <c r="H35" s="31"/>
      <c r="I35" s="32" t="e">
        <f t="shared" si="1"/>
        <v>#DIV/0!</v>
      </c>
      <c r="J35" s="34">
        <f t="shared" si="2"/>
        <v>0</v>
      </c>
      <c r="K35" s="35" t="str">
        <f t="shared" si="3"/>
        <v/>
      </c>
      <c r="L35" s="36"/>
      <c r="M35" s="60">
        <f t="shared" si="28"/>
        <v>0</v>
      </c>
      <c r="N35" s="38">
        <f t="shared" si="28"/>
        <v>0</v>
      </c>
      <c r="O35" s="32" t="e">
        <f t="shared" si="5"/>
        <v>#DIV/0!</v>
      </c>
      <c r="P35" s="38">
        <f t="shared" si="6"/>
        <v>0</v>
      </c>
      <c r="Q35" s="32" t="e">
        <f t="shared" si="7"/>
        <v>#DIV/0!</v>
      </c>
      <c r="R35" s="39">
        <f t="shared" si="8"/>
        <v>0</v>
      </c>
      <c r="S35" s="35" t="e">
        <f t="shared" si="9"/>
        <v>#DIV/0!</v>
      </c>
      <c r="T35" s="61">
        <f t="shared" si="29"/>
        <v>0</v>
      </c>
      <c r="U35" s="62">
        <f t="shared" si="29"/>
        <v>0</v>
      </c>
      <c r="V35" s="62">
        <f t="shared" si="11"/>
        <v>0</v>
      </c>
      <c r="W35" s="63">
        <f t="shared" si="12"/>
        <v>0</v>
      </c>
      <c r="X35" s="62"/>
      <c r="Y35" s="64"/>
      <c r="Z35" s="65"/>
      <c r="AA35" s="66"/>
      <c r="AB35" s="67" t="e">
        <f t="shared" si="14"/>
        <v>#DIV/0!</v>
      </c>
      <c r="AC35" s="66"/>
      <c r="AD35" s="68" t="e">
        <f t="shared" si="15"/>
        <v>#DIV/0!</v>
      </c>
      <c r="AE35" s="69">
        <f t="shared" si="16"/>
        <v>0</v>
      </c>
      <c r="AF35" s="35" t="str">
        <f>IF(Z35="","",AE35/Z35)</f>
        <v/>
      </c>
      <c r="AG35" s="61">
        <f t="shared" si="18"/>
        <v>0</v>
      </c>
      <c r="AH35" s="62">
        <f t="shared" si="19"/>
        <v>0</v>
      </c>
      <c r="AI35" s="62">
        <f t="shared" si="20"/>
        <v>0</v>
      </c>
      <c r="AJ35" s="45">
        <f t="shared" si="23"/>
        <v>0</v>
      </c>
      <c r="AK35" s="38">
        <f t="shared" si="21"/>
        <v>0</v>
      </c>
      <c r="AL35" s="46"/>
      <c r="AM35" s="46"/>
      <c r="AN35" s="46"/>
      <c r="AO35" s="47"/>
      <c r="AP35" s="47"/>
      <c r="AQ35" s="47"/>
      <c r="AR35" s="47"/>
      <c r="AS35" s="48">
        <f t="shared" si="24"/>
        <v>0</v>
      </c>
      <c r="AT35" s="26">
        <v>31</v>
      </c>
      <c r="AU35" s="49">
        <f t="shared" si="25"/>
        <v>0</v>
      </c>
      <c r="AV35" s="49">
        <f t="shared" si="27"/>
        <v>0</v>
      </c>
    </row>
    <row r="36" spans="1:49" ht="15.75" customHeight="1" thickTop="1" thickBot="1">
      <c r="A36" s="70"/>
      <c r="B36" s="71" t="s">
        <v>26</v>
      </c>
      <c r="C36" s="72">
        <f>SUM(C5:C35)</f>
        <v>0</v>
      </c>
      <c r="D36" s="73">
        <f>SUM(D5:D35)</f>
        <v>0</v>
      </c>
      <c r="E36" s="74">
        <f>SUM(E5:E35)</f>
        <v>356</v>
      </c>
      <c r="F36" s="75">
        <f>SUM(F5:F35)</f>
        <v>1249336</v>
      </c>
      <c r="G36" s="76">
        <f>F36/E36</f>
        <v>3509.370786516854</v>
      </c>
      <c r="H36" s="72">
        <f>SUM(H5:H35)</f>
        <v>268910</v>
      </c>
      <c r="I36" s="77">
        <f>H36/E36</f>
        <v>755.36516853932585</v>
      </c>
      <c r="J36" s="78">
        <f>SUM(J5:J35)</f>
        <v>1518246</v>
      </c>
      <c r="K36" s="79">
        <f>J36/E36</f>
        <v>4264.7359550561796</v>
      </c>
      <c r="L36" s="80">
        <f>SUM(L5:L35)</f>
        <v>0</v>
      </c>
      <c r="M36" s="74">
        <f>SUM(M5:M35)</f>
        <v>1134</v>
      </c>
      <c r="N36" s="75">
        <f>SUM(N5:N35)</f>
        <v>10706467</v>
      </c>
      <c r="O36" s="76">
        <f>N36/M36</f>
        <v>9441.328924162257</v>
      </c>
      <c r="P36" s="81">
        <f>SUM(P5:P35)</f>
        <v>1988780</v>
      </c>
      <c r="Q36" s="77">
        <f>P36/M36</f>
        <v>1753.7742504409171</v>
      </c>
      <c r="R36" s="82">
        <f>SUM(R5:R35)</f>
        <v>12695247</v>
      </c>
      <c r="S36" s="83">
        <f>R36/M36</f>
        <v>11195.103174603175</v>
      </c>
      <c r="T36" s="74">
        <f>SUM(T5:T35)</f>
        <v>1490</v>
      </c>
      <c r="U36" s="145">
        <f>SUM(U5:U35)</f>
        <v>11955803</v>
      </c>
      <c r="V36" s="81">
        <f>SUM(V5:V35)</f>
        <v>2257690</v>
      </c>
      <c r="W36" s="146">
        <f>SUM(W5:W35)</f>
        <v>14213493</v>
      </c>
      <c r="X36" s="152">
        <f>W36/T36</f>
        <v>9539.2570469798666</v>
      </c>
      <c r="Y36" s="73">
        <f>SUM(Y5:Y35)</f>
        <v>0</v>
      </c>
      <c r="Z36" s="74">
        <f>SUM(Z5:Z35)</f>
        <v>2953</v>
      </c>
      <c r="AA36" s="75">
        <f>SUM(AA5:AA35)</f>
        <v>2038210</v>
      </c>
      <c r="AB36" s="76"/>
      <c r="AC36" s="72">
        <f>SUM(AC5:AC35)</f>
        <v>581690</v>
      </c>
      <c r="AD36" s="77"/>
      <c r="AE36" s="82">
        <f>SUM(AE5:AE35)</f>
        <v>2619900</v>
      </c>
      <c r="AF36" s="84">
        <f>AE36/Z36</f>
        <v>887.1994581781239</v>
      </c>
      <c r="AG36" s="74">
        <f t="shared" ref="AG36:AS36" si="30">SUM(AG5:AG35)</f>
        <v>1490</v>
      </c>
      <c r="AH36" s="145">
        <f t="shared" si="30"/>
        <v>13994013</v>
      </c>
      <c r="AI36" s="81">
        <f t="shared" si="30"/>
        <v>2839380</v>
      </c>
      <c r="AJ36" s="82">
        <f t="shared" si="30"/>
        <v>16833393</v>
      </c>
      <c r="AK36" s="72">
        <f t="shared" si="30"/>
        <v>842940</v>
      </c>
      <c r="AL36" s="85">
        <f t="shared" si="30"/>
        <v>1490</v>
      </c>
      <c r="AM36" s="85">
        <f t="shared" si="30"/>
        <v>11955803</v>
      </c>
      <c r="AN36" s="85">
        <f t="shared" si="30"/>
        <v>2257690</v>
      </c>
      <c r="AO36" s="85">
        <f t="shared" si="30"/>
        <v>587400</v>
      </c>
      <c r="AP36" s="85">
        <f t="shared" si="30"/>
        <v>248940</v>
      </c>
      <c r="AQ36" s="85">
        <f t="shared" si="30"/>
        <v>6600</v>
      </c>
      <c r="AR36" s="85">
        <f t="shared" si="30"/>
        <v>35860</v>
      </c>
      <c r="AS36" s="85">
        <f t="shared" si="30"/>
        <v>15056433</v>
      </c>
      <c r="AT36" s="70"/>
      <c r="AU36" s="86">
        <f>SUM(AU5:AU35)</f>
        <v>15092293</v>
      </c>
      <c r="AV36" s="96">
        <f>SUM(AV5:AV35)</f>
        <v>17693933</v>
      </c>
      <c r="AW36" s="206">
        <f>SUM(AW5:AW34)</f>
        <v>17729793</v>
      </c>
    </row>
    <row r="37" spans="1:49" ht="15.75" customHeight="1" thickTop="1">
      <c r="A37" s="70"/>
      <c r="B37" s="70"/>
      <c r="C37" s="70"/>
      <c r="D37" s="70"/>
      <c r="E37" s="87" t="s">
        <v>36</v>
      </c>
      <c r="F37" s="88">
        <f>F36/1.1</f>
        <v>1135760</v>
      </c>
      <c r="G37" s="89">
        <f>F37/E36</f>
        <v>3190.3370786516853</v>
      </c>
      <c r="H37" s="47">
        <f>H36/1.1</f>
        <v>244463.63636363635</v>
      </c>
      <c r="I37" s="89">
        <f>H37/E36</f>
        <v>686.69560776302342</v>
      </c>
      <c r="J37" s="85">
        <f>J36/1.1</f>
        <v>1380223.6363636362</v>
      </c>
      <c r="K37" s="90">
        <f>G37+I37</f>
        <v>3877.0326864147087</v>
      </c>
      <c r="L37" s="91"/>
      <c r="M37" s="87" t="s">
        <v>36</v>
      </c>
      <c r="N37" s="88">
        <f>N36/1.1</f>
        <v>9733151.8181818165</v>
      </c>
      <c r="O37" s="89">
        <f>N37/M36</f>
        <v>8583.0262946929597</v>
      </c>
      <c r="P37" s="88">
        <f>P36/1.1</f>
        <v>1807981.8181818181</v>
      </c>
      <c r="Q37" s="89">
        <f>P37/M36</f>
        <v>1594.340227673561</v>
      </c>
      <c r="R37" s="89">
        <f>R36/1.1</f>
        <v>11541133.636363635</v>
      </c>
      <c r="S37" s="147">
        <f>R37/M36</f>
        <v>10177.366522366521</v>
      </c>
      <c r="T37" s="87" t="s">
        <v>36</v>
      </c>
      <c r="U37" s="88">
        <f>U36/1.1</f>
        <v>10868911.818181816</v>
      </c>
      <c r="V37" s="88">
        <f>V36/1.1</f>
        <v>2052445.4545454544</v>
      </c>
      <c r="W37" s="148">
        <f>W36/1.1</f>
        <v>12921357.272727272</v>
      </c>
      <c r="X37" s="152">
        <f>W37/T36</f>
        <v>8672.051860890786</v>
      </c>
      <c r="Y37" s="91"/>
      <c r="Z37" s="87" t="s">
        <v>36</v>
      </c>
      <c r="AA37" s="88">
        <f>AA36/1.1</f>
        <v>1852918.1818181816</v>
      </c>
      <c r="AB37" s="47">
        <f>AA37/Z36</f>
        <v>627.46975340947563</v>
      </c>
      <c r="AC37" s="47">
        <f>AC36/1.1</f>
        <v>528809.09090909082</v>
      </c>
      <c r="AD37" s="47">
        <f>AC37/Z36</f>
        <v>179.07520857063693</v>
      </c>
      <c r="AE37" s="89">
        <f>AE36/1.1</f>
        <v>2381727.2727272725</v>
      </c>
      <c r="AF37" s="94">
        <f>AE37/Z36</f>
        <v>806.54496198011259</v>
      </c>
      <c r="AG37" s="87" t="s">
        <v>36</v>
      </c>
      <c r="AH37" s="149">
        <f>AH36/1.1</f>
        <v>12721829.999999998</v>
      </c>
      <c r="AI37" s="88">
        <f>AI36/1.1</f>
        <v>2581254.5454545454</v>
      </c>
      <c r="AJ37" s="89">
        <f>AJ36/1.1</f>
        <v>15303084.545454545</v>
      </c>
      <c r="AK37" s="95">
        <f>AK36/1.1</f>
        <v>766309.09090909082</v>
      </c>
      <c r="AL37" s="70"/>
      <c r="AM37" s="70"/>
      <c r="AN37" s="70"/>
      <c r="AO37" s="70"/>
      <c r="AP37" s="96"/>
      <c r="AQ37" s="70"/>
      <c r="AR37" s="70"/>
      <c r="AS37" s="96"/>
      <c r="AT37" s="70"/>
      <c r="AU37" s="96"/>
      <c r="AV37" s="70"/>
    </row>
    <row r="38" spans="1:49" ht="15.75" customHeight="1">
      <c r="A38" s="26"/>
      <c r="B38" s="26"/>
      <c r="C38" s="26"/>
      <c r="D38" s="26"/>
      <c r="E38" s="97" t="s">
        <v>37</v>
      </c>
      <c r="F38" s="98">
        <f>E36/G38</f>
        <v>29.666666666666668</v>
      </c>
      <c r="G38" s="99">
        <v>12</v>
      </c>
      <c r="H38" s="100" t="s">
        <v>38</v>
      </c>
      <c r="I38" s="98"/>
      <c r="J38" s="101" t="s">
        <v>39</v>
      </c>
      <c r="K38" s="102">
        <f>J37/G38</f>
        <v>115018.63636363635</v>
      </c>
      <c r="L38" s="26"/>
      <c r="M38" s="97" t="s">
        <v>37</v>
      </c>
      <c r="N38" s="98">
        <f>M36/O38</f>
        <v>39.103448275862071</v>
      </c>
      <c r="O38" s="99">
        <v>29</v>
      </c>
      <c r="P38" s="100" t="s">
        <v>38</v>
      </c>
      <c r="Q38" s="98"/>
      <c r="R38" s="101" t="s">
        <v>39</v>
      </c>
      <c r="S38" s="103">
        <f>R37/O38</f>
        <v>397970.12539184949</v>
      </c>
      <c r="T38" s="26"/>
      <c r="U38" s="26"/>
      <c r="V38" s="26"/>
      <c r="W38" s="49"/>
      <c r="X38" s="49"/>
      <c r="Y38" s="26"/>
      <c r="Z38" s="26"/>
      <c r="AA38" s="104">
        <v>30</v>
      </c>
      <c r="AB38" s="100" t="s">
        <v>38</v>
      </c>
      <c r="AC38" s="98"/>
      <c r="AD38" s="98"/>
      <c r="AE38" s="101" t="s">
        <v>39</v>
      </c>
      <c r="AF38" s="102">
        <f>AE37/AA38</f>
        <v>79390.909090909088</v>
      </c>
      <c r="AG38" s="26"/>
      <c r="AH38" s="26"/>
      <c r="AI38" s="26" t="s">
        <v>55</v>
      </c>
      <c r="AJ38" s="49"/>
      <c r="AK38" s="49">
        <f>AJ37/AL38</f>
        <v>3444.3134245902643</v>
      </c>
      <c r="AL38" s="153">
        <f>AG36+Z36</f>
        <v>4443</v>
      </c>
      <c r="AM38" s="26" t="s">
        <v>56</v>
      </c>
      <c r="AN38" s="26"/>
      <c r="AO38" s="26"/>
      <c r="AP38" s="49"/>
      <c r="AQ38" s="26"/>
      <c r="AR38" s="26"/>
      <c r="AS38" s="49"/>
      <c r="AT38" s="26"/>
      <c r="AU38" s="49"/>
      <c r="AV38" s="26"/>
    </row>
    <row r="39" spans="1:49" ht="15.75" customHeight="1">
      <c r="A39" s="26"/>
      <c r="B39" s="26"/>
      <c r="C39" s="26"/>
      <c r="D39" s="106" t="s">
        <v>40</v>
      </c>
      <c r="E39" s="107"/>
      <c r="F39" s="98"/>
      <c r="G39" s="108"/>
      <c r="H39" s="98"/>
      <c r="I39" s="98"/>
      <c r="J39" s="101"/>
      <c r="K39" s="102"/>
      <c r="L39" s="109" t="s">
        <v>41</v>
      </c>
      <c r="M39" s="97"/>
      <c r="N39" s="98"/>
      <c r="O39" s="98"/>
      <c r="P39" s="98"/>
      <c r="Q39" s="98"/>
      <c r="R39" s="101"/>
      <c r="S39" s="102"/>
      <c r="T39" s="26"/>
      <c r="U39" s="26"/>
      <c r="V39" s="26"/>
      <c r="W39" s="49"/>
      <c r="X39" s="49"/>
      <c r="Y39" s="109" t="s">
        <v>42</v>
      </c>
      <c r="Z39" s="26"/>
      <c r="AA39" s="98"/>
      <c r="AB39" s="98"/>
      <c r="AC39" s="98"/>
      <c r="AD39" s="98"/>
      <c r="AE39" s="98"/>
      <c r="AF39" s="102"/>
      <c r="AG39" s="26"/>
      <c r="AH39" s="26"/>
      <c r="AI39" s="26" t="s">
        <v>57</v>
      </c>
      <c r="AK39" s="110">
        <f>AJ37/AA38</f>
        <v>510102.81818181818</v>
      </c>
      <c r="AL39" s="26" t="s">
        <v>58</v>
      </c>
      <c r="AM39" s="26"/>
      <c r="AN39" s="26"/>
      <c r="AO39" s="26"/>
      <c r="AP39" s="49"/>
      <c r="AQ39" s="26"/>
      <c r="AR39" s="26"/>
      <c r="AS39" s="49"/>
      <c r="AT39" s="26"/>
      <c r="AU39" s="49"/>
      <c r="AV39" s="26"/>
    </row>
    <row r="40" spans="1:49" ht="21" customHeight="1">
      <c r="A40" s="26"/>
      <c r="B40" s="26"/>
      <c r="C40" s="109"/>
      <c r="D40" s="158" t="s">
        <v>80</v>
      </c>
      <c r="E40" s="159"/>
      <c r="F40" s="159"/>
      <c r="G40" s="159"/>
      <c r="H40" s="159"/>
      <c r="I40" s="159"/>
      <c r="J40" s="159"/>
      <c r="K40" s="160"/>
      <c r="L40" s="158" t="s">
        <v>81</v>
      </c>
      <c r="M40" s="159"/>
      <c r="N40" s="159"/>
      <c r="O40" s="159"/>
      <c r="P40" s="159"/>
      <c r="Q40" s="159"/>
      <c r="R40" s="159"/>
      <c r="S40" s="160"/>
      <c r="T40" s="26"/>
      <c r="U40" s="26"/>
      <c r="V40" s="26"/>
      <c r="W40" s="49"/>
      <c r="X40" s="26"/>
      <c r="Y40" s="167"/>
      <c r="Z40" s="159"/>
      <c r="AA40" s="159"/>
      <c r="AB40" s="159"/>
      <c r="AC40" s="159"/>
      <c r="AD40" s="159"/>
      <c r="AE40" s="159"/>
      <c r="AF40" s="160"/>
      <c r="AG40" s="26"/>
      <c r="AH40" s="26"/>
      <c r="AI40" s="26" t="s">
        <v>59</v>
      </c>
      <c r="AJ40" s="49">
        <f>AJ36+AK36</f>
        <v>17676333</v>
      </c>
      <c r="AK40" s="110">
        <f>AJ40/AA38</f>
        <v>589211.1</v>
      </c>
      <c r="AL40" s="26" t="s">
        <v>43</v>
      </c>
      <c r="AM40" s="26"/>
      <c r="AN40" s="26"/>
      <c r="AO40" s="26"/>
      <c r="AP40" s="26"/>
      <c r="AQ40" s="26"/>
      <c r="AR40" s="26"/>
      <c r="AS40" s="49"/>
      <c r="AT40" s="26"/>
      <c r="AU40" s="49"/>
      <c r="AV40" s="26"/>
    </row>
    <row r="41" spans="1:49" ht="21" customHeight="1">
      <c r="A41" s="26"/>
      <c r="B41" s="26"/>
      <c r="C41" s="109"/>
      <c r="D41" s="161"/>
      <c r="E41" s="162"/>
      <c r="F41" s="162"/>
      <c r="G41" s="162"/>
      <c r="H41" s="162"/>
      <c r="I41" s="162"/>
      <c r="J41" s="162"/>
      <c r="K41" s="163"/>
      <c r="L41" s="161"/>
      <c r="M41" s="162"/>
      <c r="N41" s="162"/>
      <c r="O41" s="162"/>
      <c r="P41" s="162"/>
      <c r="Q41" s="162"/>
      <c r="R41" s="162"/>
      <c r="S41" s="163"/>
      <c r="T41" s="26"/>
      <c r="U41" s="26"/>
      <c r="V41" s="26"/>
      <c r="W41" s="49"/>
      <c r="X41" s="26"/>
      <c r="Y41" s="161"/>
      <c r="Z41" s="162"/>
      <c r="AA41" s="162"/>
      <c r="AB41" s="162"/>
      <c r="AC41" s="162"/>
      <c r="AD41" s="162"/>
      <c r="AE41" s="162"/>
      <c r="AF41" s="163"/>
      <c r="AG41" s="26"/>
      <c r="AH41" s="26"/>
      <c r="AI41" s="26" t="s">
        <v>60</v>
      </c>
      <c r="AJ41" s="154">
        <f>AJ37+AK37</f>
        <v>16069393.636363637</v>
      </c>
      <c r="AK41" s="110">
        <f>AJ41/AA38</f>
        <v>535646.45454545459</v>
      </c>
      <c r="AL41" s="26" t="s">
        <v>58</v>
      </c>
      <c r="AM41" s="26"/>
      <c r="AN41" s="26"/>
      <c r="AO41" s="26"/>
      <c r="AP41" s="26"/>
      <c r="AQ41" s="26"/>
      <c r="AR41" s="26"/>
      <c r="AS41" s="49"/>
      <c r="AT41" s="26"/>
      <c r="AU41" s="49"/>
      <c r="AV41" s="26"/>
    </row>
    <row r="42" spans="1:49" ht="21" customHeight="1">
      <c r="A42" s="26"/>
      <c r="B42" s="26"/>
      <c r="C42" s="109"/>
      <c r="D42" s="161"/>
      <c r="E42" s="162"/>
      <c r="F42" s="162"/>
      <c r="G42" s="162"/>
      <c r="H42" s="162"/>
      <c r="I42" s="162"/>
      <c r="J42" s="162"/>
      <c r="K42" s="163"/>
      <c r="L42" s="161"/>
      <c r="M42" s="162"/>
      <c r="N42" s="162"/>
      <c r="O42" s="162"/>
      <c r="P42" s="162"/>
      <c r="Q42" s="162"/>
      <c r="R42" s="162"/>
      <c r="S42" s="163"/>
      <c r="T42" s="26"/>
      <c r="U42" s="26"/>
      <c r="V42" s="26"/>
      <c r="W42" s="49"/>
      <c r="X42" s="26"/>
      <c r="Y42" s="161"/>
      <c r="Z42" s="162"/>
      <c r="AA42" s="162"/>
      <c r="AB42" s="162"/>
      <c r="AC42" s="162"/>
      <c r="AD42" s="162"/>
      <c r="AE42" s="162"/>
      <c r="AF42" s="163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9"/>
      <c r="AT42" s="26"/>
      <c r="AU42" s="49"/>
      <c r="AV42" s="26"/>
    </row>
    <row r="43" spans="1:49" ht="21" customHeight="1">
      <c r="A43" s="26"/>
      <c r="B43" s="26"/>
      <c r="C43" s="109"/>
      <c r="D43" s="161"/>
      <c r="E43" s="162"/>
      <c r="F43" s="162"/>
      <c r="G43" s="162"/>
      <c r="H43" s="162"/>
      <c r="I43" s="162"/>
      <c r="J43" s="162"/>
      <c r="K43" s="163"/>
      <c r="L43" s="161"/>
      <c r="M43" s="162"/>
      <c r="N43" s="162"/>
      <c r="O43" s="162"/>
      <c r="P43" s="162"/>
      <c r="Q43" s="162"/>
      <c r="R43" s="162"/>
      <c r="S43" s="163"/>
      <c r="T43" s="26"/>
      <c r="U43" s="26"/>
      <c r="V43" s="26"/>
      <c r="W43" s="26"/>
      <c r="X43" s="26"/>
      <c r="Y43" s="161"/>
      <c r="Z43" s="162"/>
      <c r="AA43" s="162"/>
      <c r="AB43" s="162"/>
      <c r="AC43" s="162"/>
      <c r="AD43" s="162"/>
      <c r="AE43" s="162"/>
      <c r="AF43" s="163"/>
      <c r="AG43" s="26"/>
      <c r="AH43" s="26"/>
      <c r="AI43" s="26"/>
      <c r="AJ43" s="49">
        <f>AJ37+AK37</f>
        <v>16069393.636363637</v>
      </c>
      <c r="AK43" s="112" t="s">
        <v>45</v>
      </c>
      <c r="AL43" s="26"/>
      <c r="AM43" s="26"/>
      <c r="AN43" s="26"/>
      <c r="AO43" s="26"/>
      <c r="AP43" s="26"/>
      <c r="AQ43" s="26"/>
      <c r="AR43" s="26"/>
      <c r="AS43" s="49"/>
      <c r="AT43" s="26"/>
      <c r="AU43" s="49"/>
      <c r="AV43" s="26"/>
    </row>
    <row r="44" spans="1:49" ht="21" customHeight="1">
      <c r="A44" s="26"/>
      <c r="B44" s="26"/>
      <c r="C44" s="109"/>
      <c r="D44" s="164"/>
      <c r="E44" s="165"/>
      <c r="F44" s="165"/>
      <c r="G44" s="165"/>
      <c r="H44" s="165"/>
      <c r="I44" s="165"/>
      <c r="J44" s="165"/>
      <c r="K44" s="166"/>
      <c r="L44" s="164"/>
      <c r="M44" s="165"/>
      <c r="N44" s="165"/>
      <c r="O44" s="165"/>
      <c r="P44" s="165"/>
      <c r="Q44" s="165"/>
      <c r="R44" s="165"/>
      <c r="S44" s="166"/>
      <c r="T44" s="26"/>
      <c r="U44" s="26"/>
      <c r="V44" s="26"/>
      <c r="W44" s="26"/>
      <c r="X44" s="26"/>
      <c r="Y44" s="164"/>
      <c r="Z44" s="165"/>
      <c r="AA44" s="165"/>
      <c r="AB44" s="165"/>
      <c r="AC44" s="165"/>
      <c r="AD44" s="165"/>
      <c r="AE44" s="165"/>
      <c r="AF44" s="166"/>
      <c r="AG44" s="26"/>
      <c r="AH44" s="113"/>
      <c r="AI44" s="114" t="s">
        <v>46</v>
      </c>
      <c r="AJ44" s="115">
        <f>J45+R45+AE45+AK44</f>
        <v>13083390</v>
      </c>
      <c r="AK44" s="116">
        <f>550000+274790</f>
        <v>824790</v>
      </c>
      <c r="AL44" s="113"/>
      <c r="AM44" s="26"/>
      <c r="AN44" s="26"/>
      <c r="AO44" s="26"/>
      <c r="AP44" s="26"/>
      <c r="AQ44" s="26"/>
      <c r="AR44" s="26"/>
      <c r="AS44" s="49"/>
      <c r="AT44" s="26"/>
      <c r="AU44" s="49"/>
      <c r="AV44" s="26"/>
    </row>
    <row r="45" spans="1:49" ht="21" customHeight="1">
      <c r="A45" s="26"/>
      <c r="B45" s="26"/>
      <c r="C45" s="26"/>
      <c r="D45" s="26"/>
      <c r="E45" s="26"/>
      <c r="F45" s="26"/>
      <c r="G45" s="26"/>
      <c r="H45" s="117"/>
      <c r="I45" s="118" t="s">
        <v>47</v>
      </c>
      <c r="J45" s="115">
        <v>1098000</v>
      </c>
      <c r="K45" s="119" t="s">
        <v>48</v>
      </c>
      <c r="L45" s="113"/>
      <c r="M45" s="113"/>
      <c r="N45" s="113"/>
      <c r="O45" s="113"/>
      <c r="P45" s="113"/>
      <c r="Q45" s="118" t="s">
        <v>49</v>
      </c>
      <c r="R45" s="115">
        <v>9251600</v>
      </c>
      <c r="S45" s="119" t="s">
        <v>48</v>
      </c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7" t="s">
        <v>50</v>
      </c>
      <c r="AE45" s="115">
        <v>1909000</v>
      </c>
      <c r="AF45" s="119" t="s">
        <v>48</v>
      </c>
      <c r="AG45" s="113"/>
      <c r="AH45" s="113"/>
      <c r="AI45" s="114" t="s">
        <v>51</v>
      </c>
      <c r="AJ45" s="115">
        <f>AJ44-AJ37-AK37</f>
        <v>-2986003.6363636358</v>
      </c>
      <c r="AK45" s="115">
        <f>AK44-AK37</f>
        <v>58480.909090909176</v>
      </c>
      <c r="AL45" s="120">
        <f>AK37/AK44</f>
        <v>0.92909600129619763</v>
      </c>
      <c r="AM45" s="26"/>
      <c r="AN45" s="26"/>
      <c r="AO45" s="26"/>
      <c r="AP45" s="26"/>
      <c r="AQ45" s="49"/>
      <c r="AR45" s="26"/>
      <c r="AS45" s="49"/>
      <c r="AT45" s="26"/>
      <c r="AU45" s="26"/>
      <c r="AV45" s="26"/>
    </row>
    <row r="46" spans="1:49" ht="21" customHeight="1">
      <c r="A46" s="26"/>
      <c r="B46" s="26"/>
      <c r="C46" s="26"/>
      <c r="D46" s="26"/>
      <c r="E46" s="26"/>
      <c r="F46" s="26"/>
      <c r="G46" s="26"/>
      <c r="H46" s="117"/>
      <c r="I46" s="117" t="s">
        <v>51</v>
      </c>
      <c r="J46" s="115">
        <f>J45-J37</f>
        <v>-282223.63636363624</v>
      </c>
      <c r="K46" s="121">
        <v>1</v>
      </c>
      <c r="L46" s="113"/>
      <c r="M46" s="113"/>
      <c r="N46" s="113"/>
      <c r="O46" s="113"/>
      <c r="P46" s="113"/>
      <c r="Q46" s="117" t="s">
        <v>51</v>
      </c>
      <c r="R46" s="115">
        <f>R45-R37</f>
        <v>-2289533.6363636348</v>
      </c>
      <c r="S46" s="113">
        <v>1</v>
      </c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7" t="s">
        <v>51</v>
      </c>
      <c r="AE46" s="115">
        <f>AE45-AE37</f>
        <v>-472727.27272727247</v>
      </c>
      <c r="AF46" s="113">
        <f>S46</f>
        <v>1</v>
      </c>
      <c r="AG46" s="113"/>
      <c r="AH46" s="122"/>
      <c r="AI46" s="123" t="s">
        <v>52</v>
      </c>
      <c r="AJ46" s="124">
        <f>AJ45/S46</f>
        <v>-2986003.6363636358</v>
      </c>
      <c r="AK46" s="125">
        <f>(AJ37+AK37)/AJ44</f>
        <v>1.2282285887956896</v>
      </c>
      <c r="AL46" s="122"/>
      <c r="AM46" s="126"/>
      <c r="AN46" s="26"/>
      <c r="AO46" s="26"/>
      <c r="AP46" s="26"/>
      <c r="AQ46" s="49"/>
      <c r="AR46" s="26"/>
      <c r="AS46" s="49"/>
      <c r="AT46" s="26"/>
      <c r="AU46" s="26"/>
      <c r="AV46" s="26"/>
    </row>
    <row r="47" spans="1:49" ht="25.5" customHeight="1">
      <c r="A47" s="126"/>
      <c r="B47" s="126"/>
      <c r="C47" s="126"/>
      <c r="D47" s="126"/>
      <c r="E47" s="126"/>
      <c r="F47" s="126"/>
      <c r="G47" s="126"/>
      <c r="H47" s="127"/>
      <c r="I47" s="123" t="s">
        <v>52</v>
      </c>
      <c r="J47" s="128">
        <f>J46/K46</f>
        <v>-282223.63636363624</v>
      </c>
      <c r="K47" s="129">
        <f>J37/J45</f>
        <v>1.2570342771982115</v>
      </c>
      <c r="L47" s="122"/>
      <c r="M47" s="122"/>
      <c r="N47" s="122"/>
      <c r="O47" s="122"/>
      <c r="P47" s="122"/>
      <c r="Q47" s="123" t="s">
        <v>52</v>
      </c>
      <c r="R47" s="124">
        <f>R46/S46</f>
        <v>-2289533.6363636348</v>
      </c>
      <c r="S47" s="129">
        <f>R37/R45</f>
        <v>1.2474743435042193</v>
      </c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3" t="s">
        <v>52</v>
      </c>
      <c r="AE47" s="128">
        <f>AE46/AF46</f>
        <v>-472727.27272727247</v>
      </c>
      <c r="AF47" s="129">
        <f>AE37/AE45</f>
        <v>1.2476308395637887</v>
      </c>
      <c r="AG47" s="122"/>
      <c r="AH47" s="26"/>
      <c r="AI47" s="26"/>
      <c r="AJ47" s="49"/>
      <c r="AK47" s="26"/>
      <c r="AL47" s="26"/>
      <c r="AM47" s="26"/>
      <c r="AN47" s="126"/>
      <c r="AO47" s="126"/>
      <c r="AP47" s="126"/>
      <c r="AQ47" s="130"/>
      <c r="AR47" s="126"/>
      <c r="AS47" s="130"/>
      <c r="AT47" s="126"/>
      <c r="AU47" s="126"/>
      <c r="AV47" s="126"/>
    </row>
    <row r="48" spans="1:49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31"/>
      <c r="AI48" s="131"/>
      <c r="AJ48" s="131"/>
      <c r="AK48" s="131"/>
      <c r="AL48" s="131"/>
      <c r="AM48" s="131"/>
      <c r="AN48" s="26"/>
      <c r="AO48" s="26"/>
      <c r="AP48" s="26"/>
      <c r="AQ48" s="49"/>
      <c r="AR48" s="26"/>
      <c r="AS48" s="49"/>
      <c r="AT48" s="26"/>
      <c r="AU48" s="26"/>
      <c r="AV48" s="26"/>
    </row>
    <row r="49" spans="1:48" ht="36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2"/>
      <c r="M49" s="26"/>
      <c r="N49" s="26"/>
      <c r="O49" s="26"/>
      <c r="P49" s="26"/>
      <c r="Q49" s="26"/>
      <c r="R49" s="132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"/>
      <c r="AI49" s="1"/>
      <c r="AJ49" s="1"/>
      <c r="AK49" s="1"/>
      <c r="AL49" s="1"/>
      <c r="AM49" s="1"/>
      <c r="AN49" s="131"/>
      <c r="AO49" s="131"/>
      <c r="AP49" s="131"/>
      <c r="AQ49" s="133"/>
      <c r="AR49" s="131"/>
      <c r="AS49" s="133"/>
      <c r="AT49" s="131"/>
      <c r="AU49" s="131"/>
      <c r="AV49" s="131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34"/>
      <c r="M50" s="26"/>
      <c r="N50" s="26"/>
      <c r="O50" s="26"/>
      <c r="P50" s="26"/>
      <c r="Q50" s="26"/>
      <c r="R50" s="134"/>
      <c r="S50" s="134"/>
      <c r="T50" s="1"/>
      <c r="U50" s="1"/>
      <c r="V50" s="1"/>
      <c r="W50" s="1"/>
      <c r="X50" s="1"/>
      <c r="Y50" s="1"/>
      <c r="Z50" s="135"/>
      <c r="AA50" s="1"/>
      <c r="AB50" s="1"/>
      <c r="AC50" s="1"/>
      <c r="AD50" s="1"/>
      <c r="AE50" s="1"/>
      <c r="AF50" s="1"/>
      <c r="AG50" s="1"/>
      <c r="AH50" s="131"/>
      <c r="AI50" s="131"/>
      <c r="AJ50" s="131"/>
      <c r="AK50" s="131"/>
      <c r="AL50" s="131"/>
      <c r="AM50" s="131"/>
      <c r="AN50" s="1"/>
      <c r="AO50" s="1"/>
      <c r="AP50" s="1"/>
      <c r="AQ50" s="136"/>
      <c r="AR50" s="1"/>
      <c r="AS50" s="136"/>
      <c r="AT50" s="1"/>
      <c r="AU50" s="1"/>
      <c r="AV50" s="1"/>
    </row>
    <row r="51" spans="1:48" ht="36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"/>
      <c r="L51" s="134"/>
      <c r="M51" s="26"/>
      <c r="N51" s="26"/>
      <c r="O51" s="26"/>
      <c r="P51" s="26"/>
      <c r="Q51" s="26"/>
      <c r="R51" s="137"/>
      <c r="S51" s="138"/>
      <c r="T51" s="138"/>
      <c r="U51" s="138"/>
      <c r="V51" s="138"/>
      <c r="W51" s="139"/>
      <c r="X51" s="140"/>
      <c r="Y51" s="141"/>
      <c r="Z51" s="142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3"/>
      <c r="AR51" s="131"/>
      <c r="AS51" s="133"/>
      <c r="AT51" s="131"/>
      <c r="AU51" s="131"/>
      <c r="AV51" s="131"/>
    </row>
    <row r="52" spans="1:48" ht="36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"/>
      <c r="L52" s="134"/>
      <c r="M52" s="26"/>
      <c r="N52" s="26"/>
      <c r="O52" s="26"/>
      <c r="P52" s="26"/>
      <c r="Q52" s="26"/>
      <c r="R52" s="139"/>
      <c r="S52" s="138"/>
      <c r="T52" s="138"/>
      <c r="U52" s="138"/>
      <c r="V52" s="138"/>
      <c r="W52" s="139"/>
      <c r="X52" s="140"/>
      <c r="Y52" s="141"/>
      <c r="Z52" s="142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3"/>
      <c r="AR52" s="131"/>
      <c r="AS52" s="133"/>
      <c r="AT52" s="131"/>
      <c r="AU52" s="131"/>
      <c r="AV52" s="131"/>
    </row>
    <row r="53" spans="1:48" ht="36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"/>
      <c r="L53" s="134"/>
      <c r="M53" s="26"/>
      <c r="N53" s="26"/>
      <c r="O53" s="26"/>
      <c r="P53" s="26"/>
      <c r="Q53" s="26"/>
      <c r="R53" s="139"/>
      <c r="S53" s="138"/>
      <c r="T53" s="138"/>
      <c r="U53" s="138"/>
      <c r="V53" s="138"/>
      <c r="W53" s="139"/>
      <c r="X53" s="140"/>
      <c r="Y53" s="141"/>
      <c r="Z53" s="142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3"/>
      <c r="AR53" s="131"/>
      <c r="AS53" s="133"/>
      <c r="AT53" s="131"/>
      <c r="AU53" s="131"/>
      <c r="AV53" s="131"/>
    </row>
    <row r="54" spans="1:48" ht="36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"/>
      <c r="L54" s="134"/>
      <c r="M54" s="26"/>
      <c r="N54" s="26"/>
      <c r="O54" s="26"/>
      <c r="P54" s="26"/>
      <c r="Q54" s="26"/>
      <c r="R54" s="139"/>
      <c r="S54" s="138"/>
      <c r="T54" s="138"/>
      <c r="U54" s="138"/>
      <c r="V54" s="138"/>
      <c r="W54" s="139"/>
      <c r="X54" s="140"/>
      <c r="Y54" s="141"/>
      <c r="Z54" s="142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3"/>
      <c r="AR54" s="131"/>
      <c r="AS54" s="133"/>
      <c r="AT54" s="131"/>
      <c r="AU54" s="131"/>
      <c r="AV54" s="131"/>
    </row>
    <row r="55" spans="1:48" ht="36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2"/>
      <c r="M55" s="26"/>
      <c r="N55" s="26"/>
      <c r="O55" s="26"/>
      <c r="P55" s="26"/>
      <c r="Q55" s="26"/>
      <c r="R55" s="139"/>
      <c r="S55" s="138"/>
      <c r="T55" s="138"/>
      <c r="U55" s="138"/>
      <c r="V55" s="138"/>
      <c r="W55" s="140"/>
      <c r="X55" s="140"/>
      <c r="Y55" s="141"/>
      <c r="Z55" s="142"/>
      <c r="AA55" s="131"/>
      <c r="AB55" s="131"/>
      <c r="AC55" s="131"/>
      <c r="AD55" s="131"/>
      <c r="AE55" s="131"/>
      <c r="AF55" s="131"/>
      <c r="AG55" s="131"/>
      <c r="AH55" s="26"/>
      <c r="AI55" s="26"/>
      <c r="AJ55" s="26"/>
      <c r="AK55" s="26"/>
      <c r="AL55" s="26"/>
      <c r="AM55" s="26"/>
      <c r="AN55" s="131"/>
      <c r="AO55" s="131"/>
      <c r="AP55" s="131"/>
      <c r="AQ55" s="133"/>
      <c r="AR55" s="131"/>
      <c r="AS55" s="133"/>
      <c r="AT55" s="131"/>
      <c r="AU55" s="131"/>
      <c r="AV55" s="131"/>
    </row>
    <row r="56" spans="1:48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41"/>
      <c r="Z56" s="141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9"/>
      <c r="AT56" s="26"/>
      <c r="AU56" s="49"/>
      <c r="AV56" s="26"/>
    </row>
    <row r="57" spans="1:48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31"/>
      <c r="Z57" s="131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9"/>
      <c r="AT57" s="26"/>
      <c r="AU57" s="49"/>
      <c r="AV57" s="26"/>
    </row>
    <row r="58" spans="1:4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9"/>
      <c r="AT58" s="26"/>
      <c r="AU58" s="49"/>
      <c r="AV58" s="26"/>
    </row>
    <row r="59" spans="1:48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9"/>
      <c r="AT59" s="26"/>
      <c r="AU59" s="49"/>
      <c r="AV59" s="26"/>
    </row>
    <row r="60" spans="1:48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9"/>
      <c r="AT60" s="26"/>
      <c r="AU60" s="49"/>
      <c r="AV60" s="26"/>
    </row>
    <row r="61" spans="1:48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9"/>
      <c r="AT61" s="26"/>
      <c r="AU61" s="49"/>
      <c r="AV61" s="26"/>
    </row>
    <row r="62" spans="1:48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9"/>
      <c r="AT62" s="26"/>
      <c r="AU62" s="49"/>
      <c r="AV62" s="26"/>
    </row>
    <row r="63" spans="1:48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9"/>
      <c r="AT63" s="26"/>
      <c r="AU63" s="49"/>
      <c r="AV63" s="26"/>
    </row>
    <row r="64" spans="1:48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9"/>
      <c r="AT64" s="26"/>
      <c r="AU64" s="49"/>
      <c r="AV64" s="26"/>
    </row>
    <row r="65" spans="1:48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9"/>
      <c r="AT65" s="26"/>
      <c r="AU65" s="49"/>
      <c r="AV65" s="26"/>
    </row>
    <row r="66" spans="1:48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9"/>
      <c r="AT66" s="26"/>
      <c r="AU66" s="49"/>
      <c r="AV66" s="26"/>
    </row>
    <row r="67" spans="1:48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9"/>
      <c r="AT67" s="26"/>
      <c r="AU67" s="49"/>
      <c r="AV67" s="26"/>
    </row>
    <row r="68" spans="1:4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9"/>
      <c r="AT68" s="26"/>
      <c r="AU68" s="49"/>
      <c r="AV68" s="26"/>
    </row>
    <row r="69" spans="1:48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9"/>
      <c r="AT69" s="26"/>
      <c r="AU69" s="49"/>
      <c r="AV69" s="26"/>
    </row>
    <row r="70" spans="1:48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9"/>
      <c r="AT70" s="26"/>
      <c r="AU70" s="49"/>
      <c r="AV70" s="26"/>
    </row>
    <row r="71" spans="1:48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9"/>
      <c r="AT71" s="26"/>
      <c r="AU71" s="49"/>
      <c r="AV71" s="26"/>
    </row>
    <row r="72" spans="1:48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9"/>
      <c r="AT72" s="26"/>
      <c r="AU72" s="49"/>
      <c r="AV72" s="26"/>
    </row>
    <row r="73" spans="1:48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9"/>
      <c r="AT73" s="26"/>
      <c r="AU73" s="49"/>
      <c r="AV73" s="26"/>
    </row>
    <row r="74" spans="1:48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9"/>
      <c r="AT74" s="26"/>
      <c r="AU74" s="49"/>
      <c r="AV74" s="26"/>
    </row>
    <row r="75" spans="1:48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9"/>
      <c r="AT75" s="26"/>
      <c r="AU75" s="49"/>
      <c r="AV75" s="26"/>
    </row>
    <row r="76" spans="1:48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9"/>
      <c r="AT76" s="26"/>
      <c r="AU76" s="49"/>
      <c r="AV76" s="26"/>
    </row>
    <row r="77" spans="1:48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9"/>
      <c r="AT77" s="26"/>
      <c r="AU77" s="49"/>
      <c r="AV77" s="26"/>
    </row>
    <row r="78" spans="1:4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9"/>
      <c r="AT78" s="26"/>
      <c r="AU78" s="49"/>
      <c r="AV78" s="26"/>
    </row>
    <row r="79" spans="1:48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9"/>
      <c r="AT79" s="26"/>
      <c r="AU79" s="49"/>
      <c r="AV79" s="26"/>
    </row>
    <row r="80" spans="1:48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9"/>
      <c r="AT80" s="26"/>
      <c r="AU80" s="49"/>
      <c r="AV80" s="26"/>
    </row>
    <row r="81" spans="1:48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9"/>
      <c r="AT81" s="26"/>
      <c r="AU81" s="49"/>
      <c r="AV81" s="26"/>
    </row>
    <row r="82" spans="1:48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9"/>
      <c r="AT82" s="26"/>
      <c r="AU82" s="49"/>
      <c r="AV82" s="26"/>
    </row>
    <row r="83" spans="1:48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9"/>
      <c r="AT83" s="26"/>
      <c r="AU83" s="49"/>
      <c r="AV83" s="26"/>
    </row>
    <row r="84" spans="1:48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9"/>
      <c r="AT84" s="26"/>
      <c r="AU84" s="49"/>
      <c r="AV84" s="26"/>
    </row>
    <row r="85" spans="1:48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9"/>
      <c r="AT85" s="26"/>
      <c r="AU85" s="49"/>
      <c r="AV85" s="26"/>
    </row>
    <row r="86" spans="1:48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9"/>
      <c r="AT86" s="26"/>
      <c r="AU86" s="49"/>
      <c r="AV86" s="26"/>
    </row>
    <row r="87" spans="1:48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9"/>
      <c r="AT87" s="26"/>
      <c r="AU87" s="49"/>
      <c r="AV87" s="26"/>
    </row>
    <row r="88" spans="1:4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9"/>
      <c r="AT88" s="26"/>
      <c r="AU88" s="49"/>
      <c r="AV88" s="26"/>
    </row>
    <row r="89" spans="1:48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9"/>
      <c r="AT89" s="26"/>
      <c r="AU89" s="49"/>
      <c r="AV89" s="26"/>
    </row>
    <row r="90" spans="1:48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9"/>
      <c r="AT90" s="26"/>
      <c r="AU90" s="49"/>
      <c r="AV90" s="26"/>
    </row>
    <row r="91" spans="1:48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9"/>
      <c r="AT91" s="26"/>
      <c r="AU91" s="49"/>
      <c r="AV91" s="26"/>
    </row>
    <row r="92" spans="1:48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9"/>
      <c r="AT92" s="26"/>
      <c r="AU92" s="49"/>
      <c r="AV92" s="26"/>
    </row>
    <row r="93" spans="1:48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9"/>
      <c r="AT93" s="26"/>
      <c r="AU93" s="49"/>
      <c r="AV93" s="26"/>
    </row>
    <row r="94" spans="1:48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9"/>
      <c r="AT94" s="26"/>
      <c r="AU94" s="49"/>
      <c r="AV94" s="26"/>
    </row>
    <row r="95" spans="1:48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9"/>
      <c r="AT95" s="26"/>
      <c r="AU95" s="49"/>
      <c r="AV95" s="26"/>
    </row>
    <row r="96" spans="1:48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9"/>
      <c r="AT96" s="26"/>
      <c r="AU96" s="49"/>
      <c r="AV96" s="26"/>
    </row>
    <row r="97" spans="1:48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9"/>
      <c r="AT97" s="26"/>
      <c r="AU97" s="49"/>
      <c r="AV97" s="26"/>
    </row>
    <row r="98" spans="1:4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9"/>
      <c r="AT98" s="26"/>
      <c r="AU98" s="49"/>
      <c r="AV98" s="26"/>
    </row>
    <row r="99" spans="1:48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9"/>
      <c r="AT99" s="26"/>
      <c r="AU99" s="49"/>
      <c r="AV99" s="26"/>
    </row>
    <row r="100" spans="1:48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9"/>
      <c r="AT100" s="26"/>
      <c r="AU100" s="49"/>
      <c r="AV100" s="26"/>
    </row>
    <row r="101" spans="1:48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9"/>
      <c r="AT101" s="26"/>
      <c r="AU101" s="49"/>
      <c r="AV101" s="26"/>
    </row>
    <row r="102" spans="1:48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9"/>
      <c r="AT102" s="26"/>
      <c r="AU102" s="49"/>
      <c r="AV102" s="26"/>
    </row>
    <row r="103" spans="1:48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9"/>
      <c r="AT103" s="26"/>
      <c r="AU103" s="49"/>
      <c r="AV103" s="26"/>
    </row>
    <row r="104" spans="1:48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9"/>
      <c r="AT104" s="26"/>
      <c r="AU104" s="49"/>
      <c r="AV104" s="26"/>
    </row>
    <row r="105" spans="1:48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9"/>
      <c r="AT105" s="26"/>
      <c r="AU105" s="49"/>
      <c r="AV105" s="26"/>
    </row>
    <row r="106" spans="1:48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9"/>
      <c r="AT106" s="26"/>
      <c r="AU106" s="49"/>
      <c r="AV106" s="26"/>
    </row>
    <row r="107" spans="1:48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9"/>
      <c r="AT107" s="26"/>
      <c r="AU107" s="49"/>
      <c r="AV107" s="26"/>
    </row>
    <row r="108" spans="1:4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9"/>
      <c r="AT108" s="26"/>
      <c r="AU108" s="49"/>
      <c r="AV108" s="26"/>
    </row>
    <row r="109" spans="1:48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9"/>
      <c r="AT109" s="26"/>
      <c r="AU109" s="49"/>
      <c r="AV109" s="26"/>
    </row>
    <row r="110" spans="1:48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9"/>
      <c r="AT110" s="26"/>
      <c r="AU110" s="49"/>
      <c r="AV110" s="26"/>
    </row>
    <row r="111" spans="1:48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9"/>
      <c r="AT111" s="26"/>
      <c r="AU111" s="49"/>
      <c r="AV111" s="26"/>
    </row>
    <row r="112" spans="1:48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9"/>
      <c r="AT112" s="26"/>
      <c r="AU112" s="49"/>
      <c r="AV112" s="26"/>
    </row>
    <row r="113" spans="1:48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9"/>
      <c r="AT113" s="26"/>
      <c r="AU113" s="49"/>
      <c r="AV113" s="26"/>
    </row>
    <row r="114" spans="1:48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9"/>
      <c r="AT114" s="26"/>
      <c r="AU114" s="49"/>
      <c r="AV114" s="26"/>
    </row>
    <row r="115" spans="1:48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9"/>
      <c r="AT115" s="26"/>
      <c r="AU115" s="49"/>
      <c r="AV115" s="26"/>
    </row>
    <row r="116" spans="1:48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9"/>
      <c r="AT116" s="26"/>
      <c r="AU116" s="49"/>
      <c r="AV116" s="26"/>
    </row>
    <row r="117" spans="1:48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9"/>
      <c r="AT117" s="26"/>
      <c r="AU117" s="49"/>
      <c r="AV117" s="26"/>
    </row>
    <row r="118" spans="1:4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9"/>
      <c r="AT118" s="26"/>
      <c r="AU118" s="49"/>
      <c r="AV118" s="26"/>
    </row>
    <row r="119" spans="1:48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9"/>
      <c r="AT119" s="26"/>
      <c r="AU119" s="49"/>
      <c r="AV119" s="26"/>
    </row>
    <row r="120" spans="1:48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9"/>
      <c r="AT120" s="26"/>
      <c r="AU120" s="49"/>
      <c r="AV120" s="26"/>
    </row>
    <row r="121" spans="1:48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9"/>
      <c r="AT121" s="26"/>
      <c r="AU121" s="49"/>
      <c r="AV121" s="26"/>
    </row>
    <row r="122" spans="1:48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9"/>
      <c r="AT122" s="26"/>
      <c r="AU122" s="49"/>
      <c r="AV122" s="26"/>
    </row>
    <row r="123" spans="1:48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9"/>
      <c r="AT123" s="26"/>
      <c r="AU123" s="49"/>
      <c r="AV123" s="26"/>
    </row>
    <row r="124" spans="1:48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9"/>
      <c r="AT124" s="26"/>
      <c r="AU124" s="49"/>
      <c r="AV124" s="26"/>
    </row>
    <row r="125" spans="1:48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9"/>
      <c r="AT125" s="26"/>
      <c r="AU125" s="49"/>
      <c r="AV125" s="26"/>
    </row>
    <row r="126" spans="1:48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9"/>
      <c r="AT126" s="26"/>
      <c r="AU126" s="49"/>
      <c r="AV126" s="26"/>
    </row>
    <row r="127" spans="1:48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9"/>
      <c r="AT127" s="26"/>
      <c r="AU127" s="49"/>
      <c r="AV127" s="26"/>
    </row>
    <row r="128" spans="1:4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9"/>
      <c r="AT128" s="26"/>
      <c r="AU128" s="49"/>
      <c r="AV128" s="26"/>
    </row>
    <row r="129" spans="1:48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9"/>
      <c r="AT129" s="26"/>
      <c r="AU129" s="49"/>
      <c r="AV129" s="26"/>
    </row>
    <row r="130" spans="1:48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9"/>
      <c r="AT130" s="26"/>
      <c r="AU130" s="49"/>
      <c r="AV130" s="26"/>
    </row>
    <row r="131" spans="1:48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9"/>
      <c r="AT131" s="26"/>
      <c r="AU131" s="49"/>
      <c r="AV131" s="26"/>
    </row>
    <row r="132" spans="1:48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9"/>
      <c r="AT132" s="26"/>
      <c r="AU132" s="49"/>
      <c r="AV132" s="26"/>
    </row>
    <row r="133" spans="1:48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9"/>
      <c r="AT133" s="26"/>
      <c r="AU133" s="49"/>
      <c r="AV133" s="26"/>
    </row>
    <row r="134" spans="1:48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9"/>
      <c r="AT134" s="26"/>
      <c r="AU134" s="49"/>
      <c r="AV134" s="26"/>
    </row>
    <row r="135" spans="1:48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9"/>
      <c r="AT135" s="26"/>
      <c r="AU135" s="49"/>
      <c r="AV135" s="26"/>
    </row>
    <row r="136" spans="1:48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9"/>
      <c r="AT136" s="26"/>
      <c r="AU136" s="49"/>
      <c r="AV136" s="26"/>
    </row>
    <row r="137" spans="1:48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9"/>
      <c r="AT137" s="26"/>
      <c r="AU137" s="49"/>
      <c r="AV137" s="26"/>
    </row>
    <row r="138" spans="1:4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9"/>
      <c r="AT138" s="26"/>
      <c r="AU138" s="49"/>
      <c r="AV138" s="26"/>
    </row>
    <row r="139" spans="1:48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9"/>
      <c r="AT139" s="26"/>
      <c r="AU139" s="49"/>
      <c r="AV139" s="26"/>
    </row>
    <row r="140" spans="1:48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9"/>
      <c r="AT140" s="26"/>
      <c r="AU140" s="49"/>
      <c r="AV140" s="26"/>
    </row>
    <row r="141" spans="1:48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9"/>
      <c r="AT141" s="26"/>
      <c r="AU141" s="49"/>
      <c r="AV141" s="26"/>
    </row>
    <row r="142" spans="1:48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9"/>
      <c r="AT142" s="26"/>
      <c r="AU142" s="49"/>
      <c r="AV142" s="26"/>
    </row>
    <row r="143" spans="1:48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9"/>
      <c r="AT143" s="26"/>
      <c r="AU143" s="49"/>
      <c r="AV143" s="26"/>
    </row>
    <row r="144" spans="1:48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9"/>
      <c r="AT144" s="26"/>
      <c r="AU144" s="49"/>
      <c r="AV144" s="26"/>
    </row>
    <row r="145" spans="1:48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9"/>
      <c r="AT145" s="26"/>
      <c r="AU145" s="49"/>
      <c r="AV145" s="26"/>
    </row>
    <row r="146" spans="1:48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9"/>
      <c r="AT146" s="26"/>
      <c r="AU146" s="49"/>
      <c r="AV146" s="26"/>
    </row>
    <row r="147" spans="1:48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9"/>
      <c r="AT147" s="26"/>
      <c r="AU147" s="49"/>
      <c r="AV147" s="26"/>
    </row>
    <row r="148" spans="1: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9"/>
      <c r="AT148" s="26"/>
      <c r="AU148" s="49"/>
      <c r="AV148" s="26"/>
    </row>
    <row r="149" spans="1:48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9"/>
      <c r="AT149" s="26"/>
      <c r="AU149" s="49"/>
      <c r="AV149" s="26"/>
    </row>
    <row r="150" spans="1:48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9"/>
      <c r="AT150" s="26"/>
      <c r="AU150" s="49"/>
      <c r="AV150" s="26"/>
    </row>
    <row r="151" spans="1:48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9"/>
      <c r="AT151" s="26"/>
      <c r="AU151" s="49"/>
      <c r="AV151" s="26"/>
    </row>
    <row r="152" spans="1:48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9"/>
      <c r="AT152" s="26"/>
      <c r="AU152" s="49"/>
      <c r="AV152" s="26"/>
    </row>
    <row r="153" spans="1:48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9"/>
      <c r="AT153" s="26"/>
      <c r="AU153" s="49"/>
      <c r="AV153" s="26"/>
    </row>
    <row r="154" spans="1:48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9"/>
      <c r="AT154" s="26"/>
      <c r="AU154" s="49"/>
      <c r="AV154" s="26"/>
    </row>
    <row r="155" spans="1:48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9"/>
      <c r="AT155" s="26"/>
      <c r="AU155" s="49"/>
      <c r="AV155" s="26"/>
    </row>
    <row r="156" spans="1:48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9"/>
      <c r="AT156" s="26"/>
      <c r="AU156" s="49"/>
      <c r="AV156" s="26"/>
    </row>
    <row r="157" spans="1:48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9"/>
      <c r="AT157" s="26"/>
      <c r="AU157" s="49"/>
      <c r="AV157" s="26"/>
    </row>
    <row r="158" spans="1:4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9"/>
      <c r="AT158" s="26"/>
      <c r="AU158" s="49"/>
      <c r="AV158" s="26"/>
    </row>
    <row r="159" spans="1:48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9"/>
      <c r="AT159" s="26"/>
      <c r="AU159" s="49"/>
      <c r="AV159" s="26"/>
    </row>
    <row r="160" spans="1:48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9"/>
      <c r="AT160" s="26"/>
      <c r="AU160" s="49"/>
      <c r="AV160" s="26"/>
    </row>
    <row r="161" spans="1:48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9"/>
      <c r="AT161" s="26"/>
      <c r="AU161" s="49"/>
      <c r="AV161" s="26"/>
    </row>
    <row r="162" spans="1:48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9"/>
      <c r="AT162" s="26"/>
      <c r="AU162" s="49"/>
      <c r="AV162" s="26"/>
    </row>
    <row r="163" spans="1:48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9"/>
      <c r="AT163" s="26"/>
      <c r="AU163" s="49"/>
      <c r="AV163" s="26"/>
    </row>
    <row r="164" spans="1:48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9"/>
      <c r="AT164" s="26"/>
      <c r="AU164" s="49"/>
      <c r="AV164" s="26"/>
    </row>
    <row r="165" spans="1:48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9"/>
      <c r="AT165" s="26"/>
      <c r="AU165" s="49"/>
      <c r="AV165" s="26"/>
    </row>
    <row r="166" spans="1:48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9"/>
      <c r="AT166" s="26"/>
      <c r="AU166" s="49"/>
      <c r="AV166" s="26"/>
    </row>
    <row r="167" spans="1:48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9"/>
      <c r="AT167" s="26"/>
      <c r="AU167" s="49"/>
      <c r="AV167" s="26"/>
    </row>
    <row r="168" spans="1:4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9"/>
      <c r="AT168" s="26"/>
      <c r="AU168" s="49"/>
      <c r="AV168" s="26"/>
    </row>
    <row r="169" spans="1:48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9"/>
      <c r="AT169" s="26"/>
      <c r="AU169" s="49"/>
      <c r="AV169" s="26"/>
    </row>
    <row r="170" spans="1:48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9"/>
      <c r="AT170" s="26"/>
      <c r="AU170" s="49"/>
      <c r="AV170" s="26"/>
    </row>
    <row r="171" spans="1:48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9"/>
      <c r="AT171" s="26"/>
      <c r="AU171" s="49"/>
      <c r="AV171" s="26"/>
    </row>
    <row r="172" spans="1:48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9"/>
      <c r="AT172" s="26"/>
      <c r="AU172" s="49"/>
      <c r="AV172" s="26"/>
    </row>
    <row r="173" spans="1:48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9"/>
      <c r="AT173" s="26"/>
      <c r="AU173" s="49"/>
      <c r="AV173" s="26"/>
    </row>
    <row r="174" spans="1:48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9"/>
      <c r="AT174" s="26"/>
      <c r="AU174" s="49"/>
      <c r="AV174" s="26"/>
    </row>
    <row r="175" spans="1:48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9"/>
      <c r="AT175" s="26"/>
      <c r="AU175" s="49"/>
      <c r="AV175" s="26"/>
    </row>
    <row r="176" spans="1:48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9"/>
      <c r="AT176" s="26"/>
      <c r="AU176" s="49"/>
      <c r="AV176" s="26"/>
    </row>
    <row r="177" spans="1:48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9"/>
      <c r="AT177" s="26"/>
      <c r="AU177" s="49"/>
      <c r="AV177" s="26"/>
    </row>
    <row r="178" spans="1:4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9"/>
      <c r="AT178" s="26"/>
      <c r="AU178" s="49"/>
      <c r="AV178" s="26"/>
    </row>
    <row r="179" spans="1:48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9"/>
      <c r="AT179" s="26"/>
      <c r="AU179" s="49"/>
      <c r="AV179" s="26"/>
    </row>
    <row r="180" spans="1:48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9"/>
      <c r="AT180" s="26"/>
      <c r="AU180" s="49"/>
      <c r="AV180" s="26"/>
    </row>
    <row r="181" spans="1:48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9"/>
      <c r="AT181" s="26"/>
      <c r="AU181" s="49"/>
      <c r="AV181" s="26"/>
    </row>
    <row r="182" spans="1:48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9"/>
      <c r="AT182" s="26"/>
      <c r="AU182" s="49"/>
      <c r="AV182" s="26"/>
    </row>
    <row r="183" spans="1:48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9"/>
      <c r="AT183" s="26"/>
      <c r="AU183" s="49"/>
      <c r="AV183" s="26"/>
    </row>
    <row r="184" spans="1:48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9"/>
      <c r="AT184" s="26"/>
      <c r="AU184" s="49"/>
      <c r="AV184" s="26"/>
    </row>
    <row r="185" spans="1:48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9"/>
      <c r="AT185" s="26"/>
      <c r="AU185" s="49"/>
      <c r="AV185" s="26"/>
    </row>
    <row r="186" spans="1:48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9"/>
      <c r="AT186" s="26"/>
      <c r="AU186" s="49"/>
      <c r="AV186" s="26"/>
    </row>
    <row r="187" spans="1:48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9"/>
      <c r="AT187" s="26"/>
      <c r="AU187" s="49"/>
      <c r="AV187" s="26"/>
    </row>
    <row r="188" spans="1:4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9"/>
      <c r="AT188" s="26"/>
      <c r="AU188" s="49"/>
      <c r="AV188" s="26"/>
    </row>
    <row r="189" spans="1:48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9"/>
      <c r="AT189" s="26"/>
      <c r="AU189" s="49"/>
      <c r="AV189" s="26"/>
    </row>
    <row r="190" spans="1:48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9"/>
      <c r="AT190" s="26"/>
      <c r="AU190" s="49"/>
      <c r="AV190" s="26"/>
    </row>
    <row r="191" spans="1:48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9"/>
      <c r="AT191" s="26"/>
      <c r="AU191" s="49"/>
      <c r="AV191" s="26"/>
    </row>
    <row r="192" spans="1:48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9"/>
      <c r="AT192" s="26"/>
      <c r="AU192" s="49"/>
      <c r="AV192" s="26"/>
    </row>
    <row r="193" spans="1:48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9"/>
      <c r="AT193" s="26"/>
      <c r="AU193" s="49"/>
      <c r="AV193" s="26"/>
    </row>
    <row r="194" spans="1:48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9"/>
      <c r="AT194" s="26"/>
      <c r="AU194" s="49"/>
      <c r="AV194" s="26"/>
    </row>
    <row r="195" spans="1:48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9"/>
      <c r="AT195" s="26"/>
      <c r="AU195" s="49"/>
      <c r="AV195" s="26"/>
    </row>
    <row r="196" spans="1:48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9"/>
      <c r="AT196" s="26"/>
      <c r="AU196" s="49"/>
      <c r="AV196" s="26"/>
    </row>
    <row r="197" spans="1:48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9"/>
      <c r="AT197" s="26"/>
      <c r="AU197" s="49"/>
      <c r="AV197" s="26"/>
    </row>
    <row r="198" spans="1:4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9"/>
      <c r="AT198" s="26"/>
      <c r="AU198" s="49"/>
      <c r="AV198" s="26"/>
    </row>
    <row r="199" spans="1:48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9"/>
      <c r="AT199" s="26"/>
      <c r="AU199" s="49"/>
      <c r="AV199" s="26"/>
    </row>
    <row r="200" spans="1:48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9"/>
      <c r="AT200" s="26"/>
      <c r="AU200" s="49"/>
      <c r="AV200" s="26"/>
    </row>
    <row r="201" spans="1:48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9"/>
      <c r="AT201" s="26"/>
      <c r="AU201" s="49"/>
      <c r="AV201" s="26"/>
    </row>
    <row r="202" spans="1:48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9"/>
      <c r="AT202" s="26"/>
      <c r="AU202" s="49"/>
      <c r="AV202" s="26"/>
    </row>
    <row r="203" spans="1:48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9"/>
      <c r="AT203" s="26"/>
      <c r="AU203" s="49"/>
      <c r="AV203" s="26"/>
    </row>
    <row r="204" spans="1:48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9"/>
      <c r="AT204" s="26"/>
      <c r="AU204" s="49"/>
      <c r="AV204" s="26"/>
    </row>
    <row r="205" spans="1:48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9"/>
      <c r="AT205" s="26"/>
      <c r="AU205" s="49"/>
      <c r="AV205" s="26"/>
    </row>
    <row r="206" spans="1:48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9"/>
      <c r="AT206" s="26"/>
      <c r="AU206" s="49"/>
      <c r="AV206" s="26"/>
    </row>
    <row r="207" spans="1:48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9"/>
      <c r="AT207" s="26"/>
      <c r="AU207" s="49"/>
      <c r="AV207" s="26"/>
    </row>
    <row r="208" spans="1:4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9"/>
      <c r="AT208" s="26"/>
      <c r="AU208" s="49"/>
      <c r="AV208" s="26"/>
    </row>
    <row r="209" spans="1:48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9"/>
      <c r="AT209" s="26"/>
      <c r="AU209" s="49"/>
      <c r="AV209" s="26"/>
    </row>
    <row r="210" spans="1:48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9"/>
      <c r="AT210" s="26"/>
      <c r="AU210" s="49"/>
      <c r="AV210" s="26"/>
    </row>
    <row r="211" spans="1:48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9"/>
      <c r="AT211" s="26"/>
      <c r="AU211" s="49"/>
      <c r="AV211" s="26"/>
    </row>
    <row r="212" spans="1:48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9"/>
      <c r="AT212" s="26"/>
      <c r="AU212" s="49"/>
      <c r="AV212" s="26"/>
    </row>
    <row r="213" spans="1:48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9"/>
      <c r="AT213" s="26"/>
      <c r="AU213" s="49"/>
      <c r="AV213" s="26"/>
    </row>
    <row r="214" spans="1:48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9"/>
      <c r="AT214" s="26"/>
      <c r="AU214" s="49"/>
      <c r="AV214" s="26"/>
    </row>
    <row r="215" spans="1:48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9"/>
      <c r="AT215" s="26"/>
      <c r="AU215" s="49"/>
      <c r="AV215" s="26"/>
    </row>
    <row r="216" spans="1:48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9"/>
      <c r="AT216" s="26"/>
      <c r="AU216" s="49"/>
      <c r="AV216" s="26"/>
    </row>
    <row r="217" spans="1:48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9"/>
      <c r="AT217" s="26"/>
      <c r="AU217" s="49"/>
      <c r="AV217" s="26"/>
    </row>
    <row r="218" spans="1:4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9"/>
      <c r="AT218" s="26"/>
      <c r="AU218" s="49"/>
      <c r="AV218" s="26"/>
    </row>
    <row r="219" spans="1:48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9"/>
      <c r="AT219" s="26"/>
      <c r="AU219" s="49"/>
      <c r="AV219" s="26"/>
    </row>
    <row r="220" spans="1:48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9"/>
      <c r="AT220" s="26"/>
      <c r="AU220" s="49"/>
      <c r="AV220" s="26"/>
    </row>
    <row r="221" spans="1:48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9"/>
      <c r="AT221" s="26"/>
      <c r="AU221" s="49"/>
      <c r="AV221" s="26"/>
    </row>
    <row r="222" spans="1:48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9"/>
      <c r="AT222" s="26"/>
      <c r="AU222" s="49"/>
      <c r="AV222" s="26"/>
    </row>
    <row r="223" spans="1:48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9"/>
      <c r="AT223" s="26"/>
      <c r="AU223" s="49"/>
      <c r="AV223" s="26"/>
    </row>
    <row r="224" spans="1:48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9"/>
      <c r="AT224" s="26"/>
      <c r="AU224" s="49"/>
      <c r="AV224" s="26"/>
    </row>
    <row r="225" spans="1:48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9"/>
      <c r="AT225" s="26"/>
      <c r="AU225" s="49"/>
      <c r="AV225" s="26"/>
    </row>
    <row r="226" spans="1:48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9"/>
      <c r="AT226" s="26"/>
      <c r="AU226" s="49"/>
      <c r="AV226" s="26"/>
    </row>
    <row r="227" spans="1:48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9"/>
      <c r="AT227" s="26"/>
      <c r="AU227" s="49"/>
      <c r="AV227" s="26"/>
    </row>
    <row r="228" spans="1:4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9"/>
      <c r="AT228" s="26"/>
      <c r="AU228" s="49"/>
      <c r="AV228" s="26"/>
    </row>
    <row r="229" spans="1:48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9"/>
      <c r="AT229" s="26"/>
      <c r="AU229" s="49"/>
      <c r="AV229" s="26"/>
    </row>
    <row r="230" spans="1:48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9"/>
      <c r="AT230" s="26"/>
      <c r="AU230" s="49"/>
      <c r="AV230" s="26"/>
    </row>
    <row r="231" spans="1:48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9"/>
      <c r="AT231" s="26"/>
      <c r="AU231" s="49"/>
      <c r="AV231" s="26"/>
    </row>
    <row r="232" spans="1:48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9"/>
      <c r="AT232" s="26"/>
      <c r="AU232" s="49"/>
      <c r="AV232" s="26"/>
    </row>
    <row r="233" spans="1:48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9"/>
      <c r="AT233" s="26"/>
      <c r="AU233" s="49"/>
      <c r="AV233" s="26"/>
    </row>
    <row r="234" spans="1:48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9"/>
      <c r="AT234" s="26"/>
      <c r="AU234" s="49"/>
      <c r="AV234" s="26"/>
    </row>
    <row r="235" spans="1:48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9"/>
      <c r="AT235" s="26"/>
      <c r="AU235" s="49"/>
      <c r="AV235" s="26"/>
    </row>
    <row r="236" spans="1:48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9"/>
      <c r="AT236" s="26"/>
      <c r="AU236" s="49"/>
      <c r="AV236" s="26"/>
    </row>
    <row r="237" spans="1:48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9"/>
      <c r="AT237" s="26"/>
      <c r="AU237" s="49"/>
      <c r="AV237" s="26"/>
    </row>
    <row r="238" spans="1:4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9"/>
      <c r="AT238" s="26"/>
      <c r="AU238" s="49"/>
      <c r="AV238" s="26"/>
    </row>
    <row r="239" spans="1:48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9"/>
      <c r="AT239" s="26"/>
      <c r="AU239" s="49"/>
      <c r="AV239" s="26"/>
    </row>
    <row r="240" spans="1:48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9"/>
      <c r="AT240" s="26"/>
      <c r="AU240" s="49"/>
      <c r="AV240" s="26"/>
    </row>
    <row r="241" spans="1:48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9"/>
      <c r="AT241" s="26"/>
      <c r="AU241" s="49"/>
      <c r="AV241" s="26"/>
    </row>
    <row r="242" spans="1:48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9"/>
      <c r="AT242" s="26"/>
      <c r="AU242" s="49"/>
      <c r="AV242" s="26"/>
    </row>
    <row r="243" spans="1:48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9"/>
      <c r="AT243" s="26"/>
      <c r="AU243" s="49"/>
      <c r="AV243" s="26"/>
    </row>
    <row r="244" spans="1:48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9"/>
      <c r="AT244" s="26"/>
      <c r="AU244" s="49"/>
      <c r="AV244" s="26"/>
    </row>
    <row r="245" spans="1:48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9"/>
      <c r="AT245" s="26"/>
      <c r="AU245" s="49"/>
      <c r="AV245" s="26"/>
    </row>
    <row r="246" spans="1:48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9"/>
      <c r="AT246" s="26"/>
      <c r="AU246" s="49"/>
      <c r="AV246" s="26"/>
    </row>
    <row r="247" spans="1:48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9"/>
      <c r="AT247" s="26"/>
      <c r="AU247" s="49"/>
      <c r="AV247" s="2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２０２4.04</vt:lpstr>
      <vt:lpstr>2024.05</vt:lpstr>
      <vt:lpstr>2024.06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2026-02-11T10:40:45Z</dcterms:modified>
</cp:coreProperties>
</file>