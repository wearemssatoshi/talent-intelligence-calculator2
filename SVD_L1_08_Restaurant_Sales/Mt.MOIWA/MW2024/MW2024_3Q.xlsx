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oroshinkoukousha77/Desktop/MW/"/>
    </mc:Choice>
  </mc:AlternateContent>
  <xr:revisionPtr revIDLastSave="0" documentId="8_{FC708C5B-3A7A-B04B-9344-1A01FB5A85B1}" xr6:coauthVersionLast="47" xr6:coauthVersionMax="47" xr10:uidLastSave="{00000000-0000-0000-0000-000000000000}"/>
  <bookViews>
    <workbookView xWindow="0" yWindow="660" windowWidth="30240" windowHeight="18980" activeTab="2" xr2:uid="{7F9D5D59-A1FC-3B48-93F3-6D616DF54B86}"/>
  </bookViews>
  <sheets>
    <sheet name="２０２4.10" sheetId="1" r:id="rId1"/>
    <sheet name="2024.11" sheetId="2" r:id="rId2"/>
    <sheet name="2024.1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6" i="3" l="1"/>
  <c r="T46" i="3"/>
  <c r="AL44" i="3"/>
  <c r="AK44" i="3"/>
  <c r="G37" i="3"/>
  <c r="H37" i="3" s="1"/>
  <c r="AT36" i="3"/>
  <c r="AS36" i="3"/>
  <c r="AR36" i="3"/>
  <c r="AQ36" i="3"/>
  <c r="AP36" i="3"/>
  <c r="AO36" i="3"/>
  <c r="AN36" i="3"/>
  <c r="AM36" i="3"/>
  <c r="AM37" i="3" s="1"/>
  <c r="AD36" i="3"/>
  <c r="AD37" i="3" s="1"/>
  <c r="AE37" i="3" s="1"/>
  <c r="AB36" i="3"/>
  <c r="AB37" i="3" s="1"/>
  <c r="AA36" i="3"/>
  <c r="Z36" i="3"/>
  <c r="M36" i="3"/>
  <c r="I36" i="3"/>
  <c r="G36" i="3"/>
  <c r="F36" i="3"/>
  <c r="G38" i="3" s="1"/>
  <c r="E36" i="3"/>
  <c r="C36" i="3"/>
  <c r="AU35" i="3"/>
  <c r="AW35" i="3" s="1"/>
  <c r="AL35" i="3"/>
  <c r="AJ35" i="3"/>
  <c r="AI35" i="3"/>
  <c r="AH35" i="3"/>
  <c r="AG35" i="3"/>
  <c r="AF35" i="3"/>
  <c r="AE35" i="3"/>
  <c r="AC35" i="3"/>
  <c r="W35" i="3"/>
  <c r="V35" i="3"/>
  <c r="U35" i="3"/>
  <c r="S35" i="3"/>
  <c r="T35" i="3" s="1"/>
  <c r="R35" i="3"/>
  <c r="Q35" i="3"/>
  <c r="O35" i="3"/>
  <c r="P35" i="3" s="1"/>
  <c r="N35" i="3"/>
  <c r="L35" i="3"/>
  <c r="K35" i="3"/>
  <c r="X35" i="3" s="1"/>
  <c r="AK35" i="3" s="1"/>
  <c r="J35" i="3"/>
  <c r="H35" i="3"/>
  <c r="AW34" i="3"/>
  <c r="AU34" i="3"/>
  <c r="AL34" i="3"/>
  <c r="AI34" i="3"/>
  <c r="AH34" i="3"/>
  <c r="AF34" i="3"/>
  <c r="AG34" i="3" s="1"/>
  <c r="AE34" i="3"/>
  <c r="AC34" i="3"/>
  <c r="V34" i="3"/>
  <c r="U34" i="3"/>
  <c r="Q34" i="3"/>
  <c r="P34" i="3"/>
  <c r="O34" i="3"/>
  <c r="N34" i="3"/>
  <c r="L34" i="3"/>
  <c r="K34" i="3"/>
  <c r="J34" i="3"/>
  <c r="H34" i="3"/>
  <c r="AU33" i="3"/>
  <c r="AW33" i="3" s="1"/>
  <c r="AL33" i="3"/>
  <c r="AF33" i="3"/>
  <c r="AG33" i="3" s="1"/>
  <c r="AE33" i="3"/>
  <c r="AC33" i="3"/>
  <c r="Q33" i="3"/>
  <c r="W33" i="3" s="1"/>
  <c r="AJ33" i="3" s="1"/>
  <c r="O33" i="3"/>
  <c r="N33" i="3"/>
  <c r="L33" i="3"/>
  <c r="K33" i="3"/>
  <c r="J33" i="3"/>
  <c r="H33" i="3"/>
  <c r="AU32" i="3"/>
  <c r="AW32" i="3" s="1"/>
  <c r="AL32" i="3"/>
  <c r="AJ32" i="3"/>
  <c r="AF32" i="3"/>
  <c r="AG32" i="3" s="1"/>
  <c r="AE32" i="3"/>
  <c r="AC32" i="3"/>
  <c r="W32" i="3"/>
  <c r="V32" i="3"/>
  <c r="AI32" i="3" s="1"/>
  <c r="Q32" i="3"/>
  <c r="R32" i="3" s="1"/>
  <c r="O32" i="3"/>
  <c r="S32" i="3" s="1"/>
  <c r="N32" i="3"/>
  <c r="U32" i="3" s="1"/>
  <c r="K32" i="3"/>
  <c r="X32" i="3" s="1"/>
  <c r="AK32" i="3" s="1"/>
  <c r="J32" i="3"/>
  <c r="H32" i="3"/>
  <c r="AU31" i="3"/>
  <c r="AW31" i="3" s="1"/>
  <c r="AL31" i="3"/>
  <c r="AJ31" i="3"/>
  <c r="AI31" i="3"/>
  <c r="AH31" i="3"/>
  <c r="AG31" i="3"/>
  <c r="AF31" i="3"/>
  <c r="AE31" i="3"/>
  <c r="AC31" i="3"/>
  <c r="W31" i="3"/>
  <c r="V31" i="3"/>
  <c r="U31" i="3"/>
  <c r="Q31" i="3"/>
  <c r="R31" i="3" s="1"/>
  <c r="O31" i="3"/>
  <c r="S31" i="3" s="1"/>
  <c r="T31" i="3" s="1"/>
  <c r="N31" i="3"/>
  <c r="L31" i="3"/>
  <c r="K31" i="3"/>
  <c r="X31" i="3" s="1"/>
  <c r="AK31" i="3" s="1"/>
  <c r="J31" i="3"/>
  <c r="H31" i="3"/>
  <c r="AU30" i="3"/>
  <c r="AW30" i="3" s="1"/>
  <c r="AL30" i="3"/>
  <c r="AJ30" i="3"/>
  <c r="AI30" i="3"/>
  <c r="AH30" i="3"/>
  <c r="AF30" i="3"/>
  <c r="AG30" i="3" s="1"/>
  <c r="AE30" i="3"/>
  <c r="AC30" i="3"/>
  <c r="W30" i="3"/>
  <c r="V30" i="3"/>
  <c r="U30" i="3"/>
  <c r="S30" i="3"/>
  <c r="T30" i="3" s="1"/>
  <c r="R30" i="3"/>
  <c r="Q30" i="3"/>
  <c r="O30" i="3"/>
  <c r="P30" i="3" s="1"/>
  <c r="N30" i="3"/>
  <c r="L30" i="3"/>
  <c r="K30" i="3"/>
  <c r="X30" i="3" s="1"/>
  <c r="AK30" i="3" s="1"/>
  <c r="J30" i="3"/>
  <c r="H30" i="3"/>
  <c r="AW29" i="3"/>
  <c r="AU29" i="3"/>
  <c r="AL29" i="3"/>
  <c r="AI29" i="3"/>
  <c r="AH29" i="3"/>
  <c r="AF29" i="3"/>
  <c r="AG29" i="3" s="1"/>
  <c r="AE29" i="3"/>
  <c r="AC29" i="3"/>
  <c r="V29" i="3"/>
  <c r="U29" i="3"/>
  <c r="Q29" i="3"/>
  <c r="P29" i="3"/>
  <c r="O29" i="3"/>
  <c r="N29" i="3"/>
  <c r="K29" i="3"/>
  <c r="J29" i="3"/>
  <c r="H29" i="3"/>
  <c r="AU28" i="3"/>
  <c r="AW28" i="3" s="1"/>
  <c r="AL28" i="3"/>
  <c r="AF28" i="3"/>
  <c r="AG28" i="3" s="1"/>
  <c r="AE28" i="3"/>
  <c r="AC28" i="3"/>
  <c r="Q28" i="3"/>
  <c r="W28" i="3" s="1"/>
  <c r="AJ28" i="3" s="1"/>
  <c r="O28" i="3"/>
  <c r="P28" i="3" s="1"/>
  <c r="N28" i="3"/>
  <c r="L28" i="3"/>
  <c r="K28" i="3"/>
  <c r="J28" i="3"/>
  <c r="H28" i="3"/>
  <c r="AU27" i="3"/>
  <c r="AW27" i="3" s="1"/>
  <c r="AL27" i="3"/>
  <c r="AJ27" i="3"/>
  <c r="AF27" i="3"/>
  <c r="AG27" i="3" s="1"/>
  <c r="AE27" i="3"/>
  <c r="AC27" i="3"/>
  <c r="W27" i="3"/>
  <c r="V27" i="3"/>
  <c r="AI27" i="3" s="1"/>
  <c r="U27" i="3"/>
  <c r="Q27" i="3"/>
  <c r="R27" i="3" s="1"/>
  <c r="O27" i="3"/>
  <c r="S27" i="3" s="1"/>
  <c r="N27" i="3"/>
  <c r="T27" i="3" s="1"/>
  <c r="K27" i="3"/>
  <c r="X27" i="3" s="1"/>
  <c r="AK27" i="3" s="1"/>
  <c r="J27" i="3"/>
  <c r="H27" i="3"/>
  <c r="AU26" i="3"/>
  <c r="AW26" i="3" s="1"/>
  <c r="AL26" i="3"/>
  <c r="AJ26" i="3"/>
  <c r="AI26" i="3"/>
  <c r="AH26" i="3"/>
  <c r="AG26" i="3"/>
  <c r="AF26" i="3"/>
  <c r="AE26" i="3"/>
  <c r="AC26" i="3"/>
  <c r="W26" i="3"/>
  <c r="V26" i="3"/>
  <c r="U26" i="3"/>
  <c r="S26" i="3"/>
  <c r="T26" i="3" s="1"/>
  <c r="Q26" i="3"/>
  <c r="O26" i="3"/>
  <c r="P26" i="3" s="1"/>
  <c r="N26" i="3"/>
  <c r="R26" i="3" s="1"/>
  <c r="K26" i="3"/>
  <c r="X26" i="3" s="1"/>
  <c r="AK26" i="3" s="1"/>
  <c r="J26" i="3"/>
  <c r="H26" i="3"/>
  <c r="AU25" i="3"/>
  <c r="AW25" i="3" s="1"/>
  <c r="AL25" i="3"/>
  <c r="AI25" i="3"/>
  <c r="AH25" i="3"/>
  <c r="AF25" i="3"/>
  <c r="AG25" i="3" s="1"/>
  <c r="AE25" i="3"/>
  <c r="AC25" i="3"/>
  <c r="V25" i="3"/>
  <c r="U25" i="3"/>
  <c r="S25" i="3"/>
  <c r="T25" i="3" s="1"/>
  <c r="Q25" i="3"/>
  <c r="W25" i="3" s="1"/>
  <c r="AJ25" i="3" s="1"/>
  <c r="O25" i="3"/>
  <c r="P25" i="3" s="1"/>
  <c r="N25" i="3"/>
  <c r="K25" i="3"/>
  <c r="L25" i="3" s="1"/>
  <c r="J25" i="3"/>
  <c r="H25" i="3"/>
  <c r="AU24" i="3"/>
  <c r="AW24" i="3" s="1"/>
  <c r="AL24" i="3"/>
  <c r="AH24" i="3"/>
  <c r="AF24" i="3"/>
  <c r="AG24" i="3" s="1"/>
  <c r="AE24" i="3"/>
  <c r="AC24" i="3"/>
  <c r="U24" i="3"/>
  <c r="Q24" i="3"/>
  <c r="O24" i="3"/>
  <c r="N24" i="3"/>
  <c r="L24" i="3"/>
  <c r="K24" i="3"/>
  <c r="J24" i="3"/>
  <c r="H24" i="3"/>
  <c r="AU23" i="3"/>
  <c r="AW23" i="3" s="1"/>
  <c r="AL23" i="3"/>
  <c r="AF23" i="3"/>
  <c r="AG23" i="3" s="1"/>
  <c r="AE23" i="3"/>
  <c r="AC23" i="3"/>
  <c r="W23" i="3"/>
  <c r="AJ23" i="3" s="1"/>
  <c r="Q23" i="3"/>
  <c r="O23" i="3"/>
  <c r="N23" i="3"/>
  <c r="L23" i="3"/>
  <c r="K23" i="3"/>
  <c r="J23" i="3"/>
  <c r="H23" i="3"/>
  <c r="AU22" i="3"/>
  <c r="AW22" i="3" s="1"/>
  <c r="AL22" i="3"/>
  <c r="AJ22" i="3"/>
  <c r="AI22" i="3"/>
  <c r="AF22" i="3"/>
  <c r="AG22" i="3" s="1"/>
  <c r="AE22" i="3"/>
  <c r="AC22" i="3"/>
  <c r="W22" i="3"/>
  <c r="V22" i="3"/>
  <c r="U22" i="3"/>
  <c r="Q22" i="3"/>
  <c r="R22" i="3" s="1"/>
  <c r="O22" i="3"/>
  <c r="S22" i="3" s="1"/>
  <c r="N22" i="3"/>
  <c r="AH22" i="3" s="1"/>
  <c r="L22" i="3"/>
  <c r="K22" i="3"/>
  <c r="X22" i="3" s="1"/>
  <c r="AK22" i="3" s="1"/>
  <c r="J22" i="3"/>
  <c r="H22" i="3"/>
  <c r="AU21" i="3"/>
  <c r="AW21" i="3" s="1"/>
  <c r="AL21" i="3"/>
  <c r="AJ21" i="3"/>
  <c r="AI21" i="3"/>
  <c r="AF21" i="3"/>
  <c r="AG21" i="3" s="1"/>
  <c r="AE21" i="3"/>
  <c r="AC21" i="3"/>
  <c r="W21" i="3"/>
  <c r="V21" i="3"/>
  <c r="U21" i="3"/>
  <c r="S21" i="3"/>
  <c r="T21" i="3" s="1"/>
  <c r="R21" i="3"/>
  <c r="Q21" i="3"/>
  <c r="O21" i="3"/>
  <c r="P21" i="3" s="1"/>
  <c r="N21" i="3"/>
  <c r="L21" i="3"/>
  <c r="K21" i="3"/>
  <c r="J21" i="3"/>
  <c r="H21" i="3"/>
  <c r="AW20" i="3"/>
  <c r="AU20" i="3"/>
  <c r="AL20" i="3"/>
  <c r="AI20" i="3"/>
  <c r="AH20" i="3"/>
  <c r="AF20" i="3"/>
  <c r="AG20" i="3" s="1"/>
  <c r="AE20" i="3"/>
  <c r="AC20" i="3"/>
  <c r="V20" i="3"/>
  <c r="U20" i="3"/>
  <c r="Q20" i="3"/>
  <c r="P20" i="3"/>
  <c r="O20" i="3"/>
  <c r="N20" i="3"/>
  <c r="L20" i="3"/>
  <c r="K20" i="3"/>
  <c r="J20" i="3"/>
  <c r="H20" i="3"/>
  <c r="AU19" i="3"/>
  <c r="AW19" i="3" s="1"/>
  <c r="AL19" i="3"/>
  <c r="AF19" i="3"/>
  <c r="AG19" i="3" s="1"/>
  <c r="AE19" i="3"/>
  <c r="AC19" i="3"/>
  <c r="Q19" i="3"/>
  <c r="W19" i="3" s="1"/>
  <c r="AJ19" i="3" s="1"/>
  <c r="O19" i="3"/>
  <c r="N19" i="3"/>
  <c r="L19" i="3"/>
  <c r="K19" i="3"/>
  <c r="J19" i="3"/>
  <c r="H19" i="3"/>
  <c r="AU18" i="3"/>
  <c r="AW18" i="3" s="1"/>
  <c r="AL18" i="3"/>
  <c r="AF18" i="3"/>
  <c r="AG18" i="3" s="1"/>
  <c r="AE18" i="3"/>
  <c r="AC18" i="3"/>
  <c r="X18" i="3"/>
  <c r="AK18" i="3" s="1"/>
  <c r="W18" i="3"/>
  <c r="AJ18" i="3" s="1"/>
  <c r="V18" i="3"/>
  <c r="AI18" i="3" s="1"/>
  <c r="Q18" i="3"/>
  <c r="R18" i="3" s="1"/>
  <c r="O18" i="3"/>
  <c r="S18" i="3" s="1"/>
  <c r="N18" i="3"/>
  <c r="L18" i="3"/>
  <c r="K18" i="3"/>
  <c r="J18" i="3"/>
  <c r="H18" i="3"/>
  <c r="AU17" i="3"/>
  <c r="AW17" i="3" s="1"/>
  <c r="AL17" i="3"/>
  <c r="AJ17" i="3"/>
  <c r="AI17" i="3"/>
  <c r="AH17" i="3"/>
  <c r="AG17" i="3"/>
  <c r="AF17" i="3"/>
  <c r="AE17" i="3"/>
  <c r="AC17" i="3"/>
  <c r="W17" i="3"/>
  <c r="V17" i="3"/>
  <c r="U17" i="3"/>
  <c r="Y17" i="3" s="1"/>
  <c r="T17" i="3"/>
  <c r="Q17" i="3"/>
  <c r="R17" i="3" s="1"/>
  <c r="O17" i="3"/>
  <c r="S17" i="3" s="1"/>
  <c r="N17" i="3"/>
  <c r="L17" i="3"/>
  <c r="K17" i="3"/>
  <c r="X17" i="3" s="1"/>
  <c r="AK17" i="3" s="1"/>
  <c r="J17" i="3"/>
  <c r="H17" i="3"/>
  <c r="AU16" i="3"/>
  <c r="AW16" i="3" s="1"/>
  <c r="AL16" i="3"/>
  <c r="AI16" i="3"/>
  <c r="AG16" i="3"/>
  <c r="AF16" i="3"/>
  <c r="AE16" i="3"/>
  <c r="AC16" i="3"/>
  <c r="V16" i="3"/>
  <c r="U16" i="3"/>
  <c r="Q16" i="3"/>
  <c r="W16" i="3" s="1"/>
  <c r="AJ16" i="3" s="1"/>
  <c r="O16" i="3"/>
  <c r="N16" i="3"/>
  <c r="P16" i="3" s="1"/>
  <c r="L16" i="3"/>
  <c r="K16" i="3"/>
  <c r="J16" i="3"/>
  <c r="H16" i="3"/>
  <c r="AU15" i="3"/>
  <c r="AW15" i="3" s="1"/>
  <c r="AL15" i="3"/>
  <c r="AH15" i="3"/>
  <c r="AF15" i="3"/>
  <c r="AG15" i="3" s="1"/>
  <c r="AE15" i="3"/>
  <c r="AC15" i="3"/>
  <c r="U15" i="3"/>
  <c r="Q15" i="3"/>
  <c r="O15" i="3"/>
  <c r="N15" i="3"/>
  <c r="L15" i="3"/>
  <c r="K15" i="3"/>
  <c r="J15" i="3"/>
  <c r="H15" i="3"/>
  <c r="AU14" i="3"/>
  <c r="AW14" i="3" s="1"/>
  <c r="AL14" i="3"/>
  <c r="AF14" i="3"/>
  <c r="AG14" i="3" s="1"/>
  <c r="AE14" i="3"/>
  <c r="AC14" i="3"/>
  <c r="W14" i="3"/>
  <c r="AJ14" i="3" s="1"/>
  <c r="Q14" i="3"/>
  <c r="O14" i="3"/>
  <c r="N14" i="3"/>
  <c r="L14" i="3"/>
  <c r="K14" i="3"/>
  <c r="J14" i="3"/>
  <c r="H14" i="3"/>
  <c r="AU13" i="3"/>
  <c r="AW13" i="3" s="1"/>
  <c r="AL13" i="3"/>
  <c r="AF13" i="3"/>
  <c r="AG13" i="3" s="1"/>
  <c r="AE13" i="3"/>
  <c r="AC13" i="3"/>
  <c r="W13" i="3"/>
  <c r="AJ13" i="3" s="1"/>
  <c r="V13" i="3"/>
  <c r="AI13" i="3" s="1"/>
  <c r="U13" i="3"/>
  <c r="Y13" i="3" s="1"/>
  <c r="Q13" i="3"/>
  <c r="R13" i="3" s="1"/>
  <c r="O13" i="3"/>
  <c r="S13" i="3" s="1"/>
  <c r="N13" i="3"/>
  <c r="AH13" i="3" s="1"/>
  <c r="L13" i="3"/>
  <c r="K13" i="3"/>
  <c r="X13" i="3" s="1"/>
  <c r="AK13" i="3" s="1"/>
  <c r="J13" i="3"/>
  <c r="H13" i="3"/>
  <c r="AU12" i="3"/>
  <c r="AW12" i="3" s="1"/>
  <c r="AL12" i="3"/>
  <c r="AJ12" i="3"/>
  <c r="AI12" i="3"/>
  <c r="AH12" i="3"/>
  <c r="AG12" i="3"/>
  <c r="AF12" i="3"/>
  <c r="AE12" i="3"/>
  <c r="AC12" i="3"/>
  <c r="W12" i="3"/>
  <c r="V12" i="3"/>
  <c r="U12" i="3"/>
  <c r="S12" i="3"/>
  <c r="T12" i="3" s="1"/>
  <c r="Q12" i="3"/>
  <c r="O12" i="3"/>
  <c r="P12" i="3" s="1"/>
  <c r="N12" i="3"/>
  <c r="R12" i="3" s="1"/>
  <c r="L12" i="3"/>
  <c r="K12" i="3"/>
  <c r="J12" i="3"/>
  <c r="H12" i="3"/>
  <c r="AW11" i="3"/>
  <c r="AU11" i="3"/>
  <c r="AL11" i="3"/>
  <c r="AI11" i="3"/>
  <c r="AH11" i="3"/>
  <c r="AF11" i="3"/>
  <c r="AG11" i="3" s="1"/>
  <c r="AE11" i="3"/>
  <c r="AC11" i="3"/>
  <c r="V11" i="3"/>
  <c r="U11" i="3"/>
  <c r="S11" i="3"/>
  <c r="T11" i="3" s="1"/>
  <c r="Q11" i="3"/>
  <c r="W11" i="3" s="1"/>
  <c r="AJ11" i="3" s="1"/>
  <c r="O11" i="3"/>
  <c r="N11" i="3"/>
  <c r="P11" i="3" s="1"/>
  <c r="K11" i="3"/>
  <c r="L11" i="3" s="1"/>
  <c r="J11" i="3"/>
  <c r="H11" i="3"/>
  <c r="B11" i="3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AU10" i="3"/>
  <c r="AW10" i="3" s="1"/>
  <c r="AL10" i="3"/>
  <c r="AH10" i="3"/>
  <c r="AF10" i="3"/>
  <c r="AG10" i="3" s="1"/>
  <c r="AE10" i="3"/>
  <c r="AC10" i="3"/>
  <c r="U10" i="3"/>
  <c r="Q10" i="3"/>
  <c r="O10" i="3"/>
  <c r="P10" i="3" s="1"/>
  <c r="N10" i="3"/>
  <c r="L10" i="3"/>
  <c r="K10" i="3"/>
  <c r="J10" i="3"/>
  <c r="H10" i="3"/>
  <c r="AU9" i="3"/>
  <c r="AW9" i="3" s="1"/>
  <c r="AL9" i="3"/>
  <c r="AK9" i="3"/>
  <c r="AH9" i="3"/>
  <c r="AF9" i="3"/>
  <c r="AG9" i="3" s="1"/>
  <c r="AE9" i="3"/>
  <c r="AC9" i="3"/>
  <c r="Y9" i="3"/>
  <c r="X9" i="3"/>
  <c r="W9" i="3"/>
  <c r="AJ9" i="3" s="1"/>
  <c r="V9" i="3"/>
  <c r="AI9" i="3" s="1"/>
  <c r="U9" i="3"/>
  <c r="S9" i="3"/>
  <c r="T9" i="3" s="1"/>
  <c r="R9" i="3"/>
  <c r="P9" i="3"/>
  <c r="L9" i="3"/>
  <c r="K9" i="3"/>
  <c r="J9" i="3"/>
  <c r="H9" i="3"/>
  <c r="AU8" i="3"/>
  <c r="AW8" i="3" s="1"/>
  <c r="AL8" i="3"/>
  <c r="AJ8" i="3"/>
  <c r="AI8" i="3"/>
  <c r="AH8" i="3"/>
  <c r="AG8" i="3"/>
  <c r="AF8" i="3"/>
  <c r="AE8" i="3"/>
  <c r="AC8" i="3"/>
  <c r="W8" i="3"/>
  <c r="V8" i="3"/>
  <c r="U8" i="3"/>
  <c r="S8" i="3"/>
  <c r="X8" i="3" s="1"/>
  <c r="AK8" i="3" s="1"/>
  <c r="R8" i="3"/>
  <c r="P8" i="3"/>
  <c r="L8" i="3"/>
  <c r="K8" i="3"/>
  <c r="J8" i="3"/>
  <c r="H8" i="3"/>
  <c r="AU7" i="3"/>
  <c r="AW7" i="3" s="1"/>
  <c r="AL7" i="3"/>
  <c r="AK7" i="3"/>
  <c r="AH7" i="3"/>
  <c r="AF7" i="3"/>
  <c r="AG7" i="3" s="1"/>
  <c r="AE7" i="3"/>
  <c r="AC7" i="3"/>
  <c r="X7" i="3"/>
  <c r="Y7" i="3" s="1"/>
  <c r="W7" i="3"/>
  <c r="AJ7" i="3" s="1"/>
  <c r="V7" i="3"/>
  <c r="AI7" i="3" s="1"/>
  <c r="U7" i="3"/>
  <c r="S7" i="3"/>
  <c r="T7" i="3" s="1"/>
  <c r="R7" i="3"/>
  <c r="P7" i="3"/>
  <c r="L7" i="3"/>
  <c r="K7" i="3"/>
  <c r="J7" i="3"/>
  <c r="H7" i="3"/>
  <c r="AU6" i="3"/>
  <c r="AW6" i="3" s="1"/>
  <c r="AL6" i="3"/>
  <c r="AJ6" i="3"/>
  <c r="AI6" i="3"/>
  <c r="AH6" i="3"/>
  <c r="AF6" i="3"/>
  <c r="AG6" i="3" s="1"/>
  <c r="AE6" i="3"/>
  <c r="AC6" i="3"/>
  <c r="W6" i="3"/>
  <c r="V6" i="3"/>
  <c r="U6" i="3"/>
  <c r="T6" i="3"/>
  <c r="S6" i="3"/>
  <c r="X6" i="3" s="1"/>
  <c r="R6" i="3"/>
  <c r="P6" i="3"/>
  <c r="L6" i="3"/>
  <c r="K6" i="3"/>
  <c r="J6" i="3"/>
  <c r="H6" i="3"/>
  <c r="B6" i="3"/>
  <c r="B7" i="3" s="1"/>
  <c r="B8" i="3" s="1"/>
  <c r="B9" i="3" s="1"/>
  <c r="B10" i="3" s="1"/>
  <c r="AU5" i="3"/>
  <c r="AL5" i="3"/>
  <c r="AL36" i="3" s="1"/>
  <c r="AL37" i="3" s="1"/>
  <c r="AN45" i="3" s="1"/>
  <c r="AF5" i="3"/>
  <c r="AG5" i="3" s="1"/>
  <c r="AE5" i="3"/>
  <c r="AC5" i="3"/>
  <c r="W5" i="3"/>
  <c r="Q5" i="3"/>
  <c r="O5" i="3"/>
  <c r="N5" i="3"/>
  <c r="L5" i="3"/>
  <c r="K5" i="3"/>
  <c r="J5" i="3"/>
  <c r="H5" i="3"/>
  <c r="B5" i="3"/>
  <c r="AG46" i="2"/>
  <c r="T46" i="2"/>
  <c r="AL44" i="2"/>
  <c r="AK44" i="2"/>
  <c r="AE37" i="2"/>
  <c r="AD37" i="2"/>
  <c r="G37" i="2"/>
  <c r="H37" i="2" s="1"/>
  <c r="AT36" i="2"/>
  <c r="AS36" i="2"/>
  <c r="AR36" i="2"/>
  <c r="AQ36" i="2"/>
  <c r="AP36" i="2"/>
  <c r="AO36" i="2"/>
  <c r="AN36" i="2"/>
  <c r="AM36" i="2"/>
  <c r="AD36" i="2"/>
  <c r="AB36" i="2"/>
  <c r="AB37" i="2" s="1"/>
  <c r="AC37" i="2" s="1"/>
  <c r="AA36" i="2"/>
  <c r="Z36" i="2"/>
  <c r="M36" i="2"/>
  <c r="I36" i="2"/>
  <c r="G36" i="2"/>
  <c r="F36" i="2"/>
  <c r="G38" i="2" s="1"/>
  <c r="E36" i="2"/>
  <c r="C36" i="2"/>
  <c r="AT35" i="2"/>
  <c r="AV35" i="2" s="1"/>
  <c r="AL35" i="2"/>
  <c r="AI35" i="2"/>
  <c r="AH35" i="2"/>
  <c r="AG35" i="2"/>
  <c r="AF35" i="2"/>
  <c r="AE35" i="2"/>
  <c r="AC35" i="2"/>
  <c r="V35" i="2"/>
  <c r="U35" i="2"/>
  <c r="Q35" i="2"/>
  <c r="P35" i="2"/>
  <c r="O35" i="2"/>
  <c r="N35" i="2"/>
  <c r="L35" i="2"/>
  <c r="K35" i="2"/>
  <c r="J35" i="2"/>
  <c r="H35" i="2"/>
  <c r="AT34" i="2"/>
  <c r="AV34" i="2" s="1"/>
  <c r="AL34" i="2"/>
  <c r="AF34" i="2"/>
  <c r="AG34" i="2" s="1"/>
  <c r="AE34" i="2"/>
  <c r="AC34" i="2"/>
  <c r="W34" i="2"/>
  <c r="AJ34" i="2" s="1"/>
  <c r="Q34" i="2"/>
  <c r="O34" i="2"/>
  <c r="N34" i="2"/>
  <c r="L34" i="2"/>
  <c r="K34" i="2"/>
  <c r="J34" i="2"/>
  <c r="H34" i="2"/>
  <c r="AT33" i="2"/>
  <c r="AV33" i="2" s="1"/>
  <c r="AL33" i="2"/>
  <c r="AF33" i="2"/>
  <c r="AG33" i="2" s="1"/>
  <c r="AE33" i="2"/>
  <c r="AC33" i="2"/>
  <c r="W33" i="2"/>
  <c r="AJ33" i="2" s="1"/>
  <c r="V33" i="2"/>
  <c r="AI33" i="2" s="1"/>
  <c r="U33" i="2"/>
  <c r="Q33" i="2"/>
  <c r="R33" i="2" s="1"/>
  <c r="O33" i="2"/>
  <c r="S33" i="2" s="1"/>
  <c r="N33" i="2"/>
  <c r="AH33" i="2" s="1"/>
  <c r="L33" i="2"/>
  <c r="K33" i="2"/>
  <c r="X33" i="2" s="1"/>
  <c r="AK33" i="2" s="1"/>
  <c r="J33" i="2"/>
  <c r="H33" i="2"/>
  <c r="AT32" i="2"/>
  <c r="AV32" i="2" s="1"/>
  <c r="AL32" i="2"/>
  <c r="AI32" i="2"/>
  <c r="AH32" i="2"/>
  <c r="AG32" i="2"/>
  <c r="AF32" i="2"/>
  <c r="AE32" i="2"/>
  <c r="AC32" i="2"/>
  <c r="W32" i="2"/>
  <c r="AJ32" i="2" s="1"/>
  <c r="V32" i="2"/>
  <c r="U32" i="2"/>
  <c r="Y32" i="2" s="1"/>
  <c r="T32" i="2"/>
  <c r="S32" i="2"/>
  <c r="Q32" i="2"/>
  <c r="R32" i="2" s="1"/>
  <c r="O32" i="2"/>
  <c r="P32" i="2" s="1"/>
  <c r="N32" i="2"/>
  <c r="L32" i="2"/>
  <c r="K32" i="2"/>
  <c r="X32" i="2" s="1"/>
  <c r="AK32" i="2" s="1"/>
  <c r="J32" i="2"/>
  <c r="H32" i="2"/>
  <c r="AT31" i="2"/>
  <c r="AV31" i="2" s="1"/>
  <c r="AL31" i="2"/>
  <c r="AI31" i="2"/>
  <c r="AH31" i="2"/>
  <c r="AF31" i="2"/>
  <c r="AG31" i="2" s="1"/>
  <c r="AE31" i="2"/>
  <c r="AC31" i="2"/>
  <c r="V31" i="2"/>
  <c r="U31" i="2"/>
  <c r="Q31" i="2"/>
  <c r="W31" i="2" s="1"/>
  <c r="AJ31" i="2" s="1"/>
  <c r="O31" i="2"/>
  <c r="P31" i="2" s="1"/>
  <c r="N31" i="2"/>
  <c r="L31" i="2"/>
  <c r="K31" i="2"/>
  <c r="J31" i="2"/>
  <c r="H31" i="2"/>
  <c r="AT30" i="2"/>
  <c r="AV30" i="2" s="1"/>
  <c r="AL30" i="2"/>
  <c r="AH30" i="2"/>
  <c r="AF30" i="2"/>
  <c r="AG30" i="2" s="1"/>
  <c r="AE30" i="2"/>
  <c r="AC30" i="2"/>
  <c r="U30" i="2"/>
  <c r="R30" i="2"/>
  <c r="Q30" i="2"/>
  <c r="W30" i="2" s="1"/>
  <c r="AJ30" i="2" s="1"/>
  <c r="O30" i="2"/>
  <c r="V30" i="2" s="1"/>
  <c r="AI30" i="2" s="1"/>
  <c r="N30" i="2"/>
  <c r="L30" i="2"/>
  <c r="K30" i="2"/>
  <c r="J30" i="2"/>
  <c r="H30" i="2"/>
  <c r="AV29" i="2"/>
  <c r="AT29" i="2"/>
  <c r="AL29" i="2"/>
  <c r="AF29" i="2"/>
  <c r="AG29" i="2" s="1"/>
  <c r="AE29" i="2"/>
  <c r="AC29" i="2"/>
  <c r="Q29" i="2"/>
  <c r="W29" i="2" s="1"/>
  <c r="AJ29" i="2" s="1"/>
  <c r="O29" i="2"/>
  <c r="N29" i="2"/>
  <c r="L29" i="2"/>
  <c r="K29" i="2"/>
  <c r="J29" i="2"/>
  <c r="H29" i="2"/>
  <c r="AT28" i="2"/>
  <c r="AV28" i="2" s="1"/>
  <c r="AL28" i="2"/>
  <c r="AJ28" i="2"/>
  <c r="AF28" i="2"/>
  <c r="AG28" i="2" s="1"/>
  <c r="AE28" i="2"/>
  <c r="AC28" i="2"/>
  <c r="W28" i="2"/>
  <c r="Q28" i="2"/>
  <c r="O28" i="2"/>
  <c r="S28" i="2" s="1"/>
  <c r="X28" i="2" s="1"/>
  <c r="AK28" i="2" s="1"/>
  <c r="N28" i="2"/>
  <c r="L28" i="2"/>
  <c r="K28" i="2"/>
  <c r="J28" i="2"/>
  <c r="H28" i="2"/>
  <c r="AT27" i="2"/>
  <c r="AV27" i="2" s="1"/>
  <c r="AL27" i="2"/>
  <c r="AJ27" i="2"/>
  <c r="AI27" i="2"/>
  <c r="AH27" i="2"/>
  <c r="AG27" i="2"/>
  <c r="AF27" i="2"/>
  <c r="AE27" i="2"/>
  <c r="AC27" i="2"/>
  <c r="W27" i="2"/>
  <c r="V27" i="2"/>
  <c r="U27" i="2"/>
  <c r="S27" i="2"/>
  <c r="T27" i="2" s="1"/>
  <c r="Q27" i="2"/>
  <c r="R27" i="2" s="1"/>
  <c r="O27" i="2"/>
  <c r="N27" i="2"/>
  <c r="L27" i="2"/>
  <c r="K27" i="2"/>
  <c r="X27" i="2" s="1"/>
  <c r="AK27" i="2" s="1"/>
  <c r="J27" i="2"/>
  <c r="H27" i="2"/>
  <c r="AT26" i="2"/>
  <c r="AV26" i="2" s="1"/>
  <c r="AL26" i="2"/>
  <c r="AJ26" i="2"/>
  <c r="AH26" i="2"/>
  <c r="AG26" i="2"/>
  <c r="AF26" i="2"/>
  <c r="AE26" i="2"/>
  <c r="AC26" i="2"/>
  <c r="V26" i="2"/>
  <c r="AI26" i="2" s="1"/>
  <c r="U26" i="2"/>
  <c r="S26" i="2"/>
  <c r="T26" i="2" s="1"/>
  <c r="Q26" i="2"/>
  <c r="W26" i="2" s="1"/>
  <c r="O26" i="2"/>
  <c r="P26" i="2" s="1"/>
  <c r="N26" i="2"/>
  <c r="L26" i="2"/>
  <c r="K26" i="2"/>
  <c r="J26" i="2"/>
  <c r="H26" i="2"/>
  <c r="AV25" i="2"/>
  <c r="AT25" i="2"/>
  <c r="AL25" i="2"/>
  <c r="AH25" i="2"/>
  <c r="AF25" i="2"/>
  <c r="AG25" i="2" s="1"/>
  <c r="AE25" i="2"/>
  <c r="AC25" i="2"/>
  <c r="U25" i="2"/>
  <c r="Q25" i="2"/>
  <c r="W25" i="2" s="1"/>
  <c r="AJ25" i="2" s="1"/>
  <c r="O25" i="2"/>
  <c r="V25" i="2" s="1"/>
  <c r="AI25" i="2" s="1"/>
  <c r="N25" i="2"/>
  <c r="L25" i="2"/>
  <c r="K25" i="2"/>
  <c r="J25" i="2"/>
  <c r="H25" i="2"/>
  <c r="AT24" i="2"/>
  <c r="AV24" i="2" s="1"/>
  <c r="AL24" i="2"/>
  <c r="AF24" i="2"/>
  <c r="AG24" i="2" s="1"/>
  <c r="AE24" i="2"/>
  <c r="AC24" i="2"/>
  <c r="Q24" i="2"/>
  <c r="W24" i="2" s="1"/>
  <c r="AJ24" i="2" s="1"/>
  <c r="O24" i="2"/>
  <c r="N24" i="2"/>
  <c r="L24" i="2"/>
  <c r="K24" i="2"/>
  <c r="J24" i="2"/>
  <c r="H24" i="2"/>
  <c r="AT23" i="2"/>
  <c r="AV23" i="2" s="1"/>
  <c r="AL23" i="2"/>
  <c r="AJ23" i="2"/>
  <c r="AF23" i="2"/>
  <c r="AG23" i="2" s="1"/>
  <c r="AE23" i="2"/>
  <c r="AC23" i="2"/>
  <c r="W23" i="2"/>
  <c r="Q23" i="2"/>
  <c r="O23" i="2"/>
  <c r="S23" i="2" s="1"/>
  <c r="N23" i="2"/>
  <c r="L23" i="2"/>
  <c r="K23" i="2"/>
  <c r="X23" i="2" s="1"/>
  <c r="AK23" i="2" s="1"/>
  <c r="J23" i="2"/>
  <c r="H23" i="2"/>
  <c r="AT22" i="2"/>
  <c r="AV22" i="2" s="1"/>
  <c r="AL22" i="2"/>
  <c r="AJ22" i="2"/>
  <c r="AI22" i="2"/>
  <c r="AH22" i="2"/>
  <c r="AG22" i="2"/>
  <c r="AF22" i="2"/>
  <c r="AE22" i="2"/>
  <c r="AC22" i="2"/>
  <c r="W22" i="2"/>
  <c r="V22" i="2"/>
  <c r="U22" i="2"/>
  <c r="S22" i="2"/>
  <c r="T22" i="2" s="1"/>
  <c r="Q22" i="2"/>
  <c r="R22" i="2" s="1"/>
  <c r="O22" i="2"/>
  <c r="P22" i="2" s="1"/>
  <c r="N22" i="2"/>
  <c r="L22" i="2"/>
  <c r="K22" i="2"/>
  <c r="X22" i="2" s="1"/>
  <c r="AK22" i="2" s="1"/>
  <c r="J22" i="2"/>
  <c r="H22" i="2"/>
  <c r="AT21" i="2"/>
  <c r="AV21" i="2" s="1"/>
  <c r="AL21" i="2"/>
  <c r="AI21" i="2"/>
  <c r="AF21" i="2"/>
  <c r="AG21" i="2" s="1"/>
  <c r="AE21" i="2"/>
  <c r="AC21" i="2"/>
  <c r="V21" i="2"/>
  <c r="U21" i="2"/>
  <c r="Q21" i="2"/>
  <c r="W21" i="2" s="1"/>
  <c r="AJ21" i="2" s="1"/>
  <c r="P21" i="2"/>
  <c r="O21" i="2"/>
  <c r="N21" i="2"/>
  <c r="K21" i="2"/>
  <c r="J21" i="2"/>
  <c r="H21" i="2"/>
  <c r="AT20" i="2"/>
  <c r="AV20" i="2" s="1"/>
  <c r="AL20" i="2"/>
  <c r="AF20" i="2"/>
  <c r="AG20" i="2" s="1"/>
  <c r="AE20" i="2"/>
  <c r="AC20" i="2"/>
  <c r="Q20" i="2"/>
  <c r="W20" i="2" s="1"/>
  <c r="AJ20" i="2" s="1"/>
  <c r="P20" i="2"/>
  <c r="O20" i="2"/>
  <c r="V20" i="2" s="1"/>
  <c r="AI20" i="2" s="1"/>
  <c r="N20" i="2"/>
  <c r="K20" i="2"/>
  <c r="L20" i="2" s="1"/>
  <c r="J20" i="2"/>
  <c r="H20" i="2"/>
  <c r="AT19" i="2"/>
  <c r="AV19" i="2" s="1"/>
  <c r="AL19" i="2"/>
  <c r="AF19" i="2"/>
  <c r="AG19" i="2" s="1"/>
  <c r="AE19" i="2"/>
  <c r="AC19" i="2"/>
  <c r="V19" i="2"/>
  <c r="AI19" i="2" s="1"/>
  <c r="Q19" i="2"/>
  <c r="R19" i="2" s="1"/>
  <c r="P19" i="2"/>
  <c r="O19" i="2"/>
  <c r="N19" i="2"/>
  <c r="L19" i="2"/>
  <c r="K19" i="2"/>
  <c r="J19" i="2"/>
  <c r="H19" i="2"/>
  <c r="AT18" i="2"/>
  <c r="AV18" i="2" s="1"/>
  <c r="AL18" i="2"/>
  <c r="AL36" i="2" s="1"/>
  <c r="AL37" i="2" s="1"/>
  <c r="AM45" i="2" s="1"/>
  <c r="AJ18" i="2"/>
  <c r="AF18" i="2"/>
  <c r="AG18" i="2" s="1"/>
  <c r="AE18" i="2"/>
  <c r="AC18" i="2"/>
  <c r="W18" i="2"/>
  <c r="V18" i="2"/>
  <c r="AI18" i="2" s="1"/>
  <c r="U18" i="2"/>
  <c r="Q18" i="2"/>
  <c r="O18" i="2"/>
  <c r="N18" i="2"/>
  <c r="L18" i="2"/>
  <c r="K18" i="2"/>
  <c r="J18" i="2"/>
  <c r="H18" i="2"/>
  <c r="AT17" i="2"/>
  <c r="AV17" i="2" s="1"/>
  <c r="AL17" i="2"/>
  <c r="AH17" i="2"/>
  <c r="AF17" i="2"/>
  <c r="AG17" i="2" s="1"/>
  <c r="AE17" i="2"/>
  <c r="AC17" i="2"/>
  <c r="W17" i="2"/>
  <c r="AJ17" i="2" s="1"/>
  <c r="V17" i="2"/>
  <c r="AI17" i="2" s="1"/>
  <c r="U17" i="2"/>
  <c r="S17" i="2"/>
  <c r="T17" i="2" s="1"/>
  <c r="R17" i="2"/>
  <c r="Q17" i="2"/>
  <c r="O17" i="2"/>
  <c r="P17" i="2" s="1"/>
  <c r="N17" i="2"/>
  <c r="L17" i="2"/>
  <c r="K17" i="2"/>
  <c r="X17" i="2" s="1"/>
  <c r="AK17" i="2" s="1"/>
  <c r="J17" i="2"/>
  <c r="H17" i="2"/>
  <c r="AV16" i="2"/>
  <c r="AT16" i="2"/>
  <c r="AL16" i="2"/>
  <c r="AF16" i="2"/>
  <c r="AG16" i="2" s="1"/>
  <c r="AE16" i="2"/>
  <c r="AC16" i="2"/>
  <c r="U16" i="2"/>
  <c r="Q16" i="2"/>
  <c r="W16" i="2" s="1"/>
  <c r="AJ16" i="2" s="1"/>
  <c r="O16" i="2"/>
  <c r="V16" i="2" s="1"/>
  <c r="AI16" i="2" s="1"/>
  <c r="N16" i="2"/>
  <c r="L16" i="2"/>
  <c r="K16" i="2"/>
  <c r="J16" i="2"/>
  <c r="H16" i="2"/>
  <c r="AT15" i="2"/>
  <c r="AV15" i="2" s="1"/>
  <c r="AL15" i="2"/>
  <c r="AF15" i="2"/>
  <c r="AG15" i="2" s="1"/>
  <c r="AE15" i="2"/>
  <c r="AC15" i="2"/>
  <c r="Q15" i="2"/>
  <c r="W15" i="2" s="1"/>
  <c r="AJ15" i="2" s="1"/>
  <c r="O15" i="2"/>
  <c r="N15" i="2"/>
  <c r="L15" i="2"/>
  <c r="K15" i="2"/>
  <c r="J15" i="2"/>
  <c r="H15" i="2"/>
  <c r="AT14" i="2"/>
  <c r="AV14" i="2" s="1"/>
  <c r="AL14" i="2"/>
  <c r="AJ14" i="2"/>
  <c r="AF14" i="2"/>
  <c r="AG14" i="2" s="1"/>
  <c r="AE14" i="2"/>
  <c r="AC14" i="2"/>
  <c r="W14" i="2"/>
  <c r="U14" i="2"/>
  <c r="Q14" i="2"/>
  <c r="R14" i="2" s="1"/>
  <c r="O14" i="2"/>
  <c r="S14" i="2" s="1"/>
  <c r="N14" i="2"/>
  <c r="K14" i="2"/>
  <c r="L14" i="2" s="1"/>
  <c r="J14" i="2"/>
  <c r="H14" i="2"/>
  <c r="AT13" i="2"/>
  <c r="AV13" i="2" s="1"/>
  <c r="AL13" i="2"/>
  <c r="AJ13" i="2"/>
  <c r="AI13" i="2"/>
  <c r="AG13" i="2"/>
  <c r="AF13" i="2"/>
  <c r="AE13" i="2"/>
  <c r="AC13" i="2"/>
  <c r="W13" i="2"/>
  <c r="V13" i="2"/>
  <c r="U13" i="2"/>
  <c r="T13" i="2"/>
  <c r="S13" i="2"/>
  <c r="Q13" i="2"/>
  <c r="O13" i="2"/>
  <c r="P13" i="2" s="1"/>
  <c r="N13" i="2"/>
  <c r="AH13" i="2" s="1"/>
  <c r="K13" i="2"/>
  <c r="L13" i="2" s="1"/>
  <c r="J13" i="2"/>
  <c r="H13" i="2"/>
  <c r="AT12" i="2"/>
  <c r="AV12" i="2" s="1"/>
  <c r="AL12" i="2"/>
  <c r="AH12" i="2"/>
  <c r="AF12" i="2"/>
  <c r="AG12" i="2" s="1"/>
  <c r="AE12" i="2"/>
  <c r="AC12" i="2"/>
  <c r="V12" i="2"/>
  <c r="AI12" i="2" s="1"/>
  <c r="U12" i="2"/>
  <c r="R12" i="2"/>
  <c r="Q12" i="2"/>
  <c r="W12" i="2" s="1"/>
  <c r="AJ12" i="2" s="1"/>
  <c r="O12" i="2"/>
  <c r="P12" i="2" s="1"/>
  <c r="N12" i="2"/>
  <c r="L12" i="2"/>
  <c r="K12" i="2"/>
  <c r="J12" i="2"/>
  <c r="H12" i="2"/>
  <c r="AT11" i="2"/>
  <c r="AV11" i="2" s="1"/>
  <c r="AL11" i="2"/>
  <c r="AH11" i="2"/>
  <c r="AG11" i="2"/>
  <c r="AF11" i="2"/>
  <c r="AE11" i="2"/>
  <c r="AC11" i="2"/>
  <c r="U11" i="2"/>
  <c r="Q11" i="2"/>
  <c r="W11" i="2" s="1"/>
  <c r="AJ11" i="2" s="1"/>
  <c r="P11" i="2"/>
  <c r="O11" i="2"/>
  <c r="V11" i="2" s="1"/>
  <c r="AI11" i="2" s="1"/>
  <c r="N11" i="2"/>
  <c r="L11" i="2"/>
  <c r="K11" i="2"/>
  <c r="J11" i="2"/>
  <c r="H11" i="2"/>
  <c r="AT10" i="2"/>
  <c r="AV10" i="2" s="1"/>
  <c r="AL10" i="2"/>
  <c r="AF10" i="2"/>
  <c r="AG10" i="2" s="1"/>
  <c r="AE10" i="2"/>
  <c r="AC10" i="2"/>
  <c r="Q10" i="2"/>
  <c r="W10" i="2" s="1"/>
  <c r="AJ10" i="2" s="1"/>
  <c r="O10" i="2"/>
  <c r="N10" i="2"/>
  <c r="P10" i="2" s="1"/>
  <c r="L10" i="2"/>
  <c r="K10" i="2"/>
  <c r="J10" i="2"/>
  <c r="H10" i="2"/>
  <c r="AV9" i="2"/>
  <c r="AT9" i="2"/>
  <c r="AL9" i="2"/>
  <c r="AJ9" i="2"/>
  <c r="AF9" i="2"/>
  <c r="AG9" i="2" s="1"/>
  <c r="AE9" i="2"/>
  <c r="AC9" i="2"/>
  <c r="W9" i="2"/>
  <c r="Q9" i="2"/>
  <c r="O9" i="2"/>
  <c r="S9" i="2" s="1"/>
  <c r="X9" i="2" s="1"/>
  <c r="AK9" i="2" s="1"/>
  <c r="N9" i="2"/>
  <c r="U9" i="2" s="1"/>
  <c r="Y9" i="2" s="1"/>
  <c r="L9" i="2"/>
  <c r="K9" i="2"/>
  <c r="J9" i="2"/>
  <c r="H9" i="2"/>
  <c r="AT8" i="2"/>
  <c r="AV8" i="2" s="1"/>
  <c r="AL8" i="2"/>
  <c r="AJ8" i="2"/>
  <c r="AI8" i="2"/>
  <c r="AH8" i="2"/>
  <c r="AG8" i="2"/>
  <c r="AF8" i="2"/>
  <c r="AE8" i="2"/>
  <c r="AC8" i="2"/>
  <c r="W8" i="2"/>
  <c r="V8" i="2"/>
  <c r="U8" i="2"/>
  <c r="S8" i="2"/>
  <c r="T8" i="2" s="1"/>
  <c r="Q8" i="2"/>
  <c r="O8" i="2"/>
  <c r="N8" i="2"/>
  <c r="K8" i="2"/>
  <c r="L8" i="2" s="1"/>
  <c r="J8" i="2"/>
  <c r="H8" i="2"/>
  <c r="AT7" i="2"/>
  <c r="AV7" i="2" s="1"/>
  <c r="AL7" i="2"/>
  <c r="AH7" i="2"/>
  <c r="AF7" i="2"/>
  <c r="AG7" i="2" s="1"/>
  <c r="AE7" i="2"/>
  <c r="AC7" i="2"/>
  <c r="V7" i="2"/>
  <c r="AI7" i="2" s="1"/>
  <c r="U7" i="2"/>
  <c r="Q7" i="2"/>
  <c r="W7" i="2" s="1"/>
  <c r="AJ7" i="2" s="1"/>
  <c r="O7" i="2"/>
  <c r="P7" i="2" s="1"/>
  <c r="N7" i="2"/>
  <c r="K7" i="2"/>
  <c r="J7" i="2"/>
  <c r="H7" i="2"/>
  <c r="AV6" i="2"/>
  <c r="AT6" i="2"/>
  <c r="AL6" i="2"/>
  <c r="AH6" i="2"/>
  <c r="AF6" i="2"/>
  <c r="AG6" i="2" s="1"/>
  <c r="AE6" i="2"/>
  <c r="AC6" i="2"/>
  <c r="U6" i="2"/>
  <c r="R6" i="2"/>
  <c r="Q6" i="2"/>
  <c r="W6" i="2" s="1"/>
  <c r="AJ6" i="2" s="1"/>
  <c r="O6" i="2"/>
  <c r="V6" i="2" s="1"/>
  <c r="AI6" i="2" s="1"/>
  <c r="N6" i="2"/>
  <c r="K6" i="2"/>
  <c r="J6" i="2"/>
  <c r="H6" i="2"/>
  <c r="AT5" i="2"/>
  <c r="AV5" i="2" s="1"/>
  <c r="AV36" i="2" s="1"/>
  <c r="AV38" i="2" s="1"/>
  <c r="AL5" i="2"/>
  <c r="AG5" i="2"/>
  <c r="AF5" i="2"/>
  <c r="AE5" i="2"/>
  <c r="AC5" i="2"/>
  <c r="Q5" i="2"/>
  <c r="O5" i="2"/>
  <c r="V5" i="2" s="1"/>
  <c r="N5" i="2"/>
  <c r="P5" i="2" s="1"/>
  <c r="L5" i="2"/>
  <c r="K5" i="2"/>
  <c r="J5" i="2"/>
  <c r="H5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AL44" i="1"/>
  <c r="AK44" i="1"/>
  <c r="G38" i="1"/>
  <c r="AE37" i="1"/>
  <c r="AD37" i="1"/>
  <c r="AB37" i="1"/>
  <c r="AC37" i="1" s="1"/>
  <c r="I37" i="1"/>
  <c r="AS36" i="1"/>
  <c r="AR36" i="1"/>
  <c r="AQ36" i="1"/>
  <c r="AP36" i="1"/>
  <c r="AO36" i="1"/>
  <c r="AN36" i="1"/>
  <c r="AM36" i="1"/>
  <c r="AD36" i="1"/>
  <c r="AB36" i="1"/>
  <c r="AA36" i="1"/>
  <c r="Z36" i="1"/>
  <c r="M36" i="1"/>
  <c r="I36" i="1"/>
  <c r="G36" i="1"/>
  <c r="F36" i="1"/>
  <c r="E36" i="1"/>
  <c r="C36" i="1"/>
  <c r="AT35" i="1"/>
  <c r="AV35" i="1" s="1"/>
  <c r="AL35" i="1"/>
  <c r="AF35" i="1"/>
  <c r="AG35" i="1" s="1"/>
  <c r="AE35" i="1"/>
  <c r="AC35" i="1"/>
  <c r="Q35" i="1"/>
  <c r="O35" i="1"/>
  <c r="V35" i="1" s="1"/>
  <c r="AI35" i="1" s="1"/>
  <c r="N35" i="1"/>
  <c r="L35" i="1"/>
  <c r="K35" i="1"/>
  <c r="J35" i="1"/>
  <c r="H35" i="1"/>
  <c r="AV34" i="1"/>
  <c r="AT34" i="1"/>
  <c r="AL34" i="1"/>
  <c r="AF34" i="1"/>
  <c r="AG34" i="1" s="1"/>
  <c r="AE34" i="1"/>
  <c r="AC34" i="1"/>
  <c r="W34" i="1"/>
  <c r="AJ34" i="1" s="1"/>
  <c r="V34" i="1"/>
  <c r="AI34" i="1" s="1"/>
  <c r="Q34" i="1"/>
  <c r="O34" i="1"/>
  <c r="S34" i="1" s="1"/>
  <c r="N34" i="1"/>
  <c r="L34" i="1"/>
  <c r="K34" i="1"/>
  <c r="X34" i="1" s="1"/>
  <c r="AK34" i="1" s="1"/>
  <c r="J34" i="1"/>
  <c r="H34" i="1"/>
  <c r="AT33" i="1"/>
  <c r="AV33" i="1" s="1"/>
  <c r="AL33" i="1"/>
  <c r="AJ33" i="1"/>
  <c r="AH33" i="1"/>
  <c r="AG33" i="1"/>
  <c r="AF33" i="1"/>
  <c r="AE33" i="1"/>
  <c r="AC33" i="1"/>
  <c r="W33" i="1"/>
  <c r="U33" i="1"/>
  <c r="Q33" i="1"/>
  <c r="R33" i="1" s="1"/>
  <c r="O33" i="1"/>
  <c r="N33" i="1"/>
  <c r="L33" i="1"/>
  <c r="K33" i="1"/>
  <c r="J33" i="1"/>
  <c r="H33" i="1"/>
  <c r="AT32" i="1"/>
  <c r="AV32" i="1" s="1"/>
  <c r="AL32" i="1"/>
  <c r="AJ32" i="1"/>
  <c r="AI32" i="1"/>
  <c r="AH32" i="1"/>
  <c r="AF32" i="1"/>
  <c r="AG32" i="1" s="1"/>
  <c r="AE32" i="1"/>
  <c r="AC32" i="1"/>
  <c r="W32" i="1"/>
  <c r="V32" i="1"/>
  <c r="U32" i="1"/>
  <c r="T32" i="1"/>
  <c r="S32" i="1"/>
  <c r="R32" i="1"/>
  <c r="Q32" i="1"/>
  <c r="O32" i="1"/>
  <c r="P32" i="1" s="1"/>
  <c r="N32" i="1"/>
  <c r="L32" i="1"/>
  <c r="K32" i="1"/>
  <c r="J32" i="1"/>
  <c r="H32" i="1"/>
  <c r="AV31" i="1"/>
  <c r="AT31" i="1"/>
  <c r="AL31" i="1"/>
  <c r="AI31" i="1"/>
  <c r="AH31" i="1"/>
  <c r="AF31" i="1"/>
  <c r="AG31" i="1" s="1"/>
  <c r="AE31" i="1"/>
  <c r="AC31" i="1"/>
  <c r="V31" i="1"/>
  <c r="U31" i="1"/>
  <c r="Q31" i="1"/>
  <c r="P31" i="1"/>
  <c r="O31" i="1"/>
  <c r="N31" i="1"/>
  <c r="K31" i="1"/>
  <c r="J31" i="1"/>
  <c r="H31" i="1"/>
  <c r="AT30" i="1"/>
  <c r="AV30" i="1" s="1"/>
  <c r="AL30" i="1"/>
  <c r="AF30" i="1"/>
  <c r="AG30" i="1" s="1"/>
  <c r="AE30" i="1"/>
  <c r="AC30" i="1"/>
  <c r="Q30" i="1"/>
  <c r="P30" i="1"/>
  <c r="O30" i="1"/>
  <c r="V30" i="1" s="1"/>
  <c r="AI30" i="1" s="1"/>
  <c r="N30" i="1"/>
  <c r="L30" i="1"/>
  <c r="K30" i="1"/>
  <c r="J30" i="1"/>
  <c r="H30" i="1"/>
  <c r="AT29" i="1"/>
  <c r="AV29" i="1" s="1"/>
  <c r="AL29" i="1"/>
  <c r="AF29" i="1"/>
  <c r="AG29" i="1" s="1"/>
  <c r="AE29" i="1"/>
  <c r="AC29" i="1"/>
  <c r="V29" i="1"/>
  <c r="AI29" i="1" s="1"/>
  <c r="Q29" i="1"/>
  <c r="O29" i="1"/>
  <c r="N29" i="1"/>
  <c r="L29" i="1"/>
  <c r="K29" i="1"/>
  <c r="J29" i="1"/>
  <c r="H29" i="1"/>
  <c r="AT28" i="1"/>
  <c r="AV28" i="1" s="1"/>
  <c r="AL28" i="1"/>
  <c r="AG28" i="1"/>
  <c r="AF28" i="1"/>
  <c r="AE28" i="1"/>
  <c r="AC28" i="1"/>
  <c r="W28" i="1"/>
  <c r="AJ28" i="1" s="1"/>
  <c r="Q28" i="1"/>
  <c r="R28" i="1" s="1"/>
  <c r="O28" i="1"/>
  <c r="N28" i="1"/>
  <c r="AH28" i="1" s="1"/>
  <c r="L28" i="1"/>
  <c r="K28" i="1"/>
  <c r="J28" i="1"/>
  <c r="H28" i="1"/>
  <c r="AT27" i="1"/>
  <c r="AV27" i="1" s="1"/>
  <c r="AL27" i="1"/>
  <c r="AJ27" i="1"/>
  <c r="AI27" i="1"/>
  <c r="AH27" i="1"/>
  <c r="AF27" i="1"/>
  <c r="AG27" i="1" s="1"/>
  <c r="AE27" i="1"/>
  <c r="AC27" i="1"/>
  <c r="W27" i="1"/>
  <c r="V27" i="1"/>
  <c r="U27" i="1"/>
  <c r="T27" i="1"/>
  <c r="S27" i="1"/>
  <c r="R27" i="1"/>
  <c r="Q27" i="1"/>
  <c r="O27" i="1"/>
  <c r="P27" i="1" s="1"/>
  <c r="N27" i="1"/>
  <c r="L27" i="1"/>
  <c r="K27" i="1"/>
  <c r="J27" i="1"/>
  <c r="H27" i="1"/>
  <c r="AV26" i="1"/>
  <c r="AT26" i="1"/>
  <c r="AL26" i="1"/>
  <c r="AI26" i="1"/>
  <c r="AH26" i="1"/>
  <c r="AG26" i="1"/>
  <c r="AF26" i="1"/>
  <c r="AE26" i="1"/>
  <c r="AC26" i="1"/>
  <c r="V26" i="1"/>
  <c r="U26" i="1"/>
  <c r="Q26" i="1"/>
  <c r="P26" i="1"/>
  <c r="O26" i="1"/>
  <c r="N26" i="1"/>
  <c r="L26" i="1"/>
  <c r="K26" i="1"/>
  <c r="J26" i="1"/>
  <c r="H26" i="1"/>
  <c r="AT25" i="1"/>
  <c r="AV25" i="1" s="1"/>
  <c r="AL25" i="1"/>
  <c r="AF25" i="1"/>
  <c r="AG25" i="1" s="1"/>
  <c r="AE25" i="1"/>
  <c r="AC25" i="1"/>
  <c r="Q25" i="1"/>
  <c r="P25" i="1"/>
  <c r="O25" i="1"/>
  <c r="V25" i="1" s="1"/>
  <c r="AI25" i="1" s="1"/>
  <c r="N25" i="1"/>
  <c r="L25" i="1"/>
  <c r="K25" i="1"/>
  <c r="J25" i="1"/>
  <c r="H25" i="1"/>
  <c r="AT24" i="1"/>
  <c r="AV24" i="1" s="1"/>
  <c r="AL24" i="1"/>
  <c r="AF24" i="1"/>
  <c r="AG24" i="1" s="1"/>
  <c r="AE24" i="1"/>
  <c r="AC24" i="1"/>
  <c r="V24" i="1"/>
  <c r="AI24" i="1" s="1"/>
  <c r="Q24" i="1"/>
  <c r="O24" i="1"/>
  <c r="N24" i="1"/>
  <c r="L24" i="1"/>
  <c r="K24" i="1"/>
  <c r="J24" i="1"/>
  <c r="H24" i="1"/>
  <c r="AT23" i="1"/>
  <c r="AV23" i="1" s="1"/>
  <c r="AL23" i="1"/>
  <c r="AG23" i="1"/>
  <c r="AF23" i="1"/>
  <c r="AE23" i="1"/>
  <c r="AC23" i="1"/>
  <c r="W23" i="1"/>
  <c r="AJ23" i="1" s="1"/>
  <c r="Q23" i="1"/>
  <c r="R23" i="1" s="1"/>
  <c r="O23" i="1"/>
  <c r="N23" i="1"/>
  <c r="K23" i="1"/>
  <c r="L23" i="1" s="1"/>
  <c r="J23" i="1"/>
  <c r="H23" i="1"/>
  <c r="AT22" i="1"/>
  <c r="AV22" i="1" s="1"/>
  <c r="AL22" i="1"/>
  <c r="AJ22" i="1"/>
  <c r="AI22" i="1"/>
  <c r="AH22" i="1"/>
  <c r="AF22" i="1"/>
  <c r="AG22" i="1" s="1"/>
  <c r="AE22" i="1"/>
  <c r="AC22" i="1"/>
  <c r="W22" i="1"/>
  <c r="V22" i="1"/>
  <c r="U22" i="1"/>
  <c r="T22" i="1"/>
  <c r="S22" i="1"/>
  <c r="R22" i="1"/>
  <c r="Q22" i="1"/>
  <c r="O22" i="1"/>
  <c r="P22" i="1" s="1"/>
  <c r="N22" i="1"/>
  <c r="L22" i="1"/>
  <c r="K22" i="1"/>
  <c r="J22" i="1"/>
  <c r="H22" i="1"/>
  <c r="AV21" i="1"/>
  <c r="AT21" i="1"/>
  <c r="AL21" i="1"/>
  <c r="AI21" i="1"/>
  <c r="AH21" i="1"/>
  <c r="AG21" i="1"/>
  <c r="AF21" i="1"/>
  <c r="AE21" i="1"/>
  <c r="AC21" i="1"/>
  <c r="V21" i="1"/>
  <c r="U21" i="1"/>
  <c r="Q21" i="1"/>
  <c r="P21" i="1"/>
  <c r="O21" i="1"/>
  <c r="N21" i="1"/>
  <c r="L21" i="1"/>
  <c r="K21" i="1"/>
  <c r="J21" i="1"/>
  <c r="H21" i="1"/>
  <c r="AT20" i="1"/>
  <c r="AV20" i="1" s="1"/>
  <c r="AL20" i="1"/>
  <c r="AF20" i="1"/>
  <c r="AG20" i="1" s="1"/>
  <c r="AE20" i="1"/>
  <c r="AC20" i="1"/>
  <c r="Q20" i="1"/>
  <c r="P20" i="1"/>
  <c r="O20" i="1"/>
  <c r="V20" i="1" s="1"/>
  <c r="AI20" i="1" s="1"/>
  <c r="N20" i="1"/>
  <c r="L20" i="1"/>
  <c r="K20" i="1"/>
  <c r="J20" i="1"/>
  <c r="H20" i="1"/>
  <c r="AT19" i="1"/>
  <c r="AV19" i="1" s="1"/>
  <c r="AL19" i="1"/>
  <c r="AF19" i="1"/>
  <c r="AG19" i="1" s="1"/>
  <c r="AE19" i="1"/>
  <c r="AC19" i="1"/>
  <c r="W19" i="1"/>
  <c r="AJ19" i="1" s="1"/>
  <c r="V19" i="1"/>
  <c r="AI19" i="1" s="1"/>
  <c r="R19" i="1"/>
  <c r="Q19" i="1"/>
  <c r="O19" i="1"/>
  <c r="S19" i="1" s="1"/>
  <c r="N19" i="1"/>
  <c r="L19" i="1"/>
  <c r="K19" i="1"/>
  <c r="X19" i="1" s="1"/>
  <c r="AK19" i="1" s="1"/>
  <c r="J19" i="1"/>
  <c r="H19" i="1"/>
  <c r="AT18" i="1"/>
  <c r="AV18" i="1" s="1"/>
  <c r="AL18" i="1"/>
  <c r="AJ18" i="1"/>
  <c r="AG18" i="1"/>
  <c r="AF18" i="1"/>
  <c r="AE18" i="1"/>
  <c r="AC18" i="1"/>
  <c r="W18" i="1"/>
  <c r="Q18" i="1"/>
  <c r="O18" i="1"/>
  <c r="S18" i="1" s="1"/>
  <c r="N18" i="1"/>
  <c r="L18" i="1"/>
  <c r="K18" i="1"/>
  <c r="X18" i="1" s="1"/>
  <c r="AK18" i="1" s="1"/>
  <c r="J18" i="1"/>
  <c r="H18" i="1"/>
  <c r="AT17" i="1"/>
  <c r="AV17" i="1" s="1"/>
  <c r="AL17" i="1"/>
  <c r="AH17" i="1"/>
  <c r="AG17" i="1"/>
  <c r="AF17" i="1"/>
  <c r="AE17" i="1"/>
  <c r="AC17" i="1"/>
  <c r="W17" i="1"/>
  <c r="AJ17" i="1" s="1"/>
  <c r="V17" i="1"/>
  <c r="AI17" i="1" s="1"/>
  <c r="S17" i="1"/>
  <c r="T17" i="1" s="1"/>
  <c r="R17" i="1"/>
  <c r="Q17" i="1"/>
  <c r="O17" i="1"/>
  <c r="N17" i="1"/>
  <c r="U17" i="1" s="1"/>
  <c r="K17" i="1"/>
  <c r="J17" i="1"/>
  <c r="H17" i="1"/>
  <c r="AV16" i="1"/>
  <c r="AT16" i="1"/>
  <c r="AL16" i="1"/>
  <c r="AF16" i="1"/>
  <c r="AG16" i="1" s="1"/>
  <c r="AE16" i="1"/>
  <c r="AC16" i="1"/>
  <c r="U16" i="1"/>
  <c r="Q16" i="1"/>
  <c r="W16" i="1" s="1"/>
  <c r="AJ16" i="1" s="1"/>
  <c r="P16" i="1"/>
  <c r="O16" i="1"/>
  <c r="V16" i="1" s="1"/>
  <c r="AI16" i="1" s="1"/>
  <c r="N16" i="1"/>
  <c r="K16" i="1"/>
  <c r="J16" i="1"/>
  <c r="H16" i="1"/>
  <c r="AT15" i="1"/>
  <c r="AV15" i="1" s="1"/>
  <c r="AL15" i="1"/>
  <c r="AG15" i="1"/>
  <c r="AF15" i="1"/>
  <c r="AE15" i="1"/>
  <c r="AC15" i="1"/>
  <c r="Q15" i="1"/>
  <c r="W15" i="1" s="1"/>
  <c r="AJ15" i="1" s="1"/>
  <c r="P15" i="1"/>
  <c r="O15" i="1"/>
  <c r="V15" i="1" s="1"/>
  <c r="AI15" i="1" s="1"/>
  <c r="N15" i="1"/>
  <c r="L15" i="1"/>
  <c r="K15" i="1"/>
  <c r="J15" i="1"/>
  <c r="H15" i="1"/>
  <c r="AT14" i="1"/>
  <c r="AV14" i="1" s="1"/>
  <c r="AL14" i="1"/>
  <c r="AF14" i="1"/>
  <c r="AG14" i="1" s="1"/>
  <c r="AE14" i="1"/>
  <c r="AC14" i="1"/>
  <c r="W14" i="1"/>
  <c r="AJ14" i="1" s="1"/>
  <c r="Q14" i="1"/>
  <c r="O14" i="1"/>
  <c r="N14" i="1"/>
  <c r="L14" i="1"/>
  <c r="K14" i="1"/>
  <c r="J14" i="1"/>
  <c r="H14" i="1"/>
  <c r="AT13" i="1"/>
  <c r="AV13" i="1" s="1"/>
  <c r="AL13" i="1"/>
  <c r="AJ13" i="1"/>
  <c r="AI13" i="1"/>
  <c r="AH13" i="1"/>
  <c r="AG13" i="1"/>
  <c r="AF13" i="1"/>
  <c r="AE13" i="1"/>
  <c r="AC13" i="1"/>
  <c r="W13" i="1"/>
  <c r="V13" i="1"/>
  <c r="U13" i="1"/>
  <c r="Q13" i="1"/>
  <c r="O13" i="1"/>
  <c r="N13" i="1"/>
  <c r="R13" i="1" s="1"/>
  <c r="L13" i="1"/>
  <c r="K13" i="1"/>
  <c r="J13" i="1"/>
  <c r="H13" i="1"/>
  <c r="AV12" i="1"/>
  <c r="AT12" i="1"/>
  <c r="AL12" i="1"/>
  <c r="AI12" i="1"/>
  <c r="AH12" i="1"/>
  <c r="AF12" i="1"/>
  <c r="AG12" i="1" s="1"/>
  <c r="AE12" i="1"/>
  <c r="AC12" i="1"/>
  <c r="V12" i="1"/>
  <c r="U12" i="1"/>
  <c r="S12" i="1"/>
  <c r="T12" i="1" s="1"/>
  <c r="R12" i="1"/>
  <c r="Q12" i="1"/>
  <c r="W12" i="1" s="1"/>
  <c r="AJ12" i="1" s="1"/>
  <c r="O12" i="1"/>
  <c r="N12" i="1"/>
  <c r="P12" i="1" s="1"/>
  <c r="L12" i="1"/>
  <c r="K12" i="1"/>
  <c r="J12" i="1"/>
  <c r="H12" i="1"/>
  <c r="AV11" i="1"/>
  <c r="AT11" i="1"/>
  <c r="AL11" i="1"/>
  <c r="AI11" i="1"/>
  <c r="AH11" i="1"/>
  <c r="AG11" i="1"/>
  <c r="AF11" i="1"/>
  <c r="AE11" i="1"/>
  <c r="AC11" i="1"/>
  <c r="U11" i="1"/>
  <c r="Q11" i="1"/>
  <c r="P11" i="1"/>
  <c r="O11" i="1"/>
  <c r="V11" i="1" s="1"/>
  <c r="N11" i="1"/>
  <c r="L11" i="1"/>
  <c r="K11" i="1"/>
  <c r="J11" i="1"/>
  <c r="H11" i="1"/>
  <c r="AT10" i="1"/>
  <c r="AV10" i="1" s="1"/>
  <c r="AL10" i="1"/>
  <c r="AF10" i="1"/>
  <c r="AG10" i="1" s="1"/>
  <c r="AE10" i="1"/>
  <c r="AC10" i="1"/>
  <c r="W10" i="1"/>
  <c r="AJ10" i="1" s="1"/>
  <c r="S10" i="1"/>
  <c r="X10" i="1" s="1"/>
  <c r="AK10" i="1" s="1"/>
  <c r="R10" i="1"/>
  <c r="Q10" i="1"/>
  <c r="O10" i="1"/>
  <c r="V10" i="1" s="1"/>
  <c r="AI10" i="1" s="1"/>
  <c r="N10" i="1"/>
  <c r="L10" i="1"/>
  <c r="K10" i="1"/>
  <c r="J10" i="1"/>
  <c r="H10" i="1"/>
  <c r="AV9" i="1"/>
  <c r="AT9" i="1"/>
  <c r="AL9" i="1"/>
  <c r="AF9" i="1"/>
  <c r="AG9" i="1" s="1"/>
  <c r="AE9" i="1"/>
  <c r="AC9" i="1"/>
  <c r="U9" i="1"/>
  <c r="Q9" i="1"/>
  <c r="R9" i="1" s="1"/>
  <c r="P9" i="1"/>
  <c r="O9" i="1"/>
  <c r="N9" i="1"/>
  <c r="K9" i="1"/>
  <c r="L9" i="1" s="1"/>
  <c r="J9" i="1"/>
  <c r="H9" i="1"/>
  <c r="AT8" i="1"/>
  <c r="AV8" i="1" s="1"/>
  <c r="AL8" i="1"/>
  <c r="AJ8" i="1"/>
  <c r="AH8" i="1"/>
  <c r="AG8" i="1"/>
  <c r="AF8" i="1"/>
  <c r="AE8" i="1"/>
  <c r="AC8" i="1"/>
  <c r="W8" i="1"/>
  <c r="U8" i="1"/>
  <c r="Q8" i="1"/>
  <c r="R8" i="1" s="1"/>
  <c r="O8" i="1"/>
  <c r="N8" i="1"/>
  <c r="L8" i="1"/>
  <c r="K8" i="1"/>
  <c r="J8" i="1"/>
  <c r="H8" i="1"/>
  <c r="AT7" i="1"/>
  <c r="AV7" i="1" s="1"/>
  <c r="AL7" i="1"/>
  <c r="AH7" i="1"/>
  <c r="AF7" i="1"/>
  <c r="AG7" i="1" s="1"/>
  <c r="AE7" i="1"/>
  <c r="AC7" i="1"/>
  <c r="V7" i="1"/>
  <c r="AI7" i="1" s="1"/>
  <c r="U7" i="1"/>
  <c r="T7" i="1"/>
  <c r="Q7" i="1"/>
  <c r="S7" i="1" s="1"/>
  <c r="O7" i="1"/>
  <c r="P7" i="1" s="1"/>
  <c r="N7" i="1"/>
  <c r="L7" i="1"/>
  <c r="K7" i="1"/>
  <c r="J7" i="1"/>
  <c r="H7" i="1"/>
  <c r="AT6" i="1"/>
  <c r="AV6" i="1" s="1"/>
  <c r="AL6" i="1"/>
  <c r="AI6" i="1"/>
  <c r="AH6" i="1"/>
  <c r="AG6" i="1"/>
  <c r="AF6" i="1"/>
  <c r="AE6" i="1"/>
  <c r="AC6" i="1"/>
  <c r="U6" i="1"/>
  <c r="Q6" i="1"/>
  <c r="W6" i="1" s="1"/>
  <c r="AJ6" i="1" s="1"/>
  <c r="P6" i="1"/>
  <c r="O6" i="1"/>
  <c r="V6" i="1" s="1"/>
  <c r="N6" i="1"/>
  <c r="L6" i="1"/>
  <c r="K6" i="1"/>
  <c r="J6" i="1"/>
  <c r="H6" i="1"/>
  <c r="AT5" i="1"/>
  <c r="AV5" i="1" s="1"/>
  <c r="AL5" i="1"/>
  <c r="AF5" i="1"/>
  <c r="AE5" i="1"/>
  <c r="AC5" i="1"/>
  <c r="W5" i="1"/>
  <c r="AJ5" i="1" s="1"/>
  <c r="Q5" i="1"/>
  <c r="O5" i="1"/>
  <c r="N5" i="1"/>
  <c r="L5" i="1"/>
  <c r="K5" i="1"/>
  <c r="J5" i="1"/>
  <c r="H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V23" i="3" l="1"/>
  <c r="AI23" i="3" s="1"/>
  <c r="S23" i="3"/>
  <c r="X23" i="3" s="1"/>
  <c r="AK23" i="3" s="1"/>
  <c r="P23" i="3"/>
  <c r="AC37" i="3"/>
  <c r="AK6" i="3"/>
  <c r="T8" i="3"/>
  <c r="V15" i="3"/>
  <c r="AI15" i="3" s="1"/>
  <c r="S15" i="3"/>
  <c r="T15" i="3" s="1"/>
  <c r="R16" i="3"/>
  <c r="W10" i="3"/>
  <c r="AJ10" i="3" s="1"/>
  <c r="R10" i="3"/>
  <c r="N36" i="3"/>
  <c r="O38" i="3" s="1"/>
  <c r="U5" i="3"/>
  <c r="AH5" i="3"/>
  <c r="T5" i="3"/>
  <c r="Y8" i="3"/>
  <c r="P15" i="3"/>
  <c r="S16" i="3"/>
  <c r="T16" i="3" s="1"/>
  <c r="W20" i="3"/>
  <c r="AJ20" i="3" s="1"/>
  <c r="S20" i="3"/>
  <c r="T20" i="3" s="1"/>
  <c r="L32" i="3"/>
  <c r="H36" i="3"/>
  <c r="U28" i="3"/>
  <c r="Y28" i="3" s="1"/>
  <c r="AH28" i="3"/>
  <c r="T28" i="3"/>
  <c r="R23" i="3"/>
  <c r="O36" i="3"/>
  <c r="V5" i="3"/>
  <c r="S5" i="3"/>
  <c r="P5" i="3"/>
  <c r="AU36" i="3"/>
  <c r="AW5" i="3"/>
  <c r="AW36" i="3" s="1"/>
  <c r="AW38" i="3" s="1"/>
  <c r="Y6" i="3"/>
  <c r="X12" i="3"/>
  <c r="AK12" i="3" s="1"/>
  <c r="W15" i="3"/>
  <c r="AJ15" i="3" s="1"/>
  <c r="R15" i="3"/>
  <c r="AH19" i="3"/>
  <c r="U19" i="3"/>
  <c r="R20" i="3"/>
  <c r="Y22" i="3"/>
  <c r="Y32" i="3"/>
  <c r="J36" i="3"/>
  <c r="X15" i="3"/>
  <c r="R5" i="3"/>
  <c r="U14" i="3"/>
  <c r="AH14" i="3"/>
  <c r="V19" i="3"/>
  <c r="AI19" i="3" s="1"/>
  <c r="S19" i="3"/>
  <c r="X19" i="3" s="1"/>
  <c r="AK19" i="3" s="1"/>
  <c r="Y20" i="3"/>
  <c r="R25" i="3"/>
  <c r="Y27" i="3"/>
  <c r="AL45" i="3"/>
  <c r="AJ5" i="3"/>
  <c r="V14" i="3"/>
  <c r="AI14" i="3" s="1"/>
  <c r="S14" i="3"/>
  <c r="X14" i="3" s="1"/>
  <c r="AK14" i="3" s="1"/>
  <c r="P14" i="3"/>
  <c r="P19" i="3"/>
  <c r="V24" i="3"/>
  <c r="AI24" i="3" s="1"/>
  <c r="S24" i="3"/>
  <c r="T24" i="3" s="1"/>
  <c r="Y26" i="3"/>
  <c r="V28" i="3"/>
  <c r="AI28" i="3" s="1"/>
  <c r="S28" i="3"/>
  <c r="X28" i="3" s="1"/>
  <c r="AK28" i="3" s="1"/>
  <c r="U33" i="3"/>
  <c r="AH33" i="3"/>
  <c r="L27" i="3"/>
  <c r="Y21" i="3"/>
  <c r="R14" i="3"/>
  <c r="X16" i="3"/>
  <c r="AK16" i="3" s="1"/>
  <c r="U18" i="3"/>
  <c r="Y18" i="3" s="1"/>
  <c r="AH18" i="3"/>
  <c r="T18" i="3"/>
  <c r="P24" i="3"/>
  <c r="Y25" i="3"/>
  <c r="R29" i="3"/>
  <c r="W29" i="3"/>
  <c r="AJ29" i="3" s="1"/>
  <c r="S29" i="3"/>
  <c r="T29" i="3" s="1"/>
  <c r="R34" i="3"/>
  <c r="W34" i="3"/>
  <c r="AJ34" i="3" s="1"/>
  <c r="S34" i="3"/>
  <c r="T34" i="3" s="1"/>
  <c r="Q36" i="3"/>
  <c r="V10" i="3"/>
  <c r="AI10" i="3" s="1"/>
  <c r="S10" i="3"/>
  <c r="T10" i="3" s="1"/>
  <c r="U23" i="3"/>
  <c r="Y23" i="3" s="1"/>
  <c r="AH23" i="3"/>
  <c r="T23" i="3"/>
  <c r="V33" i="3"/>
  <c r="AI33" i="3" s="1"/>
  <c r="P33" i="3"/>
  <c r="S33" i="3"/>
  <c r="X33" i="3" s="1"/>
  <c r="AK33" i="3" s="1"/>
  <c r="K36" i="3"/>
  <c r="R11" i="3"/>
  <c r="X20" i="3"/>
  <c r="AK20" i="3" s="1"/>
  <c r="X21" i="3"/>
  <c r="AK21" i="3" s="1"/>
  <c r="W24" i="3"/>
  <c r="AJ24" i="3" s="1"/>
  <c r="R24" i="3"/>
  <c r="Y30" i="3"/>
  <c r="Y31" i="3"/>
  <c r="I37" i="3"/>
  <c r="J37" i="3" s="1"/>
  <c r="L37" i="3" s="1"/>
  <c r="P18" i="3"/>
  <c r="R19" i="3"/>
  <c r="L26" i="3"/>
  <c r="R28" i="3"/>
  <c r="P32" i="3"/>
  <c r="R33" i="3"/>
  <c r="AF36" i="3"/>
  <c r="P13" i="3"/>
  <c r="P27" i="3"/>
  <c r="P22" i="3"/>
  <c r="X11" i="3"/>
  <c r="AK11" i="3" s="1"/>
  <c r="X25" i="3"/>
  <c r="AK25" i="3" s="1"/>
  <c r="L29" i="3"/>
  <c r="P17" i="3"/>
  <c r="P31" i="3"/>
  <c r="T32" i="3"/>
  <c r="AH32" i="3"/>
  <c r="T13" i="3"/>
  <c r="T22" i="3"/>
  <c r="R21" i="2"/>
  <c r="AH28" i="2"/>
  <c r="T28" i="2"/>
  <c r="X30" i="2"/>
  <c r="V15" i="2"/>
  <c r="AI15" i="2" s="1"/>
  <c r="S15" i="2"/>
  <c r="X15" i="2" s="1"/>
  <c r="AK15" i="2" s="1"/>
  <c r="R20" i="2"/>
  <c r="S21" i="2"/>
  <c r="T21" i="2" s="1"/>
  <c r="AH23" i="2"/>
  <c r="T23" i="2"/>
  <c r="Y26" i="2"/>
  <c r="AI5" i="2"/>
  <c r="AF36" i="2"/>
  <c r="R9" i="2"/>
  <c r="V10" i="2"/>
  <c r="AI10" i="2" s="1"/>
  <c r="S10" i="2"/>
  <c r="X10" i="2" s="1"/>
  <c r="AK10" i="2" s="1"/>
  <c r="P15" i="2"/>
  <c r="P16" i="2"/>
  <c r="W19" i="2"/>
  <c r="AJ19" i="2" s="1"/>
  <c r="S20" i="2"/>
  <c r="X20" i="2" s="1"/>
  <c r="AK20" i="2" s="1"/>
  <c r="Y27" i="2"/>
  <c r="P28" i="2"/>
  <c r="U29" i="2"/>
  <c r="Y29" i="2" s="1"/>
  <c r="AH29" i="2"/>
  <c r="X31" i="2"/>
  <c r="AK31" i="2" s="1"/>
  <c r="W35" i="2"/>
  <c r="AJ35" i="2" s="1"/>
  <c r="S35" i="2"/>
  <c r="T35" i="2" s="1"/>
  <c r="X7" i="2"/>
  <c r="AK7" i="2" s="1"/>
  <c r="L7" i="2"/>
  <c r="X13" i="2"/>
  <c r="AK13" i="2" s="1"/>
  <c r="V14" i="2"/>
  <c r="AI14" i="2" s="1"/>
  <c r="Y21" i="2"/>
  <c r="Y22" i="2"/>
  <c r="P23" i="2"/>
  <c r="U24" i="2"/>
  <c r="T24" i="2"/>
  <c r="AH24" i="2"/>
  <c r="X26" i="2"/>
  <c r="AK26" i="2" s="1"/>
  <c r="R28" i="2"/>
  <c r="V29" i="2"/>
  <c r="AI29" i="2" s="1"/>
  <c r="S29" i="2"/>
  <c r="X29" i="2" s="1"/>
  <c r="AK29" i="2" s="1"/>
  <c r="U34" i="2"/>
  <c r="Y34" i="2" s="1"/>
  <c r="AH34" i="2"/>
  <c r="R35" i="2"/>
  <c r="Q36" i="2"/>
  <c r="P6" i="2"/>
  <c r="X8" i="2"/>
  <c r="AK8" i="2" s="1"/>
  <c r="V9" i="2"/>
  <c r="AI9" i="2" s="1"/>
  <c r="R15" i="2"/>
  <c r="R16" i="2"/>
  <c r="R23" i="2"/>
  <c r="V24" i="2"/>
  <c r="AI24" i="2" s="1"/>
  <c r="S24" i="2"/>
  <c r="X24" i="2" s="1"/>
  <c r="AK24" i="2" s="1"/>
  <c r="U28" i="2"/>
  <c r="Y28" i="2" s="1"/>
  <c r="P29" i="2"/>
  <c r="P30" i="2"/>
  <c r="V34" i="2"/>
  <c r="AI34" i="2" s="1"/>
  <c r="S34" i="2"/>
  <c r="X34" i="2" s="1"/>
  <c r="AK34" i="2" s="1"/>
  <c r="P34" i="2"/>
  <c r="AL45" i="2"/>
  <c r="P9" i="2"/>
  <c r="O36" i="2"/>
  <c r="R5" i="2"/>
  <c r="R10" i="2"/>
  <c r="R11" i="2"/>
  <c r="X14" i="2"/>
  <c r="AK14" i="2" s="1"/>
  <c r="S16" i="2"/>
  <c r="T16" i="2" s="1"/>
  <c r="X21" i="2"/>
  <c r="AK21" i="2" s="1"/>
  <c r="U23" i="2"/>
  <c r="Y23" i="2" s="1"/>
  <c r="P24" i="2"/>
  <c r="P25" i="2"/>
  <c r="V28" i="2"/>
  <c r="AI28" i="2" s="1"/>
  <c r="R34" i="2"/>
  <c r="AH9" i="2"/>
  <c r="T9" i="2"/>
  <c r="N36" i="2"/>
  <c r="O38" i="2" s="1"/>
  <c r="V23" i="2"/>
  <c r="AI23" i="2" s="1"/>
  <c r="R29" i="2"/>
  <c r="AH5" i="2"/>
  <c r="U5" i="2"/>
  <c r="S5" i="2"/>
  <c r="S11" i="2"/>
  <c r="T11" i="2" s="1"/>
  <c r="S18" i="2"/>
  <c r="X18" i="2" s="1"/>
  <c r="P18" i="2"/>
  <c r="W5" i="2"/>
  <c r="S6" i="2"/>
  <c r="T6" i="2" s="1"/>
  <c r="R7" i="2"/>
  <c r="P8" i="2"/>
  <c r="S12" i="2"/>
  <c r="T12" i="2" s="1"/>
  <c r="R13" i="2"/>
  <c r="R18" i="2"/>
  <c r="AH18" i="2"/>
  <c r="U19" i="2"/>
  <c r="Y19" i="2" s="1"/>
  <c r="AH19" i="2"/>
  <c r="U20" i="2"/>
  <c r="AH20" i="2"/>
  <c r="R24" i="2"/>
  <c r="R25" i="2"/>
  <c r="S30" i="2"/>
  <c r="T30" i="2" s="1"/>
  <c r="R31" i="2"/>
  <c r="X35" i="2"/>
  <c r="AK35" i="2" s="1"/>
  <c r="H36" i="2"/>
  <c r="P14" i="2"/>
  <c r="U15" i="2"/>
  <c r="Y15" i="2" s="1"/>
  <c r="T15" i="2"/>
  <c r="AH15" i="2"/>
  <c r="X6" i="2"/>
  <c r="U10" i="2"/>
  <c r="Y10" i="2" s="1"/>
  <c r="AH10" i="2"/>
  <c r="T10" i="2"/>
  <c r="X12" i="2"/>
  <c r="AK12" i="2" s="1"/>
  <c r="L37" i="2"/>
  <c r="S7" i="2"/>
  <c r="T7" i="2" s="1"/>
  <c r="R8" i="2"/>
  <c r="AH14" i="2"/>
  <c r="T14" i="2"/>
  <c r="Y17" i="2"/>
  <c r="S19" i="2"/>
  <c r="X19" i="2" s="1"/>
  <c r="AK19" i="2" s="1"/>
  <c r="S25" i="2"/>
  <c r="T25" i="2" s="1"/>
  <c r="R26" i="2"/>
  <c r="P27" i="2"/>
  <c r="S31" i="2"/>
  <c r="T31" i="2" s="1"/>
  <c r="Y33" i="2"/>
  <c r="J36" i="2"/>
  <c r="I37" i="2"/>
  <c r="J37" i="2" s="1"/>
  <c r="P33" i="2"/>
  <c r="K36" i="2"/>
  <c r="L21" i="2"/>
  <c r="L6" i="2"/>
  <c r="T33" i="2"/>
  <c r="W25" i="1"/>
  <c r="AJ25" i="1" s="1"/>
  <c r="S25" i="1"/>
  <c r="X25" i="1" s="1"/>
  <c r="AK25" i="1" s="1"/>
  <c r="R25" i="1"/>
  <c r="AF36" i="1"/>
  <c r="AG5" i="1"/>
  <c r="Y7" i="1"/>
  <c r="AL36" i="1"/>
  <c r="AL37" i="1" s="1"/>
  <c r="AM45" i="1" s="1"/>
  <c r="AH14" i="1"/>
  <c r="T14" i="1"/>
  <c r="U14" i="1"/>
  <c r="W21" i="1"/>
  <c r="AJ21" i="1" s="1"/>
  <c r="S21" i="1"/>
  <c r="T21" i="1" s="1"/>
  <c r="R21" i="1"/>
  <c r="W30" i="1"/>
  <c r="AJ30" i="1" s="1"/>
  <c r="S30" i="1"/>
  <c r="X30" i="1" s="1"/>
  <c r="AK30" i="1" s="1"/>
  <c r="R30" i="1"/>
  <c r="AV36" i="1"/>
  <c r="AV38" i="1" s="1"/>
  <c r="X8" i="1"/>
  <c r="AK8" i="1" s="1"/>
  <c r="S14" i="1"/>
  <c r="X14" i="1" s="1"/>
  <c r="AK14" i="1" s="1"/>
  <c r="V14" i="1"/>
  <c r="AI14" i="1" s="1"/>
  <c r="P14" i="1"/>
  <c r="W26" i="1"/>
  <c r="AJ26" i="1" s="1"/>
  <c r="S26" i="1"/>
  <c r="T26" i="1" s="1"/>
  <c r="R26" i="1"/>
  <c r="V5" i="1"/>
  <c r="S5" i="1"/>
  <c r="P5" i="1"/>
  <c r="R24" i="1"/>
  <c r="W24" i="1"/>
  <c r="AJ24" i="1" s="1"/>
  <c r="W35" i="1"/>
  <c r="AJ35" i="1" s="1"/>
  <c r="S35" i="1"/>
  <c r="X35" i="1" s="1"/>
  <c r="AK35" i="1" s="1"/>
  <c r="R35" i="1"/>
  <c r="U18" i="1"/>
  <c r="Y18" i="1" s="1"/>
  <c r="AH18" i="1"/>
  <c r="T18" i="1"/>
  <c r="R29" i="1"/>
  <c r="W29" i="1"/>
  <c r="AJ29" i="1" s="1"/>
  <c r="X29" i="1"/>
  <c r="AK29" i="1" s="1"/>
  <c r="W31" i="1"/>
  <c r="AJ31" i="1" s="1"/>
  <c r="S31" i="1"/>
  <c r="T31" i="1" s="1"/>
  <c r="U5" i="1"/>
  <c r="AH5" i="1"/>
  <c r="N36" i="1"/>
  <c r="O38" i="1" s="1"/>
  <c r="R5" i="1"/>
  <c r="X17" i="1"/>
  <c r="AK17" i="1" s="1"/>
  <c r="R31" i="1"/>
  <c r="P8" i="1"/>
  <c r="V8" i="1"/>
  <c r="AI8" i="1" s="1"/>
  <c r="S8" i="1"/>
  <c r="T8" i="1" s="1"/>
  <c r="W11" i="1"/>
  <c r="AJ11" i="1" s="1"/>
  <c r="S11" i="1"/>
  <c r="T11" i="1" s="1"/>
  <c r="R11" i="1"/>
  <c r="W20" i="1"/>
  <c r="AJ20" i="1" s="1"/>
  <c r="S20" i="1"/>
  <c r="X20" i="1" s="1"/>
  <c r="AK20" i="1" s="1"/>
  <c r="R20" i="1"/>
  <c r="O36" i="1"/>
  <c r="Q36" i="1"/>
  <c r="X7" i="1"/>
  <c r="AK7" i="1" s="1"/>
  <c r="W7" i="1"/>
  <c r="AJ7" i="1" s="1"/>
  <c r="AJ36" i="1" s="1"/>
  <c r="AJ37" i="1" s="1"/>
  <c r="AH9" i="1"/>
  <c r="T9" i="1"/>
  <c r="R14" i="1"/>
  <c r="U15" i="1"/>
  <c r="AH15" i="1"/>
  <c r="T15" i="1"/>
  <c r="P18" i="1"/>
  <c r="AT36" i="1"/>
  <c r="S9" i="1"/>
  <c r="X9" i="1" s="1"/>
  <c r="R18" i="1"/>
  <c r="S33" i="1"/>
  <c r="P33" i="1"/>
  <c r="Y21" i="1"/>
  <c r="S23" i="1"/>
  <c r="X23" i="1" s="1"/>
  <c r="AK23" i="1" s="1"/>
  <c r="P23" i="1"/>
  <c r="S28" i="1"/>
  <c r="X28" i="1" s="1"/>
  <c r="AK28" i="1" s="1"/>
  <c r="P28" i="1"/>
  <c r="H36" i="1"/>
  <c r="G37" i="1"/>
  <c r="H37" i="1" s="1"/>
  <c r="L37" i="1" s="1"/>
  <c r="R6" i="1"/>
  <c r="U10" i="1"/>
  <c r="Y10" i="1" s="1"/>
  <c r="AH10" i="1"/>
  <c r="T10" i="1"/>
  <c r="L17" i="1"/>
  <c r="U19" i="1"/>
  <c r="Y19" i="1" s="1"/>
  <c r="AH19" i="1"/>
  <c r="T19" i="1"/>
  <c r="X21" i="1"/>
  <c r="AK21" i="1" s="1"/>
  <c r="X26" i="1"/>
  <c r="AK26" i="1" s="1"/>
  <c r="Y32" i="1"/>
  <c r="U34" i="1"/>
  <c r="Y34" i="1" s="1"/>
  <c r="AH34" i="1"/>
  <c r="T34" i="1"/>
  <c r="J36" i="1"/>
  <c r="R15" i="1"/>
  <c r="V18" i="1"/>
  <c r="AI18" i="1" s="1"/>
  <c r="J37" i="1"/>
  <c r="Y22" i="1"/>
  <c r="AH23" i="1"/>
  <c r="T28" i="1"/>
  <c r="U29" i="1"/>
  <c r="Y29" i="1" s="1"/>
  <c r="AH29" i="1"/>
  <c r="U35" i="1"/>
  <c r="K36" i="1"/>
  <c r="R7" i="1"/>
  <c r="V9" i="1"/>
  <c r="AI9" i="1" s="1"/>
  <c r="P10" i="1"/>
  <c r="S15" i="1"/>
  <c r="X15" i="1" s="1"/>
  <c r="AK15" i="1" s="1"/>
  <c r="R16" i="1"/>
  <c r="P17" i="1"/>
  <c r="P19" i="1"/>
  <c r="U20" i="1"/>
  <c r="AH20" i="1"/>
  <c r="U23" i="1"/>
  <c r="S24" i="1"/>
  <c r="T24" i="1" s="1"/>
  <c r="U25" i="1"/>
  <c r="Y25" i="1" s="1"/>
  <c r="AH25" i="1"/>
  <c r="T25" i="1"/>
  <c r="U28" i="1"/>
  <c r="S29" i="1"/>
  <c r="T29" i="1" s="1"/>
  <c r="U30" i="1"/>
  <c r="AH30" i="1"/>
  <c r="X32" i="1"/>
  <c r="AK32" i="1" s="1"/>
  <c r="V33" i="1"/>
  <c r="AI33" i="1" s="1"/>
  <c r="P34" i="1"/>
  <c r="AH35" i="1"/>
  <c r="S6" i="1"/>
  <c r="T6" i="1" s="1"/>
  <c r="P13" i="1"/>
  <c r="U24" i="1"/>
  <c r="AH24" i="1"/>
  <c r="Y27" i="1"/>
  <c r="W9" i="1"/>
  <c r="AJ9" i="1" s="1"/>
  <c r="X12" i="1"/>
  <c r="AK12" i="1" s="1"/>
  <c r="S13" i="1"/>
  <c r="T13" i="1" s="1"/>
  <c r="S16" i="1"/>
  <c r="T16" i="1" s="1"/>
  <c r="X22" i="1"/>
  <c r="AK22" i="1" s="1"/>
  <c r="V23" i="1"/>
  <c r="AI23" i="1" s="1"/>
  <c r="P24" i="1"/>
  <c r="X27" i="1"/>
  <c r="AK27" i="1" s="1"/>
  <c r="V28" i="1"/>
  <c r="AI28" i="1" s="1"/>
  <c r="P29" i="1"/>
  <c r="R34" i="1"/>
  <c r="P35" i="1"/>
  <c r="L31" i="1"/>
  <c r="L16" i="1"/>
  <c r="AH36" i="3" l="1"/>
  <c r="AN38" i="3" s="1"/>
  <c r="AG36" i="3"/>
  <c r="AF37" i="3"/>
  <c r="T14" i="3"/>
  <c r="U36" i="3"/>
  <c r="Y5" i="3"/>
  <c r="T19" i="3"/>
  <c r="AK15" i="3"/>
  <c r="Y15" i="3"/>
  <c r="Y19" i="3"/>
  <c r="Y33" i="3"/>
  <c r="T33" i="3"/>
  <c r="L36" i="3"/>
  <c r="K37" i="3"/>
  <c r="AI5" i="3"/>
  <c r="AI36" i="3" s="1"/>
  <c r="AI37" i="3" s="1"/>
  <c r="V36" i="3"/>
  <c r="V37" i="3" s="1"/>
  <c r="X29" i="3"/>
  <c r="W36" i="3"/>
  <c r="W37" i="3" s="1"/>
  <c r="Y14" i="3"/>
  <c r="S36" i="3"/>
  <c r="X5" i="3"/>
  <c r="X24" i="3"/>
  <c r="Q37" i="3"/>
  <c r="R37" i="3" s="1"/>
  <c r="R36" i="3"/>
  <c r="AJ36" i="3"/>
  <c r="AJ37" i="3" s="1"/>
  <c r="X10" i="3"/>
  <c r="Y11" i="3"/>
  <c r="Y12" i="3"/>
  <c r="Y16" i="3"/>
  <c r="O37" i="3"/>
  <c r="P37" i="3" s="1"/>
  <c r="P36" i="3"/>
  <c r="X34" i="3"/>
  <c r="AK18" i="2"/>
  <c r="Y18" i="2"/>
  <c r="AI36" i="2"/>
  <c r="AI37" i="2" s="1"/>
  <c r="Y8" i="2"/>
  <c r="X25" i="2"/>
  <c r="S36" i="2"/>
  <c r="X5" i="2"/>
  <c r="R36" i="2"/>
  <c r="Q37" i="2"/>
  <c r="R37" i="2" s="1"/>
  <c r="Y7" i="2"/>
  <c r="T18" i="2"/>
  <c r="V36" i="2"/>
  <c r="V37" i="2" s="1"/>
  <c r="X16" i="2"/>
  <c r="U36" i="2"/>
  <c r="O37" i="2"/>
  <c r="P37" i="2" s="1"/>
  <c r="P36" i="2"/>
  <c r="T34" i="2"/>
  <c r="T29" i="2"/>
  <c r="Y14" i="2"/>
  <c r="AG36" i="2"/>
  <c r="AF37" i="2"/>
  <c r="AK30" i="2"/>
  <c r="Y30" i="2"/>
  <c r="Y13" i="2"/>
  <c r="K37" i="2"/>
  <c r="L36" i="2"/>
  <c r="AK6" i="2"/>
  <c r="Y6" i="2"/>
  <c r="T5" i="2"/>
  <c r="Y20" i="2"/>
  <c r="AH36" i="2"/>
  <c r="AM38" i="2" s="1"/>
  <c r="Y24" i="2"/>
  <c r="T20" i="2"/>
  <c r="Y31" i="2"/>
  <c r="T19" i="2"/>
  <c r="W36" i="2"/>
  <c r="W37" i="2" s="1"/>
  <c r="AJ5" i="2"/>
  <c r="AJ36" i="2" s="1"/>
  <c r="AJ37" i="2" s="1"/>
  <c r="Y12" i="2"/>
  <c r="X11" i="2"/>
  <c r="AK9" i="1"/>
  <c r="Y9" i="1"/>
  <c r="O37" i="1"/>
  <c r="P37" i="1" s="1"/>
  <c r="P36" i="1"/>
  <c r="T20" i="1"/>
  <c r="X24" i="1"/>
  <c r="AK24" i="1" s="1"/>
  <c r="AG36" i="1"/>
  <c r="AF37" i="1"/>
  <c r="T23" i="1"/>
  <c r="X16" i="1"/>
  <c r="X31" i="1"/>
  <c r="X6" i="1"/>
  <c r="S36" i="1"/>
  <c r="X5" i="1"/>
  <c r="AI5" i="1"/>
  <c r="AI36" i="1" s="1"/>
  <c r="AI37" i="1" s="1"/>
  <c r="V36" i="1"/>
  <c r="V37" i="1" s="1"/>
  <c r="K37" i="1"/>
  <c r="L36" i="1"/>
  <c r="Y15" i="1"/>
  <c r="Y23" i="1"/>
  <c r="Y30" i="1"/>
  <c r="T5" i="1"/>
  <c r="Y26" i="1"/>
  <c r="AH36" i="1"/>
  <c r="AM38" i="1" s="1"/>
  <c r="Y8" i="1"/>
  <c r="Y17" i="1"/>
  <c r="R36" i="1"/>
  <c r="Q37" i="1"/>
  <c r="R37" i="1" s="1"/>
  <c r="W36" i="1"/>
  <c r="W37" i="1" s="1"/>
  <c r="T33" i="1"/>
  <c r="X33" i="1"/>
  <c r="T30" i="1"/>
  <c r="T35" i="1"/>
  <c r="Y20" i="1"/>
  <c r="Y12" i="1"/>
  <c r="Y28" i="1"/>
  <c r="X11" i="1"/>
  <c r="AL45" i="1"/>
  <c r="U36" i="1"/>
  <c r="Y14" i="1"/>
  <c r="X13" i="1"/>
  <c r="T36" i="3" l="1"/>
  <c r="S37" i="3"/>
  <c r="AK29" i="3"/>
  <c r="Y29" i="3"/>
  <c r="L38" i="3"/>
  <c r="K46" i="3"/>
  <c r="K47" i="3" s="1"/>
  <c r="L47" i="3"/>
  <c r="AK10" i="3"/>
  <c r="Y10" i="3"/>
  <c r="AG47" i="3"/>
  <c r="AG38" i="3"/>
  <c r="AG37" i="3"/>
  <c r="AF46" i="3"/>
  <c r="AF47" i="3" s="1"/>
  <c r="AK34" i="3"/>
  <c r="Y34" i="3"/>
  <c r="AK24" i="3"/>
  <c r="Y24" i="3"/>
  <c r="X36" i="3"/>
  <c r="AK5" i="3"/>
  <c r="AK36" i="3" s="1"/>
  <c r="AK11" i="2"/>
  <c r="Y11" i="2"/>
  <c r="AK5" i="2"/>
  <c r="X36" i="2"/>
  <c r="L38" i="2"/>
  <c r="K46" i="2"/>
  <c r="K47" i="2" s="1"/>
  <c r="L47" i="2"/>
  <c r="T36" i="2"/>
  <c r="S37" i="2"/>
  <c r="Y5" i="2"/>
  <c r="AK25" i="2"/>
  <c r="Y25" i="2"/>
  <c r="AK16" i="2"/>
  <c r="Y16" i="2"/>
  <c r="AG47" i="2"/>
  <c r="AG37" i="2"/>
  <c r="AF46" i="2"/>
  <c r="AF47" i="2" s="1"/>
  <c r="AG38" i="2"/>
  <c r="AK11" i="1"/>
  <c r="Y11" i="1"/>
  <c r="AG47" i="1"/>
  <c r="AG37" i="1"/>
  <c r="AF46" i="1"/>
  <c r="AF47" i="1" s="1"/>
  <c r="AG38" i="1"/>
  <c r="K46" i="1"/>
  <c r="K47" i="1" s="1"/>
  <c r="L47" i="1"/>
  <c r="L38" i="1"/>
  <c r="X36" i="1"/>
  <c r="AK5" i="1"/>
  <c r="AK13" i="1"/>
  <c r="Y13" i="1"/>
  <c r="AK16" i="1"/>
  <c r="Y16" i="1"/>
  <c r="Y24" i="1"/>
  <c r="T36" i="1"/>
  <c r="S37" i="1"/>
  <c r="AK6" i="1"/>
  <c r="Y6" i="1"/>
  <c r="Y5" i="1"/>
  <c r="AK33" i="1"/>
  <c r="Y33" i="1"/>
  <c r="AK31" i="1"/>
  <c r="Y31" i="1"/>
  <c r="AK40" i="3" l="1"/>
  <c r="AL40" i="3" s="1"/>
  <c r="AK37" i="3"/>
  <c r="Y36" i="3"/>
  <c r="X37" i="3"/>
  <c r="Y37" i="3" s="1"/>
  <c r="S46" i="3"/>
  <c r="S47" i="3" s="1"/>
  <c r="T47" i="3"/>
  <c r="T37" i="3"/>
  <c r="T38" i="3"/>
  <c r="S46" i="2"/>
  <c r="S47" i="2" s="1"/>
  <c r="T47" i="2"/>
  <c r="T37" i="2"/>
  <c r="T38" i="2"/>
  <c r="X37" i="2"/>
  <c r="Y37" i="2" s="1"/>
  <c r="Y36" i="2"/>
  <c r="AK36" i="2"/>
  <c r="X37" i="1"/>
  <c r="Y37" i="1" s="1"/>
  <c r="Y36" i="1"/>
  <c r="T47" i="1"/>
  <c r="S46" i="1"/>
  <c r="S47" i="1" s="1"/>
  <c r="T38" i="1"/>
  <c r="T37" i="1"/>
  <c r="AK36" i="1"/>
  <c r="AK41" i="3" l="1"/>
  <c r="AL41" i="3" s="1"/>
  <c r="AL39" i="3"/>
  <c r="AL46" i="3"/>
  <c r="AL38" i="3"/>
  <c r="AK43" i="3"/>
  <c r="AK45" i="3"/>
  <c r="AK46" i="3" s="1"/>
  <c r="AK40" i="2"/>
  <c r="AL40" i="2" s="1"/>
  <c r="AK37" i="2"/>
  <c r="AK40" i="1"/>
  <c r="AL40" i="1" s="1"/>
  <c r="AK37" i="1"/>
  <c r="AK41" i="2" l="1"/>
  <c r="AL41" i="2" s="1"/>
  <c r="AL39" i="2"/>
  <c r="AL46" i="2"/>
  <c r="AL38" i="2"/>
  <c r="AK43" i="2"/>
  <c r="AK45" i="2"/>
  <c r="AK46" i="2" s="1"/>
  <c r="AL39" i="1"/>
  <c r="AK41" i="1"/>
  <c r="AL41" i="1" s="1"/>
  <c r="AL46" i="1"/>
  <c r="AL38" i="1"/>
  <c r="AK43" i="1"/>
  <c r="AK45" i="1"/>
  <c r="AK46" i="1" s="1"/>
</calcChain>
</file>

<file path=xl/sharedStrings.xml><?xml version="1.0" encoding="utf-8"?>
<sst xmlns="http://schemas.openxmlformats.org/spreadsheetml/2006/main" count="359" uniqueCount="86">
  <si>
    <t>※割引反映前</t>
  </si>
  <si>
    <t>金額：(税込)</t>
  </si>
  <si>
    <t>JW</t>
  </si>
  <si>
    <t>LUNCH</t>
  </si>
  <si>
    <t>DINNER（計算式あり・入力不要）</t>
  </si>
  <si>
    <t>レストランTOTAL売上（税込）</t>
  </si>
  <si>
    <t>T.O（税込）</t>
  </si>
  <si>
    <t>レストラン＋T/O（人数は含まず）＋南京錠売上TOTAL</t>
  </si>
  <si>
    <t>レストラン営業終了後トータル売上（入力用税込）</t>
  </si>
  <si>
    <t>日割予算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</si>
  <si>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</si>
  <si>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</si>
  <si>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</si>
  <si>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</si>
  <si>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</si>
  <si>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</si>
  <si>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</si>
  <si>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</si>
  <si>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NVP</t>
  </si>
  <si>
    <t>人数</t>
  </si>
  <si>
    <t>料理売上</t>
  </si>
  <si>
    <t>飲料売上</t>
  </si>
  <si>
    <t>売上</t>
  </si>
  <si>
    <t>個数</t>
  </si>
  <si>
    <t>料理単価</t>
  </si>
  <si>
    <t>飲料単価</t>
  </si>
  <si>
    <t>合計</t>
  </si>
  <si>
    <t>席料+南京錠+花</t>
  </si>
  <si>
    <t>客数</t>
  </si>
  <si>
    <t>料理</t>
  </si>
  <si>
    <t>飲料</t>
  </si>
  <si>
    <t>席料</t>
  </si>
  <si>
    <t>南京錠　　　　　　　　（プラン＋自販）</t>
  </si>
  <si>
    <t>花束（プラン）</t>
  </si>
  <si>
    <t>招待券・花束             （預り金）</t>
  </si>
  <si>
    <t>売上合計　　　　　（花束預り金除く）</t>
  </si>
  <si>
    <t>税抜金額</t>
  </si>
  <si>
    <t>入客</t>
  </si>
  <si>
    <t>（営業日数）</t>
  </si>
  <si>
    <t>一日平均</t>
  </si>
  <si>
    <t>■ランチコメント</t>
  </si>
  <si>
    <t>■ディナーコメント</t>
  </si>
  <si>
    <t>■TOコメント</t>
  </si>
  <si>
    <t>　1日売上平均（税込）</t>
  </si>
  <si>
    <t>その他予算</t>
  </si>
  <si>
    <t>TOTAL予算</t>
  </si>
  <si>
    <t>ランチ予算</t>
  </si>
  <si>
    <t>当月残り日数</t>
  </si>
  <si>
    <t>ディナー予算</t>
  </si>
  <si>
    <t>テイク予算</t>
  </si>
  <si>
    <t>予算まで</t>
  </si>
  <si>
    <t>達成まで一日あたり</t>
  </si>
  <si>
    <t>ランチ休業</t>
  </si>
  <si>
    <t>税抜レストラン+T/O売上単価</t>
  </si>
  <si>
    <t>(T/O＋レストラン昼夜)</t>
  </si>
  <si>
    <t>税抜レストラン+T/O売上</t>
  </si>
  <si>
    <t>　1日売上平均（税抜）</t>
  </si>
  <si>
    <t>税込合計</t>
  </si>
  <si>
    <t>税抜合計</t>
  </si>
  <si>
    <t>夜景PT</t>
    <rPh sb="0" eb="2">
      <t>ヤケイ</t>
    </rPh>
    <phoneticPr fontId="2"/>
  </si>
  <si>
    <t>ランチ休業（12:00運休）</t>
    <rPh sb="11" eb="13">
      <t>ウンキュウ</t>
    </rPh>
    <phoneticPr fontId="2"/>
  </si>
  <si>
    <t>始発から運休（観光道路も閉鎖）</t>
    <rPh sb="0" eb="2">
      <t>シハツ</t>
    </rPh>
    <rPh sb="4" eb="6">
      <t>ウンキュウ</t>
    </rPh>
    <rPh sb="7" eb="9">
      <t>カンコウ</t>
    </rPh>
    <rPh sb="9" eb="11">
      <t>ドウロ</t>
    </rPh>
    <rPh sb="12" eb="14">
      <t>ヘイサ</t>
    </rPh>
    <phoneticPr fontId="2"/>
  </si>
  <si>
    <t>ランチ休業 始発から運休（観光道路も閉鎖）</t>
    <phoneticPr fontId="2"/>
  </si>
  <si>
    <t>ランチ休業(ロープウェイ終日運休）</t>
    <rPh sb="12" eb="14">
      <t>シュウジツ</t>
    </rPh>
    <rPh sb="14" eb="16">
      <t>ウンキュウ</t>
    </rPh>
    <phoneticPr fontId="2"/>
  </si>
  <si>
    <t>席料予算</t>
    <rPh sb="0" eb="2">
      <t>セキリョウ</t>
    </rPh>
    <rPh sb="2" eb="4">
      <t>ヨサン</t>
    </rPh>
    <phoneticPr fontId="2"/>
  </si>
  <si>
    <t>その他</t>
    <rPh sb="2" eb="3">
      <t>タ</t>
    </rPh>
    <phoneticPr fontId="2"/>
  </si>
  <si>
    <t>15:00~ロープウェイ運休</t>
    <rPh sb="12" eb="14">
      <t>ウンキュウ</t>
    </rPh>
    <phoneticPr fontId="2"/>
  </si>
  <si>
    <t>終日運休（営業休止）</t>
    <rPh sb="0" eb="2">
      <t>シュウジツ</t>
    </rPh>
    <rPh sb="2" eb="4">
      <t>ウンキュウ</t>
    </rPh>
    <rPh sb="5" eb="7">
      <t>エイギョウ</t>
    </rPh>
    <rPh sb="7" eb="9">
      <t>キュウシ</t>
    </rPh>
    <phoneticPr fontId="2"/>
  </si>
  <si>
    <t>ランチ休業(~16:00迄RW運休）</t>
    <rPh sb="12" eb="13">
      <t>マデ</t>
    </rPh>
    <rPh sb="15" eb="17">
      <t>ウンキュウ</t>
    </rPh>
    <phoneticPr fontId="2"/>
  </si>
  <si>
    <t>ランチ休業（メーカーズディナー）</t>
    <phoneticPr fontId="2"/>
  </si>
  <si>
    <t>13:30~RW運休 16:00～観道封鎖</t>
    <rPh sb="8" eb="10">
      <t>ウンキュウ</t>
    </rPh>
    <rPh sb="17" eb="19">
      <t>カンドウ</t>
    </rPh>
    <rPh sb="19" eb="21">
      <t>フウサ</t>
    </rPh>
    <phoneticPr fontId="2"/>
  </si>
  <si>
    <t>16:00~RW・観道再開</t>
    <rPh sb="9" eb="11">
      <t>カンドウ</t>
    </rPh>
    <rPh sb="11" eb="13">
      <t>サイカイ</t>
    </rPh>
    <phoneticPr fontId="2"/>
  </si>
  <si>
    <t>ランチ休業（16:00~ロープウェイ運休）</t>
    <phoneticPr fontId="2"/>
  </si>
  <si>
    <t>ランチ休業(~15:00迄RW運休）</t>
    <rPh sb="12" eb="13">
      <t>マデ</t>
    </rPh>
    <rPh sb="15" eb="17">
      <t>ウンキュウ</t>
    </rPh>
    <phoneticPr fontId="2"/>
  </si>
  <si>
    <t>終日運休（ディナー営業休止）</t>
    <rPh sb="0" eb="2">
      <t>シュウジツ</t>
    </rPh>
    <rPh sb="2" eb="4">
      <t>ウンキュウ</t>
    </rPh>
    <phoneticPr fontId="2"/>
  </si>
  <si>
    <t>終日運休（営業休止）</t>
    <rPh sb="0" eb="2">
      <t>シュウジツ</t>
    </rPh>
    <rPh sb="2" eb="4">
      <t>ウンキュウ</t>
    </rPh>
    <phoneticPr fontId="2"/>
  </si>
  <si>
    <t>ランチ休業(15:00 ~終日運休）</t>
    <rPh sb="13" eb="15">
      <t>シュウジツ</t>
    </rPh>
    <rPh sb="15" eb="17">
      <t>ウンキュウ</t>
    </rPh>
    <phoneticPr fontId="2"/>
  </si>
  <si>
    <t>レストラン＋T/O（人数は含まず）＋南京錠売上
 +もーりすカレーTOTAL</t>
    <phoneticPr fontId="2"/>
  </si>
  <si>
    <t>席料+南京錠+花</t>
    <phoneticPr fontId="2"/>
  </si>
  <si>
    <t>カレー</t>
    <phoneticPr fontId="2"/>
  </si>
  <si>
    <r>
      <t xml:space="preserve">ランチ休業 </t>
    </r>
    <r>
      <rPr>
        <sz val="9"/>
        <color rgb="FFFF0000"/>
        <rFont val="游ゴシック Medium"/>
        <family val="3"/>
        <charset val="128"/>
      </rPr>
      <t>【16時～終日運休】</t>
    </r>
    <phoneticPr fontId="2"/>
  </si>
  <si>
    <t>【終日運休】</t>
    <rPh sb="1" eb="5">
      <t>シュウジツウンキュウ</t>
    </rPh>
    <phoneticPr fontId="2"/>
  </si>
  <si>
    <t>ランチ休業 (21:10MC最終）</t>
    <rPh sb="14" eb="16">
      <t>サイシュウ</t>
    </rPh>
    <phoneticPr fontId="2"/>
  </si>
  <si>
    <t>98+10</t>
    <phoneticPr fontId="2"/>
  </si>
  <si>
    <t>もーりすカレー販売開始</t>
    <rPh sb="7" eb="9">
      <t>ハンバイ</t>
    </rPh>
    <rPh sb="9" eb="11">
      <t>カイシ</t>
    </rPh>
    <phoneticPr fontId="2"/>
  </si>
  <si>
    <t>休業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</si>
</sst>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</numFmts>
  <fonts count="25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color rgb="FF000000"/>
      <name val="游ゴシック Medium"/>
      <family val="3"/>
      <charset val="128"/>
    </font>
    <font>
      <sz val="9"/>
      <color theme="1"/>
      <name val="游ゴシック Medium"/>
      <family val="3"/>
      <charset val="128"/>
    </font>
    <font>
      <sz val="10"/>
      <color rgb="FF000000"/>
      <name val="游ゴシック Medium"/>
      <family val="3"/>
      <charset val="128"/>
    </font>
    <font>
      <sz val="10"/>
      <color theme="1"/>
      <name val="游ゴシック Medium"/>
      <family val="3"/>
      <charset val="128"/>
    </font>
    <font>
      <b/>
      <sz val="9"/>
      <color rgb="FF000000"/>
      <name val="游ゴシック Medium"/>
      <family val="3"/>
      <charset val="128"/>
    </font>
    <font>
      <b/>
      <sz val="12"/>
      <color theme="1"/>
      <name val="游ゴシック Medium"/>
      <family val="3"/>
      <charset val="128"/>
    </font>
    <font>
      <b/>
      <sz val="12"/>
      <color rgb="FF000000"/>
      <name val="游ゴシック Medium"/>
      <family val="3"/>
      <charset val="128"/>
    </font>
    <font>
      <sz val="10"/>
      <name val="游ゴシック Medium"/>
      <family val="3"/>
      <charset val="128"/>
    </font>
    <font>
      <b/>
      <sz val="10"/>
      <color rgb="FF000000"/>
      <name val="游ゴシック Medium"/>
      <family val="3"/>
      <charset val="128"/>
    </font>
    <font>
      <b/>
      <sz val="11"/>
      <color rgb="FF000000"/>
      <name val="游ゴシック Medium"/>
      <family val="3"/>
      <charset val="128"/>
    </font>
    <font>
      <sz val="9"/>
      <color rgb="FFFF0000"/>
      <name val="游ゴシック Medium"/>
      <family val="3"/>
      <charset val="128"/>
    </font>
    <font>
      <sz val="9"/>
      <color theme="4"/>
      <name val="游ゴシック Medium"/>
      <family val="3"/>
      <charset val="128"/>
    </font>
    <font>
      <b/>
      <sz val="9"/>
      <color theme="1"/>
      <name val="游ゴシック Medium"/>
      <family val="3"/>
      <charset val="128"/>
    </font>
    <font>
      <b/>
      <sz val="8"/>
      <color rgb="FF000000"/>
      <name val="游ゴシック Medium"/>
      <family val="3"/>
      <charset val="128"/>
    </font>
    <font>
      <b/>
      <sz val="7"/>
      <color rgb="FF000000"/>
      <name val="游ゴシック Medium"/>
      <family val="3"/>
      <charset val="128"/>
    </font>
    <font>
      <b/>
      <sz val="6"/>
      <color rgb="FF000000"/>
      <name val="游ゴシック Medium"/>
      <family val="3"/>
      <charset val="128"/>
    </font>
    <font>
      <sz val="11"/>
      <color rgb="FF000000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sz val="12"/>
      <color rgb="FF000000"/>
      <name val="游ゴシック Medium"/>
      <family val="3"/>
      <charset val="128"/>
    </font>
    <font>
      <sz val="8"/>
      <color rgb="FF000000"/>
      <name val="游ゴシック Medium"/>
      <family val="3"/>
      <charset val="128"/>
    </font>
    <font>
      <sz val="9"/>
      <name val="游ゴシック Medium"/>
      <family val="3"/>
      <charset val="128"/>
    </font>
    <font>
      <sz val="9"/>
      <color rgb="FF00B0F0"/>
      <name val="游ゴシック Medium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  <fill>
      <patternFill patternType="solid">
        <fgColor rgb="FFFBE5D6"/>
        <bgColor rgb="FFFBE5D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8" fontId="3" fillId="0" borderId="0" xfId="0" applyNumberFormat="1" applyFont="1" applyAlignment="1">
      <alignment horizontal="center" vertical="center" wrapText="1"/>
    </xf>
    <xf numFmtId="0" fontId="5" fillId="0" borderId="0" xfId="0" applyFont="1" applyAlignment="1"/>
    <xf numFmtId="176" fontId="3" fillId="0" borderId="0" xfId="0" applyNumberFormat="1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/>
    <xf numFmtId="0" fontId="12" fillId="0" borderId="4" xfId="0" applyFont="1" applyBorder="1" applyAlignment="1">
      <alignment horizontal="center" vertical="center" wrapText="1"/>
    </xf>
    <xf numFmtId="0" fontId="10" fillId="0" borderId="5" xfId="0" applyFont="1" applyBorder="1" applyAlignment="1"/>
    <xf numFmtId="0" fontId="10" fillId="0" borderId="6" xfId="0" applyFont="1" applyBorder="1" applyAlignment="1"/>
    <xf numFmtId="0" fontId="12" fillId="4" borderId="1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0" fillId="0" borderId="8" xfId="0" applyFont="1" applyBorder="1" applyAlignment="1"/>
    <xf numFmtId="0" fontId="3" fillId="0" borderId="10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38" fontId="3" fillId="0" borderId="16" xfId="0" applyNumberFormat="1" applyFont="1" applyBorder="1" applyAlignment="1">
      <alignment horizontal="center" vertical="center" wrapText="1"/>
    </xf>
    <xf numFmtId="0" fontId="3" fillId="0" borderId="0" xfId="0" applyFont="1" applyAlignment="1"/>
    <xf numFmtId="38" fontId="7" fillId="0" borderId="16" xfId="0" applyNumberFormat="1" applyFont="1" applyBorder="1" applyAlignment="1"/>
    <xf numFmtId="38" fontId="3" fillId="0" borderId="0" xfId="0" applyNumberFormat="1" applyFont="1" applyAlignment="1"/>
    <xf numFmtId="0" fontId="7" fillId="0" borderId="0" xfId="0" applyFont="1" applyAlignment="1"/>
    <xf numFmtId="0" fontId="15" fillId="0" borderId="26" xfId="0" applyFont="1" applyBorder="1" applyAlignment="1"/>
    <xf numFmtId="38" fontId="7" fillId="0" borderId="27" xfId="0" applyNumberFormat="1" applyFont="1" applyBorder="1" applyAlignment="1"/>
    <xf numFmtId="179" fontId="7" fillId="0" borderId="28" xfId="0" applyNumberFormat="1" applyFont="1" applyBorder="1" applyAlignment="1"/>
    <xf numFmtId="180" fontId="7" fillId="0" borderId="27" xfId="0" applyNumberFormat="1" applyFont="1" applyBorder="1" applyAlignment="1"/>
    <xf numFmtId="38" fontId="16" fillId="0" borderId="28" xfId="0" applyNumberFormat="1" applyFont="1" applyBorder="1" applyAlignment="1"/>
    <xf numFmtId="38" fontId="7" fillId="0" borderId="28" xfId="0" applyNumberFormat="1" applyFont="1" applyBorder="1" applyAlignment="1"/>
    <xf numFmtId="38" fontId="7" fillId="0" borderId="26" xfId="0" applyNumberFormat="1" applyFont="1" applyBorder="1" applyAlignment="1"/>
    <xf numFmtId="38" fontId="7" fillId="5" borderId="27" xfId="0" applyNumberFormat="1" applyFont="1" applyFill="1" applyBorder="1" applyAlignment="1"/>
    <xf numFmtId="182" fontId="7" fillId="0" borderId="27" xfId="0" applyNumberFormat="1" applyFont="1" applyBorder="1" applyAlignment="1">
      <alignment shrinkToFit="1"/>
    </xf>
    <xf numFmtId="181" fontId="7" fillId="0" borderId="28" xfId="0" applyNumberFormat="1" applyFont="1" applyBorder="1" applyAlignment="1"/>
    <xf numFmtId="38" fontId="16" fillId="0" borderId="27" xfId="0" applyNumberFormat="1" applyFont="1" applyBorder="1" applyAlignment="1"/>
    <xf numFmtId="38" fontId="12" fillId="5" borderId="27" xfId="0" applyNumberFormat="1" applyFont="1" applyFill="1" applyBorder="1" applyAlignment="1"/>
    <xf numFmtId="182" fontId="17" fillId="0" borderId="28" xfId="0" applyNumberFormat="1" applyFont="1" applyBorder="1" applyAlignment="1">
      <alignment shrinkToFit="1"/>
    </xf>
    <xf numFmtId="38" fontId="17" fillId="0" borderId="27" xfId="0" applyNumberFormat="1" applyFont="1" applyBorder="1" applyAlignment="1"/>
    <xf numFmtId="38" fontId="16" fillId="5" borderId="27" xfId="0" applyNumberFormat="1" applyFont="1" applyFill="1" applyBorder="1" applyAlignment="1"/>
    <xf numFmtId="182" fontId="16" fillId="0" borderId="28" xfId="0" applyNumberFormat="1" applyFont="1" applyBorder="1" applyAlignment="1">
      <alignment shrinkToFit="1"/>
    </xf>
    <xf numFmtId="38" fontId="17" fillId="0" borderId="28" xfId="0" applyNumberFormat="1" applyFont="1" applyBorder="1" applyAlignment="1"/>
    <xf numFmtId="38" fontId="11" fillId="5" borderId="27" xfId="0" applyNumberFormat="1" applyFont="1" applyFill="1" applyBorder="1" applyAlignment="1"/>
    <xf numFmtId="182" fontId="16" fillId="0" borderId="28" xfId="0" applyNumberFormat="1" applyFont="1" applyBorder="1" applyAlignment="1"/>
    <xf numFmtId="38" fontId="7" fillId="5" borderId="16" xfId="0" applyNumberFormat="1" applyFont="1" applyFill="1" applyBorder="1" applyAlignment="1"/>
    <xf numFmtId="38" fontId="7" fillId="8" borderId="16" xfId="0" applyNumberFormat="1" applyFont="1" applyFill="1" applyBorder="1" applyAlignment="1"/>
    <xf numFmtId="0" fontId="15" fillId="0" borderId="0" xfId="0" applyFont="1" applyAlignment="1"/>
    <xf numFmtId="0" fontId="7" fillId="0" borderId="7" xfId="0" applyFont="1" applyBorder="1" applyAlignment="1"/>
    <xf numFmtId="38" fontId="16" fillId="0" borderId="16" xfId="0" applyNumberFormat="1" applyFont="1" applyBorder="1" applyAlignment="1"/>
    <xf numFmtId="38" fontId="12" fillId="5" borderId="16" xfId="0" applyNumberFormat="1" applyFont="1" applyFill="1" applyBorder="1" applyAlignment="1"/>
    <xf numFmtId="182" fontId="7" fillId="0" borderId="0" xfId="0" applyNumberFormat="1" applyFont="1" applyAlignment="1">
      <alignment shrinkToFit="1"/>
    </xf>
    <xf numFmtId="179" fontId="7" fillId="0" borderId="0" xfId="0" applyNumberFormat="1" applyFont="1" applyAlignment="1"/>
    <xf numFmtId="182" fontId="17" fillId="0" borderId="0" xfId="0" applyNumberFormat="1" applyFont="1" applyAlignment="1"/>
    <xf numFmtId="38" fontId="16" fillId="5" borderId="16" xfId="0" applyNumberFormat="1" applyFont="1" applyFill="1" applyBorder="1" applyAlignment="1"/>
    <xf numFmtId="182" fontId="7" fillId="0" borderId="0" xfId="0" applyNumberFormat="1" applyFont="1" applyAlignment="1"/>
    <xf numFmtId="38" fontId="17" fillId="0" borderId="16" xfId="0" applyNumberFormat="1" applyFont="1" applyBorder="1" applyAlignment="1"/>
    <xf numFmtId="38" fontId="7" fillId="0" borderId="6" xfId="0" applyNumberFormat="1" applyFont="1" applyBorder="1" applyAlignment="1"/>
    <xf numFmtId="38" fontId="7" fillId="0" borderId="0" xfId="0" applyNumberFormat="1" applyFont="1" applyAlignment="1"/>
    <xf numFmtId="0" fontId="4" fillId="0" borderId="0" xfId="0" applyFont="1" applyAlignment="1"/>
    <xf numFmtId="0" fontId="3" fillId="0" borderId="0" xfId="0" applyFont="1" applyAlignment="1">
      <alignment horizontal="right"/>
    </xf>
    <xf numFmtId="183" fontId="7" fillId="0" borderId="0" xfId="0" applyNumberFormat="1" applyFont="1" applyAlignment="1"/>
    <xf numFmtId="183" fontId="7" fillId="6" borderId="0" xfId="0" applyNumberFormat="1" applyFont="1" applyFill="1" applyAlignment="1"/>
    <xf numFmtId="183" fontId="18" fillId="0" borderId="0" xfId="0" applyNumberFormat="1" applyFont="1" applyAlignment="1"/>
    <xf numFmtId="183" fontId="7" fillId="0" borderId="0" xfId="0" applyNumberFormat="1" applyFont="1" applyAlignment="1">
      <alignment horizontal="right"/>
    </xf>
    <xf numFmtId="184" fontId="16" fillId="0" borderId="0" xfId="0" applyNumberFormat="1" applyFont="1" applyAlignment="1"/>
    <xf numFmtId="184" fontId="16" fillId="0" borderId="0" xfId="0" applyNumberFormat="1" applyFont="1" applyAlignment="1">
      <alignment shrinkToFit="1"/>
    </xf>
    <xf numFmtId="183" fontId="7" fillId="4" borderId="0" xfId="0" applyNumberFormat="1" applyFont="1" applyFill="1" applyAlignment="1"/>
    <xf numFmtId="184" fontId="7" fillId="0" borderId="0" xfId="0" applyNumberFormat="1" applyFont="1" applyAlignment="1"/>
    <xf numFmtId="3" fontId="3" fillId="0" borderId="0" xfId="0" applyNumberFormat="1" applyFont="1" applyAlignment="1"/>
    <xf numFmtId="0" fontId="3" fillId="0" borderId="19" xfId="0" applyFont="1" applyBorder="1" applyAlignment="1"/>
    <xf numFmtId="0" fontId="3" fillId="0" borderId="25" xfId="0" applyFont="1" applyBorder="1" applyAlignment="1">
      <alignment horizontal="right"/>
    </xf>
    <xf numFmtId="183" fontId="7" fillId="8" borderId="0" xfId="0" applyNumberFormat="1" applyFont="1" applyFill="1" applyAlignment="1"/>
    <xf numFmtId="0" fontId="3" fillId="0" borderId="29" xfId="0" applyFont="1" applyBorder="1" applyAlignment="1"/>
    <xf numFmtId="185" fontId="3" fillId="0" borderId="0" xfId="0" applyNumberFormat="1" applyFont="1" applyAlignment="1"/>
    <xf numFmtId="0" fontId="4" fillId="0" borderId="1" xfId="0" applyFont="1" applyBorder="1" applyAlignment="1">
      <alignment horizontal="left" vertical="top" wrapText="1"/>
    </xf>
    <xf numFmtId="0" fontId="10" fillId="0" borderId="24" xfId="0" applyFont="1" applyBorder="1" applyAlignment="1"/>
    <xf numFmtId="0" fontId="10" fillId="0" borderId="25" xfId="0" applyFont="1" applyBorder="1" applyAlignment="1"/>
    <xf numFmtId="0" fontId="5" fillId="0" borderId="0" xfId="0" applyFont="1" applyAlignment="1"/>
    <xf numFmtId="0" fontId="10" fillId="0" borderId="29" xfId="0" applyFont="1" applyBorder="1" applyAlignme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17" xfId="0" applyFont="1" applyBorder="1" applyAlignment="1"/>
    <xf numFmtId="0" fontId="10" fillId="0" borderId="20" xfId="0" applyFont="1" applyBorder="1" applyAlignment="1"/>
    <xf numFmtId="0" fontId="10" fillId="0" borderId="19" xfId="0" applyFont="1" applyBorder="1" applyAlignme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 shrinkToFit="1"/>
    </xf>
    <xf numFmtId="0" fontId="7" fillId="5" borderId="0" xfId="0" applyFont="1" applyFill="1" applyAlignment="1"/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184" fontId="12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184" fontId="11" fillId="0" borderId="0" xfId="0" applyNumberFormat="1" applyFont="1">
      <alignment vertical="center"/>
    </xf>
    <xf numFmtId="10" fontId="11" fillId="0" borderId="0" xfId="0" applyNumberFormat="1" applyFont="1">
      <alignment vertical="center"/>
    </xf>
    <xf numFmtId="10" fontId="12" fillId="0" borderId="0" xfId="0" applyNumberFormat="1" applyFont="1">
      <alignment vertical="center"/>
    </xf>
    <xf numFmtId="186" fontId="7" fillId="0" borderId="0" xfId="0" applyNumberFormat="1" applyFont="1" applyAlignment="1"/>
    <xf numFmtId="38" fontId="19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38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8" fontId="9" fillId="0" borderId="0" xfId="0" applyNumberFormat="1" applyFont="1">
      <alignment vertical="center"/>
    </xf>
    <xf numFmtId="38" fontId="7" fillId="0" borderId="0" xfId="0" applyNumberFormat="1" applyFont="1">
      <alignment vertical="center"/>
    </xf>
    <xf numFmtId="38" fontId="21" fillId="0" borderId="0" xfId="0" applyNumberFormat="1" applyFont="1">
      <alignment vertical="center"/>
    </xf>
    <xf numFmtId="0" fontId="21" fillId="0" borderId="0" xfId="0" applyFont="1">
      <alignment vertical="center"/>
    </xf>
    <xf numFmtId="0" fontId="3" fillId="0" borderId="0" xfId="0" applyFont="1">
      <alignment vertical="center"/>
    </xf>
    <xf numFmtId="38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 shrinkToFit="1"/>
    </xf>
    <xf numFmtId="176" fontId="22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 shrinkToFit="1"/>
    </xf>
    <xf numFmtId="177" fontId="3" fillId="0" borderId="1" xfId="0" applyNumberFormat="1" applyFont="1" applyBorder="1" applyAlignment="1">
      <alignment horizontal="center" vertical="center" shrinkToFit="1"/>
    </xf>
    <xf numFmtId="177" fontId="3" fillId="0" borderId="30" xfId="0" applyNumberFormat="1" applyFont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77" fontId="3" fillId="0" borderId="8" xfId="0" applyNumberFormat="1" applyFont="1" applyBorder="1" applyAlignment="1">
      <alignment horizontal="center" vertical="center" shrinkToFit="1"/>
    </xf>
    <xf numFmtId="177" fontId="3" fillId="0" borderId="31" xfId="0" applyNumberFormat="1" applyFont="1" applyBorder="1" applyAlignment="1">
      <alignment horizontal="center" vertical="center" wrapText="1"/>
    </xf>
    <xf numFmtId="178" fontId="4" fillId="0" borderId="17" xfId="0" applyNumberFormat="1" applyFont="1" applyBorder="1">
      <alignment vertical="center"/>
    </xf>
    <xf numFmtId="38" fontId="3" fillId="0" borderId="7" xfId="0" applyNumberFormat="1" applyFont="1" applyBorder="1" applyAlignment="1">
      <alignment vertical="center" shrinkToFit="1"/>
    </xf>
    <xf numFmtId="38" fontId="3" fillId="0" borderId="17" xfId="0" applyNumberFormat="1" applyFont="1" applyBorder="1" applyAlignment="1">
      <alignment horizontal="center" vertical="center"/>
    </xf>
    <xf numFmtId="179" fontId="3" fillId="0" borderId="18" xfId="0" applyNumberFormat="1" applyFont="1" applyBorder="1">
      <alignment vertical="center"/>
    </xf>
    <xf numFmtId="180" fontId="3" fillId="2" borderId="18" xfId="0" applyNumberFormat="1" applyFont="1" applyFill="1" applyBorder="1">
      <alignment vertical="center"/>
    </xf>
    <xf numFmtId="38" fontId="3" fillId="6" borderId="18" xfId="0" applyNumberFormat="1" applyFont="1" applyFill="1" applyBorder="1">
      <alignment vertical="center"/>
    </xf>
    <xf numFmtId="38" fontId="7" fillId="0" borderId="19" xfId="0" applyNumberFormat="1" applyFont="1" applyBorder="1">
      <alignment vertical="center"/>
    </xf>
    <xf numFmtId="38" fontId="7" fillId="0" borderId="17" xfId="0" applyNumberFormat="1" applyFont="1" applyBorder="1">
      <alignment vertical="center"/>
    </xf>
    <xf numFmtId="38" fontId="12" fillId="2" borderId="18" xfId="0" applyNumberFormat="1" applyFont="1" applyFill="1" applyBorder="1">
      <alignment vertical="center"/>
    </xf>
    <xf numFmtId="40" fontId="3" fillId="0" borderId="20" xfId="0" applyNumberFormat="1" applyFont="1" applyBorder="1">
      <alignment vertical="center"/>
    </xf>
    <xf numFmtId="181" fontId="3" fillId="0" borderId="18" xfId="0" applyNumberFormat="1" applyFont="1" applyBorder="1">
      <alignment vertical="center"/>
    </xf>
    <xf numFmtId="180" fontId="3" fillId="3" borderId="18" xfId="0" applyNumberFormat="1" applyFont="1" applyFill="1" applyBorder="1">
      <alignment vertical="center"/>
    </xf>
    <xf numFmtId="38" fontId="3" fillId="0" borderId="18" xfId="0" applyNumberFormat="1" applyFont="1" applyBorder="1">
      <alignment vertical="center"/>
    </xf>
    <xf numFmtId="38" fontId="12" fillId="0" borderId="16" xfId="0" applyNumberFormat="1" applyFont="1" applyBorder="1">
      <alignment vertical="center"/>
    </xf>
    <xf numFmtId="180" fontId="3" fillId="0" borderId="21" xfId="0" applyNumberFormat="1" applyFont="1" applyBorder="1">
      <alignment vertical="center"/>
    </xf>
    <xf numFmtId="38" fontId="3" fillId="7" borderId="17" xfId="0" applyNumberFormat="1" applyFont="1" applyFill="1" applyBorder="1">
      <alignment vertical="center"/>
    </xf>
    <xf numFmtId="179" fontId="3" fillId="4" borderId="18" xfId="0" applyNumberFormat="1" applyFont="1" applyFill="1" applyBorder="1">
      <alignment vertical="center"/>
    </xf>
    <xf numFmtId="180" fontId="3" fillId="0" borderId="18" xfId="0" applyNumberFormat="1" applyFont="1" applyBorder="1">
      <alignment vertical="center"/>
    </xf>
    <xf numFmtId="38" fontId="3" fillId="3" borderId="16" xfId="0" applyNumberFormat="1" applyFont="1" applyFill="1" applyBorder="1">
      <alignment vertical="center"/>
    </xf>
    <xf numFmtId="38" fontId="12" fillId="0" borderId="17" xfId="0" applyNumberFormat="1" applyFont="1" applyBorder="1">
      <alignment vertical="center"/>
    </xf>
    <xf numFmtId="38" fontId="3" fillId="0" borderId="16" xfId="0" applyNumberFormat="1" applyFont="1" applyBorder="1">
      <alignment vertical="center"/>
    </xf>
    <xf numFmtId="38" fontId="7" fillId="0" borderId="16" xfId="0" applyNumberFormat="1" applyFont="1" applyBorder="1">
      <alignment vertical="center"/>
    </xf>
    <xf numFmtId="38" fontId="3" fillId="7" borderId="16" xfId="0" applyNumberFormat="1" applyFont="1" applyFill="1" applyBorder="1">
      <alignment vertical="center"/>
    </xf>
    <xf numFmtId="0" fontId="5" fillId="0" borderId="0" xfId="0" applyFont="1">
      <alignment vertical="center"/>
    </xf>
    <xf numFmtId="178" fontId="4" fillId="0" borderId="7" xfId="0" applyNumberFormat="1" applyFont="1" applyBorder="1">
      <alignment vertical="center"/>
    </xf>
    <xf numFmtId="180" fontId="3" fillId="0" borderId="22" xfId="0" applyNumberFormat="1" applyFont="1" applyBorder="1">
      <alignment vertical="center"/>
    </xf>
    <xf numFmtId="38" fontId="12" fillId="8" borderId="17" xfId="0" applyNumberFormat="1" applyFont="1" applyFill="1" applyBorder="1">
      <alignment vertical="center"/>
    </xf>
    <xf numFmtId="178" fontId="14" fillId="0" borderId="7" xfId="0" applyNumberFormat="1" applyFont="1" applyBorder="1">
      <alignment vertical="center"/>
    </xf>
    <xf numFmtId="178" fontId="13" fillId="0" borderId="7" xfId="0" applyNumberFormat="1" applyFont="1" applyBorder="1">
      <alignment vertical="center"/>
    </xf>
    <xf numFmtId="0" fontId="6" fillId="0" borderId="0" xfId="0" applyFont="1">
      <alignment vertical="center"/>
    </xf>
    <xf numFmtId="38" fontId="7" fillId="8" borderId="17" xfId="0" applyNumberFormat="1" applyFont="1" applyFill="1" applyBorder="1">
      <alignment vertical="center"/>
    </xf>
    <xf numFmtId="179" fontId="3" fillId="4" borderId="16" xfId="0" applyNumberFormat="1" applyFont="1" applyFill="1" applyBorder="1">
      <alignment vertical="center"/>
    </xf>
    <xf numFmtId="180" fontId="3" fillId="0" borderId="16" xfId="0" applyNumberFormat="1" applyFont="1" applyBorder="1">
      <alignment vertical="center"/>
    </xf>
    <xf numFmtId="38" fontId="3" fillId="6" borderId="16" xfId="0" applyNumberFormat="1" applyFont="1" applyFill="1" applyBorder="1">
      <alignment vertical="center"/>
    </xf>
    <xf numFmtId="180" fontId="3" fillId="3" borderId="2" xfId="0" applyNumberFormat="1" applyFont="1" applyFill="1" applyBorder="1">
      <alignment vertical="center"/>
    </xf>
    <xf numFmtId="38" fontId="3" fillId="0" borderId="2" xfId="0" applyNumberFormat="1" applyFont="1" applyBorder="1">
      <alignment vertical="center"/>
    </xf>
    <xf numFmtId="38" fontId="3" fillId="7" borderId="1" xfId="0" applyNumberFormat="1" applyFont="1" applyFill="1" applyBorder="1">
      <alignment vertical="center"/>
    </xf>
    <xf numFmtId="179" fontId="3" fillId="4" borderId="2" xfId="0" applyNumberFormat="1" applyFont="1" applyFill="1" applyBorder="1">
      <alignment vertical="center"/>
    </xf>
    <xf numFmtId="180" fontId="3" fillId="0" borderId="2" xfId="0" applyNumberFormat="1" applyFont="1" applyBorder="1">
      <alignment vertical="center"/>
    </xf>
    <xf numFmtId="38" fontId="3" fillId="6" borderId="2" xfId="0" applyNumberFormat="1" applyFont="1" applyFill="1" applyBorder="1">
      <alignment vertical="center"/>
    </xf>
    <xf numFmtId="38" fontId="7" fillId="0" borderId="24" xfId="0" applyNumberFormat="1" applyFont="1" applyBorder="1">
      <alignment vertical="center"/>
    </xf>
    <xf numFmtId="38" fontId="7" fillId="0" borderId="25" xfId="0" applyNumberFormat="1" applyFont="1" applyBorder="1">
      <alignment vertical="center"/>
    </xf>
    <xf numFmtId="38" fontId="3" fillId="3" borderId="2" xfId="0" applyNumberFormat="1" applyFont="1" applyFill="1" applyBorder="1">
      <alignment vertical="center"/>
    </xf>
    <xf numFmtId="180" fontId="3" fillId="0" borderId="23" xfId="0" applyNumberFormat="1" applyFont="1" applyBorder="1">
      <alignment vertical="center"/>
    </xf>
    <xf numFmtId="38" fontId="7" fillId="0" borderId="27" xfId="0" applyNumberFormat="1" applyFont="1" applyBorder="1" applyAlignment="1">
      <alignment shrinkToFit="1"/>
    </xf>
    <xf numFmtId="38" fontId="7" fillId="0" borderId="28" xfId="0" applyNumberFormat="1" applyFont="1" applyBorder="1" applyAlignment="1">
      <alignment horizontal="center"/>
    </xf>
    <xf numFmtId="0" fontId="7" fillId="0" borderId="0" xfId="0" applyFont="1" applyAlignment="1">
      <alignment shrinkToFit="1"/>
    </xf>
    <xf numFmtId="0" fontId="3" fillId="0" borderId="0" xfId="0" applyFont="1" applyAlignment="1">
      <alignment shrinkToFit="1"/>
    </xf>
    <xf numFmtId="0" fontId="3" fillId="0" borderId="29" xfId="0" applyFont="1" applyBorder="1" applyAlignment="1">
      <alignment shrinkToFit="1"/>
    </xf>
    <xf numFmtId="38" fontId="7" fillId="9" borderId="0" xfId="0" applyNumberFormat="1" applyFont="1" applyFill="1" applyAlignment="1">
      <alignment horizontal="right"/>
    </xf>
    <xf numFmtId="38" fontId="7" fillId="9" borderId="0" xfId="0" applyNumberFormat="1" applyFont="1" applyFill="1" applyAlignment="1"/>
    <xf numFmtId="0" fontId="19" fillId="0" borderId="0" xfId="0" applyFont="1" applyAlignment="1">
      <alignment vertical="center" shrinkToFit="1"/>
    </xf>
    <xf numFmtId="0" fontId="3" fillId="0" borderId="0" xfId="0" applyFont="1" applyAlignment="1">
      <alignment horizontal="left" vertical="center" shrinkToFit="1"/>
    </xf>
    <xf numFmtId="0" fontId="5" fillId="0" borderId="0" xfId="0" applyFont="1" applyAlignment="1">
      <alignment shrinkToFit="1"/>
    </xf>
    <xf numFmtId="0" fontId="5" fillId="0" borderId="0" xfId="0" applyFont="1" applyAlignment="1">
      <alignment horizontal="center"/>
    </xf>
    <xf numFmtId="178" fontId="23" fillId="0" borderId="17" xfId="0" applyNumberFormat="1" applyFont="1" applyBorder="1">
      <alignment vertical="center"/>
    </xf>
    <xf numFmtId="178" fontId="23" fillId="0" borderId="7" xfId="0" applyNumberFormat="1" applyFont="1" applyBorder="1">
      <alignment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78" fontId="13" fillId="0" borderId="17" xfId="0" applyNumberFormat="1" applyFont="1" applyBorder="1">
      <alignment vertical="center"/>
    </xf>
    <xf numFmtId="178" fontId="24" fillId="0" borderId="7" xfId="0" applyNumberFormat="1" applyFont="1" applyBorder="1">
      <alignment vertical="center"/>
    </xf>
    <xf numFmtId="38" fontId="13" fillId="0" borderId="7" xfId="0" applyNumberFormat="1" applyFont="1" applyBorder="1" applyAlignment="1">
      <alignment vertical="center" shrinkToFit="1"/>
    </xf>
    <xf numFmtId="38" fontId="7" fillId="0" borderId="32" xfId="0" applyNumberFormat="1" applyFont="1" applyBorder="1" applyAlignment="1"/>
    <xf numFmtId="38" fontId="7" fillId="0" borderId="5" xfId="0" applyNumberFormat="1" applyFont="1" applyBorder="1" applyAlignment="1"/>
    <xf numFmtId="38" fontId="7" fillId="0" borderId="33" xfId="0" applyNumberFormat="1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266700</xdr:colOff>
      <xdr:row>39</xdr:row>
      <xdr:rowOff>66675</xdr:rowOff>
    </xdr:from>
    <xdr:to>
      <xdr:col>10</xdr:col>
      <xdr:colOff>121324</xdr:colOff>
      <xdr:row>43</xdr:row>
      <xdr:rowOff>200025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8626773-5159-7B43-B5CB-5665FB1F2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8800" y="9286875"/>
          <a:ext cx="3732357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238125</xdr:colOff>
      <xdr:row>39</xdr:row>
      <xdr:rowOff>66675</xdr:rowOff>
    </xdr:from>
    <xdr:to>
      <xdr:col>16</xdr:col>
      <xdr:colOff>493376</xdr:colOff>
      <xdr:row>45</xdr:row>
      <xdr:rowOff>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5D5DA5D-57F7-CA43-9525-1EE88A5BE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8025" y="9286875"/>
          <a:ext cx="3231284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4F2B-43EB-4B47-A4A2-86B280E538A7}">
  <dimension ref="A1:AW1000"/>
  <sheetViews>
    <sheetView zoomScale="150" zoomScaleNormal="395" workbookViewId="0">
      <selection sqref="A1:XFD1048576"/>
    </sheetView>
  </sheetViews>
  <sheetFormatPr baseColWidth="10" defaultColWidth="10.28515625" defaultRowHeight="15" customHeight="1"/>
  <cols>
    <col min="1" max="2" width="9.28515625" style="5" customWidth="1"/>
    <col min="3" max="3" width="13.28515625" style="186" customWidth="1"/>
    <col min="4" max="4" width="4.7109375" style="187" customWidth="1"/>
    <col min="5" max="5" width="3.42578125" style="5" customWidth="1"/>
    <col min="6" max="7" width="6.28515625" style="5" customWidth="1"/>
    <col min="8" max="8" width="9.7109375" style="5" customWidth="1"/>
    <col min="9" max="9" width="6.28515625" style="5" customWidth="1"/>
    <col min="10" max="10" width="6.85546875" style="5" customWidth="1"/>
    <col min="11" max="11" width="8.28515625" style="5" customWidth="1"/>
    <col min="12" max="12" width="6.28515625" style="5" customWidth="1"/>
    <col min="13" max="13" width="3.28515625" style="5" customWidth="1"/>
    <col min="14" max="14" width="6.28515625" style="5" customWidth="1"/>
    <col min="15" max="15" width="7.85546875" style="5" bestFit="1" customWidth="1"/>
    <col min="16" max="16" width="9.7109375" style="5" customWidth="1"/>
    <col min="17" max="18" width="6.28515625" style="5" customWidth="1"/>
    <col min="19" max="19" width="10.28515625" style="5"/>
    <col min="20" max="20" width="6.28515625" style="5" customWidth="1"/>
    <col min="21" max="21" width="6.5703125" style="5" bestFit="1" customWidth="1"/>
    <col min="22" max="22" width="7.85546875" style="5" bestFit="1" customWidth="1"/>
    <col min="23" max="23" width="6.28515625" style="5" customWidth="1"/>
    <col min="24" max="24" width="7" style="5" customWidth="1"/>
    <col min="25" max="25" width="6.28515625" style="5" customWidth="1"/>
    <col min="26" max="26" width="3.85546875" style="5" customWidth="1"/>
    <col min="27" max="31" width="6.28515625" style="5" customWidth="1"/>
    <col min="32" max="32" width="8.28515625" style="5" customWidth="1"/>
    <col min="33" max="36" width="6.28515625" style="5" customWidth="1"/>
    <col min="37" max="37" width="11.28515625" style="5" customWidth="1"/>
    <col min="38" max="48" width="9.28515625" style="5" customWidth="1"/>
    <col min="49" max="16384" width="10.28515625" style="5"/>
  </cols>
  <sheetData>
    <row r="1" spans="1:49" ht="13.5" customHeight="1">
      <c r="A1" s="1" t="s">
        <v>0</v>
      </c>
      <c r="B1" s="2"/>
      <c r="C1" s="12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4"/>
      <c r="AU1" s="3"/>
      <c r="AV1" s="4"/>
    </row>
    <row r="2" spans="1:49" ht="13.5" customHeight="1">
      <c r="A2" s="124">
        <v>2024</v>
      </c>
      <c r="B2" s="125">
        <v>10</v>
      </c>
      <c r="C2" s="126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 t="s">
        <v>1</v>
      </c>
      <c r="Z2" s="8"/>
      <c r="AA2" s="8"/>
      <c r="AB2" s="8"/>
      <c r="AC2" s="8"/>
      <c r="AD2" s="8"/>
      <c r="AE2" s="8"/>
      <c r="AF2" s="3"/>
      <c r="AG2" s="3"/>
      <c r="AH2" s="3"/>
      <c r="AI2" s="3"/>
      <c r="AJ2" s="3"/>
      <c r="AK2" s="3"/>
      <c r="AL2" s="3" t="s">
        <v>1</v>
      </c>
      <c r="AM2" s="3"/>
      <c r="AN2" s="3"/>
      <c r="AO2" s="3"/>
      <c r="AP2" s="3"/>
      <c r="AQ2" s="3"/>
      <c r="AR2" s="3"/>
      <c r="AS2" s="3"/>
      <c r="AT2" s="4"/>
      <c r="AU2" s="3"/>
      <c r="AV2" s="4"/>
    </row>
    <row r="3" spans="1:49" ht="33" customHeight="1">
      <c r="A3" s="6"/>
      <c r="B3" s="9" t="s">
        <v>2</v>
      </c>
      <c r="C3" s="127"/>
      <c r="D3" s="128"/>
      <c r="E3" s="129" t="s">
        <v>3</v>
      </c>
      <c r="F3" s="10"/>
      <c r="G3" s="10"/>
      <c r="H3" s="10"/>
      <c r="I3" s="10"/>
      <c r="J3" s="10"/>
      <c r="K3" s="10"/>
      <c r="L3" s="10"/>
      <c r="M3" s="130" t="s">
        <v>4</v>
      </c>
      <c r="N3" s="10"/>
      <c r="O3" s="10"/>
      <c r="P3" s="10"/>
      <c r="Q3" s="10"/>
      <c r="R3" s="10"/>
      <c r="S3" s="10"/>
      <c r="T3" s="10"/>
      <c r="U3" s="11" t="s">
        <v>5</v>
      </c>
      <c r="V3" s="12"/>
      <c r="W3" s="12"/>
      <c r="X3" s="12"/>
      <c r="Y3" s="13"/>
      <c r="Z3" s="14" t="s">
        <v>6</v>
      </c>
      <c r="AA3" s="10"/>
      <c r="AB3" s="10"/>
      <c r="AC3" s="10"/>
      <c r="AD3" s="10"/>
      <c r="AE3" s="10"/>
      <c r="AF3" s="10"/>
      <c r="AG3" s="10"/>
      <c r="AH3" s="11" t="s">
        <v>7</v>
      </c>
      <c r="AI3" s="12"/>
      <c r="AJ3" s="12"/>
      <c r="AK3" s="12"/>
      <c r="AL3" s="13"/>
      <c r="AM3" s="15" t="s">
        <v>8</v>
      </c>
      <c r="AN3" s="12"/>
      <c r="AO3" s="12"/>
      <c r="AP3" s="12"/>
      <c r="AQ3" s="12"/>
      <c r="AR3" s="12"/>
      <c r="AS3" s="12"/>
      <c r="AT3" s="13"/>
      <c r="AU3" s="3"/>
      <c r="AV3" s="4"/>
    </row>
    <row r="4" spans="1:49" ht="53.25" customHeight="1" thickBot="1">
      <c r="A4" s="6"/>
      <c r="B4" s="16"/>
      <c r="C4" s="131" t="s">
        <v>9</v>
      </c>
      <c r="D4" s="132" t="s">
        <v>59</v>
      </c>
      <c r="E4" s="19" t="s">
        <v>10</v>
      </c>
      <c r="F4" s="18" t="s">
        <v>11</v>
      </c>
      <c r="G4" s="17" t="s">
        <v>12</v>
      </c>
      <c r="H4" s="19" t="s">
        <v>13</v>
      </c>
      <c r="I4" s="17" t="s">
        <v>14</v>
      </c>
      <c r="J4" s="20" t="s">
        <v>15</v>
      </c>
      <c r="K4" s="18" t="s">
        <v>16</v>
      </c>
      <c r="L4" s="17" t="s">
        <v>17</v>
      </c>
      <c r="M4" s="17" t="s">
        <v>18</v>
      </c>
      <c r="N4" s="21" t="s">
        <v>11</v>
      </c>
      <c r="O4" s="17" t="s">
        <v>12</v>
      </c>
      <c r="P4" s="19" t="s">
        <v>13</v>
      </c>
      <c r="Q4" s="17" t="s">
        <v>14</v>
      </c>
      <c r="R4" s="20" t="s">
        <v>15</v>
      </c>
      <c r="S4" s="18" t="s">
        <v>16</v>
      </c>
      <c r="T4" s="22" t="s">
        <v>17</v>
      </c>
      <c r="U4" s="23" t="s">
        <v>19</v>
      </c>
      <c r="V4" s="24" t="s">
        <v>20</v>
      </c>
      <c r="W4" s="24" t="s">
        <v>21</v>
      </c>
      <c r="X4" s="25" t="s">
        <v>22</v>
      </c>
      <c r="Y4" s="24"/>
      <c r="Z4" s="26" t="s">
        <v>23</v>
      </c>
      <c r="AA4" s="27" t="s">
        <v>11</v>
      </c>
      <c r="AB4" s="17" t="s">
        <v>20</v>
      </c>
      <c r="AC4" s="19" t="s">
        <v>24</v>
      </c>
      <c r="AD4" s="17" t="s">
        <v>21</v>
      </c>
      <c r="AE4" s="20" t="s">
        <v>25</v>
      </c>
      <c r="AF4" s="21" t="s">
        <v>26</v>
      </c>
      <c r="AG4" s="28" t="s">
        <v>17</v>
      </c>
      <c r="AH4" s="23" t="s">
        <v>19</v>
      </c>
      <c r="AI4" s="24" t="s">
        <v>20</v>
      </c>
      <c r="AJ4" s="24" t="s">
        <v>21</v>
      </c>
      <c r="AK4" s="25" t="s">
        <v>22</v>
      </c>
      <c r="AL4" s="24" t="s">
        <v>27</v>
      </c>
      <c r="AM4" s="29" t="s">
        <v>28</v>
      </c>
      <c r="AN4" s="29" t="s">
        <v>29</v>
      </c>
      <c r="AO4" s="29" t="s">
        <v>30</v>
      </c>
      <c r="AP4" s="29" t="s">
        <v>31</v>
      </c>
      <c r="AQ4" s="29" t="s">
        <v>32</v>
      </c>
      <c r="AR4" s="29" t="s">
        <v>33</v>
      </c>
      <c r="AS4" s="29" t="s">
        <v>34</v>
      </c>
      <c r="AT4" s="30" t="s">
        <v>35</v>
      </c>
      <c r="AU4" s="3"/>
      <c r="AV4" s="4"/>
    </row>
    <row r="5" spans="1:49" ht="13.5" customHeight="1" thickTop="1">
      <c r="A5" s="121"/>
      <c r="B5" s="133">
        <f>DATE($A$2,$B$2,1)</f>
        <v>45566</v>
      </c>
      <c r="C5" s="134" t="s">
        <v>52</v>
      </c>
      <c r="D5" s="135">
        <v>86</v>
      </c>
      <c r="E5" s="136"/>
      <c r="F5" s="137"/>
      <c r="G5" s="138"/>
      <c r="H5" s="139" t="e">
        <f t="shared" ref="H5:H35" si="0">ROUNDDOWN(G5/1.1,0)/F5</f>
        <v>#DIV/0!</v>
      </c>
      <c r="I5" s="138"/>
      <c r="J5" s="140" t="e">
        <f t="shared" ref="J5:J35" si="1">ROUNDDOWN(I5/1.1,0)/F5</f>
        <v>#DIV/0!</v>
      </c>
      <c r="K5" s="141">
        <f t="shared" ref="K5:K35" si="2">G5+I5</f>
        <v>0</v>
      </c>
      <c r="L5" s="142" t="str">
        <f t="shared" ref="L5:L35" si="3">IF(F5="","",K5/F5)</f>
        <v/>
      </c>
      <c r="M5" s="143"/>
      <c r="N5" s="144">
        <f t="shared" ref="N5:O20" si="4">AM5-F5</f>
        <v>37</v>
      </c>
      <c r="O5" s="145">
        <f t="shared" si="4"/>
        <v>285450</v>
      </c>
      <c r="P5" s="139">
        <f t="shared" ref="P5:P35" si="5">ROUNDDOWN(O5/1.1,0)/N5</f>
        <v>7013.5135135135133</v>
      </c>
      <c r="Q5" s="145">
        <f t="shared" ref="Q5:Q35" si="6">AO5-I5</f>
        <v>69040</v>
      </c>
      <c r="R5" s="140">
        <f t="shared" ref="R5:R35" si="7">ROUNDDOWN(Q5/1.1,0)/N5</f>
        <v>1696.2972972972973</v>
      </c>
      <c r="S5" s="146">
        <f t="shared" ref="S5:S35" si="8">O5+Q5</f>
        <v>354490</v>
      </c>
      <c r="T5" s="142">
        <f t="shared" ref="T5:T35" si="9">IF(N5="","",S5/N5)</f>
        <v>9580.8108108108099</v>
      </c>
      <c r="U5" s="147">
        <f t="shared" ref="U5:V20" si="10">F5+N5</f>
        <v>37</v>
      </c>
      <c r="V5" s="145">
        <f t="shared" si="10"/>
        <v>285450</v>
      </c>
      <c r="W5" s="145">
        <f t="shared" ref="W5:W35" si="11">I5+Q5</f>
        <v>69040</v>
      </c>
      <c r="X5" s="148">
        <f t="shared" ref="X5:X35" si="12">K5+S5</f>
        <v>354490</v>
      </c>
      <c r="Y5" s="145">
        <f t="shared" ref="Y5:Y34" si="13">IF(U5="","",X5/U5)</f>
        <v>9580.8108108108099</v>
      </c>
      <c r="Z5" s="149"/>
      <c r="AA5" s="150">
        <v>92</v>
      </c>
      <c r="AB5" s="138">
        <v>56040</v>
      </c>
      <c r="AC5" s="139">
        <f t="shared" ref="AC5:AC35" si="14">AB5/AA5</f>
        <v>609.13043478260875</v>
      </c>
      <c r="AD5" s="138">
        <v>13700</v>
      </c>
      <c r="AE5" s="140">
        <f t="shared" ref="AE5:AE35" si="15">AD5/AA5</f>
        <v>148.91304347826087</v>
      </c>
      <c r="AF5" s="151">
        <f t="shared" ref="AF5:AF35" si="16">AB5+AD5</f>
        <v>69740</v>
      </c>
      <c r="AG5" s="142">
        <f t="shared" ref="AG5:AG35" si="17">IF(AA5="","",AF5/AA5)</f>
        <v>758.04347826086962</v>
      </c>
      <c r="AH5" s="147">
        <f t="shared" ref="AH5:AH35" si="18">SUM(F5,N5)</f>
        <v>37</v>
      </c>
      <c r="AI5" s="145">
        <f t="shared" ref="AI5:AI35" si="19">V5+AB5</f>
        <v>341490</v>
      </c>
      <c r="AJ5" s="145">
        <f t="shared" ref="AJ5:AJ35" si="20">W5+AD5</f>
        <v>82740</v>
      </c>
      <c r="AK5" s="152">
        <f t="shared" ref="AK5:AK35" si="21">X5+AF5</f>
        <v>424230</v>
      </c>
      <c r="AL5" s="145">
        <f t="shared" ref="AL5:AL35" si="22">AP5+AQ5+AR5</f>
        <v>26000</v>
      </c>
      <c r="AM5" s="153">
        <v>37</v>
      </c>
      <c r="AN5" s="153">
        <v>285450</v>
      </c>
      <c r="AO5" s="153">
        <v>69040</v>
      </c>
      <c r="AP5" s="154">
        <v>19400</v>
      </c>
      <c r="AQ5" s="154">
        <v>3300</v>
      </c>
      <c r="AR5" s="154">
        <v>3300</v>
      </c>
      <c r="AS5" s="154">
        <v>19800</v>
      </c>
      <c r="AT5" s="155">
        <f t="shared" ref="AT5:AT34" si="23">SUM(AN5:AR5)</f>
        <v>380490</v>
      </c>
      <c r="AU5" s="121">
        <v>1</v>
      </c>
      <c r="AV5" s="122">
        <f>AS5+AT5</f>
        <v>400290</v>
      </c>
      <c r="AW5" s="156"/>
    </row>
    <row r="6" spans="1:49" ht="13.5" customHeight="1">
      <c r="A6" s="121"/>
      <c r="B6" s="157">
        <f t="shared" ref="B6:B35" si="24">B5+1</f>
        <v>45567</v>
      </c>
      <c r="C6" s="134" t="s">
        <v>52</v>
      </c>
      <c r="D6" s="135">
        <v>91</v>
      </c>
      <c r="E6" s="136"/>
      <c r="F6" s="137"/>
      <c r="G6" s="138"/>
      <c r="H6" s="139" t="e">
        <f t="shared" si="0"/>
        <v>#DIV/0!</v>
      </c>
      <c r="I6" s="138"/>
      <c r="J6" s="140" t="e">
        <f t="shared" si="1"/>
        <v>#DIV/0!</v>
      </c>
      <c r="K6" s="141">
        <f t="shared" si="2"/>
        <v>0</v>
      </c>
      <c r="L6" s="142" t="str">
        <f t="shared" si="3"/>
        <v/>
      </c>
      <c r="M6" s="143"/>
      <c r="N6" s="144">
        <f t="shared" si="4"/>
        <v>40</v>
      </c>
      <c r="O6" s="145">
        <f t="shared" si="4"/>
        <v>276980</v>
      </c>
      <c r="P6" s="139">
        <f t="shared" si="5"/>
        <v>6295</v>
      </c>
      <c r="Q6" s="145">
        <f t="shared" si="6"/>
        <v>76910</v>
      </c>
      <c r="R6" s="140">
        <f t="shared" si="7"/>
        <v>1747.95</v>
      </c>
      <c r="S6" s="146">
        <f t="shared" si="8"/>
        <v>353890</v>
      </c>
      <c r="T6" s="142">
        <f t="shared" si="9"/>
        <v>8847.25</v>
      </c>
      <c r="U6" s="147">
        <f t="shared" si="10"/>
        <v>40</v>
      </c>
      <c r="V6" s="145">
        <f t="shared" si="10"/>
        <v>276980</v>
      </c>
      <c r="W6" s="145">
        <f t="shared" si="11"/>
        <v>76910</v>
      </c>
      <c r="X6" s="148">
        <f t="shared" si="12"/>
        <v>353890</v>
      </c>
      <c r="Y6" s="145">
        <f t="shared" si="13"/>
        <v>8847.25</v>
      </c>
      <c r="Z6" s="149"/>
      <c r="AA6" s="150">
        <v>36</v>
      </c>
      <c r="AB6" s="138">
        <v>19270</v>
      </c>
      <c r="AC6" s="139">
        <f t="shared" si="14"/>
        <v>535.27777777777783</v>
      </c>
      <c r="AD6" s="138">
        <v>9100</v>
      </c>
      <c r="AE6" s="140">
        <f t="shared" si="15"/>
        <v>252.77777777777777</v>
      </c>
      <c r="AF6" s="151">
        <f t="shared" si="16"/>
        <v>28370</v>
      </c>
      <c r="AG6" s="142">
        <f t="shared" si="17"/>
        <v>788.05555555555554</v>
      </c>
      <c r="AH6" s="147">
        <f t="shared" si="18"/>
        <v>40</v>
      </c>
      <c r="AI6" s="145">
        <f t="shared" si="19"/>
        <v>296250</v>
      </c>
      <c r="AJ6" s="145">
        <f t="shared" si="20"/>
        <v>86010</v>
      </c>
      <c r="AK6" s="152">
        <f t="shared" si="21"/>
        <v>382260</v>
      </c>
      <c r="AL6" s="145">
        <f t="shared" si="22"/>
        <v>12650</v>
      </c>
      <c r="AM6" s="153">
        <v>40</v>
      </c>
      <c r="AN6" s="153">
        <v>276980</v>
      </c>
      <c r="AO6" s="153">
        <v>76910</v>
      </c>
      <c r="AP6" s="154">
        <v>7700</v>
      </c>
      <c r="AQ6" s="154">
        <v>1650</v>
      </c>
      <c r="AR6" s="154">
        <v>3300</v>
      </c>
      <c r="AS6" s="154">
        <v>0</v>
      </c>
      <c r="AT6" s="155">
        <f t="shared" si="23"/>
        <v>366540</v>
      </c>
      <c r="AU6" s="121">
        <v>2</v>
      </c>
      <c r="AV6" s="122">
        <f t="shared" ref="AV6:AV35" si="25">AS6+AT6</f>
        <v>366540</v>
      </c>
      <c r="AW6" s="156"/>
    </row>
    <row r="7" spans="1:49" ht="13.5" customHeight="1">
      <c r="A7" s="121"/>
      <c r="B7" s="157">
        <f t="shared" si="24"/>
        <v>45568</v>
      </c>
      <c r="C7" s="134" t="s">
        <v>52</v>
      </c>
      <c r="D7" s="135">
        <v>40</v>
      </c>
      <c r="E7" s="136"/>
      <c r="F7" s="137"/>
      <c r="G7" s="138"/>
      <c r="H7" s="139" t="e">
        <f t="shared" si="0"/>
        <v>#DIV/0!</v>
      </c>
      <c r="I7" s="138"/>
      <c r="J7" s="140" t="e">
        <f t="shared" si="1"/>
        <v>#DIV/0!</v>
      </c>
      <c r="K7" s="141">
        <f t="shared" si="2"/>
        <v>0</v>
      </c>
      <c r="L7" s="142" t="str">
        <f t="shared" si="3"/>
        <v/>
      </c>
      <c r="M7" s="143"/>
      <c r="N7" s="144">
        <f t="shared" si="4"/>
        <v>38</v>
      </c>
      <c r="O7" s="145">
        <f t="shared" si="4"/>
        <v>334510</v>
      </c>
      <c r="P7" s="139">
        <f t="shared" si="5"/>
        <v>8002.6315789473683</v>
      </c>
      <c r="Q7" s="145">
        <f t="shared" si="6"/>
        <v>60250</v>
      </c>
      <c r="R7" s="140">
        <f t="shared" si="7"/>
        <v>1441.3684210526317</v>
      </c>
      <c r="S7" s="146">
        <f t="shared" si="8"/>
        <v>394760</v>
      </c>
      <c r="T7" s="142">
        <f t="shared" si="9"/>
        <v>10388.421052631578</v>
      </c>
      <c r="U7" s="147">
        <f t="shared" si="10"/>
        <v>38</v>
      </c>
      <c r="V7" s="145">
        <f t="shared" si="10"/>
        <v>334510</v>
      </c>
      <c r="W7" s="145">
        <f t="shared" si="11"/>
        <v>60250</v>
      </c>
      <c r="X7" s="148">
        <f t="shared" si="12"/>
        <v>394760</v>
      </c>
      <c r="Y7" s="145">
        <f t="shared" si="13"/>
        <v>10388.421052631578</v>
      </c>
      <c r="Z7" s="149"/>
      <c r="AA7" s="150">
        <v>52</v>
      </c>
      <c r="AB7" s="138">
        <v>21310</v>
      </c>
      <c r="AC7" s="139">
        <f t="shared" si="14"/>
        <v>409.80769230769232</v>
      </c>
      <c r="AD7" s="138">
        <v>19050</v>
      </c>
      <c r="AE7" s="140">
        <f t="shared" si="15"/>
        <v>366.34615384615387</v>
      </c>
      <c r="AF7" s="151">
        <f t="shared" si="16"/>
        <v>40360</v>
      </c>
      <c r="AG7" s="142">
        <f t="shared" si="17"/>
        <v>776.15384615384619</v>
      </c>
      <c r="AH7" s="147">
        <f t="shared" si="18"/>
        <v>38</v>
      </c>
      <c r="AI7" s="145">
        <f t="shared" si="19"/>
        <v>355820</v>
      </c>
      <c r="AJ7" s="145">
        <f t="shared" si="20"/>
        <v>79300</v>
      </c>
      <c r="AK7" s="152">
        <f t="shared" si="21"/>
        <v>435120</v>
      </c>
      <c r="AL7" s="145">
        <f t="shared" si="22"/>
        <v>26400</v>
      </c>
      <c r="AM7" s="153">
        <v>38</v>
      </c>
      <c r="AN7" s="153">
        <v>334510</v>
      </c>
      <c r="AO7" s="153">
        <v>60250</v>
      </c>
      <c r="AP7" s="154">
        <v>26400</v>
      </c>
      <c r="AQ7" s="154">
        <v>0</v>
      </c>
      <c r="AR7" s="154">
        <v>0</v>
      </c>
      <c r="AS7" s="154">
        <v>0</v>
      </c>
      <c r="AT7" s="155">
        <f t="shared" si="23"/>
        <v>421160</v>
      </c>
      <c r="AU7" s="121">
        <v>3</v>
      </c>
      <c r="AV7" s="122">
        <f t="shared" si="25"/>
        <v>421160</v>
      </c>
      <c r="AW7" s="156"/>
    </row>
    <row r="8" spans="1:49" ht="13.5" customHeight="1">
      <c r="A8" s="121"/>
      <c r="B8" s="157">
        <f t="shared" si="24"/>
        <v>45569</v>
      </c>
      <c r="C8" s="134" t="s">
        <v>52</v>
      </c>
      <c r="D8" s="135">
        <v>20</v>
      </c>
      <c r="E8" s="136"/>
      <c r="F8" s="137"/>
      <c r="G8" s="138"/>
      <c r="H8" s="139" t="e">
        <f t="shared" si="0"/>
        <v>#DIV/0!</v>
      </c>
      <c r="I8" s="138"/>
      <c r="J8" s="140" t="e">
        <f t="shared" si="1"/>
        <v>#DIV/0!</v>
      </c>
      <c r="K8" s="141">
        <f t="shared" si="2"/>
        <v>0</v>
      </c>
      <c r="L8" s="142" t="str">
        <f t="shared" si="3"/>
        <v/>
      </c>
      <c r="M8" s="143"/>
      <c r="N8" s="144">
        <f t="shared" si="4"/>
        <v>34</v>
      </c>
      <c r="O8" s="145">
        <f t="shared" si="4"/>
        <v>313500</v>
      </c>
      <c r="P8" s="139">
        <f t="shared" si="5"/>
        <v>8382.3529411764703</v>
      </c>
      <c r="Q8" s="145">
        <f t="shared" si="6"/>
        <v>86370</v>
      </c>
      <c r="R8" s="140">
        <f t="shared" si="7"/>
        <v>2309.3529411764707</v>
      </c>
      <c r="S8" s="146">
        <f t="shared" si="8"/>
        <v>399870</v>
      </c>
      <c r="T8" s="142">
        <f t="shared" si="9"/>
        <v>11760.882352941177</v>
      </c>
      <c r="U8" s="147">
        <f t="shared" si="10"/>
        <v>34</v>
      </c>
      <c r="V8" s="145">
        <f t="shared" si="10"/>
        <v>313500</v>
      </c>
      <c r="W8" s="145">
        <f t="shared" si="11"/>
        <v>86370</v>
      </c>
      <c r="X8" s="148">
        <f t="shared" si="12"/>
        <v>399870</v>
      </c>
      <c r="Y8" s="145">
        <f t="shared" si="13"/>
        <v>11760.882352941177</v>
      </c>
      <c r="Z8" s="149"/>
      <c r="AA8" s="150">
        <v>18</v>
      </c>
      <c r="AB8" s="138">
        <v>7810</v>
      </c>
      <c r="AC8" s="139">
        <f t="shared" si="14"/>
        <v>433.88888888888891</v>
      </c>
      <c r="AD8" s="138">
        <v>7500</v>
      </c>
      <c r="AE8" s="140">
        <f t="shared" si="15"/>
        <v>416.66666666666669</v>
      </c>
      <c r="AF8" s="151">
        <f t="shared" si="16"/>
        <v>15310</v>
      </c>
      <c r="AG8" s="142">
        <f t="shared" si="17"/>
        <v>850.55555555555554</v>
      </c>
      <c r="AH8" s="158">
        <f t="shared" si="18"/>
        <v>34</v>
      </c>
      <c r="AI8" s="145">
        <f t="shared" si="19"/>
        <v>321310</v>
      </c>
      <c r="AJ8" s="145">
        <f t="shared" si="20"/>
        <v>93870</v>
      </c>
      <c r="AK8" s="159">
        <f t="shared" si="21"/>
        <v>415180</v>
      </c>
      <c r="AL8" s="145">
        <f t="shared" si="22"/>
        <v>4400</v>
      </c>
      <c r="AM8" s="153">
        <v>34</v>
      </c>
      <c r="AN8" s="153">
        <v>313500</v>
      </c>
      <c r="AO8" s="153">
        <v>86370</v>
      </c>
      <c r="AP8" s="154">
        <v>4400</v>
      </c>
      <c r="AQ8" s="154">
        <v>0</v>
      </c>
      <c r="AR8" s="154">
        <v>0</v>
      </c>
      <c r="AS8" s="154">
        <v>0</v>
      </c>
      <c r="AT8" s="155">
        <f t="shared" si="23"/>
        <v>404270</v>
      </c>
      <c r="AU8" s="121">
        <v>4</v>
      </c>
      <c r="AV8" s="122">
        <f t="shared" si="25"/>
        <v>404270</v>
      </c>
      <c r="AW8" s="156"/>
    </row>
    <row r="9" spans="1:49" ht="13.5" customHeight="1">
      <c r="A9" s="121"/>
      <c r="B9" s="160">
        <f t="shared" si="24"/>
        <v>45570</v>
      </c>
      <c r="C9" s="134"/>
      <c r="D9" s="135">
        <v>94</v>
      </c>
      <c r="E9" s="136">
        <v>9</v>
      </c>
      <c r="F9" s="137">
        <v>32</v>
      </c>
      <c r="G9" s="138">
        <v>112320</v>
      </c>
      <c r="H9" s="139">
        <f t="shared" si="0"/>
        <v>3190.90625</v>
      </c>
      <c r="I9" s="138">
        <v>22820</v>
      </c>
      <c r="J9" s="140">
        <f t="shared" si="1"/>
        <v>648.28125</v>
      </c>
      <c r="K9" s="141">
        <f t="shared" si="2"/>
        <v>135140</v>
      </c>
      <c r="L9" s="142">
        <f t="shared" si="3"/>
        <v>4223.125</v>
      </c>
      <c r="M9" s="143"/>
      <c r="N9" s="144">
        <f t="shared" si="4"/>
        <v>36</v>
      </c>
      <c r="O9" s="145">
        <f t="shared" si="4"/>
        <v>350660</v>
      </c>
      <c r="P9" s="139">
        <f t="shared" si="5"/>
        <v>8855.0277777777774</v>
      </c>
      <c r="Q9" s="145">
        <f t="shared" si="6"/>
        <v>51280</v>
      </c>
      <c r="R9" s="140">
        <f t="shared" si="7"/>
        <v>1294.9444444444443</v>
      </c>
      <c r="S9" s="146">
        <f t="shared" si="8"/>
        <v>401940</v>
      </c>
      <c r="T9" s="142">
        <f t="shared" si="9"/>
        <v>11165</v>
      </c>
      <c r="U9" s="147">
        <f t="shared" si="10"/>
        <v>68</v>
      </c>
      <c r="V9" s="145">
        <f t="shared" si="10"/>
        <v>462980</v>
      </c>
      <c r="W9" s="145">
        <f t="shared" si="11"/>
        <v>74100</v>
      </c>
      <c r="X9" s="148">
        <f t="shared" si="12"/>
        <v>537080</v>
      </c>
      <c r="Y9" s="145">
        <f t="shared" si="13"/>
        <v>7898.2352941176468</v>
      </c>
      <c r="Z9" s="149"/>
      <c r="AA9" s="150">
        <v>181</v>
      </c>
      <c r="AB9" s="138">
        <v>119470</v>
      </c>
      <c r="AC9" s="139">
        <f t="shared" si="14"/>
        <v>660.0552486187845</v>
      </c>
      <c r="AD9" s="138">
        <v>42500</v>
      </c>
      <c r="AE9" s="140">
        <f t="shared" si="15"/>
        <v>234.80662983425415</v>
      </c>
      <c r="AF9" s="151">
        <f t="shared" si="16"/>
        <v>161970</v>
      </c>
      <c r="AG9" s="142">
        <f t="shared" si="17"/>
        <v>894.86187845303868</v>
      </c>
      <c r="AH9" s="158">
        <f t="shared" si="18"/>
        <v>68</v>
      </c>
      <c r="AI9" s="145">
        <f t="shared" si="19"/>
        <v>582450</v>
      </c>
      <c r="AJ9" s="145">
        <f t="shared" si="20"/>
        <v>116600</v>
      </c>
      <c r="AK9" s="152">
        <f t="shared" si="21"/>
        <v>699050</v>
      </c>
      <c r="AL9" s="145">
        <f t="shared" si="22"/>
        <v>29150</v>
      </c>
      <c r="AM9" s="153">
        <v>68</v>
      </c>
      <c r="AN9" s="153">
        <v>462980</v>
      </c>
      <c r="AO9" s="153">
        <v>74100</v>
      </c>
      <c r="AP9" s="154">
        <v>29150</v>
      </c>
      <c r="AQ9" s="154">
        <v>0</v>
      </c>
      <c r="AR9" s="154">
        <v>0</v>
      </c>
      <c r="AS9" s="154">
        <v>0</v>
      </c>
      <c r="AT9" s="155">
        <f t="shared" si="23"/>
        <v>566230</v>
      </c>
      <c r="AU9" s="121">
        <v>5</v>
      </c>
      <c r="AV9" s="122">
        <f t="shared" si="25"/>
        <v>566230</v>
      </c>
      <c r="AW9" s="156"/>
    </row>
    <row r="10" spans="1:49" ht="13.5" customHeight="1">
      <c r="A10" s="121"/>
      <c r="B10" s="161">
        <f t="shared" si="24"/>
        <v>45571</v>
      </c>
      <c r="C10" s="134"/>
      <c r="D10" s="135">
        <v>100</v>
      </c>
      <c r="E10" s="136">
        <v>11</v>
      </c>
      <c r="F10" s="137">
        <v>28</v>
      </c>
      <c r="G10" s="138">
        <v>85680</v>
      </c>
      <c r="H10" s="139">
        <f t="shared" si="0"/>
        <v>2781.7857142857142</v>
      </c>
      <c r="I10" s="138">
        <v>13310</v>
      </c>
      <c r="J10" s="140">
        <f t="shared" si="1"/>
        <v>432.14285714285717</v>
      </c>
      <c r="K10" s="141">
        <f t="shared" si="2"/>
        <v>98990</v>
      </c>
      <c r="L10" s="142">
        <f t="shared" si="3"/>
        <v>3535.3571428571427</v>
      </c>
      <c r="M10" s="143"/>
      <c r="N10" s="144">
        <f t="shared" si="4"/>
        <v>41</v>
      </c>
      <c r="O10" s="145">
        <f t="shared" si="4"/>
        <v>322410</v>
      </c>
      <c r="P10" s="139">
        <f t="shared" si="5"/>
        <v>7148.7804878048782</v>
      </c>
      <c r="Q10" s="145">
        <f t="shared" si="6"/>
        <v>69690</v>
      </c>
      <c r="R10" s="140">
        <f t="shared" si="7"/>
        <v>1545.219512195122</v>
      </c>
      <c r="S10" s="146">
        <f t="shared" si="8"/>
        <v>392100</v>
      </c>
      <c r="T10" s="142">
        <f t="shared" si="9"/>
        <v>9563.414634146342</v>
      </c>
      <c r="U10" s="147">
        <f t="shared" si="10"/>
        <v>69</v>
      </c>
      <c r="V10" s="145">
        <f t="shared" si="10"/>
        <v>408090</v>
      </c>
      <c r="W10" s="145">
        <f t="shared" si="11"/>
        <v>83000</v>
      </c>
      <c r="X10" s="148">
        <f t="shared" si="12"/>
        <v>491090</v>
      </c>
      <c r="Y10" s="145">
        <f t="shared" si="13"/>
        <v>7117.246376811594</v>
      </c>
      <c r="Z10" s="149"/>
      <c r="AA10" s="150">
        <v>119</v>
      </c>
      <c r="AB10" s="138">
        <v>88270</v>
      </c>
      <c r="AC10" s="139">
        <f t="shared" si="14"/>
        <v>741.76470588235293</v>
      </c>
      <c r="AD10" s="138">
        <v>19900</v>
      </c>
      <c r="AE10" s="140">
        <f t="shared" si="15"/>
        <v>167.22689075630251</v>
      </c>
      <c r="AF10" s="151">
        <f t="shared" si="16"/>
        <v>108170</v>
      </c>
      <c r="AG10" s="142">
        <f t="shared" si="17"/>
        <v>908.99159663865544</v>
      </c>
      <c r="AH10" s="158">
        <f t="shared" si="18"/>
        <v>69</v>
      </c>
      <c r="AI10" s="145">
        <f t="shared" si="19"/>
        <v>496360</v>
      </c>
      <c r="AJ10" s="145">
        <f t="shared" si="20"/>
        <v>102900</v>
      </c>
      <c r="AK10" s="152">
        <f t="shared" si="21"/>
        <v>599260</v>
      </c>
      <c r="AL10" s="145">
        <f t="shared" si="22"/>
        <v>41270</v>
      </c>
      <c r="AM10" s="153">
        <v>69</v>
      </c>
      <c r="AN10" s="153">
        <v>408090</v>
      </c>
      <c r="AO10" s="153">
        <v>83000</v>
      </c>
      <c r="AP10" s="154">
        <v>38500</v>
      </c>
      <c r="AQ10" s="154">
        <v>2770</v>
      </c>
      <c r="AR10" s="154">
        <v>0</v>
      </c>
      <c r="AS10" s="154">
        <v>0</v>
      </c>
      <c r="AT10" s="155">
        <f t="shared" si="23"/>
        <v>532360</v>
      </c>
      <c r="AU10" s="121">
        <v>6</v>
      </c>
      <c r="AV10" s="122">
        <f t="shared" si="25"/>
        <v>532360</v>
      </c>
      <c r="AW10" s="156"/>
    </row>
    <row r="11" spans="1:49" ht="13.5" customHeight="1">
      <c r="A11" s="121"/>
      <c r="B11" s="157">
        <f t="shared" si="24"/>
        <v>45572</v>
      </c>
      <c r="C11" s="134" t="s">
        <v>52</v>
      </c>
      <c r="D11" s="135">
        <v>76</v>
      </c>
      <c r="E11" s="136"/>
      <c r="F11" s="137"/>
      <c r="G11" s="138"/>
      <c r="H11" s="139" t="e">
        <f t="shared" si="0"/>
        <v>#DIV/0!</v>
      </c>
      <c r="I11" s="138"/>
      <c r="J11" s="140" t="e">
        <f t="shared" si="1"/>
        <v>#DIV/0!</v>
      </c>
      <c r="K11" s="141">
        <f t="shared" si="2"/>
        <v>0</v>
      </c>
      <c r="L11" s="142" t="str">
        <f t="shared" si="3"/>
        <v/>
      </c>
      <c r="M11" s="143"/>
      <c r="N11" s="144">
        <f t="shared" si="4"/>
        <v>42</v>
      </c>
      <c r="O11" s="145">
        <f t="shared" si="4"/>
        <v>419320</v>
      </c>
      <c r="P11" s="139">
        <f t="shared" si="5"/>
        <v>9076.1904761904771</v>
      </c>
      <c r="Q11" s="145">
        <f t="shared" si="6"/>
        <v>91170</v>
      </c>
      <c r="R11" s="140">
        <f t="shared" si="7"/>
        <v>1973.3571428571429</v>
      </c>
      <c r="S11" s="146">
        <f t="shared" si="8"/>
        <v>510490</v>
      </c>
      <c r="T11" s="142">
        <f t="shared" si="9"/>
        <v>12154.523809523809</v>
      </c>
      <c r="U11" s="147">
        <f t="shared" si="10"/>
        <v>42</v>
      </c>
      <c r="V11" s="145">
        <f t="shared" si="10"/>
        <v>419320</v>
      </c>
      <c r="W11" s="145">
        <f t="shared" si="11"/>
        <v>91170</v>
      </c>
      <c r="X11" s="148">
        <f t="shared" si="12"/>
        <v>510490</v>
      </c>
      <c r="Y11" s="145">
        <f t="shared" si="13"/>
        <v>12154.523809523809</v>
      </c>
      <c r="Z11" s="149"/>
      <c r="AA11" s="150">
        <v>28</v>
      </c>
      <c r="AB11" s="138">
        <v>15510</v>
      </c>
      <c r="AC11" s="139">
        <f t="shared" si="14"/>
        <v>553.92857142857144</v>
      </c>
      <c r="AD11" s="138">
        <v>10100</v>
      </c>
      <c r="AE11" s="140">
        <f t="shared" si="15"/>
        <v>360.71428571428572</v>
      </c>
      <c r="AF11" s="151">
        <f t="shared" si="16"/>
        <v>25610</v>
      </c>
      <c r="AG11" s="142">
        <f t="shared" si="17"/>
        <v>914.64285714285711</v>
      </c>
      <c r="AH11" s="158">
        <f t="shared" si="18"/>
        <v>42</v>
      </c>
      <c r="AI11" s="145">
        <f t="shared" si="19"/>
        <v>434830</v>
      </c>
      <c r="AJ11" s="145">
        <f t="shared" si="20"/>
        <v>101270</v>
      </c>
      <c r="AK11" s="152">
        <f t="shared" si="21"/>
        <v>536100</v>
      </c>
      <c r="AL11" s="145">
        <f t="shared" si="22"/>
        <v>25960</v>
      </c>
      <c r="AM11" s="153">
        <v>42</v>
      </c>
      <c r="AN11" s="153">
        <v>419320</v>
      </c>
      <c r="AO11" s="153">
        <v>91170</v>
      </c>
      <c r="AP11" s="154">
        <v>24750</v>
      </c>
      <c r="AQ11" s="154">
        <v>1210</v>
      </c>
      <c r="AR11" s="154">
        <v>0</v>
      </c>
      <c r="AS11" s="154">
        <v>0</v>
      </c>
      <c r="AT11" s="155">
        <f t="shared" si="23"/>
        <v>536450</v>
      </c>
      <c r="AU11" s="121">
        <v>7</v>
      </c>
      <c r="AV11" s="122">
        <f t="shared" si="25"/>
        <v>536450</v>
      </c>
      <c r="AW11" s="162"/>
    </row>
    <row r="12" spans="1:49" ht="13.5" customHeight="1">
      <c r="A12" s="121"/>
      <c r="B12" s="157">
        <f t="shared" si="24"/>
        <v>45573</v>
      </c>
      <c r="C12" s="134" t="s">
        <v>52</v>
      </c>
      <c r="D12" s="135">
        <v>73</v>
      </c>
      <c r="E12" s="136"/>
      <c r="F12" s="137"/>
      <c r="G12" s="138"/>
      <c r="H12" s="139" t="e">
        <f t="shared" si="0"/>
        <v>#DIV/0!</v>
      </c>
      <c r="I12" s="138"/>
      <c r="J12" s="140" t="e">
        <f t="shared" si="1"/>
        <v>#DIV/0!</v>
      </c>
      <c r="K12" s="141">
        <f t="shared" si="2"/>
        <v>0</v>
      </c>
      <c r="L12" s="142" t="str">
        <f t="shared" si="3"/>
        <v/>
      </c>
      <c r="M12" s="143"/>
      <c r="N12" s="144">
        <f t="shared" si="4"/>
        <v>43</v>
      </c>
      <c r="O12" s="145">
        <f t="shared" si="4"/>
        <v>420640</v>
      </c>
      <c r="P12" s="139">
        <f t="shared" si="5"/>
        <v>8893.0232558139542</v>
      </c>
      <c r="Q12" s="145">
        <f t="shared" si="6"/>
        <v>49400</v>
      </c>
      <c r="R12" s="163">
        <f t="shared" si="7"/>
        <v>1044.3953488372092</v>
      </c>
      <c r="S12" s="146">
        <f t="shared" si="8"/>
        <v>470040</v>
      </c>
      <c r="T12" s="142">
        <f t="shared" si="9"/>
        <v>10931.162790697674</v>
      </c>
      <c r="U12" s="147">
        <f t="shared" si="10"/>
        <v>43</v>
      </c>
      <c r="V12" s="145">
        <f t="shared" si="10"/>
        <v>420640</v>
      </c>
      <c r="W12" s="145">
        <f t="shared" si="11"/>
        <v>49400</v>
      </c>
      <c r="X12" s="148">
        <f t="shared" si="12"/>
        <v>470040</v>
      </c>
      <c r="Y12" s="145">
        <f t="shared" si="13"/>
        <v>10931.162790697674</v>
      </c>
      <c r="Z12" s="149"/>
      <c r="AA12" s="150">
        <v>56</v>
      </c>
      <c r="AB12" s="138">
        <v>32510</v>
      </c>
      <c r="AC12" s="139">
        <f t="shared" si="14"/>
        <v>580.53571428571433</v>
      </c>
      <c r="AD12" s="138">
        <v>11350</v>
      </c>
      <c r="AE12" s="140">
        <f t="shared" si="15"/>
        <v>202.67857142857142</v>
      </c>
      <c r="AF12" s="151">
        <f t="shared" si="16"/>
        <v>43860</v>
      </c>
      <c r="AG12" s="142">
        <f t="shared" si="17"/>
        <v>783.21428571428567</v>
      </c>
      <c r="AH12" s="158">
        <f t="shared" si="18"/>
        <v>43</v>
      </c>
      <c r="AI12" s="145">
        <f t="shared" si="19"/>
        <v>453150</v>
      </c>
      <c r="AJ12" s="145">
        <f t="shared" si="20"/>
        <v>60750</v>
      </c>
      <c r="AK12" s="152">
        <f t="shared" si="21"/>
        <v>513900</v>
      </c>
      <c r="AL12" s="145">
        <f t="shared" si="22"/>
        <v>23100</v>
      </c>
      <c r="AM12" s="153">
        <v>43</v>
      </c>
      <c r="AN12" s="153">
        <v>420640</v>
      </c>
      <c r="AO12" s="153">
        <v>49400</v>
      </c>
      <c r="AP12" s="154">
        <v>23100</v>
      </c>
      <c r="AQ12" s="154">
        <v>0</v>
      </c>
      <c r="AR12" s="154">
        <v>0</v>
      </c>
      <c r="AS12" s="154">
        <v>16500</v>
      </c>
      <c r="AT12" s="155">
        <f t="shared" si="23"/>
        <v>493140</v>
      </c>
      <c r="AU12" s="121">
        <v>8</v>
      </c>
      <c r="AV12" s="122">
        <f t="shared" si="25"/>
        <v>509640</v>
      </c>
      <c r="AW12" s="156"/>
    </row>
    <row r="13" spans="1:49" ht="13.5" customHeight="1">
      <c r="A13" s="121"/>
      <c r="B13" s="157">
        <f t="shared" si="24"/>
        <v>45574</v>
      </c>
      <c r="C13" s="134" t="s">
        <v>52</v>
      </c>
      <c r="D13" s="135">
        <v>83</v>
      </c>
      <c r="E13" s="136"/>
      <c r="F13" s="137"/>
      <c r="G13" s="138"/>
      <c r="H13" s="139" t="e">
        <f t="shared" si="0"/>
        <v>#DIV/0!</v>
      </c>
      <c r="I13" s="138"/>
      <c r="J13" s="140" t="e">
        <f t="shared" si="1"/>
        <v>#DIV/0!</v>
      </c>
      <c r="K13" s="141">
        <f t="shared" si="2"/>
        <v>0</v>
      </c>
      <c r="L13" s="142" t="str">
        <f t="shared" si="3"/>
        <v/>
      </c>
      <c r="M13" s="143"/>
      <c r="N13" s="144">
        <f t="shared" si="4"/>
        <v>45</v>
      </c>
      <c r="O13" s="145">
        <f t="shared" si="4"/>
        <v>384230</v>
      </c>
      <c r="P13" s="139">
        <f t="shared" si="5"/>
        <v>7762.2222222222226</v>
      </c>
      <c r="Q13" s="145">
        <f t="shared" si="6"/>
        <v>66150</v>
      </c>
      <c r="R13" s="140">
        <f t="shared" si="7"/>
        <v>1336.3555555555556</v>
      </c>
      <c r="S13" s="146">
        <f t="shared" si="8"/>
        <v>450380</v>
      </c>
      <c r="T13" s="142">
        <f t="shared" si="9"/>
        <v>10008.444444444445</v>
      </c>
      <c r="U13" s="147">
        <f t="shared" si="10"/>
        <v>45</v>
      </c>
      <c r="V13" s="145">
        <f t="shared" si="10"/>
        <v>384230</v>
      </c>
      <c r="W13" s="145">
        <f t="shared" si="11"/>
        <v>66150</v>
      </c>
      <c r="X13" s="148">
        <f t="shared" si="12"/>
        <v>450380</v>
      </c>
      <c r="Y13" s="145">
        <f t="shared" si="13"/>
        <v>10008.444444444445</v>
      </c>
      <c r="Z13" s="149"/>
      <c r="AA13" s="150">
        <v>70</v>
      </c>
      <c r="AB13" s="138">
        <v>42820</v>
      </c>
      <c r="AC13" s="139">
        <f t="shared" si="14"/>
        <v>611.71428571428567</v>
      </c>
      <c r="AD13" s="138">
        <v>13550</v>
      </c>
      <c r="AE13" s="140">
        <f t="shared" si="15"/>
        <v>193.57142857142858</v>
      </c>
      <c r="AF13" s="151">
        <f t="shared" si="16"/>
        <v>56370</v>
      </c>
      <c r="AG13" s="142">
        <f t="shared" si="17"/>
        <v>805.28571428571433</v>
      </c>
      <c r="AH13" s="158">
        <f t="shared" si="18"/>
        <v>45</v>
      </c>
      <c r="AI13" s="145">
        <f t="shared" si="19"/>
        <v>427050</v>
      </c>
      <c r="AJ13" s="145">
        <f t="shared" si="20"/>
        <v>79700</v>
      </c>
      <c r="AK13" s="152">
        <f t="shared" si="21"/>
        <v>506750</v>
      </c>
      <c r="AL13" s="145">
        <f t="shared" si="22"/>
        <v>28600</v>
      </c>
      <c r="AM13" s="153">
        <v>45</v>
      </c>
      <c r="AN13" s="153">
        <v>384230</v>
      </c>
      <c r="AO13" s="153">
        <v>66150</v>
      </c>
      <c r="AP13" s="154">
        <v>28600</v>
      </c>
      <c r="AQ13" s="154">
        <v>0</v>
      </c>
      <c r="AR13" s="154">
        <v>0</v>
      </c>
      <c r="AS13" s="154">
        <v>0</v>
      </c>
      <c r="AT13" s="155">
        <f t="shared" si="23"/>
        <v>478980</v>
      </c>
      <c r="AU13" s="121">
        <v>9</v>
      </c>
      <c r="AV13" s="122">
        <f t="shared" si="25"/>
        <v>478980</v>
      </c>
      <c r="AW13" s="121"/>
    </row>
    <row r="14" spans="1:49" ht="13.5" customHeight="1">
      <c r="A14" s="121"/>
      <c r="B14" s="157">
        <f t="shared" si="24"/>
        <v>45575</v>
      </c>
      <c r="C14" s="134" t="s">
        <v>52</v>
      </c>
      <c r="D14" s="135">
        <v>90</v>
      </c>
      <c r="E14" s="136"/>
      <c r="F14" s="137"/>
      <c r="G14" s="138"/>
      <c r="H14" s="139" t="e">
        <f t="shared" si="0"/>
        <v>#DIV/0!</v>
      </c>
      <c r="I14" s="138"/>
      <c r="J14" s="140" t="e">
        <f t="shared" si="1"/>
        <v>#DIV/0!</v>
      </c>
      <c r="K14" s="141">
        <f t="shared" si="2"/>
        <v>0</v>
      </c>
      <c r="L14" s="142" t="str">
        <f t="shared" si="3"/>
        <v/>
      </c>
      <c r="M14" s="143"/>
      <c r="N14" s="144">
        <f t="shared" si="4"/>
        <v>44</v>
      </c>
      <c r="O14" s="145">
        <f t="shared" si="4"/>
        <v>369600</v>
      </c>
      <c r="P14" s="139">
        <f t="shared" si="5"/>
        <v>7636.363636363636</v>
      </c>
      <c r="Q14" s="145">
        <f t="shared" si="6"/>
        <v>45300</v>
      </c>
      <c r="R14" s="140">
        <f t="shared" si="7"/>
        <v>935.93181818181813</v>
      </c>
      <c r="S14" s="146">
        <f t="shared" si="8"/>
        <v>414900</v>
      </c>
      <c r="T14" s="142">
        <f t="shared" si="9"/>
        <v>9429.545454545454</v>
      </c>
      <c r="U14" s="147">
        <f t="shared" si="10"/>
        <v>44</v>
      </c>
      <c r="V14" s="145">
        <f t="shared" si="10"/>
        <v>369600</v>
      </c>
      <c r="W14" s="145">
        <f t="shared" si="11"/>
        <v>45300</v>
      </c>
      <c r="X14" s="148">
        <f t="shared" si="12"/>
        <v>414900</v>
      </c>
      <c r="Y14" s="145">
        <f t="shared" si="13"/>
        <v>9429.545454545454</v>
      </c>
      <c r="Z14" s="149"/>
      <c r="AA14" s="150">
        <v>101</v>
      </c>
      <c r="AB14" s="138">
        <v>46630</v>
      </c>
      <c r="AC14" s="139">
        <f t="shared" si="14"/>
        <v>461.68316831683171</v>
      </c>
      <c r="AD14" s="138">
        <v>17000</v>
      </c>
      <c r="AE14" s="140">
        <f t="shared" si="15"/>
        <v>168.31683168316832</v>
      </c>
      <c r="AF14" s="151">
        <f t="shared" si="16"/>
        <v>63630</v>
      </c>
      <c r="AG14" s="142">
        <f t="shared" si="17"/>
        <v>630</v>
      </c>
      <c r="AH14" s="158">
        <f t="shared" si="18"/>
        <v>44</v>
      </c>
      <c r="AI14" s="145">
        <f t="shared" si="19"/>
        <v>416230</v>
      </c>
      <c r="AJ14" s="145">
        <f t="shared" si="20"/>
        <v>62300</v>
      </c>
      <c r="AK14" s="159">
        <f t="shared" si="21"/>
        <v>478530</v>
      </c>
      <c r="AL14" s="145">
        <f t="shared" si="22"/>
        <v>23650</v>
      </c>
      <c r="AM14" s="153">
        <v>44</v>
      </c>
      <c r="AN14" s="153">
        <v>369600</v>
      </c>
      <c r="AO14" s="153">
        <v>45300</v>
      </c>
      <c r="AP14" s="154">
        <v>23650</v>
      </c>
      <c r="AQ14" s="154">
        <v>0</v>
      </c>
      <c r="AR14" s="154">
        <v>0</v>
      </c>
      <c r="AS14" s="154">
        <v>0</v>
      </c>
      <c r="AT14" s="155">
        <f t="shared" si="23"/>
        <v>438550</v>
      </c>
      <c r="AU14" s="121">
        <v>10</v>
      </c>
      <c r="AV14" s="122">
        <f t="shared" si="25"/>
        <v>438550</v>
      </c>
      <c r="AW14" s="156"/>
    </row>
    <row r="15" spans="1:49" ht="13.5" customHeight="1">
      <c r="A15" s="121"/>
      <c r="B15" s="157">
        <f t="shared" si="24"/>
        <v>45576</v>
      </c>
      <c r="C15" s="134" t="s">
        <v>52</v>
      </c>
      <c r="D15" s="135">
        <v>86</v>
      </c>
      <c r="E15" s="136"/>
      <c r="F15" s="137"/>
      <c r="G15" s="138"/>
      <c r="H15" s="139" t="e">
        <f t="shared" si="0"/>
        <v>#DIV/0!</v>
      </c>
      <c r="I15" s="138"/>
      <c r="J15" s="140" t="e">
        <f t="shared" si="1"/>
        <v>#DIV/0!</v>
      </c>
      <c r="K15" s="141">
        <f t="shared" si="2"/>
        <v>0</v>
      </c>
      <c r="L15" s="142" t="str">
        <f t="shared" si="3"/>
        <v/>
      </c>
      <c r="M15" s="143"/>
      <c r="N15" s="144">
        <f t="shared" si="4"/>
        <v>42</v>
      </c>
      <c r="O15" s="145">
        <f t="shared" si="4"/>
        <v>361230</v>
      </c>
      <c r="P15" s="139">
        <f t="shared" si="5"/>
        <v>7818.8095238095239</v>
      </c>
      <c r="Q15" s="145">
        <f t="shared" si="6"/>
        <v>78710</v>
      </c>
      <c r="R15" s="140">
        <f t="shared" si="7"/>
        <v>1703.6666666666667</v>
      </c>
      <c r="S15" s="146">
        <f t="shared" si="8"/>
        <v>439940</v>
      </c>
      <c r="T15" s="142">
        <f t="shared" si="9"/>
        <v>10474.761904761905</v>
      </c>
      <c r="U15" s="147">
        <f t="shared" si="10"/>
        <v>42</v>
      </c>
      <c r="V15" s="145">
        <f t="shared" si="10"/>
        <v>361230</v>
      </c>
      <c r="W15" s="145">
        <f t="shared" si="11"/>
        <v>78710</v>
      </c>
      <c r="X15" s="148">
        <f t="shared" si="12"/>
        <v>439940</v>
      </c>
      <c r="Y15" s="145">
        <f t="shared" si="13"/>
        <v>10474.761904761905</v>
      </c>
      <c r="Z15" s="149"/>
      <c r="AA15" s="150">
        <v>94</v>
      </c>
      <c r="AB15" s="138">
        <v>34670</v>
      </c>
      <c r="AC15" s="139">
        <f t="shared" si="14"/>
        <v>368.82978723404256</v>
      </c>
      <c r="AD15" s="138">
        <v>30600</v>
      </c>
      <c r="AE15" s="140">
        <f t="shared" si="15"/>
        <v>325.531914893617</v>
      </c>
      <c r="AF15" s="151">
        <f t="shared" si="16"/>
        <v>65270</v>
      </c>
      <c r="AG15" s="142">
        <f t="shared" si="17"/>
        <v>694.36170212765956</v>
      </c>
      <c r="AH15" s="158">
        <f t="shared" si="18"/>
        <v>42</v>
      </c>
      <c r="AI15" s="145">
        <f t="shared" si="19"/>
        <v>395900</v>
      </c>
      <c r="AJ15" s="145">
        <f t="shared" si="20"/>
        <v>109310</v>
      </c>
      <c r="AK15" s="152">
        <f t="shared" si="21"/>
        <v>505210</v>
      </c>
      <c r="AL15" s="145">
        <f t="shared" si="22"/>
        <v>24200</v>
      </c>
      <c r="AM15" s="153">
        <v>42</v>
      </c>
      <c r="AN15" s="153">
        <v>361230</v>
      </c>
      <c r="AO15" s="153">
        <v>78710</v>
      </c>
      <c r="AP15" s="154">
        <v>24200</v>
      </c>
      <c r="AQ15" s="154">
        <v>0</v>
      </c>
      <c r="AR15" s="154">
        <v>0</v>
      </c>
      <c r="AS15" s="154">
        <v>6600</v>
      </c>
      <c r="AT15" s="155">
        <f t="shared" si="23"/>
        <v>464140</v>
      </c>
      <c r="AU15" s="121">
        <v>11</v>
      </c>
      <c r="AV15" s="122">
        <f t="shared" si="25"/>
        <v>470740</v>
      </c>
      <c r="AW15" s="156"/>
    </row>
    <row r="16" spans="1:49" ht="13.5" customHeight="1">
      <c r="A16" s="121"/>
      <c r="B16" s="160">
        <f t="shared" si="24"/>
        <v>45577</v>
      </c>
      <c r="C16" s="134"/>
      <c r="D16" s="135">
        <v>90</v>
      </c>
      <c r="E16" s="136">
        <v>13</v>
      </c>
      <c r="F16" s="137">
        <v>36</v>
      </c>
      <c r="G16" s="138">
        <v>147840</v>
      </c>
      <c r="H16" s="139">
        <f t="shared" si="0"/>
        <v>3733.3333333333335</v>
      </c>
      <c r="I16" s="138">
        <v>27300</v>
      </c>
      <c r="J16" s="140">
        <f t="shared" si="1"/>
        <v>689.38888888888891</v>
      </c>
      <c r="K16" s="141">
        <f t="shared" si="2"/>
        <v>175140</v>
      </c>
      <c r="L16" s="142">
        <f t="shared" si="3"/>
        <v>4865</v>
      </c>
      <c r="M16" s="143"/>
      <c r="N16" s="144">
        <f>AM16-F16</f>
        <v>30</v>
      </c>
      <c r="O16" s="145">
        <f t="shared" si="4"/>
        <v>377850</v>
      </c>
      <c r="P16" s="139">
        <f t="shared" si="5"/>
        <v>11450</v>
      </c>
      <c r="Q16" s="145">
        <f t="shared" si="6"/>
        <v>99000</v>
      </c>
      <c r="R16" s="140">
        <f t="shared" si="7"/>
        <v>3000</v>
      </c>
      <c r="S16" s="146">
        <f t="shared" si="8"/>
        <v>476850</v>
      </c>
      <c r="T16" s="142">
        <f t="shared" si="9"/>
        <v>15895</v>
      </c>
      <c r="U16" s="147">
        <f t="shared" si="10"/>
        <v>66</v>
      </c>
      <c r="V16" s="145">
        <f t="shared" si="10"/>
        <v>525690</v>
      </c>
      <c r="W16" s="145">
        <f t="shared" si="11"/>
        <v>126300</v>
      </c>
      <c r="X16" s="148">
        <f t="shared" si="12"/>
        <v>651990</v>
      </c>
      <c r="Y16" s="145">
        <f t="shared" si="13"/>
        <v>9878.636363636364</v>
      </c>
      <c r="Z16" s="149"/>
      <c r="AA16" s="150">
        <v>150</v>
      </c>
      <c r="AB16" s="138">
        <v>119600</v>
      </c>
      <c r="AC16" s="139">
        <f t="shared" si="14"/>
        <v>797.33333333333337</v>
      </c>
      <c r="AD16" s="138">
        <v>28700</v>
      </c>
      <c r="AE16" s="140">
        <f t="shared" si="15"/>
        <v>191.33333333333334</v>
      </c>
      <c r="AF16" s="151">
        <f t="shared" si="16"/>
        <v>148300</v>
      </c>
      <c r="AG16" s="142">
        <f t="shared" si="17"/>
        <v>988.66666666666663</v>
      </c>
      <c r="AH16" s="158">
        <v>66</v>
      </c>
      <c r="AI16" s="145">
        <f t="shared" si="19"/>
        <v>645290</v>
      </c>
      <c r="AJ16" s="145">
        <f t="shared" si="20"/>
        <v>155000</v>
      </c>
      <c r="AK16" s="152">
        <f t="shared" si="21"/>
        <v>800290</v>
      </c>
      <c r="AL16" s="145">
        <f t="shared" si="22"/>
        <v>13200</v>
      </c>
      <c r="AM16" s="153">
        <v>66</v>
      </c>
      <c r="AN16" s="153">
        <v>525690</v>
      </c>
      <c r="AO16" s="153">
        <v>126300</v>
      </c>
      <c r="AP16" s="154">
        <v>13200</v>
      </c>
      <c r="AQ16" s="154">
        <v>0</v>
      </c>
      <c r="AR16" s="154">
        <v>0</v>
      </c>
      <c r="AS16" s="154">
        <v>3300</v>
      </c>
      <c r="AT16" s="155">
        <f t="shared" si="23"/>
        <v>665190</v>
      </c>
      <c r="AU16" s="121">
        <v>12</v>
      </c>
      <c r="AV16" s="122">
        <f t="shared" si="25"/>
        <v>668490</v>
      </c>
      <c r="AW16" s="156"/>
    </row>
    <row r="17" spans="1:49" ht="13.5" customHeight="1">
      <c r="A17" s="121"/>
      <c r="B17" s="161">
        <f t="shared" si="24"/>
        <v>45578</v>
      </c>
      <c r="C17" s="134"/>
      <c r="D17" s="135">
        <v>92</v>
      </c>
      <c r="E17" s="136">
        <v>14</v>
      </c>
      <c r="F17" s="137">
        <v>34</v>
      </c>
      <c r="G17" s="138">
        <v>123860</v>
      </c>
      <c r="H17" s="139">
        <f t="shared" si="0"/>
        <v>3311.7647058823532</v>
      </c>
      <c r="I17" s="138">
        <v>13930</v>
      </c>
      <c r="J17" s="140">
        <f t="shared" si="1"/>
        <v>372.44117647058823</v>
      </c>
      <c r="K17" s="141">
        <f t="shared" si="2"/>
        <v>137790</v>
      </c>
      <c r="L17" s="142">
        <f t="shared" si="3"/>
        <v>4052.6470588235293</v>
      </c>
      <c r="M17" s="143"/>
      <c r="N17" s="144">
        <f t="shared" si="4"/>
        <v>39</v>
      </c>
      <c r="O17" s="145">
        <f t="shared" si="4"/>
        <v>378840</v>
      </c>
      <c r="P17" s="139">
        <f t="shared" si="5"/>
        <v>8830.7692307692305</v>
      </c>
      <c r="Q17" s="145">
        <f t="shared" si="6"/>
        <v>64800</v>
      </c>
      <c r="R17" s="140">
        <f t="shared" si="7"/>
        <v>1510.4871794871794</v>
      </c>
      <c r="S17" s="146">
        <f t="shared" si="8"/>
        <v>443640</v>
      </c>
      <c r="T17" s="142">
        <f t="shared" si="9"/>
        <v>11375.384615384615</v>
      </c>
      <c r="U17" s="147">
        <f t="shared" si="10"/>
        <v>73</v>
      </c>
      <c r="V17" s="145">
        <f t="shared" si="10"/>
        <v>502700</v>
      </c>
      <c r="W17" s="145">
        <f t="shared" si="11"/>
        <v>78730</v>
      </c>
      <c r="X17" s="148">
        <f t="shared" si="12"/>
        <v>581430</v>
      </c>
      <c r="Y17" s="145">
        <f t="shared" si="13"/>
        <v>7964.7945205479455</v>
      </c>
      <c r="Z17" s="149"/>
      <c r="AA17" s="150">
        <v>195</v>
      </c>
      <c r="AB17" s="138">
        <v>141840</v>
      </c>
      <c r="AC17" s="139">
        <f t="shared" si="14"/>
        <v>727.38461538461536</v>
      </c>
      <c r="AD17" s="138">
        <v>56600</v>
      </c>
      <c r="AE17" s="140">
        <f t="shared" si="15"/>
        <v>290.25641025641028</v>
      </c>
      <c r="AF17" s="151">
        <f t="shared" si="16"/>
        <v>198440</v>
      </c>
      <c r="AG17" s="142">
        <f t="shared" si="17"/>
        <v>1017.6410256410256</v>
      </c>
      <c r="AH17" s="158">
        <f t="shared" si="18"/>
        <v>73</v>
      </c>
      <c r="AI17" s="145">
        <f t="shared" si="19"/>
        <v>644540</v>
      </c>
      <c r="AJ17" s="145">
        <f t="shared" si="20"/>
        <v>135330</v>
      </c>
      <c r="AK17" s="152">
        <f t="shared" si="21"/>
        <v>779870</v>
      </c>
      <c r="AL17" s="145">
        <f t="shared" si="22"/>
        <v>36300</v>
      </c>
      <c r="AM17" s="153">
        <v>73</v>
      </c>
      <c r="AN17" s="153">
        <v>502700</v>
      </c>
      <c r="AO17" s="153">
        <v>78730</v>
      </c>
      <c r="AP17" s="154">
        <v>36300</v>
      </c>
      <c r="AQ17" s="154">
        <v>0</v>
      </c>
      <c r="AR17" s="154">
        <v>0</v>
      </c>
      <c r="AS17" s="154">
        <v>100980</v>
      </c>
      <c r="AT17" s="155">
        <f t="shared" si="23"/>
        <v>617730</v>
      </c>
      <c r="AU17" s="121">
        <v>13</v>
      </c>
      <c r="AV17" s="122">
        <f t="shared" si="25"/>
        <v>718710</v>
      </c>
      <c r="AW17" s="156"/>
    </row>
    <row r="18" spans="1:49" ht="13.5" customHeight="1">
      <c r="A18" s="121"/>
      <c r="B18" s="161">
        <f t="shared" si="24"/>
        <v>45579</v>
      </c>
      <c r="C18" s="134"/>
      <c r="D18" s="135">
        <v>96</v>
      </c>
      <c r="E18" s="136">
        <v>11</v>
      </c>
      <c r="F18" s="137">
        <v>35</v>
      </c>
      <c r="G18" s="138">
        <v>133980</v>
      </c>
      <c r="H18" s="139">
        <f t="shared" si="0"/>
        <v>3480</v>
      </c>
      <c r="I18" s="138">
        <v>19580</v>
      </c>
      <c r="J18" s="140">
        <f t="shared" si="1"/>
        <v>508.57142857142856</v>
      </c>
      <c r="K18" s="141">
        <f t="shared" si="2"/>
        <v>153560</v>
      </c>
      <c r="L18" s="142">
        <f t="shared" si="3"/>
        <v>4387.4285714285716</v>
      </c>
      <c r="M18" s="143"/>
      <c r="N18" s="144">
        <f t="shared" si="4"/>
        <v>41</v>
      </c>
      <c r="O18" s="145">
        <f t="shared" si="4"/>
        <v>384560</v>
      </c>
      <c r="P18" s="139">
        <f t="shared" si="5"/>
        <v>8526.8292682926822</v>
      </c>
      <c r="Q18" s="145">
        <f t="shared" si="6"/>
        <v>76350</v>
      </c>
      <c r="R18" s="140">
        <f t="shared" si="7"/>
        <v>1692.9024390243903</v>
      </c>
      <c r="S18" s="146">
        <f t="shared" si="8"/>
        <v>460910</v>
      </c>
      <c r="T18" s="142">
        <f t="shared" si="9"/>
        <v>11241.707317073171</v>
      </c>
      <c r="U18" s="147">
        <f t="shared" si="10"/>
        <v>76</v>
      </c>
      <c r="V18" s="145">
        <f t="shared" si="10"/>
        <v>518540</v>
      </c>
      <c r="W18" s="145">
        <f t="shared" si="11"/>
        <v>95930</v>
      </c>
      <c r="X18" s="148">
        <f t="shared" si="12"/>
        <v>614470</v>
      </c>
      <c r="Y18" s="145">
        <f t="shared" si="13"/>
        <v>8085.1315789473683</v>
      </c>
      <c r="Z18" s="149"/>
      <c r="AA18" s="150">
        <v>225</v>
      </c>
      <c r="AB18" s="138">
        <v>163030</v>
      </c>
      <c r="AC18" s="139">
        <f t="shared" si="14"/>
        <v>724.57777777777778</v>
      </c>
      <c r="AD18" s="138">
        <v>51200</v>
      </c>
      <c r="AE18" s="140">
        <f t="shared" si="15"/>
        <v>227.55555555555554</v>
      </c>
      <c r="AF18" s="151">
        <f t="shared" si="16"/>
        <v>214230</v>
      </c>
      <c r="AG18" s="142">
        <f t="shared" si="17"/>
        <v>952.13333333333333</v>
      </c>
      <c r="AH18" s="158">
        <f t="shared" si="18"/>
        <v>76</v>
      </c>
      <c r="AI18" s="145">
        <f t="shared" si="19"/>
        <v>681570</v>
      </c>
      <c r="AJ18" s="145">
        <f t="shared" si="20"/>
        <v>147130</v>
      </c>
      <c r="AK18" s="152">
        <f t="shared" si="21"/>
        <v>828700</v>
      </c>
      <c r="AL18" s="145">
        <f t="shared" si="22"/>
        <v>34210</v>
      </c>
      <c r="AM18" s="153">
        <v>76</v>
      </c>
      <c r="AN18" s="153">
        <v>518540</v>
      </c>
      <c r="AO18" s="153">
        <v>95930</v>
      </c>
      <c r="AP18" s="154">
        <v>31350</v>
      </c>
      <c r="AQ18" s="154">
        <v>2860</v>
      </c>
      <c r="AR18" s="154">
        <v>0</v>
      </c>
      <c r="AS18" s="154">
        <v>12980</v>
      </c>
      <c r="AT18" s="155">
        <f t="shared" si="23"/>
        <v>648680</v>
      </c>
      <c r="AU18" s="121">
        <v>14</v>
      </c>
      <c r="AV18" s="122">
        <f t="shared" si="25"/>
        <v>661660</v>
      </c>
      <c r="AW18" s="156"/>
    </row>
    <row r="19" spans="1:49" ht="13.5" customHeight="1">
      <c r="A19" s="121"/>
      <c r="B19" s="157">
        <f t="shared" si="24"/>
        <v>45580</v>
      </c>
      <c r="C19" s="134" t="s">
        <v>52</v>
      </c>
      <c r="D19" s="135">
        <v>75</v>
      </c>
      <c r="E19" s="136"/>
      <c r="F19" s="137"/>
      <c r="G19" s="138"/>
      <c r="H19" s="139" t="e">
        <f t="shared" si="0"/>
        <v>#DIV/0!</v>
      </c>
      <c r="I19" s="138"/>
      <c r="J19" s="140" t="e">
        <f t="shared" si="1"/>
        <v>#DIV/0!</v>
      </c>
      <c r="K19" s="141">
        <f t="shared" si="2"/>
        <v>0</v>
      </c>
      <c r="L19" s="142" t="str">
        <f t="shared" si="3"/>
        <v/>
      </c>
      <c r="M19" s="143"/>
      <c r="N19" s="144">
        <f t="shared" si="4"/>
        <v>36</v>
      </c>
      <c r="O19" s="145">
        <f t="shared" si="4"/>
        <v>329010</v>
      </c>
      <c r="P19" s="139">
        <f t="shared" si="5"/>
        <v>8308.3333333333339</v>
      </c>
      <c r="Q19" s="145">
        <f t="shared" si="6"/>
        <v>76070</v>
      </c>
      <c r="R19" s="163">
        <f t="shared" si="7"/>
        <v>1920.9444444444443</v>
      </c>
      <c r="S19" s="146">
        <f t="shared" si="8"/>
        <v>405080</v>
      </c>
      <c r="T19" s="142">
        <f t="shared" si="9"/>
        <v>11252.222222222223</v>
      </c>
      <c r="U19" s="147">
        <f t="shared" si="10"/>
        <v>36</v>
      </c>
      <c r="V19" s="145">
        <f t="shared" si="10"/>
        <v>329010</v>
      </c>
      <c r="W19" s="145">
        <f t="shared" si="11"/>
        <v>76070</v>
      </c>
      <c r="X19" s="148">
        <f t="shared" si="12"/>
        <v>405080</v>
      </c>
      <c r="Y19" s="145">
        <f t="shared" si="13"/>
        <v>11252.222222222223</v>
      </c>
      <c r="Z19" s="149"/>
      <c r="AA19" s="150">
        <v>100</v>
      </c>
      <c r="AB19" s="138">
        <v>60630</v>
      </c>
      <c r="AC19" s="139">
        <f t="shared" si="14"/>
        <v>606.29999999999995</v>
      </c>
      <c r="AD19" s="138">
        <v>24250</v>
      </c>
      <c r="AE19" s="140">
        <f t="shared" si="15"/>
        <v>242.5</v>
      </c>
      <c r="AF19" s="151">
        <f t="shared" si="16"/>
        <v>84880</v>
      </c>
      <c r="AG19" s="142">
        <f t="shared" si="17"/>
        <v>848.8</v>
      </c>
      <c r="AH19" s="158">
        <f t="shared" si="18"/>
        <v>36</v>
      </c>
      <c r="AI19" s="145">
        <f t="shared" si="19"/>
        <v>389640</v>
      </c>
      <c r="AJ19" s="145">
        <f t="shared" si="20"/>
        <v>100320</v>
      </c>
      <c r="AK19" s="152">
        <f t="shared" si="21"/>
        <v>489960</v>
      </c>
      <c r="AL19" s="145">
        <f t="shared" si="22"/>
        <v>23560</v>
      </c>
      <c r="AM19" s="153">
        <v>36</v>
      </c>
      <c r="AN19" s="153">
        <v>329010</v>
      </c>
      <c r="AO19" s="153">
        <v>76070</v>
      </c>
      <c r="AP19" s="154">
        <v>22000</v>
      </c>
      <c r="AQ19" s="154">
        <v>1560</v>
      </c>
      <c r="AR19" s="154">
        <v>0</v>
      </c>
      <c r="AS19" s="154">
        <v>3300</v>
      </c>
      <c r="AT19" s="155">
        <f t="shared" si="23"/>
        <v>428640</v>
      </c>
      <c r="AU19" s="121">
        <v>15</v>
      </c>
      <c r="AV19" s="122">
        <f t="shared" si="25"/>
        <v>431940</v>
      </c>
      <c r="AW19" s="121"/>
    </row>
    <row r="20" spans="1:49" ht="13.5" customHeight="1">
      <c r="A20" s="121"/>
      <c r="B20" s="157">
        <f t="shared" si="24"/>
        <v>45581</v>
      </c>
      <c r="C20" s="134" t="s">
        <v>52</v>
      </c>
      <c r="D20" s="135">
        <v>91</v>
      </c>
      <c r="E20" s="136"/>
      <c r="F20" s="137"/>
      <c r="G20" s="138"/>
      <c r="H20" s="139" t="e">
        <f t="shared" si="0"/>
        <v>#DIV/0!</v>
      </c>
      <c r="I20" s="138"/>
      <c r="J20" s="139" t="e">
        <f t="shared" si="1"/>
        <v>#DIV/0!</v>
      </c>
      <c r="K20" s="141">
        <f t="shared" si="2"/>
        <v>0</v>
      </c>
      <c r="L20" s="142" t="str">
        <f t="shared" si="3"/>
        <v/>
      </c>
      <c r="M20" s="143"/>
      <c r="N20" s="144">
        <f t="shared" si="4"/>
        <v>40</v>
      </c>
      <c r="O20" s="145">
        <f t="shared" si="4"/>
        <v>430430</v>
      </c>
      <c r="P20" s="139">
        <f t="shared" si="5"/>
        <v>9782.5</v>
      </c>
      <c r="Q20" s="145">
        <f t="shared" si="6"/>
        <v>82700</v>
      </c>
      <c r="R20" s="163">
        <f t="shared" si="7"/>
        <v>1879.5250000000001</v>
      </c>
      <c r="S20" s="146">
        <f t="shared" si="8"/>
        <v>513130</v>
      </c>
      <c r="T20" s="142">
        <f t="shared" si="9"/>
        <v>12828.25</v>
      </c>
      <c r="U20" s="147">
        <f t="shared" si="10"/>
        <v>40</v>
      </c>
      <c r="V20" s="145">
        <f t="shared" si="10"/>
        <v>430430</v>
      </c>
      <c r="W20" s="145">
        <f t="shared" si="11"/>
        <v>82700</v>
      </c>
      <c r="X20" s="148">
        <f t="shared" si="12"/>
        <v>513130</v>
      </c>
      <c r="Y20" s="145">
        <f t="shared" si="13"/>
        <v>12828.25</v>
      </c>
      <c r="Z20" s="149"/>
      <c r="AA20" s="150">
        <v>91</v>
      </c>
      <c r="AB20" s="138">
        <v>54150</v>
      </c>
      <c r="AC20" s="139">
        <f t="shared" si="14"/>
        <v>595.05494505494505</v>
      </c>
      <c r="AD20" s="138">
        <v>31650</v>
      </c>
      <c r="AE20" s="140">
        <f t="shared" si="15"/>
        <v>347.80219780219778</v>
      </c>
      <c r="AF20" s="151">
        <f t="shared" si="16"/>
        <v>85800</v>
      </c>
      <c r="AG20" s="142">
        <f t="shared" si="17"/>
        <v>942.85714285714289</v>
      </c>
      <c r="AH20" s="158">
        <f t="shared" si="18"/>
        <v>40</v>
      </c>
      <c r="AI20" s="153">
        <f t="shared" si="19"/>
        <v>484580</v>
      </c>
      <c r="AJ20" s="153">
        <f t="shared" si="20"/>
        <v>114350</v>
      </c>
      <c r="AK20" s="152">
        <f t="shared" si="21"/>
        <v>598930</v>
      </c>
      <c r="AL20" s="145">
        <f t="shared" si="22"/>
        <v>19800</v>
      </c>
      <c r="AM20" s="153">
        <v>40</v>
      </c>
      <c r="AN20" s="153">
        <v>430430</v>
      </c>
      <c r="AO20" s="153">
        <v>82700</v>
      </c>
      <c r="AP20" s="154">
        <v>19800</v>
      </c>
      <c r="AQ20" s="154">
        <v>0</v>
      </c>
      <c r="AR20" s="154">
        <v>0</v>
      </c>
      <c r="AS20" s="154">
        <v>0</v>
      </c>
      <c r="AT20" s="155">
        <f t="shared" si="23"/>
        <v>532930</v>
      </c>
      <c r="AU20" s="121">
        <v>16</v>
      </c>
      <c r="AV20" s="122">
        <f t="shared" si="25"/>
        <v>532930</v>
      </c>
      <c r="AW20" s="156"/>
    </row>
    <row r="21" spans="1:49" ht="15.75" customHeight="1">
      <c r="A21" s="121"/>
      <c r="B21" s="157">
        <f t="shared" si="24"/>
        <v>45582</v>
      </c>
      <c r="C21" s="134" t="s">
        <v>52</v>
      </c>
      <c r="D21" s="135">
        <v>95</v>
      </c>
      <c r="E21" s="136"/>
      <c r="F21" s="137"/>
      <c r="G21" s="138"/>
      <c r="H21" s="139" t="e">
        <f t="shared" si="0"/>
        <v>#DIV/0!</v>
      </c>
      <c r="I21" s="138"/>
      <c r="J21" s="139" t="e">
        <f t="shared" si="1"/>
        <v>#DIV/0!</v>
      </c>
      <c r="K21" s="141">
        <f t="shared" si="2"/>
        <v>0</v>
      </c>
      <c r="L21" s="142" t="str">
        <f t="shared" si="3"/>
        <v/>
      </c>
      <c r="M21" s="143"/>
      <c r="N21" s="144">
        <f t="shared" ref="N21:O35" si="26">AM21-F21</f>
        <v>40</v>
      </c>
      <c r="O21" s="145">
        <f t="shared" si="26"/>
        <v>384010</v>
      </c>
      <c r="P21" s="139">
        <f t="shared" si="5"/>
        <v>8727.5</v>
      </c>
      <c r="Q21" s="145">
        <f t="shared" si="6"/>
        <v>67050</v>
      </c>
      <c r="R21" s="163">
        <f t="shared" si="7"/>
        <v>1523.85</v>
      </c>
      <c r="S21" s="146">
        <f t="shared" si="8"/>
        <v>451060</v>
      </c>
      <c r="T21" s="142">
        <f t="shared" si="9"/>
        <v>11276.5</v>
      </c>
      <c r="U21" s="147">
        <f t="shared" ref="U21:V35" si="27">F21+N21</f>
        <v>40</v>
      </c>
      <c r="V21" s="145">
        <f t="shared" si="27"/>
        <v>384010</v>
      </c>
      <c r="W21" s="145">
        <f t="shared" si="11"/>
        <v>67050</v>
      </c>
      <c r="X21" s="148">
        <f t="shared" si="12"/>
        <v>451060</v>
      </c>
      <c r="Y21" s="145">
        <f t="shared" si="13"/>
        <v>11276.5</v>
      </c>
      <c r="Z21" s="149"/>
      <c r="AA21" s="150">
        <v>94</v>
      </c>
      <c r="AB21" s="138">
        <v>53740</v>
      </c>
      <c r="AC21" s="139">
        <f t="shared" si="14"/>
        <v>571.70212765957444</v>
      </c>
      <c r="AD21" s="138">
        <v>31450</v>
      </c>
      <c r="AE21" s="140">
        <f t="shared" si="15"/>
        <v>334.57446808510639</v>
      </c>
      <c r="AF21" s="151">
        <f t="shared" si="16"/>
        <v>85190</v>
      </c>
      <c r="AG21" s="142">
        <f t="shared" si="17"/>
        <v>906.27659574468089</v>
      </c>
      <c r="AH21" s="158">
        <f t="shared" si="18"/>
        <v>40</v>
      </c>
      <c r="AI21" s="153">
        <f t="shared" si="19"/>
        <v>437750</v>
      </c>
      <c r="AJ21" s="153">
        <f t="shared" si="20"/>
        <v>98500</v>
      </c>
      <c r="AK21" s="152">
        <f t="shared" si="21"/>
        <v>536250</v>
      </c>
      <c r="AL21" s="145">
        <f t="shared" si="22"/>
        <v>22150</v>
      </c>
      <c r="AM21" s="153">
        <v>40</v>
      </c>
      <c r="AN21" s="153">
        <v>384010</v>
      </c>
      <c r="AO21" s="153">
        <v>67050</v>
      </c>
      <c r="AP21" s="154">
        <v>20500</v>
      </c>
      <c r="AQ21" s="154">
        <v>1650</v>
      </c>
      <c r="AR21" s="154">
        <v>0</v>
      </c>
      <c r="AS21" s="154">
        <v>19800</v>
      </c>
      <c r="AT21" s="155">
        <f t="shared" si="23"/>
        <v>473210</v>
      </c>
      <c r="AU21" s="121">
        <v>17</v>
      </c>
      <c r="AV21" s="122">
        <f t="shared" si="25"/>
        <v>493010</v>
      </c>
      <c r="AW21" s="156"/>
    </row>
    <row r="22" spans="1:49" ht="15.75" customHeight="1">
      <c r="A22" s="121"/>
      <c r="B22" s="157">
        <f t="shared" si="24"/>
        <v>45583</v>
      </c>
      <c r="C22" s="134" t="s">
        <v>60</v>
      </c>
      <c r="D22" s="135">
        <v>73</v>
      </c>
      <c r="E22" s="136"/>
      <c r="F22" s="137"/>
      <c r="G22" s="138"/>
      <c r="H22" s="139" t="e">
        <f t="shared" si="0"/>
        <v>#DIV/0!</v>
      </c>
      <c r="I22" s="138"/>
      <c r="J22" s="139" t="e">
        <f t="shared" si="1"/>
        <v>#DIV/0!</v>
      </c>
      <c r="K22" s="141">
        <f t="shared" si="2"/>
        <v>0</v>
      </c>
      <c r="L22" s="142" t="str">
        <f t="shared" si="3"/>
        <v/>
      </c>
      <c r="M22" s="143"/>
      <c r="N22" s="144">
        <f t="shared" si="26"/>
        <v>36</v>
      </c>
      <c r="O22" s="145">
        <f t="shared" si="26"/>
        <v>359150</v>
      </c>
      <c r="P22" s="139">
        <f t="shared" si="5"/>
        <v>9069.4444444444453</v>
      </c>
      <c r="Q22" s="145">
        <f t="shared" si="6"/>
        <v>64560</v>
      </c>
      <c r="R22" s="163">
        <f t="shared" si="7"/>
        <v>1630.2777777777778</v>
      </c>
      <c r="S22" s="146">
        <f t="shared" si="8"/>
        <v>423710</v>
      </c>
      <c r="T22" s="142">
        <f t="shared" si="9"/>
        <v>11769.722222222223</v>
      </c>
      <c r="U22" s="147">
        <f t="shared" si="27"/>
        <v>36</v>
      </c>
      <c r="V22" s="145">
        <f t="shared" si="27"/>
        <v>359150</v>
      </c>
      <c r="W22" s="145">
        <f t="shared" si="11"/>
        <v>64560</v>
      </c>
      <c r="X22" s="148">
        <f t="shared" si="12"/>
        <v>423710</v>
      </c>
      <c r="Y22" s="145">
        <f t="shared" si="13"/>
        <v>11769.722222222223</v>
      </c>
      <c r="Z22" s="149"/>
      <c r="AA22" s="150">
        <v>35</v>
      </c>
      <c r="AB22" s="138">
        <v>22100</v>
      </c>
      <c r="AC22" s="139">
        <f t="shared" si="14"/>
        <v>631.42857142857144</v>
      </c>
      <c r="AD22" s="138">
        <v>9450</v>
      </c>
      <c r="AE22" s="140">
        <f t="shared" si="15"/>
        <v>270</v>
      </c>
      <c r="AF22" s="151">
        <f t="shared" si="16"/>
        <v>31550</v>
      </c>
      <c r="AG22" s="142">
        <f t="shared" si="17"/>
        <v>901.42857142857144</v>
      </c>
      <c r="AH22" s="158">
        <f t="shared" si="18"/>
        <v>36</v>
      </c>
      <c r="AI22" s="153">
        <f t="shared" si="19"/>
        <v>381250</v>
      </c>
      <c r="AJ22" s="153">
        <f t="shared" si="20"/>
        <v>74010</v>
      </c>
      <c r="AK22" s="152">
        <f t="shared" si="21"/>
        <v>455260</v>
      </c>
      <c r="AL22" s="145">
        <f t="shared" si="22"/>
        <v>22000</v>
      </c>
      <c r="AM22" s="153">
        <v>36</v>
      </c>
      <c r="AN22" s="153">
        <v>359150</v>
      </c>
      <c r="AO22" s="153">
        <v>64560</v>
      </c>
      <c r="AP22" s="154">
        <v>22000</v>
      </c>
      <c r="AQ22" s="154">
        <v>0</v>
      </c>
      <c r="AR22" s="154">
        <v>0</v>
      </c>
      <c r="AS22" s="154">
        <v>0</v>
      </c>
      <c r="AT22" s="155">
        <f t="shared" si="23"/>
        <v>445710</v>
      </c>
      <c r="AU22" s="121">
        <v>18</v>
      </c>
      <c r="AV22" s="122">
        <f t="shared" si="25"/>
        <v>445710</v>
      </c>
      <c r="AW22" s="156"/>
    </row>
    <row r="23" spans="1:49" ht="15.75" customHeight="1">
      <c r="A23" s="121"/>
      <c r="B23" s="161">
        <f t="shared" si="24"/>
        <v>45584</v>
      </c>
      <c r="C23" s="134" t="s">
        <v>61</v>
      </c>
      <c r="D23" s="135">
        <v>70</v>
      </c>
      <c r="E23" s="136">
        <v>3</v>
      </c>
      <c r="F23" s="137">
        <v>10</v>
      </c>
      <c r="G23" s="138">
        <v>46640</v>
      </c>
      <c r="H23" s="139">
        <f t="shared" si="0"/>
        <v>4240</v>
      </c>
      <c r="I23" s="138">
        <v>5580</v>
      </c>
      <c r="J23" s="139">
        <f t="shared" si="1"/>
        <v>507.2</v>
      </c>
      <c r="K23" s="141">
        <f t="shared" si="2"/>
        <v>52220</v>
      </c>
      <c r="L23" s="142">
        <f t="shared" si="3"/>
        <v>5222</v>
      </c>
      <c r="M23" s="143"/>
      <c r="N23" s="144">
        <f t="shared" si="26"/>
        <v>28</v>
      </c>
      <c r="O23" s="145">
        <f t="shared" si="26"/>
        <v>255750</v>
      </c>
      <c r="P23" s="139">
        <f t="shared" si="5"/>
        <v>8303.5714285714294</v>
      </c>
      <c r="Q23" s="145">
        <f t="shared" si="6"/>
        <v>44540</v>
      </c>
      <c r="R23" s="163">
        <f t="shared" si="7"/>
        <v>1446.0714285714287</v>
      </c>
      <c r="S23" s="146">
        <f t="shared" si="8"/>
        <v>300290</v>
      </c>
      <c r="T23" s="142">
        <f t="shared" si="9"/>
        <v>10724.642857142857</v>
      </c>
      <c r="U23" s="147">
        <f t="shared" si="27"/>
        <v>38</v>
      </c>
      <c r="V23" s="145">
        <f t="shared" si="27"/>
        <v>302390</v>
      </c>
      <c r="W23" s="145">
        <f t="shared" si="11"/>
        <v>50120</v>
      </c>
      <c r="X23" s="148">
        <f t="shared" si="12"/>
        <v>352510</v>
      </c>
      <c r="Y23" s="145">
        <f t="shared" si="13"/>
        <v>9276.5789473684217</v>
      </c>
      <c r="Z23" s="149"/>
      <c r="AA23" s="150">
        <v>2</v>
      </c>
      <c r="AB23" s="138">
        <v>1600</v>
      </c>
      <c r="AC23" s="139">
        <f t="shared" si="14"/>
        <v>800</v>
      </c>
      <c r="AD23" s="138">
        <v>0</v>
      </c>
      <c r="AE23" s="140">
        <f t="shared" si="15"/>
        <v>0</v>
      </c>
      <c r="AF23" s="151">
        <f t="shared" si="16"/>
        <v>1600</v>
      </c>
      <c r="AG23" s="142">
        <f t="shared" si="17"/>
        <v>800</v>
      </c>
      <c r="AH23" s="158">
        <f t="shared" si="18"/>
        <v>38</v>
      </c>
      <c r="AI23" s="153">
        <f t="shared" si="19"/>
        <v>303990</v>
      </c>
      <c r="AJ23" s="153">
        <f t="shared" si="20"/>
        <v>50120</v>
      </c>
      <c r="AK23" s="152">
        <f t="shared" si="21"/>
        <v>354110</v>
      </c>
      <c r="AL23" s="145">
        <f t="shared" si="22"/>
        <v>33550</v>
      </c>
      <c r="AM23" s="153">
        <v>38</v>
      </c>
      <c r="AN23" s="153">
        <v>302390</v>
      </c>
      <c r="AO23" s="153">
        <v>50120</v>
      </c>
      <c r="AP23" s="154">
        <v>31900</v>
      </c>
      <c r="AQ23" s="154">
        <v>1650</v>
      </c>
      <c r="AR23" s="154">
        <v>0</v>
      </c>
      <c r="AS23" s="154">
        <v>70000</v>
      </c>
      <c r="AT23" s="155">
        <f t="shared" si="23"/>
        <v>386060</v>
      </c>
      <c r="AU23" s="121">
        <v>19</v>
      </c>
      <c r="AV23" s="122">
        <f t="shared" si="25"/>
        <v>456060</v>
      </c>
      <c r="AW23" s="156"/>
    </row>
    <row r="24" spans="1:49" ht="15.75" customHeight="1">
      <c r="A24" s="121"/>
      <c r="B24" s="161">
        <f t="shared" si="24"/>
        <v>45585</v>
      </c>
      <c r="C24" s="134"/>
      <c r="D24" s="135">
        <v>95</v>
      </c>
      <c r="E24" s="136">
        <v>10</v>
      </c>
      <c r="F24" s="137">
        <v>25</v>
      </c>
      <c r="G24" s="138">
        <v>120340</v>
      </c>
      <c r="H24" s="139">
        <f t="shared" si="0"/>
        <v>4376</v>
      </c>
      <c r="I24" s="138">
        <v>26060</v>
      </c>
      <c r="J24" s="139">
        <f t="shared" si="1"/>
        <v>947.6</v>
      </c>
      <c r="K24" s="141">
        <f t="shared" si="2"/>
        <v>146400</v>
      </c>
      <c r="L24" s="142">
        <f t="shared" si="3"/>
        <v>5856</v>
      </c>
      <c r="M24" s="143"/>
      <c r="N24" s="144">
        <f t="shared" si="26"/>
        <v>34</v>
      </c>
      <c r="O24" s="145">
        <f t="shared" si="26"/>
        <v>306130</v>
      </c>
      <c r="P24" s="139">
        <f t="shared" si="5"/>
        <v>8185.2941176470586</v>
      </c>
      <c r="Q24" s="145">
        <f t="shared" si="6"/>
        <v>58390</v>
      </c>
      <c r="R24" s="163">
        <f t="shared" si="7"/>
        <v>1561.2058823529412</v>
      </c>
      <c r="S24" s="146">
        <f t="shared" si="8"/>
        <v>364520</v>
      </c>
      <c r="T24" s="142">
        <f t="shared" si="9"/>
        <v>10721.176470588236</v>
      </c>
      <c r="U24" s="147">
        <f t="shared" si="27"/>
        <v>59</v>
      </c>
      <c r="V24" s="145">
        <f t="shared" si="27"/>
        <v>426470</v>
      </c>
      <c r="W24" s="145">
        <f t="shared" si="11"/>
        <v>84450</v>
      </c>
      <c r="X24" s="148">
        <f t="shared" si="12"/>
        <v>510920</v>
      </c>
      <c r="Y24" s="145">
        <f t="shared" si="13"/>
        <v>8659.6610169491523</v>
      </c>
      <c r="Z24" s="149"/>
      <c r="AA24" s="150">
        <v>185</v>
      </c>
      <c r="AB24" s="138">
        <v>95900</v>
      </c>
      <c r="AC24" s="139">
        <f t="shared" si="14"/>
        <v>518.37837837837833</v>
      </c>
      <c r="AD24" s="138">
        <v>44450</v>
      </c>
      <c r="AE24" s="140">
        <f t="shared" si="15"/>
        <v>240.27027027027026</v>
      </c>
      <c r="AF24" s="151">
        <f t="shared" si="16"/>
        <v>140350</v>
      </c>
      <c r="AG24" s="142">
        <f t="shared" si="17"/>
        <v>758.64864864864865</v>
      </c>
      <c r="AH24" s="158">
        <f t="shared" si="18"/>
        <v>59</v>
      </c>
      <c r="AI24" s="153">
        <f t="shared" si="19"/>
        <v>522370</v>
      </c>
      <c r="AJ24" s="153">
        <f t="shared" si="20"/>
        <v>128900</v>
      </c>
      <c r="AK24" s="152">
        <f t="shared" si="21"/>
        <v>651270</v>
      </c>
      <c r="AL24" s="145">
        <f t="shared" si="22"/>
        <v>30800</v>
      </c>
      <c r="AM24" s="153">
        <v>59</v>
      </c>
      <c r="AN24" s="153">
        <v>426470</v>
      </c>
      <c r="AO24" s="153">
        <v>84450</v>
      </c>
      <c r="AP24" s="154">
        <v>25850</v>
      </c>
      <c r="AQ24" s="154">
        <v>4950</v>
      </c>
      <c r="AR24" s="154">
        <v>0</v>
      </c>
      <c r="AS24" s="154">
        <v>0</v>
      </c>
      <c r="AT24" s="155">
        <f t="shared" si="23"/>
        <v>541720</v>
      </c>
      <c r="AU24" s="121">
        <v>20</v>
      </c>
      <c r="AV24" s="122">
        <f t="shared" si="25"/>
        <v>541720</v>
      </c>
      <c r="AW24" s="156"/>
    </row>
    <row r="25" spans="1:49" ht="15.75" customHeight="1">
      <c r="A25" s="121"/>
      <c r="B25" s="157">
        <f t="shared" si="24"/>
        <v>45586</v>
      </c>
      <c r="C25" s="134" t="s">
        <v>52</v>
      </c>
      <c r="D25" s="135">
        <v>99</v>
      </c>
      <c r="E25" s="136"/>
      <c r="F25" s="137"/>
      <c r="G25" s="138"/>
      <c r="H25" s="139" t="e">
        <f t="shared" si="0"/>
        <v>#DIV/0!</v>
      </c>
      <c r="I25" s="138"/>
      <c r="J25" s="139" t="e">
        <f t="shared" si="1"/>
        <v>#DIV/0!</v>
      </c>
      <c r="K25" s="141">
        <f t="shared" si="2"/>
        <v>0</v>
      </c>
      <c r="L25" s="142" t="str">
        <f t="shared" si="3"/>
        <v/>
      </c>
      <c r="M25" s="143"/>
      <c r="N25" s="144">
        <f t="shared" si="26"/>
        <v>39</v>
      </c>
      <c r="O25" s="145">
        <f t="shared" si="26"/>
        <v>381350</v>
      </c>
      <c r="P25" s="139">
        <f t="shared" si="5"/>
        <v>8889.2564102564102</v>
      </c>
      <c r="Q25" s="145">
        <f t="shared" si="6"/>
        <v>48230</v>
      </c>
      <c r="R25" s="163">
        <f t="shared" si="7"/>
        <v>1124.2307692307693</v>
      </c>
      <c r="S25" s="146">
        <f t="shared" si="8"/>
        <v>429580</v>
      </c>
      <c r="T25" s="142">
        <f t="shared" si="9"/>
        <v>11014.871794871795</v>
      </c>
      <c r="U25" s="147">
        <f t="shared" si="27"/>
        <v>39</v>
      </c>
      <c r="V25" s="145">
        <f t="shared" si="27"/>
        <v>381350</v>
      </c>
      <c r="W25" s="145">
        <f t="shared" si="11"/>
        <v>48230</v>
      </c>
      <c r="X25" s="148">
        <f t="shared" si="12"/>
        <v>429580</v>
      </c>
      <c r="Y25" s="145">
        <f t="shared" si="13"/>
        <v>11014.871794871795</v>
      </c>
      <c r="Z25" s="149"/>
      <c r="AA25" s="150">
        <v>131</v>
      </c>
      <c r="AB25" s="138">
        <v>50970</v>
      </c>
      <c r="AC25" s="139">
        <f t="shared" si="14"/>
        <v>389.08396946564886</v>
      </c>
      <c r="AD25" s="138">
        <v>34800</v>
      </c>
      <c r="AE25" s="140">
        <f t="shared" si="15"/>
        <v>265.64885496183206</v>
      </c>
      <c r="AF25" s="151">
        <f t="shared" si="16"/>
        <v>85770</v>
      </c>
      <c r="AG25" s="142">
        <f t="shared" si="17"/>
        <v>654.73282442748086</v>
      </c>
      <c r="AH25" s="158">
        <f t="shared" si="18"/>
        <v>39</v>
      </c>
      <c r="AI25" s="153">
        <f t="shared" si="19"/>
        <v>432320</v>
      </c>
      <c r="AJ25" s="153">
        <f t="shared" si="20"/>
        <v>83030</v>
      </c>
      <c r="AK25" s="152">
        <f t="shared" si="21"/>
        <v>515350</v>
      </c>
      <c r="AL25" s="145">
        <f t="shared" si="22"/>
        <v>23800</v>
      </c>
      <c r="AM25" s="153">
        <v>39</v>
      </c>
      <c r="AN25" s="153">
        <v>381350</v>
      </c>
      <c r="AO25" s="153">
        <v>48230</v>
      </c>
      <c r="AP25" s="154">
        <v>22150</v>
      </c>
      <c r="AQ25" s="154">
        <v>1650</v>
      </c>
      <c r="AR25" s="154">
        <v>0</v>
      </c>
      <c r="AS25" s="154">
        <v>23100</v>
      </c>
      <c r="AT25" s="155">
        <f t="shared" si="23"/>
        <v>453380</v>
      </c>
      <c r="AU25" s="121">
        <v>21</v>
      </c>
      <c r="AV25" s="122">
        <f t="shared" si="25"/>
        <v>476480</v>
      </c>
      <c r="AW25" s="156"/>
    </row>
    <row r="26" spans="1:49" ht="15.75" customHeight="1">
      <c r="A26" s="121"/>
      <c r="B26" s="157">
        <f t="shared" si="24"/>
        <v>45587</v>
      </c>
      <c r="C26" s="134" t="s">
        <v>52</v>
      </c>
      <c r="D26" s="135">
        <v>85</v>
      </c>
      <c r="E26" s="136"/>
      <c r="F26" s="137"/>
      <c r="G26" s="138"/>
      <c r="H26" s="139" t="e">
        <f t="shared" si="0"/>
        <v>#DIV/0!</v>
      </c>
      <c r="I26" s="138"/>
      <c r="J26" s="139" t="e">
        <f t="shared" si="1"/>
        <v>#DIV/0!</v>
      </c>
      <c r="K26" s="141">
        <f t="shared" si="2"/>
        <v>0</v>
      </c>
      <c r="L26" s="142" t="str">
        <f t="shared" si="3"/>
        <v/>
      </c>
      <c r="M26" s="143"/>
      <c r="N26" s="144">
        <f t="shared" si="26"/>
        <v>44</v>
      </c>
      <c r="O26" s="145">
        <f t="shared" si="26"/>
        <v>344190</v>
      </c>
      <c r="P26" s="139">
        <f t="shared" si="5"/>
        <v>7111.363636363636</v>
      </c>
      <c r="Q26" s="145">
        <f t="shared" si="6"/>
        <v>74360</v>
      </c>
      <c r="R26" s="163">
        <f t="shared" si="7"/>
        <v>1536.3636363636363</v>
      </c>
      <c r="S26" s="146">
        <f t="shared" si="8"/>
        <v>418550</v>
      </c>
      <c r="T26" s="142">
        <f t="shared" si="9"/>
        <v>9512.5</v>
      </c>
      <c r="U26" s="147">
        <f t="shared" si="27"/>
        <v>44</v>
      </c>
      <c r="V26" s="145">
        <f t="shared" si="27"/>
        <v>344190</v>
      </c>
      <c r="W26" s="145">
        <f t="shared" si="11"/>
        <v>74360</v>
      </c>
      <c r="X26" s="148">
        <f t="shared" si="12"/>
        <v>418550</v>
      </c>
      <c r="Y26" s="145">
        <f t="shared" si="13"/>
        <v>9512.5</v>
      </c>
      <c r="Z26" s="149"/>
      <c r="AA26" s="150">
        <v>97</v>
      </c>
      <c r="AB26" s="138">
        <v>59960</v>
      </c>
      <c r="AC26" s="139">
        <f t="shared" si="14"/>
        <v>618.14432989690727</v>
      </c>
      <c r="AD26" s="138">
        <v>28350</v>
      </c>
      <c r="AE26" s="140">
        <f t="shared" si="15"/>
        <v>292.26804123711338</v>
      </c>
      <c r="AF26" s="151">
        <f t="shared" si="16"/>
        <v>88310</v>
      </c>
      <c r="AG26" s="142">
        <f t="shared" si="17"/>
        <v>910.41237113402065</v>
      </c>
      <c r="AH26" s="158">
        <f t="shared" si="18"/>
        <v>44</v>
      </c>
      <c r="AI26" s="153">
        <f t="shared" si="19"/>
        <v>404150</v>
      </c>
      <c r="AJ26" s="153">
        <f t="shared" si="20"/>
        <v>102710</v>
      </c>
      <c r="AK26" s="152">
        <f t="shared" si="21"/>
        <v>506860</v>
      </c>
      <c r="AL26" s="145">
        <f t="shared" si="22"/>
        <v>24750</v>
      </c>
      <c r="AM26" s="153">
        <v>44</v>
      </c>
      <c r="AN26" s="153">
        <v>344190</v>
      </c>
      <c r="AO26" s="153">
        <v>74360</v>
      </c>
      <c r="AP26" s="154">
        <v>24750</v>
      </c>
      <c r="AQ26" s="154">
        <v>0</v>
      </c>
      <c r="AR26" s="154">
        <v>0</v>
      </c>
      <c r="AS26" s="154">
        <v>0</v>
      </c>
      <c r="AT26" s="155">
        <f t="shared" si="23"/>
        <v>443300</v>
      </c>
      <c r="AU26" s="121">
        <v>22</v>
      </c>
      <c r="AV26" s="122">
        <f t="shared" si="25"/>
        <v>443300</v>
      </c>
      <c r="AW26" s="156"/>
    </row>
    <row r="27" spans="1:49" ht="15.75" customHeight="1">
      <c r="A27" s="121"/>
      <c r="B27" s="157">
        <f t="shared" si="24"/>
        <v>45588</v>
      </c>
      <c r="C27" s="134" t="s">
        <v>62</v>
      </c>
      <c r="D27" s="135">
        <v>0</v>
      </c>
      <c r="E27" s="136"/>
      <c r="F27" s="137"/>
      <c r="G27" s="138"/>
      <c r="H27" s="139" t="e">
        <f t="shared" si="0"/>
        <v>#DIV/0!</v>
      </c>
      <c r="I27" s="138"/>
      <c r="J27" s="139" t="e">
        <f t="shared" si="1"/>
        <v>#DIV/0!</v>
      </c>
      <c r="K27" s="141">
        <f t="shared" si="2"/>
        <v>0</v>
      </c>
      <c r="L27" s="142" t="str">
        <f t="shared" si="3"/>
        <v/>
      </c>
      <c r="M27" s="143"/>
      <c r="N27" s="144">
        <f t="shared" si="26"/>
        <v>53</v>
      </c>
      <c r="O27" s="145">
        <f t="shared" si="26"/>
        <v>475640</v>
      </c>
      <c r="P27" s="139">
        <f t="shared" si="5"/>
        <v>8158.4905660377362</v>
      </c>
      <c r="Q27" s="145">
        <f t="shared" si="6"/>
        <v>37100</v>
      </c>
      <c r="R27" s="140">
        <f t="shared" si="7"/>
        <v>636.35849056603774</v>
      </c>
      <c r="S27" s="146">
        <f t="shared" si="8"/>
        <v>512740</v>
      </c>
      <c r="T27" s="142">
        <f t="shared" si="9"/>
        <v>9674.3396226415098</v>
      </c>
      <c r="U27" s="147">
        <f t="shared" si="27"/>
        <v>53</v>
      </c>
      <c r="V27" s="145">
        <f t="shared" si="27"/>
        <v>475640</v>
      </c>
      <c r="W27" s="145">
        <f t="shared" si="11"/>
        <v>37100</v>
      </c>
      <c r="X27" s="148">
        <f t="shared" si="12"/>
        <v>512740</v>
      </c>
      <c r="Y27" s="145">
        <f t="shared" si="13"/>
        <v>9674.3396226415098</v>
      </c>
      <c r="Z27" s="149"/>
      <c r="AA27" s="150">
        <v>0</v>
      </c>
      <c r="AB27" s="138">
        <v>0</v>
      </c>
      <c r="AC27" s="139" t="e">
        <f t="shared" si="14"/>
        <v>#DIV/0!</v>
      </c>
      <c r="AD27" s="138">
        <v>0</v>
      </c>
      <c r="AE27" s="140" t="e">
        <f t="shared" si="15"/>
        <v>#DIV/0!</v>
      </c>
      <c r="AF27" s="151">
        <f t="shared" si="16"/>
        <v>0</v>
      </c>
      <c r="AG27" s="142" t="e">
        <f t="shared" si="17"/>
        <v>#DIV/0!</v>
      </c>
      <c r="AH27" s="158">
        <f t="shared" si="18"/>
        <v>53</v>
      </c>
      <c r="AI27" s="153">
        <f t="shared" si="19"/>
        <v>475640</v>
      </c>
      <c r="AJ27" s="153">
        <f t="shared" si="20"/>
        <v>37100</v>
      </c>
      <c r="AK27" s="152">
        <f t="shared" si="21"/>
        <v>512740</v>
      </c>
      <c r="AL27" s="145">
        <f t="shared" si="22"/>
        <v>0</v>
      </c>
      <c r="AM27" s="153">
        <v>53</v>
      </c>
      <c r="AN27" s="153">
        <v>475640</v>
      </c>
      <c r="AO27" s="153">
        <v>37100</v>
      </c>
      <c r="AP27" s="154">
        <v>0</v>
      </c>
      <c r="AQ27" s="154">
        <v>0</v>
      </c>
      <c r="AR27" s="154">
        <v>0</v>
      </c>
      <c r="AS27" s="154">
        <v>0</v>
      </c>
      <c r="AT27" s="155">
        <f t="shared" si="23"/>
        <v>512740</v>
      </c>
      <c r="AU27" s="121">
        <v>23</v>
      </c>
      <c r="AV27" s="122">
        <f t="shared" si="25"/>
        <v>512740</v>
      </c>
      <c r="AW27" s="156"/>
    </row>
    <row r="28" spans="1:49" ht="15.75" customHeight="1">
      <c r="A28" s="121"/>
      <c r="B28" s="157">
        <f t="shared" si="24"/>
        <v>45589</v>
      </c>
      <c r="C28" s="134" t="s">
        <v>52</v>
      </c>
      <c r="D28" s="135">
        <v>95</v>
      </c>
      <c r="E28" s="136"/>
      <c r="F28" s="137"/>
      <c r="G28" s="138"/>
      <c r="H28" s="139" t="e">
        <f t="shared" si="0"/>
        <v>#DIV/0!</v>
      </c>
      <c r="I28" s="138"/>
      <c r="J28" s="139" t="e">
        <f t="shared" si="1"/>
        <v>#DIV/0!</v>
      </c>
      <c r="K28" s="141">
        <f t="shared" si="2"/>
        <v>0</v>
      </c>
      <c r="L28" s="142" t="str">
        <f t="shared" si="3"/>
        <v/>
      </c>
      <c r="M28" s="143"/>
      <c r="N28" s="144">
        <f t="shared" si="26"/>
        <v>31</v>
      </c>
      <c r="O28" s="145">
        <f t="shared" si="26"/>
        <v>375100</v>
      </c>
      <c r="P28" s="139">
        <f t="shared" si="5"/>
        <v>11000</v>
      </c>
      <c r="Q28" s="145">
        <f t="shared" si="6"/>
        <v>44550</v>
      </c>
      <c r="R28" s="140">
        <f t="shared" si="7"/>
        <v>1306.4516129032259</v>
      </c>
      <c r="S28" s="146">
        <f t="shared" si="8"/>
        <v>419650</v>
      </c>
      <c r="T28" s="142">
        <f t="shared" si="9"/>
        <v>13537.096774193549</v>
      </c>
      <c r="U28" s="147">
        <f t="shared" si="27"/>
        <v>31</v>
      </c>
      <c r="V28" s="145">
        <f t="shared" si="27"/>
        <v>375100</v>
      </c>
      <c r="W28" s="145">
        <f t="shared" si="11"/>
        <v>44550</v>
      </c>
      <c r="X28" s="148">
        <f t="shared" si="12"/>
        <v>419650</v>
      </c>
      <c r="Y28" s="145">
        <f t="shared" si="13"/>
        <v>13537.096774193549</v>
      </c>
      <c r="Z28" s="149"/>
      <c r="AA28" s="150">
        <v>104</v>
      </c>
      <c r="AB28" s="138">
        <v>52320</v>
      </c>
      <c r="AC28" s="139">
        <f t="shared" si="14"/>
        <v>503.07692307692309</v>
      </c>
      <c r="AD28" s="138">
        <v>25500</v>
      </c>
      <c r="AE28" s="140">
        <f t="shared" si="15"/>
        <v>245.19230769230768</v>
      </c>
      <c r="AF28" s="151">
        <f t="shared" si="16"/>
        <v>77820</v>
      </c>
      <c r="AG28" s="142">
        <f t="shared" si="17"/>
        <v>748.26923076923072</v>
      </c>
      <c r="AH28" s="158">
        <f t="shared" si="18"/>
        <v>31</v>
      </c>
      <c r="AI28" s="153">
        <f t="shared" si="19"/>
        <v>427420</v>
      </c>
      <c r="AJ28" s="153">
        <f t="shared" si="20"/>
        <v>70050</v>
      </c>
      <c r="AK28" s="152">
        <f t="shared" si="21"/>
        <v>497470</v>
      </c>
      <c r="AL28" s="145">
        <f t="shared" si="22"/>
        <v>0</v>
      </c>
      <c r="AM28" s="153">
        <v>31</v>
      </c>
      <c r="AN28" s="153">
        <v>375100</v>
      </c>
      <c r="AO28" s="153">
        <v>44550</v>
      </c>
      <c r="AP28" s="154">
        <v>0</v>
      </c>
      <c r="AQ28" s="154">
        <v>0</v>
      </c>
      <c r="AR28" s="154">
        <v>0</v>
      </c>
      <c r="AS28" s="154">
        <v>0</v>
      </c>
      <c r="AT28" s="155">
        <f t="shared" si="23"/>
        <v>419650</v>
      </c>
      <c r="AU28" s="121">
        <v>24</v>
      </c>
      <c r="AV28" s="122">
        <f t="shared" si="25"/>
        <v>419650</v>
      </c>
      <c r="AW28" s="156"/>
    </row>
    <row r="29" spans="1:49" ht="15.75" customHeight="1">
      <c r="A29" s="121"/>
      <c r="B29" s="157">
        <f t="shared" si="24"/>
        <v>45590</v>
      </c>
      <c r="C29" s="134" t="s">
        <v>52</v>
      </c>
      <c r="D29" s="135">
        <v>92</v>
      </c>
      <c r="E29" s="136"/>
      <c r="F29" s="137"/>
      <c r="G29" s="138"/>
      <c r="H29" s="139" t="e">
        <f t="shared" si="0"/>
        <v>#DIV/0!</v>
      </c>
      <c r="I29" s="138"/>
      <c r="J29" s="139" t="e">
        <f t="shared" si="1"/>
        <v>#DIV/0!</v>
      </c>
      <c r="K29" s="141">
        <f t="shared" si="2"/>
        <v>0</v>
      </c>
      <c r="L29" s="142" t="str">
        <f t="shared" si="3"/>
        <v/>
      </c>
      <c r="M29" s="143"/>
      <c r="N29" s="144">
        <f t="shared" si="26"/>
        <v>36</v>
      </c>
      <c r="O29" s="145">
        <f t="shared" si="26"/>
        <v>303600</v>
      </c>
      <c r="P29" s="139">
        <f t="shared" si="5"/>
        <v>7666.666666666667</v>
      </c>
      <c r="Q29" s="145">
        <f t="shared" si="6"/>
        <v>66270</v>
      </c>
      <c r="R29" s="140">
        <f t="shared" si="7"/>
        <v>1673.4722222222222</v>
      </c>
      <c r="S29" s="146">
        <f t="shared" si="8"/>
        <v>369870</v>
      </c>
      <c r="T29" s="142">
        <f t="shared" si="9"/>
        <v>10274.166666666666</v>
      </c>
      <c r="U29" s="147">
        <f t="shared" si="27"/>
        <v>36</v>
      </c>
      <c r="V29" s="145">
        <f t="shared" si="27"/>
        <v>303600</v>
      </c>
      <c r="W29" s="145">
        <f t="shared" si="11"/>
        <v>66270</v>
      </c>
      <c r="X29" s="148">
        <f t="shared" si="12"/>
        <v>369870</v>
      </c>
      <c r="Y29" s="145">
        <f t="shared" si="13"/>
        <v>10274.166666666666</v>
      </c>
      <c r="Z29" s="149"/>
      <c r="AA29" s="150">
        <v>107</v>
      </c>
      <c r="AB29" s="138">
        <v>60600</v>
      </c>
      <c r="AC29" s="139">
        <f t="shared" si="14"/>
        <v>566.35514018691583</v>
      </c>
      <c r="AD29" s="138">
        <v>29500</v>
      </c>
      <c r="AE29" s="140">
        <f t="shared" si="15"/>
        <v>275.70093457943926</v>
      </c>
      <c r="AF29" s="151">
        <f t="shared" si="16"/>
        <v>90100</v>
      </c>
      <c r="AG29" s="142">
        <f t="shared" si="17"/>
        <v>842.0560747663551</v>
      </c>
      <c r="AH29" s="158">
        <f t="shared" si="18"/>
        <v>36</v>
      </c>
      <c r="AI29" s="153">
        <f t="shared" si="19"/>
        <v>364200</v>
      </c>
      <c r="AJ29" s="153">
        <f t="shared" si="20"/>
        <v>95770</v>
      </c>
      <c r="AK29" s="152">
        <f t="shared" si="21"/>
        <v>459970</v>
      </c>
      <c r="AL29" s="145">
        <f t="shared" si="22"/>
        <v>24660</v>
      </c>
      <c r="AM29" s="153">
        <v>36</v>
      </c>
      <c r="AN29" s="153">
        <v>303600</v>
      </c>
      <c r="AO29" s="153">
        <v>66270</v>
      </c>
      <c r="AP29" s="154">
        <v>23100</v>
      </c>
      <c r="AQ29" s="154">
        <v>1560</v>
      </c>
      <c r="AR29" s="154">
        <v>0</v>
      </c>
      <c r="AS29" s="154">
        <v>0</v>
      </c>
      <c r="AT29" s="155">
        <f t="shared" si="23"/>
        <v>394530</v>
      </c>
      <c r="AU29" s="121">
        <v>25</v>
      </c>
      <c r="AV29" s="122">
        <f t="shared" si="25"/>
        <v>394530</v>
      </c>
      <c r="AW29" s="121"/>
    </row>
    <row r="30" spans="1:49" ht="15.75" customHeight="1">
      <c r="A30" s="121"/>
      <c r="B30" s="160">
        <f t="shared" si="24"/>
        <v>45591</v>
      </c>
      <c r="C30" s="134"/>
      <c r="D30" s="135">
        <v>95</v>
      </c>
      <c r="E30" s="136">
        <v>8</v>
      </c>
      <c r="F30" s="137">
        <v>31</v>
      </c>
      <c r="G30" s="138">
        <v>129690</v>
      </c>
      <c r="H30" s="139">
        <f>ROUNDDOWN(G30/1.1,0)/F30</f>
        <v>3803.2258064516127</v>
      </c>
      <c r="I30" s="138">
        <v>38620</v>
      </c>
      <c r="J30" s="139">
        <f>ROUNDDOWN(I30/1.1,0)/F30</f>
        <v>1132.5483870967741</v>
      </c>
      <c r="K30" s="141">
        <f t="shared" si="2"/>
        <v>168310</v>
      </c>
      <c r="L30" s="142">
        <f>IF(F30="","",K30/F30)</f>
        <v>5429.3548387096771</v>
      </c>
      <c r="M30" s="143"/>
      <c r="N30" s="144">
        <f>AM30-F30</f>
        <v>39</v>
      </c>
      <c r="O30" s="145">
        <f t="shared" si="26"/>
        <v>336930</v>
      </c>
      <c r="P30" s="139">
        <f t="shared" si="5"/>
        <v>7853.8461538461543</v>
      </c>
      <c r="Q30" s="145">
        <f t="shared" si="6"/>
        <v>71340</v>
      </c>
      <c r="R30" s="139">
        <f t="shared" si="7"/>
        <v>1662.9230769230769</v>
      </c>
      <c r="S30" s="146">
        <f t="shared" si="8"/>
        <v>408270</v>
      </c>
      <c r="T30" s="142">
        <f t="shared" si="9"/>
        <v>10468.461538461539</v>
      </c>
      <c r="U30" s="147">
        <f>F30+N30</f>
        <v>70</v>
      </c>
      <c r="V30" s="145">
        <f t="shared" si="27"/>
        <v>466620</v>
      </c>
      <c r="W30" s="145">
        <f t="shared" si="11"/>
        <v>109960</v>
      </c>
      <c r="X30" s="148">
        <f t="shared" si="12"/>
        <v>576580</v>
      </c>
      <c r="Y30" s="145">
        <f t="shared" si="13"/>
        <v>8236.8571428571431</v>
      </c>
      <c r="Z30" s="149"/>
      <c r="AA30" s="150">
        <v>225</v>
      </c>
      <c r="AB30" s="138">
        <v>130940</v>
      </c>
      <c r="AC30" s="139">
        <f t="shared" si="14"/>
        <v>581.95555555555552</v>
      </c>
      <c r="AD30" s="138">
        <v>59750</v>
      </c>
      <c r="AE30" s="140">
        <f t="shared" si="15"/>
        <v>265.55555555555554</v>
      </c>
      <c r="AF30" s="151">
        <f t="shared" si="16"/>
        <v>190690</v>
      </c>
      <c r="AG30" s="142">
        <f t="shared" si="17"/>
        <v>847.51111111111106</v>
      </c>
      <c r="AH30" s="158">
        <f>SUM(F30,N30)</f>
        <v>70</v>
      </c>
      <c r="AI30" s="153">
        <f t="shared" si="19"/>
        <v>597560</v>
      </c>
      <c r="AJ30" s="153">
        <f t="shared" si="20"/>
        <v>169710</v>
      </c>
      <c r="AK30" s="152">
        <f t="shared" si="21"/>
        <v>767270</v>
      </c>
      <c r="AL30" s="145">
        <f t="shared" si="22"/>
        <v>46950</v>
      </c>
      <c r="AM30" s="153">
        <v>70</v>
      </c>
      <c r="AN30" s="153">
        <v>466620</v>
      </c>
      <c r="AO30" s="153">
        <v>109960</v>
      </c>
      <c r="AP30" s="154">
        <v>26950</v>
      </c>
      <c r="AQ30" s="154">
        <v>20000</v>
      </c>
      <c r="AR30" s="154">
        <v>0</v>
      </c>
      <c r="AS30" s="154">
        <v>0</v>
      </c>
      <c r="AT30" s="155">
        <f t="shared" si="23"/>
        <v>623530</v>
      </c>
      <c r="AU30" s="121">
        <v>26</v>
      </c>
      <c r="AV30" s="122">
        <f t="shared" si="25"/>
        <v>623530</v>
      </c>
      <c r="AW30" s="156"/>
    </row>
    <row r="31" spans="1:49" ht="15.75" customHeight="1">
      <c r="A31" s="121"/>
      <c r="B31" s="161">
        <f t="shared" si="24"/>
        <v>45592</v>
      </c>
      <c r="C31" s="134"/>
      <c r="D31" s="135">
        <v>82</v>
      </c>
      <c r="E31" s="136">
        <v>15</v>
      </c>
      <c r="F31" s="137">
        <v>35</v>
      </c>
      <c r="G31" s="138">
        <v>135080</v>
      </c>
      <c r="H31" s="139">
        <f>ROUNDDOWN(G31/1.1,0)/F31</f>
        <v>3508.5714285714284</v>
      </c>
      <c r="I31" s="138">
        <v>18950</v>
      </c>
      <c r="J31" s="139">
        <f>ROUNDDOWN(I31/1.1,0)/F31</f>
        <v>492.2</v>
      </c>
      <c r="K31" s="141">
        <f t="shared" si="2"/>
        <v>154030</v>
      </c>
      <c r="L31" s="142">
        <f>IF(F31="","",K31/F31)</f>
        <v>4400.8571428571431</v>
      </c>
      <c r="M31" s="143"/>
      <c r="N31" s="144">
        <f>AM31-F31</f>
        <v>41</v>
      </c>
      <c r="O31" s="145">
        <f t="shared" si="26"/>
        <v>410190</v>
      </c>
      <c r="P31" s="139">
        <f t="shared" si="5"/>
        <v>9095.121951219513</v>
      </c>
      <c r="Q31" s="145">
        <f t="shared" si="6"/>
        <v>86820</v>
      </c>
      <c r="R31" s="139">
        <f t="shared" si="7"/>
        <v>1925.0487804878048</v>
      </c>
      <c r="S31" s="146">
        <f t="shared" si="8"/>
        <v>497010</v>
      </c>
      <c r="T31" s="142">
        <f t="shared" si="9"/>
        <v>12122.195121951219</v>
      </c>
      <c r="U31" s="147">
        <f>F31+N31</f>
        <v>76</v>
      </c>
      <c r="V31" s="145">
        <f t="shared" si="27"/>
        <v>545270</v>
      </c>
      <c r="W31" s="145">
        <f t="shared" si="11"/>
        <v>105770</v>
      </c>
      <c r="X31" s="148">
        <f t="shared" si="12"/>
        <v>651040</v>
      </c>
      <c r="Y31" s="145">
        <f t="shared" si="13"/>
        <v>8566.3157894736851</v>
      </c>
      <c r="Z31" s="149"/>
      <c r="AA31" s="150">
        <v>183</v>
      </c>
      <c r="AB31" s="138">
        <v>126540</v>
      </c>
      <c r="AC31" s="139">
        <f t="shared" si="14"/>
        <v>691.47540983606552</v>
      </c>
      <c r="AD31" s="138">
        <v>39100</v>
      </c>
      <c r="AE31" s="140">
        <f t="shared" si="15"/>
        <v>213.66120218579235</v>
      </c>
      <c r="AF31" s="151">
        <f t="shared" si="16"/>
        <v>165640</v>
      </c>
      <c r="AG31" s="142">
        <f t="shared" si="17"/>
        <v>905.1366120218579</v>
      </c>
      <c r="AH31" s="158">
        <f>SUM(F31,N31)</f>
        <v>76</v>
      </c>
      <c r="AI31" s="153">
        <f t="shared" si="19"/>
        <v>671810</v>
      </c>
      <c r="AJ31" s="153">
        <f t="shared" si="20"/>
        <v>144870</v>
      </c>
      <c r="AK31" s="152">
        <f t="shared" si="21"/>
        <v>816680</v>
      </c>
      <c r="AL31" s="145">
        <f t="shared" si="22"/>
        <v>35970</v>
      </c>
      <c r="AM31" s="153">
        <v>76</v>
      </c>
      <c r="AN31" s="153">
        <v>545270</v>
      </c>
      <c r="AO31" s="153">
        <v>105770</v>
      </c>
      <c r="AP31" s="154">
        <v>31900</v>
      </c>
      <c r="AQ31" s="154">
        <v>4070</v>
      </c>
      <c r="AR31" s="154">
        <v>0</v>
      </c>
      <c r="AS31" s="154">
        <v>3300</v>
      </c>
      <c r="AT31" s="155">
        <f t="shared" si="23"/>
        <v>687010</v>
      </c>
      <c r="AU31" s="121">
        <v>27</v>
      </c>
      <c r="AV31" s="122">
        <f t="shared" si="25"/>
        <v>690310</v>
      </c>
      <c r="AW31" s="156"/>
    </row>
    <row r="32" spans="1:49" ht="15.75" customHeight="1">
      <c r="A32" s="121"/>
      <c r="B32" s="157">
        <f t="shared" si="24"/>
        <v>45593</v>
      </c>
      <c r="C32" s="134" t="s">
        <v>63</v>
      </c>
      <c r="D32" s="135">
        <v>70</v>
      </c>
      <c r="E32" s="136"/>
      <c r="F32" s="137"/>
      <c r="G32" s="138"/>
      <c r="H32" s="139" t="e">
        <f t="shared" si="0"/>
        <v>#DIV/0!</v>
      </c>
      <c r="I32" s="138"/>
      <c r="J32" s="139" t="e">
        <f t="shared" si="1"/>
        <v>#DIV/0!</v>
      </c>
      <c r="K32" s="141">
        <f t="shared" si="2"/>
        <v>0</v>
      </c>
      <c r="L32" s="142" t="str">
        <f t="shared" si="3"/>
        <v/>
      </c>
      <c r="M32" s="143"/>
      <c r="N32" s="144">
        <f t="shared" si="26"/>
        <v>36</v>
      </c>
      <c r="O32" s="145">
        <f t="shared" si="26"/>
        <v>342760</v>
      </c>
      <c r="P32" s="139">
        <f t="shared" si="5"/>
        <v>8655.5555555555547</v>
      </c>
      <c r="Q32" s="145">
        <f t="shared" si="6"/>
        <v>58440</v>
      </c>
      <c r="R32" s="139">
        <f t="shared" si="7"/>
        <v>1475.75</v>
      </c>
      <c r="S32" s="146">
        <f t="shared" si="8"/>
        <v>401200</v>
      </c>
      <c r="T32" s="142">
        <f t="shared" si="9"/>
        <v>11144.444444444445</v>
      </c>
      <c r="U32" s="147">
        <f t="shared" si="27"/>
        <v>36</v>
      </c>
      <c r="V32" s="145">
        <f t="shared" si="27"/>
        <v>342760</v>
      </c>
      <c r="W32" s="145">
        <f t="shared" si="11"/>
        <v>58440</v>
      </c>
      <c r="X32" s="148">
        <f t="shared" si="12"/>
        <v>401200</v>
      </c>
      <c r="Y32" s="145">
        <f t="shared" si="13"/>
        <v>11144.444444444445</v>
      </c>
      <c r="Z32" s="149"/>
      <c r="AA32" s="150">
        <v>33</v>
      </c>
      <c r="AB32" s="138">
        <v>14220</v>
      </c>
      <c r="AC32" s="139">
        <f t="shared" si="14"/>
        <v>430.90909090909093</v>
      </c>
      <c r="AD32" s="138">
        <v>14800</v>
      </c>
      <c r="AE32" s="140">
        <f t="shared" si="15"/>
        <v>448.4848484848485</v>
      </c>
      <c r="AF32" s="151">
        <f t="shared" si="16"/>
        <v>29020</v>
      </c>
      <c r="AG32" s="142">
        <f t="shared" si="17"/>
        <v>879.39393939393938</v>
      </c>
      <c r="AH32" s="158">
        <f t="shared" si="18"/>
        <v>36</v>
      </c>
      <c r="AI32" s="153">
        <f t="shared" si="19"/>
        <v>356980</v>
      </c>
      <c r="AJ32" s="153">
        <f t="shared" si="20"/>
        <v>73240</v>
      </c>
      <c r="AK32" s="152">
        <f t="shared" si="21"/>
        <v>430220</v>
      </c>
      <c r="AL32" s="145">
        <f t="shared" si="22"/>
        <v>16500</v>
      </c>
      <c r="AM32" s="153">
        <v>36</v>
      </c>
      <c r="AN32" s="153">
        <v>342760</v>
      </c>
      <c r="AO32" s="153">
        <v>58440</v>
      </c>
      <c r="AP32" s="154">
        <v>16500</v>
      </c>
      <c r="AQ32" s="154">
        <v>0</v>
      </c>
      <c r="AR32" s="154">
        <v>0</v>
      </c>
      <c r="AS32" s="154">
        <v>14300</v>
      </c>
      <c r="AT32" s="155">
        <f t="shared" si="23"/>
        <v>417700</v>
      </c>
      <c r="AU32" s="121">
        <v>28</v>
      </c>
      <c r="AV32" s="122">
        <f t="shared" si="25"/>
        <v>432000</v>
      </c>
      <c r="AW32" s="156"/>
    </row>
    <row r="33" spans="1:49" ht="15.75" customHeight="1">
      <c r="A33" s="121"/>
      <c r="B33" s="157">
        <f t="shared" si="24"/>
        <v>45594</v>
      </c>
      <c r="C33" s="134" t="s">
        <v>52</v>
      </c>
      <c r="D33" s="135">
        <v>88</v>
      </c>
      <c r="E33" s="136"/>
      <c r="F33" s="137"/>
      <c r="G33" s="138"/>
      <c r="H33" s="139" t="e">
        <f t="shared" si="0"/>
        <v>#DIV/0!</v>
      </c>
      <c r="I33" s="138"/>
      <c r="J33" s="139" t="e">
        <f t="shared" si="1"/>
        <v>#DIV/0!</v>
      </c>
      <c r="K33" s="141">
        <f t="shared" si="2"/>
        <v>0</v>
      </c>
      <c r="L33" s="142" t="str">
        <f t="shared" si="3"/>
        <v/>
      </c>
      <c r="M33" s="143"/>
      <c r="N33" s="144">
        <f t="shared" si="26"/>
        <v>42</v>
      </c>
      <c r="O33" s="145">
        <f t="shared" si="26"/>
        <v>390500</v>
      </c>
      <c r="P33" s="139">
        <f t="shared" si="5"/>
        <v>8452.3809523809523</v>
      </c>
      <c r="Q33" s="145">
        <f t="shared" si="6"/>
        <v>59100</v>
      </c>
      <c r="R33" s="139">
        <f t="shared" si="7"/>
        <v>1279.2142857142858</v>
      </c>
      <c r="S33" s="146">
        <f t="shared" si="8"/>
        <v>449600</v>
      </c>
      <c r="T33" s="142">
        <f t="shared" si="9"/>
        <v>10704.761904761905</v>
      </c>
      <c r="U33" s="147">
        <f t="shared" si="27"/>
        <v>42</v>
      </c>
      <c r="V33" s="145">
        <f t="shared" si="27"/>
        <v>390500</v>
      </c>
      <c r="W33" s="145">
        <f t="shared" si="11"/>
        <v>59100</v>
      </c>
      <c r="X33" s="148">
        <f t="shared" si="12"/>
        <v>449600</v>
      </c>
      <c r="Y33" s="145">
        <f t="shared" si="13"/>
        <v>10704.761904761905</v>
      </c>
      <c r="Z33" s="149"/>
      <c r="AA33" s="150">
        <v>179</v>
      </c>
      <c r="AB33" s="138">
        <v>76160</v>
      </c>
      <c r="AC33" s="139">
        <f t="shared" si="14"/>
        <v>425.47486033519556</v>
      </c>
      <c r="AD33" s="138">
        <v>34800</v>
      </c>
      <c r="AE33" s="140">
        <f t="shared" si="15"/>
        <v>194.41340782122904</v>
      </c>
      <c r="AF33" s="151">
        <f t="shared" si="16"/>
        <v>110960</v>
      </c>
      <c r="AG33" s="142">
        <f t="shared" si="17"/>
        <v>619.8882681564246</v>
      </c>
      <c r="AH33" s="158">
        <f t="shared" si="18"/>
        <v>42</v>
      </c>
      <c r="AI33" s="153">
        <f t="shared" si="19"/>
        <v>466660</v>
      </c>
      <c r="AJ33" s="153">
        <f t="shared" si="20"/>
        <v>93900</v>
      </c>
      <c r="AK33" s="152">
        <f t="shared" si="21"/>
        <v>560560</v>
      </c>
      <c r="AL33" s="145">
        <f t="shared" si="22"/>
        <v>49850</v>
      </c>
      <c r="AM33" s="153">
        <v>42</v>
      </c>
      <c r="AN33" s="153">
        <v>390500</v>
      </c>
      <c r="AO33" s="153">
        <v>59100</v>
      </c>
      <c r="AP33" s="154">
        <v>25850</v>
      </c>
      <c r="AQ33" s="154">
        <v>24000</v>
      </c>
      <c r="AR33" s="154">
        <v>0</v>
      </c>
      <c r="AS33" s="154">
        <v>13200</v>
      </c>
      <c r="AT33" s="155">
        <f t="shared" si="23"/>
        <v>499450</v>
      </c>
      <c r="AU33" s="121">
        <v>29</v>
      </c>
      <c r="AV33" s="122">
        <f t="shared" si="25"/>
        <v>512650</v>
      </c>
      <c r="AW33" s="156"/>
    </row>
    <row r="34" spans="1:49" ht="15.75" customHeight="1">
      <c r="A34" s="121"/>
      <c r="B34" s="157">
        <f t="shared" si="24"/>
        <v>45595</v>
      </c>
      <c r="C34" s="134" t="s">
        <v>52</v>
      </c>
      <c r="D34" s="135">
        <v>82</v>
      </c>
      <c r="E34" s="136"/>
      <c r="F34" s="137"/>
      <c r="G34" s="138"/>
      <c r="H34" s="139" t="e">
        <f t="shared" si="0"/>
        <v>#DIV/0!</v>
      </c>
      <c r="I34" s="138"/>
      <c r="J34" s="139" t="e">
        <f t="shared" si="1"/>
        <v>#DIV/0!</v>
      </c>
      <c r="K34" s="141">
        <f t="shared" si="2"/>
        <v>0</v>
      </c>
      <c r="L34" s="142" t="str">
        <f t="shared" si="3"/>
        <v/>
      </c>
      <c r="M34" s="143"/>
      <c r="N34" s="144">
        <f t="shared" si="26"/>
        <v>32</v>
      </c>
      <c r="O34" s="145">
        <f t="shared" si="26"/>
        <v>283690</v>
      </c>
      <c r="P34" s="139">
        <f t="shared" si="5"/>
        <v>8059.375</v>
      </c>
      <c r="Q34" s="145">
        <f t="shared" si="6"/>
        <v>43330</v>
      </c>
      <c r="R34" s="139">
        <f>ROUNDDOWN(Q34/1.1,0)/N34</f>
        <v>1230.9375</v>
      </c>
      <c r="S34" s="146">
        <f t="shared" si="8"/>
        <v>327020</v>
      </c>
      <c r="T34" s="142">
        <f t="shared" si="9"/>
        <v>10219.375</v>
      </c>
      <c r="U34" s="147">
        <f t="shared" si="27"/>
        <v>32</v>
      </c>
      <c r="V34" s="145">
        <f t="shared" si="27"/>
        <v>283690</v>
      </c>
      <c r="W34" s="145">
        <f t="shared" si="11"/>
        <v>43330</v>
      </c>
      <c r="X34" s="148">
        <f t="shared" si="12"/>
        <v>327020</v>
      </c>
      <c r="Y34" s="145">
        <f t="shared" si="13"/>
        <v>10219.375</v>
      </c>
      <c r="Z34" s="164"/>
      <c r="AA34" s="165">
        <v>101</v>
      </c>
      <c r="AB34" s="166">
        <v>51710</v>
      </c>
      <c r="AC34" s="139">
        <f t="shared" si="14"/>
        <v>511.980198019802</v>
      </c>
      <c r="AD34" s="166">
        <v>30300</v>
      </c>
      <c r="AE34" s="140">
        <f t="shared" si="15"/>
        <v>300</v>
      </c>
      <c r="AF34" s="151">
        <f t="shared" si="16"/>
        <v>82010</v>
      </c>
      <c r="AG34" s="142">
        <f t="shared" si="17"/>
        <v>811.98019801980195</v>
      </c>
      <c r="AH34" s="158">
        <f t="shared" si="18"/>
        <v>32</v>
      </c>
      <c r="AI34" s="153">
        <f t="shared" si="19"/>
        <v>335400</v>
      </c>
      <c r="AJ34" s="153">
        <f t="shared" si="20"/>
        <v>73630</v>
      </c>
      <c r="AK34" s="152">
        <f t="shared" si="21"/>
        <v>409030</v>
      </c>
      <c r="AL34" s="145">
        <f t="shared" si="22"/>
        <v>115900</v>
      </c>
      <c r="AM34" s="153">
        <v>32</v>
      </c>
      <c r="AN34" s="153">
        <v>283690</v>
      </c>
      <c r="AO34" s="153">
        <v>43330</v>
      </c>
      <c r="AP34" s="154">
        <v>20900</v>
      </c>
      <c r="AQ34" s="154">
        <v>95000</v>
      </c>
      <c r="AR34" s="154">
        <v>0</v>
      </c>
      <c r="AS34" s="154">
        <v>0</v>
      </c>
      <c r="AT34" s="155">
        <f t="shared" si="23"/>
        <v>442920</v>
      </c>
      <c r="AU34" s="121">
        <v>30</v>
      </c>
      <c r="AV34" s="122">
        <f t="shared" si="25"/>
        <v>442920</v>
      </c>
      <c r="AW34" s="156"/>
    </row>
    <row r="35" spans="1:49" ht="15.75" customHeight="1" thickBot="1">
      <c r="A35" s="121"/>
      <c r="B35" s="157">
        <f t="shared" si="24"/>
        <v>45596</v>
      </c>
      <c r="C35" s="134" t="s">
        <v>52</v>
      </c>
      <c r="D35" s="135">
        <v>98</v>
      </c>
      <c r="E35" s="136"/>
      <c r="F35" s="137"/>
      <c r="G35" s="138"/>
      <c r="H35" s="139" t="e">
        <f t="shared" si="0"/>
        <v>#DIV/0!</v>
      </c>
      <c r="I35" s="138"/>
      <c r="J35" s="139" t="e">
        <f t="shared" si="1"/>
        <v>#DIV/0!</v>
      </c>
      <c r="K35" s="141">
        <f t="shared" si="2"/>
        <v>0</v>
      </c>
      <c r="L35" s="142" t="str">
        <f t="shared" si="3"/>
        <v/>
      </c>
      <c r="M35" s="143"/>
      <c r="N35" s="167">
        <f t="shared" si="26"/>
        <v>37</v>
      </c>
      <c r="O35" s="145">
        <f t="shared" si="26"/>
        <v>374440</v>
      </c>
      <c r="P35" s="139">
        <f t="shared" si="5"/>
        <v>9200</v>
      </c>
      <c r="Q35" s="145">
        <f t="shared" si="6"/>
        <v>55960</v>
      </c>
      <c r="R35" s="139">
        <f t="shared" si="7"/>
        <v>1374.918918918919</v>
      </c>
      <c r="S35" s="146">
        <f t="shared" si="8"/>
        <v>430400</v>
      </c>
      <c r="T35" s="142">
        <f t="shared" si="9"/>
        <v>11632.432432432432</v>
      </c>
      <c r="U35" s="147">
        <f t="shared" si="27"/>
        <v>37</v>
      </c>
      <c r="V35" s="168">
        <f t="shared" si="27"/>
        <v>374440</v>
      </c>
      <c r="W35" s="168">
        <f t="shared" si="11"/>
        <v>55960</v>
      </c>
      <c r="X35" s="169">
        <f t="shared" si="12"/>
        <v>430400</v>
      </c>
      <c r="Y35" s="168"/>
      <c r="Z35" s="170"/>
      <c r="AA35" s="171">
        <v>86</v>
      </c>
      <c r="AB35" s="172">
        <v>50800</v>
      </c>
      <c r="AC35" s="173">
        <f t="shared" si="14"/>
        <v>590.69767441860461</v>
      </c>
      <c r="AD35" s="172">
        <v>23250</v>
      </c>
      <c r="AE35" s="174">
        <f t="shared" si="15"/>
        <v>270.3488372093023</v>
      </c>
      <c r="AF35" s="175">
        <f t="shared" si="16"/>
        <v>74050</v>
      </c>
      <c r="AG35" s="142">
        <f t="shared" si="17"/>
        <v>861.04651162790697</v>
      </c>
      <c r="AH35" s="176">
        <f t="shared" si="18"/>
        <v>37</v>
      </c>
      <c r="AI35" s="168">
        <f t="shared" si="19"/>
        <v>425240</v>
      </c>
      <c r="AJ35" s="168">
        <f t="shared" si="20"/>
        <v>79210</v>
      </c>
      <c r="AK35" s="152">
        <f t="shared" si="21"/>
        <v>504450</v>
      </c>
      <c r="AL35" s="145">
        <f t="shared" si="22"/>
        <v>75210</v>
      </c>
      <c r="AM35" s="153">
        <v>37</v>
      </c>
      <c r="AN35" s="153">
        <v>374440</v>
      </c>
      <c r="AO35" s="153">
        <v>55960</v>
      </c>
      <c r="AP35" s="154">
        <v>23650</v>
      </c>
      <c r="AQ35" s="154">
        <v>51560</v>
      </c>
      <c r="AR35" s="154">
        <v>0</v>
      </c>
      <c r="AS35" s="154">
        <v>0</v>
      </c>
      <c r="AT35" s="155">
        <f>SUM(AN35:AS35)</f>
        <v>505610</v>
      </c>
      <c r="AU35" s="121">
        <v>31</v>
      </c>
      <c r="AV35" s="122">
        <f t="shared" si="25"/>
        <v>505610</v>
      </c>
      <c r="AW35" s="156"/>
    </row>
    <row r="36" spans="1:49" ht="15.75" customHeight="1" thickTop="1" thickBot="1">
      <c r="A36" s="34"/>
      <c r="B36" s="35" t="s">
        <v>26</v>
      </c>
      <c r="C36" s="177">
        <f>SUM(C5:C35)</f>
        <v>0</v>
      </c>
      <c r="D36" s="178"/>
      <c r="E36" s="37">
        <f>SUM(E5:E35)</f>
        <v>94</v>
      </c>
      <c r="F36" s="38">
        <f>SUM(F5:F35)</f>
        <v>266</v>
      </c>
      <c r="G36" s="39">
        <f>SUM(G5:G35)</f>
        <v>1035430</v>
      </c>
      <c r="H36" s="40">
        <f>G36/F36</f>
        <v>3892.593984962406</v>
      </c>
      <c r="I36" s="36">
        <f>SUM(I5:I35)</f>
        <v>186150</v>
      </c>
      <c r="J36" s="41">
        <f>I36/F36</f>
        <v>699.81203007518798</v>
      </c>
      <c r="K36" s="42">
        <f>SUM(K5:K35)</f>
        <v>1221580</v>
      </c>
      <c r="L36" s="43">
        <f>K36/F36</f>
        <v>4592.4060150375935</v>
      </c>
      <c r="M36" s="44">
        <f>SUM(M5:M35)</f>
        <v>0</v>
      </c>
      <c r="N36" s="38">
        <f>SUM(N5:N35)</f>
        <v>1196</v>
      </c>
      <c r="O36" s="39">
        <f>SUM(O5:O35)</f>
        <v>11062650</v>
      </c>
      <c r="P36" s="40">
        <f>O36/N36</f>
        <v>9249.7073578595318</v>
      </c>
      <c r="Q36" s="45">
        <f>SUM(Q5:Q35)</f>
        <v>2023230</v>
      </c>
      <c r="R36" s="41">
        <f>Q36/N36</f>
        <v>1691.6638795986621</v>
      </c>
      <c r="S36" s="46">
        <f>SUM(S5:S35)</f>
        <v>13085880</v>
      </c>
      <c r="T36" s="47">
        <f>S36/N36</f>
        <v>10941.371237458194</v>
      </c>
      <c r="U36" s="38">
        <f>SUM(U5:U35)</f>
        <v>1462</v>
      </c>
      <c r="V36" s="48">
        <f>SUM(V5:V35)</f>
        <v>12098080</v>
      </c>
      <c r="W36" s="45">
        <f>SUM(W5:W35)</f>
        <v>2209380</v>
      </c>
      <c r="X36" s="49">
        <f>SUM(X5:X35)</f>
        <v>14307460</v>
      </c>
      <c r="Y36" s="50">
        <f>X36/U36</f>
        <v>9786.2243502051988</v>
      </c>
      <c r="Z36" s="37">
        <f>SUM(Z5:Z35)</f>
        <v>0</v>
      </c>
      <c r="AA36" s="38">
        <f>SUM(AA5:AA35)</f>
        <v>3170</v>
      </c>
      <c r="AB36" s="51">
        <f>SUM(AB5:AB35)</f>
        <v>1871120</v>
      </c>
      <c r="AC36" s="40"/>
      <c r="AD36" s="36">
        <f>SUM(AD5:AD35)</f>
        <v>792250</v>
      </c>
      <c r="AE36" s="41"/>
      <c r="AF36" s="52">
        <f>SUM(AF5:AF35)</f>
        <v>2663370</v>
      </c>
      <c r="AG36" s="53">
        <f>AF36/AA36</f>
        <v>840.1798107255521</v>
      </c>
      <c r="AH36" s="38">
        <f t="shared" ref="AH36:AT36" si="28">SUM(AH5:AH35)</f>
        <v>1462</v>
      </c>
      <c r="AI36" s="48">
        <f t="shared" si="28"/>
        <v>13969200</v>
      </c>
      <c r="AJ36" s="45">
        <f t="shared" si="28"/>
        <v>3001630</v>
      </c>
      <c r="AK36" s="46">
        <f t="shared" si="28"/>
        <v>16970830</v>
      </c>
      <c r="AL36" s="36">
        <f t="shared" si="28"/>
        <v>914540</v>
      </c>
      <c r="AM36" s="54">
        <f t="shared" si="28"/>
        <v>1462</v>
      </c>
      <c r="AN36" s="54">
        <f t="shared" si="28"/>
        <v>12098080</v>
      </c>
      <c r="AO36" s="54">
        <f t="shared" si="28"/>
        <v>2209380</v>
      </c>
      <c r="AP36" s="54">
        <f t="shared" si="28"/>
        <v>688500</v>
      </c>
      <c r="AQ36" s="54">
        <f t="shared" si="28"/>
        <v>219440</v>
      </c>
      <c r="AR36" s="54">
        <f t="shared" si="28"/>
        <v>6600</v>
      </c>
      <c r="AS36" s="54">
        <f t="shared" si="28"/>
        <v>307160</v>
      </c>
      <c r="AT36" s="54">
        <f t="shared" si="28"/>
        <v>15222000</v>
      </c>
      <c r="AU36" s="34"/>
      <c r="AV36" s="55">
        <f>SUM(AV5:AV35)</f>
        <v>15529160</v>
      </c>
    </row>
    <row r="37" spans="1:49" ht="15.75" customHeight="1" thickTop="1">
      <c r="A37" s="34"/>
      <c r="B37" s="56"/>
      <c r="C37" s="179"/>
      <c r="D37" s="89"/>
      <c r="E37" s="34"/>
      <c r="F37" s="57" t="s">
        <v>36</v>
      </c>
      <c r="G37" s="58">
        <f>G36/1.1</f>
        <v>941299.99999999988</v>
      </c>
      <c r="H37" s="59">
        <f>G37/F36</f>
        <v>3538.7218045112777</v>
      </c>
      <c r="I37" s="32">
        <f>I36/1.1</f>
        <v>169227.27272727271</v>
      </c>
      <c r="J37" s="59">
        <f>I37/F36</f>
        <v>636.19275461380721</v>
      </c>
      <c r="K37" s="54">
        <f>K36/1.1</f>
        <v>1110527.2727272727</v>
      </c>
      <c r="L37" s="60">
        <f>H37+J37</f>
        <v>4174.9145591250854</v>
      </c>
      <c r="M37" s="61"/>
      <c r="N37" s="57" t="s">
        <v>36</v>
      </c>
      <c r="O37" s="58">
        <f>O36/1.1</f>
        <v>10056954.545454545</v>
      </c>
      <c r="P37" s="59">
        <f>O37/N36</f>
        <v>8408.8248707813927</v>
      </c>
      <c r="Q37" s="58">
        <f>Q36/1.1</f>
        <v>1839299.9999999998</v>
      </c>
      <c r="R37" s="59">
        <f>Q37/N36</f>
        <v>1537.8762541806018</v>
      </c>
      <c r="S37" s="59">
        <f>S36/1.1</f>
        <v>11896254.545454545</v>
      </c>
      <c r="T37" s="62">
        <f>S37/N36</f>
        <v>9946.7011249619936</v>
      </c>
      <c r="U37" s="57" t="s">
        <v>36</v>
      </c>
      <c r="V37" s="58">
        <f>V36/1.1</f>
        <v>10998254.545454545</v>
      </c>
      <c r="W37" s="58">
        <f>W36/1.1</f>
        <v>2008527.2727272725</v>
      </c>
      <c r="X37" s="63">
        <f>X36/1.1</f>
        <v>13006781.818181816</v>
      </c>
      <c r="Y37" s="50">
        <f>X37/U36</f>
        <v>8896.5675910956343</v>
      </c>
      <c r="Z37" s="61"/>
      <c r="AA37" s="57" t="s">
        <v>36</v>
      </c>
      <c r="AB37" s="58">
        <f>AB36/1.1</f>
        <v>1701018.1818181816</v>
      </c>
      <c r="AC37" s="32">
        <f>AB37/AA36</f>
        <v>536.59879552624022</v>
      </c>
      <c r="AD37" s="32">
        <f>AD36/1.1</f>
        <v>720227.27272727271</v>
      </c>
      <c r="AE37" s="32">
        <f>AD37/AA36</f>
        <v>227.20103240607972</v>
      </c>
      <c r="AF37" s="59">
        <f>AF36/1.1</f>
        <v>2421245.4545454541</v>
      </c>
      <c r="AG37" s="64">
        <f>AF37/AA36</f>
        <v>763.79982793231989</v>
      </c>
      <c r="AH37" s="57" t="s">
        <v>36</v>
      </c>
      <c r="AI37" s="65">
        <f>AI36/1.1</f>
        <v>12699272.727272727</v>
      </c>
      <c r="AJ37" s="58">
        <f>AJ36/1.1</f>
        <v>2728754.5454545454</v>
      </c>
      <c r="AK37" s="59">
        <f>AK36/1.1</f>
        <v>15428027.272727272</v>
      </c>
      <c r="AL37" s="66">
        <f>AL36/1.1</f>
        <v>831399.99999999988</v>
      </c>
      <c r="AM37" s="34"/>
      <c r="AN37" s="34"/>
      <c r="AO37" s="34"/>
      <c r="AP37" s="34"/>
      <c r="AQ37" s="67"/>
      <c r="AR37" s="34"/>
      <c r="AS37" s="34"/>
      <c r="AT37" s="67"/>
      <c r="AU37" s="34"/>
      <c r="AV37" s="67"/>
    </row>
    <row r="38" spans="1:49" ht="15.75" customHeight="1">
      <c r="A38" s="31"/>
      <c r="B38" s="68"/>
      <c r="C38" s="180"/>
      <c r="D38" s="90"/>
      <c r="E38" s="31"/>
      <c r="F38" s="69" t="s">
        <v>37</v>
      </c>
      <c r="G38" s="70">
        <f>F36/H38</f>
        <v>29.555555555555557</v>
      </c>
      <c r="H38" s="71">
        <v>9</v>
      </c>
      <c r="I38" s="72" t="s">
        <v>38</v>
      </c>
      <c r="J38" s="70"/>
      <c r="K38" s="73" t="s">
        <v>39</v>
      </c>
      <c r="L38" s="74">
        <f>K37/H38</f>
        <v>123391.91919191919</v>
      </c>
      <c r="M38" s="31"/>
      <c r="N38" s="69" t="s">
        <v>37</v>
      </c>
      <c r="O38" s="70">
        <f>N36/P38</f>
        <v>39.866666666666667</v>
      </c>
      <c r="P38" s="71">
        <v>30</v>
      </c>
      <c r="Q38" s="72" t="s">
        <v>38</v>
      </c>
      <c r="R38" s="70"/>
      <c r="S38" s="73" t="s">
        <v>39</v>
      </c>
      <c r="T38" s="75">
        <f>S37/P38</f>
        <v>396541.81818181818</v>
      </c>
      <c r="U38" s="31"/>
      <c r="V38" s="31"/>
      <c r="W38" s="31"/>
      <c r="X38" s="33"/>
      <c r="Y38" s="33"/>
      <c r="Z38" s="31"/>
      <c r="AA38" s="31"/>
      <c r="AB38" s="76">
        <v>30</v>
      </c>
      <c r="AC38" s="72" t="s">
        <v>38</v>
      </c>
      <c r="AD38" s="70"/>
      <c r="AE38" s="70"/>
      <c r="AF38" s="73" t="s">
        <v>39</v>
      </c>
      <c r="AG38" s="77">
        <f>AF37/AB38</f>
        <v>80708.181818181809</v>
      </c>
      <c r="AH38" s="31"/>
      <c r="AI38" s="31"/>
      <c r="AJ38" s="31" t="s">
        <v>53</v>
      </c>
      <c r="AK38" s="33"/>
      <c r="AL38" s="33">
        <f>AK37/AM38</f>
        <v>3330.7485476526927</v>
      </c>
      <c r="AM38" s="78">
        <f>AH36+AA36</f>
        <v>4632</v>
      </c>
      <c r="AN38" s="31" t="s">
        <v>54</v>
      </c>
      <c r="AO38" s="31"/>
      <c r="AP38" s="31"/>
      <c r="AQ38" s="33"/>
      <c r="AR38" s="31"/>
      <c r="AS38" s="31"/>
      <c r="AT38" s="33"/>
      <c r="AU38" s="31"/>
      <c r="AV38" s="33">
        <f>AV36/1.1</f>
        <v>14117418.18181818</v>
      </c>
    </row>
    <row r="39" spans="1:49" ht="15.75" customHeight="1">
      <c r="A39" s="31"/>
      <c r="B39" s="68"/>
      <c r="C39" s="180"/>
      <c r="D39" s="90"/>
      <c r="E39" s="79" t="s">
        <v>40</v>
      </c>
      <c r="F39" s="80"/>
      <c r="G39" s="70"/>
      <c r="H39" s="81"/>
      <c r="I39" s="70"/>
      <c r="J39" s="70"/>
      <c r="K39" s="73"/>
      <c r="L39" s="77"/>
      <c r="M39" s="82" t="s">
        <v>41</v>
      </c>
      <c r="N39" s="69"/>
      <c r="O39" s="70"/>
      <c r="P39" s="70"/>
      <c r="Q39" s="70"/>
      <c r="R39" s="70"/>
      <c r="S39" s="73"/>
      <c r="T39" s="77"/>
      <c r="U39" s="31"/>
      <c r="V39" s="31"/>
      <c r="W39" s="31"/>
      <c r="X39" s="33"/>
      <c r="Y39" s="33"/>
      <c r="Z39" s="82" t="s">
        <v>42</v>
      </c>
      <c r="AA39" s="31"/>
      <c r="AB39" s="70"/>
      <c r="AC39" s="70"/>
      <c r="AD39" s="70"/>
      <c r="AE39" s="70"/>
      <c r="AF39" s="70"/>
      <c r="AG39" s="77"/>
      <c r="AH39" s="31"/>
      <c r="AI39" s="31"/>
      <c r="AJ39" s="31" t="s">
        <v>55</v>
      </c>
      <c r="AL39" s="83">
        <f>AK37/AB38</f>
        <v>514267.57575757575</v>
      </c>
      <c r="AM39" s="31" t="s">
        <v>56</v>
      </c>
      <c r="AN39" s="31"/>
      <c r="AO39" s="31"/>
      <c r="AP39" s="31"/>
      <c r="AQ39" s="33"/>
      <c r="AR39" s="31"/>
      <c r="AS39" s="31"/>
      <c r="AT39" s="33"/>
      <c r="AU39" s="31"/>
      <c r="AV39" s="33"/>
    </row>
    <row r="40" spans="1:49" ht="21" customHeight="1">
      <c r="A40" s="31"/>
      <c r="B40" s="68"/>
      <c r="C40" s="181"/>
      <c r="D40" s="90"/>
      <c r="E40" s="84"/>
      <c r="F40" s="10"/>
      <c r="G40" s="10"/>
      <c r="H40" s="10"/>
      <c r="I40" s="10"/>
      <c r="J40" s="10"/>
      <c r="K40" s="10"/>
      <c r="L40" s="85"/>
      <c r="M40" s="84"/>
      <c r="N40" s="10"/>
      <c r="O40" s="10"/>
      <c r="P40" s="10"/>
      <c r="Q40" s="10"/>
      <c r="R40" s="10"/>
      <c r="S40" s="10"/>
      <c r="T40" s="85"/>
      <c r="U40" s="31"/>
      <c r="V40" s="31"/>
      <c r="W40" s="31"/>
      <c r="X40" s="33"/>
      <c r="Y40" s="31"/>
      <c r="Z40" s="84"/>
      <c r="AA40" s="10"/>
      <c r="AB40" s="10"/>
      <c r="AC40" s="10"/>
      <c r="AD40" s="10"/>
      <c r="AE40" s="10"/>
      <c r="AF40" s="10"/>
      <c r="AG40" s="85"/>
      <c r="AH40" s="31"/>
      <c r="AI40" s="31"/>
      <c r="AJ40" s="31" t="s">
        <v>57</v>
      </c>
      <c r="AK40" s="33">
        <f>AK36+AL36</f>
        <v>17885370</v>
      </c>
      <c r="AL40" s="83">
        <f>AK40/AB38</f>
        <v>596179</v>
      </c>
      <c r="AM40" s="31" t="s">
        <v>43</v>
      </c>
      <c r="AN40" s="31"/>
      <c r="AO40" s="31"/>
      <c r="AP40" s="31"/>
      <c r="AQ40" s="31"/>
      <c r="AR40" s="31"/>
      <c r="AS40" s="31"/>
      <c r="AT40" s="33"/>
      <c r="AU40" s="31"/>
      <c r="AV40" s="33"/>
    </row>
    <row r="41" spans="1:49" ht="21" customHeight="1">
      <c r="A41" s="31"/>
      <c r="B41" s="68"/>
      <c r="C41" s="181"/>
      <c r="D41" s="90"/>
      <c r="E41" s="86"/>
      <c r="F41" s="87"/>
      <c r="G41" s="87"/>
      <c r="H41" s="87"/>
      <c r="I41" s="87"/>
      <c r="J41" s="87"/>
      <c r="K41" s="87"/>
      <c r="L41" s="88"/>
      <c r="M41" s="86"/>
      <c r="N41" s="87"/>
      <c r="O41" s="87"/>
      <c r="P41" s="87"/>
      <c r="Q41" s="87"/>
      <c r="R41" s="87"/>
      <c r="S41" s="87"/>
      <c r="T41" s="88"/>
      <c r="U41" s="31"/>
      <c r="V41" s="31"/>
      <c r="W41" s="31"/>
      <c r="X41" s="33"/>
      <c r="Y41" s="31"/>
      <c r="Z41" s="86"/>
      <c r="AA41" s="87"/>
      <c r="AB41" s="87"/>
      <c r="AC41" s="87"/>
      <c r="AD41" s="87"/>
      <c r="AE41" s="87"/>
      <c r="AF41" s="87"/>
      <c r="AG41" s="88"/>
      <c r="AH41" s="31"/>
      <c r="AI41" s="31"/>
      <c r="AJ41" s="31" t="s">
        <v>58</v>
      </c>
      <c r="AK41" s="67">
        <f>AK37+AL37</f>
        <v>16259427.272727272</v>
      </c>
      <c r="AL41" s="83">
        <f>AK41/AB38</f>
        <v>541980.90909090906</v>
      </c>
      <c r="AM41" s="31" t="s">
        <v>56</v>
      </c>
      <c r="AN41" s="31"/>
      <c r="AO41" s="31"/>
      <c r="AP41" s="31"/>
      <c r="AQ41" s="31"/>
      <c r="AR41" s="31"/>
      <c r="AS41" s="31"/>
      <c r="AT41" s="33"/>
      <c r="AU41" s="31"/>
      <c r="AV41" s="33"/>
    </row>
    <row r="42" spans="1:49" ht="21" customHeight="1">
      <c r="A42" s="31"/>
      <c r="B42" s="68"/>
      <c r="C42" s="181"/>
      <c r="D42" s="90"/>
      <c r="E42" s="86"/>
      <c r="F42" s="87"/>
      <c r="G42" s="87"/>
      <c r="H42" s="87"/>
      <c r="I42" s="87"/>
      <c r="J42" s="87"/>
      <c r="K42" s="87"/>
      <c r="L42" s="88"/>
      <c r="M42" s="86"/>
      <c r="N42" s="87"/>
      <c r="O42" s="87"/>
      <c r="P42" s="87"/>
      <c r="Q42" s="87"/>
      <c r="R42" s="87"/>
      <c r="S42" s="87"/>
      <c r="T42" s="88"/>
      <c r="U42" s="31"/>
      <c r="V42" s="31"/>
      <c r="W42" s="31"/>
      <c r="X42" s="33"/>
      <c r="Y42" s="31"/>
      <c r="Z42" s="86"/>
      <c r="AA42" s="87"/>
      <c r="AB42" s="87"/>
      <c r="AC42" s="87"/>
      <c r="AD42" s="87"/>
      <c r="AE42" s="87"/>
      <c r="AF42" s="87"/>
      <c r="AG42" s="88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3"/>
      <c r="AU42" s="31"/>
      <c r="AV42" s="33"/>
    </row>
    <row r="43" spans="1:49" ht="21" customHeight="1">
      <c r="A43" s="31"/>
      <c r="B43" s="68"/>
      <c r="C43" s="181"/>
      <c r="D43" s="90"/>
      <c r="E43" s="86"/>
      <c r="F43" s="87"/>
      <c r="G43" s="87"/>
      <c r="H43" s="87"/>
      <c r="I43" s="87"/>
      <c r="J43" s="87"/>
      <c r="K43" s="87"/>
      <c r="L43" s="88"/>
      <c r="M43" s="86"/>
      <c r="N43" s="87"/>
      <c r="O43" s="87"/>
      <c r="P43" s="87"/>
      <c r="Q43" s="87"/>
      <c r="R43" s="87"/>
      <c r="S43" s="87"/>
      <c r="T43" s="88"/>
      <c r="U43" s="31"/>
      <c r="V43" s="31"/>
      <c r="W43" s="31"/>
      <c r="X43" s="31"/>
      <c r="Y43" s="31"/>
      <c r="Z43" s="86"/>
      <c r="AA43" s="87"/>
      <c r="AB43" s="87"/>
      <c r="AC43" s="87"/>
      <c r="AD43" s="87"/>
      <c r="AE43" s="87"/>
      <c r="AF43" s="87"/>
      <c r="AG43" s="88"/>
      <c r="AH43" s="31"/>
      <c r="AI43" s="31"/>
      <c r="AJ43" s="31"/>
      <c r="AK43" s="33">
        <f>AK37+AL37</f>
        <v>16259427.272727272</v>
      </c>
      <c r="AL43" s="90" t="s">
        <v>44</v>
      </c>
      <c r="AM43" s="90" t="s">
        <v>64</v>
      </c>
      <c r="AN43" s="90" t="s">
        <v>65</v>
      </c>
      <c r="AO43" s="31"/>
      <c r="AP43" s="31"/>
      <c r="AQ43" s="31"/>
      <c r="AR43" s="31"/>
      <c r="AS43" s="31"/>
      <c r="AT43" s="33"/>
      <c r="AU43" s="31"/>
      <c r="AV43" s="33"/>
    </row>
    <row r="44" spans="1:49" ht="21" customHeight="1">
      <c r="A44" s="31"/>
      <c r="B44" s="68"/>
      <c r="C44" s="181"/>
      <c r="D44" s="90"/>
      <c r="E44" s="91"/>
      <c r="F44" s="92"/>
      <c r="G44" s="92"/>
      <c r="H44" s="92"/>
      <c r="I44" s="92"/>
      <c r="J44" s="92"/>
      <c r="K44" s="92"/>
      <c r="L44" s="93"/>
      <c r="M44" s="91"/>
      <c r="N44" s="92"/>
      <c r="O44" s="92"/>
      <c r="P44" s="92"/>
      <c r="Q44" s="92"/>
      <c r="R44" s="92"/>
      <c r="S44" s="92"/>
      <c r="T44" s="93"/>
      <c r="U44" s="31"/>
      <c r="V44" s="31"/>
      <c r="W44" s="31"/>
      <c r="X44" s="31"/>
      <c r="Y44" s="31"/>
      <c r="Z44" s="91"/>
      <c r="AA44" s="92"/>
      <c r="AB44" s="92"/>
      <c r="AC44" s="92"/>
      <c r="AD44" s="92"/>
      <c r="AE44" s="92"/>
      <c r="AF44" s="92"/>
      <c r="AG44" s="93"/>
      <c r="AH44" s="31"/>
      <c r="AI44" s="34"/>
      <c r="AJ44" s="89" t="s">
        <v>45</v>
      </c>
      <c r="AK44" s="67">
        <f>K45+S45+AF45+AL44</f>
        <v>14505109</v>
      </c>
      <c r="AL44" s="182">
        <f>AM44+AN44</f>
        <v>905209</v>
      </c>
      <c r="AM44" s="34">
        <v>600000</v>
      </c>
      <c r="AN44" s="34">
        <v>305209</v>
      </c>
      <c r="AO44" s="31"/>
      <c r="AP44" s="31"/>
      <c r="AQ44" s="31"/>
      <c r="AR44" s="31"/>
      <c r="AS44" s="31"/>
      <c r="AT44" s="33"/>
      <c r="AU44" s="31"/>
      <c r="AV44" s="33"/>
    </row>
    <row r="45" spans="1:49" ht="21" customHeight="1">
      <c r="A45" s="31"/>
      <c r="B45" s="68"/>
      <c r="C45" s="180"/>
      <c r="D45" s="90"/>
      <c r="E45" s="31"/>
      <c r="F45" s="31"/>
      <c r="G45" s="31"/>
      <c r="H45" s="31"/>
      <c r="I45" s="94"/>
      <c r="J45" s="95" t="s">
        <v>46</v>
      </c>
      <c r="K45" s="183">
        <v>1851100</v>
      </c>
      <c r="L45" s="96" t="s">
        <v>47</v>
      </c>
      <c r="M45" s="34"/>
      <c r="N45" s="34"/>
      <c r="O45" s="34"/>
      <c r="P45" s="34"/>
      <c r="Q45" s="34"/>
      <c r="R45" s="95" t="s">
        <v>48</v>
      </c>
      <c r="S45" s="183">
        <v>9424800</v>
      </c>
      <c r="T45" s="96" t="s">
        <v>47</v>
      </c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94" t="s">
        <v>49</v>
      </c>
      <c r="AF45" s="183">
        <v>2324000</v>
      </c>
      <c r="AG45" s="96" t="s">
        <v>47</v>
      </c>
      <c r="AH45" s="34"/>
      <c r="AI45" s="34"/>
      <c r="AJ45" s="89" t="s">
        <v>50</v>
      </c>
      <c r="AK45" s="67">
        <f>AK44-AK37-AL37</f>
        <v>-1754318.2727272715</v>
      </c>
      <c r="AL45" s="67">
        <f>AL44-AL37</f>
        <v>73809.000000000116</v>
      </c>
      <c r="AM45" s="107">
        <f>AL37/AL44</f>
        <v>0.91846192426279438</v>
      </c>
      <c r="AN45" s="31"/>
      <c r="AO45" s="31"/>
      <c r="AP45" s="31"/>
      <c r="AQ45" s="31"/>
      <c r="AR45" s="33"/>
      <c r="AS45" s="31"/>
      <c r="AT45" s="33"/>
      <c r="AU45" s="31"/>
      <c r="AV45" s="31"/>
    </row>
    <row r="46" spans="1:49" ht="21" customHeight="1">
      <c r="A46" s="31"/>
      <c r="B46" s="68"/>
      <c r="C46" s="180"/>
      <c r="D46" s="90"/>
      <c r="E46" s="31"/>
      <c r="F46" s="31"/>
      <c r="G46" s="31"/>
      <c r="H46" s="31"/>
      <c r="I46" s="94"/>
      <c r="J46" s="94" t="s">
        <v>50</v>
      </c>
      <c r="K46" s="67">
        <f>K45-K37</f>
        <v>740572.72727272729</v>
      </c>
      <c r="L46" s="97">
        <v>0</v>
      </c>
      <c r="M46" s="34"/>
      <c r="N46" s="34"/>
      <c r="O46" s="34"/>
      <c r="P46" s="34"/>
      <c r="Q46" s="34"/>
      <c r="R46" s="94" t="s">
        <v>50</v>
      </c>
      <c r="S46" s="67">
        <f>S45-S37</f>
        <v>-2471454.5454545449</v>
      </c>
      <c r="T46" s="34">
        <v>0</v>
      </c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94" t="s">
        <v>50</v>
      </c>
      <c r="AF46" s="67">
        <f>AF45-AF37</f>
        <v>-97245.454545454122</v>
      </c>
      <c r="AG46" s="34">
        <v>3</v>
      </c>
      <c r="AH46" s="34"/>
      <c r="AI46" s="98"/>
      <c r="AJ46" s="99" t="s">
        <v>51</v>
      </c>
      <c r="AK46" s="100" t="e">
        <f>AK45/L46</f>
        <v>#DIV/0!</v>
      </c>
      <c r="AL46" s="106">
        <f>(AK37+AL37)/AK44</f>
        <v>1.1209448527913353</v>
      </c>
      <c r="AM46" s="98"/>
      <c r="AN46" s="101"/>
      <c r="AO46" s="31"/>
      <c r="AP46" s="31"/>
      <c r="AQ46" s="31"/>
      <c r="AR46" s="33"/>
      <c r="AS46" s="31"/>
      <c r="AT46" s="33"/>
      <c r="AU46" s="31"/>
      <c r="AV46" s="31"/>
    </row>
    <row r="47" spans="1:49" ht="25.5" customHeight="1">
      <c r="A47" s="101"/>
      <c r="B47" s="102"/>
      <c r="C47" s="184"/>
      <c r="D47" s="115"/>
      <c r="E47" s="101"/>
      <c r="F47" s="101"/>
      <c r="G47" s="101"/>
      <c r="H47" s="101"/>
      <c r="I47" s="103"/>
      <c r="J47" s="99" t="s">
        <v>51</v>
      </c>
      <c r="K47" s="104" t="e">
        <f>K46/L46</f>
        <v>#DIV/0!</v>
      </c>
      <c r="L47" s="105">
        <f>K37/K45</f>
        <v>0.59992829816178095</v>
      </c>
      <c r="M47" s="98"/>
      <c r="N47" s="98"/>
      <c r="O47" s="98"/>
      <c r="P47" s="98"/>
      <c r="Q47" s="98"/>
      <c r="R47" s="99" t="s">
        <v>51</v>
      </c>
      <c r="S47" s="100" t="e">
        <f>S46/T46</f>
        <v>#DIV/0!</v>
      </c>
      <c r="T47" s="105">
        <f>S37/S45</f>
        <v>1.262228858485543</v>
      </c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9" t="s">
        <v>51</v>
      </c>
      <c r="AF47" s="104">
        <f>AF46/AG46</f>
        <v>-32415.151515151374</v>
      </c>
      <c r="AG47" s="105">
        <f>AF37/AF45</f>
        <v>1.0418439993741198</v>
      </c>
      <c r="AH47" s="98"/>
      <c r="AI47" s="31"/>
      <c r="AJ47" s="31"/>
      <c r="AK47" s="33"/>
      <c r="AL47" s="31"/>
      <c r="AM47" s="31"/>
      <c r="AN47" s="31"/>
      <c r="AO47" s="101"/>
      <c r="AP47" s="101"/>
      <c r="AQ47" s="101"/>
      <c r="AR47" s="108"/>
      <c r="AS47" s="101"/>
      <c r="AT47" s="108"/>
      <c r="AU47" s="101"/>
      <c r="AV47" s="101"/>
    </row>
    <row r="48" spans="1:49" ht="15.75" customHeight="1">
      <c r="A48" s="31"/>
      <c r="B48" s="68"/>
      <c r="C48" s="180"/>
      <c r="D48" s="90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9"/>
      <c r="AJ48" s="109"/>
      <c r="AK48" s="109"/>
      <c r="AL48" s="109"/>
      <c r="AM48" s="109"/>
      <c r="AN48" s="109"/>
      <c r="AO48" s="31"/>
      <c r="AP48" s="31"/>
      <c r="AQ48" s="31"/>
      <c r="AR48" s="33"/>
      <c r="AS48" s="31"/>
      <c r="AT48" s="33"/>
      <c r="AU48" s="31"/>
      <c r="AV48" s="31"/>
    </row>
    <row r="49" spans="1:48" ht="36" customHeight="1">
      <c r="A49" s="109"/>
      <c r="B49" s="110"/>
      <c r="C49" s="185"/>
      <c r="D49" s="1"/>
      <c r="E49" s="109"/>
      <c r="F49" s="109"/>
      <c r="G49" s="109"/>
      <c r="H49" s="109"/>
      <c r="I49" s="109"/>
      <c r="J49" s="109"/>
      <c r="K49" s="109"/>
      <c r="L49" s="109"/>
      <c r="M49" s="111"/>
      <c r="N49" s="31"/>
      <c r="O49" s="31"/>
      <c r="P49" s="31"/>
      <c r="Q49" s="31"/>
      <c r="R49" s="31"/>
      <c r="S49" s="111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"/>
      <c r="AJ49" s="1"/>
      <c r="AK49" s="1"/>
      <c r="AL49" s="1"/>
      <c r="AM49" s="1"/>
      <c r="AN49" s="1"/>
      <c r="AO49" s="109"/>
      <c r="AP49" s="109"/>
      <c r="AQ49" s="109"/>
      <c r="AR49" s="112"/>
      <c r="AS49" s="109"/>
      <c r="AT49" s="112"/>
      <c r="AU49" s="109"/>
      <c r="AV49" s="109"/>
    </row>
    <row r="50" spans="1:48" ht="36" customHeight="1">
      <c r="A50" s="1"/>
      <c r="B50" s="113"/>
      <c r="C50" s="123"/>
      <c r="D50" s="1"/>
      <c r="E50" s="1"/>
      <c r="F50" s="1"/>
      <c r="G50" s="1"/>
      <c r="H50" s="1"/>
      <c r="I50" s="1"/>
      <c r="J50" s="1"/>
      <c r="K50" s="1"/>
      <c r="L50" s="1"/>
      <c r="M50" s="114"/>
      <c r="N50" s="31"/>
      <c r="O50" s="31"/>
      <c r="P50" s="31"/>
      <c r="Q50" s="31"/>
      <c r="R50" s="31"/>
      <c r="S50" s="114"/>
      <c r="T50" s="114"/>
      <c r="U50" s="1"/>
      <c r="V50" s="1"/>
      <c r="W50" s="1"/>
      <c r="X50" s="1"/>
      <c r="Y50" s="1"/>
      <c r="Z50" s="1"/>
      <c r="AA50" s="115"/>
      <c r="AB50" s="1"/>
      <c r="AC50" s="1"/>
      <c r="AD50" s="1"/>
      <c r="AE50" s="1"/>
      <c r="AF50" s="1"/>
      <c r="AG50" s="1"/>
      <c r="AH50" s="1"/>
      <c r="AI50" s="109"/>
      <c r="AJ50" s="109"/>
      <c r="AK50" s="109"/>
      <c r="AL50" s="109"/>
      <c r="AM50" s="109"/>
      <c r="AN50" s="109"/>
      <c r="AO50" s="1"/>
      <c r="AP50" s="1"/>
      <c r="AQ50" s="1"/>
      <c r="AR50" s="116"/>
      <c r="AS50" s="1"/>
      <c r="AT50" s="116"/>
      <c r="AU50" s="1"/>
      <c r="AV50" s="1"/>
    </row>
    <row r="51" spans="1:48" ht="36" customHeight="1">
      <c r="A51" s="109"/>
      <c r="B51" s="110"/>
      <c r="C51" s="185"/>
      <c r="D51" s="1"/>
      <c r="E51" s="109"/>
      <c r="F51" s="109"/>
      <c r="G51" s="109"/>
      <c r="H51" s="109"/>
      <c r="I51" s="109"/>
      <c r="J51" s="109"/>
      <c r="K51" s="109"/>
      <c r="L51" s="1"/>
      <c r="M51" s="114"/>
      <c r="N51" s="31"/>
      <c r="O51" s="31"/>
      <c r="P51" s="31"/>
      <c r="Q51" s="31"/>
      <c r="R51" s="31"/>
      <c r="S51" s="117"/>
      <c r="T51" s="118"/>
      <c r="U51" s="118"/>
      <c r="V51" s="118"/>
      <c r="W51" s="118"/>
      <c r="X51" s="119"/>
      <c r="Y51" s="120"/>
      <c r="Z51" s="121"/>
      <c r="AA51" s="122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12"/>
      <c r="AS51" s="109"/>
      <c r="AT51" s="112"/>
      <c r="AU51" s="109"/>
      <c r="AV51" s="109"/>
    </row>
    <row r="52" spans="1:48" ht="36" customHeight="1">
      <c r="A52" s="109"/>
      <c r="B52" s="110"/>
      <c r="C52" s="185"/>
      <c r="D52" s="1"/>
      <c r="E52" s="109"/>
      <c r="F52" s="109"/>
      <c r="G52" s="109"/>
      <c r="H52" s="109"/>
      <c r="I52" s="109"/>
      <c r="J52" s="109"/>
      <c r="K52" s="109"/>
      <c r="L52" s="1"/>
      <c r="M52" s="114"/>
      <c r="N52" s="31"/>
      <c r="O52" s="31"/>
      <c r="P52" s="31"/>
      <c r="Q52" s="31"/>
      <c r="R52" s="31"/>
      <c r="S52" s="119"/>
      <c r="T52" s="118"/>
      <c r="U52" s="118"/>
      <c r="V52" s="118"/>
      <c r="W52" s="118"/>
      <c r="X52" s="119"/>
      <c r="Y52" s="120"/>
      <c r="Z52" s="121"/>
      <c r="AA52" s="122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12"/>
      <c r="AS52" s="109"/>
      <c r="AT52" s="112"/>
      <c r="AU52" s="109"/>
      <c r="AV52" s="109"/>
    </row>
    <row r="53" spans="1:48" ht="36" customHeight="1">
      <c r="A53" s="109"/>
      <c r="B53" s="110"/>
      <c r="C53" s="185"/>
      <c r="D53" s="1"/>
      <c r="E53" s="109"/>
      <c r="F53" s="109"/>
      <c r="G53" s="109"/>
      <c r="H53" s="109"/>
      <c r="I53" s="109"/>
      <c r="J53" s="109"/>
      <c r="K53" s="109"/>
      <c r="L53" s="1"/>
      <c r="M53" s="114"/>
      <c r="N53" s="31"/>
      <c r="O53" s="31"/>
      <c r="P53" s="31"/>
      <c r="Q53" s="31"/>
      <c r="R53" s="31"/>
      <c r="S53" s="119"/>
      <c r="T53" s="118"/>
      <c r="U53" s="118"/>
      <c r="V53" s="118"/>
      <c r="W53" s="118"/>
      <c r="X53" s="119"/>
      <c r="Y53" s="120"/>
      <c r="Z53" s="121"/>
      <c r="AA53" s="122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12"/>
      <c r="AS53" s="109"/>
      <c r="AT53" s="112"/>
      <c r="AU53" s="109"/>
      <c r="AV53" s="109"/>
    </row>
    <row r="54" spans="1:48" ht="36" customHeight="1">
      <c r="A54" s="109"/>
      <c r="B54" s="110"/>
      <c r="C54" s="185"/>
      <c r="D54" s="1"/>
      <c r="E54" s="109"/>
      <c r="F54" s="109"/>
      <c r="G54" s="109"/>
      <c r="H54" s="109"/>
      <c r="I54" s="109"/>
      <c r="J54" s="109"/>
      <c r="K54" s="109"/>
      <c r="L54" s="1"/>
      <c r="M54" s="114"/>
      <c r="N54" s="31"/>
      <c r="O54" s="31"/>
      <c r="P54" s="31"/>
      <c r="Q54" s="31"/>
      <c r="R54" s="31"/>
      <c r="S54" s="119"/>
      <c r="T54" s="118"/>
      <c r="U54" s="118"/>
      <c r="V54" s="118"/>
      <c r="W54" s="118"/>
      <c r="X54" s="119"/>
      <c r="Y54" s="120"/>
      <c r="Z54" s="121"/>
      <c r="AA54" s="122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12"/>
      <c r="AS54" s="109"/>
      <c r="AT54" s="112"/>
      <c r="AU54" s="109"/>
      <c r="AV54" s="109"/>
    </row>
    <row r="55" spans="1:48" ht="36" customHeight="1">
      <c r="A55" s="109"/>
      <c r="B55" s="110"/>
      <c r="C55" s="185"/>
      <c r="D55" s="1"/>
      <c r="E55" s="109"/>
      <c r="F55" s="109"/>
      <c r="G55" s="109"/>
      <c r="H55" s="109"/>
      <c r="I55" s="109"/>
      <c r="J55" s="109"/>
      <c r="K55" s="109"/>
      <c r="L55" s="109"/>
      <c r="M55" s="111"/>
      <c r="N55" s="31"/>
      <c r="O55" s="31"/>
      <c r="P55" s="31"/>
      <c r="Q55" s="31"/>
      <c r="R55" s="31"/>
      <c r="S55" s="119"/>
      <c r="T55" s="118"/>
      <c r="U55" s="118"/>
      <c r="V55" s="118"/>
      <c r="W55" s="118"/>
      <c r="X55" s="120"/>
      <c r="Y55" s="120"/>
      <c r="Z55" s="121"/>
      <c r="AA55" s="122"/>
      <c r="AB55" s="109"/>
      <c r="AC55" s="109"/>
      <c r="AD55" s="109"/>
      <c r="AE55" s="109"/>
      <c r="AF55" s="109"/>
      <c r="AG55" s="109"/>
      <c r="AH55" s="109"/>
      <c r="AI55" s="31"/>
      <c r="AJ55" s="31"/>
      <c r="AK55" s="31"/>
      <c r="AL55" s="31"/>
      <c r="AM55" s="31"/>
      <c r="AN55" s="31"/>
      <c r="AO55" s="109"/>
      <c r="AP55" s="109"/>
      <c r="AQ55" s="109"/>
      <c r="AR55" s="112"/>
      <c r="AS55" s="109"/>
      <c r="AT55" s="112"/>
      <c r="AU55" s="109"/>
      <c r="AV55" s="109"/>
    </row>
    <row r="56" spans="1:48" ht="15.75" customHeight="1">
      <c r="A56" s="31"/>
      <c r="B56" s="68"/>
      <c r="C56" s="180"/>
      <c r="D56" s="90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121"/>
      <c r="AA56" s="12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3"/>
      <c r="AU56" s="31"/>
      <c r="AV56" s="33"/>
    </row>
    <row r="57" spans="1:48" ht="15.75" customHeight="1">
      <c r="A57" s="31"/>
      <c r="B57" s="68"/>
      <c r="C57" s="180"/>
      <c r="D57" s="90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109"/>
      <c r="AA57" s="109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3"/>
      <c r="AU57" s="31"/>
      <c r="AV57" s="33"/>
    </row>
    <row r="58" spans="1:48" ht="15.75" customHeight="1">
      <c r="A58" s="31"/>
      <c r="B58" s="68"/>
      <c r="C58" s="180"/>
      <c r="D58" s="90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3"/>
      <c r="AU58" s="31"/>
      <c r="AV58" s="33"/>
    </row>
    <row r="59" spans="1:48" ht="15.75" customHeight="1">
      <c r="A59" s="31"/>
      <c r="B59" s="68"/>
      <c r="C59" s="180"/>
      <c r="D59" s="90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3"/>
      <c r="AU59" s="31"/>
      <c r="AV59" s="33"/>
    </row>
    <row r="60" spans="1:48" ht="15.75" customHeight="1">
      <c r="A60" s="31"/>
      <c r="B60" s="68"/>
      <c r="C60" s="180"/>
      <c r="D60" s="90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3"/>
      <c r="AU60" s="31"/>
      <c r="AV60" s="33"/>
    </row>
    <row r="61" spans="1:48" ht="15.75" customHeight="1">
      <c r="A61" s="31"/>
      <c r="B61" s="68"/>
      <c r="C61" s="180"/>
      <c r="D61" s="90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3"/>
      <c r="AU61" s="31"/>
      <c r="AV61" s="33"/>
    </row>
    <row r="62" spans="1:48" ht="15.75" customHeight="1">
      <c r="A62" s="31"/>
      <c r="B62" s="68"/>
      <c r="C62" s="180"/>
      <c r="D62" s="90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3"/>
      <c r="AU62" s="31"/>
      <c r="AV62" s="33"/>
    </row>
    <row r="63" spans="1:48" ht="15.75" customHeight="1">
      <c r="A63" s="31"/>
      <c r="B63" s="68"/>
      <c r="C63" s="180"/>
      <c r="D63" s="90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3"/>
      <c r="AU63" s="31"/>
      <c r="AV63" s="33"/>
    </row>
    <row r="64" spans="1:48" ht="15.75" customHeight="1">
      <c r="A64" s="31"/>
      <c r="B64" s="68"/>
      <c r="C64" s="180"/>
      <c r="D64" s="90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3"/>
      <c r="AU64" s="31"/>
      <c r="AV64" s="33"/>
    </row>
    <row r="65" spans="1:48" ht="15.75" customHeight="1">
      <c r="A65" s="31"/>
      <c r="B65" s="68"/>
      <c r="C65" s="180"/>
      <c r="D65" s="90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3"/>
      <c r="AU65" s="31"/>
      <c r="AV65" s="33"/>
    </row>
    <row r="66" spans="1:48" ht="15.75" customHeight="1">
      <c r="A66" s="31"/>
      <c r="B66" s="68"/>
      <c r="C66" s="180"/>
      <c r="D66" s="90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3"/>
      <c r="AU66" s="31"/>
      <c r="AV66" s="33"/>
    </row>
    <row r="67" spans="1:48" ht="15.75" customHeight="1">
      <c r="A67" s="31"/>
      <c r="B67" s="68"/>
      <c r="C67" s="180"/>
      <c r="D67" s="90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3"/>
      <c r="AU67" s="31"/>
      <c r="AV67" s="33"/>
    </row>
    <row r="68" spans="1:48" ht="15.75" customHeight="1">
      <c r="A68" s="31"/>
      <c r="B68" s="68"/>
      <c r="C68" s="180"/>
      <c r="D68" s="90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3"/>
      <c r="AU68" s="31"/>
      <c r="AV68" s="33"/>
    </row>
    <row r="69" spans="1:48" ht="15.75" customHeight="1">
      <c r="A69" s="31"/>
      <c r="B69" s="68"/>
      <c r="C69" s="180"/>
      <c r="D69" s="90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3"/>
      <c r="AU69" s="31"/>
      <c r="AV69" s="33"/>
    </row>
    <row r="70" spans="1:48" ht="15.75" customHeight="1">
      <c r="A70" s="31"/>
      <c r="B70" s="68"/>
      <c r="C70" s="180"/>
      <c r="D70" s="90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3"/>
      <c r="AU70" s="31"/>
      <c r="AV70" s="33"/>
    </row>
    <row r="71" spans="1:48" ht="15.75" customHeight="1">
      <c r="A71" s="31"/>
      <c r="B71" s="68"/>
      <c r="C71" s="180"/>
      <c r="D71" s="90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3"/>
      <c r="AU71" s="31"/>
      <c r="AV71" s="33"/>
    </row>
    <row r="72" spans="1:48" ht="15.75" customHeight="1">
      <c r="A72" s="31"/>
      <c r="B72" s="68"/>
      <c r="C72" s="180"/>
      <c r="D72" s="90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3"/>
      <c r="AU72" s="31"/>
      <c r="AV72" s="33"/>
    </row>
    <row r="73" spans="1:48" ht="15.75" customHeight="1">
      <c r="A73" s="31"/>
      <c r="B73" s="68"/>
      <c r="C73" s="180"/>
      <c r="D73" s="90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3"/>
      <c r="AU73" s="31"/>
      <c r="AV73" s="33"/>
    </row>
    <row r="74" spans="1:48" ht="15.75" customHeight="1">
      <c r="A74" s="31"/>
      <c r="B74" s="68"/>
      <c r="C74" s="180"/>
      <c r="D74" s="90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3"/>
      <c r="AU74" s="31"/>
      <c r="AV74" s="33"/>
    </row>
    <row r="75" spans="1:48" ht="15.75" customHeight="1">
      <c r="A75" s="31"/>
      <c r="B75" s="68"/>
      <c r="C75" s="180"/>
      <c r="D75" s="90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3"/>
      <c r="AU75" s="31"/>
      <c r="AV75" s="33"/>
    </row>
    <row r="76" spans="1:48" ht="15.75" customHeight="1">
      <c r="A76" s="31"/>
      <c r="B76" s="68"/>
      <c r="C76" s="180"/>
      <c r="D76" s="90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3"/>
      <c r="AU76" s="31"/>
      <c r="AV76" s="33"/>
    </row>
    <row r="77" spans="1:48" ht="15.75" customHeight="1">
      <c r="A77" s="31"/>
      <c r="B77" s="68"/>
      <c r="C77" s="180"/>
      <c r="D77" s="90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3"/>
      <c r="AU77" s="31"/>
      <c r="AV77" s="33"/>
    </row>
    <row r="78" spans="1:48" ht="15.75" customHeight="1">
      <c r="A78" s="31"/>
      <c r="B78" s="68"/>
      <c r="C78" s="180"/>
      <c r="D78" s="90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3"/>
      <c r="AU78" s="31"/>
      <c r="AV78" s="33"/>
    </row>
    <row r="79" spans="1:48" ht="15.75" customHeight="1">
      <c r="A79" s="31"/>
      <c r="B79" s="68"/>
      <c r="C79" s="180"/>
      <c r="D79" s="90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3"/>
      <c r="AU79" s="31"/>
      <c r="AV79" s="33"/>
    </row>
    <row r="80" spans="1:48" ht="15.75" customHeight="1">
      <c r="A80" s="31"/>
      <c r="B80" s="68"/>
      <c r="C80" s="180"/>
      <c r="D80" s="90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3"/>
      <c r="AU80" s="31"/>
      <c r="AV80" s="33"/>
    </row>
    <row r="81" spans="1:48" ht="15.75" customHeight="1">
      <c r="A81" s="31"/>
      <c r="B81" s="68"/>
      <c r="C81" s="180"/>
      <c r="D81" s="90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3"/>
      <c r="AU81" s="31"/>
      <c r="AV81" s="33"/>
    </row>
    <row r="82" spans="1:48" ht="15.75" customHeight="1">
      <c r="A82" s="31"/>
      <c r="B82" s="68"/>
      <c r="C82" s="180"/>
      <c r="D82" s="90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3"/>
      <c r="AU82" s="31"/>
      <c r="AV82" s="33"/>
    </row>
    <row r="83" spans="1:48" ht="15.75" customHeight="1">
      <c r="A83" s="31"/>
      <c r="B83" s="68"/>
      <c r="C83" s="180"/>
      <c r="D83" s="90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3"/>
      <c r="AU83" s="31"/>
      <c r="AV83" s="33"/>
    </row>
    <row r="84" spans="1:48" ht="15.75" customHeight="1">
      <c r="A84" s="31"/>
      <c r="B84" s="68"/>
      <c r="C84" s="180"/>
      <c r="D84" s="90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3"/>
      <c r="AU84" s="31"/>
      <c r="AV84" s="33"/>
    </row>
    <row r="85" spans="1:48" ht="15.75" customHeight="1">
      <c r="A85" s="31"/>
      <c r="B85" s="68"/>
      <c r="C85" s="180"/>
      <c r="D85" s="90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3"/>
      <c r="AU85" s="31"/>
      <c r="AV85" s="33"/>
    </row>
    <row r="86" spans="1:48" ht="15.75" customHeight="1">
      <c r="A86" s="31"/>
      <c r="B86" s="68"/>
      <c r="C86" s="180"/>
      <c r="D86" s="90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3"/>
      <c r="AU86" s="31"/>
      <c r="AV86" s="33"/>
    </row>
    <row r="87" spans="1:48" ht="15.75" customHeight="1">
      <c r="A87" s="31"/>
      <c r="B87" s="68"/>
      <c r="C87" s="180"/>
      <c r="D87" s="90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3"/>
      <c r="AU87" s="31"/>
      <c r="AV87" s="33"/>
    </row>
    <row r="88" spans="1:48" ht="15.75" customHeight="1">
      <c r="A88" s="31"/>
      <c r="B88" s="68"/>
      <c r="C88" s="180"/>
      <c r="D88" s="90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3"/>
      <c r="AU88" s="31"/>
      <c r="AV88" s="33"/>
    </row>
    <row r="89" spans="1:48" ht="15.75" customHeight="1">
      <c r="A89" s="31"/>
      <c r="B89" s="68"/>
      <c r="C89" s="180"/>
      <c r="D89" s="90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3"/>
      <c r="AU89" s="31"/>
      <c r="AV89" s="33"/>
    </row>
    <row r="90" spans="1:48" ht="15.75" customHeight="1">
      <c r="A90" s="31"/>
      <c r="B90" s="68"/>
      <c r="C90" s="180"/>
      <c r="D90" s="90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3"/>
      <c r="AU90" s="31"/>
      <c r="AV90" s="33"/>
    </row>
    <row r="91" spans="1:48" ht="15.75" customHeight="1">
      <c r="A91" s="31"/>
      <c r="B91" s="68"/>
      <c r="C91" s="180"/>
      <c r="D91" s="90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3"/>
      <c r="AU91" s="31"/>
      <c r="AV91" s="33"/>
    </row>
    <row r="92" spans="1:48" ht="15.75" customHeight="1">
      <c r="A92" s="31"/>
      <c r="B92" s="68"/>
      <c r="C92" s="180"/>
      <c r="D92" s="90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3"/>
      <c r="AU92" s="31"/>
      <c r="AV92" s="33"/>
    </row>
    <row r="93" spans="1:48" ht="15.75" customHeight="1">
      <c r="A93" s="31"/>
      <c r="B93" s="68"/>
      <c r="C93" s="180"/>
      <c r="D93" s="90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3"/>
      <c r="AU93" s="31"/>
      <c r="AV93" s="33"/>
    </row>
    <row r="94" spans="1:48" ht="15.75" customHeight="1">
      <c r="A94" s="31"/>
      <c r="B94" s="68"/>
      <c r="C94" s="180"/>
      <c r="D94" s="90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3"/>
      <c r="AU94" s="31"/>
      <c r="AV94" s="33"/>
    </row>
    <row r="95" spans="1:48" ht="15.75" customHeight="1">
      <c r="A95" s="31"/>
      <c r="B95" s="68"/>
      <c r="C95" s="180"/>
      <c r="D95" s="90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3"/>
      <c r="AU95" s="31"/>
      <c r="AV95" s="33"/>
    </row>
    <row r="96" spans="1:48" ht="15.75" customHeight="1">
      <c r="A96" s="31"/>
      <c r="B96" s="68"/>
      <c r="C96" s="180"/>
      <c r="D96" s="90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3"/>
      <c r="AU96" s="31"/>
      <c r="AV96" s="33"/>
    </row>
    <row r="97" spans="1:48" ht="15.75" customHeight="1">
      <c r="A97" s="31"/>
      <c r="B97" s="68"/>
      <c r="C97" s="180"/>
      <c r="D97" s="90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3"/>
      <c r="AU97" s="31"/>
      <c r="AV97" s="33"/>
    </row>
    <row r="98" spans="1:48" ht="15.75" customHeight="1">
      <c r="A98" s="31"/>
      <c r="B98" s="68"/>
      <c r="C98" s="180"/>
      <c r="D98" s="90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3"/>
      <c r="AU98" s="31"/>
      <c r="AV98" s="33"/>
    </row>
    <row r="99" spans="1:48" ht="15.75" customHeight="1">
      <c r="A99" s="31"/>
      <c r="B99" s="68"/>
      <c r="C99" s="180"/>
      <c r="D99" s="90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3"/>
      <c r="AU99" s="31"/>
      <c r="AV99" s="33"/>
    </row>
    <row r="100" spans="1:48" ht="15.75" customHeight="1">
      <c r="A100" s="31"/>
      <c r="B100" s="68"/>
      <c r="C100" s="180"/>
      <c r="D100" s="90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3"/>
      <c r="AU100" s="31"/>
      <c r="AV100" s="33"/>
    </row>
    <row r="101" spans="1:48" ht="15.75" customHeight="1">
      <c r="A101" s="31"/>
      <c r="B101" s="68"/>
      <c r="C101" s="180"/>
      <c r="D101" s="90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3"/>
      <c r="AU101" s="31"/>
      <c r="AV101" s="33"/>
    </row>
    <row r="102" spans="1:48" ht="15.75" customHeight="1">
      <c r="A102" s="31"/>
      <c r="B102" s="68"/>
      <c r="C102" s="180"/>
      <c r="D102" s="90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3"/>
      <c r="AU102" s="31"/>
      <c r="AV102" s="33"/>
    </row>
    <row r="103" spans="1:48" ht="15.75" customHeight="1">
      <c r="A103" s="31"/>
      <c r="B103" s="68"/>
      <c r="C103" s="180"/>
      <c r="D103" s="90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3"/>
      <c r="AU103" s="31"/>
      <c r="AV103" s="33"/>
    </row>
    <row r="104" spans="1:48" ht="15.75" customHeight="1">
      <c r="A104" s="31"/>
      <c r="B104" s="68"/>
      <c r="C104" s="180"/>
      <c r="D104" s="90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3"/>
      <c r="AU104" s="31"/>
      <c r="AV104" s="33"/>
    </row>
    <row r="105" spans="1:48" ht="15.75" customHeight="1">
      <c r="A105" s="31"/>
      <c r="B105" s="68"/>
      <c r="C105" s="180"/>
      <c r="D105" s="90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3"/>
      <c r="AU105" s="31"/>
      <c r="AV105" s="33"/>
    </row>
    <row r="106" spans="1:48" ht="15.75" customHeight="1">
      <c r="A106" s="31"/>
      <c r="B106" s="68"/>
      <c r="C106" s="180"/>
      <c r="D106" s="90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3"/>
      <c r="AU106" s="31"/>
      <c r="AV106" s="33"/>
    </row>
    <row r="107" spans="1:48" ht="15.75" customHeight="1">
      <c r="A107" s="31"/>
      <c r="B107" s="68"/>
      <c r="C107" s="180"/>
      <c r="D107" s="90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3"/>
      <c r="AU107" s="31"/>
      <c r="AV107" s="33"/>
    </row>
    <row r="108" spans="1:48" ht="15.75" customHeight="1">
      <c r="A108" s="31"/>
      <c r="B108" s="68"/>
      <c r="C108" s="180"/>
      <c r="D108" s="90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3"/>
      <c r="AU108" s="31"/>
      <c r="AV108" s="33"/>
    </row>
    <row r="109" spans="1:48" ht="15.75" customHeight="1">
      <c r="A109" s="31"/>
      <c r="B109" s="68"/>
      <c r="C109" s="180"/>
      <c r="D109" s="90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3"/>
      <c r="AU109" s="31"/>
      <c r="AV109" s="33"/>
    </row>
    <row r="110" spans="1:48" ht="15.75" customHeight="1">
      <c r="A110" s="31"/>
      <c r="B110" s="68"/>
      <c r="C110" s="180"/>
      <c r="D110" s="90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3"/>
      <c r="AU110" s="31"/>
      <c r="AV110" s="33"/>
    </row>
    <row r="111" spans="1:48" ht="15.75" customHeight="1">
      <c r="A111" s="31"/>
      <c r="B111" s="68"/>
      <c r="C111" s="180"/>
      <c r="D111" s="90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3"/>
      <c r="AU111" s="31"/>
      <c r="AV111" s="33"/>
    </row>
    <row r="112" spans="1:48" ht="15.75" customHeight="1">
      <c r="A112" s="31"/>
      <c r="B112" s="68"/>
      <c r="C112" s="180"/>
      <c r="D112" s="90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3"/>
      <c r="AU112" s="31"/>
      <c r="AV112" s="33"/>
    </row>
    <row r="113" spans="1:48" ht="15.75" customHeight="1">
      <c r="A113" s="31"/>
      <c r="B113" s="68"/>
      <c r="C113" s="180"/>
      <c r="D113" s="90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3"/>
      <c r="AU113" s="31"/>
      <c r="AV113" s="33"/>
    </row>
    <row r="114" spans="1:48" ht="15.75" customHeight="1">
      <c r="A114" s="31"/>
      <c r="B114" s="68"/>
      <c r="C114" s="180"/>
      <c r="D114" s="90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3"/>
      <c r="AU114" s="31"/>
      <c r="AV114" s="33"/>
    </row>
    <row r="115" spans="1:48" ht="15.75" customHeight="1">
      <c r="A115" s="31"/>
      <c r="B115" s="68"/>
      <c r="C115" s="180"/>
      <c r="D115" s="90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3"/>
      <c r="AU115" s="31"/>
      <c r="AV115" s="33"/>
    </row>
    <row r="116" spans="1:48" ht="15.75" customHeight="1">
      <c r="A116" s="31"/>
      <c r="B116" s="68"/>
      <c r="C116" s="180"/>
      <c r="D116" s="90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3"/>
      <c r="AU116" s="31"/>
      <c r="AV116" s="33"/>
    </row>
    <row r="117" spans="1:48" ht="15.75" customHeight="1">
      <c r="A117" s="31"/>
      <c r="B117" s="68"/>
      <c r="C117" s="180"/>
      <c r="D117" s="90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3"/>
      <c r="AU117" s="31"/>
      <c r="AV117" s="33"/>
    </row>
    <row r="118" spans="1:48" ht="15.75" customHeight="1">
      <c r="A118" s="31"/>
      <c r="B118" s="68"/>
      <c r="C118" s="180"/>
      <c r="D118" s="90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3"/>
      <c r="AU118" s="31"/>
      <c r="AV118" s="33"/>
    </row>
    <row r="119" spans="1:48" ht="15.75" customHeight="1">
      <c r="A119" s="31"/>
      <c r="B119" s="68"/>
      <c r="C119" s="180"/>
      <c r="D119" s="90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3"/>
      <c r="AU119" s="31"/>
      <c r="AV119" s="33"/>
    </row>
    <row r="120" spans="1:48" ht="15.75" customHeight="1">
      <c r="A120" s="31"/>
      <c r="B120" s="68"/>
      <c r="C120" s="180"/>
      <c r="D120" s="90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3"/>
      <c r="AU120" s="31"/>
      <c r="AV120" s="33"/>
    </row>
    <row r="121" spans="1:48" ht="15.75" customHeight="1">
      <c r="A121" s="31"/>
      <c r="B121" s="68"/>
      <c r="C121" s="180"/>
      <c r="D121" s="90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3"/>
      <c r="AU121" s="31"/>
      <c r="AV121" s="33"/>
    </row>
    <row r="122" spans="1:48" ht="15.75" customHeight="1">
      <c r="A122" s="31"/>
      <c r="B122" s="68"/>
      <c r="C122" s="180"/>
      <c r="D122" s="90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3"/>
      <c r="AU122" s="31"/>
      <c r="AV122" s="33"/>
    </row>
    <row r="123" spans="1:48" ht="15.75" customHeight="1">
      <c r="A123" s="31"/>
      <c r="B123" s="68"/>
      <c r="C123" s="180"/>
      <c r="D123" s="90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3"/>
      <c r="AU123" s="31"/>
      <c r="AV123" s="33"/>
    </row>
    <row r="124" spans="1:48" ht="15.75" customHeight="1">
      <c r="A124" s="31"/>
      <c r="B124" s="68"/>
      <c r="C124" s="180"/>
      <c r="D124" s="90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3"/>
      <c r="AU124" s="31"/>
      <c r="AV124" s="33"/>
    </row>
    <row r="125" spans="1:48" ht="15.75" customHeight="1">
      <c r="A125" s="31"/>
      <c r="B125" s="68"/>
      <c r="C125" s="180"/>
      <c r="D125" s="90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3"/>
      <c r="AU125" s="31"/>
      <c r="AV125" s="33"/>
    </row>
    <row r="126" spans="1:48" ht="15.75" customHeight="1">
      <c r="A126" s="31"/>
      <c r="B126" s="68"/>
      <c r="C126" s="180"/>
      <c r="D126" s="90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3"/>
      <c r="AU126" s="31"/>
      <c r="AV126" s="33"/>
    </row>
    <row r="127" spans="1:48" ht="15.75" customHeight="1">
      <c r="A127" s="31"/>
      <c r="B127" s="68"/>
      <c r="C127" s="180"/>
      <c r="D127" s="90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3"/>
      <c r="AU127" s="31"/>
      <c r="AV127" s="33"/>
    </row>
    <row r="128" spans="1:48" ht="15.75" customHeight="1">
      <c r="A128" s="31"/>
      <c r="B128" s="68"/>
      <c r="C128" s="180"/>
      <c r="D128" s="90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3"/>
      <c r="AU128" s="31"/>
      <c r="AV128" s="33"/>
    </row>
    <row r="129" spans="1:48" ht="15.75" customHeight="1">
      <c r="A129" s="31"/>
      <c r="B129" s="68"/>
      <c r="C129" s="180"/>
      <c r="D129" s="90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3"/>
      <c r="AU129" s="31"/>
      <c r="AV129" s="33"/>
    </row>
    <row r="130" spans="1:48" ht="15.75" customHeight="1">
      <c r="A130" s="31"/>
      <c r="B130" s="68"/>
      <c r="C130" s="180"/>
      <c r="D130" s="90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3"/>
      <c r="AU130" s="31"/>
      <c r="AV130" s="33"/>
    </row>
    <row r="131" spans="1:48" ht="15.75" customHeight="1">
      <c r="A131" s="31"/>
      <c r="B131" s="68"/>
      <c r="C131" s="180"/>
      <c r="D131" s="90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3"/>
      <c r="AU131" s="31"/>
      <c r="AV131" s="33"/>
    </row>
    <row r="132" spans="1:48" ht="15.75" customHeight="1">
      <c r="A132" s="31"/>
      <c r="B132" s="68"/>
      <c r="C132" s="180"/>
      <c r="D132" s="90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3"/>
      <c r="AU132" s="31"/>
      <c r="AV132" s="33"/>
    </row>
    <row r="133" spans="1:48" ht="15.75" customHeight="1">
      <c r="A133" s="31"/>
      <c r="B133" s="68"/>
      <c r="C133" s="180"/>
      <c r="D133" s="90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3"/>
      <c r="AU133" s="31"/>
      <c r="AV133" s="33"/>
    </row>
    <row r="134" spans="1:48" ht="15.75" customHeight="1">
      <c r="A134" s="31"/>
      <c r="B134" s="68"/>
      <c r="C134" s="180"/>
      <c r="D134" s="90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3"/>
      <c r="AU134" s="31"/>
      <c r="AV134" s="33"/>
    </row>
    <row r="135" spans="1:48" ht="15.75" customHeight="1">
      <c r="A135" s="31"/>
      <c r="B135" s="68"/>
      <c r="C135" s="180"/>
      <c r="D135" s="90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3"/>
      <c r="AU135" s="31"/>
      <c r="AV135" s="33"/>
    </row>
    <row r="136" spans="1:48" ht="15.75" customHeight="1">
      <c r="A136" s="31"/>
      <c r="B136" s="68"/>
      <c r="C136" s="180"/>
      <c r="D136" s="90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3"/>
      <c r="AU136" s="31"/>
      <c r="AV136" s="33"/>
    </row>
    <row r="137" spans="1:48" ht="15.75" customHeight="1">
      <c r="A137" s="31"/>
      <c r="B137" s="68"/>
      <c r="C137" s="180"/>
      <c r="D137" s="90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3"/>
      <c r="AU137" s="31"/>
      <c r="AV137" s="33"/>
    </row>
    <row r="138" spans="1:48" ht="15.75" customHeight="1">
      <c r="A138" s="31"/>
      <c r="B138" s="68"/>
      <c r="C138" s="180"/>
      <c r="D138" s="90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3"/>
      <c r="AU138" s="31"/>
      <c r="AV138" s="33"/>
    </row>
    <row r="139" spans="1:48" ht="15.75" customHeight="1">
      <c r="A139" s="31"/>
      <c r="B139" s="68"/>
      <c r="C139" s="180"/>
      <c r="D139" s="90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3"/>
      <c r="AU139" s="31"/>
      <c r="AV139" s="33"/>
    </row>
    <row r="140" spans="1:48" ht="15.75" customHeight="1">
      <c r="A140" s="31"/>
      <c r="B140" s="68"/>
      <c r="C140" s="180"/>
      <c r="D140" s="90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3"/>
      <c r="AU140" s="31"/>
      <c r="AV140" s="33"/>
    </row>
    <row r="141" spans="1:48" ht="15.75" customHeight="1">
      <c r="A141" s="31"/>
      <c r="B141" s="68"/>
      <c r="C141" s="180"/>
      <c r="D141" s="90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3"/>
      <c r="AU141" s="31"/>
      <c r="AV141" s="33"/>
    </row>
    <row r="142" spans="1:48" ht="15.75" customHeight="1">
      <c r="A142" s="31"/>
      <c r="B142" s="68"/>
      <c r="C142" s="180"/>
      <c r="D142" s="90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3"/>
      <c r="AU142" s="31"/>
      <c r="AV142" s="33"/>
    </row>
    <row r="143" spans="1:48" ht="15.75" customHeight="1">
      <c r="A143" s="31"/>
      <c r="B143" s="68"/>
      <c r="C143" s="180"/>
      <c r="D143" s="90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3"/>
      <c r="AU143" s="31"/>
      <c r="AV143" s="33"/>
    </row>
    <row r="144" spans="1:48" ht="15.75" customHeight="1">
      <c r="A144" s="31"/>
      <c r="B144" s="68"/>
      <c r="C144" s="180"/>
      <c r="D144" s="90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3"/>
      <c r="AU144" s="31"/>
      <c r="AV144" s="33"/>
    </row>
    <row r="145" spans="1:48" ht="15.75" customHeight="1">
      <c r="A145" s="31"/>
      <c r="B145" s="68"/>
      <c r="C145" s="180"/>
      <c r="D145" s="90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3"/>
      <c r="AU145" s="31"/>
      <c r="AV145" s="33"/>
    </row>
    <row r="146" spans="1:48" ht="15.75" customHeight="1">
      <c r="A146" s="31"/>
      <c r="B146" s="68"/>
      <c r="C146" s="180"/>
      <c r="D146" s="90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3"/>
      <c r="AU146" s="31"/>
      <c r="AV146" s="33"/>
    </row>
    <row r="147" spans="1:48" ht="15.75" customHeight="1">
      <c r="A147" s="31"/>
      <c r="B147" s="68"/>
      <c r="C147" s="180"/>
      <c r="D147" s="90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3"/>
      <c r="AU147" s="31"/>
      <c r="AV147" s="33"/>
    </row>
    <row r="148" spans="1:48" ht="15.75" customHeight="1">
      <c r="A148" s="31"/>
      <c r="B148" s="68"/>
      <c r="C148" s="180"/>
      <c r="D148" s="90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3"/>
      <c r="AU148" s="31"/>
      <c r="AV148" s="33"/>
    </row>
    <row r="149" spans="1:48" ht="15.75" customHeight="1">
      <c r="A149" s="31"/>
      <c r="B149" s="68"/>
      <c r="C149" s="180"/>
      <c r="D149" s="90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3"/>
      <c r="AU149" s="31"/>
      <c r="AV149" s="33"/>
    </row>
    <row r="150" spans="1:48" ht="15.75" customHeight="1">
      <c r="A150" s="31"/>
      <c r="B150" s="68"/>
      <c r="C150" s="180"/>
      <c r="D150" s="90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3"/>
      <c r="AU150" s="31"/>
      <c r="AV150" s="33"/>
    </row>
    <row r="151" spans="1:48" ht="15.75" customHeight="1">
      <c r="A151" s="31"/>
      <c r="B151" s="68"/>
      <c r="C151" s="180"/>
      <c r="D151" s="90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3"/>
      <c r="AU151" s="31"/>
      <c r="AV151" s="33"/>
    </row>
    <row r="152" spans="1:48" ht="15.75" customHeight="1">
      <c r="A152" s="31"/>
      <c r="B152" s="68"/>
      <c r="C152" s="180"/>
      <c r="D152" s="90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3"/>
      <c r="AU152" s="31"/>
      <c r="AV152" s="33"/>
    </row>
    <row r="153" spans="1:48" ht="15.75" customHeight="1">
      <c r="A153" s="31"/>
      <c r="B153" s="68"/>
      <c r="C153" s="180"/>
      <c r="D153" s="90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3"/>
      <c r="AU153" s="31"/>
      <c r="AV153" s="33"/>
    </row>
    <row r="154" spans="1:48" ht="15.75" customHeight="1">
      <c r="A154" s="31"/>
      <c r="B154" s="68"/>
      <c r="C154" s="180"/>
      <c r="D154" s="90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3"/>
      <c r="AU154" s="31"/>
      <c r="AV154" s="33"/>
    </row>
    <row r="155" spans="1:48" ht="15.75" customHeight="1">
      <c r="A155" s="31"/>
      <c r="B155" s="68"/>
      <c r="C155" s="180"/>
      <c r="D155" s="90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3"/>
      <c r="AU155" s="31"/>
      <c r="AV155" s="33"/>
    </row>
    <row r="156" spans="1:48" ht="15.75" customHeight="1">
      <c r="A156" s="31"/>
      <c r="B156" s="68"/>
      <c r="C156" s="180"/>
      <c r="D156" s="90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3"/>
      <c r="AU156" s="31"/>
      <c r="AV156" s="33"/>
    </row>
    <row r="157" spans="1:48" ht="15.75" customHeight="1">
      <c r="A157" s="31"/>
      <c r="B157" s="68"/>
      <c r="C157" s="180"/>
      <c r="D157" s="90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3"/>
      <c r="AU157" s="31"/>
      <c r="AV157" s="33"/>
    </row>
    <row r="158" spans="1:48" ht="15.75" customHeight="1">
      <c r="A158" s="31"/>
      <c r="B158" s="68"/>
      <c r="C158" s="180"/>
      <c r="D158" s="90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3"/>
      <c r="AU158" s="31"/>
      <c r="AV158" s="33"/>
    </row>
    <row r="159" spans="1:48" ht="15.75" customHeight="1">
      <c r="A159" s="31"/>
      <c r="B159" s="68"/>
      <c r="C159" s="180"/>
      <c r="D159" s="90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3"/>
      <c r="AU159" s="31"/>
      <c r="AV159" s="33"/>
    </row>
    <row r="160" spans="1:48" ht="15.75" customHeight="1">
      <c r="A160" s="31"/>
      <c r="B160" s="68"/>
      <c r="C160" s="180"/>
      <c r="D160" s="90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3"/>
      <c r="AU160" s="31"/>
      <c r="AV160" s="33"/>
    </row>
    <row r="161" spans="1:48" ht="15.75" customHeight="1">
      <c r="A161" s="31"/>
      <c r="B161" s="68"/>
      <c r="C161" s="180"/>
      <c r="D161" s="90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3"/>
      <c r="AU161" s="31"/>
      <c r="AV161" s="33"/>
    </row>
    <row r="162" spans="1:48" ht="15.75" customHeight="1">
      <c r="A162" s="31"/>
      <c r="B162" s="68"/>
      <c r="C162" s="180"/>
      <c r="D162" s="90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3"/>
      <c r="AU162" s="31"/>
      <c r="AV162" s="33"/>
    </row>
    <row r="163" spans="1:48" ht="15.75" customHeight="1">
      <c r="A163" s="31"/>
      <c r="B163" s="68"/>
      <c r="C163" s="180"/>
      <c r="D163" s="90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3"/>
      <c r="AU163" s="31"/>
      <c r="AV163" s="33"/>
    </row>
    <row r="164" spans="1:48" ht="15.75" customHeight="1">
      <c r="A164" s="31"/>
      <c r="B164" s="68"/>
      <c r="C164" s="180"/>
      <c r="D164" s="90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3"/>
      <c r="AU164" s="31"/>
      <c r="AV164" s="33"/>
    </row>
    <row r="165" spans="1:48" ht="15.75" customHeight="1">
      <c r="A165" s="31"/>
      <c r="B165" s="68"/>
      <c r="C165" s="180"/>
      <c r="D165" s="90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3"/>
      <c r="AU165" s="31"/>
      <c r="AV165" s="33"/>
    </row>
    <row r="166" spans="1:48" ht="15.75" customHeight="1">
      <c r="A166" s="31"/>
      <c r="B166" s="68"/>
      <c r="C166" s="180"/>
      <c r="D166" s="90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3"/>
      <c r="AU166" s="31"/>
      <c r="AV166" s="33"/>
    </row>
    <row r="167" spans="1:48" ht="15.75" customHeight="1">
      <c r="A167" s="31"/>
      <c r="B167" s="68"/>
      <c r="C167" s="180"/>
      <c r="D167" s="90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3"/>
      <c r="AU167" s="31"/>
      <c r="AV167" s="33"/>
    </row>
    <row r="168" spans="1:48" ht="15.75" customHeight="1">
      <c r="A168" s="31"/>
      <c r="B168" s="68"/>
      <c r="C168" s="180"/>
      <c r="D168" s="90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3"/>
      <c r="AU168" s="31"/>
      <c r="AV168" s="33"/>
    </row>
    <row r="169" spans="1:48" ht="15.75" customHeight="1">
      <c r="A169" s="31"/>
      <c r="B169" s="68"/>
      <c r="C169" s="180"/>
      <c r="D169" s="90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3"/>
      <c r="AU169" s="31"/>
      <c r="AV169" s="33"/>
    </row>
    <row r="170" spans="1:48" ht="15.75" customHeight="1">
      <c r="A170" s="31"/>
      <c r="B170" s="68"/>
      <c r="C170" s="180"/>
      <c r="D170" s="90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3"/>
      <c r="AU170" s="31"/>
      <c r="AV170" s="33"/>
    </row>
    <row r="171" spans="1:48" ht="15.75" customHeight="1">
      <c r="A171" s="31"/>
      <c r="B171" s="68"/>
      <c r="C171" s="180"/>
      <c r="D171" s="90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3"/>
      <c r="AU171" s="31"/>
      <c r="AV171" s="33"/>
    </row>
    <row r="172" spans="1:48" ht="15.75" customHeight="1">
      <c r="A172" s="31"/>
      <c r="B172" s="68"/>
      <c r="C172" s="180"/>
      <c r="D172" s="90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3"/>
      <c r="AU172" s="31"/>
      <c r="AV172" s="33"/>
    </row>
    <row r="173" spans="1:48" ht="15.75" customHeight="1">
      <c r="A173" s="31"/>
      <c r="B173" s="68"/>
      <c r="C173" s="180"/>
      <c r="D173" s="90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3"/>
      <c r="AU173" s="31"/>
      <c r="AV173" s="33"/>
    </row>
    <row r="174" spans="1:48" ht="15.75" customHeight="1">
      <c r="A174" s="31"/>
      <c r="B174" s="68"/>
      <c r="C174" s="180"/>
      <c r="D174" s="90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3"/>
      <c r="AU174" s="31"/>
      <c r="AV174" s="33"/>
    </row>
    <row r="175" spans="1:48" ht="15.75" customHeight="1">
      <c r="A175" s="31"/>
      <c r="B175" s="68"/>
      <c r="C175" s="180"/>
      <c r="D175" s="90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3"/>
      <c r="AU175" s="31"/>
      <c r="AV175" s="33"/>
    </row>
    <row r="176" spans="1:48" ht="15.75" customHeight="1">
      <c r="A176" s="31"/>
      <c r="B176" s="68"/>
      <c r="C176" s="180"/>
      <c r="D176" s="90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3"/>
      <c r="AU176" s="31"/>
      <c r="AV176" s="33"/>
    </row>
    <row r="177" spans="1:48" ht="15.75" customHeight="1">
      <c r="A177" s="31"/>
      <c r="B177" s="68"/>
      <c r="C177" s="180"/>
      <c r="D177" s="90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3"/>
      <c r="AU177" s="31"/>
      <c r="AV177" s="33"/>
    </row>
    <row r="178" spans="1:48" ht="15.75" customHeight="1">
      <c r="A178" s="31"/>
      <c r="B178" s="68"/>
      <c r="C178" s="180"/>
      <c r="D178" s="90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3"/>
      <c r="AU178" s="31"/>
      <c r="AV178" s="33"/>
    </row>
    <row r="179" spans="1:48" ht="15.75" customHeight="1">
      <c r="A179" s="31"/>
      <c r="B179" s="68"/>
      <c r="C179" s="180"/>
      <c r="D179" s="90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3"/>
      <c r="AU179" s="31"/>
      <c r="AV179" s="33"/>
    </row>
    <row r="180" spans="1:48" ht="15.75" customHeight="1">
      <c r="A180" s="31"/>
      <c r="B180" s="68"/>
      <c r="C180" s="180"/>
      <c r="D180" s="90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3"/>
      <c r="AU180" s="31"/>
      <c r="AV180" s="33"/>
    </row>
    <row r="181" spans="1:48" ht="15.75" customHeight="1">
      <c r="A181" s="31"/>
      <c r="B181" s="68"/>
      <c r="C181" s="180"/>
      <c r="D181" s="90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3"/>
      <c r="AU181" s="31"/>
      <c r="AV181" s="33"/>
    </row>
    <row r="182" spans="1:48" ht="15.75" customHeight="1">
      <c r="A182" s="31"/>
      <c r="B182" s="68"/>
      <c r="C182" s="180"/>
      <c r="D182" s="90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3"/>
      <c r="AU182" s="31"/>
      <c r="AV182" s="33"/>
    </row>
    <row r="183" spans="1:48" ht="15.75" customHeight="1">
      <c r="A183" s="31"/>
      <c r="B183" s="68"/>
      <c r="C183" s="180"/>
      <c r="D183" s="90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3"/>
      <c r="AU183" s="31"/>
      <c r="AV183" s="33"/>
    </row>
    <row r="184" spans="1:48" ht="15.75" customHeight="1">
      <c r="A184" s="31"/>
      <c r="B184" s="68"/>
      <c r="C184" s="180"/>
      <c r="D184" s="90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3"/>
      <c r="AU184" s="31"/>
      <c r="AV184" s="33"/>
    </row>
    <row r="185" spans="1:48" ht="15.75" customHeight="1">
      <c r="A185" s="31"/>
      <c r="B185" s="68"/>
      <c r="C185" s="180"/>
      <c r="D185" s="90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3"/>
      <c r="AU185" s="31"/>
      <c r="AV185" s="33"/>
    </row>
    <row r="186" spans="1:48" ht="15.75" customHeight="1">
      <c r="A186" s="31"/>
      <c r="B186" s="68"/>
      <c r="C186" s="180"/>
      <c r="D186" s="90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3"/>
      <c r="AU186" s="31"/>
      <c r="AV186" s="33"/>
    </row>
    <row r="187" spans="1:48" ht="15.75" customHeight="1">
      <c r="A187" s="31"/>
      <c r="B187" s="68"/>
      <c r="C187" s="180"/>
      <c r="D187" s="90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3"/>
      <c r="AU187" s="31"/>
      <c r="AV187" s="33"/>
    </row>
    <row r="188" spans="1:48" ht="15.75" customHeight="1">
      <c r="A188" s="31"/>
      <c r="B188" s="68"/>
      <c r="C188" s="180"/>
      <c r="D188" s="90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3"/>
      <c r="AU188" s="31"/>
      <c r="AV188" s="33"/>
    </row>
    <row r="189" spans="1:48" ht="15.75" customHeight="1">
      <c r="A189" s="31"/>
      <c r="B189" s="68"/>
      <c r="C189" s="180"/>
      <c r="D189" s="90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3"/>
      <c r="AU189" s="31"/>
      <c r="AV189" s="33"/>
    </row>
    <row r="190" spans="1:48" ht="15.75" customHeight="1">
      <c r="A190" s="31"/>
      <c r="B190" s="68"/>
      <c r="C190" s="180"/>
      <c r="D190" s="90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3"/>
      <c r="AU190" s="31"/>
      <c r="AV190" s="33"/>
    </row>
    <row r="191" spans="1:48" ht="15.75" customHeight="1">
      <c r="A191" s="31"/>
      <c r="B191" s="68"/>
      <c r="C191" s="180"/>
      <c r="D191" s="90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3"/>
      <c r="AU191" s="31"/>
      <c r="AV191" s="33"/>
    </row>
    <row r="192" spans="1:48" ht="15.75" customHeight="1">
      <c r="A192" s="31"/>
      <c r="B192" s="68"/>
      <c r="C192" s="180"/>
      <c r="D192" s="90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3"/>
      <c r="AU192" s="31"/>
      <c r="AV192" s="33"/>
    </row>
    <row r="193" spans="1:48" ht="15.75" customHeight="1">
      <c r="A193" s="31"/>
      <c r="B193" s="68"/>
      <c r="C193" s="180"/>
      <c r="D193" s="90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3"/>
      <c r="AU193" s="31"/>
      <c r="AV193" s="33"/>
    </row>
    <row r="194" spans="1:48" ht="15.75" customHeight="1">
      <c r="A194" s="31"/>
      <c r="B194" s="68"/>
      <c r="C194" s="180"/>
      <c r="D194" s="90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3"/>
      <c r="AU194" s="31"/>
      <c r="AV194" s="33"/>
    </row>
    <row r="195" spans="1:48" ht="15.75" customHeight="1">
      <c r="A195" s="31"/>
      <c r="B195" s="68"/>
      <c r="C195" s="180"/>
      <c r="D195" s="90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3"/>
      <c r="AU195" s="31"/>
      <c r="AV195" s="33"/>
    </row>
    <row r="196" spans="1:48" ht="15.75" customHeight="1">
      <c r="A196" s="31"/>
      <c r="B196" s="68"/>
      <c r="C196" s="180"/>
      <c r="D196" s="90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3"/>
      <c r="AU196" s="31"/>
      <c r="AV196" s="33"/>
    </row>
    <row r="197" spans="1:48" ht="15.75" customHeight="1">
      <c r="A197" s="31"/>
      <c r="B197" s="68"/>
      <c r="C197" s="180"/>
      <c r="D197" s="90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3"/>
      <c r="AU197" s="31"/>
      <c r="AV197" s="33"/>
    </row>
    <row r="198" spans="1:48" ht="15.75" customHeight="1">
      <c r="A198" s="31"/>
      <c r="B198" s="68"/>
      <c r="C198" s="180"/>
      <c r="D198" s="90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3"/>
      <c r="AU198" s="31"/>
      <c r="AV198" s="33"/>
    </row>
    <row r="199" spans="1:48" ht="15.75" customHeight="1">
      <c r="A199" s="31"/>
      <c r="B199" s="68"/>
      <c r="C199" s="180"/>
      <c r="D199" s="90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3"/>
      <c r="AU199" s="31"/>
      <c r="AV199" s="33"/>
    </row>
    <row r="200" spans="1:48" ht="15.75" customHeight="1">
      <c r="A200" s="31"/>
      <c r="B200" s="68"/>
      <c r="C200" s="180"/>
      <c r="D200" s="90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3"/>
      <c r="AU200" s="31"/>
      <c r="AV200" s="33"/>
    </row>
    <row r="201" spans="1:48" ht="15.75" customHeight="1">
      <c r="A201" s="31"/>
      <c r="B201" s="68"/>
      <c r="C201" s="180"/>
      <c r="D201" s="90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3"/>
      <c r="AU201" s="31"/>
      <c r="AV201" s="33"/>
    </row>
    <row r="202" spans="1:48" ht="15.75" customHeight="1">
      <c r="A202" s="31"/>
      <c r="B202" s="68"/>
      <c r="C202" s="180"/>
      <c r="D202" s="90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3"/>
      <c r="AU202" s="31"/>
      <c r="AV202" s="33"/>
    </row>
    <row r="203" spans="1:48" ht="15.75" customHeight="1">
      <c r="A203" s="31"/>
      <c r="B203" s="68"/>
      <c r="C203" s="180"/>
      <c r="D203" s="90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3"/>
      <c r="AU203" s="31"/>
      <c r="AV203" s="33"/>
    </row>
    <row r="204" spans="1:48" ht="15.75" customHeight="1">
      <c r="A204" s="31"/>
      <c r="B204" s="68"/>
      <c r="C204" s="180"/>
      <c r="D204" s="90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3"/>
      <c r="AU204" s="31"/>
      <c r="AV204" s="33"/>
    </row>
    <row r="205" spans="1:48" ht="15.75" customHeight="1">
      <c r="A205" s="31"/>
      <c r="B205" s="68"/>
      <c r="C205" s="180"/>
      <c r="D205" s="90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3"/>
      <c r="AU205" s="31"/>
      <c r="AV205" s="33"/>
    </row>
    <row r="206" spans="1:48" ht="15.75" customHeight="1">
      <c r="A206" s="31"/>
      <c r="B206" s="68"/>
      <c r="C206" s="180"/>
      <c r="D206" s="90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3"/>
      <c r="AU206" s="31"/>
      <c r="AV206" s="33"/>
    </row>
    <row r="207" spans="1:48" ht="15.75" customHeight="1">
      <c r="A207" s="31"/>
      <c r="B207" s="68"/>
      <c r="C207" s="180"/>
      <c r="D207" s="90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3"/>
      <c r="AU207" s="31"/>
      <c r="AV207" s="33"/>
    </row>
    <row r="208" spans="1:48" ht="15.75" customHeight="1">
      <c r="A208" s="31"/>
      <c r="B208" s="68"/>
      <c r="C208" s="180"/>
      <c r="D208" s="90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3"/>
      <c r="AU208" s="31"/>
      <c r="AV208" s="33"/>
    </row>
    <row r="209" spans="1:48" ht="15.75" customHeight="1">
      <c r="A209" s="31"/>
      <c r="B209" s="68"/>
      <c r="C209" s="180"/>
      <c r="D209" s="90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3"/>
      <c r="AU209" s="31"/>
      <c r="AV209" s="33"/>
    </row>
    <row r="210" spans="1:48" ht="15.75" customHeight="1">
      <c r="A210" s="31"/>
      <c r="B210" s="68"/>
      <c r="C210" s="180"/>
      <c r="D210" s="90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3"/>
      <c r="AU210" s="31"/>
      <c r="AV210" s="33"/>
    </row>
    <row r="211" spans="1:48" ht="15.75" customHeight="1">
      <c r="A211" s="31"/>
      <c r="B211" s="68"/>
      <c r="C211" s="180"/>
      <c r="D211" s="90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3"/>
      <c r="AU211" s="31"/>
      <c r="AV211" s="33"/>
    </row>
    <row r="212" spans="1:48" ht="15.75" customHeight="1">
      <c r="A212" s="31"/>
      <c r="B212" s="68"/>
      <c r="C212" s="180"/>
      <c r="D212" s="90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3"/>
      <c r="AU212" s="31"/>
      <c r="AV212" s="33"/>
    </row>
    <row r="213" spans="1:48" ht="15.75" customHeight="1">
      <c r="A213" s="31"/>
      <c r="B213" s="68"/>
      <c r="C213" s="180"/>
      <c r="D213" s="90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3"/>
      <c r="AU213" s="31"/>
      <c r="AV213" s="33"/>
    </row>
    <row r="214" spans="1:48" ht="15.75" customHeight="1">
      <c r="A214" s="31"/>
      <c r="B214" s="68"/>
      <c r="C214" s="180"/>
      <c r="D214" s="90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3"/>
      <c r="AU214" s="31"/>
      <c r="AV214" s="33"/>
    </row>
    <row r="215" spans="1:48" ht="15.75" customHeight="1">
      <c r="A215" s="31"/>
      <c r="B215" s="68"/>
      <c r="C215" s="180"/>
      <c r="D215" s="90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3"/>
      <c r="AU215" s="31"/>
      <c r="AV215" s="33"/>
    </row>
    <row r="216" spans="1:48" ht="15.75" customHeight="1">
      <c r="A216" s="31"/>
      <c r="B216" s="68"/>
      <c r="C216" s="180"/>
      <c r="D216" s="90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3"/>
      <c r="AU216" s="31"/>
      <c r="AV216" s="33"/>
    </row>
    <row r="217" spans="1:48" ht="15.75" customHeight="1">
      <c r="A217" s="31"/>
      <c r="B217" s="68"/>
      <c r="C217" s="180"/>
      <c r="D217" s="90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3"/>
      <c r="AU217" s="31"/>
      <c r="AV217" s="33"/>
    </row>
    <row r="218" spans="1:48" ht="15.75" customHeight="1">
      <c r="A218" s="31"/>
      <c r="B218" s="68"/>
      <c r="C218" s="180"/>
      <c r="D218" s="90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3"/>
      <c r="AU218" s="31"/>
      <c r="AV218" s="33"/>
    </row>
    <row r="219" spans="1:48" ht="15.75" customHeight="1">
      <c r="A219" s="31"/>
      <c r="B219" s="68"/>
      <c r="C219" s="180"/>
      <c r="D219" s="90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3"/>
      <c r="AU219" s="31"/>
      <c r="AV219" s="33"/>
    </row>
    <row r="220" spans="1:48" ht="15.75" customHeight="1">
      <c r="A220" s="31"/>
      <c r="B220" s="68"/>
      <c r="C220" s="180"/>
      <c r="D220" s="90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3"/>
      <c r="AU220" s="31"/>
      <c r="AV220" s="33"/>
    </row>
    <row r="221" spans="1:48" ht="15.75" customHeight="1">
      <c r="A221" s="31"/>
      <c r="B221" s="68"/>
      <c r="C221" s="180"/>
      <c r="D221" s="90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3"/>
      <c r="AU221" s="31"/>
      <c r="AV221" s="33"/>
    </row>
    <row r="222" spans="1:48" ht="15.75" customHeight="1">
      <c r="A222" s="31"/>
      <c r="B222" s="68"/>
      <c r="C222" s="180"/>
      <c r="D222" s="90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3"/>
      <c r="AU222" s="31"/>
      <c r="AV222" s="33"/>
    </row>
    <row r="223" spans="1:48" ht="15.75" customHeight="1">
      <c r="A223" s="31"/>
      <c r="B223" s="68"/>
      <c r="C223" s="180"/>
      <c r="D223" s="90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3"/>
      <c r="AU223" s="31"/>
      <c r="AV223" s="33"/>
    </row>
    <row r="224" spans="1:48" ht="15.75" customHeight="1">
      <c r="A224" s="31"/>
      <c r="B224" s="68"/>
      <c r="C224" s="180"/>
      <c r="D224" s="90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3"/>
      <c r="AU224" s="31"/>
      <c r="AV224" s="33"/>
    </row>
    <row r="225" spans="1:48" ht="15.75" customHeight="1">
      <c r="A225" s="31"/>
      <c r="B225" s="68"/>
      <c r="C225" s="180"/>
      <c r="D225" s="90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3"/>
      <c r="AU225" s="31"/>
      <c r="AV225" s="33"/>
    </row>
    <row r="226" spans="1:48" ht="15.75" customHeight="1">
      <c r="A226" s="31"/>
      <c r="B226" s="68"/>
      <c r="C226" s="180"/>
      <c r="D226" s="90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3"/>
      <c r="AU226" s="31"/>
      <c r="AV226" s="33"/>
    </row>
    <row r="227" spans="1:48" ht="15.75" customHeight="1">
      <c r="A227" s="31"/>
      <c r="B227" s="68"/>
      <c r="C227" s="180"/>
      <c r="D227" s="90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3"/>
      <c r="AU227" s="31"/>
      <c r="AV227" s="33"/>
    </row>
    <row r="228" spans="1:48" ht="15.75" customHeight="1">
      <c r="A228" s="31"/>
      <c r="B228" s="68"/>
      <c r="C228" s="180"/>
      <c r="D228" s="90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3"/>
      <c r="AU228" s="31"/>
      <c r="AV228" s="33"/>
    </row>
    <row r="229" spans="1:48" ht="15.75" customHeight="1">
      <c r="A229" s="31"/>
      <c r="B229" s="68"/>
      <c r="C229" s="180"/>
      <c r="D229" s="90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3"/>
      <c r="AU229" s="31"/>
      <c r="AV229" s="33"/>
    </row>
    <row r="230" spans="1:48" ht="15.75" customHeight="1">
      <c r="A230" s="31"/>
      <c r="B230" s="68"/>
      <c r="C230" s="180"/>
      <c r="D230" s="90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3"/>
      <c r="AU230" s="31"/>
      <c r="AV230" s="33"/>
    </row>
    <row r="231" spans="1:48" ht="15.75" customHeight="1">
      <c r="A231" s="31"/>
      <c r="B231" s="68"/>
      <c r="C231" s="180"/>
      <c r="D231" s="90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3"/>
      <c r="AU231" s="31"/>
      <c r="AV231" s="33"/>
    </row>
    <row r="232" spans="1:48" ht="15.75" customHeight="1">
      <c r="A232" s="31"/>
      <c r="B232" s="68"/>
      <c r="C232" s="180"/>
      <c r="D232" s="90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3"/>
      <c r="AU232" s="31"/>
      <c r="AV232" s="33"/>
    </row>
    <row r="233" spans="1:48" ht="15.75" customHeight="1">
      <c r="A233" s="31"/>
      <c r="B233" s="68"/>
      <c r="C233" s="180"/>
      <c r="D233" s="90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3"/>
      <c r="AU233" s="31"/>
      <c r="AV233" s="33"/>
    </row>
    <row r="234" spans="1:48" ht="15.75" customHeight="1">
      <c r="A234" s="31"/>
      <c r="B234" s="68"/>
      <c r="C234" s="180"/>
      <c r="D234" s="90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3"/>
      <c r="AU234" s="31"/>
      <c r="AV234" s="33"/>
    </row>
    <row r="235" spans="1:48" ht="15.75" customHeight="1">
      <c r="A235" s="31"/>
      <c r="B235" s="68"/>
      <c r="C235" s="180"/>
      <c r="D235" s="90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3"/>
      <c r="AU235" s="31"/>
      <c r="AV235" s="33"/>
    </row>
    <row r="236" spans="1:48" ht="15.75" customHeight="1">
      <c r="A236" s="31"/>
      <c r="B236" s="68"/>
      <c r="C236" s="180"/>
      <c r="D236" s="90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3"/>
      <c r="AU236" s="31"/>
      <c r="AV236" s="33"/>
    </row>
    <row r="237" spans="1:48" ht="15.75" customHeight="1">
      <c r="A237" s="31"/>
      <c r="B237" s="68"/>
      <c r="C237" s="180"/>
      <c r="D237" s="90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3"/>
      <c r="AU237" s="31"/>
      <c r="AV237" s="33"/>
    </row>
    <row r="238" spans="1:48" ht="15.75" customHeight="1">
      <c r="A238" s="31"/>
      <c r="B238" s="68"/>
      <c r="C238" s="180"/>
      <c r="D238" s="90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3"/>
      <c r="AU238" s="31"/>
      <c r="AV238" s="33"/>
    </row>
    <row r="239" spans="1:48" ht="15.75" customHeight="1">
      <c r="A239" s="31"/>
      <c r="B239" s="68"/>
      <c r="C239" s="180"/>
      <c r="D239" s="90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3"/>
      <c r="AU239" s="31"/>
      <c r="AV239" s="33"/>
    </row>
    <row r="240" spans="1:48" ht="15.75" customHeight="1">
      <c r="A240" s="31"/>
      <c r="B240" s="68"/>
      <c r="C240" s="180"/>
      <c r="D240" s="90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3"/>
      <c r="AU240" s="31"/>
      <c r="AV240" s="33"/>
    </row>
    <row r="241" spans="1:48" ht="15.75" customHeight="1">
      <c r="A241" s="31"/>
      <c r="B241" s="68"/>
      <c r="C241" s="180"/>
      <c r="D241" s="90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3"/>
      <c r="AU241" s="31"/>
      <c r="AV241" s="33"/>
    </row>
    <row r="242" spans="1:48" ht="15.75" customHeight="1">
      <c r="A242" s="31"/>
      <c r="B242" s="68"/>
      <c r="C242" s="180"/>
      <c r="D242" s="90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3"/>
      <c r="AU242" s="31"/>
      <c r="AV242" s="33"/>
    </row>
    <row r="243" spans="1:48" ht="15.75" customHeight="1">
      <c r="A243" s="31"/>
      <c r="B243" s="68"/>
      <c r="C243" s="180"/>
      <c r="D243" s="90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3"/>
      <c r="AU243" s="31"/>
      <c r="AV243" s="33"/>
    </row>
    <row r="244" spans="1:48" ht="15.75" customHeight="1">
      <c r="A244" s="31"/>
      <c r="B244" s="68"/>
      <c r="C244" s="180"/>
      <c r="D244" s="90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3"/>
      <c r="AU244" s="31"/>
      <c r="AV244" s="33"/>
    </row>
    <row r="245" spans="1:48" ht="15.75" customHeight="1">
      <c r="A245" s="31"/>
      <c r="B245" s="68"/>
      <c r="C245" s="180"/>
      <c r="D245" s="90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3"/>
      <c r="AU245" s="31"/>
      <c r="AV245" s="33"/>
    </row>
    <row r="246" spans="1:48" ht="15.75" customHeight="1">
      <c r="A246" s="31"/>
      <c r="B246" s="68"/>
      <c r="C246" s="180"/>
      <c r="D246" s="90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3"/>
      <c r="AU246" s="31"/>
      <c r="AV246" s="33"/>
    </row>
    <row r="247" spans="1:48" ht="15.75" customHeight="1">
      <c r="A247" s="31"/>
      <c r="B247" s="68"/>
      <c r="C247" s="180"/>
      <c r="D247" s="90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3"/>
      <c r="AU247" s="31"/>
      <c r="AV247" s="33"/>
    </row>
    <row r="248" spans="1:48" ht="15.75" customHeight="1"/>
    <row r="249" spans="1:48" ht="15.75" customHeight="1"/>
    <row r="250" spans="1:48" ht="15.75" customHeight="1"/>
    <row r="251" spans="1:48" ht="15.75" customHeight="1"/>
    <row r="252" spans="1:48" ht="15.75" customHeight="1"/>
    <row r="253" spans="1:48" ht="15.75" customHeight="1"/>
    <row r="254" spans="1:48" ht="15.75" customHeight="1"/>
    <row r="255" spans="1:48" ht="15.75" customHeight="1"/>
    <row r="256" spans="1:4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E40:L44"/>
    <mergeCell ref="M40:T44"/>
    <mergeCell ref="Z40:AG44"/>
    <mergeCell ref="B3:B4"/>
    <mergeCell ref="E3:L3"/>
    <mergeCell ref="M3:T3"/>
    <mergeCell ref="U3:Y3"/>
    <mergeCell ref="Z3:AG3"/>
    <mergeCell ref="AH3:AL3"/>
    <mergeCell ref="AM3:AT3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6114-D9B9-E947-B457-2E4798BA9709}">
  <dimension ref="A1:AW1000"/>
  <sheetViews>
    <sheetView zoomScale="94" workbookViewId="0">
      <selection activeCell="C8" sqref="C8"/>
    </sheetView>
  </sheetViews>
  <sheetFormatPr baseColWidth="10" defaultColWidth="10.28515625" defaultRowHeight="15" customHeight="1"/>
  <cols>
    <col min="1" max="2" width="9.28515625" style="5" customWidth="1"/>
    <col min="3" max="3" width="13.28515625" style="186" customWidth="1"/>
    <col min="4" max="4" width="4.7109375" style="187" customWidth="1"/>
    <col min="5" max="5" width="3.42578125" style="5" customWidth="1"/>
    <col min="6" max="7" width="6.28515625" style="5" customWidth="1"/>
    <col min="8" max="8" width="9.7109375" style="5" customWidth="1"/>
    <col min="9" max="9" width="6.28515625" style="5" customWidth="1"/>
    <col min="10" max="10" width="6.85546875" style="5" customWidth="1"/>
    <col min="11" max="11" width="8.28515625" style="5" customWidth="1"/>
    <col min="12" max="12" width="6.28515625" style="5" customWidth="1"/>
    <col min="13" max="13" width="3.28515625" style="5" customWidth="1"/>
    <col min="14" max="14" width="6.28515625" style="5" customWidth="1"/>
    <col min="15" max="15" width="7.85546875" style="5" bestFit="1" customWidth="1"/>
    <col min="16" max="16" width="9.7109375" style="5" customWidth="1"/>
    <col min="17" max="18" width="6.28515625" style="5" customWidth="1"/>
    <col min="19" max="19" width="10.28515625" style="5"/>
    <col min="20" max="20" width="6.28515625" style="5" customWidth="1"/>
    <col min="21" max="21" width="6.5703125" style="5" bestFit="1" customWidth="1"/>
    <col min="22" max="22" width="7.85546875" style="5" bestFit="1" customWidth="1"/>
    <col min="23" max="23" width="6.28515625" style="5" customWidth="1"/>
    <col min="24" max="24" width="7" style="5" customWidth="1"/>
    <col min="25" max="25" width="6.28515625" style="5" customWidth="1"/>
    <col min="26" max="26" width="3.85546875" style="5" customWidth="1"/>
    <col min="27" max="31" width="6.28515625" style="5" customWidth="1"/>
    <col min="32" max="32" width="8.28515625" style="5" customWidth="1"/>
    <col min="33" max="33" width="7.28515625" style="5" customWidth="1"/>
    <col min="34" max="36" width="6.28515625" style="5" customWidth="1"/>
    <col min="37" max="37" width="11.28515625" style="5" customWidth="1"/>
    <col min="38" max="48" width="9.28515625" style="5" customWidth="1"/>
    <col min="49" max="16384" width="10.28515625" style="5"/>
  </cols>
  <sheetData>
    <row r="1" spans="1:49" s="5" customFormat="1" ht="13.5" customHeight="1">
      <c r="A1" s="1" t="s">
        <v>0</v>
      </c>
      <c r="B1" s="2"/>
      <c r="C1" s="12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4"/>
      <c r="AU1" s="3"/>
      <c r="AV1" s="4"/>
    </row>
    <row r="2" spans="1:49" s="5" customFormat="1" ht="13.5" customHeight="1">
      <c r="A2" s="124">
        <v>2024</v>
      </c>
      <c r="B2" s="125">
        <v>11</v>
      </c>
      <c r="C2" s="126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 t="s">
        <v>1</v>
      </c>
      <c r="Z2" s="8"/>
      <c r="AA2" s="8"/>
      <c r="AB2" s="8"/>
      <c r="AC2" s="8"/>
      <c r="AD2" s="8"/>
      <c r="AE2" s="8"/>
      <c r="AF2" s="3"/>
      <c r="AG2" s="3"/>
      <c r="AH2" s="3"/>
      <c r="AI2" s="3"/>
      <c r="AJ2" s="3"/>
      <c r="AK2" s="3"/>
      <c r="AL2" s="3" t="s">
        <v>1</v>
      </c>
      <c r="AM2" s="3"/>
      <c r="AN2" s="3"/>
      <c r="AO2" s="3"/>
      <c r="AP2" s="3"/>
      <c r="AQ2" s="3"/>
      <c r="AR2" s="3"/>
      <c r="AS2" s="3"/>
      <c r="AT2" s="4"/>
      <c r="AU2" s="3"/>
      <c r="AV2" s="4"/>
    </row>
    <row r="3" spans="1:49" s="5" customFormat="1" ht="33" customHeight="1">
      <c r="A3" s="6"/>
      <c r="B3" s="9" t="s">
        <v>2</v>
      </c>
      <c r="C3" s="127"/>
      <c r="D3" s="128"/>
      <c r="E3" s="129" t="s">
        <v>3</v>
      </c>
      <c r="F3" s="10"/>
      <c r="G3" s="10"/>
      <c r="H3" s="10"/>
      <c r="I3" s="10"/>
      <c r="J3" s="10"/>
      <c r="K3" s="10"/>
      <c r="L3" s="10"/>
      <c r="M3" s="130" t="s">
        <v>4</v>
      </c>
      <c r="N3" s="10"/>
      <c r="O3" s="10"/>
      <c r="P3" s="10"/>
      <c r="Q3" s="10"/>
      <c r="R3" s="10"/>
      <c r="S3" s="10"/>
      <c r="T3" s="10"/>
      <c r="U3" s="11" t="s">
        <v>5</v>
      </c>
      <c r="V3" s="12"/>
      <c r="W3" s="12"/>
      <c r="X3" s="12"/>
      <c r="Y3" s="13"/>
      <c r="Z3" s="14" t="s">
        <v>6</v>
      </c>
      <c r="AA3" s="10"/>
      <c r="AB3" s="10"/>
      <c r="AC3" s="10"/>
      <c r="AD3" s="10"/>
      <c r="AE3" s="10"/>
      <c r="AF3" s="10"/>
      <c r="AG3" s="10"/>
      <c r="AH3" s="11" t="s">
        <v>7</v>
      </c>
      <c r="AI3" s="12"/>
      <c r="AJ3" s="12"/>
      <c r="AK3" s="12"/>
      <c r="AL3" s="13"/>
      <c r="AM3" s="15" t="s">
        <v>8</v>
      </c>
      <c r="AN3" s="12"/>
      <c r="AO3" s="12"/>
      <c r="AP3" s="12"/>
      <c r="AQ3" s="12"/>
      <c r="AR3" s="12"/>
      <c r="AS3" s="12"/>
      <c r="AT3" s="13"/>
      <c r="AU3" s="3"/>
      <c r="AV3" s="4"/>
    </row>
    <row r="4" spans="1:49" s="5" customFormat="1" ht="53.25" customHeight="1" thickBot="1">
      <c r="A4" s="6"/>
      <c r="B4" s="16"/>
      <c r="C4" s="131" t="s">
        <v>9</v>
      </c>
      <c r="D4" s="132" t="s">
        <v>59</v>
      </c>
      <c r="E4" s="19" t="s">
        <v>10</v>
      </c>
      <c r="F4" s="18" t="s">
        <v>11</v>
      </c>
      <c r="G4" s="17" t="s">
        <v>12</v>
      </c>
      <c r="H4" s="19" t="s">
        <v>13</v>
      </c>
      <c r="I4" s="17" t="s">
        <v>14</v>
      </c>
      <c r="J4" s="20" t="s">
        <v>15</v>
      </c>
      <c r="K4" s="18" t="s">
        <v>16</v>
      </c>
      <c r="L4" s="17" t="s">
        <v>17</v>
      </c>
      <c r="M4" s="17" t="s">
        <v>18</v>
      </c>
      <c r="N4" s="21" t="s">
        <v>11</v>
      </c>
      <c r="O4" s="17" t="s">
        <v>12</v>
      </c>
      <c r="P4" s="19" t="s">
        <v>13</v>
      </c>
      <c r="Q4" s="17" t="s">
        <v>14</v>
      </c>
      <c r="R4" s="20" t="s">
        <v>15</v>
      </c>
      <c r="S4" s="18" t="s">
        <v>16</v>
      </c>
      <c r="T4" s="22" t="s">
        <v>17</v>
      </c>
      <c r="U4" s="23" t="s">
        <v>19</v>
      </c>
      <c r="V4" s="24" t="s">
        <v>20</v>
      </c>
      <c r="W4" s="24" t="s">
        <v>21</v>
      </c>
      <c r="X4" s="25" t="s">
        <v>22</v>
      </c>
      <c r="Y4" s="24"/>
      <c r="Z4" s="26" t="s">
        <v>23</v>
      </c>
      <c r="AA4" s="27" t="s">
        <v>11</v>
      </c>
      <c r="AB4" s="17" t="s">
        <v>20</v>
      </c>
      <c r="AC4" s="19" t="s">
        <v>24</v>
      </c>
      <c r="AD4" s="17" t="s">
        <v>21</v>
      </c>
      <c r="AE4" s="20" t="s">
        <v>25</v>
      </c>
      <c r="AF4" s="21" t="s">
        <v>26</v>
      </c>
      <c r="AG4" s="28" t="s">
        <v>17</v>
      </c>
      <c r="AH4" s="23" t="s">
        <v>19</v>
      </c>
      <c r="AI4" s="24" t="s">
        <v>20</v>
      </c>
      <c r="AJ4" s="24" t="s">
        <v>21</v>
      </c>
      <c r="AK4" s="25" t="s">
        <v>22</v>
      </c>
      <c r="AL4" s="24" t="s">
        <v>27</v>
      </c>
      <c r="AM4" s="29" t="s">
        <v>28</v>
      </c>
      <c r="AN4" s="29" t="s">
        <v>29</v>
      </c>
      <c r="AO4" s="29" t="s">
        <v>30</v>
      </c>
      <c r="AP4" s="29" t="s">
        <v>31</v>
      </c>
      <c r="AQ4" s="29" t="s">
        <v>32</v>
      </c>
      <c r="AR4" s="29" t="s">
        <v>33</v>
      </c>
      <c r="AS4" s="29" t="s">
        <v>34</v>
      </c>
      <c r="AT4" s="30" t="s">
        <v>35</v>
      </c>
      <c r="AU4" s="3"/>
      <c r="AV4" s="4"/>
    </row>
    <row r="5" spans="1:49" s="5" customFormat="1" ht="13.5" customHeight="1" thickTop="1">
      <c r="A5" s="121"/>
      <c r="B5" s="188">
        <f>DATE($A$2,$B$2,1)</f>
        <v>45597</v>
      </c>
      <c r="C5" s="134" t="s">
        <v>52</v>
      </c>
      <c r="D5" s="135">
        <v>89</v>
      </c>
      <c r="E5" s="136"/>
      <c r="F5" s="137"/>
      <c r="G5" s="138"/>
      <c r="H5" s="139" t="e">
        <f t="shared" ref="H5:H35" si="0">ROUNDDOWN(G5/1.1,0)/F5</f>
        <v>#DIV/0!</v>
      </c>
      <c r="I5" s="138"/>
      <c r="J5" s="140" t="e">
        <f t="shared" ref="J5:J35" si="1">ROUNDDOWN(I5/1.1,0)/F5</f>
        <v>#DIV/0!</v>
      </c>
      <c r="K5" s="141">
        <f t="shared" ref="K5:K35" si="2">G5+I5</f>
        <v>0</v>
      </c>
      <c r="L5" s="142" t="str">
        <f t="shared" ref="L5:L35" si="3">IF(F5="","",K5/F5)</f>
        <v/>
      </c>
      <c r="M5" s="143"/>
      <c r="N5" s="144">
        <f t="shared" ref="N5:O20" si="4">AM5-F5</f>
        <v>39</v>
      </c>
      <c r="O5" s="145">
        <f t="shared" si="4"/>
        <v>391270</v>
      </c>
      <c r="P5" s="139">
        <f t="shared" ref="P5:P35" si="5">ROUNDDOWN(O5/1.1,0)/N5</f>
        <v>9120.5128205128203</v>
      </c>
      <c r="Q5" s="145">
        <f t="shared" ref="Q5:Q35" si="6">AO5-I5</f>
        <v>88020</v>
      </c>
      <c r="R5" s="140">
        <f t="shared" ref="R5:R35" si="7">ROUNDDOWN(Q5/1.1,0)/N5</f>
        <v>2051.7435897435898</v>
      </c>
      <c r="S5" s="146">
        <f t="shared" ref="S5:S35" si="8">O5+Q5</f>
        <v>479290</v>
      </c>
      <c r="T5" s="142">
        <f t="shared" ref="T5:T35" si="9">IF(N5="","",S5/N5)</f>
        <v>12289.48717948718</v>
      </c>
      <c r="U5" s="147">
        <f t="shared" ref="U5:V20" si="10">F5+N5</f>
        <v>39</v>
      </c>
      <c r="V5" s="145">
        <f t="shared" si="10"/>
        <v>391270</v>
      </c>
      <c r="W5" s="145">
        <f t="shared" ref="W5:W35" si="11">I5+Q5</f>
        <v>88020</v>
      </c>
      <c r="X5" s="148">
        <f t="shared" ref="X5:X35" si="12">K5+S5</f>
        <v>479290</v>
      </c>
      <c r="Y5" s="145">
        <f t="shared" ref="Y5:Y34" si="13">IF(U5="","",X5/U5)</f>
        <v>12289.48717948718</v>
      </c>
      <c r="Z5" s="149"/>
      <c r="AA5" s="150">
        <v>37</v>
      </c>
      <c r="AB5" s="138">
        <v>23130</v>
      </c>
      <c r="AC5" s="139">
        <f t="shared" ref="AC5:AC35" si="14">AB5/AA5</f>
        <v>625.1351351351351</v>
      </c>
      <c r="AD5" s="138">
        <v>8950</v>
      </c>
      <c r="AE5" s="140">
        <f t="shared" ref="AE5:AE35" si="15">AD5/AA5</f>
        <v>241.8918918918919</v>
      </c>
      <c r="AF5" s="151">
        <f t="shared" ref="AF5:AF35" si="16">AB5+AD5</f>
        <v>32080</v>
      </c>
      <c r="AG5" s="142">
        <f t="shared" ref="AG5:AG35" si="17">IF(AA5="","",AF5/AA5)</f>
        <v>867.02702702702697</v>
      </c>
      <c r="AH5" s="147">
        <f t="shared" ref="AH5:AH35" si="18">SUM(F5,N5)</f>
        <v>39</v>
      </c>
      <c r="AI5" s="145">
        <f t="shared" ref="AI5:AI35" si="19">V5+AB5</f>
        <v>414400</v>
      </c>
      <c r="AJ5" s="145">
        <f t="shared" ref="AJ5:AJ35" si="20">W5+AD5</f>
        <v>96970</v>
      </c>
      <c r="AK5" s="152">
        <f t="shared" ref="AK5:AK35" si="21">X5+AF5</f>
        <v>511370</v>
      </c>
      <c r="AL5" s="145">
        <f t="shared" ref="AL5:AL35" si="22">AP5+AQ5+AR5</f>
        <v>24750</v>
      </c>
      <c r="AM5" s="153">
        <v>39</v>
      </c>
      <c r="AN5" s="153">
        <v>391270</v>
      </c>
      <c r="AO5" s="153">
        <v>88020</v>
      </c>
      <c r="AP5" s="154">
        <v>24750</v>
      </c>
      <c r="AQ5" s="154">
        <v>0</v>
      </c>
      <c r="AR5" s="154">
        <v>0</v>
      </c>
      <c r="AS5" s="154">
        <v>13200</v>
      </c>
      <c r="AT5" s="155">
        <f t="shared" ref="AT5:AT34" si="23">SUM(AN5:AR5)</f>
        <v>504040</v>
      </c>
      <c r="AU5" s="121">
        <v>1</v>
      </c>
      <c r="AV5" s="122">
        <f>AS5+AT5</f>
        <v>517240</v>
      </c>
      <c r="AW5" s="156"/>
    </row>
    <row r="6" spans="1:49" s="5" customFormat="1" ht="13.5" customHeight="1">
      <c r="A6" s="121"/>
      <c r="B6" s="160">
        <f t="shared" ref="B6:B34" si="24">B5+1</f>
        <v>45598</v>
      </c>
      <c r="C6" s="134" t="s">
        <v>66</v>
      </c>
      <c r="D6" s="135">
        <v>81</v>
      </c>
      <c r="E6" s="136">
        <v>13</v>
      </c>
      <c r="F6" s="137">
        <v>27</v>
      </c>
      <c r="G6" s="138">
        <v>96580</v>
      </c>
      <c r="H6" s="139">
        <f t="shared" si="0"/>
        <v>3251.8518518518517</v>
      </c>
      <c r="I6" s="138">
        <v>19410</v>
      </c>
      <c r="J6" s="140">
        <f t="shared" si="1"/>
        <v>653.51851851851848</v>
      </c>
      <c r="K6" s="141">
        <f t="shared" si="2"/>
        <v>115990</v>
      </c>
      <c r="L6" s="142">
        <f t="shared" si="3"/>
        <v>4295.9259259259261</v>
      </c>
      <c r="M6" s="143"/>
      <c r="N6" s="144">
        <f t="shared" si="4"/>
        <v>39</v>
      </c>
      <c r="O6" s="145">
        <f t="shared" si="4"/>
        <v>433930</v>
      </c>
      <c r="P6" s="139">
        <f t="shared" si="5"/>
        <v>10114.897435897436</v>
      </c>
      <c r="Q6" s="145">
        <f t="shared" si="6"/>
        <v>53150</v>
      </c>
      <c r="R6" s="140">
        <f t="shared" si="7"/>
        <v>1238.9230769230769</v>
      </c>
      <c r="S6" s="146">
        <f t="shared" si="8"/>
        <v>487080</v>
      </c>
      <c r="T6" s="142">
        <f t="shared" si="9"/>
        <v>12489.23076923077</v>
      </c>
      <c r="U6" s="147">
        <f t="shared" si="10"/>
        <v>66</v>
      </c>
      <c r="V6" s="145">
        <f t="shared" si="10"/>
        <v>530510</v>
      </c>
      <c r="W6" s="145">
        <f t="shared" si="11"/>
        <v>72560</v>
      </c>
      <c r="X6" s="148">
        <f t="shared" si="12"/>
        <v>603070</v>
      </c>
      <c r="Y6" s="145">
        <f t="shared" si="13"/>
        <v>9137.424242424242</v>
      </c>
      <c r="Z6" s="149"/>
      <c r="AA6" s="150">
        <v>93</v>
      </c>
      <c r="AB6" s="138">
        <v>64150</v>
      </c>
      <c r="AC6" s="139">
        <f t="shared" si="14"/>
        <v>689.78494623655911</v>
      </c>
      <c r="AD6" s="138">
        <v>24600</v>
      </c>
      <c r="AE6" s="140">
        <f t="shared" si="15"/>
        <v>264.51612903225805</v>
      </c>
      <c r="AF6" s="151">
        <f t="shared" si="16"/>
        <v>88750</v>
      </c>
      <c r="AG6" s="142">
        <f t="shared" si="17"/>
        <v>954.30107526881716</v>
      </c>
      <c r="AH6" s="147">
        <f t="shared" si="18"/>
        <v>66</v>
      </c>
      <c r="AI6" s="145">
        <f t="shared" si="19"/>
        <v>594660</v>
      </c>
      <c r="AJ6" s="145">
        <f t="shared" si="20"/>
        <v>97160</v>
      </c>
      <c r="AK6" s="152">
        <f t="shared" si="21"/>
        <v>691820</v>
      </c>
      <c r="AL6" s="145">
        <f t="shared" si="22"/>
        <v>32010</v>
      </c>
      <c r="AM6" s="153">
        <v>66</v>
      </c>
      <c r="AN6" s="153">
        <v>530510</v>
      </c>
      <c r="AO6" s="153">
        <v>72560</v>
      </c>
      <c r="AP6" s="154">
        <v>30800</v>
      </c>
      <c r="AQ6" s="154">
        <v>1210</v>
      </c>
      <c r="AR6" s="154">
        <v>0</v>
      </c>
      <c r="AS6" s="154">
        <v>5500</v>
      </c>
      <c r="AT6" s="155">
        <f t="shared" si="23"/>
        <v>635080</v>
      </c>
      <c r="AU6" s="121">
        <v>2</v>
      </c>
      <c r="AV6" s="122">
        <f t="shared" ref="AV6:AV35" si="25">AS6+AT6</f>
        <v>640580</v>
      </c>
      <c r="AW6" s="156"/>
    </row>
    <row r="7" spans="1:49" s="5" customFormat="1" ht="13.5" customHeight="1">
      <c r="A7" s="121"/>
      <c r="B7" s="161">
        <f t="shared" si="24"/>
        <v>45599</v>
      </c>
      <c r="C7" s="134"/>
      <c r="D7" s="135">
        <v>73</v>
      </c>
      <c r="E7" s="136">
        <v>14</v>
      </c>
      <c r="F7" s="137">
        <v>32</v>
      </c>
      <c r="G7" s="138">
        <v>127600</v>
      </c>
      <c r="H7" s="139">
        <f t="shared" si="0"/>
        <v>3625</v>
      </c>
      <c r="I7" s="138">
        <v>9470</v>
      </c>
      <c r="J7" s="140">
        <f t="shared" si="1"/>
        <v>269.03125</v>
      </c>
      <c r="K7" s="141">
        <f t="shared" si="2"/>
        <v>137070</v>
      </c>
      <c r="L7" s="142">
        <f t="shared" si="3"/>
        <v>4283.4375</v>
      </c>
      <c r="M7" s="143"/>
      <c r="N7" s="144">
        <f t="shared" si="4"/>
        <v>40</v>
      </c>
      <c r="O7" s="145">
        <f t="shared" si="4"/>
        <v>367950</v>
      </c>
      <c r="P7" s="139">
        <f t="shared" si="5"/>
        <v>8362.5</v>
      </c>
      <c r="Q7" s="145">
        <f t="shared" si="6"/>
        <v>59540</v>
      </c>
      <c r="R7" s="140">
        <f t="shared" si="7"/>
        <v>1353.175</v>
      </c>
      <c r="S7" s="146">
        <f t="shared" si="8"/>
        <v>427490</v>
      </c>
      <c r="T7" s="142">
        <f t="shared" si="9"/>
        <v>10687.25</v>
      </c>
      <c r="U7" s="147">
        <f t="shared" si="10"/>
        <v>72</v>
      </c>
      <c r="V7" s="145">
        <f t="shared" si="10"/>
        <v>495550</v>
      </c>
      <c r="W7" s="145">
        <f t="shared" si="11"/>
        <v>69010</v>
      </c>
      <c r="X7" s="148">
        <f t="shared" si="12"/>
        <v>564560</v>
      </c>
      <c r="Y7" s="145">
        <f t="shared" si="13"/>
        <v>7841.1111111111113</v>
      </c>
      <c r="Z7" s="149"/>
      <c r="AA7" s="150">
        <v>140</v>
      </c>
      <c r="AB7" s="138">
        <v>73880</v>
      </c>
      <c r="AC7" s="139">
        <f t="shared" si="14"/>
        <v>527.71428571428567</v>
      </c>
      <c r="AD7" s="138">
        <v>35100</v>
      </c>
      <c r="AE7" s="140">
        <f t="shared" si="15"/>
        <v>250.71428571428572</v>
      </c>
      <c r="AF7" s="151">
        <f t="shared" si="16"/>
        <v>108980</v>
      </c>
      <c r="AG7" s="142">
        <f t="shared" si="17"/>
        <v>778.42857142857144</v>
      </c>
      <c r="AH7" s="147">
        <f t="shared" si="18"/>
        <v>72</v>
      </c>
      <c r="AI7" s="145">
        <f t="shared" si="19"/>
        <v>569430</v>
      </c>
      <c r="AJ7" s="145">
        <f t="shared" si="20"/>
        <v>104110</v>
      </c>
      <c r="AK7" s="152">
        <f t="shared" si="21"/>
        <v>673540</v>
      </c>
      <c r="AL7" s="145">
        <f t="shared" si="22"/>
        <v>34100</v>
      </c>
      <c r="AM7" s="153">
        <v>72</v>
      </c>
      <c r="AN7" s="153">
        <v>495550</v>
      </c>
      <c r="AO7" s="153">
        <v>69010</v>
      </c>
      <c r="AP7" s="154">
        <v>34100</v>
      </c>
      <c r="AQ7" s="154">
        <v>0</v>
      </c>
      <c r="AR7" s="154">
        <v>0</v>
      </c>
      <c r="AS7" s="154">
        <v>0</v>
      </c>
      <c r="AT7" s="155">
        <f t="shared" si="23"/>
        <v>598660</v>
      </c>
      <c r="AU7" s="121">
        <v>3</v>
      </c>
      <c r="AV7" s="122">
        <f t="shared" si="25"/>
        <v>598660</v>
      </c>
      <c r="AW7" s="156"/>
    </row>
    <row r="8" spans="1:49" s="5" customFormat="1" ht="13.5" customHeight="1">
      <c r="A8" s="121"/>
      <c r="B8" s="161">
        <f t="shared" si="24"/>
        <v>45600</v>
      </c>
      <c r="C8" s="134"/>
      <c r="D8" s="135">
        <v>95</v>
      </c>
      <c r="E8" s="136">
        <v>6</v>
      </c>
      <c r="F8" s="137">
        <v>15</v>
      </c>
      <c r="G8" s="138">
        <v>49060</v>
      </c>
      <c r="H8" s="139">
        <f t="shared" si="0"/>
        <v>2973.3333333333335</v>
      </c>
      <c r="I8" s="138">
        <v>2890</v>
      </c>
      <c r="J8" s="140">
        <f t="shared" si="1"/>
        <v>175.13333333333333</v>
      </c>
      <c r="K8" s="141">
        <f t="shared" si="2"/>
        <v>51950</v>
      </c>
      <c r="L8" s="142">
        <f t="shared" si="3"/>
        <v>3463.3333333333335</v>
      </c>
      <c r="M8" s="143"/>
      <c r="N8" s="144">
        <f t="shared" si="4"/>
        <v>37</v>
      </c>
      <c r="O8" s="145">
        <f t="shared" si="4"/>
        <v>371910</v>
      </c>
      <c r="P8" s="139">
        <f t="shared" si="5"/>
        <v>9137.8378378378384</v>
      </c>
      <c r="Q8" s="145">
        <f t="shared" si="6"/>
        <v>48040</v>
      </c>
      <c r="R8" s="140">
        <f t="shared" si="7"/>
        <v>1180.3243243243244</v>
      </c>
      <c r="S8" s="146">
        <f t="shared" si="8"/>
        <v>419950</v>
      </c>
      <c r="T8" s="142">
        <f t="shared" si="9"/>
        <v>11350</v>
      </c>
      <c r="U8" s="147">
        <f t="shared" si="10"/>
        <v>52</v>
      </c>
      <c r="V8" s="145">
        <f t="shared" si="10"/>
        <v>420970</v>
      </c>
      <c r="W8" s="145">
        <f t="shared" si="11"/>
        <v>50930</v>
      </c>
      <c r="X8" s="148">
        <f t="shared" si="12"/>
        <v>471900</v>
      </c>
      <c r="Y8" s="145">
        <f t="shared" si="13"/>
        <v>9075</v>
      </c>
      <c r="Z8" s="149"/>
      <c r="AA8" s="150">
        <v>45</v>
      </c>
      <c r="AB8" s="138">
        <v>26450</v>
      </c>
      <c r="AC8" s="139">
        <f t="shared" si="14"/>
        <v>587.77777777777783</v>
      </c>
      <c r="AD8" s="138">
        <v>10450</v>
      </c>
      <c r="AE8" s="140">
        <f t="shared" si="15"/>
        <v>232.22222222222223</v>
      </c>
      <c r="AF8" s="151">
        <f t="shared" si="16"/>
        <v>36900</v>
      </c>
      <c r="AG8" s="142">
        <f t="shared" si="17"/>
        <v>820</v>
      </c>
      <c r="AH8" s="158">
        <f t="shared" si="18"/>
        <v>52</v>
      </c>
      <c r="AI8" s="145">
        <f t="shared" si="19"/>
        <v>447420</v>
      </c>
      <c r="AJ8" s="145">
        <f t="shared" si="20"/>
        <v>61380</v>
      </c>
      <c r="AK8" s="159">
        <f t="shared" si="21"/>
        <v>508800</v>
      </c>
      <c r="AL8" s="145">
        <f t="shared" si="22"/>
        <v>26400</v>
      </c>
      <c r="AM8" s="153">
        <v>52</v>
      </c>
      <c r="AN8" s="153">
        <v>420970</v>
      </c>
      <c r="AO8" s="153">
        <v>50930</v>
      </c>
      <c r="AP8" s="154">
        <v>24750</v>
      </c>
      <c r="AQ8" s="154">
        <v>1650</v>
      </c>
      <c r="AR8" s="154">
        <v>0</v>
      </c>
      <c r="AS8" s="154">
        <v>0</v>
      </c>
      <c r="AT8" s="155">
        <f t="shared" si="23"/>
        <v>498300</v>
      </c>
      <c r="AU8" s="121">
        <v>4</v>
      </c>
      <c r="AV8" s="122">
        <f t="shared" si="25"/>
        <v>498300</v>
      </c>
      <c r="AW8" s="156"/>
    </row>
    <row r="9" spans="1:49" s="5" customFormat="1" ht="13.5" customHeight="1">
      <c r="A9" s="121"/>
      <c r="B9" s="189">
        <f t="shared" si="24"/>
        <v>45601</v>
      </c>
      <c r="C9" s="134" t="s">
        <v>52</v>
      </c>
      <c r="D9" s="135">
        <v>97</v>
      </c>
      <c r="E9" s="136"/>
      <c r="F9" s="137"/>
      <c r="G9" s="138"/>
      <c r="H9" s="139" t="e">
        <f t="shared" si="0"/>
        <v>#DIV/0!</v>
      </c>
      <c r="I9" s="138"/>
      <c r="J9" s="140" t="e">
        <f t="shared" si="1"/>
        <v>#DIV/0!</v>
      </c>
      <c r="K9" s="141">
        <f t="shared" si="2"/>
        <v>0</v>
      </c>
      <c r="L9" s="142" t="str">
        <f t="shared" si="3"/>
        <v/>
      </c>
      <c r="M9" s="143"/>
      <c r="N9" s="144">
        <f t="shared" si="4"/>
        <v>39</v>
      </c>
      <c r="O9" s="145">
        <f t="shared" si="4"/>
        <v>340230</v>
      </c>
      <c r="P9" s="139">
        <f t="shared" si="5"/>
        <v>7930.7692307692305</v>
      </c>
      <c r="Q9" s="145">
        <f t="shared" si="6"/>
        <v>68320</v>
      </c>
      <c r="R9" s="140">
        <f t="shared" si="7"/>
        <v>1592.5384615384614</v>
      </c>
      <c r="S9" s="146">
        <f t="shared" si="8"/>
        <v>408550</v>
      </c>
      <c r="T9" s="142">
        <f t="shared" si="9"/>
        <v>10475.641025641025</v>
      </c>
      <c r="U9" s="147">
        <f t="shared" si="10"/>
        <v>39</v>
      </c>
      <c r="V9" s="145">
        <f t="shared" si="10"/>
        <v>340230</v>
      </c>
      <c r="W9" s="145">
        <f t="shared" si="11"/>
        <v>68320</v>
      </c>
      <c r="X9" s="148">
        <f t="shared" si="12"/>
        <v>408550</v>
      </c>
      <c r="Y9" s="145">
        <f t="shared" si="13"/>
        <v>10475.641025641025</v>
      </c>
      <c r="Z9" s="149"/>
      <c r="AA9" s="150">
        <v>92</v>
      </c>
      <c r="AB9" s="138">
        <v>57780</v>
      </c>
      <c r="AC9" s="139">
        <f t="shared" si="14"/>
        <v>628.04347826086962</v>
      </c>
      <c r="AD9" s="138">
        <v>28250</v>
      </c>
      <c r="AE9" s="140">
        <f t="shared" si="15"/>
        <v>307.06521739130437</v>
      </c>
      <c r="AF9" s="151">
        <f t="shared" si="16"/>
        <v>86030</v>
      </c>
      <c r="AG9" s="142">
        <f t="shared" si="17"/>
        <v>935.10869565217388</v>
      </c>
      <c r="AH9" s="158">
        <f t="shared" si="18"/>
        <v>39</v>
      </c>
      <c r="AI9" s="145">
        <f t="shared" si="19"/>
        <v>398010</v>
      </c>
      <c r="AJ9" s="145">
        <f t="shared" si="20"/>
        <v>96570</v>
      </c>
      <c r="AK9" s="152">
        <f t="shared" si="21"/>
        <v>494580</v>
      </c>
      <c r="AL9" s="145">
        <f t="shared" si="22"/>
        <v>23800</v>
      </c>
      <c r="AM9" s="153">
        <v>39</v>
      </c>
      <c r="AN9" s="153">
        <v>340230</v>
      </c>
      <c r="AO9" s="153">
        <v>68320</v>
      </c>
      <c r="AP9" s="154">
        <v>22150</v>
      </c>
      <c r="AQ9" s="154">
        <v>1650</v>
      </c>
      <c r="AR9" s="154">
        <v>0</v>
      </c>
      <c r="AS9" s="154">
        <v>19800</v>
      </c>
      <c r="AT9" s="155">
        <f t="shared" si="23"/>
        <v>432350</v>
      </c>
      <c r="AU9" s="121">
        <v>5</v>
      </c>
      <c r="AV9" s="122">
        <f t="shared" si="25"/>
        <v>452150</v>
      </c>
      <c r="AW9" s="156"/>
    </row>
    <row r="10" spans="1:49" s="5" customFormat="1" ht="13.5" customHeight="1">
      <c r="A10" s="121"/>
      <c r="B10" s="189">
        <f t="shared" si="24"/>
        <v>45602</v>
      </c>
      <c r="C10" s="134" t="s">
        <v>52</v>
      </c>
      <c r="D10" s="135">
        <v>20</v>
      </c>
      <c r="E10" s="136"/>
      <c r="F10" s="137"/>
      <c r="G10" s="138"/>
      <c r="H10" s="139" t="e">
        <f t="shared" si="0"/>
        <v>#DIV/0!</v>
      </c>
      <c r="I10" s="138"/>
      <c r="J10" s="140" t="e">
        <f t="shared" si="1"/>
        <v>#DIV/0!</v>
      </c>
      <c r="K10" s="141">
        <f t="shared" si="2"/>
        <v>0</v>
      </c>
      <c r="L10" s="142" t="str">
        <f t="shared" si="3"/>
        <v/>
      </c>
      <c r="M10" s="143"/>
      <c r="N10" s="144">
        <f t="shared" si="4"/>
        <v>27</v>
      </c>
      <c r="O10" s="145">
        <f t="shared" si="4"/>
        <v>261690</v>
      </c>
      <c r="P10" s="139">
        <f t="shared" si="5"/>
        <v>8811.1111111111113</v>
      </c>
      <c r="Q10" s="145">
        <f t="shared" si="6"/>
        <v>35980</v>
      </c>
      <c r="R10" s="140">
        <f t="shared" si="7"/>
        <v>1211.4444444444443</v>
      </c>
      <c r="S10" s="146">
        <f t="shared" si="8"/>
        <v>297670</v>
      </c>
      <c r="T10" s="142">
        <f t="shared" si="9"/>
        <v>11024.814814814816</v>
      </c>
      <c r="U10" s="147">
        <f t="shared" si="10"/>
        <v>27</v>
      </c>
      <c r="V10" s="145">
        <f t="shared" si="10"/>
        <v>261690</v>
      </c>
      <c r="W10" s="145">
        <f t="shared" si="11"/>
        <v>35980</v>
      </c>
      <c r="X10" s="148">
        <f t="shared" si="12"/>
        <v>297670</v>
      </c>
      <c r="Y10" s="145">
        <f t="shared" si="13"/>
        <v>11024.814814814816</v>
      </c>
      <c r="Z10" s="149"/>
      <c r="AA10" s="150">
        <v>49</v>
      </c>
      <c r="AB10" s="138">
        <v>32580</v>
      </c>
      <c r="AC10" s="139">
        <f t="shared" si="14"/>
        <v>664.89795918367349</v>
      </c>
      <c r="AD10" s="138">
        <v>16200</v>
      </c>
      <c r="AE10" s="140">
        <f t="shared" si="15"/>
        <v>330.61224489795916</v>
      </c>
      <c r="AF10" s="151">
        <f t="shared" si="16"/>
        <v>48780</v>
      </c>
      <c r="AG10" s="142">
        <f t="shared" si="17"/>
        <v>995.51020408163265</v>
      </c>
      <c r="AH10" s="158">
        <f t="shared" si="18"/>
        <v>27</v>
      </c>
      <c r="AI10" s="145">
        <f t="shared" si="19"/>
        <v>294270</v>
      </c>
      <c r="AJ10" s="145">
        <f t="shared" si="20"/>
        <v>52180</v>
      </c>
      <c r="AK10" s="152">
        <f t="shared" si="21"/>
        <v>346450</v>
      </c>
      <c r="AL10" s="145">
        <f t="shared" si="22"/>
        <v>8250</v>
      </c>
      <c r="AM10" s="153">
        <v>27</v>
      </c>
      <c r="AN10" s="153">
        <v>261690</v>
      </c>
      <c r="AO10" s="153">
        <v>35980</v>
      </c>
      <c r="AP10" s="154">
        <v>6600</v>
      </c>
      <c r="AQ10" s="154">
        <v>1650</v>
      </c>
      <c r="AR10" s="154">
        <v>0</v>
      </c>
      <c r="AS10" s="154">
        <v>0</v>
      </c>
      <c r="AT10" s="155">
        <f t="shared" si="23"/>
        <v>305920</v>
      </c>
      <c r="AU10" s="121">
        <v>6</v>
      </c>
      <c r="AV10" s="122">
        <f t="shared" si="25"/>
        <v>305920</v>
      </c>
      <c r="AW10" s="156"/>
    </row>
    <row r="11" spans="1:49" s="5" customFormat="1" ht="13.5" customHeight="1">
      <c r="A11" s="121"/>
      <c r="B11" s="189">
        <f t="shared" si="24"/>
        <v>45603</v>
      </c>
      <c r="C11" s="134" t="s">
        <v>67</v>
      </c>
      <c r="D11" s="135">
        <v>0</v>
      </c>
      <c r="E11" s="136"/>
      <c r="F11" s="137"/>
      <c r="G11" s="138"/>
      <c r="H11" s="139" t="e">
        <f t="shared" si="0"/>
        <v>#DIV/0!</v>
      </c>
      <c r="I11" s="138"/>
      <c r="J11" s="140" t="e">
        <f t="shared" si="1"/>
        <v>#DIV/0!</v>
      </c>
      <c r="K11" s="141">
        <f t="shared" si="2"/>
        <v>0</v>
      </c>
      <c r="L11" s="142" t="str">
        <f t="shared" si="3"/>
        <v/>
      </c>
      <c r="M11" s="143"/>
      <c r="N11" s="144">
        <f t="shared" si="4"/>
        <v>0</v>
      </c>
      <c r="O11" s="145">
        <f t="shared" si="4"/>
        <v>0</v>
      </c>
      <c r="P11" s="139" t="e">
        <f t="shared" si="5"/>
        <v>#DIV/0!</v>
      </c>
      <c r="Q11" s="145">
        <f t="shared" si="6"/>
        <v>0</v>
      </c>
      <c r="R11" s="140" t="e">
        <f t="shared" si="7"/>
        <v>#DIV/0!</v>
      </c>
      <c r="S11" s="146">
        <f t="shared" si="8"/>
        <v>0</v>
      </c>
      <c r="T11" s="142" t="e">
        <f t="shared" si="9"/>
        <v>#DIV/0!</v>
      </c>
      <c r="U11" s="147">
        <f t="shared" si="10"/>
        <v>0</v>
      </c>
      <c r="V11" s="145">
        <f t="shared" si="10"/>
        <v>0</v>
      </c>
      <c r="W11" s="145">
        <f t="shared" si="11"/>
        <v>0</v>
      </c>
      <c r="X11" s="148">
        <f t="shared" si="12"/>
        <v>0</v>
      </c>
      <c r="Y11" s="145" t="e">
        <f t="shared" si="13"/>
        <v>#DIV/0!</v>
      </c>
      <c r="Z11" s="149"/>
      <c r="AA11" s="150">
        <v>0</v>
      </c>
      <c r="AB11" s="138"/>
      <c r="AC11" s="139" t="e">
        <f t="shared" si="14"/>
        <v>#DIV/0!</v>
      </c>
      <c r="AD11" s="138"/>
      <c r="AE11" s="140" t="e">
        <f t="shared" si="15"/>
        <v>#DIV/0!</v>
      </c>
      <c r="AF11" s="151">
        <f t="shared" si="16"/>
        <v>0</v>
      </c>
      <c r="AG11" s="142" t="e">
        <f t="shared" si="17"/>
        <v>#DIV/0!</v>
      </c>
      <c r="AH11" s="158">
        <f t="shared" si="18"/>
        <v>0</v>
      </c>
      <c r="AI11" s="145">
        <f t="shared" si="19"/>
        <v>0</v>
      </c>
      <c r="AJ11" s="145">
        <f t="shared" si="20"/>
        <v>0</v>
      </c>
      <c r="AK11" s="152">
        <f t="shared" si="21"/>
        <v>0</v>
      </c>
      <c r="AL11" s="145">
        <f t="shared" si="22"/>
        <v>0</v>
      </c>
      <c r="AM11" s="153">
        <v>0</v>
      </c>
      <c r="AN11" s="153">
        <v>0</v>
      </c>
      <c r="AO11" s="153">
        <v>0</v>
      </c>
      <c r="AP11" s="154">
        <v>0</v>
      </c>
      <c r="AQ11" s="154">
        <v>0</v>
      </c>
      <c r="AR11" s="154">
        <v>0</v>
      </c>
      <c r="AS11" s="154">
        <v>0</v>
      </c>
      <c r="AT11" s="155">
        <f t="shared" si="23"/>
        <v>0</v>
      </c>
      <c r="AU11" s="121">
        <v>7</v>
      </c>
      <c r="AV11" s="122">
        <f t="shared" si="25"/>
        <v>0</v>
      </c>
      <c r="AW11" s="162"/>
    </row>
    <row r="12" spans="1:49" s="5" customFormat="1" ht="13.5" customHeight="1">
      <c r="A12" s="121"/>
      <c r="B12" s="189">
        <f t="shared" si="24"/>
        <v>45604</v>
      </c>
      <c r="C12" s="134" t="s">
        <v>52</v>
      </c>
      <c r="D12" s="135">
        <v>86</v>
      </c>
      <c r="E12" s="136"/>
      <c r="F12" s="137"/>
      <c r="G12" s="138"/>
      <c r="H12" s="139" t="e">
        <f t="shared" si="0"/>
        <v>#DIV/0!</v>
      </c>
      <c r="I12" s="138"/>
      <c r="J12" s="140" t="e">
        <f t="shared" si="1"/>
        <v>#DIV/0!</v>
      </c>
      <c r="K12" s="141">
        <f t="shared" si="2"/>
        <v>0</v>
      </c>
      <c r="L12" s="142" t="str">
        <f t="shared" si="3"/>
        <v/>
      </c>
      <c r="M12" s="143"/>
      <c r="N12" s="144">
        <f t="shared" si="4"/>
        <v>37</v>
      </c>
      <c r="O12" s="145">
        <f t="shared" si="4"/>
        <v>343200</v>
      </c>
      <c r="P12" s="139">
        <f t="shared" si="5"/>
        <v>8432.4324324324316</v>
      </c>
      <c r="Q12" s="145">
        <f t="shared" si="6"/>
        <v>55880</v>
      </c>
      <c r="R12" s="163">
        <f t="shared" si="7"/>
        <v>1372.9729729729729</v>
      </c>
      <c r="S12" s="146">
        <f t="shared" si="8"/>
        <v>399080</v>
      </c>
      <c r="T12" s="142">
        <f t="shared" si="9"/>
        <v>10785.945945945947</v>
      </c>
      <c r="U12" s="147">
        <f t="shared" si="10"/>
        <v>37</v>
      </c>
      <c r="V12" s="145">
        <f t="shared" si="10"/>
        <v>343200</v>
      </c>
      <c r="W12" s="145">
        <f t="shared" si="11"/>
        <v>55880</v>
      </c>
      <c r="X12" s="148">
        <f t="shared" si="12"/>
        <v>399080</v>
      </c>
      <c r="Y12" s="145">
        <f t="shared" si="13"/>
        <v>10785.945945945947</v>
      </c>
      <c r="Z12" s="149"/>
      <c r="AA12" s="150">
        <v>70</v>
      </c>
      <c r="AB12" s="138">
        <v>41250</v>
      </c>
      <c r="AC12" s="139">
        <f t="shared" si="14"/>
        <v>589.28571428571433</v>
      </c>
      <c r="AD12" s="138">
        <v>20850</v>
      </c>
      <c r="AE12" s="140">
        <f t="shared" si="15"/>
        <v>297.85714285714283</v>
      </c>
      <c r="AF12" s="151">
        <f t="shared" si="16"/>
        <v>62100</v>
      </c>
      <c r="AG12" s="142">
        <f t="shared" si="17"/>
        <v>887.14285714285711</v>
      </c>
      <c r="AH12" s="158">
        <f t="shared" si="18"/>
        <v>37</v>
      </c>
      <c r="AI12" s="145">
        <f t="shared" si="19"/>
        <v>384450</v>
      </c>
      <c r="AJ12" s="145">
        <f t="shared" si="20"/>
        <v>76730</v>
      </c>
      <c r="AK12" s="152">
        <f t="shared" si="21"/>
        <v>461180</v>
      </c>
      <c r="AL12" s="145">
        <f t="shared" si="22"/>
        <v>25850</v>
      </c>
      <c r="AM12" s="153">
        <v>37</v>
      </c>
      <c r="AN12" s="153">
        <v>343200</v>
      </c>
      <c r="AO12" s="153">
        <v>55880</v>
      </c>
      <c r="AP12" s="154">
        <v>25850</v>
      </c>
      <c r="AQ12" s="154">
        <v>0</v>
      </c>
      <c r="AR12" s="154">
        <v>0</v>
      </c>
      <c r="AS12" s="154">
        <v>70000</v>
      </c>
      <c r="AT12" s="155">
        <f t="shared" si="23"/>
        <v>424930</v>
      </c>
      <c r="AU12" s="121">
        <v>8</v>
      </c>
      <c r="AV12" s="122">
        <f t="shared" si="25"/>
        <v>494930</v>
      </c>
      <c r="AW12" s="156"/>
    </row>
    <row r="13" spans="1:49" s="5" customFormat="1" ht="13.5" customHeight="1">
      <c r="A13" s="121"/>
      <c r="B13" s="160">
        <f t="shared" si="24"/>
        <v>45605</v>
      </c>
      <c r="C13" s="134"/>
      <c r="D13" s="135">
        <v>83</v>
      </c>
      <c r="E13" s="136">
        <v>13</v>
      </c>
      <c r="F13" s="137">
        <v>28</v>
      </c>
      <c r="G13" s="138">
        <v>104720</v>
      </c>
      <c r="H13" s="139">
        <f t="shared" si="0"/>
        <v>3400</v>
      </c>
      <c r="I13" s="138">
        <v>12610</v>
      </c>
      <c r="J13" s="140">
        <f t="shared" si="1"/>
        <v>409.39285714285717</v>
      </c>
      <c r="K13" s="141">
        <f t="shared" si="2"/>
        <v>117330</v>
      </c>
      <c r="L13" s="142">
        <f t="shared" si="3"/>
        <v>4190.3571428571431</v>
      </c>
      <c r="M13" s="143"/>
      <c r="N13" s="144">
        <f t="shared" si="4"/>
        <v>40</v>
      </c>
      <c r="O13" s="145">
        <f t="shared" si="4"/>
        <v>348040</v>
      </c>
      <c r="P13" s="139">
        <f t="shared" si="5"/>
        <v>7910</v>
      </c>
      <c r="Q13" s="145">
        <f t="shared" si="6"/>
        <v>70450</v>
      </c>
      <c r="R13" s="140">
        <f t="shared" si="7"/>
        <v>1601.125</v>
      </c>
      <c r="S13" s="146">
        <f t="shared" si="8"/>
        <v>418490</v>
      </c>
      <c r="T13" s="142">
        <f t="shared" si="9"/>
        <v>10462.25</v>
      </c>
      <c r="U13" s="147">
        <f t="shared" si="10"/>
        <v>68</v>
      </c>
      <c r="V13" s="145">
        <f t="shared" si="10"/>
        <v>452760</v>
      </c>
      <c r="W13" s="145">
        <f t="shared" si="11"/>
        <v>83060</v>
      </c>
      <c r="X13" s="148">
        <f t="shared" si="12"/>
        <v>535820</v>
      </c>
      <c r="Y13" s="145">
        <f t="shared" si="13"/>
        <v>7879.7058823529414</v>
      </c>
      <c r="Z13" s="149"/>
      <c r="AA13" s="150">
        <v>97</v>
      </c>
      <c r="AB13" s="138">
        <v>53640</v>
      </c>
      <c r="AC13" s="139">
        <f t="shared" si="14"/>
        <v>552.98969072164948</v>
      </c>
      <c r="AD13" s="138">
        <v>24450</v>
      </c>
      <c r="AE13" s="140">
        <f t="shared" si="15"/>
        <v>252.06185567010309</v>
      </c>
      <c r="AF13" s="151">
        <f t="shared" si="16"/>
        <v>78090</v>
      </c>
      <c r="AG13" s="142">
        <f t="shared" si="17"/>
        <v>805.05154639175259</v>
      </c>
      <c r="AH13" s="158">
        <f t="shared" si="18"/>
        <v>68</v>
      </c>
      <c r="AI13" s="145">
        <f t="shared" si="19"/>
        <v>506400</v>
      </c>
      <c r="AJ13" s="145">
        <f t="shared" si="20"/>
        <v>107510</v>
      </c>
      <c r="AK13" s="152">
        <f t="shared" si="21"/>
        <v>613910</v>
      </c>
      <c r="AL13" s="145">
        <f t="shared" si="22"/>
        <v>34100</v>
      </c>
      <c r="AM13" s="153">
        <v>68</v>
      </c>
      <c r="AN13" s="153">
        <v>452760</v>
      </c>
      <c r="AO13" s="153">
        <v>83060</v>
      </c>
      <c r="AP13" s="154">
        <v>34100</v>
      </c>
      <c r="AQ13" s="154">
        <v>0</v>
      </c>
      <c r="AR13" s="154">
        <v>0</v>
      </c>
      <c r="AS13" s="154">
        <v>0</v>
      </c>
      <c r="AT13" s="155">
        <f t="shared" si="23"/>
        <v>569920</v>
      </c>
      <c r="AU13" s="121">
        <v>9</v>
      </c>
      <c r="AV13" s="122">
        <f t="shared" si="25"/>
        <v>569920</v>
      </c>
      <c r="AW13" s="121"/>
    </row>
    <row r="14" spans="1:49" s="5" customFormat="1" ht="13.5" customHeight="1">
      <c r="A14" s="121"/>
      <c r="B14" s="161">
        <f t="shared" si="24"/>
        <v>45606</v>
      </c>
      <c r="C14" s="134"/>
      <c r="D14" s="135">
        <v>78</v>
      </c>
      <c r="E14" s="136">
        <v>11</v>
      </c>
      <c r="F14" s="137">
        <v>20</v>
      </c>
      <c r="G14" s="138">
        <v>53482</v>
      </c>
      <c r="H14" s="139">
        <f t="shared" si="0"/>
        <v>2431</v>
      </c>
      <c r="I14" s="138">
        <v>3650</v>
      </c>
      <c r="J14" s="140">
        <f t="shared" si="1"/>
        <v>165.9</v>
      </c>
      <c r="K14" s="141">
        <f t="shared" si="2"/>
        <v>57132</v>
      </c>
      <c r="L14" s="142">
        <f t="shared" si="3"/>
        <v>2856.6</v>
      </c>
      <c r="M14" s="143"/>
      <c r="N14" s="144">
        <f t="shared" si="4"/>
        <v>37</v>
      </c>
      <c r="O14" s="145">
        <f t="shared" si="4"/>
        <v>330220</v>
      </c>
      <c r="P14" s="139">
        <f t="shared" si="5"/>
        <v>8113.5135135135133</v>
      </c>
      <c r="Q14" s="145">
        <f t="shared" si="6"/>
        <v>64980</v>
      </c>
      <c r="R14" s="140">
        <f t="shared" si="7"/>
        <v>1596.5405405405406</v>
      </c>
      <c r="S14" s="146">
        <f t="shared" si="8"/>
        <v>395200</v>
      </c>
      <c r="T14" s="142">
        <f t="shared" si="9"/>
        <v>10681.081081081082</v>
      </c>
      <c r="U14" s="147">
        <f t="shared" si="10"/>
        <v>57</v>
      </c>
      <c r="V14" s="145">
        <f t="shared" si="10"/>
        <v>383702</v>
      </c>
      <c r="W14" s="145">
        <f t="shared" si="11"/>
        <v>68630</v>
      </c>
      <c r="X14" s="148">
        <f t="shared" si="12"/>
        <v>452332</v>
      </c>
      <c r="Y14" s="145">
        <f t="shared" si="13"/>
        <v>7935.6491228070172</v>
      </c>
      <c r="Z14" s="149"/>
      <c r="AA14" s="150">
        <v>111</v>
      </c>
      <c r="AB14" s="138">
        <v>68630</v>
      </c>
      <c r="AC14" s="139">
        <f t="shared" si="14"/>
        <v>618.2882882882883</v>
      </c>
      <c r="AD14" s="138">
        <v>24850</v>
      </c>
      <c r="AE14" s="140">
        <f t="shared" si="15"/>
        <v>223.87387387387386</v>
      </c>
      <c r="AF14" s="151">
        <f t="shared" si="16"/>
        <v>93480</v>
      </c>
      <c r="AG14" s="142">
        <f t="shared" si="17"/>
        <v>842.16216216216219</v>
      </c>
      <c r="AH14" s="158">
        <f t="shared" si="18"/>
        <v>57</v>
      </c>
      <c r="AI14" s="145">
        <f t="shared" si="19"/>
        <v>452332</v>
      </c>
      <c r="AJ14" s="145">
        <f t="shared" si="20"/>
        <v>93480</v>
      </c>
      <c r="AK14" s="159">
        <f t="shared" si="21"/>
        <v>545812</v>
      </c>
      <c r="AL14" s="145">
        <f t="shared" si="22"/>
        <v>26400</v>
      </c>
      <c r="AM14" s="153">
        <v>57</v>
      </c>
      <c r="AN14" s="153">
        <v>383702</v>
      </c>
      <c r="AO14" s="153">
        <v>68630</v>
      </c>
      <c r="AP14" s="154">
        <v>26400</v>
      </c>
      <c r="AQ14" s="154">
        <v>0</v>
      </c>
      <c r="AR14" s="154">
        <v>0</v>
      </c>
      <c r="AS14" s="154">
        <v>25300</v>
      </c>
      <c r="AT14" s="155">
        <f t="shared" si="23"/>
        <v>478732</v>
      </c>
      <c r="AU14" s="121">
        <v>10</v>
      </c>
      <c r="AV14" s="122">
        <f t="shared" si="25"/>
        <v>504032</v>
      </c>
      <c r="AW14" s="156"/>
    </row>
    <row r="15" spans="1:49" s="5" customFormat="1" ht="13.5" customHeight="1">
      <c r="A15" s="121"/>
      <c r="B15" s="189">
        <f t="shared" si="24"/>
        <v>45607</v>
      </c>
      <c r="C15" s="134" t="s">
        <v>68</v>
      </c>
      <c r="D15" s="135">
        <v>89</v>
      </c>
      <c r="E15" s="136"/>
      <c r="F15" s="137"/>
      <c r="G15" s="138"/>
      <c r="H15" s="139" t="e">
        <f t="shared" si="0"/>
        <v>#DIV/0!</v>
      </c>
      <c r="I15" s="138"/>
      <c r="J15" s="140" t="e">
        <f t="shared" si="1"/>
        <v>#DIV/0!</v>
      </c>
      <c r="K15" s="141">
        <f t="shared" si="2"/>
        <v>0</v>
      </c>
      <c r="L15" s="142" t="str">
        <f t="shared" si="3"/>
        <v/>
      </c>
      <c r="M15" s="143"/>
      <c r="N15" s="144">
        <f t="shared" si="4"/>
        <v>36</v>
      </c>
      <c r="O15" s="145">
        <f t="shared" si="4"/>
        <v>380270</v>
      </c>
      <c r="P15" s="139">
        <f t="shared" si="5"/>
        <v>9602.7777777777774</v>
      </c>
      <c r="Q15" s="145">
        <f t="shared" si="6"/>
        <v>66750</v>
      </c>
      <c r="R15" s="140">
        <f t="shared" si="7"/>
        <v>1685.5833333333333</v>
      </c>
      <c r="S15" s="146">
        <f t="shared" si="8"/>
        <v>447020</v>
      </c>
      <c r="T15" s="142">
        <f t="shared" si="9"/>
        <v>12417.222222222223</v>
      </c>
      <c r="U15" s="147">
        <f t="shared" si="10"/>
        <v>36</v>
      </c>
      <c r="V15" s="145">
        <f t="shared" si="10"/>
        <v>380270</v>
      </c>
      <c r="W15" s="145">
        <f t="shared" si="11"/>
        <v>66750</v>
      </c>
      <c r="X15" s="148">
        <f t="shared" si="12"/>
        <v>447020</v>
      </c>
      <c r="Y15" s="145">
        <f t="shared" si="13"/>
        <v>12417.222222222223</v>
      </c>
      <c r="Z15" s="149"/>
      <c r="AA15" s="150">
        <v>46</v>
      </c>
      <c r="AB15" s="138">
        <v>25670</v>
      </c>
      <c r="AC15" s="139">
        <f t="shared" si="14"/>
        <v>558.04347826086962</v>
      </c>
      <c r="AD15" s="138">
        <v>11450</v>
      </c>
      <c r="AE15" s="140">
        <f t="shared" si="15"/>
        <v>248.91304347826087</v>
      </c>
      <c r="AF15" s="151">
        <f t="shared" si="16"/>
        <v>37120</v>
      </c>
      <c r="AG15" s="142">
        <f t="shared" si="17"/>
        <v>806.95652173913038</v>
      </c>
      <c r="AH15" s="158">
        <f t="shared" si="18"/>
        <v>36</v>
      </c>
      <c r="AI15" s="145">
        <f t="shared" si="19"/>
        <v>405940</v>
      </c>
      <c r="AJ15" s="145">
        <f t="shared" si="20"/>
        <v>78200</v>
      </c>
      <c r="AK15" s="152">
        <f t="shared" si="21"/>
        <v>484140</v>
      </c>
      <c r="AL15" s="145">
        <f t="shared" si="22"/>
        <v>24750</v>
      </c>
      <c r="AM15" s="153">
        <v>36</v>
      </c>
      <c r="AN15" s="153">
        <v>380270</v>
      </c>
      <c r="AO15" s="153">
        <v>66750</v>
      </c>
      <c r="AP15" s="154">
        <v>24750</v>
      </c>
      <c r="AQ15" s="154">
        <v>0</v>
      </c>
      <c r="AR15" s="154">
        <v>0</v>
      </c>
      <c r="AS15" s="154">
        <v>3300</v>
      </c>
      <c r="AT15" s="155">
        <f t="shared" si="23"/>
        <v>471770</v>
      </c>
      <c r="AU15" s="121">
        <v>11</v>
      </c>
      <c r="AV15" s="122">
        <f t="shared" si="25"/>
        <v>475070</v>
      </c>
      <c r="AW15" s="156"/>
    </row>
    <row r="16" spans="1:49" s="5" customFormat="1" ht="13.5" customHeight="1">
      <c r="A16" s="121"/>
      <c r="B16" s="189">
        <f t="shared" si="24"/>
        <v>45608</v>
      </c>
      <c r="C16" s="134" t="s">
        <v>69</v>
      </c>
      <c r="D16" s="135">
        <v>79</v>
      </c>
      <c r="E16" s="136"/>
      <c r="F16" s="137"/>
      <c r="G16" s="138"/>
      <c r="H16" s="139" t="e">
        <f t="shared" si="0"/>
        <v>#DIV/0!</v>
      </c>
      <c r="I16" s="138"/>
      <c r="J16" s="140" t="e">
        <f t="shared" si="1"/>
        <v>#DIV/0!</v>
      </c>
      <c r="K16" s="141">
        <f t="shared" si="2"/>
        <v>0</v>
      </c>
      <c r="L16" s="142" t="str">
        <f t="shared" si="3"/>
        <v/>
      </c>
      <c r="M16" s="143"/>
      <c r="N16" s="144">
        <f>AM16-F16</f>
        <v>28</v>
      </c>
      <c r="O16" s="145">
        <f t="shared" si="4"/>
        <v>264330</v>
      </c>
      <c r="P16" s="139">
        <f t="shared" si="5"/>
        <v>8582.1428571428569</v>
      </c>
      <c r="Q16" s="145">
        <f t="shared" si="6"/>
        <v>96270</v>
      </c>
      <c r="R16" s="140">
        <f t="shared" si="7"/>
        <v>3125.6428571428573</v>
      </c>
      <c r="S16" s="146">
        <f t="shared" si="8"/>
        <v>360600</v>
      </c>
      <c r="T16" s="142">
        <f t="shared" si="9"/>
        <v>12878.571428571429</v>
      </c>
      <c r="U16" s="147">
        <f t="shared" si="10"/>
        <v>28</v>
      </c>
      <c r="V16" s="145">
        <f t="shared" si="10"/>
        <v>264330</v>
      </c>
      <c r="W16" s="145">
        <f t="shared" si="11"/>
        <v>96270</v>
      </c>
      <c r="X16" s="148">
        <f t="shared" si="12"/>
        <v>360600</v>
      </c>
      <c r="Y16" s="145">
        <f t="shared" si="13"/>
        <v>12878.571428571429</v>
      </c>
      <c r="Z16" s="149"/>
      <c r="AA16" s="150">
        <v>31</v>
      </c>
      <c r="AB16" s="138">
        <v>22020</v>
      </c>
      <c r="AC16" s="139">
        <f t="shared" si="14"/>
        <v>710.32258064516134</v>
      </c>
      <c r="AD16" s="138">
        <v>14650</v>
      </c>
      <c r="AE16" s="140">
        <f t="shared" si="15"/>
        <v>472.58064516129031</v>
      </c>
      <c r="AF16" s="151">
        <f t="shared" si="16"/>
        <v>36670</v>
      </c>
      <c r="AG16" s="142">
        <f t="shared" si="17"/>
        <v>1182.9032258064517</v>
      </c>
      <c r="AH16" s="158">
        <v>66</v>
      </c>
      <c r="AI16" s="145">
        <f t="shared" si="19"/>
        <v>286350</v>
      </c>
      <c r="AJ16" s="145">
        <f t="shared" si="20"/>
        <v>110920</v>
      </c>
      <c r="AK16" s="152">
        <f t="shared" si="21"/>
        <v>397270</v>
      </c>
      <c r="AL16" s="145">
        <f t="shared" si="22"/>
        <v>8800</v>
      </c>
      <c r="AM16" s="153">
        <v>28</v>
      </c>
      <c r="AN16" s="153">
        <v>264330</v>
      </c>
      <c r="AO16" s="153">
        <v>96270</v>
      </c>
      <c r="AP16" s="154">
        <v>8800</v>
      </c>
      <c r="AQ16" s="154">
        <v>0</v>
      </c>
      <c r="AR16" s="154">
        <v>0</v>
      </c>
      <c r="AS16" s="154">
        <v>0</v>
      </c>
      <c r="AT16" s="155">
        <f t="shared" si="23"/>
        <v>369400</v>
      </c>
      <c r="AU16" s="121">
        <v>12</v>
      </c>
      <c r="AV16" s="122">
        <f t="shared" si="25"/>
        <v>369400</v>
      </c>
      <c r="AW16" s="156"/>
    </row>
    <row r="17" spans="1:49" s="5" customFormat="1" ht="13.5" customHeight="1">
      <c r="A17" s="121"/>
      <c r="B17" s="189">
        <f t="shared" si="24"/>
        <v>45609</v>
      </c>
      <c r="C17" s="134" t="s">
        <v>52</v>
      </c>
      <c r="D17" s="135">
        <v>95</v>
      </c>
      <c r="E17" s="136"/>
      <c r="F17" s="137"/>
      <c r="G17" s="138"/>
      <c r="H17" s="139" t="e">
        <f t="shared" si="0"/>
        <v>#DIV/0!</v>
      </c>
      <c r="I17" s="138"/>
      <c r="J17" s="140" t="e">
        <f t="shared" si="1"/>
        <v>#DIV/0!</v>
      </c>
      <c r="K17" s="141">
        <f t="shared" si="2"/>
        <v>0</v>
      </c>
      <c r="L17" s="142" t="str">
        <f t="shared" si="3"/>
        <v/>
      </c>
      <c r="M17" s="143"/>
      <c r="N17" s="144">
        <f t="shared" si="4"/>
        <v>38</v>
      </c>
      <c r="O17" s="145">
        <f t="shared" si="4"/>
        <v>374770</v>
      </c>
      <c r="P17" s="139">
        <f t="shared" si="5"/>
        <v>8965.78947368421</v>
      </c>
      <c r="Q17" s="145">
        <f t="shared" si="6"/>
        <v>66030</v>
      </c>
      <c r="R17" s="140">
        <f t="shared" si="7"/>
        <v>1579.6578947368421</v>
      </c>
      <c r="S17" s="146">
        <f t="shared" si="8"/>
        <v>440800</v>
      </c>
      <c r="T17" s="142">
        <f t="shared" si="9"/>
        <v>11600</v>
      </c>
      <c r="U17" s="147">
        <f t="shared" si="10"/>
        <v>38</v>
      </c>
      <c r="V17" s="145">
        <f t="shared" si="10"/>
        <v>374770</v>
      </c>
      <c r="W17" s="145">
        <f t="shared" si="11"/>
        <v>66030</v>
      </c>
      <c r="X17" s="148">
        <f t="shared" si="12"/>
        <v>440800</v>
      </c>
      <c r="Y17" s="145">
        <f t="shared" si="13"/>
        <v>11600</v>
      </c>
      <c r="Z17" s="149"/>
      <c r="AA17" s="150">
        <v>91</v>
      </c>
      <c r="AB17" s="138">
        <v>44720</v>
      </c>
      <c r="AC17" s="139">
        <f t="shared" si="14"/>
        <v>491.42857142857144</v>
      </c>
      <c r="AD17" s="138">
        <v>16400</v>
      </c>
      <c r="AE17" s="140">
        <f t="shared" si="15"/>
        <v>180.21978021978023</v>
      </c>
      <c r="AF17" s="151">
        <f t="shared" si="16"/>
        <v>61120</v>
      </c>
      <c r="AG17" s="142">
        <f t="shared" si="17"/>
        <v>671.64835164835165</v>
      </c>
      <c r="AH17" s="158">
        <f t="shared" si="18"/>
        <v>38</v>
      </c>
      <c r="AI17" s="145">
        <f t="shared" si="19"/>
        <v>419490</v>
      </c>
      <c r="AJ17" s="145">
        <f t="shared" si="20"/>
        <v>82430</v>
      </c>
      <c r="AK17" s="152">
        <f t="shared" si="21"/>
        <v>501920</v>
      </c>
      <c r="AL17" s="145">
        <f t="shared" si="22"/>
        <v>26950</v>
      </c>
      <c r="AM17" s="153">
        <v>38</v>
      </c>
      <c r="AN17" s="153">
        <v>374770</v>
      </c>
      <c r="AO17" s="153">
        <v>66030</v>
      </c>
      <c r="AP17" s="154">
        <v>26950</v>
      </c>
      <c r="AQ17" s="154">
        <v>0</v>
      </c>
      <c r="AR17" s="154">
        <v>0</v>
      </c>
      <c r="AS17" s="154">
        <v>0</v>
      </c>
      <c r="AT17" s="155">
        <f t="shared" si="23"/>
        <v>467750</v>
      </c>
      <c r="AU17" s="121">
        <v>13</v>
      </c>
      <c r="AV17" s="122">
        <f t="shared" si="25"/>
        <v>467750</v>
      </c>
      <c r="AW17" s="156"/>
    </row>
    <row r="18" spans="1:49" s="5" customFormat="1" ht="13.5" customHeight="1">
      <c r="A18" s="121"/>
      <c r="B18" s="189">
        <f t="shared" si="24"/>
        <v>45610</v>
      </c>
      <c r="C18" s="134" t="s">
        <v>52</v>
      </c>
      <c r="D18" s="135">
        <v>90</v>
      </c>
      <c r="E18" s="136"/>
      <c r="F18" s="137"/>
      <c r="G18" s="138"/>
      <c r="H18" s="139" t="e">
        <f t="shared" si="0"/>
        <v>#DIV/0!</v>
      </c>
      <c r="I18" s="138"/>
      <c r="J18" s="140" t="e">
        <f t="shared" si="1"/>
        <v>#DIV/0!</v>
      </c>
      <c r="K18" s="141">
        <f t="shared" si="2"/>
        <v>0</v>
      </c>
      <c r="L18" s="142" t="str">
        <f t="shared" si="3"/>
        <v/>
      </c>
      <c r="M18" s="143"/>
      <c r="N18" s="144">
        <f t="shared" si="4"/>
        <v>33</v>
      </c>
      <c r="O18" s="145">
        <f t="shared" si="4"/>
        <v>309320</v>
      </c>
      <c r="P18" s="139">
        <f t="shared" si="5"/>
        <v>8521.2121212121219</v>
      </c>
      <c r="Q18" s="145">
        <f t="shared" si="6"/>
        <v>39230</v>
      </c>
      <c r="R18" s="140">
        <f t="shared" si="7"/>
        <v>1080.6969696969697</v>
      </c>
      <c r="S18" s="146">
        <f t="shared" si="8"/>
        <v>348550</v>
      </c>
      <c r="T18" s="142">
        <f t="shared" si="9"/>
        <v>10562.121212121212</v>
      </c>
      <c r="U18" s="147">
        <f t="shared" si="10"/>
        <v>33</v>
      </c>
      <c r="V18" s="145">
        <f t="shared" si="10"/>
        <v>309320</v>
      </c>
      <c r="W18" s="145">
        <f t="shared" si="11"/>
        <v>39230</v>
      </c>
      <c r="X18" s="148">
        <f t="shared" si="12"/>
        <v>348550</v>
      </c>
      <c r="Y18" s="145">
        <f t="shared" si="13"/>
        <v>10562.121212121212</v>
      </c>
      <c r="Z18" s="149"/>
      <c r="AA18" s="150">
        <v>74</v>
      </c>
      <c r="AB18" s="138">
        <v>46350</v>
      </c>
      <c r="AC18" s="139">
        <f t="shared" si="14"/>
        <v>626.35135135135135</v>
      </c>
      <c r="AD18" s="138">
        <v>20900</v>
      </c>
      <c r="AE18" s="140">
        <f t="shared" si="15"/>
        <v>282.43243243243245</v>
      </c>
      <c r="AF18" s="151">
        <f t="shared" si="16"/>
        <v>67250</v>
      </c>
      <c r="AG18" s="142">
        <f t="shared" si="17"/>
        <v>908.78378378378375</v>
      </c>
      <c r="AH18" s="158">
        <f t="shared" si="18"/>
        <v>33</v>
      </c>
      <c r="AI18" s="145">
        <f t="shared" si="19"/>
        <v>355670</v>
      </c>
      <c r="AJ18" s="145">
        <f t="shared" si="20"/>
        <v>60130</v>
      </c>
      <c r="AK18" s="152">
        <f t="shared" si="21"/>
        <v>415800</v>
      </c>
      <c r="AL18" s="145">
        <f t="shared" si="22"/>
        <v>22460</v>
      </c>
      <c r="AM18" s="153">
        <v>33</v>
      </c>
      <c r="AN18" s="153">
        <v>309320</v>
      </c>
      <c r="AO18" s="153">
        <v>39230</v>
      </c>
      <c r="AP18" s="154">
        <v>20900</v>
      </c>
      <c r="AQ18" s="154">
        <v>1560</v>
      </c>
      <c r="AR18" s="154">
        <v>0</v>
      </c>
      <c r="AS18" s="154">
        <v>0</v>
      </c>
      <c r="AT18" s="155">
        <f t="shared" si="23"/>
        <v>371010</v>
      </c>
      <c r="AU18" s="121">
        <v>14</v>
      </c>
      <c r="AV18" s="122">
        <f t="shared" si="25"/>
        <v>371010</v>
      </c>
      <c r="AW18" s="156"/>
    </row>
    <row r="19" spans="1:49" s="5" customFormat="1" ht="13.5" customHeight="1">
      <c r="A19" s="121"/>
      <c r="B19" s="189">
        <f t="shared" si="24"/>
        <v>45611</v>
      </c>
      <c r="C19" s="134" t="s">
        <v>52</v>
      </c>
      <c r="D19" s="135">
        <v>82</v>
      </c>
      <c r="E19" s="136"/>
      <c r="F19" s="137"/>
      <c r="G19" s="138"/>
      <c r="H19" s="139" t="e">
        <f t="shared" si="0"/>
        <v>#DIV/0!</v>
      </c>
      <c r="I19" s="138"/>
      <c r="J19" s="140" t="e">
        <f t="shared" si="1"/>
        <v>#DIV/0!</v>
      </c>
      <c r="K19" s="141">
        <f t="shared" si="2"/>
        <v>0</v>
      </c>
      <c r="L19" s="142" t="str">
        <f t="shared" si="3"/>
        <v/>
      </c>
      <c r="M19" s="143"/>
      <c r="N19" s="144">
        <f t="shared" si="4"/>
        <v>32</v>
      </c>
      <c r="O19" s="145">
        <f t="shared" si="4"/>
        <v>340870</v>
      </c>
      <c r="P19" s="139">
        <f t="shared" si="5"/>
        <v>9683.78125</v>
      </c>
      <c r="Q19" s="145">
        <f t="shared" si="6"/>
        <v>65520</v>
      </c>
      <c r="R19" s="163">
        <f t="shared" si="7"/>
        <v>1861.34375</v>
      </c>
      <c r="S19" s="146">
        <f t="shared" si="8"/>
        <v>406390</v>
      </c>
      <c r="T19" s="142">
        <f t="shared" si="9"/>
        <v>12699.6875</v>
      </c>
      <c r="U19" s="147">
        <f t="shared" si="10"/>
        <v>32</v>
      </c>
      <c r="V19" s="145">
        <f t="shared" si="10"/>
        <v>340870</v>
      </c>
      <c r="W19" s="145">
        <f t="shared" si="11"/>
        <v>65520</v>
      </c>
      <c r="X19" s="148">
        <f t="shared" si="12"/>
        <v>406390</v>
      </c>
      <c r="Y19" s="145">
        <f t="shared" si="13"/>
        <v>12699.6875</v>
      </c>
      <c r="Z19" s="149"/>
      <c r="AA19" s="150">
        <v>60</v>
      </c>
      <c r="AB19" s="138">
        <v>48780</v>
      </c>
      <c r="AC19" s="139">
        <f t="shared" si="14"/>
        <v>813</v>
      </c>
      <c r="AD19" s="138">
        <v>14500</v>
      </c>
      <c r="AE19" s="140">
        <f t="shared" si="15"/>
        <v>241.66666666666666</v>
      </c>
      <c r="AF19" s="151">
        <f t="shared" si="16"/>
        <v>63280</v>
      </c>
      <c r="AG19" s="142">
        <f t="shared" si="17"/>
        <v>1054.6666666666667</v>
      </c>
      <c r="AH19" s="158">
        <f t="shared" si="18"/>
        <v>32</v>
      </c>
      <c r="AI19" s="145">
        <f t="shared" si="19"/>
        <v>389650</v>
      </c>
      <c r="AJ19" s="145">
        <f t="shared" si="20"/>
        <v>80020</v>
      </c>
      <c r="AK19" s="152">
        <f t="shared" si="21"/>
        <v>469670</v>
      </c>
      <c r="AL19" s="145">
        <f t="shared" si="22"/>
        <v>20900</v>
      </c>
      <c r="AM19" s="153">
        <v>32</v>
      </c>
      <c r="AN19" s="153">
        <v>340870</v>
      </c>
      <c r="AO19" s="153">
        <v>65520</v>
      </c>
      <c r="AP19" s="154">
        <v>20900</v>
      </c>
      <c r="AQ19" s="154">
        <v>0</v>
      </c>
      <c r="AR19" s="154">
        <v>0</v>
      </c>
      <c r="AS19" s="154">
        <v>0</v>
      </c>
      <c r="AT19" s="155">
        <f t="shared" si="23"/>
        <v>427290</v>
      </c>
      <c r="AU19" s="121">
        <v>15</v>
      </c>
      <c r="AV19" s="122">
        <f t="shared" si="25"/>
        <v>427290</v>
      </c>
      <c r="AW19" s="121"/>
    </row>
    <row r="20" spans="1:49" s="5" customFormat="1" ht="13.5" customHeight="1">
      <c r="A20" s="121"/>
      <c r="B20" s="160">
        <f t="shared" si="24"/>
        <v>45612</v>
      </c>
      <c r="C20" s="134" t="s">
        <v>70</v>
      </c>
      <c r="D20" s="135">
        <v>81</v>
      </c>
      <c r="E20" s="136">
        <v>11</v>
      </c>
      <c r="F20" s="137">
        <v>27</v>
      </c>
      <c r="G20" s="138">
        <v>82632</v>
      </c>
      <c r="H20" s="139">
        <f t="shared" si="0"/>
        <v>2782.2222222222222</v>
      </c>
      <c r="I20" s="138">
        <v>21770</v>
      </c>
      <c r="J20" s="139">
        <f t="shared" si="1"/>
        <v>732.96296296296293</v>
      </c>
      <c r="K20" s="141">
        <f t="shared" si="2"/>
        <v>104402</v>
      </c>
      <c r="L20" s="142">
        <f t="shared" si="3"/>
        <v>3866.7407407407409</v>
      </c>
      <c r="M20" s="143"/>
      <c r="N20" s="144">
        <f t="shared" si="4"/>
        <v>33</v>
      </c>
      <c r="O20" s="145">
        <f t="shared" si="4"/>
        <v>329890</v>
      </c>
      <c r="P20" s="139">
        <f t="shared" si="5"/>
        <v>9087.878787878788</v>
      </c>
      <c r="Q20" s="145">
        <f t="shared" si="6"/>
        <v>54320</v>
      </c>
      <c r="R20" s="163">
        <f t="shared" si="7"/>
        <v>1496.3939393939395</v>
      </c>
      <c r="S20" s="146">
        <f t="shared" si="8"/>
        <v>384210</v>
      </c>
      <c r="T20" s="142">
        <f t="shared" si="9"/>
        <v>11642.727272727272</v>
      </c>
      <c r="U20" s="147">
        <f t="shared" si="10"/>
        <v>60</v>
      </c>
      <c r="V20" s="145">
        <f t="shared" si="10"/>
        <v>412522</v>
      </c>
      <c r="W20" s="145">
        <f t="shared" si="11"/>
        <v>76090</v>
      </c>
      <c r="X20" s="148">
        <f t="shared" si="12"/>
        <v>488612</v>
      </c>
      <c r="Y20" s="145">
        <f t="shared" si="13"/>
        <v>8143.5333333333338</v>
      </c>
      <c r="Z20" s="149"/>
      <c r="AA20" s="150">
        <v>56</v>
      </c>
      <c r="AB20" s="138">
        <v>40480</v>
      </c>
      <c r="AC20" s="139">
        <f t="shared" si="14"/>
        <v>722.85714285714289</v>
      </c>
      <c r="AD20" s="138">
        <v>19250</v>
      </c>
      <c r="AE20" s="140">
        <f t="shared" si="15"/>
        <v>343.75</v>
      </c>
      <c r="AF20" s="151">
        <f t="shared" si="16"/>
        <v>59730</v>
      </c>
      <c r="AG20" s="142">
        <f t="shared" si="17"/>
        <v>1066.6071428571429</v>
      </c>
      <c r="AH20" s="158">
        <f t="shared" si="18"/>
        <v>60</v>
      </c>
      <c r="AI20" s="153">
        <f t="shared" si="19"/>
        <v>453002</v>
      </c>
      <c r="AJ20" s="153">
        <f t="shared" si="20"/>
        <v>95340</v>
      </c>
      <c r="AK20" s="152">
        <f t="shared" si="21"/>
        <v>548342</v>
      </c>
      <c r="AL20" s="145">
        <f t="shared" si="22"/>
        <v>30250</v>
      </c>
      <c r="AM20" s="153">
        <v>60</v>
      </c>
      <c r="AN20" s="153">
        <v>412522</v>
      </c>
      <c r="AO20" s="153">
        <v>76090</v>
      </c>
      <c r="AP20" s="154">
        <v>30250</v>
      </c>
      <c r="AQ20" s="154">
        <v>0</v>
      </c>
      <c r="AR20" s="154">
        <v>0</v>
      </c>
      <c r="AS20" s="154">
        <v>0</v>
      </c>
      <c r="AT20" s="155">
        <f t="shared" si="23"/>
        <v>518862</v>
      </c>
      <c r="AU20" s="121">
        <v>16</v>
      </c>
      <c r="AV20" s="122">
        <f t="shared" si="25"/>
        <v>518862</v>
      </c>
      <c r="AW20" s="156"/>
    </row>
    <row r="21" spans="1:49" s="5" customFormat="1" ht="15.75" customHeight="1">
      <c r="A21" s="121"/>
      <c r="B21" s="161">
        <f t="shared" si="24"/>
        <v>45613</v>
      </c>
      <c r="C21" s="134" t="s">
        <v>71</v>
      </c>
      <c r="D21" s="135">
        <v>80</v>
      </c>
      <c r="E21" s="136">
        <v>6</v>
      </c>
      <c r="F21" s="137">
        <v>15</v>
      </c>
      <c r="G21" s="138">
        <v>62480</v>
      </c>
      <c r="H21" s="139">
        <f t="shared" si="0"/>
        <v>3786.6666666666665</v>
      </c>
      <c r="I21" s="138">
        <v>11200</v>
      </c>
      <c r="J21" s="139">
        <f t="shared" si="1"/>
        <v>678.73333333333335</v>
      </c>
      <c r="K21" s="141">
        <f t="shared" si="2"/>
        <v>73680</v>
      </c>
      <c r="L21" s="142">
        <f t="shared" si="3"/>
        <v>4912</v>
      </c>
      <c r="M21" s="143"/>
      <c r="N21" s="144">
        <f t="shared" ref="N21:O35" si="26">AM21-F21</f>
        <v>35</v>
      </c>
      <c r="O21" s="145">
        <f t="shared" si="26"/>
        <v>395890</v>
      </c>
      <c r="P21" s="139">
        <f t="shared" si="5"/>
        <v>10282.857142857143</v>
      </c>
      <c r="Q21" s="145">
        <f t="shared" si="6"/>
        <v>68750</v>
      </c>
      <c r="R21" s="163">
        <f t="shared" si="7"/>
        <v>1785.7142857142858</v>
      </c>
      <c r="S21" s="146">
        <f t="shared" si="8"/>
        <v>464640</v>
      </c>
      <c r="T21" s="142">
        <f t="shared" si="9"/>
        <v>13275.428571428571</v>
      </c>
      <c r="U21" s="147">
        <f t="shared" ref="U21:V35" si="27">F21+N21</f>
        <v>50</v>
      </c>
      <c r="V21" s="145">
        <f t="shared" si="27"/>
        <v>458370</v>
      </c>
      <c r="W21" s="145">
        <f t="shared" si="11"/>
        <v>79950</v>
      </c>
      <c r="X21" s="148">
        <f t="shared" si="12"/>
        <v>538320</v>
      </c>
      <c r="Y21" s="145">
        <f t="shared" si="13"/>
        <v>10766.4</v>
      </c>
      <c r="Z21" s="149"/>
      <c r="AA21" s="150">
        <v>25</v>
      </c>
      <c r="AB21" s="138">
        <v>14130</v>
      </c>
      <c r="AC21" s="139">
        <f t="shared" si="14"/>
        <v>565.20000000000005</v>
      </c>
      <c r="AD21" s="138">
        <v>5500</v>
      </c>
      <c r="AE21" s="140">
        <f t="shared" si="15"/>
        <v>220</v>
      </c>
      <c r="AF21" s="151">
        <f t="shared" si="16"/>
        <v>19630</v>
      </c>
      <c r="AG21" s="142">
        <f t="shared" si="17"/>
        <v>785.2</v>
      </c>
      <c r="AH21" s="158">
        <v>50</v>
      </c>
      <c r="AI21" s="153">
        <f t="shared" si="19"/>
        <v>472500</v>
      </c>
      <c r="AJ21" s="153">
        <f t="shared" si="20"/>
        <v>85450</v>
      </c>
      <c r="AK21" s="152">
        <f t="shared" si="21"/>
        <v>557950</v>
      </c>
      <c r="AL21" s="145">
        <f t="shared" si="22"/>
        <v>24750</v>
      </c>
      <c r="AM21" s="153">
        <v>50</v>
      </c>
      <c r="AN21" s="153">
        <v>458370</v>
      </c>
      <c r="AO21" s="153">
        <v>79950</v>
      </c>
      <c r="AP21" s="154">
        <v>24750</v>
      </c>
      <c r="AQ21" s="154">
        <v>0</v>
      </c>
      <c r="AR21" s="154">
        <v>0</v>
      </c>
      <c r="AS21" s="154">
        <v>0</v>
      </c>
      <c r="AT21" s="155">
        <f t="shared" si="23"/>
        <v>563070</v>
      </c>
      <c r="AU21" s="121">
        <v>17</v>
      </c>
      <c r="AV21" s="122">
        <f t="shared" si="25"/>
        <v>563070</v>
      </c>
      <c r="AW21" s="156"/>
    </row>
    <row r="22" spans="1:49" s="5" customFormat="1" ht="15.75" customHeight="1">
      <c r="A22" s="121"/>
      <c r="B22" s="189">
        <f t="shared" si="24"/>
        <v>45614</v>
      </c>
      <c r="C22" s="134" t="s">
        <v>72</v>
      </c>
      <c r="D22" s="135">
        <v>75</v>
      </c>
      <c r="E22" s="136"/>
      <c r="F22" s="137"/>
      <c r="G22" s="138"/>
      <c r="H22" s="139" t="e">
        <f t="shared" si="0"/>
        <v>#DIV/0!</v>
      </c>
      <c r="I22" s="138"/>
      <c r="J22" s="139" t="e">
        <f t="shared" si="1"/>
        <v>#DIV/0!</v>
      </c>
      <c r="K22" s="141">
        <f t="shared" si="2"/>
        <v>0</v>
      </c>
      <c r="L22" s="142" t="str">
        <f t="shared" si="3"/>
        <v/>
      </c>
      <c r="M22" s="143"/>
      <c r="N22" s="144">
        <f t="shared" si="26"/>
        <v>27</v>
      </c>
      <c r="O22" s="145">
        <f t="shared" si="26"/>
        <v>253990</v>
      </c>
      <c r="P22" s="139">
        <f t="shared" si="5"/>
        <v>8551.8518518518522</v>
      </c>
      <c r="Q22" s="145">
        <f t="shared" si="6"/>
        <v>45160</v>
      </c>
      <c r="R22" s="163">
        <f t="shared" si="7"/>
        <v>1520.5185185185185</v>
      </c>
      <c r="S22" s="146">
        <f t="shared" si="8"/>
        <v>299150</v>
      </c>
      <c r="T22" s="142">
        <f t="shared" si="9"/>
        <v>11079.62962962963</v>
      </c>
      <c r="U22" s="147">
        <f t="shared" si="27"/>
        <v>27</v>
      </c>
      <c r="V22" s="145">
        <f t="shared" si="27"/>
        <v>253990</v>
      </c>
      <c r="W22" s="145">
        <f t="shared" si="11"/>
        <v>45160</v>
      </c>
      <c r="X22" s="148">
        <f t="shared" si="12"/>
        <v>299150</v>
      </c>
      <c r="Y22" s="145">
        <f t="shared" si="13"/>
        <v>11079.62962962963</v>
      </c>
      <c r="Z22" s="149"/>
      <c r="AA22" s="150">
        <v>48</v>
      </c>
      <c r="AB22" s="138">
        <v>32260</v>
      </c>
      <c r="AC22" s="139">
        <f t="shared" si="14"/>
        <v>672.08333333333337</v>
      </c>
      <c r="AD22" s="138">
        <v>19150</v>
      </c>
      <c r="AE22" s="140">
        <f t="shared" si="15"/>
        <v>398.95833333333331</v>
      </c>
      <c r="AF22" s="151">
        <f t="shared" si="16"/>
        <v>51410</v>
      </c>
      <c r="AG22" s="142">
        <f t="shared" si="17"/>
        <v>1071.0416666666667</v>
      </c>
      <c r="AH22" s="158">
        <f t="shared" si="18"/>
        <v>27</v>
      </c>
      <c r="AI22" s="153">
        <f t="shared" si="19"/>
        <v>286250</v>
      </c>
      <c r="AJ22" s="153">
        <f t="shared" si="20"/>
        <v>64310</v>
      </c>
      <c r="AK22" s="152">
        <f t="shared" si="21"/>
        <v>350560</v>
      </c>
      <c r="AL22" s="145">
        <f t="shared" si="22"/>
        <v>17270</v>
      </c>
      <c r="AM22" s="153">
        <v>27</v>
      </c>
      <c r="AN22" s="153">
        <v>253990</v>
      </c>
      <c r="AO22" s="153">
        <v>45160</v>
      </c>
      <c r="AP22" s="154">
        <v>14850</v>
      </c>
      <c r="AQ22" s="154">
        <v>2420</v>
      </c>
      <c r="AR22" s="154">
        <v>0</v>
      </c>
      <c r="AS22" s="154">
        <v>0</v>
      </c>
      <c r="AT22" s="155">
        <f t="shared" si="23"/>
        <v>316420</v>
      </c>
      <c r="AU22" s="121">
        <v>18</v>
      </c>
      <c r="AV22" s="122">
        <f t="shared" si="25"/>
        <v>316420</v>
      </c>
      <c r="AW22" s="156"/>
    </row>
    <row r="23" spans="1:49" s="5" customFormat="1" ht="15.75" customHeight="1">
      <c r="A23" s="121"/>
      <c r="B23" s="189">
        <f t="shared" si="24"/>
        <v>45615</v>
      </c>
      <c r="C23" s="134" t="s">
        <v>73</v>
      </c>
      <c r="D23" s="135">
        <v>100</v>
      </c>
      <c r="E23" s="136"/>
      <c r="F23" s="137"/>
      <c r="G23" s="138"/>
      <c r="H23" s="139" t="e">
        <f t="shared" si="0"/>
        <v>#DIV/0!</v>
      </c>
      <c r="I23" s="138"/>
      <c r="J23" s="139" t="e">
        <f t="shared" si="1"/>
        <v>#DIV/0!</v>
      </c>
      <c r="K23" s="141">
        <f t="shared" si="2"/>
        <v>0</v>
      </c>
      <c r="L23" s="142" t="str">
        <f t="shared" si="3"/>
        <v/>
      </c>
      <c r="M23" s="143"/>
      <c r="N23" s="144">
        <f t="shared" si="26"/>
        <v>39</v>
      </c>
      <c r="O23" s="145">
        <f t="shared" si="26"/>
        <v>403040</v>
      </c>
      <c r="P23" s="139">
        <f t="shared" si="5"/>
        <v>9394.8717948717949</v>
      </c>
      <c r="Q23" s="145">
        <f t="shared" si="6"/>
        <v>45420</v>
      </c>
      <c r="R23" s="163">
        <f t="shared" si="7"/>
        <v>1058.7179487179487</v>
      </c>
      <c r="S23" s="146">
        <f t="shared" si="8"/>
        <v>448460</v>
      </c>
      <c r="T23" s="142">
        <f t="shared" si="9"/>
        <v>11498.974358974359</v>
      </c>
      <c r="U23" s="147">
        <f t="shared" si="27"/>
        <v>39</v>
      </c>
      <c r="V23" s="145">
        <f t="shared" si="27"/>
        <v>403040</v>
      </c>
      <c r="W23" s="145">
        <f t="shared" si="11"/>
        <v>45420</v>
      </c>
      <c r="X23" s="148">
        <f t="shared" si="12"/>
        <v>448460</v>
      </c>
      <c r="Y23" s="145">
        <f t="shared" si="13"/>
        <v>11498.974358974359</v>
      </c>
      <c r="Z23" s="149"/>
      <c r="AA23" s="150">
        <v>40</v>
      </c>
      <c r="AB23" s="138">
        <v>23560</v>
      </c>
      <c r="AC23" s="139">
        <f t="shared" si="14"/>
        <v>589</v>
      </c>
      <c r="AD23" s="138">
        <v>9250</v>
      </c>
      <c r="AE23" s="140">
        <f t="shared" si="15"/>
        <v>231.25</v>
      </c>
      <c r="AF23" s="151">
        <f t="shared" si="16"/>
        <v>32810</v>
      </c>
      <c r="AG23" s="142">
        <f t="shared" si="17"/>
        <v>820.25</v>
      </c>
      <c r="AH23" s="158">
        <f t="shared" si="18"/>
        <v>39</v>
      </c>
      <c r="AI23" s="153">
        <f t="shared" si="19"/>
        <v>426600</v>
      </c>
      <c r="AJ23" s="153">
        <f t="shared" si="20"/>
        <v>54670</v>
      </c>
      <c r="AK23" s="152">
        <f t="shared" si="21"/>
        <v>481270</v>
      </c>
      <c r="AL23" s="145">
        <f t="shared" si="22"/>
        <v>31260</v>
      </c>
      <c r="AM23" s="153">
        <v>39</v>
      </c>
      <c r="AN23" s="153">
        <v>403040</v>
      </c>
      <c r="AO23" s="153">
        <v>45420</v>
      </c>
      <c r="AP23" s="154">
        <v>29700</v>
      </c>
      <c r="AQ23" s="154">
        <v>1560</v>
      </c>
      <c r="AR23" s="154">
        <v>0</v>
      </c>
      <c r="AS23" s="154">
        <v>0</v>
      </c>
      <c r="AT23" s="155">
        <f t="shared" si="23"/>
        <v>479720</v>
      </c>
      <c r="AU23" s="121">
        <v>19</v>
      </c>
      <c r="AV23" s="122">
        <f t="shared" si="25"/>
        <v>479720</v>
      </c>
      <c r="AW23" s="156"/>
    </row>
    <row r="24" spans="1:49" s="5" customFormat="1" ht="15.75" customHeight="1">
      <c r="A24" s="121"/>
      <c r="B24" s="189">
        <f t="shared" si="24"/>
        <v>45616</v>
      </c>
      <c r="C24" s="134" t="s">
        <v>52</v>
      </c>
      <c r="D24" s="135">
        <v>98</v>
      </c>
      <c r="E24" s="136"/>
      <c r="F24" s="137"/>
      <c r="G24" s="138"/>
      <c r="H24" s="139" t="e">
        <f t="shared" si="0"/>
        <v>#DIV/0!</v>
      </c>
      <c r="I24" s="138"/>
      <c r="J24" s="139" t="e">
        <f t="shared" si="1"/>
        <v>#DIV/0!</v>
      </c>
      <c r="K24" s="141">
        <f t="shared" si="2"/>
        <v>0</v>
      </c>
      <c r="L24" s="142" t="str">
        <f t="shared" si="3"/>
        <v/>
      </c>
      <c r="M24" s="143"/>
      <c r="N24" s="144">
        <f t="shared" si="26"/>
        <v>29</v>
      </c>
      <c r="O24" s="145">
        <f t="shared" si="26"/>
        <v>238370</v>
      </c>
      <c r="P24" s="139">
        <f t="shared" si="5"/>
        <v>7472.4137931034484</v>
      </c>
      <c r="Q24" s="145">
        <f t="shared" si="6"/>
        <v>42840</v>
      </c>
      <c r="R24" s="163">
        <f t="shared" si="7"/>
        <v>1342.9310344827586</v>
      </c>
      <c r="S24" s="146">
        <f t="shared" si="8"/>
        <v>281210</v>
      </c>
      <c r="T24" s="142">
        <f t="shared" si="9"/>
        <v>9696.8965517241377</v>
      </c>
      <c r="U24" s="147">
        <f t="shared" si="27"/>
        <v>29</v>
      </c>
      <c r="V24" s="145">
        <f t="shared" si="27"/>
        <v>238370</v>
      </c>
      <c r="W24" s="145">
        <f t="shared" si="11"/>
        <v>42840</v>
      </c>
      <c r="X24" s="148">
        <f t="shared" si="12"/>
        <v>281210</v>
      </c>
      <c r="Y24" s="145">
        <f t="shared" si="13"/>
        <v>9696.8965517241377</v>
      </c>
      <c r="Z24" s="149"/>
      <c r="AA24" s="150">
        <v>106</v>
      </c>
      <c r="AB24" s="138">
        <v>61200</v>
      </c>
      <c r="AC24" s="139">
        <f t="shared" si="14"/>
        <v>577.35849056603774</v>
      </c>
      <c r="AD24" s="138">
        <v>33100</v>
      </c>
      <c r="AE24" s="140">
        <f t="shared" si="15"/>
        <v>312.2641509433962</v>
      </c>
      <c r="AF24" s="151">
        <f t="shared" si="16"/>
        <v>94300</v>
      </c>
      <c r="AG24" s="142">
        <f t="shared" si="17"/>
        <v>889.62264150943395</v>
      </c>
      <c r="AH24" s="158">
        <f t="shared" si="18"/>
        <v>29</v>
      </c>
      <c r="AI24" s="153">
        <f t="shared" si="19"/>
        <v>299570</v>
      </c>
      <c r="AJ24" s="153">
        <f t="shared" si="20"/>
        <v>75940</v>
      </c>
      <c r="AK24" s="152">
        <f t="shared" si="21"/>
        <v>375510</v>
      </c>
      <c r="AL24" s="145">
        <f t="shared" si="22"/>
        <v>26400</v>
      </c>
      <c r="AM24" s="153">
        <v>29</v>
      </c>
      <c r="AN24" s="153">
        <v>238370</v>
      </c>
      <c r="AO24" s="153">
        <v>42840</v>
      </c>
      <c r="AP24" s="154">
        <v>26400</v>
      </c>
      <c r="AQ24" s="154">
        <v>0</v>
      </c>
      <c r="AR24" s="154">
        <v>0</v>
      </c>
      <c r="AS24" s="154">
        <v>5500</v>
      </c>
      <c r="AT24" s="155">
        <f t="shared" si="23"/>
        <v>307610</v>
      </c>
      <c r="AU24" s="121">
        <v>20</v>
      </c>
      <c r="AV24" s="122">
        <f t="shared" si="25"/>
        <v>313110</v>
      </c>
      <c r="AW24" s="156"/>
    </row>
    <row r="25" spans="1:49" s="5" customFormat="1" ht="15.75" customHeight="1">
      <c r="A25" s="121"/>
      <c r="B25" s="189">
        <f t="shared" si="24"/>
        <v>45617</v>
      </c>
      <c r="C25" s="134" t="s">
        <v>52</v>
      </c>
      <c r="D25" s="135">
        <v>96</v>
      </c>
      <c r="E25" s="136"/>
      <c r="F25" s="137"/>
      <c r="G25" s="138"/>
      <c r="H25" s="139" t="e">
        <f t="shared" si="0"/>
        <v>#DIV/0!</v>
      </c>
      <c r="I25" s="138"/>
      <c r="J25" s="139" t="e">
        <f t="shared" si="1"/>
        <v>#DIV/0!</v>
      </c>
      <c r="K25" s="141">
        <f t="shared" si="2"/>
        <v>0</v>
      </c>
      <c r="L25" s="142" t="str">
        <f t="shared" si="3"/>
        <v/>
      </c>
      <c r="M25" s="143"/>
      <c r="N25" s="144">
        <f t="shared" si="26"/>
        <v>36</v>
      </c>
      <c r="O25" s="145">
        <f t="shared" si="26"/>
        <v>333410</v>
      </c>
      <c r="P25" s="139">
        <f t="shared" si="5"/>
        <v>8419.4444444444453</v>
      </c>
      <c r="Q25" s="145">
        <f t="shared" si="6"/>
        <v>56750</v>
      </c>
      <c r="R25" s="163">
        <f t="shared" si="7"/>
        <v>1433.0555555555557</v>
      </c>
      <c r="S25" s="146">
        <f t="shared" si="8"/>
        <v>390160</v>
      </c>
      <c r="T25" s="142">
        <f t="shared" si="9"/>
        <v>10837.777777777777</v>
      </c>
      <c r="U25" s="147">
        <f t="shared" si="27"/>
        <v>36</v>
      </c>
      <c r="V25" s="145">
        <f t="shared" si="27"/>
        <v>333410</v>
      </c>
      <c r="W25" s="145">
        <f t="shared" si="11"/>
        <v>56750</v>
      </c>
      <c r="X25" s="148">
        <f t="shared" si="12"/>
        <v>390160</v>
      </c>
      <c r="Y25" s="145">
        <f t="shared" si="13"/>
        <v>10837.777777777777</v>
      </c>
      <c r="Z25" s="149"/>
      <c r="AA25" s="150">
        <v>94</v>
      </c>
      <c r="AB25" s="138">
        <v>65910</v>
      </c>
      <c r="AC25" s="139">
        <f t="shared" si="14"/>
        <v>701.17021276595744</v>
      </c>
      <c r="AD25" s="138">
        <v>17850</v>
      </c>
      <c r="AE25" s="140">
        <f t="shared" si="15"/>
        <v>189.89361702127658</v>
      </c>
      <c r="AF25" s="151">
        <f t="shared" si="16"/>
        <v>83760</v>
      </c>
      <c r="AG25" s="142">
        <f t="shared" si="17"/>
        <v>891.063829787234</v>
      </c>
      <c r="AH25" s="158">
        <f t="shared" si="18"/>
        <v>36</v>
      </c>
      <c r="AI25" s="153">
        <f t="shared" si="19"/>
        <v>399320</v>
      </c>
      <c r="AJ25" s="153">
        <f t="shared" si="20"/>
        <v>74600</v>
      </c>
      <c r="AK25" s="152">
        <f t="shared" si="21"/>
        <v>473920</v>
      </c>
      <c r="AL25" s="145">
        <f t="shared" si="22"/>
        <v>30910</v>
      </c>
      <c r="AM25" s="153">
        <v>36</v>
      </c>
      <c r="AN25" s="153">
        <v>333410</v>
      </c>
      <c r="AO25" s="153">
        <v>56750</v>
      </c>
      <c r="AP25" s="154">
        <v>28050</v>
      </c>
      <c r="AQ25" s="154">
        <v>2860</v>
      </c>
      <c r="AR25" s="154">
        <v>0</v>
      </c>
      <c r="AS25" s="154">
        <v>70000</v>
      </c>
      <c r="AT25" s="155">
        <f t="shared" si="23"/>
        <v>421070</v>
      </c>
      <c r="AU25" s="121">
        <v>21</v>
      </c>
      <c r="AV25" s="122">
        <f t="shared" si="25"/>
        <v>491070</v>
      </c>
      <c r="AW25" s="156"/>
    </row>
    <row r="26" spans="1:49" s="5" customFormat="1" ht="15.75" customHeight="1">
      <c r="A26" s="121"/>
      <c r="B26" s="189">
        <f t="shared" si="24"/>
        <v>45618</v>
      </c>
      <c r="C26" s="134" t="s">
        <v>52</v>
      </c>
      <c r="D26" s="135">
        <v>84</v>
      </c>
      <c r="E26" s="136"/>
      <c r="F26" s="137"/>
      <c r="G26" s="138"/>
      <c r="H26" s="139" t="e">
        <f t="shared" si="0"/>
        <v>#DIV/0!</v>
      </c>
      <c r="I26" s="138"/>
      <c r="J26" s="139" t="e">
        <f t="shared" si="1"/>
        <v>#DIV/0!</v>
      </c>
      <c r="K26" s="141">
        <f t="shared" si="2"/>
        <v>0</v>
      </c>
      <c r="L26" s="142" t="str">
        <f t="shared" si="3"/>
        <v/>
      </c>
      <c r="M26" s="143"/>
      <c r="N26" s="144">
        <f t="shared" si="26"/>
        <v>39</v>
      </c>
      <c r="O26" s="145">
        <f t="shared" si="26"/>
        <v>355520</v>
      </c>
      <c r="P26" s="139">
        <f t="shared" si="5"/>
        <v>8287.1794871794864</v>
      </c>
      <c r="Q26" s="145">
        <f t="shared" si="6"/>
        <v>45810</v>
      </c>
      <c r="R26" s="163">
        <f t="shared" si="7"/>
        <v>1067.8205128205129</v>
      </c>
      <c r="S26" s="146">
        <f t="shared" si="8"/>
        <v>401330</v>
      </c>
      <c r="T26" s="142">
        <f t="shared" si="9"/>
        <v>10290.51282051282</v>
      </c>
      <c r="U26" s="147">
        <f t="shared" si="27"/>
        <v>39</v>
      </c>
      <c r="V26" s="145">
        <f t="shared" si="27"/>
        <v>355520</v>
      </c>
      <c r="W26" s="145">
        <f t="shared" si="11"/>
        <v>45810</v>
      </c>
      <c r="X26" s="148">
        <f t="shared" si="12"/>
        <v>401330</v>
      </c>
      <c r="Y26" s="145">
        <f t="shared" si="13"/>
        <v>10290.51282051282</v>
      </c>
      <c r="Z26" s="149"/>
      <c r="AA26" s="150">
        <v>52</v>
      </c>
      <c r="AB26" s="138">
        <v>28400</v>
      </c>
      <c r="AC26" s="139">
        <f t="shared" si="14"/>
        <v>546.15384615384619</v>
      </c>
      <c r="AD26" s="138">
        <v>12500</v>
      </c>
      <c r="AE26" s="140">
        <f t="shared" si="15"/>
        <v>240.38461538461539</v>
      </c>
      <c r="AF26" s="151">
        <f t="shared" si="16"/>
        <v>40900</v>
      </c>
      <c r="AG26" s="142">
        <f t="shared" si="17"/>
        <v>786.53846153846155</v>
      </c>
      <c r="AH26" s="158">
        <f t="shared" si="18"/>
        <v>39</v>
      </c>
      <c r="AI26" s="153">
        <f t="shared" si="19"/>
        <v>383920</v>
      </c>
      <c r="AJ26" s="153">
        <f t="shared" si="20"/>
        <v>58310</v>
      </c>
      <c r="AK26" s="152">
        <f t="shared" si="21"/>
        <v>442230</v>
      </c>
      <c r="AL26" s="145">
        <f t="shared" si="22"/>
        <v>25300</v>
      </c>
      <c r="AM26" s="153">
        <v>39</v>
      </c>
      <c r="AN26" s="153">
        <v>355520</v>
      </c>
      <c r="AO26" s="153">
        <v>45810</v>
      </c>
      <c r="AP26" s="154">
        <v>23650</v>
      </c>
      <c r="AQ26" s="154">
        <v>1650</v>
      </c>
      <c r="AR26" s="154">
        <v>0</v>
      </c>
      <c r="AS26" s="154">
        <v>0</v>
      </c>
      <c r="AT26" s="155">
        <f t="shared" si="23"/>
        <v>426630</v>
      </c>
      <c r="AU26" s="121">
        <v>22</v>
      </c>
      <c r="AV26" s="122">
        <f t="shared" si="25"/>
        <v>426630</v>
      </c>
      <c r="AW26" s="156"/>
    </row>
    <row r="27" spans="1:49" s="5" customFormat="1" ht="15.75" customHeight="1">
      <c r="A27" s="121"/>
      <c r="B27" s="160">
        <f t="shared" si="24"/>
        <v>45619</v>
      </c>
      <c r="C27" s="134" t="s">
        <v>74</v>
      </c>
      <c r="D27" s="135">
        <v>0</v>
      </c>
      <c r="E27" s="136">
        <v>12</v>
      </c>
      <c r="F27" s="137">
        <v>33</v>
      </c>
      <c r="G27" s="138">
        <v>132990</v>
      </c>
      <c r="H27" s="139">
        <f t="shared" si="0"/>
        <v>3663.6363636363635</v>
      </c>
      <c r="I27" s="138">
        <v>22880</v>
      </c>
      <c r="J27" s="139">
        <f t="shared" si="1"/>
        <v>630.30303030303025</v>
      </c>
      <c r="K27" s="141">
        <f t="shared" si="2"/>
        <v>155870</v>
      </c>
      <c r="L27" s="142">
        <f t="shared" si="3"/>
        <v>4723.333333333333</v>
      </c>
      <c r="M27" s="143"/>
      <c r="N27" s="144">
        <f t="shared" si="26"/>
        <v>0</v>
      </c>
      <c r="O27" s="145">
        <f t="shared" si="26"/>
        <v>0</v>
      </c>
      <c r="P27" s="139" t="e">
        <f t="shared" si="5"/>
        <v>#DIV/0!</v>
      </c>
      <c r="Q27" s="145">
        <f t="shared" si="6"/>
        <v>0</v>
      </c>
      <c r="R27" s="140" t="e">
        <f t="shared" si="7"/>
        <v>#DIV/0!</v>
      </c>
      <c r="S27" s="146">
        <f t="shared" si="8"/>
        <v>0</v>
      </c>
      <c r="T27" s="142" t="e">
        <f t="shared" si="9"/>
        <v>#DIV/0!</v>
      </c>
      <c r="U27" s="147">
        <f t="shared" si="27"/>
        <v>33</v>
      </c>
      <c r="V27" s="145">
        <f t="shared" si="27"/>
        <v>132990</v>
      </c>
      <c r="W27" s="145">
        <f t="shared" si="11"/>
        <v>22880</v>
      </c>
      <c r="X27" s="148">
        <f t="shared" si="12"/>
        <v>155870</v>
      </c>
      <c r="Y27" s="145">
        <f t="shared" si="13"/>
        <v>4723.333333333333</v>
      </c>
      <c r="Z27" s="149"/>
      <c r="AA27" s="150">
        <v>0</v>
      </c>
      <c r="AB27" s="138">
        <v>0</v>
      </c>
      <c r="AC27" s="139" t="e">
        <f t="shared" si="14"/>
        <v>#DIV/0!</v>
      </c>
      <c r="AD27" s="138">
        <v>0</v>
      </c>
      <c r="AE27" s="140" t="e">
        <f t="shared" si="15"/>
        <v>#DIV/0!</v>
      </c>
      <c r="AF27" s="151">
        <f t="shared" si="16"/>
        <v>0</v>
      </c>
      <c r="AG27" s="142" t="e">
        <f t="shared" si="17"/>
        <v>#DIV/0!</v>
      </c>
      <c r="AH27" s="158">
        <f t="shared" si="18"/>
        <v>33</v>
      </c>
      <c r="AI27" s="153">
        <f t="shared" si="19"/>
        <v>132990</v>
      </c>
      <c r="AJ27" s="153">
        <f t="shared" si="20"/>
        <v>22880</v>
      </c>
      <c r="AK27" s="152">
        <f t="shared" si="21"/>
        <v>155870</v>
      </c>
      <c r="AL27" s="145">
        <f t="shared" si="22"/>
        <v>12650</v>
      </c>
      <c r="AM27" s="153">
        <v>33</v>
      </c>
      <c r="AN27" s="153">
        <v>132990</v>
      </c>
      <c r="AO27" s="153">
        <v>22880</v>
      </c>
      <c r="AP27" s="154">
        <v>12650</v>
      </c>
      <c r="AQ27" s="154">
        <v>0</v>
      </c>
      <c r="AR27" s="154">
        <v>0</v>
      </c>
      <c r="AS27" s="154">
        <v>0</v>
      </c>
      <c r="AT27" s="155">
        <f t="shared" si="23"/>
        <v>168520</v>
      </c>
      <c r="AU27" s="121">
        <v>23</v>
      </c>
      <c r="AV27" s="122">
        <f t="shared" si="25"/>
        <v>168520</v>
      </c>
      <c r="AW27" s="156"/>
    </row>
    <row r="28" spans="1:49" s="5" customFormat="1" ht="15.75" customHeight="1">
      <c r="A28" s="121"/>
      <c r="B28" s="161">
        <f t="shared" si="24"/>
        <v>45620</v>
      </c>
      <c r="C28" s="134" t="s">
        <v>75</v>
      </c>
      <c r="D28" s="135">
        <v>0</v>
      </c>
      <c r="E28" s="136">
        <v>0</v>
      </c>
      <c r="F28" s="137">
        <v>0</v>
      </c>
      <c r="G28" s="138">
        <v>0</v>
      </c>
      <c r="H28" s="139" t="e">
        <f t="shared" si="0"/>
        <v>#DIV/0!</v>
      </c>
      <c r="I28" s="138">
        <v>0</v>
      </c>
      <c r="J28" s="139" t="e">
        <f t="shared" si="1"/>
        <v>#DIV/0!</v>
      </c>
      <c r="K28" s="141">
        <f t="shared" si="2"/>
        <v>0</v>
      </c>
      <c r="L28" s="142" t="e">
        <f t="shared" si="3"/>
        <v>#DIV/0!</v>
      </c>
      <c r="M28" s="143"/>
      <c r="N28" s="144">
        <f t="shared" si="26"/>
        <v>0</v>
      </c>
      <c r="O28" s="145">
        <f t="shared" si="26"/>
        <v>0</v>
      </c>
      <c r="P28" s="139" t="e">
        <f t="shared" si="5"/>
        <v>#DIV/0!</v>
      </c>
      <c r="Q28" s="145">
        <f t="shared" si="6"/>
        <v>0</v>
      </c>
      <c r="R28" s="140" t="e">
        <f t="shared" si="7"/>
        <v>#DIV/0!</v>
      </c>
      <c r="S28" s="146">
        <f t="shared" si="8"/>
        <v>0</v>
      </c>
      <c r="T28" s="142" t="e">
        <f t="shared" si="9"/>
        <v>#DIV/0!</v>
      </c>
      <c r="U28" s="147">
        <f t="shared" si="27"/>
        <v>0</v>
      </c>
      <c r="V28" s="145">
        <f t="shared" si="27"/>
        <v>0</v>
      </c>
      <c r="W28" s="145">
        <f t="shared" si="11"/>
        <v>0</v>
      </c>
      <c r="X28" s="148">
        <f t="shared" si="12"/>
        <v>0</v>
      </c>
      <c r="Y28" s="145" t="e">
        <f t="shared" si="13"/>
        <v>#DIV/0!</v>
      </c>
      <c r="Z28" s="149"/>
      <c r="AA28" s="150">
        <v>0</v>
      </c>
      <c r="AB28" s="138">
        <v>0</v>
      </c>
      <c r="AC28" s="139" t="e">
        <f t="shared" si="14"/>
        <v>#DIV/0!</v>
      </c>
      <c r="AD28" s="138">
        <v>0</v>
      </c>
      <c r="AE28" s="140" t="e">
        <f t="shared" si="15"/>
        <v>#DIV/0!</v>
      </c>
      <c r="AF28" s="151">
        <f t="shared" si="16"/>
        <v>0</v>
      </c>
      <c r="AG28" s="142" t="e">
        <f t="shared" si="17"/>
        <v>#DIV/0!</v>
      </c>
      <c r="AH28" s="158">
        <f t="shared" si="18"/>
        <v>0</v>
      </c>
      <c r="AI28" s="153">
        <f t="shared" si="19"/>
        <v>0</v>
      </c>
      <c r="AJ28" s="153">
        <f t="shared" si="20"/>
        <v>0</v>
      </c>
      <c r="AK28" s="152">
        <f t="shared" si="21"/>
        <v>0</v>
      </c>
      <c r="AL28" s="145">
        <f t="shared" si="22"/>
        <v>0</v>
      </c>
      <c r="AM28" s="153">
        <v>0</v>
      </c>
      <c r="AN28" s="153">
        <v>0</v>
      </c>
      <c r="AO28" s="153">
        <v>0</v>
      </c>
      <c r="AP28" s="154">
        <v>0</v>
      </c>
      <c r="AQ28" s="154">
        <v>0</v>
      </c>
      <c r="AR28" s="154">
        <v>0</v>
      </c>
      <c r="AS28" s="154">
        <v>0</v>
      </c>
      <c r="AT28" s="155">
        <f t="shared" si="23"/>
        <v>0</v>
      </c>
      <c r="AU28" s="121">
        <v>24</v>
      </c>
      <c r="AV28" s="122">
        <f t="shared" si="25"/>
        <v>0</v>
      </c>
      <c r="AW28" s="156"/>
    </row>
    <row r="29" spans="1:49" s="5" customFormat="1" ht="15.75" customHeight="1">
      <c r="A29" s="121"/>
      <c r="B29" s="189">
        <f t="shared" si="24"/>
        <v>45621</v>
      </c>
      <c r="C29" s="134" t="s">
        <v>52</v>
      </c>
      <c r="D29" s="135">
        <v>90</v>
      </c>
      <c r="E29" s="136"/>
      <c r="F29" s="137"/>
      <c r="G29" s="138"/>
      <c r="H29" s="139" t="e">
        <f t="shared" si="0"/>
        <v>#DIV/0!</v>
      </c>
      <c r="I29" s="138"/>
      <c r="J29" s="139" t="e">
        <f t="shared" si="1"/>
        <v>#DIV/0!</v>
      </c>
      <c r="K29" s="141">
        <f t="shared" si="2"/>
        <v>0</v>
      </c>
      <c r="L29" s="142" t="str">
        <f t="shared" si="3"/>
        <v/>
      </c>
      <c r="M29" s="143"/>
      <c r="N29" s="144">
        <f t="shared" si="26"/>
        <v>38</v>
      </c>
      <c r="O29" s="145">
        <f t="shared" si="26"/>
        <v>352220</v>
      </c>
      <c r="P29" s="139">
        <f t="shared" si="5"/>
        <v>8426.3157894736851</v>
      </c>
      <c r="Q29" s="145">
        <f t="shared" si="6"/>
        <v>47930</v>
      </c>
      <c r="R29" s="140">
        <f t="shared" si="7"/>
        <v>1146.6315789473683</v>
      </c>
      <c r="S29" s="146">
        <f t="shared" si="8"/>
        <v>400150</v>
      </c>
      <c r="T29" s="142">
        <f t="shared" si="9"/>
        <v>10530.263157894737</v>
      </c>
      <c r="U29" s="147">
        <f t="shared" si="27"/>
        <v>38</v>
      </c>
      <c r="V29" s="145">
        <f t="shared" si="27"/>
        <v>352220</v>
      </c>
      <c r="W29" s="145">
        <f t="shared" si="11"/>
        <v>47930</v>
      </c>
      <c r="X29" s="148">
        <f t="shared" si="12"/>
        <v>400150</v>
      </c>
      <c r="Y29" s="145">
        <f t="shared" si="13"/>
        <v>10530.263157894737</v>
      </c>
      <c r="Z29" s="149"/>
      <c r="AA29" s="150">
        <v>114</v>
      </c>
      <c r="AB29" s="138">
        <v>73770</v>
      </c>
      <c r="AC29" s="139">
        <f t="shared" si="14"/>
        <v>647.10526315789468</v>
      </c>
      <c r="AD29" s="138">
        <v>27400</v>
      </c>
      <c r="AE29" s="140">
        <f t="shared" si="15"/>
        <v>240.35087719298247</v>
      </c>
      <c r="AF29" s="151">
        <f t="shared" si="16"/>
        <v>101170</v>
      </c>
      <c r="AG29" s="142">
        <f t="shared" si="17"/>
        <v>887.45614035087715</v>
      </c>
      <c r="AH29" s="158">
        <f t="shared" si="18"/>
        <v>38</v>
      </c>
      <c r="AI29" s="153">
        <f t="shared" si="19"/>
        <v>425990</v>
      </c>
      <c r="AJ29" s="153">
        <f t="shared" si="20"/>
        <v>75330</v>
      </c>
      <c r="AK29" s="152">
        <f t="shared" si="21"/>
        <v>501320</v>
      </c>
      <c r="AL29" s="145">
        <f t="shared" si="22"/>
        <v>25410</v>
      </c>
      <c r="AM29" s="153">
        <v>38</v>
      </c>
      <c r="AN29" s="153">
        <v>352220</v>
      </c>
      <c r="AO29" s="153">
        <v>47930</v>
      </c>
      <c r="AP29" s="154">
        <v>22550</v>
      </c>
      <c r="AQ29" s="154">
        <v>2860</v>
      </c>
      <c r="AR29" s="154">
        <v>0</v>
      </c>
      <c r="AS29" s="154">
        <v>0</v>
      </c>
      <c r="AT29" s="155">
        <f t="shared" si="23"/>
        <v>425560</v>
      </c>
      <c r="AU29" s="121">
        <v>25</v>
      </c>
      <c r="AV29" s="122">
        <f t="shared" si="25"/>
        <v>425560</v>
      </c>
      <c r="AW29" s="121"/>
    </row>
    <row r="30" spans="1:49" s="5" customFormat="1" ht="15.75" customHeight="1">
      <c r="A30" s="121"/>
      <c r="B30" s="189">
        <f t="shared" si="24"/>
        <v>45622</v>
      </c>
      <c r="C30" s="134" t="s">
        <v>76</v>
      </c>
      <c r="D30" s="135">
        <v>0</v>
      </c>
      <c r="E30" s="136"/>
      <c r="F30" s="137"/>
      <c r="G30" s="138"/>
      <c r="H30" s="139" t="e">
        <f>ROUNDDOWN(G30/1.1,0)/F30</f>
        <v>#DIV/0!</v>
      </c>
      <c r="I30" s="138"/>
      <c r="J30" s="139" t="e">
        <f>ROUNDDOWN(I30/1.1,0)/F30</f>
        <v>#DIV/0!</v>
      </c>
      <c r="K30" s="141">
        <f t="shared" si="2"/>
        <v>0</v>
      </c>
      <c r="L30" s="142" t="str">
        <f>IF(F30="","",K30/F30)</f>
        <v/>
      </c>
      <c r="M30" s="143"/>
      <c r="N30" s="144">
        <f>AM30-F30</f>
        <v>0</v>
      </c>
      <c r="O30" s="145">
        <f t="shared" si="26"/>
        <v>0</v>
      </c>
      <c r="P30" s="139" t="e">
        <f t="shared" si="5"/>
        <v>#DIV/0!</v>
      </c>
      <c r="Q30" s="145">
        <f t="shared" si="6"/>
        <v>0</v>
      </c>
      <c r="R30" s="139" t="e">
        <f t="shared" si="7"/>
        <v>#DIV/0!</v>
      </c>
      <c r="S30" s="146">
        <f t="shared" si="8"/>
        <v>0</v>
      </c>
      <c r="T30" s="142" t="e">
        <f t="shared" si="9"/>
        <v>#DIV/0!</v>
      </c>
      <c r="U30" s="147">
        <f>F30+N30</f>
        <v>0</v>
      </c>
      <c r="V30" s="145">
        <f t="shared" si="27"/>
        <v>0</v>
      </c>
      <c r="W30" s="145">
        <f t="shared" si="11"/>
        <v>0</v>
      </c>
      <c r="X30" s="148">
        <f t="shared" si="12"/>
        <v>0</v>
      </c>
      <c r="Y30" s="145" t="e">
        <f t="shared" si="13"/>
        <v>#DIV/0!</v>
      </c>
      <c r="Z30" s="149"/>
      <c r="AA30" s="150">
        <v>42</v>
      </c>
      <c r="AB30" s="138">
        <v>21540</v>
      </c>
      <c r="AC30" s="139">
        <f t="shared" si="14"/>
        <v>512.85714285714289</v>
      </c>
      <c r="AD30" s="138">
        <v>9200</v>
      </c>
      <c r="AE30" s="140">
        <f t="shared" si="15"/>
        <v>219.04761904761904</v>
      </c>
      <c r="AF30" s="151">
        <f t="shared" si="16"/>
        <v>30740</v>
      </c>
      <c r="AG30" s="142">
        <f t="shared" si="17"/>
        <v>731.90476190476193</v>
      </c>
      <c r="AH30" s="158">
        <f>SUM(F30,N30)</f>
        <v>0</v>
      </c>
      <c r="AI30" s="153">
        <f t="shared" si="19"/>
        <v>21540</v>
      </c>
      <c r="AJ30" s="153">
        <f t="shared" si="20"/>
        <v>9200</v>
      </c>
      <c r="AK30" s="152">
        <f t="shared" si="21"/>
        <v>30740</v>
      </c>
      <c r="AL30" s="145">
        <f t="shared" si="22"/>
        <v>0</v>
      </c>
      <c r="AM30" s="153">
        <v>0</v>
      </c>
      <c r="AN30" s="153">
        <v>0</v>
      </c>
      <c r="AO30" s="153">
        <v>0</v>
      </c>
      <c r="AP30" s="154">
        <v>0</v>
      </c>
      <c r="AQ30" s="154">
        <v>0</v>
      </c>
      <c r="AR30" s="154">
        <v>0</v>
      </c>
      <c r="AS30" s="154">
        <v>0</v>
      </c>
      <c r="AT30" s="155">
        <f t="shared" si="23"/>
        <v>0</v>
      </c>
      <c r="AU30" s="121">
        <v>26</v>
      </c>
      <c r="AV30" s="122">
        <f t="shared" si="25"/>
        <v>0</v>
      </c>
      <c r="AW30" s="156"/>
    </row>
    <row r="31" spans="1:49" s="5" customFormat="1" ht="15.75" customHeight="1">
      <c r="A31" s="121"/>
      <c r="B31" s="189">
        <f t="shared" si="24"/>
        <v>45623</v>
      </c>
      <c r="C31" s="134" t="s">
        <v>52</v>
      </c>
      <c r="D31" s="135">
        <v>94</v>
      </c>
      <c r="E31" s="136"/>
      <c r="F31" s="137"/>
      <c r="G31" s="138"/>
      <c r="H31" s="139" t="e">
        <f>ROUNDDOWN(G31/1.1,0)/F31</f>
        <v>#DIV/0!</v>
      </c>
      <c r="I31" s="138"/>
      <c r="J31" s="139" t="e">
        <f>ROUNDDOWN(I31/1.1,0)/F31</f>
        <v>#DIV/0!</v>
      </c>
      <c r="K31" s="141">
        <f t="shared" si="2"/>
        <v>0</v>
      </c>
      <c r="L31" s="142" t="str">
        <f>IF(F31="","",K31/F31)</f>
        <v/>
      </c>
      <c r="M31" s="143"/>
      <c r="N31" s="144">
        <f>AM31-F31</f>
        <v>36</v>
      </c>
      <c r="O31" s="145">
        <f t="shared" si="26"/>
        <v>303050</v>
      </c>
      <c r="P31" s="139">
        <f t="shared" si="5"/>
        <v>7652.7777777777774</v>
      </c>
      <c r="Q31" s="145">
        <f t="shared" si="6"/>
        <v>68670</v>
      </c>
      <c r="R31" s="139">
        <f t="shared" si="7"/>
        <v>1734.0833333333333</v>
      </c>
      <c r="S31" s="146">
        <f t="shared" si="8"/>
        <v>371720</v>
      </c>
      <c r="T31" s="142">
        <f t="shared" si="9"/>
        <v>10325.555555555555</v>
      </c>
      <c r="U31" s="147">
        <f>F31+N31</f>
        <v>36</v>
      </c>
      <c r="V31" s="145">
        <f t="shared" si="27"/>
        <v>303050</v>
      </c>
      <c r="W31" s="145">
        <f t="shared" si="11"/>
        <v>68670</v>
      </c>
      <c r="X31" s="148">
        <f t="shared" si="12"/>
        <v>371720</v>
      </c>
      <c r="Y31" s="145">
        <f t="shared" si="13"/>
        <v>10325.555555555555</v>
      </c>
      <c r="Z31" s="149"/>
      <c r="AA31" s="150">
        <v>53</v>
      </c>
      <c r="AB31" s="138">
        <v>24450</v>
      </c>
      <c r="AC31" s="139">
        <f t="shared" si="14"/>
        <v>461.32075471698113</v>
      </c>
      <c r="AD31" s="138">
        <v>10750</v>
      </c>
      <c r="AE31" s="140">
        <f t="shared" si="15"/>
        <v>202.83018867924528</v>
      </c>
      <c r="AF31" s="151">
        <f t="shared" si="16"/>
        <v>35200</v>
      </c>
      <c r="AG31" s="142">
        <f t="shared" si="17"/>
        <v>664.15094339622647</v>
      </c>
      <c r="AH31" s="158">
        <f>SUM(F31,N31)</f>
        <v>36</v>
      </c>
      <c r="AI31" s="153">
        <f t="shared" si="19"/>
        <v>327500</v>
      </c>
      <c r="AJ31" s="153">
        <f t="shared" si="20"/>
        <v>79420</v>
      </c>
      <c r="AK31" s="152">
        <f t="shared" si="21"/>
        <v>406920</v>
      </c>
      <c r="AL31" s="145">
        <f t="shared" si="22"/>
        <v>29700</v>
      </c>
      <c r="AM31" s="153">
        <v>36</v>
      </c>
      <c r="AN31" s="153">
        <v>303050</v>
      </c>
      <c r="AO31" s="153">
        <v>68670</v>
      </c>
      <c r="AP31" s="154">
        <v>26400</v>
      </c>
      <c r="AQ31" s="154">
        <v>3300</v>
      </c>
      <c r="AR31" s="154">
        <v>0</v>
      </c>
      <c r="AS31" s="154">
        <v>0</v>
      </c>
      <c r="AT31" s="155">
        <f t="shared" si="23"/>
        <v>401420</v>
      </c>
      <c r="AU31" s="121">
        <v>27</v>
      </c>
      <c r="AV31" s="122">
        <f t="shared" si="25"/>
        <v>401420</v>
      </c>
      <c r="AW31" s="156"/>
    </row>
    <row r="32" spans="1:49" s="5" customFormat="1" ht="15.75" customHeight="1">
      <c r="A32" s="121"/>
      <c r="B32" s="189">
        <f t="shared" si="24"/>
        <v>45624</v>
      </c>
      <c r="C32" s="134" t="s">
        <v>52</v>
      </c>
      <c r="D32" s="135">
        <v>96</v>
      </c>
      <c r="E32" s="136"/>
      <c r="F32" s="137"/>
      <c r="G32" s="138"/>
      <c r="H32" s="139" t="e">
        <f t="shared" si="0"/>
        <v>#DIV/0!</v>
      </c>
      <c r="I32" s="138"/>
      <c r="J32" s="139" t="e">
        <f t="shared" si="1"/>
        <v>#DIV/0!</v>
      </c>
      <c r="K32" s="141">
        <f t="shared" si="2"/>
        <v>0</v>
      </c>
      <c r="L32" s="142" t="str">
        <f t="shared" si="3"/>
        <v/>
      </c>
      <c r="M32" s="143"/>
      <c r="N32" s="144">
        <f t="shared" si="26"/>
        <v>34</v>
      </c>
      <c r="O32" s="145">
        <f t="shared" si="26"/>
        <v>332090</v>
      </c>
      <c r="P32" s="139">
        <f t="shared" si="5"/>
        <v>8879.4117647058829</v>
      </c>
      <c r="Q32" s="145">
        <f t="shared" si="6"/>
        <v>61240</v>
      </c>
      <c r="R32" s="139">
        <f t="shared" si="7"/>
        <v>1637.4117647058824</v>
      </c>
      <c r="S32" s="146">
        <f t="shared" si="8"/>
        <v>393330</v>
      </c>
      <c r="T32" s="142">
        <f t="shared" si="9"/>
        <v>11568.529411764706</v>
      </c>
      <c r="U32" s="147">
        <f t="shared" si="27"/>
        <v>34</v>
      </c>
      <c r="V32" s="145">
        <f t="shared" si="27"/>
        <v>332090</v>
      </c>
      <c r="W32" s="145">
        <f t="shared" si="11"/>
        <v>61240</v>
      </c>
      <c r="X32" s="148">
        <f t="shared" si="12"/>
        <v>393330</v>
      </c>
      <c r="Y32" s="145">
        <f t="shared" si="13"/>
        <v>11568.529411764706</v>
      </c>
      <c r="Z32" s="149"/>
      <c r="AA32" s="150">
        <v>90</v>
      </c>
      <c r="AB32" s="138">
        <v>44580</v>
      </c>
      <c r="AC32" s="139">
        <f t="shared" si="14"/>
        <v>495.33333333333331</v>
      </c>
      <c r="AD32" s="138">
        <v>24000</v>
      </c>
      <c r="AE32" s="140">
        <f t="shared" si="15"/>
        <v>266.66666666666669</v>
      </c>
      <c r="AF32" s="151">
        <f t="shared" si="16"/>
        <v>68580</v>
      </c>
      <c r="AG32" s="142">
        <f t="shared" si="17"/>
        <v>762</v>
      </c>
      <c r="AH32" s="158">
        <f t="shared" si="18"/>
        <v>34</v>
      </c>
      <c r="AI32" s="153">
        <f t="shared" si="19"/>
        <v>376670</v>
      </c>
      <c r="AJ32" s="153">
        <f t="shared" si="20"/>
        <v>85240</v>
      </c>
      <c r="AK32" s="152">
        <f t="shared" si="21"/>
        <v>461910</v>
      </c>
      <c r="AL32" s="145">
        <f t="shared" si="22"/>
        <v>29150</v>
      </c>
      <c r="AM32" s="153">
        <v>34</v>
      </c>
      <c r="AN32" s="153">
        <v>332090</v>
      </c>
      <c r="AO32" s="153">
        <v>61240</v>
      </c>
      <c r="AP32" s="154">
        <v>29150</v>
      </c>
      <c r="AQ32" s="154">
        <v>0</v>
      </c>
      <c r="AR32" s="154">
        <v>0</v>
      </c>
      <c r="AS32" s="154">
        <v>0</v>
      </c>
      <c r="AT32" s="155">
        <f t="shared" si="23"/>
        <v>422480</v>
      </c>
      <c r="AU32" s="121">
        <v>28</v>
      </c>
      <c r="AV32" s="122">
        <f t="shared" si="25"/>
        <v>422480</v>
      </c>
      <c r="AW32" s="156"/>
    </row>
    <row r="33" spans="1:49" s="5" customFormat="1" ht="15.75" customHeight="1">
      <c r="A33" s="121"/>
      <c r="B33" s="189">
        <f t="shared" si="24"/>
        <v>45625</v>
      </c>
      <c r="C33" s="134" t="s">
        <v>52</v>
      </c>
      <c r="D33" s="135">
        <v>73</v>
      </c>
      <c r="E33" s="136"/>
      <c r="F33" s="137"/>
      <c r="G33" s="138"/>
      <c r="H33" s="139" t="e">
        <f t="shared" si="0"/>
        <v>#DIV/0!</v>
      </c>
      <c r="I33" s="138"/>
      <c r="J33" s="139" t="e">
        <f t="shared" si="1"/>
        <v>#DIV/0!</v>
      </c>
      <c r="K33" s="141">
        <f t="shared" si="2"/>
        <v>0</v>
      </c>
      <c r="L33" s="142" t="str">
        <f t="shared" si="3"/>
        <v/>
      </c>
      <c r="M33" s="143"/>
      <c r="N33" s="144">
        <f t="shared" si="26"/>
        <v>28</v>
      </c>
      <c r="O33" s="145">
        <f t="shared" si="26"/>
        <v>257400</v>
      </c>
      <c r="P33" s="139">
        <f t="shared" si="5"/>
        <v>8357.1428571428569</v>
      </c>
      <c r="Q33" s="145">
        <f t="shared" si="6"/>
        <v>33550</v>
      </c>
      <c r="R33" s="139">
        <f t="shared" si="7"/>
        <v>1089.2857142857142</v>
      </c>
      <c r="S33" s="146">
        <f t="shared" si="8"/>
        <v>290950</v>
      </c>
      <c r="T33" s="142">
        <f t="shared" si="9"/>
        <v>10391.071428571429</v>
      </c>
      <c r="U33" s="147">
        <f t="shared" si="27"/>
        <v>28</v>
      </c>
      <c r="V33" s="145">
        <f t="shared" si="27"/>
        <v>257400</v>
      </c>
      <c r="W33" s="145">
        <f t="shared" si="11"/>
        <v>33550</v>
      </c>
      <c r="X33" s="148">
        <f t="shared" si="12"/>
        <v>290950</v>
      </c>
      <c r="Y33" s="145">
        <f t="shared" si="13"/>
        <v>10391.071428571429</v>
      </c>
      <c r="Z33" s="149"/>
      <c r="AA33" s="150">
        <v>48</v>
      </c>
      <c r="AB33" s="138">
        <v>28270</v>
      </c>
      <c r="AC33" s="139">
        <f t="shared" si="14"/>
        <v>588.95833333333337</v>
      </c>
      <c r="AD33" s="138">
        <v>20750</v>
      </c>
      <c r="AE33" s="140">
        <f t="shared" si="15"/>
        <v>432.29166666666669</v>
      </c>
      <c r="AF33" s="151">
        <f t="shared" si="16"/>
        <v>49020</v>
      </c>
      <c r="AG33" s="142">
        <f t="shared" si="17"/>
        <v>1021.25</v>
      </c>
      <c r="AH33" s="158">
        <f t="shared" si="18"/>
        <v>28</v>
      </c>
      <c r="AI33" s="153">
        <f t="shared" si="19"/>
        <v>285670</v>
      </c>
      <c r="AJ33" s="153">
        <f t="shared" si="20"/>
        <v>54300</v>
      </c>
      <c r="AK33" s="152">
        <f t="shared" si="21"/>
        <v>339970</v>
      </c>
      <c r="AL33" s="145">
        <f t="shared" si="22"/>
        <v>23100</v>
      </c>
      <c r="AM33" s="153">
        <v>28</v>
      </c>
      <c r="AN33" s="153">
        <v>257400</v>
      </c>
      <c r="AO33" s="153">
        <v>33550</v>
      </c>
      <c r="AP33" s="154">
        <v>23100</v>
      </c>
      <c r="AQ33" s="154">
        <v>0</v>
      </c>
      <c r="AR33" s="154">
        <v>0</v>
      </c>
      <c r="AS33" s="154">
        <v>0</v>
      </c>
      <c r="AT33" s="155">
        <f t="shared" si="23"/>
        <v>314050</v>
      </c>
      <c r="AU33" s="121">
        <v>29</v>
      </c>
      <c r="AV33" s="122">
        <f t="shared" si="25"/>
        <v>314050</v>
      </c>
      <c r="AW33" s="156"/>
    </row>
    <row r="34" spans="1:49" s="5" customFormat="1" ht="15.75" customHeight="1">
      <c r="A34" s="121"/>
      <c r="B34" s="160">
        <f t="shared" si="24"/>
        <v>45626</v>
      </c>
      <c r="C34" s="134"/>
      <c r="D34" s="135">
        <v>70</v>
      </c>
      <c r="E34" s="136">
        <v>6</v>
      </c>
      <c r="F34" s="137">
        <v>13</v>
      </c>
      <c r="G34" s="138">
        <v>48070</v>
      </c>
      <c r="H34" s="139">
        <f t="shared" si="0"/>
        <v>3361.5384615384614</v>
      </c>
      <c r="I34" s="138">
        <v>13910</v>
      </c>
      <c r="J34" s="139">
        <f t="shared" si="1"/>
        <v>972.69230769230774</v>
      </c>
      <c r="K34" s="141">
        <f t="shared" si="2"/>
        <v>61980</v>
      </c>
      <c r="L34" s="142">
        <f t="shared" si="3"/>
        <v>4767.6923076923076</v>
      </c>
      <c r="M34" s="143"/>
      <c r="N34" s="144">
        <f t="shared" si="26"/>
        <v>37</v>
      </c>
      <c r="O34" s="145">
        <f t="shared" si="26"/>
        <v>342320</v>
      </c>
      <c r="P34" s="139">
        <f t="shared" si="5"/>
        <v>8410.8108108108099</v>
      </c>
      <c r="Q34" s="145">
        <f t="shared" si="6"/>
        <v>54710</v>
      </c>
      <c r="R34" s="139">
        <f>ROUNDDOWN(Q34/1.1,0)/N34</f>
        <v>1344.2162162162163</v>
      </c>
      <c r="S34" s="146">
        <f t="shared" si="8"/>
        <v>397030</v>
      </c>
      <c r="T34" s="142">
        <f t="shared" si="9"/>
        <v>10730.54054054054</v>
      </c>
      <c r="U34" s="147">
        <f t="shared" si="27"/>
        <v>50</v>
      </c>
      <c r="V34" s="145">
        <f t="shared" si="27"/>
        <v>390390</v>
      </c>
      <c r="W34" s="145">
        <f t="shared" si="11"/>
        <v>68620</v>
      </c>
      <c r="X34" s="148">
        <f t="shared" si="12"/>
        <v>459010</v>
      </c>
      <c r="Y34" s="145">
        <f t="shared" si="13"/>
        <v>9180.2000000000007</v>
      </c>
      <c r="Z34" s="164"/>
      <c r="AA34" s="165">
        <v>127</v>
      </c>
      <c r="AB34" s="166">
        <v>73710</v>
      </c>
      <c r="AC34" s="139">
        <f t="shared" si="14"/>
        <v>580.3937007874016</v>
      </c>
      <c r="AD34" s="166">
        <v>32300</v>
      </c>
      <c r="AE34" s="140">
        <f t="shared" si="15"/>
        <v>254.33070866141733</v>
      </c>
      <c r="AF34" s="151">
        <f t="shared" si="16"/>
        <v>106010</v>
      </c>
      <c r="AG34" s="142">
        <f t="shared" si="17"/>
        <v>834.72440944881885</v>
      </c>
      <c r="AH34" s="158">
        <f t="shared" si="18"/>
        <v>50</v>
      </c>
      <c r="AI34" s="153">
        <f t="shared" si="19"/>
        <v>464100</v>
      </c>
      <c r="AJ34" s="153">
        <f t="shared" si="20"/>
        <v>100920</v>
      </c>
      <c r="AK34" s="152">
        <f t="shared" si="21"/>
        <v>565020</v>
      </c>
      <c r="AL34" s="145">
        <f t="shared" si="22"/>
        <v>208800</v>
      </c>
      <c r="AM34" s="153">
        <v>50</v>
      </c>
      <c r="AN34" s="153">
        <v>390390</v>
      </c>
      <c r="AO34" s="153">
        <v>68620</v>
      </c>
      <c r="AP34" s="154">
        <v>30800</v>
      </c>
      <c r="AQ34" s="154">
        <v>178000</v>
      </c>
      <c r="AR34" s="154">
        <v>0</v>
      </c>
      <c r="AS34" s="154">
        <v>0</v>
      </c>
      <c r="AT34" s="155">
        <f t="shared" si="23"/>
        <v>667810</v>
      </c>
      <c r="AU34" s="121">
        <v>30</v>
      </c>
      <c r="AV34" s="122">
        <f t="shared" si="25"/>
        <v>667810</v>
      </c>
      <c r="AW34" s="156"/>
    </row>
    <row r="35" spans="1:49" s="5" customFormat="1" ht="15.75" customHeight="1" thickBot="1">
      <c r="A35" s="121"/>
      <c r="B35" s="189"/>
      <c r="C35" s="134"/>
      <c r="D35" s="135"/>
      <c r="E35" s="136"/>
      <c r="F35" s="137"/>
      <c r="G35" s="138"/>
      <c r="H35" s="139" t="e">
        <f t="shared" si="0"/>
        <v>#DIV/0!</v>
      </c>
      <c r="I35" s="138"/>
      <c r="J35" s="139" t="e">
        <f t="shared" si="1"/>
        <v>#DIV/0!</v>
      </c>
      <c r="K35" s="141">
        <f t="shared" si="2"/>
        <v>0</v>
      </c>
      <c r="L35" s="142" t="str">
        <f t="shared" si="3"/>
        <v/>
      </c>
      <c r="M35" s="143"/>
      <c r="N35" s="167">
        <f t="shared" si="26"/>
        <v>0</v>
      </c>
      <c r="O35" s="145">
        <f t="shared" si="26"/>
        <v>0</v>
      </c>
      <c r="P35" s="139" t="e">
        <f t="shared" si="5"/>
        <v>#DIV/0!</v>
      </c>
      <c r="Q35" s="145">
        <f t="shared" si="6"/>
        <v>0</v>
      </c>
      <c r="R35" s="139" t="e">
        <f t="shared" si="7"/>
        <v>#DIV/0!</v>
      </c>
      <c r="S35" s="146">
        <f t="shared" si="8"/>
        <v>0</v>
      </c>
      <c r="T35" s="142" t="e">
        <f t="shared" si="9"/>
        <v>#DIV/0!</v>
      </c>
      <c r="U35" s="147">
        <f t="shared" si="27"/>
        <v>0</v>
      </c>
      <c r="V35" s="168">
        <f t="shared" si="27"/>
        <v>0</v>
      </c>
      <c r="W35" s="168">
        <f t="shared" si="11"/>
        <v>0</v>
      </c>
      <c r="X35" s="169">
        <f t="shared" si="12"/>
        <v>0</v>
      </c>
      <c r="Y35" s="168"/>
      <c r="Z35" s="170"/>
      <c r="AA35" s="171"/>
      <c r="AB35" s="172"/>
      <c r="AC35" s="173" t="e">
        <f t="shared" si="14"/>
        <v>#DIV/0!</v>
      </c>
      <c r="AD35" s="172"/>
      <c r="AE35" s="174" t="e">
        <f t="shared" si="15"/>
        <v>#DIV/0!</v>
      </c>
      <c r="AF35" s="175">
        <f t="shared" si="16"/>
        <v>0</v>
      </c>
      <c r="AG35" s="142" t="str">
        <f t="shared" si="17"/>
        <v/>
      </c>
      <c r="AH35" s="176">
        <f t="shared" si="18"/>
        <v>0</v>
      </c>
      <c r="AI35" s="168">
        <f t="shared" si="19"/>
        <v>0</v>
      </c>
      <c r="AJ35" s="168">
        <f t="shared" si="20"/>
        <v>0</v>
      </c>
      <c r="AK35" s="152">
        <f t="shared" si="21"/>
        <v>0</v>
      </c>
      <c r="AL35" s="145">
        <f t="shared" si="22"/>
        <v>0</v>
      </c>
      <c r="AM35" s="153"/>
      <c r="AN35" s="153"/>
      <c r="AO35" s="153"/>
      <c r="AP35" s="154"/>
      <c r="AQ35" s="154"/>
      <c r="AR35" s="154"/>
      <c r="AS35" s="154"/>
      <c r="AT35" s="155">
        <f>SUM(AN35:AS35)</f>
        <v>0</v>
      </c>
      <c r="AU35" s="121">
        <v>31</v>
      </c>
      <c r="AV35" s="122">
        <f t="shared" si="25"/>
        <v>0</v>
      </c>
      <c r="AW35" s="156"/>
    </row>
    <row r="36" spans="1:49" s="5" customFormat="1" ht="15.75" customHeight="1" thickTop="1" thickBot="1">
      <c r="A36" s="34"/>
      <c r="B36" s="35" t="s">
        <v>26</v>
      </c>
      <c r="C36" s="177">
        <f>SUM(C5:C35)</f>
        <v>0</v>
      </c>
      <c r="D36" s="178"/>
      <c r="E36" s="37">
        <f>SUM(E5:E35)</f>
        <v>92</v>
      </c>
      <c r="F36" s="38">
        <f>SUM(F5:F35)</f>
        <v>210</v>
      </c>
      <c r="G36" s="39">
        <f>SUM(G5:G35)</f>
        <v>757614</v>
      </c>
      <c r="H36" s="40">
        <f>G36/F36</f>
        <v>3607.6857142857143</v>
      </c>
      <c r="I36" s="36">
        <f>SUM(I5:I35)</f>
        <v>117790</v>
      </c>
      <c r="J36" s="41">
        <f>I36/F36</f>
        <v>560.90476190476193</v>
      </c>
      <c r="K36" s="42">
        <f>SUM(K5:K35)</f>
        <v>875404</v>
      </c>
      <c r="L36" s="43">
        <f>K36/F36</f>
        <v>4168.5904761904758</v>
      </c>
      <c r="M36" s="44">
        <f>SUM(M5:M35)</f>
        <v>0</v>
      </c>
      <c r="N36" s="38">
        <f>SUM(N5:N35)</f>
        <v>913</v>
      </c>
      <c r="O36" s="39">
        <f>SUM(O5:O35)</f>
        <v>8755190</v>
      </c>
      <c r="P36" s="40">
        <f>O36/N36</f>
        <v>9589.4742606790805</v>
      </c>
      <c r="Q36" s="45">
        <f>SUM(Q5:Q35)</f>
        <v>1503310</v>
      </c>
      <c r="R36" s="41">
        <f>Q36/N36</f>
        <v>1646.5607886089813</v>
      </c>
      <c r="S36" s="46">
        <f>SUM(S5:S35)</f>
        <v>10258500</v>
      </c>
      <c r="T36" s="47">
        <f>S36/N36</f>
        <v>11236.035049288061</v>
      </c>
      <c r="U36" s="38">
        <f>SUM(U5:U35)</f>
        <v>1123</v>
      </c>
      <c r="V36" s="48">
        <f>SUM(V5:V35)</f>
        <v>9512804</v>
      </c>
      <c r="W36" s="45">
        <f>SUM(W5:W35)</f>
        <v>1621100</v>
      </c>
      <c r="X36" s="49">
        <f>SUM(X5:X35)</f>
        <v>11133904</v>
      </c>
      <c r="Y36" s="50">
        <f>X36/U36</f>
        <v>9914.429207479965</v>
      </c>
      <c r="Z36" s="37">
        <f>SUM(Z5:Z35)</f>
        <v>0</v>
      </c>
      <c r="AA36" s="38">
        <f>SUM(AA5:AA35)</f>
        <v>1931</v>
      </c>
      <c r="AB36" s="51">
        <f>SUM(AB5:AB35)</f>
        <v>1161290</v>
      </c>
      <c r="AC36" s="40"/>
      <c r="AD36" s="36">
        <f>SUM(AD5:AD35)</f>
        <v>512600</v>
      </c>
      <c r="AE36" s="41"/>
      <c r="AF36" s="52">
        <f>SUM(AF5:AF35)</f>
        <v>1673890</v>
      </c>
      <c r="AG36" s="53">
        <f>AF36/AA36</f>
        <v>866.85137234593469</v>
      </c>
      <c r="AH36" s="38">
        <f t="shared" ref="AH36:AT36" si="28">SUM(AH5:AH35)</f>
        <v>1161</v>
      </c>
      <c r="AI36" s="48">
        <f t="shared" si="28"/>
        <v>10674094</v>
      </c>
      <c r="AJ36" s="45">
        <f t="shared" si="28"/>
        <v>2133700</v>
      </c>
      <c r="AK36" s="46">
        <f t="shared" si="28"/>
        <v>12807794</v>
      </c>
      <c r="AL36" s="36">
        <f t="shared" si="28"/>
        <v>854470</v>
      </c>
      <c r="AM36" s="54">
        <f t="shared" si="28"/>
        <v>1123</v>
      </c>
      <c r="AN36" s="54">
        <f t="shared" si="28"/>
        <v>9512804</v>
      </c>
      <c r="AO36" s="54">
        <f t="shared" si="28"/>
        <v>1621100</v>
      </c>
      <c r="AP36" s="54">
        <f t="shared" si="28"/>
        <v>654100</v>
      </c>
      <c r="AQ36" s="54">
        <f t="shared" si="28"/>
        <v>200370</v>
      </c>
      <c r="AR36" s="54">
        <f t="shared" si="28"/>
        <v>0</v>
      </c>
      <c r="AS36" s="54">
        <f t="shared" si="28"/>
        <v>212600</v>
      </c>
      <c r="AT36" s="54">
        <f t="shared" si="28"/>
        <v>11988374</v>
      </c>
      <c r="AU36" s="34"/>
      <c r="AV36" s="55">
        <f>SUM(AV5:AV35)</f>
        <v>12200974</v>
      </c>
    </row>
    <row r="37" spans="1:49" s="5" customFormat="1" ht="15.75" customHeight="1" thickTop="1">
      <c r="A37" s="34"/>
      <c r="B37" s="56"/>
      <c r="C37" s="179"/>
      <c r="D37" s="89"/>
      <c r="E37" s="34"/>
      <c r="F37" s="57" t="s">
        <v>36</v>
      </c>
      <c r="G37" s="58">
        <f>G36/1.1</f>
        <v>688740</v>
      </c>
      <c r="H37" s="59">
        <f>G37/F36</f>
        <v>3279.7142857142858</v>
      </c>
      <c r="I37" s="32">
        <f>I36/1.1</f>
        <v>107081.81818181818</v>
      </c>
      <c r="J37" s="59">
        <f>I37/F36</f>
        <v>509.91341991341989</v>
      </c>
      <c r="K37" s="54">
        <f>K36/1.1</f>
        <v>795821.81818181812</v>
      </c>
      <c r="L37" s="60">
        <f>H37+J37</f>
        <v>3789.6277056277058</v>
      </c>
      <c r="M37" s="61"/>
      <c r="N37" s="57" t="s">
        <v>36</v>
      </c>
      <c r="O37" s="58">
        <f>O36/1.1</f>
        <v>7959263.6363636358</v>
      </c>
      <c r="P37" s="59">
        <f>O37/N36</f>
        <v>8717.703873344617</v>
      </c>
      <c r="Q37" s="58">
        <f>Q36/1.1</f>
        <v>1366645.4545454544</v>
      </c>
      <c r="R37" s="59">
        <f>Q37/N36</f>
        <v>1496.8734441899828</v>
      </c>
      <c r="S37" s="59">
        <f>S36/1.1</f>
        <v>9325909.0909090899</v>
      </c>
      <c r="T37" s="62">
        <f>S37/N36</f>
        <v>10214.5773175346</v>
      </c>
      <c r="U37" s="57" t="s">
        <v>36</v>
      </c>
      <c r="V37" s="58">
        <f>V36/1.1</f>
        <v>8648003.6363636348</v>
      </c>
      <c r="W37" s="58">
        <f>W36/1.1</f>
        <v>1473727.2727272727</v>
      </c>
      <c r="X37" s="63">
        <f>X36/1.1</f>
        <v>10121730.909090908</v>
      </c>
      <c r="Y37" s="50">
        <f>X37/U36</f>
        <v>9013.1174613454223</v>
      </c>
      <c r="Z37" s="61"/>
      <c r="AA37" s="57" t="s">
        <v>36</v>
      </c>
      <c r="AB37" s="58">
        <f>AB36/1.1</f>
        <v>1055718.1818181816</v>
      </c>
      <c r="AC37" s="32">
        <f>AB37/AA36</f>
        <v>546.72096417306147</v>
      </c>
      <c r="AD37" s="32">
        <f>AD36/1.1</f>
        <v>465999.99999999994</v>
      </c>
      <c r="AE37" s="32">
        <f>AD37/AA36</f>
        <v>241.32573795960639</v>
      </c>
      <c r="AF37" s="59">
        <f>AF36/1.1</f>
        <v>1521718.1818181816</v>
      </c>
      <c r="AG37" s="64">
        <f>AF37/AA36</f>
        <v>788.04670213266786</v>
      </c>
      <c r="AH37" s="57" t="s">
        <v>36</v>
      </c>
      <c r="AI37" s="65">
        <f>AI36/1.1</f>
        <v>9703721.8181818165</v>
      </c>
      <c r="AJ37" s="58">
        <f>AJ36/1.1</f>
        <v>1939727.2727272725</v>
      </c>
      <c r="AK37" s="59">
        <f>AK36/1.1</f>
        <v>11643449.09090909</v>
      </c>
      <c r="AL37" s="66">
        <f>AL36/1.1</f>
        <v>776790.90909090906</v>
      </c>
      <c r="AM37" s="34"/>
      <c r="AN37" s="34"/>
      <c r="AO37" s="34"/>
      <c r="AP37" s="34"/>
      <c r="AQ37" s="67"/>
      <c r="AR37" s="34"/>
      <c r="AS37" s="34"/>
      <c r="AT37" s="67"/>
      <c r="AU37" s="34"/>
      <c r="AV37" s="67"/>
    </row>
    <row r="38" spans="1:49" s="5" customFormat="1" ht="15.75" customHeight="1">
      <c r="A38" s="31"/>
      <c r="B38" s="68"/>
      <c r="C38" s="180"/>
      <c r="D38" s="90"/>
      <c r="E38" s="31"/>
      <c r="F38" s="69" t="s">
        <v>37</v>
      </c>
      <c r="G38" s="70">
        <f>F36/H38</f>
        <v>19.09090909090909</v>
      </c>
      <c r="H38" s="71">
        <v>11</v>
      </c>
      <c r="I38" s="72" t="s">
        <v>38</v>
      </c>
      <c r="J38" s="70"/>
      <c r="K38" s="73" t="s">
        <v>39</v>
      </c>
      <c r="L38" s="74">
        <f>K37/H38</f>
        <v>72347.438016528919</v>
      </c>
      <c r="M38" s="31"/>
      <c r="N38" s="69" t="s">
        <v>37</v>
      </c>
      <c r="O38" s="70">
        <f>N36/P38</f>
        <v>30.433333333333334</v>
      </c>
      <c r="P38" s="71">
        <v>30</v>
      </c>
      <c r="Q38" s="72" t="s">
        <v>38</v>
      </c>
      <c r="R38" s="70"/>
      <c r="S38" s="73" t="s">
        <v>39</v>
      </c>
      <c r="T38" s="75">
        <f>S37/P38</f>
        <v>310863.63636363635</v>
      </c>
      <c r="U38" s="31"/>
      <c r="V38" s="31"/>
      <c r="W38" s="31"/>
      <c r="X38" s="33"/>
      <c r="Y38" s="33"/>
      <c r="Z38" s="31"/>
      <c r="AA38" s="31"/>
      <c r="AB38" s="76">
        <v>30</v>
      </c>
      <c r="AC38" s="72" t="s">
        <v>38</v>
      </c>
      <c r="AD38" s="70"/>
      <c r="AE38" s="70"/>
      <c r="AF38" s="73" t="s">
        <v>39</v>
      </c>
      <c r="AG38" s="77">
        <f>AF37/AB38</f>
        <v>50723.939393939385</v>
      </c>
      <c r="AH38" s="31"/>
      <c r="AI38" s="31"/>
      <c r="AJ38" s="31" t="s">
        <v>53</v>
      </c>
      <c r="AK38" s="33"/>
      <c r="AL38" s="33">
        <f>AK37/AM38</f>
        <v>3765.6691755850875</v>
      </c>
      <c r="AM38" s="78">
        <f>AH36+AA36</f>
        <v>3092</v>
      </c>
      <c r="AN38" s="31" t="s">
        <v>54</v>
      </c>
      <c r="AO38" s="31"/>
      <c r="AP38" s="31"/>
      <c r="AQ38" s="33"/>
      <c r="AR38" s="31"/>
      <c r="AS38" s="31"/>
      <c r="AT38" s="33"/>
      <c r="AU38" s="31"/>
      <c r="AV38" s="33">
        <f>AV36/1.1</f>
        <v>11091794.545454545</v>
      </c>
    </row>
    <row r="39" spans="1:49" s="5" customFormat="1" ht="15.75" customHeight="1">
      <c r="A39" s="31"/>
      <c r="B39" s="68"/>
      <c r="C39" s="180"/>
      <c r="D39" s="90"/>
      <c r="E39" s="79" t="s">
        <v>40</v>
      </c>
      <c r="F39" s="80"/>
      <c r="G39" s="70"/>
      <c r="H39" s="81"/>
      <c r="I39" s="70"/>
      <c r="J39" s="70"/>
      <c r="K39" s="73"/>
      <c r="L39" s="77"/>
      <c r="M39" s="82" t="s">
        <v>41</v>
      </c>
      <c r="N39" s="69"/>
      <c r="O39" s="70"/>
      <c r="P39" s="70"/>
      <c r="Q39" s="70"/>
      <c r="R39" s="70"/>
      <c r="S39" s="73"/>
      <c r="T39" s="77"/>
      <c r="U39" s="31"/>
      <c r="V39" s="31"/>
      <c r="W39" s="31"/>
      <c r="X39" s="33"/>
      <c r="Y39" s="33"/>
      <c r="Z39" s="82" t="s">
        <v>42</v>
      </c>
      <c r="AA39" s="31"/>
      <c r="AB39" s="70"/>
      <c r="AC39" s="70"/>
      <c r="AD39" s="70"/>
      <c r="AE39" s="70"/>
      <c r="AF39" s="70"/>
      <c r="AG39" s="77"/>
      <c r="AH39" s="31"/>
      <c r="AI39" s="31"/>
      <c r="AJ39" s="31" t="s">
        <v>55</v>
      </c>
      <c r="AL39" s="83">
        <f>AK37/AB38</f>
        <v>388114.96969696967</v>
      </c>
      <c r="AM39" s="31" t="s">
        <v>56</v>
      </c>
      <c r="AN39" s="31"/>
      <c r="AO39" s="31"/>
      <c r="AP39" s="31"/>
      <c r="AQ39" s="33"/>
      <c r="AR39" s="31"/>
      <c r="AS39" s="31"/>
      <c r="AT39" s="33"/>
      <c r="AU39" s="31"/>
      <c r="AV39" s="33"/>
    </row>
    <row r="40" spans="1:49" s="5" customFormat="1" ht="21" customHeight="1">
      <c r="A40" s="31"/>
      <c r="B40" s="68"/>
      <c r="C40" s="181"/>
      <c r="D40" s="90"/>
      <c r="E40" s="84"/>
      <c r="F40" s="10"/>
      <c r="G40" s="10"/>
      <c r="H40" s="10"/>
      <c r="I40" s="10"/>
      <c r="J40" s="10"/>
      <c r="K40" s="10"/>
      <c r="L40" s="85"/>
      <c r="M40" s="84"/>
      <c r="N40" s="10"/>
      <c r="O40" s="10"/>
      <c r="P40" s="10"/>
      <c r="Q40" s="10"/>
      <c r="R40" s="10"/>
      <c r="S40" s="10"/>
      <c r="T40" s="85"/>
      <c r="U40" s="31"/>
      <c r="V40" s="31"/>
      <c r="W40" s="31"/>
      <c r="X40" s="33"/>
      <c r="Y40" s="31"/>
      <c r="Z40" s="84"/>
      <c r="AA40" s="10"/>
      <c r="AB40" s="10"/>
      <c r="AC40" s="10"/>
      <c r="AD40" s="10"/>
      <c r="AE40" s="10"/>
      <c r="AF40" s="10"/>
      <c r="AG40" s="85"/>
      <c r="AH40" s="31"/>
      <c r="AI40" s="31"/>
      <c r="AJ40" s="31" t="s">
        <v>57</v>
      </c>
      <c r="AK40" s="33">
        <f>AK36+AL36</f>
        <v>13662264</v>
      </c>
      <c r="AL40" s="83">
        <f>AK40/AB38</f>
        <v>455408.8</v>
      </c>
      <c r="AM40" s="31" t="s">
        <v>43</v>
      </c>
      <c r="AN40" s="31"/>
      <c r="AO40" s="31"/>
      <c r="AP40" s="31"/>
      <c r="AQ40" s="31"/>
      <c r="AR40" s="31"/>
      <c r="AS40" s="31"/>
      <c r="AT40" s="33"/>
      <c r="AU40" s="31"/>
      <c r="AV40" s="33"/>
    </row>
    <row r="41" spans="1:49" s="5" customFormat="1" ht="21" customHeight="1">
      <c r="A41" s="31"/>
      <c r="B41" s="68"/>
      <c r="C41" s="181"/>
      <c r="D41" s="90"/>
      <c r="E41" s="86"/>
      <c r="F41" s="87"/>
      <c r="G41" s="87"/>
      <c r="H41" s="87"/>
      <c r="I41" s="87"/>
      <c r="J41" s="87"/>
      <c r="K41" s="87"/>
      <c r="L41" s="88"/>
      <c r="M41" s="86"/>
      <c r="N41" s="87"/>
      <c r="O41" s="87"/>
      <c r="P41" s="87"/>
      <c r="Q41" s="87"/>
      <c r="R41" s="87"/>
      <c r="S41" s="87"/>
      <c r="T41" s="88"/>
      <c r="U41" s="31"/>
      <c r="V41" s="31"/>
      <c r="W41" s="31"/>
      <c r="X41" s="33"/>
      <c r="Y41" s="31"/>
      <c r="Z41" s="86"/>
      <c r="AA41" s="87"/>
      <c r="AB41" s="87"/>
      <c r="AC41" s="87"/>
      <c r="AD41" s="87"/>
      <c r="AE41" s="87"/>
      <c r="AF41" s="87"/>
      <c r="AG41" s="88"/>
      <c r="AH41" s="31"/>
      <c r="AI41" s="31"/>
      <c r="AJ41" s="31" t="s">
        <v>58</v>
      </c>
      <c r="AK41" s="67">
        <f>AK37+AL37</f>
        <v>12420239.999999998</v>
      </c>
      <c r="AL41" s="83">
        <f>AK41/AB38</f>
        <v>414007.99999999994</v>
      </c>
      <c r="AM41" s="31" t="s">
        <v>56</v>
      </c>
      <c r="AN41" s="31"/>
      <c r="AO41" s="31"/>
      <c r="AP41" s="31"/>
      <c r="AQ41" s="31"/>
      <c r="AR41" s="31"/>
      <c r="AS41" s="31"/>
      <c r="AT41" s="33"/>
      <c r="AU41" s="31"/>
      <c r="AV41" s="33"/>
    </row>
    <row r="42" spans="1:49" s="5" customFormat="1" ht="21" customHeight="1">
      <c r="A42" s="31"/>
      <c r="B42" s="68"/>
      <c r="C42" s="181"/>
      <c r="D42" s="90"/>
      <c r="E42" s="86"/>
      <c r="F42" s="87"/>
      <c r="G42" s="87"/>
      <c r="H42" s="87"/>
      <c r="I42" s="87"/>
      <c r="J42" s="87"/>
      <c r="K42" s="87"/>
      <c r="L42" s="88"/>
      <c r="M42" s="86"/>
      <c r="N42" s="87"/>
      <c r="O42" s="87"/>
      <c r="P42" s="87"/>
      <c r="Q42" s="87"/>
      <c r="R42" s="87"/>
      <c r="S42" s="87"/>
      <c r="T42" s="88"/>
      <c r="U42" s="31"/>
      <c r="V42" s="31"/>
      <c r="W42" s="31"/>
      <c r="X42" s="33"/>
      <c r="Y42" s="31"/>
      <c r="Z42" s="86"/>
      <c r="AA42" s="87"/>
      <c r="AB42" s="87"/>
      <c r="AC42" s="87"/>
      <c r="AD42" s="87"/>
      <c r="AE42" s="87"/>
      <c r="AF42" s="87"/>
      <c r="AG42" s="88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3"/>
      <c r="AU42" s="31"/>
      <c r="AV42" s="33"/>
    </row>
    <row r="43" spans="1:49" s="5" customFormat="1" ht="21" customHeight="1">
      <c r="A43" s="31"/>
      <c r="B43" s="68"/>
      <c r="C43" s="181"/>
      <c r="D43" s="90"/>
      <c r="E43" s="86"/>
      <c r="F43" s="87"/>
      <c r="G43" s="87"/>
      <c r="H43" s="87"/>
      <c r="I43" s="87"/>
      <c r="J43" s="87"/>
      <c r="K43" s="87"/>
      <c r="L43" s="88"/>
      <c r="M43" s="86"/>
      <c r="N43" s="87"/>
      <c r="O43" s="87"/>
      <c r="P43" s="87"/>
      <c r="Q43" s="87"/>
      <c r="R43" s="87"/>
      <c r="S43" s="87"/>
      <c r="T43" s="88"/>
      <c r="U43" s="31"/>
      <c r="V43" s="31"/>
      <c r="W43" s="31"/>
      <c r="X43" s="31"/>
      <c r="Y43" s="31"/>
      <c r="Z43" s="86"/>
      <c r="AA43" s="87"/>
      <c r="AB43" s="87"/>
      <c r="AC43" s="87"/>
      <c r="AD43" s="87"/>
      <c r="AE43" s="87"/>
      <c r="AF43" s="87"/>
      <c r="AG43" s="88"/>
      <c r="AH43" s="31"/>
      <c r="AI43" s="31"/>
      <c r="AJ43" s="31"/>
      <c r="AK43" s="33">
        <f>AK37+AL37</f>
        <v>12420239.999999998</v>
      </c>
      <c r="AL43" s="90" t="s">
        <v>44</v>
      </c>
      <c r="AM43" s="90" t="s">
        <v>64</v>
      </c>
      <c r="AN43" s="90" t="s">
        <v>65</v>
      </c>
      <c r="AO43" s="31"/>
      <c r="AP43" s="31"/>
      <c r="AQ43" s="31"/>
      <c r="AR43" s="31"/>
      <c r="AS43" s="31"/>
      <c r="AT43" s="33"/>
      <c r="AU43" s="31"/>
      <c r="AV43" s="33"/>
    </row>
    <row r="44" spans="1:49" s="5" customFormat="1" ht="21" customHeight="1">
      <c r="A44" s="31"/>
      <c r="B44" s="68"/>
      <c r="C44" s="181"/>
      <c r="D44" s="90"/>
      <c r="E44" s="91"/>
      <c r="F44" s="92"/>
      <c r="G44" s="92"/>
      <c r="H44" s="92"/>
      <c r="I44" s="92"/>
      <c r="J44" s="92"/>
      <c r="K44" s="92"/>
      <c r="L44" s="93"/>
      <c r="M44" s="91"/>
      <c r="N44" s="92"/>
      <c r="O44" s="92"/>
      <c r="P44" s="92"/>
      <c r="Q44" s="92"/>
      <c r="R44" s="92"/>
      <c r="S44" s="92"/>
      <c r="T44" s="93"/>
      <c r="U44" s="31"/>
      <c r="V44" s="31"/>
      <c r="W44" s="31"/>
      <c r="X44" s="31"/>
      <c r="Y44" s="31"/>
      <c r="Z44" s="91"/>
      <c r="AA44" s="92"/>
      <c r="AB44" s="92"/>
      <c r="AC44" s="92"/>
      <c r="AD44" s="92"/>
      <c r="AE44" s="92"/>
      <c r="AF44" s="92"/>
      <c r="AG44" s="93"/>
      <c r="AH44" s="31"/>
      <c r="AI44" s="34"/>
      <c r="AJ44" s="89" t="s">
        <v>45</v>
      </c>
      <c r="AK44" s="67">
        <f>K45+S45+AF45+AL44</f>
        <v>11316482.186000001</v>
      </c>
      <c r="AL44" s="182">
        <f>AM44+AN44</f>
        <v>768082</v>
      </c>
      <c r="AM44" s="34">
        <v>550000</v>
      </c>
      <c r="AN44" s="34">
        <v>218082</v>
      </c>
      <c r="AO44" s="31"/>
      <c r="AP44" s="31"/>
      <c r="AQ44" s="31"/>
      <c r="AR44" s="31"/>
      <c r="AS44" s="31"/>
      <c r="AT44" s="33"/>
      <c r="AU44" s="31"/>
      <c r="AV44" s="33"/>
    </row>
    <row r="45" spans="1:49" s="5" customFormat="1" ht="21" customHeight="1">
      <c r="A45" s="31"/>
      <c r="B45" s="68"/>
      <c r="C45" s="180"/>
      <c r="D45" s="90"/>
      <c r="E45" s="31"/>
      <c r="F45" s="31"/>
      <c r="G45" s="31"/>
      <c r="H45" s="31"/>
      <c r="I45" s="94"/>
      <c r="J45" s="95" t="s">
        <v>46</v>
      </c>
      <c r="K45" s="183">
        <v>1047400.186</v>
      </c>
      <c r="L45" s="96" t="s">
        <v>47</v>
      </c>
      <c r="M45" s="34"/>
      <c r="N45" s="34"/>
      <c r="O45" s="34"/>
      <c r="P45" s="34"/>
      <c r="Q45" s="34"/>
      <c r="R45" s="95" t="s">
        <v>48</v>
      </c>
      <c r="S45" s="183">
        <v>8007000</v>
      </c>
      <c r="T45" s="96" t="s">
        <v>47</v>
      </c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94" t="s">
        <v>49</v>
      </c>
      <c r="AF45" s="183">
        <v>1494000</v>
      </c>
      <c r="AG45" s="96" t="s">
        <v>47</v>
      </c>
      <c r="AH45" s="34"/>
      <c r="AI45" s="34"/>
      <c r="AJ45" s="89" t="s">
        <v>50</v>
      </c>
      <c r="AK45" s="67">
        <f>AK44-AK37-AL37</f>
        <v>-1103757.8139999984</v>
      </c>
      <c r="AL45" s="67">
        <f>AL44-AL37</f>
        <v>-8708.9090909090592</v>
      </c>
      <c r="AM45" s="107">
        <f>AL37/AL44</f>
        <v>1.0113385147561185</v>
      </c>
      <c r="AN45" s="31"/>
      <c r="AO45" s="31"/>
      <c r="AP45" s="31"/>
      <c r="AQ45" s="31"/>
      <c r="AR45" s="33"/>
      <c r="AS45" s="31"/>
      <c r="AT45" s="33"/>
      <c r="AU45" s="31"/>
      <c r="AV45" s="31"/>
    </row>
    <row r="46" spans="1:49" s="5" customFormat="1" ht="21" customHeight="1">
      <c r="A46" s="31"/>
      <c r="B46" s="68"/>
      <c r="C46" s="180"/>
      <c r="D46" s="90"/>
      <c r="E46" s="31"/>
      <c r="F46" s="31"/>
      <c r="G46" s="31"/>
      <c r="H46" s="31"/>
      <c r="I46" s="94"/>
      <c r="J46" s="94" t="s">
        <v>50</v>
      </c>
      <c r="K46" s="67">
        <f>K45-K37</f>
        <v>251578.36781818187</v>
      </c>
      <c r="L46" s="97">
        <v>0</v>
      </c>
      <c r="M46" s="34"/>
      <c r="N46" s="34"/>
      <c r="O46" s="34"/>
      <c r="P46" s="34"/>
      <c r="Q46" s="34"/>
      <c r="R46" s="94" t="s">
        <v>50</v>
      </c>
      <c r="S46" s="67">
        <f>S45-S37</f>
        <v>-1318909.0909090899</v>
      </c>
      <c r="T46" s="34">
        <f>L46</f>
        <v>0</v>
      </c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94" t="s">
        <v>50</v>
      </c>
      <c r="AF46" s="67">
        <f>AF45-AF37</f>
        <v>-27718.181818181649</v>
      </c>
      <c r="AG46" s="34">
        <f>L46</f>
        <v>0</v>
      </c>
      <c r="AH46" s="34"/>
      <c r="AI46" s="98"/>
      <c r="AJ46" s="99" t="s">
        <v>51</v>
      </c>
      <c r="AK46" s="100" t="e">
        <f>AK45/L46</f>
        <v>#DIV/0!</v>
      </c>
      <c r="AL46" s="106">
        <f>(AK37+AL37)/AK44</f>
        <v>1.0975354174431957</v>
      </c>
      <c r="AM46" s="98"/>
      <c r="AN46" s="101"/>
      <c r="AO46" s="31"/>
      <c r="AP46" s="31"/>
      <c r="AQ46" s="31"/>
      <c r="AR46" s="33"/>
      <c r="AS46" s="31"/>
      <c r="AT46" s="33"/>
      <c r="AU46" s="31"/>
      <c r="AV46" s="31"/>
    </row>
    <row r="47" spans="1:49" s="5" customFormat="1" ht="25.5" customHeight="1">
      <c r="A47" s="101"/>
      <c r="B47" s="102"/>
      <c r="C47" s="184"/>
      <c r="D47" s="115"/>
      <c r="E47" s="101"/>
      <c r="F47" s="101"/>
      <c r="G47" s="101"/>
      <c r="H47" s="101"/>
      <c r="I47" s="103"/>
      <c r="J47" s="99" t="s">
        <v>51</v>
      </c>
      <c r="K47" s="104" t="e">
        <f>K46/L46</f>
        <v>#DIV/0!</v>
      </c>
      <c r="L47" s="105">
        <f>K37/K45</f>
        <v>0.75980683297474427</v>
      </c>
      <c r="M47" s="98"/>
      <c r="N47" s="98"/>
      <c r="O47" s="98"/>
      <c r="P47" s="98"/>
      <c r="Q47" s="98"/>
      <c r="R47" s="99" t="s">
        <v>51</v>
      </c>
      <c r="S47" s="100" t="e">
        <f>S46/T46</f>
        <v>#DIV/0!</v>
      </c>
      <c r="T47" s="105">
        <f>S37/S45</f>
        <v>1.1647195067951905</v>
      </c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9" t="s">
        <v>51</v>
      </c>
      <c r="AF47" s="104" t="e">
        <f>AF46/AG46</f>
        <v>#DIV/0!</v>
      </c>
      <c r="AG47" s="105">
        <f>AF37/AF45</f>
        <v>1.0185529998783009</v>
      </c>
      <c r="AH47" s="98"/>
      <c r="AI47" s="31"/>
      <c r="AJ47" s="31"/>
      <c r="AK47" s="33"/>
      <c r="AL47" s="31"/>
      <c r="AM47" s="31"/>
      <c r="AN47" s="31"/>
      <c r="AO47" s="101"/>
      <c r="AP47" s="101"/>
      <c r="AQ47" s="101"/>
      <c r="AR47" s="108"/>
      <c r="AS47" s="101"/>
      <c r="AT47" s="108"/>
      <c r="AU47" s="101"/>
      <c r="AV47" s="101"/>
    </row>
    <row r="48" spans="1:49" s="5" customFormat="1" ht="15.75" customHeight="1">
      <c r="A48" s="31"/>
      <c r="B48" s="68"/>
      <c r="C48" s="180"/>
      <c r="D48" s="90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9"/>
      <c r="AJ48" s="109"/>
      <c r="AK48" s="109"/>
      <c r="AL48" s="109"/>
      <c r="AM48" s="109"/>
      <c r="AN48" s="109"/>
      <c r="AO48" s="31"/>
      <c r="AP48" s="31"/>
      <c r="AQ48" s="31"/>
      <c r="AR48" s="33"/>
      <c r="AS48" s="31"/>
      <c r="AT48" s="33"/>
      <c r="AU48" s="31"/>
      <c r="AV48" s="31"/>
    </row>
    <row r="49" spans="1:48" s="5" customFormat="1" ht="36" customHeight="1">
      <c r="A49" s="109"/>
      <c r="B49" s="110"/>
      <c r="C49" s="185"/>
      <c r="D49" s="1"/>
      <c r="E49" s="109"/>
      <c r="F49" s="109"/>
      <c r="G49" s="109"/>
      <c r="H49" s="109"/>
      <c r="I49" s="109"/>
      <c r="J49" s="109"/>
      <c r="K49" s="109"/>
      <c r="L49" s="109"/>
      <c r="M49" s="111"/>
      <c r="N49" s="31"/>
      <c r="O49" s="31"/>
      <c r="P49" s="31"/>
      <c r="Q49" s="31"/>
      <c r="R49" s="31"/>
      <c r="S49" s="111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"/>
      <c r="AJ49" s="1"/>
      <c r="AK49" s="1"/>
      <c r="AL49" s="1"/>
      <c r="AM49" s="1"/>
      <c r="AN49" s="1"/>
      <c r="AO49" s="109"/>
      <c r="AP49" s="109"/>
      <c r="AQ49" s="109"/>
      <c r="AR49" s="112"/>
      <c r="AS49" s="109"/>
      <c r="AT49" s="112"/>
      <c r="AU49" s="109"/>
      <c r="AV49" s="109"/>
    </row>
    <row r="50" spans="1:48" s="5" customFormat="1" ht="36" customHeight="1">
      <c r="A50" s="1"/>
      <c r="B50" s="113"/>
      <c r="C50" s="123"/>
      <c r="D50" s="1"/>
      <c r="E50" s="1"/>
      <c r="F50" s="1"/>
      <c r="G50" s="1"/>
      <c r="H50" s="1"/>
      <c r="I50" s="1"/>
      <c r="J50" s="1"/>
      <c r="K50" s="1"/>
      <c r="L50" s="1"/>
      <c r="M50" s="114"/>
      <c r="N50" s="31"/>
      <c r="O50" s="31"/>
      <c r="P50" s="31"/>
      <c r="Q50" s="31"/>
      <c r="R50" s="31"/>
      <c r="S50" s="114"/>
      <c r="T50" s="114"/>
      <c r="U50" s="1"/>
      <c r="V50" s="1"/>
      <c r="W50" s="1"/>
      <c r="X50" s="1"/>
      <c r="Y50" s="1"/>
      <c r="Z50" s="1"/>
      <c r="AA50" s="115"/>
      <c r="AB50" s="1"/>
      <c r="AC50" s="1"/>
      <c r="AD50" s="1"/>
      <c r="AE50" s="1"/>
      <c r="AF50" s="1"/>
      <c r="AG50" s="1"/>
      <c r="AH50" s="1"/>
      <c r="AI50" s="109"/>
      <c r="AJ50" s="109"/>
      <c r="AK50" s="109"/>
      <c r="AL50" s="109"/>
      <c r="AM50" s="109"/>
      <c r="AN50" s="109"/>
      <c r="AO50" s="1"/>
      <c r="AP50" s="1"/>
      <c r="AQ50" s="1"/>
      <c r="AR50" s="116"/>
      <c r="AS50" s="1"/>
      <c r="AT50" s="116"/>
      <c r="AU50" s="1"/>
      <c r="AV50" s="1"/>
    </row>
    <row r="51" spans="1:48" s="5" customFormat="1" ht="36" customHeight="1">
      <c r="A51" s="109"/>
      <c r="B51" s="110"/>
      <c r="C51" s="185"/>
      <c r="D51" s="1"/>
      <c r="E51" s="109"/>
      <c r="F51" s="109"/>
      <c r="G51" s="109"/>
      <c r="H51" s="109"/>
      <c r="I51" s="109"/>
      <c r="J51" s="109"/>
      <c r="K51" s="109"/>
      <c r="L51" s="1"/>
      <c r="M51" s="114"/>
      <c r="N51" s="31"/>
      <c r="O51" s="31"/>
      <c r="P51" s="31"/>
      <c r="Q51" s="31"/>
      <c r="R51" s="31"/>
      <c r="S51" s="117"/>
      <c r="T51" s="118"/>
      <c r="U51" s="118"/>
      <c r="V51" s="118"/>
      <c r="W51" s="118"/>
      <c r="X51" s="119"/>
      <c r="Y51" s="120"/>
      <c r="Z51" s="121"/>
      <c r="AA51" s="122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12"/>
      <c r="AS51" s="109"/>
      <c r="AT51" s="112"/>
      <c r="AU51" s="109"/>
      <c r="AV51" s="109"/>
    </row>
    <row r="52" spans="1:48" s="5" customFormat="1" ht="36" customHeight="1">
      <c r="A52" s="109"/>
      <c r="B52" s="110"/>
      <c r="C52" s="185"/>
      <c r="D52" s="1"/>
      <c r="E52" s="109"/>
      <c r="F52" s="109"/>
      <c r="G52" s="109"/>
      <c r="H52" s="109"/>
      <c r="I52" s="109"/>
      <c r="J52" s="109"/>
      <c r="K52" s="109"/>
      <c r="L52" s="1"/>
      <c r="M52" s="114"/>
      <c r="N52" s="31"/>
      <c r="O52" s="31"/>
      <c r="P52" s="31"/>
      <c r="Q52" s="31"/>
      <c r="R52" s="31"/>
      <c r="S52" s="119"/>
      <c r="T52" s="118"/>
      <c r="U52" s="118"/>
      <c r="V52" s="118"/>
      <c r="W52" s="118"/>
      <c r="X52" s="119"/>
      <c r="Y52" s="120"/>
      <c r="Z52" s="121"/>
      <c r="AA52" s="122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12"/>
      <c r="AS52" s="109"/>
      <c r="AT52" s="112"/>
      <c r="AU52" s="109"/>
      <c r="AV52" s="109"/>
    </row>
    <row r="53" spans="1:48" s="5" customFormat="1" ht="36" customHeight="1">
      <c r="A53" s="109"/>
      <c r="B53" s="110"/>
      <c r="C53" s="185"/>
      <c r="D53" s="1"/>
      <c r="E53" s="109"/>
      <c r="F53" s="109"/>
      <c r="G53" s="109"/>
      <c r="H53" s="109"/>
      <c r="I53" s="109"/>
      <c r="J53" s="109"/>
      <c r="K53" s="109"/>
      <c r="L53" s="1"/>
      <c r="M53" s="114"/>
      <c r="N53" s="31"/>
      <c r="O53" s="31"/>
      <c r="P53" s="31"/>
      <c r="Q53" s="31"/>
      <c r="R53" s="31"/>
      <c r="S53" s="119"/>
      <c r="T53" s="118"/>
      <c r="U53" s="118"/>
      <c r="V53" s="118"/>
      <c r="W53" s="118"/>
      <c r="X53" s="119"/>
      <c r="Y53" s="120"/>
      <c r="Z53" s="121"/>
      <c r="AA53" s="122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12"/>
      <c r="AS53" s="109"/>
      <c r="AT53" s="112"/>
      <c r="AU53" s="109"/>
      <c r="AV53" s="109"/>
    </row>
    <row r="54" spans="1:48" s="5" customFormat="1" ht="36" customHeight="1">
      <c r="A54" s="109"/>
      <c r="B54" s="110"/>
      <c r="C54" s="185"/>
      <c r="D54" s="1"/>
      <c r="E54" s="109"/>
      <c r="F54" s="109"/>
      <c r="G54" s="109"/>
      <c r="H54" s="109"/>
      <c r="I54" s="109"/>
      <c r="J54" s="109"/>
      <c r="K54" s="109"/>
      <c r="L54" s="1"/>
      <c r="M54" s="114"/>
      <c r="N54" s="31"/>
      <c r="O54" s="31"/>
      <c r="P54" s="31"/>
      <c r="Q54" s="31"/>
      <c r="R54" s="31"/>
      <c r="S54" s="119"/>
      <c r="T54" s="118"/>
      <c r="U54" s="118"/>
      <c r="V54" s="118"/>
      <c r="W54" s="118"/>
      <c r="X54" s="119"/>
      <c r="Y54" s="120"/>
      <c r="Z54" s="121"/>
      <c r="AA54" s="122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12"/>
      <c r="AS54" s="109"/>
      <c r="AT54" s="112"/>
      <c r="AU54" s="109"/>
      <c r="AV54" s="109"/>
    </row>
    <row r="55" spans="1:48" s="5" customFormat="1" ht="36" customHeight="1">
      <c r="A55" s="109"/>
      <c r="B55" s="110"/>
      <c r="C55" s="185"/>
      <c r="D55" s="1"/>
      <c r="E55" s="109"/>
      <c r="F55" s="109"/>
      <c r="G55" s="109"/>
      <c r="H55" s="109"/>
      <c r="I55" s="109"/>
      <c r="J55" s="109"/>
      <c r="K55" s="109"/>
      <c r="L55" s="109"/>
      <c r="M55" s="111"/>
      <c r="N55" s="31"/>
      <c r="O55" s="31"/>
      <c r="P55" s="31"/>
      <c r="Q55" s="31"/>
      <c r="R55" s="31"/>
      <c r="S55" s="119"/>
      <c r="T55" s="118"/>
      <c r="U55" s="118"/>
      <c r="V55" s="118"/>
      <c r="W55" s="118"/>
      <c r="X55" s="120"/>
      <c r="Y55" s="120"/>
      <c r="Z55" s="121"/>
      <c r="AA55" s="122"/>
      <c r="AB55" s="109"/>
      <c r="AC55" s="109"/>
      <c r="AD55" s="109"/>
      <c r="AE55" s="109"/>
      <c r="AF55" s="109"/>
      <c r="AG55" s="109"/>
      <c r="AH55" s="109"/>
      <c r="AI55" s="31"/>
      <c r="AJ55" s="31"/>
      <c r="AK55" s="31"/>
      <c r="AL55" s="31"/>
      <c r="AM55" s="31"/>
      <c r="AN55" s="31"/>
      <c r="AO55" s="109"/>
      <c r="AP55" s="109"/>
      <c r="AQ55" s="109"/>
      <c r="AR55" s="112"/>
      <c r="AS55" s="109"/>
      <c r="AT55" s="112"/>
      <c r="AU55" s="109"/>
      <c r="AV55" s="109"/>
    </row>
    <row r="56" spans="1:48" s="5" customFormat="1" ht="15.75" customHeight="1">
      <c r="A56" s="31"/>
      <c r="B56" s="68"/>
      <c r="C56" s="180"/>
      <c r="D56" s="90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121"/>
      <c r="AA56" s="12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3"/>
      <c r="AU56" s="31"/>
      <c r="AV56" s="33"/>
    </row>
    <row r="57" spans="1:48" s="5" customFormat="1" ht="15.75" customHeight="1">
      <c r="A57" s="31"/>
      <c r="B57" s="68"/>
      <c r="C57" s="180"/>
      <c r="D57" s="90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109"/>
      <c r="AA57" s="109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3"/>
      <c r="AU57" s="31"/>
      <c r="AV57" s="33"/>
    </row>
    <row r="58" spans="1:48" s="5" customFormat="1" ht="15.75" customHeight="1">
      <c r="A58" s="31"/>
      <c r="B58" s="68"/>
      <c r="C58" s="180"/>
      <c r="D58" s="90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3"/>
      <c r="AU58" s="31"/>
      <c r="AV58" s="33"/>
    </row>
    <row r="59" spans="1:48" s="5" customFormat="1" ht="15.75" customHeight="1">
      <c r="A59" s="31"/>
      <c r="B59" s="68"/>
      <c r="C59" s="180"/>
      <c r="D59" s="90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3"/>
      <c r="AU59" s="31"/>
      <c r="AV59" s="33"/>
    </row>
    <row r="60" spans="1:48" s="5" customFormat="1" ht="15.75" customHeight="1">
      <c r="A60" s="31"/>
      <c r="B60" s="68"/>
      <c r="C60" s="180"/>
      <c r="D60" s="90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3"/>
      <c r="AU60" s="31"/>
      <c r="AV60" s="33"/>
    </row>
    <row r="61" spans="1:48" s="5" customFormat="1" ht="15.75" customHeight="1">
      <c r="A61" s="31"/>
      <c r="B61" s="68"/>
      <c r="C61" s="180"/>
      <c r="D61" s="90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3"/>
      <c r="AU61" s="31"/>
      <c r="AV61" s="33"/>
    </row>
    <row r="62" spans="1:48" s="5" customFormat="1" ht="15.75" customHeight="1">
      <c r="A62" s="31"/>
      <c r="B62" s="68"/>
      <c r="C62" s="180"/>
      <c r="D62" s="90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3"/>
      <c r="AU62" s="31"/>
      <c r="AV62" s="33"/>
    </row>
    <row r="63" spans="1:48" s="5" customFormat="1" ht="15.75" customHeight="1">
      <c r="A63" s="31"/>
      <c r="B63" s="68"/>
      <c r="C63" s="180"/>
      <c r="D63" s="90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3"/>
      <c r="AU63" s="31"/>
      <c r="AV63" s="33"/>
    </row>
    <row r="64" spans="1:48" s="5" customFormat="1" ht="15.75" customHeight="1">
      <c r="A64" s="31"/>
      <c r="B64" s="68"/>
      <c r="C64" s="180"/>
      <c r="D64" s="90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3"/>
      <c r="AU64" s="31"/>
      <c r="AV64" s="33"/>
    </row>
    <row r="65" spans="1:48" s="5" customFormat="1" ht="15.75" customHeight="1">
      <c r="A65" s="31"/>
      <c r="B65" s="68"/>
      <c r="C65" s="180"/>
      <c r="D65" s="90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3"/>
      <c r="AU65" s="31"/>
      <c r="AV65" s="33"/>
    </row>
    <row r="66" spans="1:48" s="5" customFormat="1" ht="15.75" customHeight="1">
      <c r="A66" s="31"/>
      <c r="B66" s="68"/>
      <c r="C66" s="180"/>
      <c r="D66" s="90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3"/>
      <c r="AU66" s="31"/>
      <c r="AV66" s="33"/>
    </row>
    <row r="67" spans="1:48" s="5" customFormat="1" ht="15.75" customHeight="1">
      <c r="A67" s="31"/>
      <c r="B67" s="68"/>
      <c r="C67" s="180"/>
      <c r="D67" s="90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3"/>
      <c r="AU67" s="31"/>
      <c r="AV67" s="33"/>
    </row>
    <row r="68" spans="1:48" s="5" customFormat="1" ht="15.75" customHeight="1">
      <c r="A68" s="31"/>
      <c r="B68" s="68"/>
      <c r="C68" s="180"/>
      <c r="D68" s="90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3"/>
      <c r="AU68" s="31"/>
      <c r="AV68" s="33"/>
    </row>
    <row r="69" spans="1:48" s="5" customFormat="1" ht="15.75" customHeight="1">
      <c r="A69" s="31"/>
      <c r="B69" s="68"/>
      <c r="C69" s="180"/>
      <c r="D69" s="90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3"/>
      <c r="AU69" s="31"/>
      <c r="AV69" s="33"/>
    </row>
    <row r="70" spans="1:48" s="5" customFormat="1" ht="15.75" customHeight="1">
      <c r="A70" s="31"/>
      <c r="B70" s="68"/>
      <c r="C70" s="180"/>
      <c r="D70" s="90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3"/>
      <c r="AU70" s="31"/>
      <c r="AV70" s="33"/>
    </row>
    <row r="71" spans="1:48" s="5" customFormat="1" ht="15.75" customHeight="1">
      <c r="A71" s="31"/>
      <c r="B71" s="68"/>
      <c r="C71" s="180"/>
      <c r="D71" s="90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3"/>
      <c r="AU71" s="31"/>
      <c r="AV71" s="33"/>
    </row>
    <row r="72" spans="1:48" s="5" customFormat="1" ht="15.75" customHeight="1">
      <c r="A72" s="31"/>
      <c r="B72" s="68"/>
      <c r="C72" s="180"/>
      <c r="D72" s="90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3"/>
      <c r="AU72" s="31"/>
      <c r="AV72" s="33"/>
    </row>
    <row r="73" spans="1:48" s="5" customFormat="1" ht="15.75" customHeight="1">
      <c r="A73" s="31"/>
      <c r="B73" s="68"/>
      <c r="C73" s="180"/>
      <c r="D73" s="90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3"/>
      <c r="AU73" s="31"/>
      <c r="AV73" s="33"/>
    </row>
    <row r="74" spans="1:48" s="5" customFormat="1" ht="15.75" customHeight="1">
      <c r="A74" s="31"/>
      <c r="B74" s="68"/>
      <c r="C74" s="180"/>
      <c r="D74" s="90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3"/>
      <c r="AU74" s="31"/>
      <c r="AV74" s="33"/>
    </row>
    <row r="75" spans="1:48" s="5" customFormat="1" ht="15.75" customHeight="1">
      <c r="A75" s="31"/>
      <c r="B75" s="68"/>
      <c r="C75" s="180"/>
      <c r="D75" s="90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3"/>
      <c r="AU75" s="31"/>
      <c r="AV75" s="33"/>
    </row>
    <row r="76" spans="1:48" s="5" customFormat="1" ht="15.75" customHeight="1">
      <c r="A76" s="31"/>
      <c r="B76" s="68"/>
      <c r="C76" s="180"/>
      <c r="D76" s="90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3"/>
      <c r="AU76" s="31"/>
      <c r="AV76" s="33"/>
    </row>
    <row r="77" spans="1:48" s="5" customFormat="1" ht="15.75" customHeight="1">
      <c r="A77" s="31"/>
      <c r="B77" s="68"/>
      <c r="C77" s="180"/>
      <c r="D77" s="90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3"/>
      <c r="AU77" s="31"/>
      <c r="AV77" s="33"/>
    </row>
    <row r="78" spans="1:48" s="5" customFormat="1" ht="15.75" customHeight="1">
      <c r="A78" s="31"/>
      <c r="B78" s="68"/>
      <c r="C78" s="180"/>
      <c r="D78" s="90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3"/>
      <c r="AU78" s="31"/>
      <c r="AV78" s="33"/>
    </row>
    <row r="79" spans="1:48" s="5" customFormat="1" ht="15.75" customHeight="1">
      <c r="A79" s="31"/>
      <c r="B79" s="68"/>
      <c r="C79" s="180"/>
      <c r="D79" s="90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3"/>
      <c r="AU79" s="31"/>
      <c r="AV79" s="33"/>
    </row>
    <row r="80" spans="1:48" s="5" customFormat="1" ht="15.75" customHeight="1">
      <c r="A80" s="31"/>
      <c r="B80" s="68"/>
      <c r="C80" s="180"/>
      <c r="D80" s="90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3"/>
      <c r="AU80" s="31"/>
      <c r="AV80" s="33"/>
    </row>
    <row r="81" spans="1:48" s="5" customFormat="1" ht="15.75" customHeight="1">
      <c r="A81" s="31"/>
      <c r="B81" s="68"/>
      <c r="C81" s="180"/>
      <c r="D81" s="90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3"/>
      <c r="AU81" s="31"/>
      <c r="AV81" s="33"/>
    </row>
    <row r="82" spans="1:48" s="5" customFormat="1" ht="15.75" customHeight="1">
      <c r="A82" s="31"/>
      <c r="B82" s="68"/>
      <c r="C82" s="180"/>
      <c r="D82" s="90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3"/>
      <c r="AU82" s="31"/>
      <c r="AV82" s="33"/>
    </row>
    <row r="83" spans="1:48" s="5" customFormat="1" ht="15.75" customHeight="1">
      <c r="A83" s="31"/>
      <c r="B83" s="68"/>
      <c r="C83" s="180"/>
      <c r="D83" s="90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3"/>
      <c r="AU83" s="31"/>
      <c r="AV83" s="33"/>
    </row>
    <row r="84" spans="1:48" s="5" customFormat="1" ht="15.75" customHeight="1">
      <c r="A84" s="31"/>
      <c r="B84" s="68"/>
      <c r="C84" s="180"/>
      <c r="D84" s="90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3"/>
      <c r="AU84" s="31"/>
      <c r="AV84" s="33"/>
    </row>
    <row r="85" spans="1:48" s="5" customFormat="1" ht="15.75" customHeight="1">
      <c r="A85" s="31"/>
      <c r="B85" s="68"/>
      <c r="C85" s="180"/>
      <c r="D85" s="90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3"/>
      <c r="AU85" s="31"/>
      <c r="AV85" s="33"/>
    </row>
    <row r="86" spans="1:48" s="5" customFormat="1" ht="15.75" customHeight="1">
      <c r="A86" s="31"/>
      <c r="B86" s="68"/>
      <c r="C86" s="180"/>
      <c r="D86" s="90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3"/>
      <c r="AU86" s="31"/>
      <c r="AV86" s="33"/>
    </row>
    <row r="87" spans="1:48" s="5" customFormat="1" ht="15.75" customHeight="1">
      <c r="A87" s="31"/>
      <c r="B87" s="68"/>
      <c r="C87" s="180"/>
      <c r="D87" s="90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3"/>
      <c r="AU87" s="31"/>
      <c r="AV87" s="33"/>
    </row>
    <row r="88" spans="1:48" s="5" customFormat="1" ht="15.75" customHeight="1">
      <c r="A88" s="31"/>
      <c r="B88" s="68"/>
      <c r="C88" s="180"/>
      <c r="D88" s="90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3"/>
      <c r="AU88" s="31"/>
      <c r="AV88" s="33"/>
    </row>
    <row r="89" spans="1:48" s="5" customFormat="1" ht="15.75" customHeight="1">
      <c r="A89" s="31"/>
      <c r="B89" s="68"/>
      <c r="C89" s="180"/>
      <c r="D89" s="90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3"/>
      <c r="AU89" s="31"/>
      <c r="AV89" s="33"/>
    </row>
    <row r="90" spans="1:48" s="5" customFormat="1" ht="15.75" customHeight="1">
      <c r="A90" s="31"/>
      <c r="B90" s="68"/>
      <c r="C90" s="180"/>
      <c r="D90" s="90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3"/>
      <c r="AU90" s="31"/>
      <c r="AV90" s="33"/>
    </row>
    <row r="91" spans="1:48" s="5" customFormat="1" ht="15.75" customHeight="1">
      <c r="A91" s="31"/>
      <c r="B91" s="68"/>
      <c r="C91" s="180"/>
      <c r="D91" s="90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3"/>
      <c r="AU91" s="31"/>
      <c r="AV91" s="33"/>
    </row>
    <row r="92" spans="1:48" s="5" customFormat="1" ht="15.75" customHeight="1">
      <c r="A92" s="31"/>
      <c r="B92" s="68"/>
      <c r="C92" s="180"/>
      <c r="D92" s="90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3"/>
      <c r="AU92" s="31"/>
      <c r="AV92" s="33"/>
    </row>
    <row r="93" spans="1:48" s="5" customFormat="1" ht="15.75" customHeight="1">
      <c r="A93" s="31"/>
      <c r="B93" s="68"/>
      <c r="C93" s="180"/>
      <c r="D93" s="90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3"/>
      <c r="AU93" s="31"/>
      <c r="AV93" s="33"/>
    </row>
    <row r="94" spans="1:48" s="5" customFormat="1" ht="15.75" customHeight="1">
      <c r="A94" s="31"/>
      <c r="B94" s="68"/>
      <c r="C94" s="180"/>
      <c r="D94" s="90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3"/>
      <c r="AU94" s="31"/>
      <c r="AV94" s="33"/>
    </row>
    <row r="95" spans="1:48" s="5" customFormat="1" ht="15.75" customHeight="1">
      <c r="A95" s="31"/>
      <c r="B95" s="68"/>
      <c r="C95" s="180"/>
      <c r="D95" s="90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3"/>
      <c r="AU95" s="31"/>
      <c r="AV95" s="33"/>
    </row>
    <row r="96" spans="1:48" s="5" customFormat="1" ht="15.75" customHeight="1">
      <c r="A96" s="31"/>
      <c r="B96" s="68"/>
      <c r="C96" s="180"/>
      <c r="D96" s="90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3"/>
      <c r="AU96" s="31"/>
      <c r="AV96" s="33"/>
    </row>
    <row r="97" spans="1:48" s="5" customFormat="1" ht="15.75" customHeight="1">
      <c r="A97" s="31"/>
      <c r="B97" s="68"/>
      <c r="C97" s="180"/>
      <c r="D97" s="90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3"/>
      <c r="AU97" s="31"/>
      <c r="AV97" s="33"/>
    </row>
    <row r="98" spans="1:48" s="5" customFormat="1" ht="15.75" customHeight="1">
      <c r="A98" s="31"/>
      <c r="B98" s="68"/>
      <c r="C98" s="180"/>
      <c r="D98" s="90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3"/>
      <c r="AU98" s="31"/>
      <c r="AV98" s="33"/>
    </row>
    <row r="99" spans="1:48" s="5" customFormat="1" ht="15.75" customHeight="1">
      <c r="A99" s="31"/>
      <c r="B99" s="68"/>
      <c r="C99" s="180"/>
      <c r="D99" s="90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3"/>
      <c r="AU99" s="31"/>
      <c r="AV99" s="33"/>
    </row>
    <row r="100" spans="1:48" s="5" customFormat="1" ht="15.75" customHeight="1">
      <c r="A100" s="31"/>
      <c r="B100" s="68"/>
      <c r="C100" s="180"/>
      <c r="D100" s="90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3"/>
      <c r="AU100" s="31"/>
      <c r="AV100" s="33"/>
    </row>
    <row r="101" spans="1:48" s="5" customFormat="1" ht="15.75" customHeight="1">
      <c r="A101" s="31"/>
      <c r="B101" s="68"/>
      <c r="C101" s="180"/>
      <c r="D101" s="90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3"/>
      <c r="AU101" s="31"/>
      <c r="AV101" s="33"/>
    </row>
    <row r="102" spans="1:48" s="5" customFormat="1" ht="15.75" customHeight="1">
      <c r="A102" s="31"/>
      <c r="B102" s="68"/>
      <c r="C102" s="180"/>
      <c r="D102" s="90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3"/>
      <c r="AU102" s="31"/>
      <c r="AV102" s="33"/>
    </row>
    <row r="103" spans="1:48" s="5" customFormat="1" ht="15.75" customHeight="1">
      <c r="A103" s="31"/>
      <c r="B103" s="68"/>
      <c r="C103" s="180"/>
      <c r="D103" s="90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3"/>
      <c r="AU103" s="31"/>
      <c r="AV103" s="33"/>
    </row>
    <row r="104" spans="1:48" s="5" customFormat="1" ht="15.75" customHeight="1">
      <c r="A104" s="31"/>
      <c r="B104" s="68"/>
      <c r="C104" s="180"/>
      <c r="D104" s="90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3"/>
      <c r="AU104" s="31"/>
      <c r="AV104" s="33"/>
    </row>
    <row r="105" spans="1:48" s="5" customFormat="1" ht="15.75" customHeight="1">
      <c r="A105" s="31"/>
      <c r="B105" s="68"/>
      <c r="C105" s="180"/>
      <c r="D105" s="90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3"/>
      <c r="AU105" s="31"/>
      <c r="AV105" s="33"/>
    </row>
    <row r="106" spans="1:48" s="5" customFormat="1" ht="15.75" customHeight="1">
      <c r="A106" s="31"/>
      <c r="B106" s="68"/>
      <c r="C106" s="180"/>
      <c r="D106" s="90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3"/>
      <c r="AU106" s="31"/>
      <c r="AV106" s="33"/>
    </row>
    <row r="107" spans="1:48" s="5" customFormat="1" ht="15.75" customHeight="1">
      <c r="A107" s="31"/>
      <c r="B107" s="68"/>
      <c r="C107" s="180"/>
      <c r="D107" s="90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3"/>
      <c r="AU107" s="31"/>
      <c r="AV107" s="33"/>
    </row>
    <row r="108" spans="1:48" s="5" customFormat="1" ht="15.75" customHeight="1">
      <c r="A108" s="31"/>
      <c r="B108" s="68"/>
      <c r="C108" s="180"/>
      <c r="D108" s="90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3"/>
      <c r="AU108" s="31"/>
      <c r="AV108" s="33"/>
    </row>
    <row r="109" spans="1:48" s="5" customFormat="1" ht="15.75" customHeight="1">
      <c r="A109" s="31"/>
      <c r="B109" s="68"/>
      <c r="C109" s="180"/>
      <c r="D109" s="90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3"/>
      <c r="AU109" s="31"/>
      <c r="AV109" s="33"/>
    </row>
    <row r="110" spans="1:48" s="5" customFormat="1" ht="15.75" customHeight="1">
      <c r="A110" s="31"/>
      <c r="B110" s="68"/>
      <c r="C110" s="180"/>
      <c r="D110" s="90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3"/>
      <c r="AU110" s="31"/>
      <c r="AV110" s="33"/>
    </row>
    <row r="111" spans="1:48" s="5" customFormat="1" ht="15.75" customHeight="1">
      <c r="A111" s="31"/>
      <c r="B111" s="68"/>
      <c r="C111" s="180"/>
      <c r="D111" s="90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3"/>
      <c r="AU111" s="31"/>
      <c r="AV111" s="33"/>
    </row>
    <row r="112" spans="1:48" s="5" customFormat="1" ht="15.75" customHeight="1">
      <c r="A112" s="31"/>
      <c r="B112" s="68"/>
      <c r="C112" s="180"/>
      <c r="D112" s="90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3"/>
      <c r="AU112" s="31"/>
      <c r="AV112" s="33"/>
    </row>
    <row r="113" spans="1:48" s="5" customFormat="1" ht="15.75" customHeight="1">
      <c r="A113" s="31"/>
      <c r="B113" s="68"/>
      <c r="C113" s="180"/>
      <c r="D113" s="90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3"/>
      <c r="AU113" s="31"/>
      <c r="AV113" s="33"/>
    </row>
    <row r="114" spans="1:48" s="5" customFormat="1" ht="15.75" customHeight="1">
      <c r="A114" s="31"/>
      <c r="B114" s="68"/>
      <c r="C114" s="180"/>
      <c r="D114" s="90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3"/>
      <c r="AU114" s="31"/>
      <c r="AV114" s="33"/>
    </row>
    <row r="115" spans="1:48" s="5" customFormat="1" ht="15.75" customHeight="1">
      <c r="A115" s="31"/>
      <c r="B115" s="68"/>
      <c r="C115" s="180"/>
      <c r="D115" s="90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3"/>
      <c r="AU115" s="31"/>
      <c r="AV115" s="33"/>
    </row>
    <row r="116" spans="1:48" s="5" customFormat="1" ht="15.75" customHeight="1">
      <c r="A116" s="31"/>
      <c r="B116" s="68"/>
      <c r="C116" s="180"/>
      <c r="D116" s="90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3"/>
      <c r="AU116" s="31"/>
      <c r="AV116" s="33"/>
    </row>
    <row r="117" spans="1:48" s="5" customFormat="1" ht="15.75" customHeight="1">
      <c r="A117" s="31"/>
      <c r="B117" s="68"/>
      <c r="C117" s="180"/>
      <c r="D117" s="90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3"/>
      <c r="AU117" s="31"/>
      <c r="AV117" s="33"/>
    </row>
    <row r="118" spans="1:48" s="5" customFormat="1" ht="15.75" customHeight="1">
      <c r="A118" s="31"/>
      <c r="B118" s="68"/>
      <c r="C118" s="180"/>
      <c r="D118" s="90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3"/>
      <c r="AU118" s="31"/>
      <c r="AV118" s="33"/>
    </row>
    <row r="119" spans="1:48" s="5" customFormat="1" ht="15.75" customHeight="1">
      <c r="A119" s="31"/>
      <c r="B119" s="68"/>
      <c r="C119" s="180"/>
      <c r="D119" s="90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3"/>
      <c r="AU119" s="31"/>
      <c r="AV119" s="33"/>
    </row>
    <row r="120" spans="1:48" s="5" customFormat="1" ht="15.75" customHeight="1">
      <c r="A120" s="31"/>
      <c r="B120" s="68"/>
      <c r="C120" s="180"/>
      <c r="D120" s="90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3"/>
      <c r="AU120" s="31"/>
      <c r="AV120" s="33"/>
    </row>
    <row r="121" spans="1:48" s="5" customFormat="1" ht="15.75" customHeight="1">
      <c r="A121" s="31"/>
      <c r="B121" s="68"/>
      <c r="C121" s="180"/>
      <c r="D121" s="90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3"/>
      <c r="AU121" s="31"/>
      <c r="AV121" s="33"/>
    </row>
    <row r="122" spans="1:48" s="5" customFormat="1" ht="15.75" customHeight="1">
      <c r="A122" s="31"/>
      <c r="B122" s="68"/>
      <c r="C122" s="180"/>
      <c r="D122" s="90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3"/>
      <c r="AU122" s="31"/>
      <c r="AV122" s="33"/>
    </row>
    <row r="123" spans="1:48" s="5" customFormat="1" ht="15.75" customHeight="1">
      <c r="A123" s="31"/>
      <c r="B123" s="68"/>
      <c r="C123" s="180"/>
      <c r="D123" s="90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3"/>
      <c r="AU123" s="31"/>
      <c r="AV123" s="33"/>
    </row>
    <row r="124" spans="1:48" s="5" customFormat="1" ht="15.75" customHeight="1">
      <c r="A124" s="31"/>
      <c r="B124" s="68"/>
      <c r="C124" s="180"/>
      <c r="D124" s="90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3"/>
      <c r="AU124" s="31"/>
      <c r="AV124" s="33"/>
    </row>
    <row r="125" spans="1:48" s="5" customFormat="1" ht="15.75" customHeight="1">
      <c r="A125" s="31"/>
      <c r="B125" s="68"/>
      <c r="C125" s="180"/>
      <c r="D125" s="90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3"/>
      <c r="AU125" s="31"/>
      <c r="AV125" s="33"/>
    </row>
    <row r="126" spans="1:48" s="5" customFormat="1" ht="15.75" customHeight="1">
      <c r="A126" s="31"/>
      <c r="B126" s="68"/>
      <c r="C126" s="180"/>
      <c r="D126" s="90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3"/>
      <c r="AU126" s="31"/>
      <c r="AV126" s="33"/>
    </row>
    <row r="127" spans="1:48" s="5" customFormat="1" ht="15.75" customHeight="1">
      <c r="A127" s="31"/>
      <c r="B127" s="68"/>
      <c r="C127" s="180"/>
      <c r="D127" s="90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3"/>
      <c r="AU127" s="31"/>
      <c r="AV127" s="33"/>
    </row>
    <row r="128" spans="1:48" s="5" customFormat="1" ht="15.75" customHeight="1">
      <c r="A128" s="31"/>
      <c r="B128" s="68"/>
      <c r="C128" s="180"/>
      <c r="D128" s="90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3"/>
      <c r="AU128" s="31"/>
      <c r="AV128" s="33"/>
    </row>
    <row r="129" spans="1:48" s="5" customFormat="1" ht="15.75" customHeight="1">
      <c r="A129" s="31"/>
      <c r="B129" s="68"/>
      <c r="C129" s="180"/>
      <c r="D129" s="90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3"/>
      <c r="AU129" s="31"/>
      <c r="AV129" s="33"/>
    </row>
    <row r="130" spans="1:48" s="5" customFormat="1" ht="15.75" customHeight="1">
      <c r="A130" s="31"/>
      <c r="B130" s="68"/>
      <c r="C130" s="180"/>
      <c r="D130" s="90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3"/>
      <c r="AU130" s="31"/>
      <c r="AV130" s="33"/>
    </row>
    <row r="131" spans="1:48" s="5" customFormat="1" ht="15.75" customHeight="1">
      <c r="A131" s="31"/>
      <c r="B131" s="68"/>
      <c r="C131" s="180"/>
      <c r="D131" s="90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3"/>
      <c r="AU131" s="31"/>
      <c r="AV131" s="33"/>
    </row>
    <row r="132" spans="1:48" s="5" customFormat="1" ht="15.75" customHeight="1">
      <c r="A132" s="31"/>
      <c r="B132" s="68"/>
      <c r="C132" s="180"/>
      <c r="D132" s="90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3"/>
      <c r="AU132" s="31"/>
      <c r="AV132" s="33"/>
    </row>
    <row r="133" spans="1:48" s="5" customFormat="1" ht="15.75" customHeight="1">
      <c r="A133" s="31"/>
      <c r="B133" s="68"/>
      <c r="C133" s="180"/>
      <c r="D133" s="90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3"/>
      <c r="AU133" s="31"/>
      <c r="AV133" s="33"/>
    </row>
    <row r="134" spans="1:48" s="5" customFormat="1" ht="15.75" customHeight="1">
      <c r="A134" s="31"/>
      <c r="B134" s="68"/>
      <c r="C134" s="180"/>
      <c r="D134" s="90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3"/>
      <c r="AU134" s="31"/>
      <c r="AV134" s="33"/>
    </row>
    <row r="135" spans="1:48" s="5" customFormat="1" ht="15.75" customHeight="1">
      <c r="A135" s="31"/>
      <c r="B135" s="68"/>
      <c r="C135" s="180"/>
      <c r="D135" s="90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3"/>
      <c r="AU135" s="31"/>
      <c r="AV135" s="33"/>
    </row>
    <row r="136" spans="1:48" s="5" customFormat="1" ht="15.75" customHeight="1">
      <c r="A136" s="31"/>
      <c r="B136" s="68"/>
      <c r="C136" s="180"/>
      <c r="D136" s="90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3"/>
      <c r="AU136" s="31"/>
      <c r="AV136" s="33"/>
    </row>
    <row r="137" spans="1:48" s="5" customFormat="1" ht="15.75" customHeight="1">
      <c r="A137" s="31"/>
      <c r="B137" s="68"/>
      <c r="C137" s="180"/>
      <c r="D137" s="90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3"/>
      <c r="AU137" s="31"/>
      <c r="AV137" s="33"/>
    </row>
    <row r="138" spans="1:48" s="5" customFormat="1" ht="15.75" customHeight="1">
      <c r="A138" s="31"/>
      <c r="B138" s="68"/>
      <c r="C138" s="180"/>
      <c r="D138" s="90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3"/>
      <c r="AU138" s="31"/>
      <c r="AV138" s="33"/>
    </row>
    <row r="139" spans="1:48" s="5" customFormat="1" ht="15.75" customHeight="1">
      <c r="A139" s="31"/>
      <c r="B139" s="68"/>
      <c r="C139" s="180"/>
      <c r="D139" s="90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3"/>
      <c r="AU139" s="31"/>
      <c r="AV139" s="33"/>
    </row>
    <row r="140" spans="1:48" s="5" customFormat="1" ht="15.75" customHeight="1">
      <c r="A140" s="31"/>
      <c r="B140" s="68"/>
      <c r="C140" s="180"/>
      <c r="D140" s="90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3"/>
      <c r="AU140" s="31"/>
      <c r="AV140" s="33"/>
    </row>
    <row r="141" spans="1:48" s="5" customFormat="1" ht="15.75" customHeight="1">
      <c r="A141" s="31"/>
      <c r="B141" s="68"/>
      <c r="C141" s="180"/>
      <c r="D141" s="90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3"/>
      <c r="AU141" s="31"/>
      <c r="AV141" s="33"/>
    </row>
    <row r="142" spans="1:48" s="5" customFormat="1" ht="15.75" customHeight="1">
      <c r="A142" s="31"/>
      <c r="B142" s="68"/>
      <c r="C142" s="180"/>
      <c r="D142" s="90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3"/>
      <c r="AU142" s="31"/>
      <c r="AV142" s="33"/>
    </row>
    <row r="143" spans="1:48" s="5" customFormat="1" ht="15.75" customHeight="1">
      <c r="A143" s="31"/>
      <c r="B143" s="68"/>
      <c r="C143" s="180"/>
      <c r="D143" s="90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3"/>
      <c r="AU143" s="31"/>
      <c r="AV143" s="33"/>
    </row>
    <row r="144" spans="1:48" s="5" customFormat="1" ht="15.75" customHeight="1">
      <c r="A144" s="31"/>
      <c r="B144" s="68"/>
      <c r="C144" s="180"/>
      <c r="D144" s="90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3"/>
      <c r="AU144" s="31"/>
      <c r="AV144" s="33"/>
    </row>
    <row r="145" spans="1:48" s="5" customFormat="1" ht="15.75" customHeight="1">
      <c r="A145" s="31"/>
      <c r="B145" s="68"/>
      <c r="C145" s="180"/>
      <c r="D145" s="90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3"/>
      <c r="AU145" s="31"/>
      <c r="AV145" s="33"/>
    </row>
    <row r="146" spans="1:48" s="5" customFormat="1" ht="15.75" customHeight="1">
      <c r="A146" s="31"/>
      <c r="B146" s="68"/>
      <c r="C146" s="180"/>
      <c r="D146" s="90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3"/>
      <c r="AU146" s="31"/>
      <c r="AV146" s="33"/>
    </row>
    <row r="147" spans="1:48" s="5" customFormat="1" ht="15.75" customHeight="1">
      <c r="A147" s="31"/>
      <c r="B147" s="68"/>
      <c r="C147" s="180"/>
      <c r="D147" s="90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3"/>
      <c r="AU147" s="31"/>
      <c r="AV147" s="33"/>
    </row>
    <row r="148" spans="1:48" s="5" customFormat="1" ht="15.75" customHeight="1">
      <c r="A148" s="31"/>
      <c r="B148" s="68"/>
      <c r="C148" s="180"/>
      <c r="D148" s="90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3"/>
      <c r="AU148" s="31"/>
      <c r="AV148" s="33"/>
    </row>
    <row r="149" spans="1:48" s="5" customFormat="1" ht="15.75" customHeight="1">
      <c r="A149" s="31"/>
      <c r="B149" s="68"/>
      <c r="C149" s="180"/>
      <c r="D149" s="90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3"/>
      <c r="AU149" s="31"/>
      <c r="AV149" s="33"/>
    </row>
    <row r="150" spans="1:48" s="5" customFormat="1" ht="15.75" customHeight="1">
      <c r="A150" s="31"/>
      <c r="B150" s="68"/>
      <c r="C150" s="180"/>
      <c r="D150" s="90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3"/>
      <c r="AU150" s="31"/>
      <c r="AV150" s="33"/>
    </row>
    <row r="151" spans="1:48" s="5" customFormat="1" ht="15.75" customHeight="1">
      <c r="A151" s="31"/>
      <c r="B151" s="68"/>
      <c r="C151" s="180"/>
      <c r="D151" s="90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3"/>
      <c r="AU151" s="31"/>
      <c r="AV151" s="33"/>
    </row>
    <row r="152" spans="1:48" s="5" customFormat="1" ht="15.75" customHeight="1">
      <c r="A152" s="31"/>
      <c r="B152" s="68"/>
      <c r="C152" s="180"/>
      <c r="D152" s="90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3"/>
      <c r="AU152" s="31"/>
      <c r="AV152" s="33"/>
    </row>
    <row r="153" spans="1:48" s="5" customFormat="1" ht="15.75" customHeight="1">
      <c r="A153" s="31"/>
      <c r="B153" s="68"/>
      <c r="C153" s="180"/>
      <c r="D153" s="90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3"/>
      <c r="AU153" s="31"/>
      <c r="AV153" s="33"/>
    </row>
    <row r="154" spans="1:48" s="5" customFormat="1" ht="15.75" customHeight="1">
      <c r="A154" s="31"/>
      <c r="B154" s="68"/>
      <c r="C154" s="180"/>
      <c r="D154" s="90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3"/>
      <c r="AU154" s="31"/>
      <c r="AV154" s="33"/>
    </row>
    <row r="155" spans="1:48" s="5" customFormat="1" ht="15.75" customHeight="1">
      <c r="A155" s="31"/>
      <c r="B155" s="68"/>
      <c r="C155" s="180"/>
      <c r="D155" s="90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3"/>
      <c r="AU155" s="31"/>
      <c r="AV155" s="33"/>
    </row>
    <row r="156" spans="1:48" s="5" customFormat="1" ht="15.75" customHeight="1">
      <c r="A156" s="31"/>
      <c r="B156" s="68"/>
      <c r="C156" s="180"/>
      <c r="D156" s="90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3"/>
      <c r="AU156" s="31"/>
      <c r="AV156" s="33"/>
    </row>
    <row r="157" spans="1:48" s="5" customFormat="1" ht="15.75" customHeight="1">
      <c r="A157" s="31"/>
      <c r="B157" s="68"/>
      <c r="C157" s="180"/>
      <c r="D157" s="90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3"/>
      <c r="AU157" s="31"/>
      <c r="AV157" s="33"/>
    </row>
    <row r="158" spans="1:48" s="5" customFormat="1" ht="15.75" customHeight="1">
      <c r="A158" s="31"/>
      <c r="B158" s="68"/>
      <c r="C158" s="180"/>
      <c r="D158" s="90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3"/>
      <c r="AU158" s="31"/>
      <c r="AV158" s="33"/>
    </row>
    <row r="159" spans="1:48" s="5" customFormat="1" ht="15.75" customHeight="1">
      <c r="A159" s="31"/>
      <c r="B159" s="68"/>
      <c r="C159" s="180"/>
      <c r="D159" s="90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3"/>
      <c r="AU159" s="31"/>
      <c r="AV159" s="33"/>
    </row>
    <row r="160" spans="1:48" s="5" customFormat="1" ht="15.75" customHeight="1">
      <c r="A160" s="31"/>
      <c r="B160" s="68"/>
      <c r="C160" s="180"/>
      <c r="D160" s="90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3"/>
      <c r="AU160" s="31"/>
      <c r="AV160" s="33"/>
    </row>
    <row r="161" spans="1:48" s="5" customFormat="1" ht="15.75" customHeight="1">
      <c r="A161" s="31"/>
      <c r="B161" s="68"/>
      <c r="C161" s="180"/>
      <c r="D161" s="90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3"/>
      <c r="AU161" s="31"/>
      <c r="AV161" s="33"/>
    </row>
    <row r="162" spans="1:48" s="5" customFormat="1" ht="15.75" customHeight="1">
      <c r="A162" s="31"/>
      <c r="B162" s="68"/>
      <c r="C162" s="180"/>
      <c r="D162" s="90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3"/>
      <c r="AU162" s="31"/>
      <c r="AV162" s="33"/>
    </row>
    <row r="163" spans="1:48" s="5" customFormat="1" ht="15.75" customHeight="1">
      <c r="A163" s="31"/>
      <c r="B163" s="68"/>
      <c r="C163" s="180"/>
      <c r="D163" s="90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3"/>
      <c r="AU163" s="31"/>
      <c r="AV163" s="33"/>
    </row>
    <row r="164" spans="1:48" s="5" customFormat="1" ht="15.75" customHeight="1">
      <c r="A164" s="31"/>
      <c r="B164" s="68"/>
      <c r="C164" s="180"/>
      <c r="D164" s="90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3"/>
      <c r="AU164" s="31"/>
      <c r="AV164" s="33"/>
    </row>
    <row r="165" spans="1:48" s="5" customFormat="1" ht="15.75" customHeight="1">
      <c r="A165" s="31"/>
      <c r="B165" s="68"/>
      <c r="C165" s="180"/>
      <c r="D165" s="90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3"/>
      <c r="AU165" s="31"/>
      <c r="AV165" s="33"/>
    </row>
    <row r="166" spans="1:48" s="5" customFormat="1" ht="15.75" customHeight="1">
      <c r="A166" s="31"/>
      <c r="B166" s="68"/>
      <c r="C166" s="180"/>
      <c r="D166" s="90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3"/>
      <c r="AU166" s="31"/>
      <c r="AV166" s="33"/>
    </row>
    <row r="167" spans="1:48" s="5" customFormat="1" ht="15.75" customHeight="1">
      <c r="A167" s="31"/>
      <c r="B167" s="68"/>
      <c r="C167" s="180"/>
      <c r="D167" s="90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3"/>
      <c r="AU167" s="31"/>
      <c r="AV167" s="33"/>
    </row>
    <row r="168" spans="1:48" s="5" customFormat="1" ht="15.75" customHeight="1">
      <c r="A168" s="31"/>
      <c r="B168" s="68"/>
      <c r="C168" s="180"/>
      <c r="D168" s="90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3"/>
      <c r="AU168" s="31"/>
      <c r="AV168" s="33"/>
    </row>
    <row r="169" spans="1:48" s="5" customFormat="1" ht="15.75" customHeight="1">
      <c r="A169" s="31"/>
      <c r="B169" s="68"/>
      <c r="C169" s="180"/>
      <c r="D169" s="90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3"/>
      <c r="AU169" s="31"/>
      <c r="AV169" s="33"/>
    </row>
    <row r="170" spans="1:48" s="5" customFormat="1" ht="15.75" customHeight="1">
      <c r="A170" s="31"/>
      <c r="B170" s="68"/>
      <c r="C170" s="180"/>
      <c r="D170" s="90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3"/>
      <c r="AU170" s="31"/>
      <c r="AV170" s="33"/>
    </row>
    <row r="171" spans="1:48" s="5" customFormat="1" ht="15.75" customHeight="1">
      <c r="A171" s="31"/>
      <c r="B171" s="68"/>
      <c r="C171" s="180"/>
      <c r="D171" s="90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3"/>
      <c r="AU171" s="31"/>
      <c r="AV171" s="33"/>
    </row>
    <row r="172" spans="1:48" s="5" customFormat="1" ht="15.75" customHeight="1">
      <c r="A172" s="31"/>
      <c r="B172" s="68"/>
      <c r="C172" s="180"/>
      <c r="D172" s="90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3"/>
      <c r="AU172" s="31"/>
      <c r="AV172" s="33"/>
    </row>
    <row r="173" spans="1:48" s="5" customFormat="1" ht="15.75" customHeight="1">
      <c r="A173" s="31"/>
      <c r="B173" s="68"/>
      <c r="C173" s="180"/>
      <c r="D173" s="90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3"/>
      <c r="AU173" s="31"/>
      <c r="AV173" s="33"/>
    </row>
    <row r="174" spans="1:48" s="5" customFormat="1" ht="15.75" customHeight="1">
      <c r="A174" s="31"/>
      <c r="B174" s="68"/>
      <c r="C174" s="180"/>
      <c r="D174" s="90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3"/>
      <c r="AU174" s="31"/>
      <c r="AV174" s="33"/>
    </row>
    <row r="175" spans="1:48" s="5" customFormat="1" ht="15.75" customHeight="1">
      <c r="A175" s="31"/>
      <c r="B175" s="68"/>
      <c r="C175" s="180"/>
      <c r="D175" s="90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3"/>
      <c r="AU175" s="31"/>
      <c r="AV175" s="33"/>
    </row>
    <row r="176" spans="1:48" s="5" customFormat="1" ht="15.75" customHeight="1">
      <c r="A176" s="31"/>
      <c r="B176" s="68"/>
      <c r="C176" s="180"/>
      <c r="D176" s="90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3"/>
      <c r="AU176" s="31"/>
      <c r="AV176" s="33"/>
    </row>
    <row r="177" spans="1:48" s="5" customFormat="1" ht="15.75" customHeight="1">
      <c r="A177" s="31"/>
      <c r="B177" s="68"/>
      <c r="C177" s="180"/>
      <c r="D177" s="90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3"/>
      <c r="AU177" s="31"/>
      <c r="AV177" s="33"/>
    </row>
    <row r="178" spans="1:48" s="5" customFormat="1" ht="15.75" customHeight="1">
      <c r="A178" s="31"/>
      <c r="B178" s="68"/>
      <c r="C178" s="180"/>
      <c r="D178" s="90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3"/>
      <c r="AU178" s="31"/>
      <c r="AV178" s="33"/>
    </row>
    <row r="179" spans="1:48" s="5" customFormat="1" ht="15.75" customHeight="1">
      <c r="A179" s="31"/>
      <c r="B179" s="68"/>
      <c r="C179" s="180"/>
      <c r="D179" s="90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3"/>
      <c r="AU179" s="31"/>
      <c r="AV179" s="33"/>
    </row>
    <row r="180" spans="1:48" s="5" customFormat="1" ht="15.75" customHeight="1">
      <c r="A180" s="31"/>
      <c r="B180" s="68"/>
      <c r="C180" s="180"/>
      <c r="D180" s="90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3"/>
      <c r="AU180" s="31"/>
      <c r="AV180" s="33"/>
    </row>
    <row r="181" spans="1:48" s="5" customFormat="1" ht="15.75" customHeight="1">
      <c r="A181" s="31"/>
      <c r="B181" s="68"/>
      <c r="C181" s="180"/>
      <c r="D181" s="90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3"/>
      <c r="AU181" s="31"/>
      <c r="AV181" s="33"/>
    </row>
    <row r="182" spans="1:48" s="5" customFormat="1" ht="15.75" customHeight="1">
      <c r="A182" s="31"/>
      <c r="B182" s="68"/>
      <c r="C182" s="180"/>
      <c r="D182" s="90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3"/>
      <c r="AU182" s="31"/>
      <c r="AV182" s="33"/>
    </row>
    <row r="183" spans="1:48" s="5" customFormat="1" ht="15.75" customHeight="1">
      <c r="A183" s="31"/>
      <c r="B183" s="68"/>
      <c r="C183" s="180"/>
      <c r="D183" s="90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3"/>
      <c r="AU183" s="31"/>
      <c r="AV183" s="33"/>
    </row>
    <row r="184" spans="1:48" s="5" customFormat="1" ht="15.75" customHeight="1">
      <c r="A184" s="31"/>
      <c r="B184" s="68"/>
      <c r="C184" s="180"/>
      <c r="D184" s="90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3"/>
      <c r="AU184" s="31"/>
      <c r="AV184" s="33"/>
    </row>
    <row r="185" spans="1:48" s="5" customFormat="1" ht="15.75" customHeight="1">
      <c r="A185" s="31"/>
      <c r="B185" s="68"/>
      <c r="C185" s="180"/>
      <c r="D185" s="90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3"/>
      <c r="AU185" s="31"/>
      <c r="AV185" s="33"/>
    </row>
    <row r="186" spans="1:48" s="5" customFormat="1" ht="15.75" customHeight="1">
      <c r="A186" s="31"/>
      <c r="B186" s="68"/>
      <c r="C186" s="180"/>
      <c r="D186" s="90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3"/>
      <c r="AU186" s="31"/>
      <c r="AV186" s="33"/>
    </row>
    <row r="187" spans="1:48" s="5" customFormat="1" ht="15.75" customHeight="1">
      <c r="A187" s="31"/>
      <c r="B187" s="68"/>
      <c r="C187" s="180"/>
      <c r="D187" s="90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3"/>
      <c r="AU187" s="31"/>
      <c r="AV187" s="33"/>
    </row>
    <row r="188" spans="1:48" s="5" customFormat="1" ht="15.75" customHeight="1">
      <c r="A188" s="31"/>
      <c r="B188" s="68"/>
      <c r="C188" s="180"/>
      <c r="D188" s="90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3"/>
      <c r="AU188" s="31"/>
      <c r="AV188" s="33"/>
    </row>
    <row r="189" spans="1:48" s="5" customFormat="1" ht="15.75" customHeight="1">
      <c r="A189" s="31"/>
      <c r="B189" s="68"/>
      <c r="C189" s="180"/>
      <c r="D189" s="90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3"/>
      <c r="AU189" s="31"/>
      <c r="AV189" s="33"/>
    </row>
    <row r="190" spans="1:48" s="5" customFormat="1" ht="15.75" customHeight="1">
      <c r="A190" s="31"/>
      <c r="B190" s="68"/>
      <c r="C190" s="180"/>
      <c r="D190" s="90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3"/>
      <c r="AU190" s="31"/>
      <c r="AV190" s="33"/>
    </row>
    <row r="191" spans="1:48" s="5" customFormat="1" ht="15.75" customHeight="1">
      <c r="A191" s="31"/>
      <c r="B191" s="68"/>
      <c r="C191" s="180"/>
      <c r="D191" s="90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3"/>
      <c r="AU191" s="31"/>
      <c r="AV191" s="33"/>
    </row>
    <row r="192" spans="1:48" s="5" customFormat="1" ht="15.75" customHeight="1">
      <c r="A192" s="31"/>
      <c r="B192" s="68"/>
      <c r="C192" s="180"/>
      <c r="D192" s="90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3"/>
      <c r="AU192" s="31"/>
      <c r="AV192" s="33"/>
    </row>
    <row r="193" spans="1:48" s="5" customFormat="1" ht="15.75" customHeight="1">
      <c r="A193" s="31"/>
      <c r="B193" s="68"/>
      <c r="C193" s="180"/>
      <c r="D193" s="90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3"/>
      <c r="AU193" s="31"/>
      <c r="AV193" s="33"/>
    </row>
    <row r="194" spans="1:48" s="5" customFormat="1" ht="15.75" customHeight="1">
      <c r="A194" s="31"/>
      <c r="B194" s="68"/>
      <c r="C194" s="180"/>
      <c r="D194" s="90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3"/>
      <c r="AU194" s="31"/>
      <c r="AV194" s="33"/>
    </row>
    <row r="195" spans="1:48" s="5" customFormat="1" ht="15.75" customHeight="1">
      <c r="A195" s="31"/>
      <c r="B195" s="68"/>
      <c r="C195" s="180"/>
      <c r="D195" s="90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3"/>
      <c r="AU195" s="31"/>
      <c r="AV195" s="33"/>
    </row>
    <row r="196" spans="1:48" s="5" customFormat="1" ht="15.75" customHeight="1">
      <c r="A196" s="31"/>
      <c r="B196" s="68"/>
      <c r="C196" s="180"/>
      <c r="D196" s="90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3"/>
      <c r="AU196" s="31"/>
      <c r="AV196" s="33"/>
    </row>
    <row r="197" spans="1:48" s="5" customFormat="1" ht="15.75" customHeight="1">
      <c r="A197" s="31"/>
      <c r="B197" s="68"/>
      <c r="C197" s="180"/>
      <c r="D197" s="90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3"/>
      <c r="AU197" s="31"/>
      <c r="AV197" s="33"/>
    </row>
    <row r="198" spans="1:48" s="5" customFormat="1" ht="15.75" customHeight="1">
      <c r="A198" s="31"/>
      <c r="B198" s="68"/>
      <c r="C198" s="180"/>
      <c r="D198" s="90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3"/>
      <c r="AU198" s="31"/>
      <c r="AV198" s="33"/>
    </row>
    <row r="199" spans="1:48" s="5" customFormat="1" ht="15.75" customHeight="1">
      <c r="A199" s="31"/>
      <c r="B199" s="68"/>
      <c r="C199" s="180"/>
      <c r="D199" s="90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3"/>
      <c r="AU199" s="31"/>
      <c r="AV199" s="33"/>
    </row>
    <row r="200" spans="1:48" s="5" customFormat="1" ht="15.75" customHeight="1">
      <c r="A200" s="31"/>
      <c r="B200" s="68"/>
      <c r="C200" s="180"/>
      <c r="D200" s="90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3"/>
      <c r="AU200" s="31"/>
      <c r="AV200" s="33"/>
    </row>
    <row r="201" spans="1:48" s="5" customFormat="1" ht="15.75" customHeight="1">
      <c r="A201" s="31"/>
      <c r="B201" s="68"/>
      <c r="C201" s="180"/>
      <c r="D201" s="90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3"/>
      <c r="AU201" s="31"/>
      <c r="AV201" s="33"/>
    </row>
    <row r="202" spans="1:48" s="5" customFormat="1" ht="15.75" customHeight="1">
      <c r="A202" s="31"/>
      <c r="B202" s="68"/>
      <c r="C202" s="180"/>
      <c r="D202" s="90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3"/>
      <c r="AU202" s="31"/>
      <c r="AV202" s="33"/>
    </row>
    <row r="203" spans="1:48" s="5" customFormat="1" ht="15.75" customHeight="1">
      <c r="A203" s="31"/>
      <c r="B203" s="68"/>
      <c r="C203" s="180"/>
      <c r="D203" s="90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3"/>
      <c r="AU203" s="31"/>
      <c r="AV203" s="33"/>
    </row>
    <row r="204" spans="1:48" s="5" customFormat="1" ht="15.75" customHeight="1">
      <c r="A204" s="31"/>
      <c r="B204" s="68"/>
      <c r="C204" s="180"/>
      <c r="D204" s="90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3"/>
      <c r="AU204" s="31"/>
      <c r="AV204" s="33"/>
    </row>
    <row r="205" spans="1:48" s="5" customFormat="1" ht="15.75" customHeight="1">
      <c r="A205" s="31"/>
      <c r="B205" s="68"/>
      <c r="C205" s="180"/>
      <c r="D205" s="90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3"/>
      <c r="AU205" s="31"/>
      <c r="AV205" s="33"/>
    </row>
    <row r="206" spans="1:48" s="5" customFormat="1" ht="15.75" customHeight="1">
      <c r="A206" s="31"/>
      <c r="B206" s="68"/>
      <c r="C206" s="180"/>
      <c r="D206" s="90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3"/>
      <c r="AU206" s="31"/>
      <c r="AV206" s="33"/>
    </row>
    <row r="207" spans="1:48" s="5" customFormat="1" ht="15.75" customHeight="1">
      <c r="A207" s="31"/>
      <c r="B207" s="68"/>
      <c r="C207" s="180"/>
      <c r="D207" s="90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3"/>
      <c r="AU207" s="31"/>
      <c r="AV207" s="33"/>
    </row>
    <row r="208" spans="1:48" s="5" customFormat="1" ht="15.75" customHeight="1">
      <c r="A208" s="31"/>
      <c r="B208" s="68"/>
      <c r="C208" s="180"/>
      <c r="D208" s="90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3"/>
      <c r="AU208" s="31"/>
      <c r="AV208" s="33"/>
    </row>
    <row r="209" spans="1:48" s="5" customFormat="1" ht="15.75" customHeight="1">
      <c r="A209" s="31"/>
      <c r="B209" s="68"/>
      <c r="C209" s="180"/>
      <c r="D209" s="90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3"/>
      <c r="AU209" s="31"/>
      <c r="AV209" s="33"/>
    </row>
    <row r="210" spans="1:48" s="5" customFormat="1" ht="15.75" customHeight="1">
      <c r="A210" s="31"/>
      <c r="B210" s="68"/>
      <c r="C210" s="180"/>
      <c r="D210" s="90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3"/>
      <c r="AU210" s="31"/>
      <c r="AV210" s="33"/>
    </row>
    <row r="211" spans="1:48" s="5" customFormat="1" ht="15.75" customHeight="1">
      <c r="A211" s="31"/>
      <c r="B211" s="68"/>
      <c r="C211" s="180"/>
      <c r="D211" s="90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3"/>
      <c r="AU211" s="31"/>
      <c r="AV211" s="33"/>
    </row>
    <row r="212" spans="1:48" s="5" customFormat="1" ht="15.75" customHeight="1">
      <c r="A212" s="31"/>
      <c r="B212" s="68"/>
      <c r="C212" s="180"/>
      <c r="D212" s="90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3"/>
      <c r="AU212" s="31"/>
      <c r="AV212" s="33"/>
    </row>
    <row r="213" spans="1:48" s="5" customFormat="1" ht="15.75" customHeight="1">
      <c r="A213" s="31"/>
      <c r="B213" s="68"/>
      <c r="C213" s="180"/>
      <c r="D213" s="90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3"/>
      <c r="AU213" s="31"/>
      <c r="AV213" s="33"/>
    </row>
    <row r="214" spans="1:48" s="5" customFormat="1" ht="15.75" customHeight="1">
      <c r="A214" s="31"/>
      <c r="B214" s="68"/>
      <c r="C214" s="180"/>
      <c r="D214" s="90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3"/>
      <c r="AU214" s="31"/>
      <c r="AV214" s="33"/>
    </row>
    <row r="215" spans="1:48" s="5" customFormat="1" ht="15.75" customHeight="1">
      <c r="A215" s="31"/>
      <c r="B215" s="68"/>
      <c r="C215" s="180"/>
      <c r="D215" s="90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3"/>
      <c r="AU215" s="31"/>
      <c r="AV215" s="33"/>
    </row>
    <row r="216" spans="1:48" s="5" customFormat="1" ht="15.75" customHeight="1">
      <c r="A216" s="31"/>
      <c r="B216" s="68"/>
      <c r="C216" s="180"/>
      <c r="D216" s="90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3"/>
      <c r="AU216" s="31"/>
      <c r="AV216" s="33"/>
    </row>
    <row r="217" spans="1:48" s="5" customFormat="1" ht="15.75" customHeight="1">
      <c r="A217" s="31"/>
      <c r="B217" s="68"/>
      <c r="C217" s="180"/>
      <c r="D217" s="90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3"/>
      <c r="AU217" s="31"/>
      <c r="AV217" s="33"/>
    </row>
    <row r="218" spans="1:48" s="5" customFormat="1" ht="15.75" customHeight="1">
      <c r="A218" s="31"/>
      <c r="B218" s="68"/>
      <c r="C218" s="180"/>
      <c r="D218" s="90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3"/>
      <c r="AU218" s="31"/>
      <c r="AV218" s="33"/>
    </row>
    <row r="219" spans="1:48" s="5" customFormat="1" ht="15.75" customHeight="1">
      <c r="A219" s="31"/>
      <c r="B219" s="68"/>
      <c r="C219" s="180"/>
      <c r="D219" s="90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3"/>
      <c r="AU219" s="31"/>
      <c r="AV219" s="33"/>
    </row>
    <row r="220" spans="1:48" s="5" customFormat="1" ht="15.75" customHeight="1">
      <c r="A220" s="31"/>
      <c r="B220" s="68"/>
      <c r="C220" s="180"/>
      <c r="D220" s="90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3"/>
      <c r="AU220" s="31"/>
      <c r="AV220" s="33"/>
    </row>
    <row r="221" spans="1:48" s="5" customFormat="1" ht="15.75" customHeight="1">
      <c r="A221" s="31"/>
      <c r="B221" s="68"/>
      <c r="C221" s="180"/>
      <c r="D221" s="90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3"/>
      <c r="AU221" s="31"/>
      <c r="AV221" s="33"/>
    </row>
    <row r="222" spans="1:48" s="5" customFormat="1" ht="15.75" customHeight="1">
      <c r="A222" s="31"/>
      <c r="B222" s="68"/>
      <c r="C222" s="180"/>
      <c r="D222" s="90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3"/>
      <c r="AU222" s="31"/>
      <c r="AV222" s="33"/>
    </row>
    <row r="223" spans="1:48" s="5" customFormat="1" ht="15.75" customHeight="1">
      <c r="A223" s="31"/>
      <c r="B223" s="68"/>
      <c r="C223" s="180"/>
      <c r="D223" s="90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3"/>
      <c r="AU223" s="31"/>
      <c r="AV223" s="33"/>
    </row>
    <row r="224" spans="1:48" s="5" customFormat="1" ht="15.75" customHeight="1">
      <c r="A224" s="31"/>
      <c r="B224" s="68"/>
      <c r="C224" s="180"/>
      <c r="D224" s="90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3"/>
      <c r="AU224" s="31"/>
      <c r="AV224" s="33"/>
    </row>
    <row r="225" spans="1:48" s="5" customFormat="1" ht="15.75" customHeight="1">
      <c r="A225" s="31"/>
      <c r="B225" s="68"/>
      <c r="C225" s="180"/>
      <c r="D225" s="90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3"/>
      <c r="AU225" s="31"/>
      <c r="AV225" s="33"/>
    </row>
    <row r="226" spans="1:48" s="5" customFormat="1" ht="15.75" customHeight="1">
      <c r="A226" s="31"/>
      <c r="B226" s="68"/>
      <c r="C226" s="180"/>
      <c r="D226" s="90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3"/>
      <c r="AU226" s="31"/>
      <c r="AV226" s="33"/>
    </row>
    <row r="227" spans="1:48" s="5" customFormat="1" ht="15.75" customHeight="1">
      <c r="A227" s="31"/>
      <c r="B227" s="68"/>
      <c r="C227" s="180"/>
      <c r="D227" s="90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3"/>
      <c r="AU227" s="31"/>
      <c r="AV227" s="33"/>
    </row>
    <row r="228" spans="1:48" s="5" customFormat="1" ht="15.75" customHeight="1">
      <c r="A228" s="31"/>
      <c r="B228" s="68"/>
      <c r="C228" s="180"/>
      <c r="D228" s="90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3"/>
      <c r="AU228" s="31"/>
      <c r="AV228" s="33"/>
    </row>
    <row r="229" spans="1:48" s="5" customFormat="1" ht="15.75" customHeight="1">
      <c r="A229" s="31"/>
      <c r="B229" s="68"/>
      <c r="C229" s="180"/>
      <c r="D229" s="90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3"/>
      <c r="AU229" s="31"/>
      <c r="AV229" s="33"/>
    </row>
    <row r="230" spans="1:48" s="5" customFormat="1" ht="15.75" customHeight="1">
      <c r="A230" s="31"/>
      <c r="B230" s="68"/>
      <c r="C230" s="180"/>
      <c r="D230" s="90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3"/>
      <c r="AU230" s="31"/>
      <c r="AV230" s="33"/>
    </row>
    <row r="231" spans="1:48" s="5" customFormat="1" ht="15.75" customHeight="1">
      <c r="A231" s="31"/>
      <c r="B231" s="68"/>
      <c r="C231" s="180"/>
      <c r="D231" s="90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3"/>
      <c r="AU231" s="31"/>
      <c r="AV231" s="33"/>
    </row>
    <row r="232" spans="1:48" s="5" customFormat="1" ht="15.75" customHeight="1">
      <c r="A232" s="31"/>
      <c r="B232" s="68"/>
      <c r="C232" s="180"/>
      <c r="D232" s="90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3"/>
      <c r="AU232" s="31"/>
      <c r="AV232" s="33"/>
    </row>
    <row r="233" spans="1:48" s="5" customFormat="1" ht="15.75" customHeight="1">
      <c r="A233" s="31"/>
      <c r="B233" s="68"/>
      <c r="C233" s="180"/>
      <c r="D233" s="90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3"/>
      <c r="AU233" s="31"/>
      <c r="AV233" s="33"/>
    </row>
    <row r="234" spans="1:48" s="5" customFormat="1" ht="15.75" customHeight="1">
      <c r="A234" s="31"/>
      <c r="B234" s="68"/>
      <c r="C234" s="180"/>
      <c r="D234" s="90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3"/>
      <c r="AU234" s="31"/>
      <c r="AV234" s="33"/>
    </row>
    <row r="235" spans="1:48" s="5" customFormat="1" ht="15.75" customHeight="1">
      <c r="A235" s="31"/>
      <c r="B235" s="68"/>
      <c r="C235" s="180"/>
      <c r="D235" s="90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3"/>
      <c r="AU235" s="31"/>
      <c r="AV235" s="33"/>
    </row>
    <row r="236" spans="1:48" s="5" customFormat="1" ht="15.75" customHeight="1">
      <c r="A236" s="31"/>
      <c r="B236" s="68"/>
      <c r="C236" s="180"/>
      <c r="D236" s="90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3"/>
      <c r="AU236" s="31"/>
      <c r="AV236" s="33"/>
    </row>
    <row r="237" spans="1:48" s="5" customFormat="1" ht="15.75" customHeight="1">
      <c r="A237" s="31"/>
      <c r="B237" s="68"/>
      <c r="C237" s="180"/>
      <c r="D237" s="90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3"/>
      <c r="AU237" s="31"/>
      <c r="AV237" s="33"/>
    </row>
    <row r="238" spans="1:48" s="5" customFormat="1" ht="15.75" customHeight="1">
      <c r="A238" s="31"/>
      <c r="B238" s="68"/>
      <c r="C238" s="180"/>
      <c r="D238" s="90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3"/>
      <c r="AU238" s="31"/>
      <c r="AV238" s="33"/>
    </row>
    <row r="239" spans="1:48" s="5" customFormat="1" ht="15.75" customHeight="1">
      <c r="A239" s="31"/>
      <c r="B239" s="68"/>
      <c r="C239" s="180"/>
      <c r="D239" s="90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3"/>
      <c r="AU239" s="31"/>
      <c r="AV239" s="33"/>
    </row>
    <row r="240" spans="1:48" s="5" customFormat="1" ht="15.75" customHeight="1">
      <c r="A240" s="31"/>
      <c r="B240" s="68"/>
      <c r="C240" s="180"/>
      <c r="D240" s="90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3"/>
      <c r="AU240" s="31"/>
      <c r="AV240" s="33"/>
    </row>
    <row r="241" spans="1:48" s="5" customFormat="1" ht="15.75" customHeight="1">
      <c r="A241" s="31"/>
      <c r="B241" s="68"/>
      <c r="C241" s="180"/>
      <c r="D241" s="90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3"/>
      <c r="AU241" s="31"/>
      <c r="AV241" s="33"/>
    </row>
    <row r="242" spans="1:48" s="5" customFormat="1" ht="15.75" customHeight="1">
      <c r="A242" s="31"/>
      <c r="B242" s="68"/>
      <c r="C242" s="180"/>
      <c r="D242" s="90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3"/>
      <c r="AU242" s="31"/>
      <c r="AV242" s="33"/>
    </row>
    <row r="243" spans="1:48" s="5" customFormat="1" ht="15.75" customHeight="1">
      <c r="A243" s="31"/>
      <c r="B243" s="68"/>
      <c r="C243" s="180"/>
      <c r="D243" s="90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3"/>
      <c r="AU243" s="31"/>
      <c r="AV243" s="33"/>
    </row>
    <row r="244" spans="1:48" s="5" customFormat="1" ht="15.75" customHeight="1">
      <c r="A244" s="31"/>
      <c r="B244" s="68"/>
      <c r="C244" s="180"/>
      <c r="D244" s="90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3"/>
      <c r="AU244" s="31"/>
      <c r="AV244" s="33"/>
    </row>
    <row r="245" spans="1:48" s="5" customFormat="1" ht="15.75" customHeight="1">
      <c r="A245" s="31"/>
      <c r="B245" s="68"/>
      <c r="C245" s="180"/>
      <c r="D245" s="90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3"/>
      <c r="AU245" s="31"/>
      <c r="AV245" s="33"/>
    </row>
    <row r="246" spans="1:48" s="5" customFormat="1" ht="15.75" customHeight="1">
      <c r="A246" s="31"/>
      <c r="B246" s="68"/>
      <c r="C246" s="180"/>
      <c r="D246" s="90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3"/>
      <c r="AU246" s="31"/>
      <c r="AV246" s="33"/>
    </row>
    <row r="247" spans="1:48" s="5" customFormat="1" ht="15.75" customHeight="1">
      <c r="A247" s="31"/>
      <c r="B247" s="68"/>
      <c r="C247" s="180"/>
      <c r="D247" s="90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3"/>
      <c r="AU247" s="31"/>
      <c r="AV247" s="33"/>
    </row>
    <row r="248" spans="1:48" s="5" customFormat="1" ht="15.75" customHeight="1">
      <c r="C248" s="186"/>
      <c r="D248" s="187"/>
    </row>
    <row r="249" spans="1:48" s="5" customFormat="1" ht="15.75" customHeight="1">
      <c r="C249" s="186"/>
      <c r="D249" s="187"/>
    </row>
    <row r="250" spans="1:48" s="5" customFormat="1" ht="15.75" customHeight="1">
      <c r="C250" s="186"/>
      <c r="D250" s="187"/>
    </row>
    <row r="251" spans="1:48" s="5" customFormat="1" ht="15.75" customHeight="1">
      <c r="C251" s="186"/>
      <c r="D251" s="187"/>
    </row>
    <row r="252" spans="1:48" s="5" customFormat="1" ht="15.75" customHeight="1">
      <c r="C252" s="186"/>
      <c r="D252" s="187"/>
    </row>
    <row r="253" spans="1:48" s="5" customFormat="1" ht="15.75" customHeight="1">
      <c r="C253" s="186"/>
      <c r="D253" s="187"/>
    </row>
    <row r="254" spans="1:48" s="5" customFormat="1" ht="15.75" customHeight="1">
      <c r="C254" s="186"/>
      <c r="D254" s="187"/>
    </row>
    <row r="255" spans="1:48" s="5" customFormat="1" ht="15.75" customHeight="1">
      <c r="C255" s="186"/>
      <c r="D255" s="187"/>
    </row>
    <row r="256" spans="1:48" s="5" customFormat="1" ht="15.75" customHeight="1">
      <c r="C256" s="186"/>
      <c r="D256" s="187"/>
    </row>
    <row r="257" spans="3:4" s="5" customFormat="1" ht="15.75" customHeight="1">
      <c r="C257" s="186"/>
      <c r="D257" s="187"/>
    </row>
    <row r="258" spans="3:4" s="5" customFormat="1" ht="15.75" customHeight="1">
      <c r="C258" s="186"/>
      <c r="D258" s="187"/>
    </row>
    <row r="259" spans="3:4" s="5" customFormat="1" ht="15.75" customHeight="1">
      <c r="C259" s="186"/>
      <c r="D259" s="187"/>
    </row>
    <row r="260" spans="3:4" s="5" customFormat="1" ht="15.75" customHeight="1">
      <c r="C260" s="186"/>
      <c r="D260" s="187"/>
    </row>
    <row r="261" spans="3:4" s="5" customFormat="1" ht="15.75" customHeight="1">
      <c r="C261" s="186"/>
      <c r="D261" s="187"/>
    </row>
    <row r="262" spans="3:4" s="5" customFormat="1" ht="15.75" customHeight="1">
      <c r="C262" s="186"/>
      <c r="D262" s="187"/>
    </row>
    <row r="263" spans="3:4" s="5" customFormat="1" ht="15.75" customHeight="1">
      <c r="C263" s="186"/>
      <c r="D263" s="187"/>
    </row>
    <row r="264" spans="3:4" s="5" customFormat="1" ht="15.75" customHeight="1">
      <c r="C264" s="186"/>
      <c r="D264" s="187"/>
    </row>
    <row r="265" spans="3:4" s="5" customFormat="1" ht="15.75" customHeight="1">
      <c r="C265" s="186"/>
      <c r="D265" s="187"/>
    </row>
    <row r="266" spans="3:4" s="5" customFormat="1" ht="15.75" customHeight="1">
      <c r="C266" s="186"/>
      <c r="D266" s="187"/>
    </row>
    <row r="267" spans="3:4" s="5" customFormat="1" ht="15.75" customHeight="1">
      <c r="C267" s="186"/>
      <c r="D267" s="187"/>
    </row>
    <row r="268" spans="3:4" s="5" customFormat="1" ht="15.75" customHeight="1">
      <c r="C268" s="186"/>
      <c r="D268" s="187"/>
    </row>
    <row r="269" spans="3:4" s="5" customFormat="1" ht="15.75" customHeight="1">
      <c r="C269" s="186"/>
      <c r="D269" s="187"/>
    </row>
    <row r="270" spans="3:4" s="5" customFormat="1" ht="15.75" customHeight="1">
      <c r="C270" s="186"/>
      <c r="D270" s="187"/>
    </row>
    <row r="271" spans="3:4" s="5" customFormat="1" ht="15.75" customHeight="1">
      <c r="C271" s="186"/>
      <c r="D271" s="187"/>
    </row>
    <row r="272" spans="3:4" s="5" customFormat="1" ht="15.75" customHeight="1">
      <c r="C272" s="186"/>
      <c r="D272" s="187"/>
    </row>
    <row r="273" spans="3:4" s="5" customFormat="1" ht="15.75" customHeight="1">
      <c r="C273" s="186"/>
      <c r="D273" s="187"/>
    </row>
    <row r="274" spans="3:4" s="5" customFormat="1" ht="15.75" customHeight="1">
      <c r="C274" s="186"/>
      <c r="D274" s="187"/>
    </row>
    <row r="275" spans="3:4" s="5" customFormat="1" ht="15.75" customHeight="1">
      <c r="C275" s="186"/>
      <c r="D275" s="187"/>
    </row>
    <row r="276" spans="3:4" s="5" customFormat="1" ht="15.75" customHeight="1">
      <c r="C276" s="186"/>
      <c r="D276" s="187"/>
    </row>
    <row r="277" spans="3:4" s="5" customFormat="1" ht="15.75" customHeight="1">
      <c r="C277" s="186"/>
      <c r="D277" s="187"/>
    </row>
    <row r="278" spans="3:4" s="5" customFormat="1" ht="15.75" customHeight="1">
      <c r="C278" s="186"/>
      <c r="D278" s="187"/>
    </row>
    <row r="279" spans="3:4" s="5" customFormat="1" ht="15.75" customHeight="1">
      <c r="C279" s="186"/>
      <c r="D279" s="187"/>
    </row>
    <row r="280" spans="3:4" s="5" customFormat="1" ht="15.75" customHeight="1">
      <c r="C280" s="186"/>
      <c r="D280" s="187"/>
    </row>
    <row r="281" spans="3:4" s="5" customFormat="1" ht="15.75" customHeight="1">
      <c r="C281" s="186"/>
      <c r="D281" s="187"/>
    </row>
    <row r="282" spans="3:4" s="5" customFormat="1" ht="15.75" customHeight="1">
      <c r="C282" s="186"/>
      <c r="D282" s="187"/>
    </row>
    <row r="283" spans="3:4" s="5" customFormat="1" ht="15.75" customHeight="1">
      <c r="C283" s="186"/>
      <c r="D283" s="187"/>
    </row>
    <row r="284" spans="3:4" s="5" customFormat="1" ht="15.75" customHeight="1">
      <c r="C284" s="186"/>
      <c r="D284" s="187"/>
    </row>
    <row r="285" spans="3:4" s="5" customFormat="1" ht="15.75" customHeight="1">
      <c r="C285" s="186"/>
      <c r="D285" s="187"/>
    </row>
    <row r="286" spans="3:4" s="5" customFormat="1" ht="15.75" customHeight="1">
      <c r="C286" s="186"/>
      <c r="D286" s="187"/>
    </row>
    <row r="287" spans="3:4" s="5" customFormat="1" ht="15.75" customHeight="1">
      <c r="C287" s="186"/>
      <c r="D287" s="187"/>
    </row>
    <row r="288" spans="3:4" s="5" customFormat="1" ht="15.75" customHeight="1">
      <c r="C288" s="186"/>
      <c r="D288" s="187"/>
    </row>
    <row r="289" spans="3:4" s="5" customFormat="1" ht="15.75" customHeight="1">
      <c r="C289" s="186"/>
      <c r="D289" s="187"/>
    </row>
    <row r="290" spans="3:4" s="5" customFormat="1" ht="15.75" customHeight="1">
      <c r="C290" s="186"/>
      <c r="D290" s="187"/>
    </row>
    <row r="291" spans="3:4" s="5" customFormat="1" ht="15.75" customHeight="1">
      <c r="C291" s="186"/>
      <c r="D291" s="187"/>
    </row>
    <row r="292" spans="3:4" s="5" customFormat="1" ht="15.75" customHeight="1">
      <c r="C292" s="186"/>
      <c r="D292" s="187"/>
    </row>
    <row r="293" spans="3:4" s="5" customFormat="1" ht="15.75" customHeight="1">
      <c r="C293" s="186"/>
      <c r="D293" s="187"/>
    </row>
    <row r="294" spans="3:4" s="5" customFormat="1" ht="15.75" customHeight="1">
      <c r="C294" s="186"/>
      <c r="D294" s="187"/>
    </row>
    <row r="295" spans="3:4" s="5" customFormat="1" ht="15.75" customHeight="1">
      <c r="C295" s="186"/>
      <c r="D295" s="187"/>
    </row>
    <row r="296" spans="3:4" s="5" customFormat="1" ht="15.75" customHeight="1">
      <c r="C296" s="186"/>
      <c r="D296" s="187"/>
    </row>
    <row r="297" spans="3:4" s="5" customFormat="1" ht="15.75" customHeight="1">
      <c r="C297" s="186"/>
      <c r="D297" s="187"/>
    </row>
    <row r="298" spans="3:4" s="5" customFormat="1" ht="15.75" customHeight="1">
      <c r="C298" s="186"/>
      <c r="D298" s="187"/>
    </row>
    <row r="299" spans="3:4" s="5" customFormat="1" ht="15.75" customHeight="1">
      <c r="C299" s="186"/>
      <c r="D299" s="187"/>
    </row>
    <row r="300" spans="3:4" s="5" customFormat="1" ht="15.75" customHeight="1">
      <c r="C300" s="186"/>
      <c r="D300" s="187"/>
    </row>
    <row r="301" spans="3:4" s="5" customFormat="1" ht="15.75" customHeight="1">
      <c r="C301" s="186"/>
      <c r="D301" s="187"/>
    </row>
    <row r="302" spans="3:4" s="5" customFormat="1" ht="15.75" customHeight="1">
      <c r="C302" s="186"/>
      <c r="D302" s="187"/>
    </row>
    <row r="303" spans="3:4" s="5" customFormat="1" ht="15.75" customHeight="1">
      <c r="C303" s="186"/>
      <c r="D303" s="187"/>
    </row>
    <row r="304" spans="3:4" s="5" customFormat="1" ht="15.75" customHeight="1">
      <c r="C304" s="186"/>
      <c r="D304" s="187"/>
    </row>
    <row r="305" spans="3:4" s="5" customFormat="1" ht="15.75" customHeight="1">
      <c r="C305" s="186"/>
      <c r="D305" s="187"/>
    </row>
    <row r="306" spans="3:4" s="5" customFormat="1" ht="15.75" customHeight="1">
      <c r="C306" s="186"/>
      <c r="D306" s="187"/>
    </row>
    <row r="307" spans="3:4" s="5" customFormat="1" ht="15.75" customHeight="1">
      <c r="C307" s="186"/>
      <c r="D307" s="187"/>
    </row>
    <row r="308" spans="3:4" s="5" customFormat="1" ht="15.75" customHeight="1">
      <c r="C308" s="186"/>
      <c r="D308" s="187"/>
    </row>
    <row r="309" spans="3:4" s="5" customFormat="1" ht="15.75" customHeight="1">
      <c r="C309" s="186"/>
      <c r="D309" s="187"/>
    </row>
    <row r="310" spans="3:4" s="5" customFormat="1" ht="15.75" customHeight="1">
      <c r="C310" s="186"/>
      <c r="D310" s="187"/>
    </row>
    <row r="311" spans="3:4" s="5" customFormat="1" ht="15.75" customHeight="1">
      <c r="C311" s="186"/>
      <c r="D311" s="187"/>
    </row>
    <row r="312" spans="3:4" s="5" customFormat="1" ht="15.75" customHeight="1">
      <c r="C312" s="186"/>
      <c r="D312" s="187"/>
    </row>
    <row r="313" spans="3:4" s="5" customFormat="1" ht="15.75" customHeight="1">
      <c r="C313" s="186"/>
      <c r="D313" s="187"/>
    </row>
    <row r="314" spans="3:4" s="5" customFormat="1" ht="15.75" customHeight="1">
      <c r="C314" s="186"/>
      <c r="D314" s="187"/>
    </row>
    <row r="315" spans="3:4" s="5" customFormat="1" ht="15.75" customHeight="1">
      <c r="C315" s="186"/>
      <c r="D315" s="187"/>
    </row>
    <row r="316" spans="3:4" s="5" customFormat="1" ht="15.75" customHeight="1">
      <c r="C316" s="186"/>
      <c r="D316" s="187"/>
    </row>
    <row r="317" spans="3:4" s="5" customFormat="1" ht="15.75" customHeight="1">
      <c r="C317" s="186"/>
      <c r="D317" s="187"/>
    </row>
    <row r="318" spans="3:4" s="5" customFormat="1" ht="15.75" customHeight="1">
      <c r="C318" s="186"/>
      <c r="D318" s="187"/>
    </row>
    <row r="319" spans="3:4" s="5" customFormat="1" ht="15.75" customHeight="1">
      <c r="C319" s="186"/>
      <c r="D319" s="187"/>
    </row>
    <row r="320" spans="3:4" s="5" customFormat="1" ht="15.75" customHeight="1">
      <c r="C320" s="186"/>
      <c r="D320" s="187"/>
    </row>
    <row r="321" spans="3:4" s="5" customFormat="1" ht="15.75" customHeight="1">
      <c r="C321" s="186"/>
      <c r="D321" s="187"/>
    </row>
    <row r="322" spans="3:4" s="5" customFormat="1" ht="15.75" customHeight="1">
      <c r="C322" s="186"/>
      <c r="D322" s="187"/>
    </row>
    <row r="323" spans="3:4" s="5" customFormat="1" ht="15.75" customHeight="1">
      <c r="C323" s="186"/>
      <c r="D323" s="187"/>
    </row>
    <row r="324" spans="3:4" s="5" customFormat="1" ht="15.75" customHeight="1">
      <c r="C324" s="186"/>
      <c r="D324" s="187"/>
    </row>
    <row r="325" spans="3:4" s="5" customFormat="1" ht="15.75" customHeight="1">
      <c r="C325" s="186"/>
      <c r="D325" s="187"/>
    </row>
    <row r="326" spans="3:4" s="5" customFormat="1" ht="15.75" customHeight="1">
      <c r="C326" s="186"/>
      <c r="D326" s="187"/>
    </row>
    <row r="327" spans="3:4" s="5" customFormat="1" ht="15.75" customHeight="1">
      <c r="C327" s="186"/>
      <c r="D327" s="187"/>
    </row>
    <row r="328" spans="3:4" s="5" customFormat="1" ht="15.75" customHeight="1">
      <c r="C328" s="186"/>
      <c r="D328" s="187"/>
    </row>
    <row r="329" spans="3:4" s="5" customFormat="1" ht="15.75" customHeight="1">
      <c r="C329" s="186"/>
      <c r="D329" s="187"/>
    </row>
    <row r="330" spans="3:4" s="5" customFormat="1" ht="15.75" customHeight="1">
      <c r="C330" s="186"/>
      <c r="D330" s="187"/>
    </row>
    <row r="331" spans="3:4" s="5" customFormat="1" ht="15.75" customHeight="1">
      <c r="C331" s="186"/>
      <c r="D331" s="187"/>
    </row>
    <row r="332" spans="3:4" s="5" customFormat="1" ht="15.75" customHeight="1">
      <c r="C332" s="186"/>
      <c r="D332" s="187"/>
    </row>
    <row r="333" spans="3:4" s="5" customFormat="1" ht="15.75" customHeight="1">
      <c r="C333" s="186"/>
      <c r="D333" s="187"/>
    </row>
    <row r="334" spans="3:4" s="5" customFormat="1" ht="15.75" customHeight="1">
      <c r="C334" s="186"/>
      <c r="D334" s="187"/>
    </row>
    <row r="335" spans="3:4" s="5" customFormat="1" ht="15.75" customHeight="1">
      <c r="C335" s="186"/>
      <c r="D335" s="187"/>
    </row>
    <row r="336" spans="3:4" s="5" customFormat="1" ht="15.75" customHeight="1">
      <c r="C336" s="186"/>
      <c r="D336" s="187"/>
    </row>
    <row r="337" spans="3:4" s="5" customFormat="1" ht="15.75" customHeight="1">
      <c r="C337" s="186"/>
      <c r="D337" s="187"/>
    </row>
    <row r="338" spans="3:4" s="5" customFormat="1" ht="15.75" customHeight="1">
      <c r="C338" s="186"/>
      <c r="D338" s="187"/>
    </row>
    <row r="339" spans="3:4" s="5" customFormat="1" ht="15.75" customHeight="1">
      <c r="C339" s="186"/>
      <c r="D339" s="187"/>
    </row>
    <row r="340" spans="3:4" s="5" customFormat="1" ht="15.75" customHeight="1">
      <c r="C340" s="186"/>
      <c r="D340" s="187"/>
    </row>
    <row r="341" spans="3:4" s="5" customFormat="1" ht="15.75" customHeight="1">
      <c r="C341" s="186"/>
      <c r="D341" s="187"/>
    </row>
    <row r="342" spans="3:4" s="5" customFormat="1" ht="15.75" customHeight="1">
      <c r="C342" s="186"/>
      <c r="D342" s="187"/>
    </row>
    <row r="343" spans="3:4" s="5" customFormat="1" ht="15.75" customHeight="1">
      <c r="C343" s="186"/>
      <c r="D343" s="187"/>
    </row>
    <row r="344" spans="3:4" s="5" customFormat="1" ht="15.75" customHeight="1">
      <c r="C344" s="186"/>
      <c r="D344" s="187"/>
    </row>
    <row r="345" spans="3:4" s="5" customFormat="1" ht="15.75" customHeight="1">
      <c r="C345" s="186"/>
      <c r="D345" s="187"/>
    </row>
    <row r="346" spans="3:4" s="5" customFormat="1" ht="15.75" customHeight="1">
      <c r="C346" s="186"/>
      <c r="D346" s="187"/>
    </row>
    <row r="347" spans="3:4" s="5" customFormat="1" ht="15.75" customHeight="1">
      <c r="C347" s="186"/>
      <c r="D347" s="187"/>
    </row>
    <row r="348" spans="3:4" s="5" customFormat="1" ht="15.75" customHeight="1">
      <c r="C348" s="186"/>
      <c r="D348" s="187"/>
    </row>
    <row r="349" spans="3:4" s="5" customFormat="1" ht="15.75" customHeight="1">
      <c r="C349" s="186"/>
      <c r="D349" s="187"/>
    </row>
    <row r="350" spans="3:4" s="5" customFormat="1" ht="15.75" customHeight="1">
      <c r="C350" s="186"/>
      <c r="D350" s="187"/>
    </row>
    <row r="351" spans="3:4" s="5" customFormat="1" ht="15.75" customHeight="1">
      <c r="C351" s="186"/>
      <c r="D351" s="187"/>
    </row>
    <row r="352" spans="3:4" s="5" customFormat="1" ht="15.75" customHeight="1">
      <c r="C352" s="186"/>
      <c r="D352" s="187"/>
    </row>
    <row r="353" spans="3:4" s="5" customFormat="1" ht="15.75" customHeight="1">
      <c r="C353" s="186"/>
      <c r="D353" s="187"/>
    </row>
    <row r="354" spans="3:4" s="5" customFormat="1" ht="15.75" customHeight="1">
      <c r="C354" s="186"/>
      <c r="D354" s="187"/>
    </row>
    <row r="355" spans="3:4" s="5" customFormat="1" ht="15.75" customHeight="1">
      <c r="C355" s="186"/>
      <c r="D355" s="187"/>
    </row>
    <row r="356" spans="3:4" s="5" customFormat="1" ht="15.75" customHeight="1">
      <c r="C356" s="186"/>
      <c r="D356" s="187"/>
    </row>
    <row r="357" spans="3:4" s="5" customFormat="1" ht="15.75" customHeight="1">
      <c r="C357" s="186"/>
      <c r="D357" s="187"/>
    </row>
    <row r="358" spans="3:4" s="5" customFormat="1" ht="15.75" customHeight="1">
      <c r="C358" s="186"/>
      <c r="D358" s="187"/>
    </row>
    <row r="359" spans="3:4" s="5" customFormat="1" ht="15.75" customHeight="1">
      <c r="C359" s="186"/>
      <c r="D359" s="187"/>
    </row>
    <row r="360" spans="3:4" s="5" customFormat="1" ht="15.75" customHeight="1">
      <c r="C360" s="186"/>
      <c r="D360" s="187"/>
    </row>
    <row r="361" spans="3:4" s="5" customFormat="1" ht="15.75" customHeight="1">
      <c r="C361" s="186"/>
      <c r="D361" s="187"/>
    </row>
    <row r="362" spans="3:4" s="5" customFormat="1" ht="15.75" customHeight="1">
      <c r="C362" s="186"/>
      <c r="D362" s="187"/>
    </row>
    <row r="363" spans="3:4" s="5" customFormat="1" ht="15.75" customHeight="1">
      <c r="C363" s="186"/>
      <c r="D363" s="187"/>
    </row>
    <row r="364" spans="3:4" s="5" customFormat="1" ht="15.75" customHeight="1">
      <c r="C364" s="186"/>
      <c r="D364" s="187"/>
    </row>
    <row r="365" spans="3:4" s="5" customFormat="1" ht="15.75" customHeight="1">
      <c r="C365" s="186"/>
      <c r="D365" s="187"/>
    </row>
    <row r="366" spans="3:4" s="5" customFormat="1" ht="15.75" customHeight="1">
      <c r="C366" s="186"/>
      <c r="D366" s="187"/>
    </row>
    <row r="367" spans="3:4" s="5" customFormat="1" ht="15.75" customHeight="1">
      <c r="C367" s="186"/>
      <c r="D367" s="187"/>
    </row>
    <row r="368" spans="3:4" s="5" customFormat="1" ht="15.75" customHeight="1">
      <c r="C368" s="186"/>
      <c r="D368" s="187"/>
    </row>
    <row r="369" spans="3:4" s="5" customFormat="1" ht="15.75" customHeight="1">
      <c r="C369" s="186"/>
      <c r="D369" s="187"/>
    </row>
    <row r="370" spans="3:4" s="5" customFormat="1" ht="15.75" customHeight="1">
      <c r="C370" s="186"/>
      <c r="D370" s="187"/>
    </row>
    <row r="371" spans="3:4" s="5" customFormat="1" ht="15.75" customHeight="1">
      <c r="C371" s="186"/>
      <c r="D371" s="187"/>
    </row>
    <row r="372" spans="3:4" s="5" customFormat="1" ht="15.75" customHeight="1">
      <c r="C372" s="186"/>
      <c r="D372" s="187"/>
    </row>
    <row r="373" spans="3:4" s="5" customFormat="1" ht="15.75" customHeight="1">
      <c r="C373" s="186"/>
      <c r="D373" s="187"/>
    </row>
    <row r="374" spans="3:4" s="5" customFormat="1" ht="15.75" customHeight="1">
      <c r="C374" s="186"/>
      <c r="D374" s="187"/>
    </row>
    <row r="375" spans="3:4" s="5" customFormat="1" ht="15.75" customHeight="1">
      <c r="C375" s="186"/>
      <c r="D375" s="187"/>
    </row>
    <row r="376" spans="3:4" s="5" customFormat="1" ht="15.75" customHeight="1">
      <c r="C376" s="186"/>
      <c r="D376" s="187"/>
    </row>
    <row r="377" spans="3:4" s="5" customFormat="1" ht="15.75" customHeight="1">
      <c r="C377" s="186"/>
      <c r="D377" s="187"/>
    </row>
    <row r="378" spans="3:4" s="5" customFormat="1" ht="15.75" customHeight="1">
      <c r="C378" s="186"/>
      <c r="D378" s="187"/>
    </row>
    <row r="379" spans="3:4" s="5" customFormat="1" ht="15.75" customHeight="1">
      <c r="C379" s="186"/>
      <c r="D379" s="187"/>
    </row>
    <row r="380" spans="3:4" s="5" customFormat="1" ht="15.75" customHeight="1">
      <c r="C380" s="186"/>
      <c r="D380" s="187"/>
    </row>
    <row r="381" spans="3:4" s="5" customFormat="1" ht="15.75" customHeight="1">
      <c r="C381" s="186"/>
      <c r="D381" s="187"/>
    </row>
    <row r="382" spans="3:4" s="5" customFormat="1" ht="15.75" customHeight="1">
      <c r="C382" s="186"/>
      <c r="D382" s="187"/>
    </row>
    <row r="383" spans="3:4" s="5" customFormat="1" ht="15.75" customHeight="1">
      <c r="C383" s="186"/>
      <c r="D383" s="187"/>
    </row>
    <row r="384" spans="3:4" s="5" customFormat="1" ht="15.75" customHeight="1">
      <c r="C384" s="186"/>
      <c r="D384" s="187"/>
    </row>
    <row r="385" spans="3:4" s="5" customFormat="1" ht="15.75" customHeight="1">
      <c r="C385" s="186"/>
      <c r="D385" s="187"/>
    </row>
    <row r="386" spans="3:4" s="5" customFormat="1" ht="15.75" customHeight="1">
      <c r="C386" s="186"/>
      <c r="D386" s="187"/>
    </row>
    <row r="387" spans="3:4" s="5" customFormat="1" ht="15.75" customHeight="1">
      <c r="C387" s="186"/>
      <c r="D387" s="187"/>
    </row>
    <row r="388" spans="3:4" s="5" customFormat="1" ht="15.75" customHeight="1">
      <c r="C388" s="186"/>
      <c r="D388" s="187"/>
    </row>
    <row r="389" spans="3:4" s="5" customFormat="1" ht="15.75" customHeight="1">
      <c r="C389" s="186"/>
      <c r="D389" s="187"/>
    </row>
    <row r="390" spans="3:4" s="5" customFormat="1" ht="15.75" customHeight="1">
      <c r="C390" s="186"/>
      <c r="D390" s="187"/>
    </row>
    <row r="391" spans="3:4" s="5" customFormat="1" ht="15.75" customHeight="1">
      <c r="C391" s="186"/>
      <c r="D391" s="187"/>
    </row>
    <row r="392" spans="3:4" s="5" customFormat="1" ht="15.75" customHeight="1">
      <c r="C392" s="186"/>
      <c r="D392" s="187"/>
    </row>
    <row r="393" spans="3:4" s="5" customFormat="1" ht="15.75" customHeight="1">
      <c r="C393" s="186"/>
      <c r="D393" s="187"/>
    </row>
    <row r="394" spans="3:4" s="5" customFormat="1" ht="15.75" customHeight="1">
      <c r="C394" s="186"/>
      <c r="D394" s="187"/>
    </row>
    <row r="395" spans="3:4" s="5" customFormat="1" ht="15.75" customHeight="1">
      <c r="C395" s="186"/>
      <c r="D395" s="187"/>
    </row>
    <row r="396" spans="3:4" s="5" customFormat="1" ht="15.75" customHeight="1">
      <c r="C396" s="186"/>
      <c r="D396" s="187"/>
    </row>
    <row r="397" spans="3:4" s="5" customFormat="1" ht="15.75" customHeight="1">
      <c r="C397" s="186"/>
      <c r="D397" s="187"/>
    </row>
    <row r="398" spans="3:4" s="5" customFormat="1" ht="15.75" customHeight="1">
      <c r="C398" s="186"/>
      <c r="D398" s="187"/>
    </row>
    <row r="399" spans="3:4" s="5" customFormat="1" ht="15.75" customHeight="1">
      <c r="C399" s="186"/>
      <c r="D399" s="187"/>
    </row>
    <row r="400" spans="3:4" s="5" customFormat="1" ht="15.75" customHeight="1">
      <c r="C400" s="186"/>
      <c r="D400" s="187"/>
    </row>
    <row r="401" spans="3:4" s="5" customFormat="1" ht="15.75" customHeight="1">
      <c r="C401" s="186"/>
      <c r="D401" s="187"/>
    </row>
    <row r="402" spans="3:4" s="5" customFormat="1" ht="15.75" customHeight="1">
      <c r="C402" s="186"/>
      <c r="D402" s="187"/>
    </row>
    <row r="403" spans="3:4" s="5" customFormat="1" ht="15.75" customHeight="1">
      <c r="C403" s="186"/>
      <c r="D403" s="187"/>
    </row>
    <row r="404" spans="3:4" s="5" customFormat="1" ht="15.75" customHeight="1">
      <c r="C404" s="186"/>
      <c r="D404" s="187"/>
    </row>
    <row r="405" spans="3:4" s="5" customFormat="1" ht="15.75" customHeight="1">
      <c r="C405" s="186"/>
      <c r="D405" s="187"/>
    </row>
    <row r="406" spans="3:4" s="5" customFormat="1" ht="15.75" customHeight="1">
      <c r="C406" s="186"/>
      <c r="D406" s="187"/>
    </row>
    <row r="407" spans="3:4" s="5" customFormat="1" ht="15.75" customHeight="1">
      <c r="C407" s="186"/>
      <c r="D407" s="187"/>
    </row>
    <row r="408" spans="3:4" s="5" customFormat="1" ht="15.75" customHeight="1">
      <c r="C408" s="186"/>
      <c r="D408" s="187"/>
    </row>
    <row r="409" spans="3:4" s="5" customFormat="1" ht="15.75" customHeight="1">
      <c r="C409" s="186"/>
      <c r="D409" s="187"/>
    </row>
    <row r="410" spans="3:4" s="5" customFormat="1" ht="15.75" customHeight="1">
      <c r="C410" s="186"/>
      <c r="D410" s="187"/>
    </row>
    <row r="411" spans="3:4" s="5" customFormat="1" ht="15.75" customHeight="1">
      <c r="C411" s="186"/>
      <c r="D411" s="187"/>
    </row>
    <row r="412" spans="3:4" s="5" customFormat="1" ht="15.75" customHeight="1">
      <c r="C412" s="186"/>
      <c r="D412" s="187"/>
    </row>
    <row r="413" spans="3:4" s="5" customFormat="1" ht="15.75" customHeight="1">
      <c r="C413" s="186"/>
      <c r="D413" s="187"/>
    </row>
    <row r="414" spans="3:4" s="5" customFormat="1" ht="15.75" customHeight="1">
      <c r="C414" s="186"/>
      <c r="D414" s="187"/>
    </row>
    <row r="415" spans="3:4" s="5" customFormat="1" ht="15.75" customHeight="1">
      <c r="C415" s="186"/>
      <c r="D415" s="187"/>
    </row>
    <row r="416" spans="3:4" s="5" customFormat="1" ht="15.75" customHeight="1">
      <c r="C416" s="186"/>
      <c r="D416" s="187"/>
    </row>
    <row r="417" spans="3:4" s="5" customFormat="1" ht="15.75" customHeight="1">
      <c r="C417" s="186"/>
      <c r="D417" s="187"/>
    </row>
    <row r="418" spans="3:4" s="5" customFormat="1" ht="15.75" customHeight="1">
      <c r="C418" s="186"/>
      <c r="D418" s="187"/>
    </row>
    <row r="419" spans="3:4" s="5" customFormat="1" ht="15.75" customHeight="1">
      <c r="C419" s="186"/>
      <c r="D419" s="187"/>
    </row>
    <row r="420" spans="3:4" s="5" customFormat="1" ht="15.75" customHeight="1">
      <c r="C420" s="186"/>
      <c r="D420" s="187"/>
    </row>
    <row r="421" spans="3:4" s="5" customFormat="1" ht="15.75" customHeight="1">
      <c r="C421" s="186"/>
      <c r="D421" s="187"/>
    </row>
    <row r="422" spans="3:4" s="5" customFormat="1" ht="15.75" customHeight="1">
      <c r="C422" s="186"/>
      <c r="D422" s="187"/>
    </row>
    <row r="423" spans="3:4" s="5" customFormat="1" ht="15.75" customHeight="1">
      <c r="C423" s="186"/>
      <c r="D423" s="187"/>
    </row>
    <row r="424" spans="3:4" s="5" customFormat="1" ht="15.75" customHeight="1">
      <c r="C424" s="186"/>
      <c r="D424" s="187"/>
    </row>
    <row r="425" spans="3:4" s="5" customFormat="1" ht="15.75" customHeight="1">
      <c r="C425" s="186"/>
      <c r="D425" s="187"/>
    </row>
    <row r="426" spans="3:4" s="5" customFormat="1" ht="15.75" customHeight="1">
      <c r="C426" s="186"/>
      <c r="D426" s="187"/>
    </row>
    <row r="427" spans="3:4" s="5" customFormat="1" ht="15.75" customHeight="1">
      <c r="C427" s="186"/>
      <c r="D427" s="187"/>
    </row>
    <row r="428" spans="3:4" s="5" customFormat="1" ht="15.75" customHeight="1">
      <c r="C428" s="186"/>
      <c r="D428" s="187"/>
    </row>
    <row r="429" spans="3:4" s="5" customFormat="1" ht="15.75" customHeight="1">
      <c r="C429" s="186"/>
      <c r="D429" s="187"/>
    </row>
    <row r="430" spans="3:4" s="5" customFormat="1" ht="15.75" customHeight="1">
      <c r="C430" s="186"/>
      <c r="D430" s="187"/>
    </row>
    <row r="431" spans="3:4" s="5" customFormat="1" ht="15.75" customHeight="1">
      <c r="C431" s="186"/>
      <c r="D431" s="187"/>
    </row>
    <row r="432" spans="3:4" s="5" customFormat="1" ht="15.75" customHeight="1">
      <c r="C432" s="186"/>
      <c r="D432" s="187"/>
    </row>
    <row r="433" spans="3:4" s="5" customFormat="1" ht="15.75" customHeight="1">
      <c r="C433" s="186"/>
      <c r="D433" s="187"/>
    </row>
    <row r="434" spans="3:4" s="5" customFormat="1" ht="15.75" customHeight="1">
      <c r="C434" s="186"/>
      <c r="D434" s="187"/>
    </row>
    <row r="435" spans="3:4" s="5" customFormat="1" ht="15.75" customHeight="1">
      <c r="C435" s="186"/>
      <c r="D435" s="187"/>
    </row>
    <row r="436" spans="3:4" s="5" customFormat="1" ht="15.75" customHeight="1">
      <c r="C436" s="186"/>
      <c r="D436" s="187"/>
    </row>
    <row r="437" spans="3:4" s="5" customFormat="1" ht="15.75" customHeight="1">
      <c r="C437" s="186"/>
      <c r="D437" s="187"/>
    </row>
    <row r="438" spans="3:4" s="5" customFormat="1" ht="15.75" customHeight="1">
      <c r="C438" s="186"/>
      <c r="D438" s="187"/>
    </row>
    <row r="439" spans="3:4" s="5" customFormat="1" ht="15.75" customHeight="1">
      <c r="C439" s="186"/>
      <c r="D439" s="187"/>
    </row>
    <row r="440" spans="3:4" s="5" customFormat="1" ht="15.75" customHeight="1">
      <c r="C440" s="186"/>
      <c r="D440" s="187"/>
    </row>
    <row r="441" spans="3:4" s="5" customFormat="1" ht="15.75" customHeight="1">
      <c r="C441" s="186"/>
      <c r="D441" s="187"/>
    </row>
    <row r="442" spans="3:4" s="5" customFormat="1" ht="15.75" customHeight="1">
      <c r="C442" s="186"/>
      <c r="D442" s="187"/>
    </row>
    <row r="443" spans="3:4" s="5" customFormat="1" ht="15.75" customHeight="1">
      <c r="C443" s="186"/>
      <c r="D443" s="187"/>
    </row>
    <row r="444" spans="3:4" s="5" customFormat="1" ht="15.75" customHeight="1">
      <c r="C444" s="186"/>
      <c r="D444" s="187"/>
    </row>
    <row r="445" spans="3:4" s="5" customFormat="1" ht="15.75" customHeight="1">
      <c r="C445" s="186"/>
      <c r="D445" s="187"/>
    </row>
    <row r="446" spans="3:4" s="5" customFormat="1" ht="15.75" customHeight="1">
      <c r="C446" s="186"/>
      <c r="D446" s="187"/>
    </row>
    <row r="447" spans="3:4" s="5" customFormat="1" ht="15.75" customHeight="1">
      <c r="C447" s="186"/>
      <c r="D447" s="187"/>
    </row>
    <row r="448" spans="3:4" s="5" customFormat="1" ht="15.75" customHeight="1">
      <c r="C448" s="186"/>
      <c r="D448" s="187"/>
    </row>
    <row r="449" spans="3:4" s="5" customFormat="1" ht="15.75" customHeight="1">
      <c r="C449" s="186"/>
      <c r="D449" s="187"/>
    </row>
    <row r="450" spans="3:4" s="5" customFormat="1" ht="15.75" customHeight="1">
      <c r="C450" s="186"/>
      <c r="D450" s="187"/>
    </row>
    <row r="451" spans="3:4" s="5" customFormat="1" ht="15.75" customHeight="1">
      <c r="C451" s="186"/>
      <c r="D451" s="187"/>
    </row>
    <row r="452" spans="3:4" s="5" customFormat="1" ht="15.75" customHeight="1">
      <c r="C452" s="186"/>
      <c r="D452" s="187"/>
    </row>
    <row r="453" spans="3:4" s="5" customFormat="1" ht="15.75" customHeight="1">
      <c r="C453" s="186"/>
      <c r="D453" s="187"/>
    </row>
    <row r="454" spans="3:4" s="5" customFormat="1" ht="15.75" customHeight="1">
      <c r="C454" s="186"/>
      <c r="D454" s="187"/>
    </row>
    <row r="455" spans="3:4" s="5" customFormat="1" ht="15.75" customHeight="1">
      <c r="C455" s="186"/>
      <c r="D455" s="187"/>
    </row>
    <row r="456" spans="3:4" s="5" customFormat="1" ht="15.75" customHeight="1">
      <c r="C456" s="186"/>
      <c r="D456" s="187"/>
    </row>
    <row r="457" spans="3:4" s="5" customFormat="1" ht="15.75" customHeight="1">
      <c r="C457" s="186"/>
      <c r="D457" s="187"/>
    </row>
    <row r="458" spans="3:4" s="5" customFormat="1" ht="15.75" customHeight="1">
      <c r="C458" s="186"/>
      <c r="D458" s="187"/>
    </row>
    <row r="459" spans="3:4" s="5" customFormat="1" ht="15.75" customHeight="1">
      <c r="C459" s="186"/>
      <c r="D459" s="187"/>
    </row>
    <row r="460" spans="3:4" s="5" customFormat="1" ht="15.75" customHeight="1">
      <c r="C460" s="186"/>
      <c r="D460" s="187"/>
    </row>
    <row r="461" spans="3:4" s="5" customFormat="1" ht="15.75" customHeight="1">
      <c r="C461" s="186"/>
      <c r="D461" s="187"/>
    </row>
    <row r="462" spans="3:4" s="5" customFormat="1" ht="15.75" customHeight="1">
      <c r="C462" s="186"/>
      <c r="D462" s="187"/>
    </row>
    <row r="463" spans="3:4" s="5" customFormat="1" ht="15.75" customHeight="1">
      <c r="C463" s="186"/>
      <c r="D463" s="187"/>
    </row>
    <row r="464" spans="3:4" s="5" customFormat="1" ht="15.75" customHeight="1">
      <c r="C464" s="186"/>
      <c r="D464" s="187"/>
    </row>
    <row r="465" spans="3:4" s="5" customFormat="1" ht="15.75" customHeight="1">
      <c r="C465" s="186"/>
      <c r="D465" s="187"/>
    </row>
    <row r="466" spans="3:4" s="5" customFormat="1" ht="15.75" customHeight="1">
      <c r="C466" s="186"/>
      <c r="D466" s="187"/>
    </row>
    <row r="467" spans="3:4" s="5" customFormat="1" ht="15.75" customHeight="1">
      <c r="C467" s="186"/>
      <c r="D467" s="187"/>
    </row>
    <row r="468" spans="3:4" s="5" customFormat="1" ht="15.75" customHeight="1">
      <c r="C468" s="186"/>
      <c r="D468" s="187"/>
    </row>
    <row r="469" spans="3:4" s="5" customFormat="1" ht="15.75" customHeight="1">
      <c r="C469" s="186"/>
      <c r="D469" s="187"/>
    </row>
    <row r="470" spans="3:4" s="5" customFormat="1" ht="15.75" customHeight="1">
      <c r="C470" s="186"/>
      <c r="D470" s="187"/>
    </row>
    <row r="471" spans="3:4" s="5" customFormat="1" ht="15.75" customHeight="1">
      <c r="C471" s="186"/>
      <c r="D471" s="187"/>
    </row>
    <row r="472" spans="3:4" s="5" customFormat="1" ht="15.75" customHeight="1">
      <c r="C472" s="186"/>
      <c r="D472" s="187"/>
    </row>
    <row r="473" spans="3:4" s="5" customFormat="1" ht="15.75" customHeight="1">
      <c r="C473" s="186"/>
      <c r="D473" s="187"/>
    </row>
    <row r="474" spans="3:4" s="5" customFormat="1" ht="15.75" customHeight="1">
      <c r="C474" s="186"/>
      <c r="D474" s="187"/>
    </row>
    <row r="475" spans="3:4" s="5" customFormat="1" ht="15.75" customHeight="1">
      <c r="C475" s="186"/>
      <c r="D475" s="187"/>
    </row>
    <row r="476" spans="3:4" s="5" customFormat="1" ht="15.75" customHeight="1">
      <c r="C476" s="186"/>
      <c r="D476" s="187"/>
    </row>
    <row r="477" spans="3:4" s="5" customFormat="1" ht="15.75" customHeight="1">
      <c r="C477" s="186"/>
      <c r="D477" s="187"/>
    </row>
    <row r="478" spans="3:4" s="5" customFormat="1" ht="15.75" customHeight="1">
      <c r="C478" s="186"/>
      <c r="D478" s="187"/>
    </row>
    <row r="479" spans="3:4" s="5" customFormat="1" ht="15.75" customHeight="1">
      <c r="C479" s="186"/>
      <c r="D479" s="187"/>
    </row>
    <row r="480" spans="3:4" s="5" customFormat="1" ht="15.75" customHeight="1">
      <c r="C480" s="186"/>
      <c r="D480" s="187"/>
    </row>
    <row r="481" spans="3:4" s="5" customFormat="1" ht="15.75" customHeight="1">
      <c r="C481" s="186"/>
      <c r="D481" s="187"/>
    </row>
    <row r="482" spans="3:4" s="5" customFormat="1" ht="15.75" customHeight="1">
      <c r="C482" s="186"/>
      <c r="D482" s="187"/>
    </row>
    <row r="483" spans="3:4" s="5" customFormat="1" ht="15.75" customHeight="1">
      <c r="C483" s="186"/>
      <c r="D483" s="187"/>
    </row>
    <row r="484" spans="3:4" s="5" customFormat="1" ht="15.75" customHeight="1">
      <c r="C484" s="186"/>
      <c r="D484" s="187"/>
    </row>
    <row r="485" spans="3:4" s="5" customFormat="1" ht="15.75" customHeight="1">
      <c r="C485" s="186"/>
      <c r="D485" s="187"/>
    </row>
    <row r="486" spans="3:4" s="5" customFormat="1" ht="15.75" customHeight="1">
      <c r="C486" s="186"/>
      <c r="D486" s="187"/>
    </row>
    <row r="487" spans="3:4" s="5" customFormat="1" ht="15.75" customHeight="1">
      <c r="C487" s="186"/>
      <c r="D487" s="187"/>
    </row>
    <row r="488" spans="3:4" s="5" customFormat="1" ht="15.75" customHeight="1">
      <c r="C488" s="186"/>
      <c r="D488" s="187"/>
    </row>
    <row r="489" spans="3:4" s="5" customFormat="1" ht="15.75" customHeight="1">
      <c r="C489" s="186"/>
      <c r="D489" s="187"/>
    </row>
    <row r="490" spans="3:4" s="5" customFormat="1" ht="15.75" customHeight="1">
      <c r="C490" s="186"/>
      <c r="D490" s="187"/>
    </row>
    <row r="491" spans="3:4" s="5" customFormat="1" ht="15.75" customHeight="1">
      <c r="C491" s="186"/>
      <c r="D491" s="187"/>
    </row>
    <row r="492" spans="3:4" s="5" customFormat="1" ht="15.75" customHeight="1">
      <c r="C492" s="186"/>
      <c r="D492" s="187"/>
    </row>
    <row r="493" spans="3:4" s="5" customFormat="1" ht="15.75" customHeight="1">
      <c r="C493" s="186"/>
      <c r="D493" s="187"/>
    </row>
    <row r="494" spans="3:4" s="5" customFormat="1" ht="15.75" customHeight="1">
      <c r="C494" s="186"/>
      <c r="D494" s="187"/>
    </row>
    <row r="495" spans="3:4" s="5" customFormat="1" ht="15.75" customHeight="1">
      <c r="C495" s="186"/>
      <c r="D495" s="187"/>
    </row>
    <row r="496" spans="3:4" s="5" customFormat="1" ht="15.75" customHeight="1">
      <c r="C496" s="186"/>
      <c r="D496" s="187"/>
    </row>
    <row r="497" spans="3:4" s="5" customFormat="1" ht="15.75" customHeight="1">
      <c r="C497" s="186"/>
      <c r="D497" s="187"/>
    </row>
    <row r="498" spans="3:4" s="5" customFormat="1" ht="15.75" customHeight="1">
      <c r="C498" s="186"/>
      <c r="D498" s="187"/>
    </row>
    <row r="499" spans="3:4" s="5" customFormat="1" ht="15.75" customHeight="1">
      <c r="C499" s="186"/>
      <c r="D499" s="187"/>
    </row>
    <row r="500" spans="3:4" s="5" customFormat="1" ht="15.75" customHeight="1">
      <c r="C500" s="186"/>
      <c r="D500" s="187"/>
    </row>
    <row r="501" spans="3:4" s="5" customFormat="1" ht="15.75" customHeight="1">
      <c r="C501" s="186"/>
      <c r="D501" s="187"/>
    </row>
    <row r="502" spans="3:4" s="5" customFormat="1" ht="15.75" customHeight="1">
      <c r="C502" s="186"/>
      <c r="D502" s="187"/>
    </row>
    <row r="503" spans="3:4" s="5" customFormat="1" ht="15.75" customHeight="1">
      <c r="C503" s="186"/>
      <c r="D503" s="187"/>
    </row>
    <row r="504" spans="3:4" s="5" customFormat="1" ht="15.75" customHeight="1">
      <c r="C504" s="186"/>
      <c r="D504" s="187"/>
    </row>
    <row r="505" spans="3:4" s="5" customFormat="1" ht="15.75" customHeight="1">
      <c r="C505" s="186"/>
      <c r="D505" s="187"/>
    </row>
    <row r="506" spans="3:4" s="5" customFormat="1" ht="15.75" customHeight="1">
      <c r="C506" s="186"/>
      <c r="D506" s="187"/>
    </row>
    <row r="507" spans="3:4" s="5" customFormat="1" ht="15.75" customHeight="1">
      <c r="C507" s="186"/>
      <c r="D507" s="187"/>
    </row>
    <row r="508" spans="3:4" s="5" customFormat="1" ht="15.75" customHeight="1">
      <c r="C508" s="186"/>
      <c r="D508" s="187"/>
    </row>
    <row r="509" spans="3:4" s="5" customFormat="1" ht="15.75" customHeight="1">
      <c r="C509" s="186"/>
      <c r="D509" s="187"/>
    </row>
    <row r="510" spans="3:4" s="5" customFormat="1" ht="15.75" customHeight="1">
      <c r="C510" s="186"/>
      <c r="D510" s="187"/>
    </row>
    <row r="511" spans="3:4" s="5" customFormat="1" ht="15.75" customHeight="1">
      <c r="C511" s="186"/>
      <c r="D511" s="187"/>
    </row>
    <row r="512" spans="3:4" s="5" customFormat="1" ht="15.75" customHeight="1">
      <c r="C512" s="186"/>
      <c r="D512" s="187"/>
    </row>
    <row r="513" spans="3:4" s="5" customFormat="1" ht="15.75" customHeight="1">
      <c r="C513" s="186"/>
      <c r="D513" s="187"/>
    </row>
    <row r="514" spans="3:4" s="5" customFormat="1" ht="15.75" customHeight="1">
      <c r="C514" s="186"/>
      <c r="D514" s="187"/>
    </row>
    <row r="515" spans="3:4" s="5" customFormat="1" ht="15.75" customHeight="1">
      <c r="C515" s="186"/>
      <c r="D515" s="187"/>
    </row>
    <row r="516" spans="3:4" s="5" customFormat="1" ht="15.75" customHeight="1">
      <c r="C516" s="186"/>
      <c r="D516" s="187"/>
    </row>
    <row r="517" spans="3:4" s="5" customFormat="1" ht="15.75" customHeight="1">
      <c r="C517" s="186"/>
      <c r="D517" s="187"/>
    </row>
    <row r="518" spans="3:4" s="5" customFormat="1" ht="15.75" customHeight="1">
      <c r="C518" s="186"/>
      <c r="D518" s="187"/>
    </row>
    <row r="519" spans="3:4" s="5" customFormat="1" ht="15.75" customHeight="1">
      <c r="C519" s="186"/>
      <c r="D519" s="187"/>
    </row>
    <row r="520" spans="3:4" s="5" customFormat="1" ht="15.75" customHeight="1">
      <c r="C520" s="186"/>
      <c r="D520" s="187"/>
    </row>
    <row r="521" spans="3:4" s="5" customFormat="1" ht="15.75" customHeight="1">
      <c r="C521" s="186"/>
      <c r="D521" s="187"/>
    </row>
    <row r="522" spans="3:4" s="5" customFormat="1" ht="15.75" customHeight="1">
      <c r="C522" s="186"/>
      <c r="D522" s="187"/>
    </row>
    <row r="523" spans="3:4" s="5" customFormat="1" ht="15.75" customHeight="1">
      <c r="C523" s="186"/>
      <c r="D523" s="187"/>
    </row>
    <row r="524" spans="3:4" s="5" customFormat="1" ht="15.75" customHeight="1">
      <c r="C524" s="186"/>
      <c r="D524" s="187"/>
    </row>
    <row r="525" spans="3:4" s="5" customFormat="1" ht="15.75" customHeight="1">
      <c r="C525" s="186"/>
      <c r="D525" s="187"/>
    </row>
    <row r="526" spans="3:4" s="5" customFormat="1" ht="15.75" customHeight="1">
      <c r="C526" s="186"/>
      <c r="D526" s="187"/>
    </row>
    <row r="527" spans="3:4" s="5" customFormat="1" ht="15.75" customHeight="1">
      <c r="C527" s="186"/>
      <c r="D527" s="187"/>
    </row>
    <row r="528" spans="3:4" s="5" customFormat="1" ht="15.75" customHeight="1">
      <c r="C528" s="186"/>
      <c r="D528" s="187"/>
    </row>
    <row r="529" spans="3:4" s="5" customFormat="1" ht="15.75" customHeight="1">
      <c r="C529" s="186"/>
      <c r="D529" s="187"/>
    </row>
    <row r="530" spans="3:4" s="5" customFormat="1" ht="15.75" customHeight="1">
      <c r="C530" s="186"/>
      <c r="D530" s="187"/>
    </row>
    <row r="531" spans="3:4" s="5" customFormat="1" ht="15.75" customHeight="1">
      <c r="C531" s="186"/>
      <c r="D531" s="187"/>
    </row>
    <row r="532" spans="3:4" s="5" customFormat="1" ht="15.75" customHeight="1">
      <c r="C532" s="186"/>
      <c r="D532" s="187"/>
    </row>
    <row r="533" spans="3:4" s="5" customFormat="1" ht="15.75" customHeight="1">
      <c r="C533" s="186"/>
      <c r="D533" s="187"/>
    </row>
    <row r="534" spans="3:4" s="5" customFormat="1" ht="15.75" customHeight="1">
      <c r="C534" s="186"/>
      <c r="D534" s="187"/>
    </row>
    <row r="535" spans="3:4" s="5" customFormat="1" ht="15.75" customHeight="1">
      <c r="C535" s="186"/>
      <c r="D535" s="187"/>
    </row>
    <row r="536" spans="3:4" s="5" customFormat="1" ht="15.75" customHeight="1">
      <c r="C536" s="186"/>
      <c r="D536" s="187"/>
    </row>
    <row r="537" spans="3:4" s="5" customFormat="1" ht="15.75" customHeight="1">
      <c r="C537" s="186"/>
      <c r="D537" s="187"/>
    </row>
    <row r="538" spans="3:4" s="5" customFormat="1" ht="15.75" customHeight="1">
      <c r="C538" s="186"/>
      <c r="D538" s="187"/>
    </row>
    <row r="539" spans="3:4" s="5" customFormat="1" ht="15.75" customHeight="1">
      <c r="C539" s="186"/>
      <c r="D539" s="187"/>
    </row>
    <row r="540" spans="3:4" s="5" customFormat="1" ht="15.75" customHeight="1">
      <c r="C540" s="186"/>
      <c r="D540" s="187"/>
    </row>
    <row r="541" spans="3:4" s="5" customFormat="1" ht="15.75" customHeight="1">
      <c r="C541" s="186"/>
      <c r="D541" s="187"/>
    </row>
    <row r="542" spans="3:4" s="5" customFormat="1" ht="15.75" customHeight="1">
      <c r="C542" s="186"/>
      <c r="D542" s="187"/>
    </row>
    <row r="543" spans="3:4" s="5" customFormat="1" ht="15.75" customHeight="1">
      <c r="C543" s="186"/>
      <c r="D543" s="187"/>
    </row>
    <row r="544" spans="3:4" s="5" customFormat="1" ht="15.75" customHeight="1">
      <c r="C544" s="186"/>
      <c r="D544" s="187"/>
    </row>
    <row r="545" spans="3:4" s="5" customFormat="1" ht="15.75" customHeight="1">
      <c r="C545" s="186"/>
      <c r="D545" s="187"/>
    </row>
    <row r="546" spans="3:4" s="5" customFormat="1" ht="15.75" customHeight="1">
      <c r="C546" s="186"/>
      <c r="D546" s="187"/>
    </row>
    <row r="547" spans="3:4" s="5" customFormat="1" ht="15.75" customHeight="1">
      <c r="C547" s="186"/>
      <c r="D547" s="187"/>
    </row>
    <row r="548" spans="3:4" s="5" customFormat="1" ht="15.75" customHeight="1">
      <c r="C548" s="186"/>
      <c r="D548" s="187"/>
    </row>
    <row r="549" spans="3:4" s="5" customFormat="1" ht="15.75" customHeight="1">
      <c r="C549" s="186"/>
      <c r="D549" s="187"/>
    </row>
    <row r="550" spans="3:4" s="5" customFormat="1" ht="15.75" customHeight="1">
      <c r="C550" s="186"/>
      <c r="D550" s="187"/>
    </row>
    <row r="551" spans="3:4" s="5" customFormat="1" ht="15.75" customHeight="1">
      <c r="C551" s="186"/>
      <c r="D551" s="187"/>
    </row>
    <row r="552" spans="3:4" s="5" customFormat="1" ht="15.75" customHeight="1">
      <c r="C552" s="186"/>
      <c r="D552" s="187"/>
    </row>
    <row r="553" spans="3:4" s="5" customFormat="1" ht="15.75" customHeight="1">
      <c r="C553" s="186"/>
      <c r="D553" s="187"/>
    </row>
    <row r="554" spans="3:4" s="5" customFormat="1" ht="15.75" customHeight="1">
      <c r="C554" s="186"/>
      <c r="D554" s="187"/>
    </row>
    <row r="555" spans="3:4" s="5" customFormat="1" ht="15.75" customHeight="1">
      <c r="C555" s="186"/>
      <c r="D555" s="187"/>
    </row>
    <row r="556" spans="3:4" s="5" customFormat="1" ht="15.75" customHeight="1">
      <c r="C556" s="186"/>
      <c r="D556" s="187"/>
    </row>
    <row r="557" spans="3:4" s="5" customFormat="1" ht="15.75" customHeight="1">
      <c r="C557" s="186"/>
      <c r="D557" s="187"/>
    </row>
    <row r="558" spans="3:4" s="5" customFormat="1" ht="15.75" customHeight="1">
      <c r="C558" s="186"/>
      <c r="D558" s="187"/>
    </row>
    <row r="559" spans="3:4" s="5" customFormat="1" ht="15.75" customHeight="1">
      <c r="C559" s="186"/>
      <c r="D559" s="187"/>
    </row>
    <row r="560" spans="3:4" s="5" customFormat="1" ht="15.75" customHeight="1">
      <c r="C560" s="186"/>
      <c r="D560" s="187"/>
    </row>
    <row r="561" spans="3:4" s="5" customFormat="1" ht="15.75" customHeight="1">
      <c r="C561" s="186"/>
      <c r="D561" s="187"/>
    </row>
    <row r="562" spans="3:4" s="5" customFormat="1" ht="15.75" customHeight="1">
      <c r="C562" s="186"/>
      <c r="D562" s="187"/>
    </row>
    <row r="563" spans="3:4" s="5" customFormat="1" ht="15.75" customHeight="1">
      <c r="C563" s="186"/>
      <c r="D563" s="187"/>
    </row>
    <row r="564" spans="3:4" s="5" customFormat="1" ht="15.75" customHeight="1">
      <c r="C564" s="186"/>
      <c r="D564" s="187"/>
    </row>
    <row r="565" spans="3:4" s="5" customFormat="1" ht="15.75" customHeight="1">
      <c r="C565" s="186"/>
      <c r="D565" s="187"/>
    </row>
    <row r="566" spans="3:4" s="5" customFormat="1" ht="15.75" customHeight="1">
      <c r="C566" s="186"/>
      <c r="D566" s="187"/>
    </row>
    <row r="567" spans="3:4" s="5" customFormat="1" ht="15.75" customHeight="1">
      <c r="C567" s="186"/>
      <c r="D567" s="187"/>
    </row>
    <row r="568" spans="3:4" s="5" customFormat="1" ht="15.75" customHeight="1">
      <c r="C568" s="186"/>
      <c r="D568" s="187"/>
    </row>
    <row r="569" spans="3:4" s="5" customFormat="1" ht="15.75" customHeight="1">
      <c r="C569" s="186"/>
      <c r="D569" s="187"/>
    </row>
    <row r="570" spans="3:4" s="5" customFormat="1" ht="15.75" customHeight="1">
      <c r="C570" s="186"/>
      <c r="D570" s="187"/>
    </row>
    <row r="571" spans="3:4" s="5" customFormat="1" ht="15.75" customHeight="1">
      <c r="C571" s="186"/>
      <c r="D571" s="187"/>
    </row>
    <row r="572" spans="3:4" s="5" customFormat="1" ht="15.75" customHeight="1">
      <c r="C572" s="186"/>
      <c r="D572" s="187"/>
    </row>
    <row r="573" spans="3:4" s="5" customFormat="1" ht="15.75" customHeight="1">
      <c r="C573" s="186"/>
      <c r="D573" s="187"/>
    </row>
    <row r="574" spans="3:4" s="5" customFormat="1" ht="15.75" customHeight="1">
      <c r="C574" s="186"/>
      <c r="D574" s="187"/>
    </row>
    <row r="575" spans="3:4" s="5" customFormat="1" ht="15.75" customHeight="1">
      <c r="C575" s="186"/>
      <c r="D575" s="187"/>
    </row>
    <row r="576" spans="3:4" s="5" customFormat="1" ht="15.75" customHeight="1">
      <c r="C576" s="186"/>
      <c r="D576" s="187"/>
    </row>
    <row r="577" spans="3:4" s="5" customFormat="1" ht="15.75" customHeight="1">
      <c r="C577" s="186"/>
      <c r="D577" s="187"/>
    </row>
    <row r="578" spans="3:4" s="5" customFormat="1" ht="15.75" customHeight="1">
      <c r="C578" s="186"/>
      <c r="D578" s="187"/>
    </row>
    <row r="579" spans="3:4" s="5" customFormat="1" ht="15.75" customHeight="1">
      <c r="C579" s="186"/>
      <c r="D579" s="187"/>
    </row>
    <row r="580" spans="3:4" s="5" customFormat="1" ht="15.75" customHeight="1">
      <c r="C580" s="186"/>
      <c r="D580" s="187"/>
    </row>
    <row r="581" spans="3:4" s="5" customFormat="1" ht="15.75" customHeight="1">
      <c r="C581" s="186"/>
      <c r="D581" s="187"/>
    </row>
    <row r="582" spans="3:4" s="5" customFormat="1" ht="15.75" customHeight="1">
      <c r="C582" s="186"/>
      <c r="D582" s="187"/>
    </row>
    <row r="583" spans="3:4" s="5" customFormat="1" ht="15.75" customHeight="1">
      <c r="C583" s="186"/>
      <c r="D583" s="187"/>
    </row>
    <row r="584" spans="3:4" s="5" customFormat="1" ht="15.75" customHeight="1">
      <c r="C584" s="186"/>
      <c r="D584" s="187"/>
    </row>
    <row r="585" spans="3:4" s="5" customFormat="1" ht="15.75" customHeight="1">
      <c r="C585" s="186"/>
      <c r="D585" s="187"/>
    </row>
    <row r="586" spans="3:4" s="5" customFormat="1" ht="15.75" customHeight="1">
      <c r="C586" s="186"/>
      <c r="D586" s="187"/>
    </row>
    <row r="587" spans="3:4" s="5" customFormat="1" ht="15.75" customHeight="1">
      <c r="C587" s="186"/>
      <c r="D587" s="187"/>
    </row>
    <row r="588" spans="3:4" s="5" customFormat="1" ht="15.75" customHeight="1">
      <c r="C588" s="186"/>
      <c r="D588" s="187"/>
    </row>
    <row r="589" spans="3:4" s="5" customFormat="1" ht="15.75" customHeight="1">
      <c r="C589" s="186"/>
      <c r="D589" s="187"/>
    </row>
    <row r="590" spans="3:4" s="5" customFormat="1" ht="15.75" customHeight="1">
      <c r="C590" s="186"/>
      <c r="D590" s="187"/>
    </row>
    <row r="591" spans="3:4" s="5" customFormat="1" ht="15.75" customHeight="1">
      <c r="C591" s="186"/>
      <c r="D591" s="187"/>
    </row>
    <row r="592" spans="3:4" s="5" customFormat="1" ht="15.75" customHeight="1">
      <c r="C592" s="186"/>
      <c r="D592" s="187"/>
    </row>
    <row r="593" spans="3:4" s="5" customFormat="1" ht="15.75" customHeight="1">
      <c r="C593" s="186"/>
      <c r="D593" s="187"/>
    </row>
    <row r="594" spans="3:4" s="5" customFormat="1" ht="15.75" customHeight="1">
      <c r="C594" s="186"/>
      <c r="D594" s="187"/>
    </row>
    <row r="595" spans="3:4" s="5" customFormat="1" ht="15.75" customHeight="1">
      <c r="C595" s="186"/>
      <c r="D595" s="187"/>
    </row>
    <row r="596" spans="3:4" s="5" customFormat="1" ht="15.75" customHeight="1">
      <c r="C596" s="186"/>
      <c r="D596" s="187"/>
    </row>
    <row r="597" spans="3:4" s="5" customFormat="1" ht="15.75" customHeight="1">
      <c r="C597" s="186"/>
      <c r="D597" s="187"/>
    </row>
    <row r="598" spans="3:4" s="5" customFormat="1" ht="15.75" customHeight="1">
      <c r="C598" s="186"/>
      <c r="D598" s="187"/>
    </row>
    <row r="599" spans="3:4" s="5" customFormat="1" ht="15.75" customHeight="1">
      <c r="C599" s="186"/>
      <c r="D599" s="187"/>
    </row>
    <row r="600" spans="3:4" s="5" customFormat="1" ht="15.75" customHeight="1">
      <c r="C600" s="186"/>
      <c r="D600" s="187"/>
    </row>
    <row r="601" spans="3:4" s="5" customFormat="1" ht="15.75" customHeight="1">
      <c r="C601" s="186"/>
      <c r="D601" s="187"/>
    </row>
    <row r="602" spans="3:4" s="5" customFormat="1" ht="15.75" customHeight="1">
      <c r="C602" s="186"/>
      <c r="D602" s="187"/>
    </row>
    <row r="603" spans="3:4" s="5" customFormat="1" ht="15.75" customHeight="1">
      <c r="C603" s="186"/>
      <c r="D603" s="187"/>
    </row>
    <row r="604" spans="3:4" s="5" customFormat="1" ht="15.75" customHeight="1">
      <c r="C604" s="186"/>
      <c r="D604" s="187"/>
    </row>
    <row r="605" spans="3:4" s="5" customFormat="1" ht="15.75" customHeight="1">
      <c r="C605" s="186"/>
      <c r="D605" s="187"/>
    </row>
    <row r="606" spans="3:4" s="5" customFormat="1" ht="15.75" customHeight="1">
      <c r="C606" s="186"/>
      <c r="D606" s="187"/>
    </row>
    <row r="607" spans="3:4" s="5" customFormat="1" ht="15.75" customHeight="1">
      <c r="C607" s="186"/>
      <c r="D607" s="187"/>
    </row>
    <row r="608" spans="3:4" s="5" customFormat="1" ht="15.75" customHeight="1">
      <c r="C608" s="186"/>
      <c r="D608" s="187"/>
    </row>
    <row r="609" spans="3:4" s="5" customFormat="1" ht="15.75" customHeight="1">
      <c r="C609" s="186"/>
      <c r="D609" s="187"/>
    </row>
    <row r="610" spans="3:4" s="5" customFormat="1" ht="15.75" customHeight="1">
      <c r="C610" s="186"/>
      <c r="D610" s="187"/>
    </row>
    <row r="611" spans="3:4" s="5" customFormat="1" ht="15.75" customHeight="1">
      <c r="C611" s="186"/>
      <c r="D611" s="187"/>
    </row>
    <row r="612" spans="3:4" s="5" customFormat="1" ht="15.75" customHeight="1">
      <c r="C612" s="186"/>
      <c r="D612" s="187"/>
    </row>
    <row r="613" spans="3:4" s="5" customFormat="1" ht="15.75" customHeight="1">
      <c r="C613" s="186"/>
      <c r="D613" s="187"/>
    </row>
    <row r="614" spans="3:4" s="5" customFormat="1" ht="15.75" customHeight="1">
      <c r="C614" s="186"/>
      <c r="D614" s="187"/>
    </row>
    <row r="615" spans="3:4" s="5" customFormat="1" ht="15.75" customHeight="1">
      <c r="C615" s="186"/>
      <c r="D615" s="187"/>
    </row>
    <row r="616" spans="3:4" s="5" customFormat="1" ht="15.75" customHeight="1">
      <c r="C616" s="186"/>
      <c r="D616" s="187"/>
    </row>
    <row r="617" spans="3:4" s="5" customFormat="1" ht="15.75" customHeight="1">
      <c r="C617" s="186"/>
      <c r="D617" s="187"/>
    </row>
    <row r="618" spans="3:4" s="5" customFormat="1" ht="15.75" customHeight="1">
      <c r="C618" s="186"/>
      <c r="D618" s="187"/>
    </row>
    <row r="619" spans="3:4" s="5" customFormat="1" ht="15.75" customHeight="1">
      <c r="C619" s="186"/>
      <c r="D619" s="187"/>
    </row>
    <row r="620" spans="3:4" s="5" customFormat="1" ht="15.75" customHeight="1">
      <c r="C620" s="186"/>
      <c r="D620" s="187"/>
    </row>
    <row r="621" spans="3:4" s="5" customFormat="1" ht="15.75" customHeight="1">
      <c r="C621" s="186"/>
      <c r="D621" s="187"/>
    </row>
    <row r="622" spans="3:4" s="5" customFormat="1" ht="15.75" customHeight="1">
      <c r="C622" s="186"/>
      <c r="D622" s="187"/>
    </row>
    <row r="623" spans="3:4" s="5" customFormat="1" ht="15.75" customHeight="1">
      <c r="C623" s="186"/>
      <c r="D623" s="187"/>
    </row>
    <row r="624" spans="3:4" s="5" customFormat="1" ht="15.75" customHeight="1">
      <c r="C624" s="186"/>
      <c r="D624" s="187"/>
    </row>
    <row r="625" spans="3:4" s="5" customFormat="1" ht="15.75" customHeight="1">
      <c r="C625" s="186"/>
      <c r="D625" s="187"/>
    </row>
    <row r="626" spans="3:4" s="5" customFormat="1" ht="15.75" customHeight="1">
      <c r="C626" s="186"/>
      <c r="D626" s="187"/>
    </row>
    <row r="627" spans="3:4" s="5" customFormat="1" ht="15.75" customHeight="1">
      <c r="C627" s="186"/>
      <c r="D627" s="187"/>
    </row>
    <row r="628" spans="3:4" s="5" customFormat="1" ht="15.75" customHeight="1">
      <c r="C628" s="186"/>
      <c r="D628" s="187"/>
    </row>
    <row r="629" spans="3:4" s="5" customFormat="1" ht="15.75" customHeight="1">
      <c r="C629" s="186"/>
      <c r="D629" s="187"/>
    </row>
    <row r="630" spans="3:4" s="5" customFormat="1" ht="15.75" customHeight="1">
      <c r="C630" s="186"/>
      <c r="D630" s="187"/>
    </row>
    <row r="631" spans="3:4" s="5" customFormat="1" ht="15.75" customHeight="1">
      <c r="C631" s="186"/>
      <c r="D631" s="187"/>
    </row>
    <row r="632" spans="3:4" s="5" customFormat="1" ht="15.75" customHeight="1">
      <c r="C632" s="186"/>
      <c r="D632" s="187"/>
    </row>
    <row r="633" spans="3:4" s="5" customFormat="1" ht="15.75" customHeight="1">
      <c r="C633" s="186"/>
      <c r="D633" s="187"/>
    </row>
    <row r="634" spans="3:4" s="5" customFormat="1" ht="15.75" customHeight="1">
      <c r="C634" s="186"/>
      <c r="D634" s="187"/>
    </row>
    <row r="635" spans="3:4" s="5" customFormat="1" ht="15.75" customHeight="1">
      <c r="C635" s="186"/>
      <c r="D635" s="187"/>
    </row>
    <row r="636" spans="3:4" s="5" customFormat="1" ht="15.75" customHeight="1">
      <c r="C636" s="186"/>
      <c r="D636" s="187"/>
    </row>
    <row r="637" spans="3:4" s="5" customFormat="1" ht="15.75" customHeight="1">
      <c r="C637" s="186"/>
      <c r="D637" s="187"/>
    </row>
    <row r="638" spans="3:4" s="5" customFormat="1" ht="15.75" customHeight="1">
      <c r="C638" s="186"/>
      <c r="D638" s="187"/>
    </row>
    <row r="639" spans="3:4" s="5" customFormat="1" ht="15.75" customHeight="1">
      <c r="C639" s="186"/>
      <c r="D639" s="187"/>
    </row>
    <row r="640" spans="3:4" s="5" customFormat="1" ht="15.75" customHeight="1">
      <c r="C640" s="186"/>
      <c r="D640" s="187"/>
    </row>
    <row r="641" spans="3:4" s="5" customFormat="1" ht="15.75" customHeight="1">
      <c r="C641" s="186"/>
      <c r="D641" s="187"/>
    </row>
    <row r="642" spans="3:4" s="5" customFormat="1" ht="15.75" customHeight="1">
      <c r="C642" s="186"/>
      <c r="D642" s="187"/>
    </row>
    <row r="643" spans="3:4" s="5" customFormat="1" ht="15.75" customHeight="1">
      <c r="C643" s="186"/>
      <c r="D643" s="187"/>
    </row>
    <row r="644" spans="3:4" s="5" customFormat="1" ht="15.75" customHeight="1">
      <c r="C644" s="186"/>
      <c r="D644" s="187"/>
    </row>
    <row r="645" spans="3:4" s="5" customFormat="1" ht="15.75" customHeight="1">
      <c r="C645" s="186"/>
      <c r="D645" s="187"/>
    </row>
    <row r="646" spans="3:4" s="5" customFormat="1" ht="15.75" customHeight="1">
      <c r="C646" s="186"/>
      <c r="D646" s="187"/>
    </row>
    <row r="647" spans="3:4" s="5" customFormat="1" ht="15.75" customHeight="1">
      <c r="C647" s="186"/>
      <c r="D647" s="187"/>
    </row>
    <row r="648" spans="3:4" s="5" customFormat="1" ht="15.75" customHeight="1">
      <c r="C648" s="186"/>
      <c r="D648" s="187"/>
    </row>
    <row r="649" spans="3:4" s="5" customFormat="1" ht="15.75" customHeight="1">
      <c r="C649" s="186"/>
      <c r="D649" s="187"/>
    </row>
    <row r="650" spans="3:4" s="5" customFormat="1" ht="15.75" customHeight="1">
      <c r="C650" s="186"/>
      <c r="D650" s="187"/>
    </row>
    <row r="651" spans="3:4" s="5" customFormat="1" ht="15.75" customHeight="1">
      <c r="C651" s="186"/>
      <c r="D651" s="187"/>
    </row>
    <row r="652" spans="3:4" s="5" customFormat="1" ht="15.75" customHeight="1">
      <c r="C652" s="186"/>
      <c r="D652" s="187"/>
    </row>
    <row r="653" spans="3:4" s="5" customFormat="1" ht="15.75" customHeight="1">
      <c r="C653" s="186"/>
      <c r="D653" s="187"/>
    </row>
    <row r="654" spans="3:4" s="5" customFormat="1" ht="15.75" customHeight="1">
      <c r="C654" s="186"/>
      <c r="D654" s="187"/>
    </row>
    <row r="655" spans="3:4" s="5" customFormat="1" ht="15.75" customHeight="1">
      <c r="C655" s="186"/>
      <c r="D655" s="187"/>
    </row>
    <row r="656" spans="3:4" s="5" customFormat="1" ht="15.75" customHeight="1">
      <c r="C656" s="186"/>
      <c r="D656" s="187"/>
    </row>
    <row r="657" spans="3:4" s="5" customFormat="1" ht="15.75" customHeight="1">
      <c r="C657" s="186"/>
      <c r="D657" s="187"/>
    </row>
    <row r="658" spans="3:4" s="5" customFormat="1" ht="15.75" customHeight="1">
      <c r="C658" s="186"/>
      <c r="D658" s="187"/>
    </row>
    <row r="659" spans="3:4" s="5" customFormat="1" ht="15.75" customHeight="1">
      <c r="C659" s="186"/>
      <c r="D659" s="187"/>
    </row>
    <row r="660" spans="3:4" s="5" customFormat="1" ht="15.75" customHeight="1">
      <c r="C660" s="186"/>
      <c r="D660" s="187"/>
    </row>
    <row r="661" spans="3:4" s="5" customFormat="1" ht="15.75" customHeight="1">
      <c r="C661" s="186"/>
      <c r="D661" s="187"/>
    </row>
    <row r="662" spans="3:4" s="5" customFormat="1" ht="15.75" customHeight="1">
      <c r="C662" s="186"/>
      <c r="D662" s="187"/>
    </row>
    <row r="663" spans="3:4" s="5" customFormat="1" ht="15.75" customHeight="1">
      <c r="C663" s="186"/>
      <c r="D663" s="187"/>
    </row>
    <row r="664" spans="3:4" s="5" customFormat="1" ht="15.75" customHeight="1">
      <c r="C664" s="186"/>
      <c r="D664" s="187"/>
    </row>
    <row r="665" spans="3:4" s="5" customFormat="1" ht="15.75" customHeight="1">
      <c r="C665" s="186"/>
      <c r="D665" s="187"/>
    </row>
    <row r="666" spans="3:4" s="5" customFormat="1" ht="15.75" customHeight="1">
      <c r="C666" s="186"/>
      <c r="D666" s="187"/>
    </row>
    <row r="667" spans="3:4" s="5" customFormat="1" ht="15.75" customHeight="1">
      <c r="C667" s="186"/>
      <c r="D667" s="187"/>
    </row>
    <row r="668" spans="3:4" s="5" customFormat="1" ht="15.75" customHeight="1">
      <c r="C668" s="186"/>
      <c r="D668" s="187"/>
    </row>
    <row r="669" spans="3:4" s="5" customFormat="1" ht="15.75" customHeight="1">
      <c r="C669" s="186"/>
      <c r="D669" s="187"/>
    </row>
    <row r="670" spans="3:4" s="5" customFormat="1" ht="15.75" customHeight="1">
      <c r="C670" s="186"/>
      <c r="D670" s="187"/>
    </row>
    <row r="671" spans="3:4" s="5" customFormat="1" ht="15.75" customHeight="1">
      <c r="C671" s="186"/>
      <c r="D671" s="187"/>
    </row>
    <row r="672" spans="3:4" s="5" customFormat="1" ht="15.75" customHeight="1">
      <c r="C672" s="186"/>
      <c r="D672" s="187"/>
    </row>
    <row r="673" spans="3:4" s="5" customFormat="1" ht="15.75" customHeight="1">
      <c r="C673" s="186"/>
      <c r="D673" s="187"/>
    </row>
    <row r="674" spans="3:4" s="5" customFormat="1" ht="15.75" customHeight="1">
      <c r="C674" s="186"/>
      <c r="D674" s="187"/>
    </row>
    <row r="675" spans="3:4" s="5" customFormat="1" ht="15.75" customHeight="1">
      <c r="C675" s="186"/>
      <c r="D675" s="187"/>
    </row>
    <row r="676" spans="3:4" s="5" customFormat="1" ht="15.75" customHeight="1">
      <c r="C676" s="186"/>
      <c r="D676" s="187"/>
    </row>
    <row r="677" spans="3:4" s="5" customFormat="1" ht="15.75" customHeight="1">
      <c r="C677" s="186"/>
      <c r="D677" s="187"/>
    </row>
    <row r="678" spans="3:4" s="5" customFormat="1" ht="15.75" customHeight="1">
      <c r="C678" s="186"/>
      <c r="D678" s="187"/>
    </row>
    <row r="679" spans="3:4" s="5" customFormat="1" ht="15.75" customHeight="1">
      <c r="C679" s="186"/>
      <c r="D679" s="187"/>
    </row>
    <row r="680" spans="3:4" s="5" customFormat="1" ht="15.75" customHeight="1">
      <c r="C680" s="186"/>
      <c r="D680" s="187"/>
    </row>
    <row r="681" spans="3:4" s="5" customFormat="1" ht="15.75" customHeight="1">
      <c r="C681" s="186"/>
      <c r="D681" s="187"/>
    </row>
    <row r="682" spans="3:4" s="5" customFormat="1" ht="15.75" customHeight="1">
      <c r="C682" s="186"/>
      <c r="D682" s="187"/>
    </row>
    <row r="683" spans="3:4" s="5" customFormat="1" ht="15.75" customHeight="1">
      <c r="C683" s="186"/>
      <c r="D683" s="187"/>
    </row>
    <row r="684" spans="3:4" s="5" customFormat="1" ht="15.75" customHeight="1">
      <c r="C684" s="186"/>
      <c r="D684" s="187"/>
    </row>
    <row r="685" spans="3:4" s="5" customFormat="1" ht="15.75" customHeight="1">
      <c r="C685" s="186"/>
      <c r="D685" s="187"/>
    </row>
    <row r="686" spans="3:4" s="5" customFormat="1" ht="15.75" customHeight="1">
      <c r="C686" s="186"/>
      <c r="D686" s="187"/>
    </row>
    <row r="687" spans="3:4" s="5" customFormat="1" ht="15.75" customHeight="1">
      <c r="C687" s="186"/>
      <c r="D687" s="187"/>
    </row>
    <row r="688" spans="3:4" s="5" customFormat="1" ht="15.75" customHeight="1">
      <c r="C688" s="186"/>
      <c r="D688" s="187"/>
    </row>
    <row r="689" spans="3:4" s="5" customFormat="1" ht="15.75" customHeight="1">
      <c r="C689" s="186"/>
      <c r="D689" s="187"/>
    </row>
    <row r="690" spans="3:4" s="5" customFormat="1" ht="15.75" customHeight="1">
      <c r="C690" s="186"/>
      <c r="D690" s="187"/>
    </row>
    <row r="691" spans="3:4" s="5" customFormat="1" ht="15.75" customHeight="1">
      <c r="C691" s="186"/>
      <c r="D691" s="187"/>
    </row>
    <row r="692" spans="3:4" s="5" customFormat="1" ht="15.75" customHeight="1">
      <c r="C692" s="186"/>
      <c r="D692" s="187"/>
    </row>
    <row r="693" spans="3:4" s="5" customFormat="1" ht="15.75" customHeight="1">
      <c r="C693" s="186"/>
      <c r="D693" s="187"/>
    </row>
    <row r="694" spans="3:4" s="5" customFormat="1" ht="15.75" customHeight="1">
      <c r="C694" s="186"/>
      <c r="D694" s="187"/>
    </row>
    <row r="695" spans="3:4" s="5" customFormat="1" ht="15.75" customHeight="1">
      <c r="C695" s="186"/>
      <c r="D695" s="187"/>
    </row>
    <row r="696" spans="3:4" s="5" customFormat="1" ht="15.75" customHeight="1">
      <c r="C696" s="186"/>
      <c r="D696" s="187"/>
    </row>
    <row r="697" spans="3:4" s="5" customFormat="1" ht="15.75" customHeight="1">
      <c r="C697" s="186"/>
      <c r="D697" s="187"/>
    </row>
    <row r="698" spans="3:4" s="5" customFormat="1" ht="15.75" customHeight="1">
      <c r="C698" s="186"/>
      <c r="D698" s="187"/>
    </row>
    <row r="699" spans="3:4" s="5" customFormat="1" ht="15.75" customHeight="1">
      <c r="C699" s="186"/>
      <c r="D699" s="187"/>
    </row>
    <row r="700" spans="3:4" s="5" customFormat="1" ht="15.75" customHeight="1">
      <c r="C700" s="186"/>
      <c r="D700" s="187"/>
    </row>
    <row r="701" spans="3:4" s="5" customFormat="1" ht="15.75" customHeight="1">
      <c r="C701" s="186"/>
      <c r="D701" s="187"/>
    </row>
    <row r="702" spans="3:4" s="5" customFormat="1" ht="15.75" customHeight="1">
      <c r="C702" s="186"/>
      <c r="D702" s="187"/>
    </row>
    <row r="703" spans="3:4" s="5" customFormat="1" ht="15.75" customHeight="1">
      <c r="C703" s="186"/>
      <c r="D703" s="187"/>
    </row>
    <row r="704" spans="3:4" s="5" customFormat="1" ht="15.75" customHeight="1">
      <c r="C704" s="186"/>
      <c r="D704" s="187"/>
    </row>
    <row r="705" spans="3:4" s="5" customFormat="1" ht="15.75" customHeight="1">
      <c r="C705" s="186"/>
      <c r="D705" s="187"/>
    </row>
    <row r="706" spans="3:4" s="5" customFormat="1" ht="15.75" customHeight="1">
      <c r="C706" s="186"/>
      <c r="D706" s="187"/>
    </row>
    <row r="707" spans="3:4" s="5" customFormat="1" ht="15.75" customHeight="1">
      <c r="C707" s="186"/>
      <c r="D707" s="187"/>
    </row>
    <row r="708" spans="3:4" s="5" customFormat="1" ht="15.75" customHeight="1">
      <c r="C708" s="186"/>
      <c r="D708" s="187"/>
    </row>
    <row r="709" spans="3:4" s="5" customFormat="1" ht="15.75" customHeight="1">
      <c r="C709" s="186"/>
      <c r="D709" s="187"/>
    </row>
    <row r="710" spans="3:4" s="5" customFormat="1" ht="15.75" customHeight="1">
      <c r="C710" s="186"/>
      <c r="D710" s="187"/>
    </row>
    <row r="711" spans="3:4" s="5" customFormat="1" ht="15.75" customHeight="1">
      <c r="C711" s="186"/>
      <c r="D711" s="187"/>
    </row>
    <row r="712" spans="3:4" s="5" customFormat="1" ht="15.75" customHeight="1">
      <c r="C712" s="186"/>
      <c r="D712" s="187"/>
    </row>
    <row r="713" spans="3:4" s="5" customFormat="1" ht="15.75" customHeight="1">
      <c r="C713" s="186"/>
      <c r="D713" s="187"/>
    </row>
    <row r="714" spans="3:4" s="5" customFormat="1" ht="15.75" customHeight="1">
      <c r="C714" s="186"/>
      <c r="D714" s="187"/>
    </row>
    <row r="715" spans="3:4" s="5" customFormat="1" ht="15.75" customHeight="1">
      <c r="C715" s="186"/>
      <c r="D715" s="187"/>
    </row>
    <row r="716" spans="3:4" s="5" customFormat="1" ht="15.75" customHeight="1">
      <c r="C716" s="186"/>
      <c r="D716" s="187"/>
    </row>
    <row r="717" spans="3:4" s="5" customFormat="1" ht="15.75" customHeight="1">
      <c r="C717" s="186"/>
      <c r="D717" s="187"/>
    </row>
    <row r="718" spans="3:4" s="5" customFormat="1" ht="15.75" customHeight="1">
      <c r="C718" s="186"/>
      <c r="D718" s="187"/>
    </row>
    <row r="719" spans="3:4" s="5" customFormat="1" ht="15.75" customHeight="1">
      <c r="C719" s="186"/>
      <c r="D719" s="187"/>
    </row>
    <row r="720" spans="3:4" s="5" customFormat="1" ht="15.75" customHeight="1">
      <c r="C720" s="186"/>
      <c r="D720" s="187"/>
    </row>
    <row r="721" spans="3:4" s="5" customFormat="1" ht="15.75" customHeight="1">
      <c r="C721" s="186"/>
      <c r="D721" s="187"/>
    </row>
    <row r="722" spans="3:4" s="5" customFormat="1" ht="15.75" customHeight="1">
      <c r="C722" s="186"/>
      <c r="D722" s="187"/>
    </row>
    <row r="723" spans="3:4" s="5" customFormat="1" ht="15.75" customHeight="1">
      <c r="C723" s="186"/>
      <c r="D723" s="187"/>
    </row>
    <row r="724" spans="3:4" s="5" customFormat="1" ht="15.75" customHeight="1">
      <c r="C724" s="186"/>
      <c r="D724" s="187"/>
    </row>
    <row r="725" spans="3:4" s="5" customFormat="1" ht="15.75" customHeight="1">
      <c r="C725" s="186"/>
      <c r="D725" s="187"/>
    </row>
    <row r="726" spans="3:4" s="5" customFormat="1" ht="15.75" customHeight="1">
      <c r="C726" s="186"/>
      <c r="D726" s="187"/>
    </row>
    <row r="727" spans="3:4" s="5" customFormat="1" ht="15.75" customHeight="1">
      <c r="C727" s="186"/>
      <c r="D727" s="187"/>
    </row>
    <row r="728" spans="3:4" s="5" customFormat="1" ht="15.75" customHeight="1">
      <c r="C728" s="186"/>
      <c r="D728" s="187"/>
    </row>
    <row r="729" spans="3:4" s="5" customFormat="1" ht="15.75" customHeight="1">
      <c r="C729" s="186"/>
      <c r="D729" s="187"/>
    </row>
    <row r="730" spans="3:4" s="5" customFormat="1" ht="15.75" customHeight="1">
      <c r="C730" s="186"/>
      <c r="D730" s="187"/>
    </row>
    <row r="731" spans="3:4" s="5" customFormat="1" ht="15.75" customHeight="1">
      <c r="C731" s="186"/>
      <c r="D731" s="187"/>
    </row>
    <row r="732" spans="3:4" s="5" customFormat="1" ht="15.75" customHeight="1">
      <c r="C732" s="186"/>
      <c r="D732" s="187"/>
    </row>
    <row r="733" spans="3:4" s="5" customFormat="1" ht="15.75" customHeight="1">
      <c r="C733" s="186"/>
      <c r="D733" s="187"/>
    </row>
    <row r="734" spans="3:4" s="5" customFormat="1" ht="15.75" customHeight="1">
      <c r="C734" s="186"/>
      <c r="D734" s="187"/>
    </row>
    <row r="735" spans="3:4" s="5" customFormat="1" ht="15.75" customHeight="1">
      <c r="C735" s="186"/>
      <c r="D735" s="187"/>
    </row>
    <row r="736" spans="3:4" s="5" customFormat="1" ht="15.75" customHeight="1">
      <c r="C736" s="186"/>
      <c r="D736" s="187"/>
    </row>
    <row r="737" spans="3:4" s="5" customFormat="1" ht="15.75" customHeight="1">
      <c r="C737" s="186"/>
      <c r="D737" s="187"/>
    </row>
    <row r="738" spans="3:4" s="5" customFormat="1" ht="15.75" customHeight="1">
      <c r="C738" s="186"/>
      <c r="D738" s="187"/>
    </row>
    <row r="739" spans="3:4" s="5" customFormat="1" ht="15.75" customHeight="1">
      <c r="C739" s="186"/>
      <c r="D739" s="187"/>
    </row>
    <row r="740" spans="3:4" s="5" customFormat="1" ht="15.75" customHeight="1">
      <c r="C740" s="186"/>
      <c r="D740" s="187"/>
    </row>
    <row r="741" spans="3:4" s="5" customFormat="1" ht="15.75" customHeight="1">
      <c r="C741" s="186"/>
      <c r="D741" s="187"/>
    </row>
    <row r="742" spans="3:4" s="5" customFormat="1" ht="15.75" customHeight="1">
      <c r="C742" s="186"/>
      <c r="D742" s="187"/>
    </row>
    <row r="743" spans="3:4" s="5" customFormat="1" ht="15.75" customHeight="1">
      <c r="C743" s="186"/>
      <c r="D743" s="187"/>
    </row>
    <row r="744" spans="3:4" s="5" customFormat="1" ht="15.75" customHeight="1">
      <c r="C744" s="186"/>
      <c r="D744" s="187"/>
    </row>
    <row r="745" spans="3:4" s="5" customFormat="1" ht="15.75" customHeight="1">
      <c r="C745" s="186"/>
      <c r="D745" s="187"/>
    </row>
    <row r="746" spans="3:4" s="5" customFormat="1" ht="15.75" customHeight="1">
      <c r="C746" s="186"/>
      <c r="D746" s="187"/>
    </row>
    <row r="747" spans="3:4" s="5" customFormat="1" ht="15.75" customHeight="1">
      <c r="C747" s="186"/>
      <c r="D747" s="187"/>
    </row>
    <row r="748" spans="3:4" s="5" customFormat="1" ht="15.75" customHeight="1">
      <c r="C748" s="186"/>
      <c r="D748" s="187"/>
    </row>
    <row r="749" spans="3:4" s="5" customFormat="1" ht="15.75" customHeight="1">
      <c r="C749" s="186"/>
      <c r="D749" s="187"/>
    </row>
    <row r="750" spans="3:4" s="5" customFormat="1" ht="15.75" customHeight="1">
      <c r="C750" s="186"/>
      <c r="D750" s="187"/>
    </row>
    <row r="751" spans="3:4" s="5" customFormat="1" ht="15.75" customHeight="1">
      <c r="C751" s="186"/>
      <c r="D751" s="187"/>
    </row>
    <row r="752" spans="3:4" s="5" customFormat="1" ht="15.75" customHeight="1">
      <c r="C752" s="186"/>
      <c r="D752" s="187"/>
    </row>
    <row r="753" spans="3:4" s="5" customFormat="1" ht="15.75" customHeight="1">
      <c r="C753" s="186"/>
      <c r="D753" s="187"/>
    </row>
    <row r="754" spans="3:4" s="5" customFormat="1" ht="15.75" customHeight="1">
      <c r="C754" s="186"/>
      <c r="D754" s="187"/>
    </row>
    <row r="755" spans="3:4" s="5" customFormat="1" ht="15.75" customHeight="1">
      <c r="C755" s="186"/>
      <c r="D755" s="187"/>
    </row>
    <row r="756" spans="3:4" s="5" customFormat="1" ht="15.75" customHeight="1">
      <c r="C756" s="186"/>
      <c r="D756" s="187"/>
    </row>
    <row r="757" spans="3:4" s="5" customFormat="1" ht="15.75" customHeight="1">
      <c r="C757" s="186"/>
      <c r="D757" s="187"/>
    </row>
    <row r="758" spans="3:4" s="5" customFormat="1" ht="15.75" customHeight="1">
      <c r="C758" s="186"/>
      <c r="D758" s="187"/>
    </row>
    <row r="759" spans="3:4" s="5" customFormat="1" ht="15.75" customHeight="1">
      <c r="C759" s="186"/>
      <c r="D759" s="187"/>
    </row>
    <row r="760" spans="3:4" s="5" customFormat="1" ht="15.75" customHeight="1">
      <c r="C760" s="186"/>
      <c r="D760" s="187"/>
    </row>
    <row r="761" spans="3:4" s="5" customFormat="1" ht="15.75" customHeight="1">
      <c r="C761" s="186"/>
      <c r="D761" s="187"/>
    </row>
    <row r="762" spans="3:4" s="5" customFormat="1" ht="15.75" customHeight="1">
      <c r="C762" s="186"/>
      <c r="D762" s="187"/>
    </row>
    <row r="763" spans="3:4" s="5" customFormat="1" ht="15.75" customHeight="1">
      <c r="C763" s="186"/>
      <c r="D763" s="187"/>
    </row>
    <row r="764" spans="3:4" s="5" customFormat="1" ht="15.75" customHeight="1">
      <c r="C764" s="186"/>
      <c r="D764" s="187"/>
    </row>
    <row r="765" spans="3:4" s="5" customFormat="1" ht="15.75" customHeight="1">
      <c r="C765" s="186"/>
      <c r="D765" s="187"/>
    </row>
    <row r="766" spans="3:4" s="5" customFormat="1" ht="15.75" customHeight="1">
      <c r="C766" s="186"/>
      <c r="D766" s="187"/>
    </row>
    <row r="767" spans="3:4" s="5" customFormat="1" ht="15.75" customHeight="1">
      <c r="C767" s="186"/>
      <c r="D767" s="187"/>
    </row>
    <row r="768" spans="3:4" s="5" customFormat="1" ht="15.75" customHeight="1">
      <c r="C768" s="186"/>
      <c r="D768" s="187"/>
    </row>
    <row r="769" spans="3:4" s="5" customFormat="1" ht="15.75" customHeight="1">
      <c r="C769" s="186"/>
      <c r="D769" s="187"/>
    </row>
    <row r="770" spans="3:4" s="5" customFormat="1" ht="15.75" customHeight="1">
      <c r="C770" s="186"/>
      <c r="D770" s="187"/>
    </row>
    <row r="771" spans="3:4" s="5" customFormat="1" ht="15.75" customHeight="1">
      <c r="C771" s="186"/>
      <c r="D771" s="187"/>
    </row>
    <row r="772" spans="3:4" s="5" customFormat="1" ht="15.75" customHeight="1">
      <c r="C772" s="186"/>
      <c r="D772" s="187"/>
    </row>
    <row r="773" spans="3:4" s="5" customFormat="1" ht="15.75" customHeight="1">
      <c r="C773" s="186"/>
      <c r="D773" s="187"/>
    </row>
    <row r="774" spans="3:4" s="5" customFormat="1" ht="15.75" customHeight="1">
      <c r="C774" s="186"/>
      <c r="D774" s="187"/>
    </row>
    <row r="775" spans="3:4" s="5" customFormat="1" ht="15.75" customHeight="1">
      <c r="C775" s="186"/>
      <c r="D775" s="187"/>
    </row>
    <row r="776" spans="3:4" s="5" customFormat="1" ht="15.75" customHeight="1">
      <c r="C776" s="186"/>
      <c r="D776" s="187"/>
    </row>
    <row r="777" spans="3:4" s="5" customFormat="1" ht="15.75" customHeight="1">
      <c r="C777" s="186"/>
      <c r="D777" s="187"/>
    </row>
    <row r="778" spans="3:4" s="5" customFormat="1" ht="15.75" customHeight="1">
      <c r="C778" s="186"/>
      <c r="D778" s="187"/>
    </row>
    <row r="779" spans="3:4" s="5" customFormat="1" ht="15.75" customHeight="1">
      <c r="C779" s="186"/>
      <c r="D779" s="187"/>
    </row>
    <row r="780" spans="3:4" s="5" customFormat="1" ht="15.75" customHeight="1">
      <c r="C780" s="186"/>
      <c r="D780" s="187"/>
    </row>
    <row r="781" spans="3:4" s="5" customFormat="1" ht="15.75" customHeight="1">
      <c r="C781" s="186"/>
      <c r="D781" s="187"/>
    </row>
    <row r="782" spans="3:4" s="5" customFormat="1" ht="15.75" customHeight="1">
      <c r="C782" s="186"/>
      <c r="D782" s="187"/>
    </row>
    <row r="783" spans="3:4" s="5" customFormat="1" ht="15.75" customHeight="1">
      <c r="C783" s="186"/>
      <c r="D783" s="187"/>
    </row>
    <row r="784" spans="3:4" s="5" customFormat="1" ht="15.75" customHeight="1">
      <c r="C784" s="186"/>
      <c r="D784" s="187"/>
    </row>
    <row r="785" spans="3:4" s="5" customFormat="1" ht="15.75" customHeight="1">
      <c r="C785" s="186"/>
      <c r="D785" s="187"/>
    </row>
    <row r="786" spans="3:4" s="5" customFormat="1" ht="15.75" customHeight="1">
      <c r="C786" s="186"/>
      <c r="D786" s="187"/>
    </row>
    <row r="787" spans="3:4" s="5" customFormat="1" ht="15.75" customHeight="1">
      <c r="C787" s="186"/>
      <c r="D787" s="187"/>
    </row>
    <row r="788" spans="3:4" s="5" customFormat="1" ht="15.75" customHeight="1">
      <c r="C788" s="186"/>
      <c r="D788" s="187"/>
    </row>
    <row r="789" spans="3:4" s="5" customFormat="1" ht="15.75" customHeight="1">
      <c r="C789" s="186"/>
      <c r="D789" s="187"/>
    </row>
    <row r="790" spans="3:4" s="5" customFormat="1" ht="15.75" customHeight="1">
      <c r="C790" s="186"/>
      <c r="D790" s="187"/>
    </row>
    <row r="791" spans="3:4" s="5" customFormat="1" ht="15.75" customHeight="1">
      <c r="C791" s="186"/>
      <c r="D791" s="187"/>
    </row>
    <row r="792" spans="3:4" s="5" customFormat="1" ht="15.75" customHeight="1">
      <c r="C792" s="186"/>
      <c r="D792" s="187"/>
    </row>
    <row r="793" spans="3:4" s="5" customFormat="1" ht="15.75" customHeight="1">
      <c r="C793" s="186"/>
      <c r="D793" s="187"/>
    </row>
    <row r="794" spans="3:4" s="5" customFormat="1" ht="15.75" customHeight="1">
      <c r="C794" s="186"/>
      <c r="D794" s="187"/>
    </row>
    <row r="795" spans="3:4" s="5" customFormat="1" ht="15.75" customHeight="1">
      <c r="C795" s="186"/>
      <c r="D795" s="187"/>
    </row>
    <row r="796" spans="3:4" s="5" customFormat="1" ht="15.75" customHeight="1">
      <c r="C796" s="186"/>
      <c r="D796" s="187"/>
    </row>
    <row r="797" spans="3:4" s="5" customFormat="1" ht="15.75" customHeight="1">
      <c r="C797" s="186"/>
      <c r="D797" s="187"/>
    </row>
    <row r="798" spans="3:4" s="5" customFormat="1" ht="15.75" customHeight="1">
      <c r="C798" s="186"/>
      <c r="D798" s="187"/>
    </row>
    <row r="799" spans="3:4" s="5" customFormat="1" ht="15.75" customHeight="1">
      <c r="C799" s="186"/>
      <c r="D799" s="187"/>
    </row>
    <row r="800" spans="3:4" s="5" customFormat="1" ht="15.75" customHeight="1">
      <c r="C800" s="186"/>
      <c r="D800" s="187"/>
    </row>
    <row r="801" spans="3:4" s="5" customFormat="1" ht="15.75" customHeight="1">
      <c r="C801" s="186"/>
      <c r="D801" s="187"/>
    </row>
    <row r="802" spans="3:4" s="5" customFormat="1" ht="15.75" customHeight="1">
      <c r="C802" s="186"/>
      <c r="D802" s="187"/>
    </row>
    <row r="803" spans="3:4" s="5" customFormat="1" ht="15.75" customHeight="1">
      <c r="C803" s="186"/>
      <c r="D803" s="187"/>
    </row>
    <row r="804" spans="3:4" s="5" customFormat="1" ht="15.75" customHeight="1">
      <c r="C804" s="186"/>
      <c r="D804" s="187"/>
    </row>
    <row r="805" spans="3:4" s="5" customFormat="1" ht="15.75" customHeight="1">
      <c r="C805" s="186"/>
      <c r="D805" s="187"/>
    </row>
    <row r="806" spans="3:4" s="5" customFormat="1" ht="15.75" customHeight="1">
      <c r="C806" s="186"/>
      <c r="D806" s="187"/>
    </row>
    <row r="807" spans="3:4" s="5" customFormat="1" ht="15.75" customHeight="1">
      <c r="C807" s="186"/>
      <c r="D807" s="187"/>
    </row>
    <row r="808" spans="3:4" s="5" customFormat="1" ht="15.75" customHeight="1">
      <c r="C808" s="186"/>
      <c r="D808" s="187"/>
    </row>
    <row r="809" spans="3:4" s="5" customFormat="1" ht="15.75" customHeight="1">
      <c r="C809" s="186"/>
      <c r="D809" s="187"/>
    </row>
    <row r="810" spans="3:4" s="5" customFormat="1" ht="15.75" customHeight="1">
      <c r="C810" s="186"/>
      <c r="D810" s="187"/>
    </row>
    <row r="811" spans="3:4" s="5" customFormat="1" ht="15.75" customHeight="1">
      <c r="C811" s="186"/>
      <c r="D811" s="187"/>
    </row>
    <row r="812" spans="3:4" s="5" customFormat="1" ht="15.75" customHeight="1">
      <c r="C812" s="186"/>
      <c r="D812" s="187"/>
    </row>
    <row r="813" spans="3:4" s="5" customFormat="1" ht="15.75" customHeight="1">
      <c r="C813" s="186"/>
      <c r="D813" s="187"/>
    </row>
    <row r="814" spans="3:4" s="5" customFormat="1" ht="15.75" customHeight="1">
      <c r="C814" s="186"/>
      <c r="D814" s="187"/>
    </row>
    <row r="815" spans="3:4" s="5" customFormat="1" ht="15.75" customHeight="1">
      <c r="C815" s="186"/>
      <c r="D815" s="187"/>
    </row>
    <row r="816" spans="3:4" s="5" customFormat="1" ht="15.75" customHeight="1">
      <c r="C816" s="186"/>
      <c r="D816" s="187"/>
    </row>
    <row r="817" spans="3:4" s="5" customFormat="1" ht="15.75" customHeight="1">
      <c r="C817" s="186"/>
      <c r="D817" s="187"/>
    </row>
    <row r="818" spans="3:4" s="5" customFormat="1" ht="15.75" customHeight="1">
      <c r="C818" s="186"/>
      <c r="D818" s="187"/>
    </row>
    <row r="819" spans="3:4" s="5" customFormat="1" ht="15.75" customHeight="1">
      <c r="C819" s="186"/>
      <c r="D819" s="187"/>
    </row>
    <row r="820" spans="3:4" s="5" customFormat="1" ht="15.75" customHeight="1">
      <c r="C820" s="186"/>
      <c r="D820" s="187"/>
    </row>
    <row r="821" spans="3:4" s="5" customFormat="1" ht="15.75" customHeight="1">
      <c r="C821" s="186"/>
      <c r="D821" s="187"/>
    </row>
    <row r="822" spans="3:4" s="5" customFormat="1" ht="15.75" customHeight="1">
      <c r="C822" s="186"/>
      <c r="D822" s="187"/>
    </row>
    <row r="823" spans="3:4" s="5" customFormat="1" ht="15.75" customHeight="1">
      <c r="C823" s="186"/>
      <c r="D823" s="187"/>
    </row>
    <row r="824" spans="3:4" s="5" customFormat="1" ht="15.75" customHeight="1">
      <c r="C824" s="186"/>
      <c r="D824" s="187"/>
    </row>
    <row r="825" spans="3:4" s="5" customFormat="1" ht="15.75" customHeight="1">
      <c r="C825" s="186"/>
      <c r="D825" s="187"/>
    </row>
    <row r="826" spans="3:4" s="5" customFormat="1" ht="15.75" customHeight="1">
      <c r="C826" s="186"/>
      <c r="D826" s="187"/>
    </row>
    <row r="827" spans="3:4" s="5" customFormat="1" ht="15.75" customHeight="1">
      <c r="C827" s="186"/>
      <c r="D827" s="187"/>
    </row>
    <row r="828" spans="3:4" s="5" customFormat="1" ht="15.75" customHeight="1">
      <c r="C828" s="186"/>
      <c r="D828" s="187"/>
    </row>
    <row r="829" spans="3:4" s="5" customFormat="1" ht="15.75" customHeight="1">
      <c r="C829" s="186"/>
      <c r="D829" s="187"/>
    </row>
    <row r="830" spans="3:4" s="5" customFormat="1" ht="15.75" customHeight="1">
      <c r="C830" s="186"/>
      <c r="D830" s="187"/>
    </row>
    <row r="831" spans="3:4" s="5" customFormat="1" ht="15.75" customHeight="1">
      <c r="C831" s="186"/>
      <c r="D831" s="187"/>
    </row>
    <row r="832" spans="3:4" s="5" customFormat="1" ht="15.75" customHeight="1">
      <c r="C832" s="186"/>
      <c r="D832" s="187"/>
    </row>
    <row r="833" spans="3:4" s="5" customFormat="1" ht="15.75" customHeight="1">
      <c r="C833" s="186"/>
      <c r="D833" s="187"/>
    </row>
    <row r="834" spans="3:4" s="5" customFormat="1" ht="15.75" customHeight="1">
      <c r="C834" s="186"/>
      <c r="D834" s="187"/>
    </row>
    <row r="835" spans="3:4" s="5" customFormat="1" ht="15.75" customHeight="1">
      <c r="C835" s="186"/>
      <c r="D835" s="187"/>
    </row>
    <row r="836" spans="3:4" s="5" customFormat="1" ht="15.75" customHeight="1">
      <c r="C836" s="186"/>
      <c r="D836" s="187"/>
    </row>
    <row r="837" spans="3:4" s="5" customFormat="1" ht="15.75" customHeight="1">
      <c r="C837" s="186"/>
      <c r="D837" s="187"/>
    </row>
    <row r="838" spans="3:4" s="5" customFormat="1" ht="15.75" customHeight="1">
      <c r="C838" s="186"/>
      <c r="D838" s="187"/>
    </row>
    <row r="839" spans="3:4" s="5" customFormat="1" ht="15.75" customHeight="1">
      <c r="C839" s="186"/>
      <c r="D839" s="187"/>
    </row>
    <row r="840" spans="3:4" s="5" customFormat="1" ht="15.75" customHeight="1">
      <c r="C840" s="186"/>
      <c r="D840" s="187"/>
    </row>
    <row r="841" spans="3:4" s="5" customFormat="1" ht="15.75" customHeight="1">
      <c r="C841" s="186"/>
      <c r="D841" s="187"/>
    </row>
    <row r="842" spans="3:4" s="5" customFormat="1" ht="15.75" customHeight="1">
      <c r="C842" s="186"/>
      <c r="D842" s="187"/>
    </row>
    <row r="843" spans="3:4" s="5" customFormat="1" ht="15.75" customHeight="1">
      <c r="C843" s="186"/>
      <c r="D843" s="187"/>
    </row>
    <row r="844" spans="3:4" s="5" customFormat="1" ht="15.75" customHeight="1">
      <c r="C844" s="186"/>
      <c r="D844" s="187"/>
    </row>
    <row r="845" spans="3:4" s="5" customFormat="1" ht="15.75" customHeight="1">
      <c r="C845" s="186"/>
      <c r="D845" s="187"/>
    </row>
    <row r="846" spans="3:4" s="5" customFormat="1" ht="15.75" customHeight="1">
      <c r="C846" s="186"/>
      <c r="D846" s="187"/>
    </row>
    <row r="847" spans="3:4" s="5" customFormat="1" ht="15.75" customHeight="1">
      <c r="C847" s="186"/>
      <c r="D847" s="187"/>
    </row>
    <row r="848" spans="3:4" s="5" customFormat="1" ht="15.75" customHeight="1">
      <c r="C848" s="186"/>
      <c r="D848" s="187"/>
    </row>
    <row r="849" spans="3:4" s="5" customFormat="1" ht="15.75" customHeight="1">
      <c r="C849" s="186"/>
      <c r="D849" s="187"/>
    </row>
    <row r="850" spans="3:4" s="5" customFormat="1" ht="15.75" customHeight="1">
      <c r="C850" s="186"/>
      <c r="D850" s="187"/>
    </row>
    <row r="851" spans="3:4" s="5" customFormat="1" ht="15.75" customHeight="1">
      <c r="C851" s="186"/>
      <c r="D851" s="187"/>
    </row>
    <row r="852" spans="3:4" s="5" customFormat="1" ht="15.75" customHeight="1">
      <c r="C852" s="186"/>
      <c r="D852" s="187"/>
    </row>
    <row r="853" spans="3:4" s="5" customFormat="1" ht="15.75" customHeight="1">
      <c r="C853" s="186"/>
      <c r="D853" s="187"/>
    </row>
    <row r="854" spans="3:4" s="5" customFormat="1" ht="15.75" customHeight="1">
      <c r="C854" s="186"/>
      <c r="D854" s="187"/>
    </row>
    <row r="855" spans="3:4" s="5" customFormat="1" ht="15.75" customHeight="1">
      <c r="C855" s="186"/>
      <c r="D855" s="187"/>
    </row>
    <row r="856" spans="3:4" s="5" customFormat="1" ht="15.75" customHeight="1">
      <c r="C856" s="186"/>
      <c r="D856" s="187"/>
    </row>
    <row r="857" spans="3:4" s="5" customFormat="1" ht="15.75" customHeight="1">
      <c r="C857" s="186"/>
      <c r="D857" s="187"/>
    </row>
    <row r="858" spans="3:4" s="5" customFormat="1" ht="15.75" customHeight="1">
      <c r="C858" s="186"/>
      <c r="D858" s="187"/>
    </row>
    <row r="859" spans="3:4" s="5" customFormat="1" ht="15.75" customHeight="1">
      <c r="C859" s="186"/>
      <c r="D859" s="187"/>
    </row>
    <row r="860" spans="3:4" s="5" customFormat="1" ht="15.75" customHeight="1">
      <c r="C860" s="186"/>
      <c r="D860" s="187"/>
    </row>
    <row r="861" spans="3:4" s="5" customFormat="1" ht="15.75" customHeight="1">
      <c r="C861" s="186"/>
      <c r="D861" s="187"/>
    </row>
    <row r="862" spans="3:4" s="5" customFormat="1" ht="15.75" customHeight="1">
      <c r="C862" s="186"/>
      <c r="D862" s="187"/>
    </row>
    <row r="863" spans="3:4" s="5" customFormat="1" ht="15.75" customHeight="1">
      <c r="C863" s="186"/>
      <c r="D863" s="187"/>
    </row>
    <row r="864" spans="3:4" s="5" customFormat="1" ht="15.75" customHeight="1">
      <c r="C864" s="186"/>
      <c r="D864" s="187"/>
    </row>
    <row r="865" spans="3:4" s="5" customFormat="1" ht="15.75" customHeight="1">
      <c r="C865" s="186"/>
      <c r="D865" s="187"/>
    </row>
    <row r="866" spans="3:4" s="5" customFormat="1" ht="15.75" customHeight="1">
      <c r="C866" s="186"/>
      <c r="D866" s="187"/>
    </row>
    <row r="867" spans="3:4" s="5" customFormat="1" ht="15.75" customHeight="1">
      <c r="C867" s="186"/>
      <c r="D867" s="187"/>
    </row>
    <row r="868" spans="3:4" s="5" customFormat="1" ht="15.75" customHeight="1">
      <c r="C868" s="186"/>
      <c r="D868" s="187"/>
    </row>
    <row r="869" spans="3:4" s="5" customFormat="1" ht="15.75" customHeight="1">
      <c r="C869" s="186"/>
      <c r="D869" s="187"/>
    </row>
    <row r="870" spans="3:4" s="5" customFormat="1" ht="15.75" customHeight="1">
      <c r="C870" s="186"/>
      <c r="D870" s="187"/>
    </row>
    <row r="871" spans="3:4" s="5" customFormat="1" ht="15.75" customHeight="1">
      <c r="C871" s="186"/>
      <c r="D871" s="187"/>
    </row>
    <row r="872" spans="3:4" s="5" customFormat="1" ht="15.75" customHeight="1">
      <c r="C872" s="186"/>
      <c r="D872" s="187"/>
    </row>
    <row r="873" spans="3:4" s="5" customFormat="1" ht="15.75" customHeight="1">
      <c r="C873" s="186"/>
      <c r="D873" s="187"/>
    </row>
    <row r="874" spans="3:4" s="5" customFormat="1" ht="15.75" customHeight="1">
      <c r="C874" s="186"/>
      <c r="D874" s="187"/>
    </row>
    <row r="875" spans="3:4" s="5" customFormat="1" ht="15.75" customHeight="1">
      <c r="C875" s="186"/>
      <c r="D875" s="187"/>
    </row>
    <row r="876" spans="3:4" s="5" customFormat="1" ht="15.75" customHeight="1">
      <c r="C876" s="186"/>
      <c r="D876" s="187"/>
    </row>
    <row r="877" spans="3:4" s="5" customFormat="1" ht="15.75" customHeight="1">
      <c r="C877" s="186"/>
      <c r="D877" s="187"/>
    </row>
    <row r="878" spans="3:4" s="5" customFormat="1" ht="15.75" customHeight="1">
      <c r="C878" s="186"/>
      <c r="D878" s="187"/>
    </row>
    <row r="879" spans="3:4" s="5" customFormat="1" ht="15.75" customHeight="1">
      <c r="C879" s="186"/>
      <c r="D879" s="187"/>
    </row>
    <row r="880" spans="3:4" s="5" customFormat="1" ht="15.75" customHeight="1">
      <c r="C880" s="186"/>
      <c r="D880" s="187"/>
    </row>
    <row r="881" spans="3:4" s="5" customFormat="1" ht="15.75" customHeight="1">
      <c r="C881" s="186"/>
      <c r="D881" s="187"/>
    </row>
    <row r="882" spans="3:4" s="5" customFormat="1" ht="15.75" customHeight="1">
      <c r="C882" s="186"/>
      <c r="D882" s="187"/>
    </row>
    <row r="883" spans="3:4" s="5" customFormat="1" ht="15.75" customHeight="1">
      <c r="C883" s="186"/>
      <c r="D883" s="187"/>
    </row>
    <row r="884" spans="3:4" s="5" customFormat="1" ht="15.75" customHeight="1">
      <c r="C884" s="186"/>
      <c r="D884" s="187"/>
    </row>
    <row r="885" spans="3:4" s="5" customFormat="1" ht="15.75" customHeight="1">
      <c r="C885" s="186"/>
      <c r="D885" s="187"/>
    </row>
    <row r="886" spans="3:4" s="5" customFormat="1" ht="15.75" customHeight="1">
      <c r="C886" s="186"/>
      <c r="D886" s="187"/>
    </row>
    <row r="887" spans="3:4" s="5" customFormat="1" ht="15.75" customHeight="1">
      <c r="C887" s="186"/>
      <c r="D887" s="187"/>
    </row>
    <row r="888" spans="3:4" s="5" customFormat="1" ht="15.75" customHeight="1">
      <c r="C888" s="186"/>
      <c r="D888" s="187"/>
    </row>
    <row r="889" spans="3:4" s="5" customFormat="1" ht="15.75" customHeight="1">
      <c r="C889" s="186"/>
      <c r="D889" s="187"/>
    </row>
    <row r="890" spans="3:4" s="5" customFormat="1" ht="15.75" customHeight="1">
      <c r="C890" s="186"/>
      <c r="D890" s="187"/>
    </row>
    <row r="891" spans="3:4" s="5" customFormat="1" ht="15.75" customHeight="1">
      <c r="C891" s="186"/>
      <c r="D891" s="187"/>
    </row>
    <row r="892" spans="3:4" s="5" customFormat="1" ht="15.75" customHeight="1">
      <c r="C892" s="186"/>
      <c r="D892" s="187"/>
    </row>
    <row r="893" spans="3:4" s="5" customFormat="1" ht="15.75" customHeight="1">
      <c r="C893" s="186"/>
      <c r="D893" s="187"/>
    </row>
    <row r="894" spans="3:4" s="5" customFormat="1" ht="15.75" customHeight="1">
      <c r="C894" s="186"/>
      <c r="D894" s="187"/>
    </row>
    <row r="895" spans="3:4" s="5" customFormat="1" ht="15.75" customHeight="1">
      <c r="C895" s="186"/>
      <c r="D895" s="187"/>
    </row>
    <row r="896" spans="3:4" s="5" customFormat="1" ht="15.75" customHeight="1">
      <c r="C896" s="186"/>
      <c r="D896" s="187"/>
    </row>
    <row r="897" spans="3:4" s="5" customFormat="1" ht="15.75" customHeight="1">
      <c r="C897" s="186"/>
      <c r="D897" s="187"/>
    </row>
    <row r="898" spans="3:4" s="5" customFormat="1" ht="15.75" customHeight="1">
      <c r="C898" s="186"/>
      <c r="D898" s="187"/>
    </row>
    <row r="899" spans="3:4" s="5" customFormat="1" ht="15.75" customHeight="1">
      <c r="C899" s="186"/>
      <c r="D899" s="187"/>
    </row>
    <row r="900" spans="3:4" s="5" customFormat="1" ht="15.75" customHeight="1">
      <c r="C900" s="186"/>
      <c r="D900" s="187"/>
    </row>
    <row r="901" spans="3:4" s="5" customFormat="1" ht="15.75" customHeight="1">
      <c r="C901" s="186"/>
      <c r="D901" s="187"/>
    </row>
    <row r="902" spans="3:4" s="5" customFormat="1" ht="15.75" customHeight="1">
      <c r="C902" s="186"/>
      <c r="D902" s="187"/>
    </row>
    <row r="903" spans="3:4" s="5" customFormat="1" ht="15.75" customHeight="1">
      <c r="C903" s="186"/>
      <c r="D903" s="187"/>
    </row>
    <row r="904" spans="3:4" s="5" customFormat="1" ht="15.75" customHeight="1">
      <c r="C904" s="186"/>
      <c r="D904" s="187"/>
    </row>
    <row r="905" spans="3:4" s="5" customFormat="1" ht="15.75" customHeight="1">
      <c r="C905" s="186"/>
      <c r="D905" s="187"/>
    </row>
    <row r="906" spans="3:4" s="5" customFormat="1" ht="15.75" customHeight="1">
      <c r="C906" s="186"/>
      <c r="D906" s="187"/>
    </row>
    <row r="907" spans="3:4" s="5" customFormat="1" ht="15.75" customHeight="1">
      <c r="C907" s="186"/>
      <c r="D907" s="187"/>
    </row>
    <row r="908" spans="3:4" s="5" customFormat="1" ht="15.75" customHeight="1">
      <c r="C908" s="186"/>
      <c r="D908" s="187"/>
    </row>
    <row r="909" spans="3:4" s="5" customFormat="1" ht="15.75" customHeight="1">
      <c r="C909" s="186"/>
      <c r="D909" s="187"/>
    </row>
    <row r="910" spans="3:4" s="5" customFormat="1" ht="15.75" customHeight="1">
      <c r="C910" s="186"/>
      <c r="D910" s="187"/>
    </row>
    <row r="911" spans="3:4" s="5" customFormat="1" ht="15.75" customHeight="1">
      <c r="C911" s="186"/>
      <c r="D911" s="187"/>
    </row>
    <row r="912" spans="3:4" s="5" customFormat="1" ht="15.75" customHeight="1">
      <c r="C912" s="186"/>
      <c r="D912" s="187"/>
    </row>
    <row r="913" spans="3:4" s="5" customFormat="1" ht="15.75" customHeight="1">
      <c r="C913" s="186"/>
      <c r="D913" s="187"/>
    </row>
    <row r="914" spans="3:4" s="5" customFormat="1" ht="15.75" customHeight="1">
      <c r="C914" s="186"/>
      <c r="D914" s="187"/>
    </row>
    <row r="915" spans="3:4" s="5" customFormat="1" ht="15.75" customHeight="1">
      <c r="C915" s="186"/>
      <c r="D915" s="187"/>
    </row>
    <row r="916" spans="3:4" s="5" customFormat="1" ht="15.75" customHeight="1">
      <c r="C916" s="186"/>
      <c r="D916" s="187"/>
    </row>
    <row r="917" spans="3:4" s="5" customFormat="1" ht="15.75" customHeight="1">
      <c r="C917" s="186"/>
      <c r="D917" s="187"/>
    </row>
    <row r="918" spans="3:4" s="5" customFormat="1" ht="15.75" customHeight="1">
      <c r="C918" s="186"/>
      <c r="D918" s="187"/>
    </row>
    <row r="919" spans="3:4" s="5" customFormat="1" ht="15.75" customHeight="1">
      <c r="C919" s="186"/>
      <c r="D919" s="187"/>
    </row>
    <row r="920" spans="3:4" s="5" customFormat="1" ht="15.75" customHeight="1">
      <c r="C920" s="186"/>
      <c r="D920" s="187"/>
    </row>
    <row r="921" spans="3:4" s="5" customFormat="1" ht="15.75" customHeight="1">
      <c r="C921" s="186"/>
      <c r="D921" s="187"/>
    </row>
    <row r="922" spans="3:4" s="5" customFormat="1" ht="15.75" customHeight="1">
      <c r="C922" s="186"/>
      <c r="D922" s="187"/>
    </row>
    <row r="923" spans="3:4" s="5" customFormat="1" ht="15.75" customHeight="1">
      <c r="C923" s="186"/>
      <c r="D923" s="187"/>
    </row>
    <row r="924" spans="3:4" s="5" customFormat="1" ht="15.75" customHeight="1">
      <c r="C924" s="186"/>
      <c r="D924" s="187"/>
    </row>
    <row r="925" spans="3:4" s="5" customFormat="1" ht="15.75" customHeight="1">
      <c r="C925" s="186"/>
      <c r="D925" s="187"/>
    </row>
    <row r="926" spans="3:4" s="5" customFormat="1" ht="15.75" customHeight="1">
      <c r="C926" s="186"/>
      <c r="D926" s="187"/>
    </row>
    <row r="927" spans="3:4" s="5" customFormat="1" ht="15.75" customHeight="1">
      <c r="C927" s="186"/>
      <c r="D927" s="187"/>
    </row>
    <row r="928" spans="3:4" s="5" customFormat="1" ht="15.75" customHeight="1">
      <c r="C928" s="186"/>
      <c r="D928" s="187"/>
    </row>
    <row r="929" spans="3:4" s="5" customFormat="1" ht="15.75" customHeight="1">
      <c r="C929" s="186"/>
      <c r="D929" s="187"/>
    </row>
    <row r="930" spans="3:4" s="5" customFormat="1" ht="15.75" customHeight="1">
      <c r="C930" s="186"/>
      <c r="D930" s="187"/>
    </row>
    <row r="931" spans="3:4" s="5" customFormat="1" ht="15.75" customHeight="1">
      <c r="C931" s="186"/>
      <c r="D931" s="187"/>
    </row>
    <row r="932" spans="3:4" s="5" customFormat="1" ht="15.75" customHeight="1">
      <c r="C932" s="186"/>
      <c r="D932" s="187"/>
    </row>
    <row r="933" spans="3:4" s="5" customFormat="1" ht="15.75" customHeight="1">
      <c r="C933" s="186"/>
      <c r="D933" s="187"/>
    </row>
    <row r="934" spans="3:4" s="5" customFormat="1" ht="15.75" customHeight="1">
      <c r="C934" s="186"/>
      <c r="D934" s="187"/>
    </row>
    <row r="935" spans="3:4" s="5" customFormat="1" ht="15.75" customHeight="1">
      <c r="C935" s="186"/>
      <c r="D935" s="187"/>
    </row>
    <row r="936" spans="3:4" s="5" customFormat="1" ht="15.75" customHeight="1">
      <c r="C936" s="186"/>
      <c r="D936" s="187"/>
    </row>
    <row r="937" spans="3:4" s="5" customFormat="1" ht="15.75" customHeight="1">
      <c r="C937" s="186"/>
      <c r="D937" s="187"/>
    </row>
    <row r="938" spans="3:4" s="5" customFormat="1" ht="15.75" customHeight="1">
      <c r="C938" s="186"/>
      <c r="D938" s="187"/>
    </row>
    <row r="939" spans="3:4" s="5" customFormat="1" ht="15.75" customHeight="1">
      <c r="C939" s="186"/>
      <c r="D939" s="187"/>
    </row>
    <row r="940" spans="3:4" s="5" customFormat="1" ht="15.75" customHeight="1">
      <c r="C940" s="186"/>
      <c r="D940" s="187"/>
    </row>
    <row r="941" spans="3:4" s="5" customFormat="1" ht="15.75" customHeight="1">
      <c r="C941" s="186"/>
      <c r="D941" s="187"/>
    </row>
    <row r="942" spans="3:4" s="5" customFormat="1" ht="15.75" customHeight="1">
      <c r="C942" s="186"/>
      <c r="D942" s="187"/>
    </row>
    <row r="943" spans="3:4" s="5" customFormat="1" ht="15.75" customHeight="1">
      <c r="C943" s="186"/>
      <c r="D943" s="187"/>
    </row>
    <row r="944" spans="3:4" s="5" customFormat="1" ht="15.75" customHeight="1">
      <c r="C944" s="186"/>
      <c r="D944" s="187"/>
    </row>
    <row r="945" spans="3:4" s="5" customFormat="1" ht="15.75" customHeight="1">
      <c r="C945" s="186"/>
      <c r="D945" s="187"/>
    </row>
    <row r="946" spans="3:4" s="5" customFormat="1" ht="15.75" customHeight="1">
      <c r="C946" s="186"/>
      <c r="D946" s="187"/>
    </row>
    <row r="947" spans="3:4" s="5" customFormat="1" ht="15.75" customHeight="1">
      <c r="C947" s="186"/>
      <c r="D947" s="187"/>
    </row>
    <row r="948" spans="3:4" s="5" customFormat="1" ht="15.75" customHeight="1">
      <c r="C948" s="186"/>
      <c r="D948" s="187"/>
    </row>
    <row r="949" spans="3:4" s="5" customFormat="1" ht="15.75" customHeight="1">
      <c r="C949" s="186"/>
      <c r="D949" s="187"/>
    </row>
    <row r="950" spans="3:4" s="5" customFormat="1" ht="15.75" customHeight="1">
      <c r="C950" s="186"/>
      <c r="D950" s="187"/>
    </row>
    <row r="951" spans="3:4" s="5" customFormat="1" ht="15.75" customHeight="1">
      <c r="C951" s="186"/>
      <c r="D951" s="187"/>
    </row>
    <row r="952" spans="3:4" s="5" customFormat="1" ht="15.75" customHeight="1">
      <c r="C952" s="186"/>
      <c r="D952" s="187"/>
    </row>
    <row r="953" spans="3:4" s="5" customFormat="1" ht="15.75" customHeight="1">
      <c r="C953" s="186"/>
      <c r="D953" s="187"/>
    </row>
    <row r="954" spans="3:4" s="5" customFormat="1" ht="15.75" customHeight="1">
      <c r="C954" s="186"/>
      <c r="D954" s="187"/>
    </row>
    <row r="955" spans="3:4" s="5" customFormat="1" ht="15.75" customHeight="1">
      <c r="C955" s="186"/>
      <c r="D955" s="187"/>
    </row>
    <row r="956" spans="3:4" s="5" customFormat="1" ht="15.75" customHeight="1">
      <c r="C956" s="186"/>
      <c r="D956" s="187"/>
    </row>
    <row r="957" spans="3:4" s="5" customFormat="1" ht="15.75" customHeight="1">
      <c r="C957" s="186"/>
      <c r="D957" s="187"/>
    </row>
    <row r="958" spans="3:4" s="5" customFormat="1" ht="15.75" customHeight="1">
      <c r="C958" s="186"/>
      <c r="D958" s="187"/>
    </row>
    <row r="959" spans="3:4" s="5" customFormat="1" ht="15.75" customHeight="1">
      <c r="C959" s="186"/>
      <c r="D959" s="187"/>
    </row>
    <row r="960" spans="3:4" s="5" customFormat="1" ht="15.75" customHeight="1">
      <c r="C960" s="186"/>
      <c r="D960" s="187"/>
    </row>
    <row r="961" spans="3:4" s="5" customFormat="1" ht="15.75" customHeight="1">
      <c r="C961" s="186"/>
      <c r="D961" s="187"/>
    </row>
    <row r="962" spans="3:4" s="5" customFormat="1" ht="15.75" customHeight="1">
      <c r="C962" s="186"/>
      <c r="D962" s="187"/>
    </row>
    <row r="963" spans="3:4" s="5" customFormat="1" ht="15.75" customHeight="1">
      <c r="C963" s="186"/>
      <c r="D963" s="187"/>
    </row>
    <row r="964" spans="3:4" s="5" customFormat="1" ht="15.75" customHeight="1">
      <c r="C964" s="186"/>
      <c r="D964" s="187"/>
    </row>
    <row r="965" spans="3:4" s="5" customFormat="1" ht="15.75" customHeight="1">
      <c r="C965" s="186"/>
      <c r="D965" s="187"/>
    </row>
    <row r="966" spans="3:4" s="5" customFormat="1" ht="15.75" customHeight="1">
      <c r="C966" s="186"/>
      <c r="D966" s="187"/>
    </row>
    <row r="967" spans="3:4" s="5" customFormat="1" ht="15.75" customHeight="1">
      <c r="C967" s="186"/>
      <c r="D967" s="187"/>
    </row>
    <row r="968" spans="3:4" s="5" customFormat="1" ht="15.75" customHeight="1">
      <c r="C968" s="186"/>
      <c r="D968" s="187"/>
    </row>
    <row r="969" spans="3:4" s="5" customFormat="1" ht="15.75" customHeight="1">
      <c r="C969" s="186"/>
      <c r="D969" s="187"/>
    </row>
    <row r="970" spans="3:4" s="5" customFormat="1" ht="15.75" customHeight="1">
      <c r="C970" s="186"/>
      <c r="D970" s="187"/>
    </row>
    <row r="971" spans="3:4" s="5" customFormat="1" ht="15.75" customHeight="1">
      <c r="C971" s="186"/>
      <c r="D971" s="187"/>
    </row>
    <row r="972" spans="3:4" s="5" customFormat="1" ht="15.75" customHeight="1">
      <c r="C972" s="186"/>
      <c r="D972" s="187"/>
    </row>
    <row r="973" spans="3:4" s="5" customFormat="1" ht="15.75" customHeight="1">
      <c r="C973" s="186"/>
      <c r="D973" s="187"/>
    </row>
    <row r="974" spans="3:4" s="5" customFormat="1" ht="15.75" customHeight="1">
      <c r="C974" s="186"/>
      <c r="D974" s="187"/>
    </row>
    <row r="975" spans="3:4" s="5" customFormat="1" ht="15.75" customHeight="1">
      <c r="C975" s="186"/>
      <c r="D975" s="187"/>
    </row>
    <row r="976" spans="3:4" s="5" customFormat="1" ht="15.75" customHeight="1">
      <c r="C976" s="186"/>
      <c r="D976" s="187"/>
    </row>
    <row r="977" spans="3:4" s="5" customFormat="1" ht="15.75" customHeight="1">
      <c r="C977" s="186"/>
      <c r="D977" s="187"/>
    </row>
    <row r="978" spans="3:4" s="5" customFormat="1" ht="15.75" customHeight="1">
      <c r="C978" s="186"/>
      <c r="D978" s="187"/>
    </row>
    <row r="979" spans="3:4" s="5" customFormat="1" ht="15.75" customHeight="1">
      <c r="C979" s="186"/>
      <c r="D979" s="187"/>
    </row>
    <row r="980" spans="3:4" s="5" customFormat="1" ht="15.75" customHeight="1">
      <c r="C980" s="186"/>
      <c r="D980" s="187"/>
    </row>
    <row r="981" spans="3:4" s="5" customFormat="1" ht="15.75" customHeight="1">
      <c r="C981" s="186"/>
      <c r="D981" s="187"/>
    </row>
    <row r="982" spans="3:4" s="5" customFormat="1" ht="15.75" customHeight="1">
      <c r="C982" s="186"/>
      <c r="D982" s="187"/>
    </row>
    <row r="983" spans="3:4" s="5" customFormat="1" ht="15.75" customHeight="1">
      <c r="C983" s="186"/>
      <c r="D983" s="187"/>
    </row>
    <row r="984" spans="3:4" s="5" customFormat="1" ht="15.75" customHeight="1">
      <c r="C984" s="186"/>
      <c r="D984" s="187"/>
    </row>
    <row r="985" spans="3:4" s="5" customFormat="1" ht="15.75" customHeight="1">
      <c r="C985" s="186"/>
      <c r="D985" s="187"/>
    </row>
    <row r="986" spans="3:4" s="5" customFormat="1" ht="15.75" customHeight="1">
      <c r="C986" s="186"/>
      <c r="D986" s="187"/>
    </row>
    <row r="987" spans="3:4" s="5" customFormat="1" ht="15.75" customHeight="1">
      <c r="C987" s="186"/>
      <c r="D987" s="187"/>
    </row>
    <row r="988" spans="3:4" s="5" customFormat="1" ht="15.75" customHeight="1">
      <c r="C988" s="186"/>
      <c r="D988" s="187"/>
    </row>
    <row r="989" spans="3:4" s="5" customFormat="1" ht="15.75" customHeight="1">
      <c r="C989" s="186"/>
      <c r="D989" s="187"/>
    </row>
    <row r="990" spans="3:4" s="5" customFormat="1" ht="15.75" customHeight="1">
      <c r="C990" s="186"/>
      <c r="D990" s="187"/>
    </row>
    <row r="991" spans="3:4" s="5" customFormat="1" ht="15.75" customHeight="1">
      <c r="C991" s="186"/>
      <c r="D991" s="187"/>
    </row>
    <row r="992" spans="3:4" s="5" customFormat="1" ht="15.75" customHeight="1">
      <c r="C992" s="186"/>
      <c r="D992" s="187"/>
    </row>
    <row r="993" spans="3:4" s="5" customFormat="1" ht="15.75" customHeight="1">
      <c r="C993" s="186"/>
      <c r="D993" s="187"/>
    </row>
    <row r="994" spans="3:4" s="5" customFormat="1" ht="15.75" customHeight="1">
      <c r="C994" s="186"/>
      <c r="D994" s="187"/>
    </row>
    <row r="995" spans="3:4" s="5" customFormat="1" ht="15.75" customHeight="1">
      <c r="C995" s="186"/>
      <c r="D995" s="187"/>
    </row>
    <row r="996" spans="3:4" s="5" customFormat="1" ht="15.75" customHeight="1">
      <c r="C996" s="186"/>
      <c r="D996" s="187"/>
    </row>
    <row r="997" spans="3:4" s="5" customFormat="1" ht="15.75" customHeight="1">
      <c r="C997" s="186"/>
      <c r="D997" s="187"/>
    </row>
    <row r="998" spans="3:4" s="5" customFormat="1" ht="15.75" customHeight="1">
      <c r="C998" s="186"/>
      <c r="D998" s="187"/>
    </row>
    <row r="999" spans="3:4" s="5" customFormat="1" ht="15.75" customHeight="1">
      <c r="C999" s="186"/>
      <c r="D999" s="187"/>
    </row>
    <row r="1000" spans="3:4" s="5" customFormat="1" ht="15.75" customHeight="1">
      <c r="C1000" s="186"/>
      <c r="D1000" s="187"/>
    </row>
  </sheetData>
  <mergeCells count="10">
    <mergeCell ref="Z3:AG3"/>
    <mergeCell ref="AH3:AL3"/>
    <mergeCell ref="AM3:AT3"/>
    <mergeCell ref="E40:L44"/>
    <mergeCell ref="M40:T44"/>
    <mergeCell ref="Z40:AG44"/>
    <mergeCell ref="B3:B4"/>
    <mergeCell ref="E3:L3"/>
    <mergeCell ref="M3:T3"/>
    <mergeCell ref="U3:Y3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A5F55-950E-5040-A159-4D81ADF8C168}">
  <dimension ref="A1:AX1000"/>
  <sheetViews>
    <sheetView tabSelected="1" workbookViewId="0">
      <selection sqref="A1:XFD1048576"/>
    </sheetView>
  </sheetViews>
  <sheetFormatPr baseColWidth="10" defaultColWidth="10.28515625" defaultRowHeight="15" customHeight="1"/>
  <cols>
    <col min="1" max="2" width="9.28515625" style="5" customWidth="1"/>
    <col min="3" max="3" width="13.28515625" style="186" customWidth="1"/>
    <col min="4" max="4" width="4.7109375" style="187" customWidth="1"/>
    <col min="5" max="5" width="3.42578125" style="5" customWidth="1"/>
    <col min="6" max="7" width="6.28515625" style="5" customWidth="1"/>
    <col min="8" max="8" width="9.7109375" style="5" customWidth="1"/>
    <col min="9" max="9" width="6.28515625" style="5" customWidth="1"/>
    <col min="10" max="10" width="6.85546875" style="5" customWidth="1"/>
    <col min="11" max="11" width="8.28515625" style="5" customWidth="1"/>
    <col min="12" max="12" width="6.28515625" style="5" customWidth="1"/>
    <col min="13" max="13" width="3.28515625" style="5" customWidth="1"/>
    <col min="14" max="14" width="6.28515625" style="5" customWidth="1"/>
    <col min="15" max="15" width="7.85546875" style="5" bestFit="1" customWidth="1"/>
    <col min="16" max="16" width="9.7109375" style="5" customWidth="1"/>
    <col min="17" max="18" width="6.28515625" style="5" customWidth="1"/>
    <col min="19" max="19" width="10.28515625" style="5"/>
    <col min="20" max="20" width="6.28515625" style="5" customWidth="1"/>
    <col min="21" max="21" width="6.5703125" style="5" bestFit="1" customWidth="1"/>
    <col min="22" max="22" width="7.85546875" style="5" bestFit="1" customWidth="1"/>
    <col min="23" max="23" width="6.28515625" style="5" customWidth="1"/>
    <col min="24" max="24" width="7" style="5" customWidth="1"/>
    <col min="25" max="25" width="6.28515625" style="5" customWidth="1"/>
    <col min="26" max="26" width="3.85546875" style="5" customWidth="1"/>
    <col min="27" max="29" width="6.28515625" style="5" customWidth="1"/>
    <col min="30" max="30" width="7.85546875" style="5" bestFit="1" customWidth="1"/>
    <col min="31" max="31" width="6.28515625" style="5" customWidth="1"/>
    <col min="32" max="32" width="9.7109375" style="5" bestFit="1" customWidth="1"/>
    <col min="33" max="33" width="9.42578125" style="5" bestFit="1" customWidth="1"/>
    <col min="34" max="36" width="6.28515625" style="5" customWidth="1"/>
    <col min="37" max="37" width="11.28515625" style="5" customWidth="1"/>
    <col min="38" max="49" width="9.28515625" style="5" customWidth="1"/>
    <col min="50" max="16384" width="10.28515625" style="5"/>
  </cols>
  <sheetData>
    <row r="1" spans="1:50" ht="13.5" customHeight="1">
      <c r="A1" s="1" t="s">
        <v>0</v>
      </c>
      <c r="B1" s="2"/>
      <c r="C1" s="12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3"/>
      <c r="AW1" s="4"/>
    </row>
    <row r="2" spans="1:50" ht="13.5" customHeight="1">
      <c r="A2" s="124">
        <v>2024</v>
      </c>
      <c r="B2" s="125">
        <v>12</v>
      </c>
      <c r="C2" s="126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3"/>
      <c r="T2" s="3"/>
      <c r="U2" s="3"/>
      <c r="V2" s="3"/>
      <c r="W2" s="3"/>
      <c r="X2" s="3"/>
      <c r="Y2" s="3" t="s">
        <v>1</v>
      </c>
      <c r="Z2" s="8"/>
      <c r="AA2" s="8"/>
      <c r="AB2" s="8"/>
      <c r="AC2" s="8"/>
      <c r="AD2" s="8"/>
      <c r="AE2" s="8"/>
      <c r="AF2" s="3"/>
      <c r="AG2" s="3"/>
      <c r="AH2" s="3"/>
      <c r="AI2" s="3"/>
      <c r="AJ2" s="3"/>
      <c r="AK2" s="3"/>
      <c r="AL2" s="3" t="s">
        <v>1</v>
      </c>
      <c r="AM2" s="3"/>
      <c r="AN2" s="3"/>
      <c r="AO2" s="3"/>
      <c r="AP2" s="3"/>
      <c r="AQ2" s="3"/>
      <c r="AR2" s="3"/>
      <c r="AS2" s="3"/>
      <c r="AT2" s="3"/>
      <c r="AU2" s="4"/>
      <c r="AV2" s="3"/>
      <c r="AW2" s="4"/>
    </row>
    <row r="3" spans="1:50" ht="33" customHeight="1">
      <c r="A3" s="6"/>
      <c r="B3" s="9" t="s">
        <v>2</v>
      </c>
      <c r="C3" s="127"/>
      <c r="D3" s="128"/>
      <c r="E3" s="129" t="s">
        <v>3</v>
      </c>
      <c r="F3" s="10"/>
      <c r="G3" s="10"/>
      <c r="H3" s="10"/>
      <c r="I3" s="10"/>
      <c r="J3" s="10"/>
      <c r="K3" s="10"/>
      <c r="L3" s="10"/>
      <c r="M3" s="130" t="s">
        <v>4</v>
      </c>
      <c r="N3" s="10"/>
      <c r="O3" s="10"/>
      <c r="P3" s="10"/>
      <c r="Q3" s="10"/>
      <c r="R3" s="10"/>
      <c r="S3" s="10"/>
      <c r="T3" s="10"/>
      <c r="U3" s="11" t="s">
        <v>5</v>
      </c>
      <c r="V3" s="12"/>
      <c r="W3" s="12"/>
      <c r="X3" s="12"/>
      <c r="Y3" s="13"/>
      <c r="Z3" s="14" t="s">
        <v>6</v>
      </c>
      <c r="AA3" s="10"/>
      <c r="AB3" s="10"/>
      <c r="AC3" s="10"/>
      <c r="AD3" s="10"/>
      <c r="AE3" s="10"/>
      <c r="AF3" s="10"/>
      <c r="AG3" s="10"/>
      <c r="AH3" s="11" t="s">
        <v>77</v>
      </c>
      <c r="AI3" s="190"/>
      <c r="AJ3" s="190"/>
      <c r="AK3" s="190"/>
      <c r="AL3" s="190"/>
      <c r="AM3" s="191"/>
      <c r="AN3" s="15" t="s">
        <v>8</v>
      </c>
      <c r="AO3" s="12"/>
      <c r="AP3" s="12"/>
      <c r="AQ3" s="12"/>
      <c r="AR3" s="12"/>
      <c r="AS3" s="12"/>
      <c r="AT3" s="12"/>
      <c r="AU3" s="13"/>
      <c r="AV3" s="3"/>
      <c r="AW3" s="4"/>
    </row>
    <row r="4" spans="1:50" ht="53.25" customHeight="1" thickBot="1">
      <c r="A4" s="6"/>
      <c r="B4" s="16"/>
      <c r="C4" s="131" t="s">
        <v>9</v>
      </c>
      <c r="D4" s="132" t="s">
        <v>59</v>
      </c>
      <c r="E4" s="19" t="s">
        <v>10</v>
      </c>
      <c r="F4" s="18" t="s">
        <v>11</v>
      </c>
      <c r="G4" s="17" t="s">
        <v>12</v>
      </c>
      <c r="H4" s="19" t="s">
        <v>13</v>
      </c>
      <c r="I4" s="17" t="s">
        <v>14</v>
      </c>
      <c r="J4" s="20" t="s">
        <v>15</v>
      </c>
      <c r="K4" s="18" t="s">
        <v>16</v>
      </c>
      <c r="L4" s="17" t="s">
        <v>17</v>
      </c>
      <c r="M4" s="17" t="s">
        <v>18</v>
      </c>
      <c r="N4" s="21" t="s">
        <v>11</v>
      </c>
      <c r="O4" s="17" t="s">
        <v>12</v>
      </c>
      <c r="P4" s="19" t="s">
        <v>13</v>
      </c>
      <c r="Q4" s="17" t="s">
        <v>14</v>
      </c>
      <c r="R4" s="20" t="s">
        <v>15</v>
      </c>
      <c r="S4" s="18" t="s">
        <v>16</v>
      </c>
      <c r="T4" s="22" t="s">
        <v>17</v>
      </c>
      <c r="U4" s="23" t="s">
        <v>19</v>
      </c>
      <c r="V4" s="24" t="s">
        <v>20</v>
      </c>
      <c r="W4" s="24" t="s">
        <v>21</v>
      </c>
      <c r="X4" s="25" t="s">
        <v>22</v>
      </c>
      <c r="Y4" s="24"/>
      <c r="Z4" s="26" t="s">
        <v>23</v>
      </c>
      <c r="AA4" s="27" t="s">
        <v>11</v>
      </c>
      <c r="AB4" s="17" t="s">
        <v>20</v>
      </c>
      <c r="AC4" s="19" t="s">
        <v>24</v>
      </c>
      <c r="AD4" s="17" t="s">
        <v>21</v>
      </c>
      <c r="AE4" s="20" t="s">
        <v>25</v>
      </c>
      <c r="AF4" s="21" t="s">
        <v>26</v>
      </c>
      <c r="AG4" s="28" t="s">
        <v>17</v>
      </c>
      <c r="AH4" s="23" t="s">
        <v>19</v>
      </c>
      <c r="AI4" s="24" t="s">
        <v>20</v>
      </c>
      <c r="AJ4" s="24" t="s">
        <v>21</v>
      </c>
      <c r="AK4" s="25" t="s">
        <v>22</v>
      </c>
      <c r="AL4" s="24" t="s">
        <v>78</v>
      </c>
      <c r="AM4" s="24" t="s">
        <v>79</v>
      </c>
      <c r="AN4" s="29" t="s">
        <v>28</v>
      </c>
      <c r="AO4" s="29" t="s">
        <v>29</v>
      </c>
      <c r="AP4" s="29" t="s">
        <v>30</v>
      </c>
      <c r="AQ4" s="29" t="s">
        <v>31</v>
      </c>
      <c r="AR4" s="29" t="s">
        <v>32</v>
      </c>
      <c r="AS4" s="29" t="s">
        <v>33</v>
      </c>
      <c r="AT4" s="29" t="s">
        <v>34</v>
      </c>
      <c r="AU4" s="30" t="s">
        <v>35</v>
      </c>
      <c r="AV4" s="3"/>
      <c r="AW4" s="4"/>
    </row>
    <row r="5" spans="1:50" ht="13.5" customHeight="1" thickTop="1">
      <c r="A5" s="121"/>
      <c r="B5" s="192">
        <f>DATE($A$2,$B$2,1)</f>
        <v>45627</v>
      </c>
      <c r="C5" s="134"/>
      <c r="D5" s="135">
        <v>92</v>
      </c>
      <c r="E5" s="136">
        <v>8</v>
      </c>
      <c r="F5" s="137">
        <v>23</v>
      </c>
      <c r="G5" s="138">
        <v>60280</v>
      </c>
      <c r="H5" s="139">
        <f t="shared" ref="H5:H35" si="0">ROUNDDOWN(G5/1.1,0)/F5</f>
        <v>2382.608695652174</v>
      </c>
      <c r="I5" s="138">
        <v>15280</v>
      </c>
      <c r="J5" s="140">
        <f t="shared" ref="J5:J35" si="1">ROUNDDOWN(I5/1.1,0)/F5</f>
        <v>603.91304347826087</v>
      </c>
      <c r="K5" s="141">
        <f t="shared" ref="K5:K35" si="2">G5+I5</f>
        <v>75560</v>
      </c>
      <c r="L5" s="142">
        <f t="shared" ref="L5:L35" si="3">IF(F5="","",K5/F5)</f>
        <v>3285.217391304348</v>
      </c>
      <c r="M5" s="143"/>
      <c r="N5" s="144">
        <f>AN5-F5</f>
        <v>36</v>
      </c>
      <c r="O5" s="145">
        <f>AO5-G5</f>
        <v>367180</v>
      </c>
      <c r="P5" s="139">
        <f t="shared" ref="P5:P35" si="4">ROUNDDOWN(O5/1.1,0)/N5</f>
        <v>9272.2222222222226</v>
      </c>
      <c r="Q5" s="145">
        <f>AP5-I5</f>
        <v>71170</v>
      </c>
      <c r="R5" s="140">
        <f t="shared" ref="R5:R35" si="5">ROUNDDOWN(Q5/1.1,0)/N5</f>
        <v>1797.2222222222222</v>
      </c>
      <c r="S5" s="146">
        <f>O5+Q5</f>
        <v>438350</v>
      </c>
      <c r="T5" s="142">
        <f t="shared" ref="T5:T35" si="6">IF(N5="","",S5/N5)</f>
        <v>12176.388888888889</v>
      </c>
      <c r="U5" s="147">
        <f t="shared" ref="U5:V20" si="7">F5+N5</f>
        <v>59</v>
      </c>
      <c r="V5" s="145">
        <f t="shared" si="7"/>
        <v>427460</v>
      </c>
      <c r="W5" s="145">
        <f t="shared" ref="W5:W35" si="8">I5+Q5</f>
        <v>86450</v>
      </c>
      <c r="X5" s="148">
        <f>K5+S5</f>
        <v>513910</v>
      </c>
      <c r="Y5" s="145">
        <f t="shared" ref="Y5:Y34" si="9">IF(U5="","",X5/U5)</f>
        <v>8710.3389830508477</v>
      </c>
      <c r="Z5" s="149"/>
      <c r="AA5" s="150">
        <v>148</v>
      </c>
      <c r="AB5" s="138">
        <v>106710</v>
      </c>
      <c r="AC5" s="139">
        <f t="shared" ref="AC5:AC35" si="10">AB5/AA5</f>
        <v>721.01351351351354</v>
      </c>
      <c r="AD5" s="138">
        <v>26450</v>
      </c>
      <c r="AE5" s="140">
        <f t="shared" ref="AE5:AE35" si="11">AD5/AA5</f>
        <v>178.71621621621622</v>
      </c>
      <c r="AF5" s="151">
        <f t="shared" ref="AF5:AF35" si="12">AB5+AD5</f>
        <v>133160</v>
      </c>
      <c r="AG5" s="142">
        <f t="shared" ref="AG5:AG35" si="13">IF(AA5="","",AF5/AA5)</f>
        <v>899.72972972972968</v>
      </c>
      <c r="AH5" s="147">
        <f t="shared" ref="AH5:AH35" si="14">SUM(F5,N5)</f>
        <v>59</v>
      </c>
      <c r="AI5" s="145">
        <f t="shared" ref="AI5:AI35" si="15">V5+AB5</f>
        <v>534170</v>
      </c>
      <c r="AJ5" s="145">
        <f t="shared" ref="AJ5:AJ35" si="16">W5+AD5</f>
        <v>112900</v>
      </c>
      <c r="AK5" s="152">
        <f>X5+AF5</f>
        <v>647070</v>
      </c>
      <c r="AL5" s="145">
        <f t="shared" ref="AL5:AL35" si="17">AQ5+AR5+AS5</f>
        <v>34650</v>
      </c>
      <c r="AM5" s="145"/>
      <c r="AN5" s="153">
        <v>59</v>
      </c>
      <c r="AO5" s="153">
        <v>427460</v>
      </c>
      <c r="AP5" s="153">
        <v>86450</v>
      </c>
      <c r="AQ5" s="154">
        <v>33000</v>
      </c>
      <c r="AR5" s="154">
        <v>1650</v>
      </c>
      <c r="AS5" s="154">
        <v>0</v>
      </c>
      <c r="AT5" s="154">
        <v>0</v>
      </c>
      <c r="AU5" s="155">
        <f t="shared" ref="AU5:AU34" si="18">SUM(AO5:AS5)</f>
        <v>548560</v>
      </c>
      <c r="AV5" s="121">
        <v>1</v>
      </c>
      <c r="AW5" s="122">
        <f>AT5+AU5</f>
        <v>548560</v>
      </c>
      <c r="AX5" s="156"/>
    </row>
    <row r="6" spans="1:50" ht="13.5" customHeight="1">
      <c r="A6" s="121"/>
      <c r="B6" s="189">
        <f t="shared" ref="B6:B35" si="19">B5+1</f>
        <v>45628</v>
      </c>
      <c r="C6" s="134" t="s">
        <v>52</v>
      </c>
      <c r="D6" s="135">
        <v>82</v>
      </c>
      <c r="E6" s="136"/>
      <c r="F6" s="137"/>
      <c r="G6" s="138"/>
      <c r="H6" s="139" t="e">
        <f t="shared" si="0"/>
        <v>#DIV/0!</v>
      </c>
      <c r="I6" s="138"/>
      <c r="J6" s="140" t="e">
        <f t="shared" si="1"/>
        <v>#DIV/0!</v>
      </c>
      <c r="K6" s="141">
        <f t="shared" si="2"/>
        <v>0</v>
      </c>
      <c r="L6" s="142" t="str">
        <f t="shared" si="3"/>
        <v/>
      </c>
      <c r="M6" s="143"/>
      <c r="N6" s="144">
        <v>26</v>
      </c>
      <c r="O6" s="145">
        <v>259050</v>
      </c>
      <c r="P6" s="139">
        <f t="shared" si="4"/>
        <v>9057.6923076923085</v>
      </c>
      <c r="Q6" s="145">
        <v>28640</v>
      </c>
      <c r="R6" s="140">
        <f t="shared" si="5"/>
        <v>1001.3846153846154</v>
      </c>
      <c r="S6" s="146">
        <f t="shared" ref="S6:S35" si="20">O6+Q6</f>
        <v>287690</v>
      </c>
      <c r="T6" s="142">
        <f t="shared" si="6"/>
        <v>11065</v>
      </c>
      <c r="U6" s="147">
        <f t="shared" si="7"/>
        <v>26</v>
      </c>
      <c r="V6" s="145">
        <f t="shared" si="7"/>
        <v>259050</v>
      </c>
      <c r="W6" s="145">
        <f t="shared" si="8"/>
        <v>28640</v>
      </c>
      <c r="X6" s="148">
        <f t="shared" ref="X6:X35" si="21">K6+S6</f>
        <v>287690</v>
      </c>
      <c r="Y6" s="145">
        <f t="shared" si="9"/>
        <v>11065</v>
      </c>
      <c r="Z6" s="149"/>
      <c r="AA6" s="150">
        <v>91</v>
      </c>
      <c r="AB6" s="138">
        <v>48820</v>
      </c>
      <c r="AC6" s="139">
        <f t="shared" si="10"/>
        <v>536.4835164835165</v>
      </c>
      <c r="AD6" s="138">
        <v>30400</v>
      </c>
      <c r="AE6" s="140">
        <f t="shared" si="11"/>
        <v>334.06593406593407</v>
      </c>
      <c r="AF6" s="151">
        <f t="shared" si="12"/>
        <v>79220</v>
      </c>
      <c r="AG6" s="142">
        <f t="shared" si="13"/>
        <v>870.54945054945051</v>
      </c>
      <c r="AH6" s="147">
        <f t="shared" si="14"/>
        <v>26</v>
      </c>
      <c r="AI6" s="145">
        <f t="shared" si="15"/>
        <v>307870</v>
      </c>
      <c r="AJ6" s="145">
        <f t="shared" si="16"/>
        <v>59040</v>
      </c>
      <c r="AK6" s="152">
        <f t="shared" ref="AK6:AK35" si="22">X6+AF6</f>
        <v>366910</v>
      </c>
      <c r="AL6" s="145">
        <f t="shared" si="17"/>
        <v>25300</v>
      </c>
      <c r="AM6" s="145"/>
      <c r="AN6" s="153">
        <v>26</v>
      </c>
      <c r="AO6" s="153">
        <v>259050</v>
      </c>
      <c r="AP6" s="153">
        <v>28640</v>
      </c>
      <c r="AQ6" s="154">
        <v>25300</v>
      </c>
      <c r="AR6" s="154">
        <v>0</v>
      </c>
      <c r="AS6" s="154">
        <v>0</v>
      </c>
      <c r="AT6" s="154">
        <v>0</v>
      </c>
      <c r="AU6" s="155">
        <f t="shared" si="18"/>
        <v>312990</v>
      </c>
      <c r="AV6" s="121">
        <v>2</v>
      </c>
      <c r="AW6" s="122">
        <f t="shared" ref="AW6:AW35" si="23">AT6+AU6</f>
        <v>312990</v>
      </c>
      <c r="AX6" s="156"/>
    </row>
    <row r="7" spans="1:50" ht="13.5" customHeight="1">
      <c r="A7" s="121"/>
      <c r="B7" s="189">
        <f t="shared" si="19"/>
        <v>45629</v>
      </c>
      <c r="C7" s="134" t="s">
        <v>52</v>
      </c>
      <c r="D7" s="135">
        <v>88</v>
      </c>
      <c r="E7" s="136"/>
      <c r="F7" s="137"/>
      <c r="G7" s="138"/>
      <c r="H7" s="139" t="e">
        <f t="shared" si="0"/>
        <v>#DIV/0!</v>
      </c>
      <c r="I7" s="138"/>
      <c r="J7" s="140" t="e">
        <f t="shared" si="1"/>
        <v>#DIV/0!</v>
      </c>
      <c r="K7" s="141">
        <f t="shared" si="2"/>
        <v>0</v>
      </c>
      <c r="L7" s="142" t="str">
        <f t="shared" si="3"/>
        <v/>
      </c>
      <c r="M7" s="143"/>
      <c r="N7" s="144">
        <v>34</v>
      </c>
      <c r="O7" s="145">
        <v>323290</v>
      </c>
      <c r="P7" s="139">
        <f t="shared" si="4"/>
        <v>8644.1176470588234</v>
      </c>
      <c r="Q7" s="145">
        <v>48700</v>
      </c>
      <c r="R7" s="140">
        <f t="shared" si="5"/>
        <v>1302.1176470588234</v>
      </c>
      <c r="S7" s="146">
        <f t="shared" si="20"/>
        <v>371990</v>
      </c>
      <c r="T7" s="142">
        <f t="shared" si="6"/>
        <v>10940.882352941177</v>
      </c>
      <c r="U7" s="147">
        <f t="shared" si="7"/>
        <v>34</v>
      </c>
      <c r="V7" s="145">
        <f t="shared" si="7"/>
        <v>323290</v>
      </c>
      <c r="W7" s="145">
        <f t="shared" si="8"/>
        <v>48700</v>
      </c>
      <c r="X7" s="148">
        <f t="shared" si="21"/>
        <v>371990</v>
      </c>
      <c r="Y7" s="145">
        <f t="shared" si="9"/>
        <v>10940.882352941177</v>
      </c>
      <c r="Z7" s="149"/>
      <c r="AA7" s="150">
        <v>66</v>
      </c>
      <c r="AB7" s="138">
        <v>46240</v>
      </c>
      <c r="AC7" s="139">
        <f t="shared" si="10"/>
        <v>700.60606060606062</v>
      </c>
      <c r="AD7" s="138">
        <v>19000</v>
      </c>
      <c r="AE7" s="140">
        <f t="shared" si="11"/>
        <v>287.87878787878788</v>
      </c>
      <c r="AF7" s="151">
        <f t="shared" si="12"/>
        <v>65240</v>
      </c>
      <c r="AG7" s="142">
        <f t="shared" si="13"/>
        <v>988.4848484848485</v>
      </c>
      <c r="AH7" s="147">
        <f t="shared" si="14"/>
        <v>34</v>
      </c>
      <c r="AI7" s="145">
        <f t="shared" si="15"/>
        <v>369530</v>
      </c>
      <c r="AJ7" s="145">
        <f t="shared" si="16"/>
        <v>67700</v>
      </c>
      <c r="AK7" s="152">
        <f t="shared" si="22"/>
        <v>437230</v>
      </c>
      <c r="AL7" s="145">
        <f t="shared" si="17"/>
        <v>29610</v>
      </c>
      <c r="AM7" s="145"/>
      <c r="AN7" s="153">
        <v>34</v>
      </c>
      <c r="AO7" s="153">
        <v>323290</v>
      </c>
      <c r="AP7" s="153">
        <v>48700</v>
      </c>
      <c r="AQ7" s="154">
        <v>28050</v>
      </c>
      <c r="AR7" s="154">
        <v>1560</v>
      </c>
      <c r="AS7" s="154">
        <v>0</v>
      </c>
      <c r="AT7" s="154">
        <v>12100</v>
      </c>
      <c r="AU7" s="155">
        <f t="shared" si="18"/>
        <v>401600</v>
      </c>
      <c r="AV7" s="121">
        <v>3</v>
      </c>
      <c r="AW7" s="122">
        <f t="shared" si="23"/>
        <v>413700</v>
      </c>
      <c r="AX7" s="156"/>
    </row>
    <row r="8" spans="1:50" ht="13.5" customHeight="1">
      <c r="A8" s="121"/>
      <c r="B8" s="189">
        <f t="shared" si="19"/>
        <v>45630</v>
      </c>
      <c r="C8" s="134" t="s">
        <v>52</v>
      </c>
      <c r="D8" s="135">
        <v>78</v>
      </c>
      <c r="E8" s="136"/>
      <c r="F8" s="137"/>
      <c r="G8" s="138"/>
      <c r="H8" s="139" t="e">
        <f t="shared" si="0"/>
        <v>#DIV/0!</v>
      </c>
      <c r="I8" s="138"/>
      <c r="J8" s="140" t="e">
        <f t="shared" si="1"/>
        <v>#DIV/0!</v>
      </c>
      <c r="K8" s="141">
        <f t="shared" si="2"/>
        <v>0</v>
      </c>
      <c r="L8" s="142" t="str">
        <f t="shared" si="3"/>
        <v/>
      </c>
      <c r="M8" s="143"/>
      <c r="N8" s="144">
        <v>14</v>
      </c>
      <c r="O8" s="145">
        <v>133220</v>
      </c>
      <c r="P8" s="139">
        <f t="shared" si="4"/>
        <v>8650.6428571428569</v>
      </c>
      <c r="Q8" s="145">
        <v>13050</v>
      </c>
      <c r="R8" s="140">
        <f t="shared" si="5"/>
        <v>847.35714285714289</v>
      </c>
      <c r="S8" s="146">
        <f t="shared" si="20"/>
        <v>146270</v>
      </c>
      <c r="T8" s="142">
        <f t="shared" si="6"/>
        <v>10447.857142857143</v>
      </c>
      <c r="U8" s="147">
        <f t="shared" si="7"/>
        <v>14</v>
      </c>
      <c r="V8" s="145">
        <f t="shared" si="7"/>
        <v>133220</v>
      </c>
      <c r="W8" s="145">
        <f t="shared" si="8"/>
        <v>13050</v>
      </c>
      <c r="X8" s="148">
        <f t="shared" si="21"/>
        <v>146270</v>
      </c>
      <c r="Y8" s="145">
        <f t="shared" si="9"/>
        <v>10447.857142857143</v>
      </c>
      <c r="Z8" s="149"/>
      <c r="AA8" s="150">
        <v>60</v>
      </c>
      <c r="AB8" s="138">
        <v>31800</v>
      </c>
      <c r="AC8" s="139">
        <f t="shared" si="10"/>
        <v>530</v>
      </c>
      <c r="AD8" s="138">
        <v>18300</v>
      </c>
      <c r="AE8" s="140">
        <f t="shared" si="11"/>
        <v>305</v>
      </c>
      <c r="AF8" s="151">
        <f t="shared" si="12"/>
        <v>50100</v>
      </c>
      <c r="AG8" s="142">
        <f t="shared" si="13"/>
        <v>835</v>
      </c>
      <c r="AH8" s="158">
        <f t="shared" si="14"/>
        <v>14</v>
      </c>
      <c r="AI8" s="145">
        <f t="shared" si="15"/>
        <v>165020</v>
      </c>
      <c r="AJ8" s="145">
        <f t="shared" si="16"/>
        <v>31350</v>
      </c>
      <c r="AK8" s="159">
        <f t="shared" si="22"/>
        <v>196370</v>
      </c>
      <c r="AL8" s="145">
        <f t="shared" si="17"/>
        <v>10450</v>
      </c>
      <c r="AM8" s="145"/>
      <c r="AN8" s="153">
        <v>14</v>
      </c>
      <c r="AO8" s="153">
        <v>133220</v>
      </c>
      <c r="AP8" s="153">
        <v>13050</v>
      </c>
      <c r="AQ8" s="154">
        <v>10450</v>
      </c>
      <c r="AR8" s="154">
        <v>0</v>
      </c>
      <c r="AS8" s="154">
        <v>0</v>
      </c>
      <c r="AT8" s="154">
        <v>13200</v>
      </c>
      <c r="AU8" s="155">
        <f t="shared" si="18"/>
        <v>156720</v>
      </c>
      <c r="AV8" s="121">
        <v>4</v>
      </c>
      <c r="AW8" s="122">
        <f t="shared" si="23"/>
        <v>169920</v>
      </c>
      <c r="AX8" s="156"/>
    </row>
    <row r="9" spans="1:50" ht="13.5" customHeight="1">
      <c r="A9" s="121"/>
      <c r="B9" s="189">
        <f t="shared" si="19"/>
        <v>45631</v>
      </c>
      <c r="C9" s="134" t="s">
        <v>52</v>
      </c>
      <c r="D9" s="135">
        <v>63</v>
      </c>
      <c r="E9" s="136"/>
      <c r="F9" s="137"/>
      <c r="G9" s="138"/>
      <c r="H9" s="139" t="e">
        <f t="shared" si="0"/>
        <v>#DIV/0!</v>
      </c>
      <c r="I9" s="138"/>
      <c r="J9" s="140" t="e">
        <f t="shared" si="1"/>
        <v>#DIV/0!</v>
      </c>
      <c r="K9" s="141">
        <f t="shared" si="2"/>
        <v>0</v>
      </c>
      <c r="L9" s="142" t="str">
        <f t="shared" si="3"/>
        <v/>
      </c>
      <c r="M9" s="143"/>
      <c r="N9" s="144">
        <v>24</v>
      </c>
      <c r="O9" s="145">
        <v>254210</v>
      </c>
      <c r="P9" s="139">
        <f t="shared" si="4"/>
        <v>9629.1666666666661</v>
      </c>
      <c r="Q9" s="145">
        <v>38450</v>
      </c>
      <c r="R9" s="140">
        <f t="shared" si="5"/>
        <v>1456.4166666666667</v>
      </c>
      <c r="S9" s="146">
        <f t="shared" si="20"/>
        <v>292660</v>
      </c>
      <c r="T9" s="142">
        <f t="shared" si="6"/>
        <v>12194.166666666666</v>
      </c>
      <c r="U9" s="147">
        <f t="shared" si="7"/>
        <v>24</v>
      </c>
      <c r="V9" s="145">
        <f t="shared" si="7"/>
        <v>254210</v>
      </c>
      <c r="W9" s="145">
        <f t="shared" si="8"/>
        <v>38450</v>
      </c>
      <c r="X9" s="148">
        <f t="shared" si="21"/>
        <v>292660</v>
      </c>
      <c r="Y9" s="145">
        <f t="shared" si="9"/>
        <v>12194.166666666666</v>
      </c>
      <c r="Z9" s="149"/>
      <c r="AA9" s="150">
        <v>114</v>
      </c>
      <c r="AB9" s="138">
        <v>64880</v>
      </c>
      <c r="AC9" s="139">
        <f t="shared" si="10"/>
        <v>569.12280701754389</v>
      </c>
      <c r="AD9" s="138">
        <v>38550</v>
      </c>
      <c r="AE9" s="140">
        <f t="shared" si="11"/>
        <v>338.15789473684208</v>
      </c>
      <c r="AF9" s="151">
        <f t="shared" si="12"/>
        <v>103430</v>
      </c>
      <c r="AG9" s="142">
        <f t="shared" si="13"/>
        <v>907.28070175438597</v>
      </c>
      <c r="AH9" s="158">
        <f t="shared" si="14"/>
        <v>24</v>
      </c>
      <c r="AI9" s="145">
        <f t="shared" si="15"/>
        <v>319090</v>
      </c>
      <c r="AJ9" s="145">
        <f t="shared" si="16"/>
        <v>77000</v>
      </c>
      <c r="AK9" s="152">
        <f t="shared" si="22"/>
        <v>396090</v>
      </c>
      <c r="AL9" s="145">
        <f t="shared" si="17"/>
        <v>25300</v>
      </c>
      <c r="AM9" s="145"/>
      <c r="AN9" s="153">
        <v>24</v>
      </c>
      <c r="AO9" s="153">
        <v>254210</v>
      </c>
      <c r="AP9" s="153">
        <v>38550</v>
      </c>
      <c r="AQ9" s="154">
        <v>25300</v>
      </c>
      <c r="AR9" s="154">
        <v>0</v>
      </c>
      <c r="AS9" s="154">
        <v>0</v>
      </c>
      <c r="AT9" s="154">
        <v>4950</v>
      </c>
      <c r="AU9" s="155">
        <f t="shared" si="18"/>
        <v>318060</v>
      </c>
      <c r="AV9" s="121">
        <v>5</v>
      </c>
      <c r="AW9" s="122">
        <f t="shared" si="23"/>
        <v>323010</v>
      </c>
      <c r="AX9" s="156"/>
    </row>
    <row r="10" spans="1:50" ht="13.5" customHeight="1">
      <c r="A10" s="121"/>
      <c r="B10" s="189">
        <f t="shared" si="19"/>
        <v>45632</v>
      </c>
      <c r="C10" s="134" t="s">
        <v>80</v>
      </c>
      <c r="D10" s="135">
        <v>0</v>
      </c>
      <c r="E10" s="136"/>
      <c r="F10" s="137"/>
      <c r="G10" s="138"/>
      <c r="H10" s="139" t="e">
        <f t="shared" si="0"/>
        <v>#DIV/0!</v>
      </c>
      <c r="I10" s="138"/>
      <c r="J10" s="140" t="e">
        <f t="shared" si="1"/>
        <v>#DIV/0!</v>
      </c>
      <c r="K10" s="141">
        <f t="shared" si="2"/>
        <v>0</v>
      </c>
      <c r="L10" s="142" t="str">
        <f t="shared" si="3"/>
        <v/>
      </c>
      <c r="M10" s="143"/>
      <c r="N10" s="144">
        <f t="shared" ref="N10:O35" si="24">AN10-F10</f>
        <v>0</v>
      </c>
      <c r="O10" s="145">
        <f t="shared" si="24"/>
        <v>0</v>
      </c>
      <c r="P10" s="139" t="e">
        <f t="shared" si="4"/>
        <v>#DIV/0!</v>
      </c>
      <c r="Q10" s="145">
        <f t="shared" ref="Q10:Q35" si="25">AP10-I10</f>
        <v>0</v>
      </c>
      <c r="R10" s="140" t="e">
        <f t="shared" si="5"/>
        <v>#DIV/0!</v>
      </c>
      <c r="S10" s="146">
        <f t="shared" si="20"/>
        <v>0</v>
      </c>
      <c r="T10" s="142" t="e">
        <f t="shared" si="6"/>
        <v>#DIV/0!</v>
      </c>
      <c r="U10" s="147">
        <f t="shared" si="7"/>
        <v>0</v>
      </c>
      <c r="V10" s="145">
        <f t="shared" si="7"/>
        <v>0</v>
      </c>
      <c r="W10" s="145">
        <f t="shared" si="8"/>
        <v>0</v>
      </c>
      <c r="X10" s="148">
        <f t="shared" si="21"/>
        <v>0</v>
      </c>
      <c r="Y10" s="145" t="e">
        <f t="shared" si="9"/>
        <v>#DIV/0!</v>
      </c>
      <c r="Z10" s="149"/>
      <c r="AA10" s="150">
        <v>37</v>
      </c>
      <c r="AB10" s="138">
        <v>21910</v>
      </c>
      <c r="AC10" s="139">
        <f t="shared" si="10"/>
        <v>592.16216216216219</v>
      </c>
      <c r="AD10" s="138">
        <v>8400</v>
      </c>
      <c r="AE10" s="140">
        <f t="shared" si="11"/>
        <v>227.02702702702703</v>
      </c>
      <c r="AF10" s="151">
        <f t="shared" si="12"/>
        <v>30310</v>
      </c>
      <c r="AG10" s="142">
        <f t="shared" si="13"/>
        <v>819.18918918918916</v>
      </c>
      <c r="AH10" s="158">
        <f t="shared" si="14"/>
        <v>0</v>
      </c>
      <c r="AI10" s="145">
        <f t="shared" si="15"/>
        <v>21910</v>
      </c>
      <c r="AJ10" s="145">
        <f t="shared" si="16"/>
        <v>8400</v>
      </c>
      <c r="AK10" s="152">
        <f t="shared" si="22"/>
        <v>30310</v>
      </c>
      <c r="AL10" s="145">
        <f t="shared" si="17"/>
        <v>0</v>
      </c>
      <c r="AM10" s="145"/>
      <c r="AN10" s="153">
        <v>0</v>
      </c>
      <c r="AO10" s="153">
        <v>0</v>
      </c>
      <c r="AP10" s="153">
        <v>0</v>
      </c>
      <c r="AQ10" s="154">
        <v>0</v>
      </c>
      <c r="AR10" s="154">
        <v>0</v>
      </c>
      <c r="AS10" s="154">
        <v>0</v>
      </c>
      <c r="AT10" s="154">
        <v>0</v>
      </c>
      <c r="AU10" s="155">
        <f t="shared" si="18"/>
        <v>0</v>
      </c>
      <c r="AV10" s="121">
        <v>6</v>
      </c>
      <c r="AW10" s="122">
        <f t="shared" si="23"/>
        <v>0</v>
      </c>
      <c r="AX10" s="156"/>
    </row>
    <row r="11" spans="1:50" ht="13.5" customHeight="1">
      <c r="A11" s="121"/>
      <c r="B11" s="193">
        <f t="shared" si="19"/>
        <v>45633</v>
      </c>
      <c r="C11" s="134"/>
      <c r="D11" s="135">
        <v>75</v>
      </c>
      <c r="E11" s="136">
        <v>9</v>
      </c>
      <c r="F11" s="137">
        <v>27</v>
      </c>
      <c r="G11" s="138">
        <v>88000</v>
      </c>
      <c r="H11" s="139">
        <f t="shared" si="0"/>
        <v>2962.962962962963</v>
      </c>
      <c r="I11" s="138">
        <v>18080</v>
      </c>
      <c r="J11" s="140">
        <f t="shared" si="1"/>
        <v>608.74074074074076</v>
      </c>
      <c r="K11" s="141">
        <f t="shared" si="2"/>
        <v>106080</v>
      </c>
      <c r="L11" s="142">
        <f t="shared" si="3"/>
        <v>3928.8888888888887</v>
      </c>
      <c r="M11" s="143"/>
      <c r="N11" s="144">
        <f t="shared" si="24"/>
        <v>35</v>
      </c>
      <c r="O11" s="145">
        <f t="shared" si="24"/>
        <v>344740</v>
      </c>
      <c r="P11" s="139">
        <f t="shared" si="4"/>
        <v>8954.2857142857138</v>
      </c>
      <c r="Q11" s="145">
        <f t="shared" si="25"/>
        <v>58060</v>
      </c>
      <c r="R11" s="140">
        <f t="shared" si="5"/>
        <v>1508.0285714285715</v>
      </c>
      <c r="S11" s="146">
        <f t="shared" si="20"/>
        <v>402800</v>
      </c>
      <c r="T11" s="142">
        <f t="shared" si="6"/>
        <v>11508.571428571429</v>
      </c>
      <c r="U11" s="147">
        <f t="shared" si="7"/>
        <v>62</v>
      </c>
      <c r="V11" s="145">
        <f t="shared" si="7"/>
        <v>432740</v>
      </c>
      <c r="W11" s="145">
        <f t="shared" si="8"/>
        <v>76140</v>
      </c>
      <c r="X11" s="148">
        <f t="shared" si="21"/>
        <v>508880</v>
      </c>
      <c r="Y11" s="145">
        <f t="shared" si="9"/>
        <v>8207.7419354838712</v>
      </c>
      <c r="Z11" s="149"/>
      <c r="AA11" s="150">
        <v>117</v>
      </c>
      <c r="AB11" s="138">
        <v>69170</v>
      </c>
      <c r="AC11" s="139">
        <f t="shared" si="10"/>
        <v>591.19658119658118</v>
      </c>
      <c r="AD11" s="138">
        <v>43800</v>
      </c>
      <c r="AE11" s="140">
        <f t="shared" si="11"/>
        <v>374.35897435897436</v>
      </c>
      <c r="AF11" s="151">
        <f t="shared" si="12"/>
        <v>112970</v>
      </c>
      <c r="AG11" s="142">
        <f t="shared" si="13"/>
        <v>965.55555555555554</v>
      </c>
      <c r="AH11" s="158">
        <f t="shared" si="14"/>
        <v>62</v>
      </c>
      <c r="AI11" s="145">
        <f t="shared" si="15"/>
        <v>501910</v>
      </c>
      <c r="AJ11" s="145">
        <f t="shared" si="16"/>
        <v>119940</v>
      </c>
      <c r="AK11" s="152">
        <f t="shared" si="22"/>
        <v>621850</v>
      </c>
      <c r="AL11" s="145">
        <f t="shared" si="17"/>
        <v>30800</v>
      </c>
      <c r="AM11" s="145"/>
      <c r="AN11" s="153">
        <v>62</v>
      </c>
      <c r="AO11" s="153">
        <v>432740</v>
      </c>
      <c r="AP11" s="153">
        <v>76140</v>
      </c>
      <c r="AQ11" s="154">
        <v>30800</v>
      </c>
      <c r="AR11" s="154">
        <v>0</v>
      </c>
      <c r="AS11" s="154">
        <v>0</v>
      </c>
      <c r="AT11" s="154">
        <v>3300</v>
      </c>
      <c r="AU11" s="155">
        <f t="shared" si="18"/>
        <v>539680</v>
      </c>
      <c r="AV11" s="121">
        <v>7</v>
      </c>
      <c r="AW11" s="122">
        <f t="shared" si="23"/>
        <v>542980</v>
      </c>
      <c r="AX11" s="162"/>
    </row>
    <row r="12" spans="1:50" ht="13.5" customHeight="1">
      <c r="A12" s="121"/>
      <c r="B12" s="161">
        <f t="shared" si="19"/>
        <v>45634</v>
      </c>
      <c r="C12" s="194" t="s">
        <v>81</v>
      </c>
      <c r="D12" s="135">
        <v>0</v>
      </c>
      <c r="E12" s="136"/>
      <c r="F12" s="137"/>
      <c r="G12" s="138"/>
      <c r="H12" s="139" t="e">
        <f t="shared" si="0"/>
        <v>#DIV/0!</v>
      </c>
      <c r="I12" s="138"/>
      <c r="J12" s="140" t="e">
        <f t="shared" si="1"/>
        <v>#DIV/0!</v>
      </c>
      <c r="K12" s="141">
        <f t="shared" si="2"/>
        <v>0</v>
      </c>
      <c r="L12" s="142" t="str">
        <f t="shared" si="3"/>
        <v/>
      </c>
      <c r="M12" s="143"/>
      <c r="N12" s="144">
        <f t="shared" si="24"/>
        <v>0</v>
      </c>
      <c r="O12" s="145">
        <f t="shared" si="24"/>
        <v>0</v>
      </c>
      <c r="P12" s="139" t="e">
        <f t="shared" si="4"/>
        <v>#DIV/0!</v>
      </c>
      <c r="Q12" s="145">
        <f t="shared" si="25"/>
        <v>0</v>
      </c>
      <c r="R12" s="163" t="e">
        <f t="shared" si="5"/>
        <v>#DIV/0!</v>
      </c>
      <c r="S12" s="146">
        <f t="shared" si="20"/>
        <v>0</v>
      </c>
      <c r="T12" s="142" t="e">
        <f t="shared" si="6"/>
        <v>#DIV/0!</v>
      </c>
      <c r="U12" s="147">
        <f t="shared" si="7"/>
        <v>0</v>
      </c>
      <c r="V12" s="145">
        <f t="shared" si="7"/>
        <v>0</v>
      </c>
      <c r="W12" s="145">
        <f t="shared" si="8"/>
        <v>0</v>
      </c>
      <c r="X12" s="148">
        <f t="shared" si="21"/>
        <v>0</v>
      </c>
      <c r="Y12" s="145" t="e">
        <f t="shared" si="9"/>
        <v>#DIV/0!</v>
      </c>
      <c r="Z12" s="149"/>
      <c r="AA12" s="150">
        <v>0</v>
      </c>
      <c r="AB12" s="138">
        <v>0</v>
      </c>
      <c r="AC12" s="139" t="e">
        <f t="shared" si="10"/>
        <v>#DIV/0!</v>
      </c>
      <c r="AD12" s="138">
        <v>0</v>
      </c>
      <c r="AE12" s="140" t="e">
        <f t="shared" si="11"/>
        <v>#DIV/0!</v>
      </c>
      <c r="AF12" s="151">
        <f t="shared" si="12"/>
        <v>0</v>
      </c>
      <c r="AG12" s="142" t="e">
        <f t="shared" si="13"/>
        <v>#DIV/0!</v>
      </c>
      <c r="AH12" s="158">
        <f t="shared" si="14"/>
        <v>0</v>
      </c>
      <c r="AI12" s="145">
        <f t="shared" si="15"/>
        <v>0</v>
      </c>
      <c r="AJ12" s="145">
        <f t="shared" si="16"/>
        <v>0</v>
      </c>
      <c r="AK12" s="152">
        <f t="shared" si="22"/>
        <v>0</v>
      </c>
      <c r="AL12" s="145">
        <f t="shared" si="17"/>
        <v>0</v>
      </c>
      <c r="AM12" s="145"/>
      <c r="AN12" s="153">
        <v>0</v>
      </c>
      <c r="AO12" s="153">
        <v>0</v>
      </c>
      <c r="AP12" s="153">
        <v>0</v>
      </c>
      <c r="AQ12" s="154">
        <v>0</v>
      </c>
      <c r="AR12" s="154">
        <v>0</v>
      </c>
      <c r="AS12" s="154">
        <v>0</v>
      </c>
      <c r="AT12" s="154">
        <v>0</v>
      </c>
      <c r="AU12" s="155">
        <f t="shared" si="18"/>
        <v>0</v>
      </c>
      <c r="AV12" s="121">
        <v>8</v>
      </c>
      <c r="AW12" s="122">
        <f t="shared" si="23"/>
        <v>0</v>
      </c>
      <c r="AX12" s="156"/>
    </row>
    <row r="13" spans="1:50" ht="13.5" customHeight="1">
      <c r="A13" s="121"/>
      <c r="B13" s="189">
        <f t="shared" si="19"/>
        <v>45635</v>
      </c>
      <c r="C13" s="134" t="s">
        <v>52</v>
      </c>
      <c r="D13" s="135">
        <v>72</v>
      </c>
      <c r="E13" s="136"/>
      <c r="F13" s="137"/>
      <c r="G13" s="138"/>
      <c r="H13" s="139" t="e">
        <f t="shared" si="0"/>
        <v>#DIV/0!</v>
      </c>
      <c r="I13" s="138"/>
      <c r="J13" s="140" t="e">
        <f t="shared" si="1"/>
        <v>#DIV/0!</v>
      </c>
      <c r="K13" s="141">
        <f t="shared" si="2"/>
        <v>0</v>
      </c>
      <c r="L13" s="142" t="str">
        <f t="shared" si="3"/>
        <v/>
      </c>
      <c r="M13" s="143"/>
      <c r="N13" s="144">
        <f t="shared" si="24"/>
        <v>20</v>
      </c>
      <c r="O13" s="145">
        <f t="shared" si="24"/>
        <v>244970</v>
      </c>
      <c r="P13" s="139">
        <f t="shared" si="4"/>
        <v>11135</v>
      </c>
      <c r="Q13" s="145">
        <f t="shared" si="25"/>
        <v>36080</v>
      </c>
      <c r="R13" s="140">
        <f t="shared" si="5"/>
        <v>1640</v>
      </c>
      <c r="S13" s="146">
        <f t="shared" si="20"/>
        <v>281050</v>
      </c>
      <c r="T13" s="142">
        <f t="shared" si="6"/>
        <v>14052.5</v>
      </c>
      <c r="U13" s="147">
        <f t="shared" si="7"/>
        <v>20</v>
      </c>
      <c r="V13" s="145">
        <f t="shared" si="7"/>
        <v>244970</v>
      </c>
      <c r="W13" s="145">
        <f t="shared" si="8"/>
        <v>36080</v>
      </c>
      <c r="X13" s="148">
        <f t="shared" si="21"/>
        <v>281050</v>
      </c>
      <c r="Y13" s="145">
        <f t="shared" si="9"/>
        <v>14052.5</v>
      </c>
      <c r="Z13" s="149"/>
      <c r="AA13" s="150">
        <v>99</v>
      </c>
      <c r="AB13" s="138">
        <v>51430</v>
      </c>
      <c r="AC13" s="139">
        <f t="shared" si="10"/>
        <v>519.49494949494954</v>
      </c>
      <c r="AD13" s="138">
        <v>31550</v>
      </c>
      <c r="AE13" s="140">
        <f t="shared" si="11"/>
        <v>318.68686868686871</v>
      </c>
      <c r="AF13" s="151">
        <f t="shared" si="12"/>
        <v>82980</v>
      </c>
      <c r="AG13" s="142">
        <f t="shared" si="13"/>
        <v>838.18181818181813</v>
      </c>
      <c r="AH13" s="158">
        <f t="shared" si="14"/>
        <v>20</v>
      </c>
      <c r="AI13" s="145">
        <f t="shared" si="15"/>
        <v>296400</v>
      </c>
      <c r="AJ13" s="145">
        <f t="shared" si="16"/>
        <v>67630</v>
      </c>
      <c r="AK13" s="152">
        <f t="shared" si="22"/>
        <v>364030</v>
      </c>
      <c r="AL13" s="145">
        <f t="shared" si="17"/>
        <v>19250</v>
      </c>
      <c r="AM13" s="145"/>
      <c r="AN13" s="153">
        <v>20</v>
      </c>
      <c r="AO13" s="153">
        <v>244970</v>
      </c>
      <c r="AP13" s="153">
        <v>36080</v>
      </c>
      <c r="AQ13" s="154">
        <v>19250</v>
      </c>
      <c r="AR13" s="154">
        <v>0</v>
      </c>
      <c r="AS13" s="154">
        <v>0</v>
      </c>
      <c r="AT13" s="154">
        <v>22440</v>
      </c>
      <c r="AU13" s="155">
        <f t="shared" si="18"/>
        <v>300300</v>
      </c>
      <c r="AV13" s="121">
        <v>9</v>
      </c>
      <c r="AW13" s="122">
        <f t="shared" si="23"/>
        <v>322740</v>
      </c>
      <c r="AX13" s="121"/>
    </row>
    <row r="14" spans="1:50" ht="13.5" customHeight="1">
      <c r="A14" s="121"/>
      <c r="B14" s="189">
        <f t="shared" si="19"/>
        <v>45636</v>
      </c>
      <c r="C14" s="134" t="s">
        <v>52</v>
      </c>
      <c r="D14" s="135">
        <v>85</v>
      </c>
      <c r="E14" s="136"/>
      <c r="F14" s="137"/>
      <c r="G14" s="138"/>
      <c r="H14" s="139" t="e">
        <f t="shared" si="0"/>
        <v>#DIV/0!</v>
      </c>
      <c r="I14" s="138"/>
      <c r="J14" s="140" t="e">
        <f t="shared" si="1"/>
        <v>#DIV/0!</v>
      </c>
      <c r="K14" s="141">
        <f t="shared" si="2"/>
        <v>0</v>
      </c>
      <c r="L14" s="142" t="str">
        <f t="shared" si="3"/>
        <v/>
      </c>
      <c r="M14" s="143"/>
      <c r="N14" s="144">
        <f t="shared" si="24"/>
        <v>31</v>
      </c>
      <c r="O14" s="145">
        <f t="shared" si="24"/>
        <v>360800</v>
      </c>
      <c r="P14" s="139">
        <f t="shared" si="4"/>
        <v>10580.645161290322</v>
      </c>
      <c r="Q14" s="145">
        <f t="shared" si="25"/>
        <v>51180</v>
      </c>
      <c r="R14" s="140">
        <f t="shared" si="5"/>
        <v>1500.8709677419354</v>
      </c>
      <c r="S14" s="146">
        <f t="shared" si="20"/>
        <v>411980</v>
      </c>
      <c r="T14" s="142">
        <f t="shared" si="6"/>
        <v>13289.677419354839</v>
      </c>
      <c r="U14" s="147">
        <f t="shared" si="7"/>
        <v>31</v>
      </c>
      <c r="V14" s="145">
        <f t="shared" si="7"/>
        <v>360800</v>
      </c>
      <c r="W14" s="145">
        <f t="shared" si="8"/>
        <v>51180</v>
      </c>
      <c r="X14" s="148">
        <f t="shared" si="21"/>
        <v>411980</v>
      </c>
      <c r="Y14" s="145">
        <f t="shared" si="9"/>
        <v>13289.677419354839</v>
      </c>
      <c r="Z14" s="149"/>
      <c r="AA14" s="150">
        <v>128</v>
      </c>
      <c r="AB14" s="138">
        <v>86820</v>
      </c>
      <c r="AC14" s="139">
        <f t="shared" si="10"/>
        <v>678.28125</v>
      </c>
      <c r="AD14" s="138">
        <v>37300</v>
      </c>
      <c r="AE14" s="140">
        <f t="shared" si="11"/>
        <v>291.40625</v>
      </c>
      <c r="AF14" s="151">
        <f t="shared" si="12"/>
        <v>124120</v>
      </c>
      <c r="AG14" s="142">
        <f t="shared" si="13"/>
        <v>969.6875</v>
      </c>
      <c r="AH14" s="158">
        <f t="shared" si="14"/>
        <v>31</v>
      </c>
      <c r="AI14" s="145">
        <f t="shared" si="15"/>
        <v>447620</v>
      </c>
      <c r="AJ14" s="145">
        <f t="shared" si="16"/>
        <v>88480</v>
      </c>
      <c r="AK14" s="159">
        <f t="shared" si="22"/>
        <v>536100</v>
      </c>
      <c r="AL14" s="145">
        <f t="shared" si="17"/>
        <v>26950</v>
      </c>
      <c r="AM14" s="145"/>
      <c r="AN14" s="153">
        <v>31</v>
      </c>
      <c r="AO14" s="153">
        <v>360800</v>
      </c>
      <c r="AP14" s="153">
        <v>51180</v>
      </c>
      <c r="AQ14" s="154">
        <v>26950</v>
      </c>
      <c r="AR14" s="154">
        <v>0</v>
      </c>
      <c r="AS14" s="154">
        <v>0</v>
      </c>
      <c r="AT14" s="154">
        <v>14300</v>
      </c>
      <c r="AU14" s="155">
        <f t="shared" si="18"/>
        <v>438930</v>
      </c>
      <c r="AV14" s="121">
        <v>10</v>
      </c>
      <c r="AW14" s="122">
        <f t="shared" si="23"/>
        <v>453230</v>
      </c>
      <c r="AX14" s="156"/>
    </row>
    <row r="15" spans="1:50" ht="13.5" customHeight="1">
      <c r="A15" s="121"/>
      <c r="B15" s="189">
        <f t="shared" si="19"/>
        <v>45637</v>
      </c>
      <c r="C15" s="134" t="s">
        <v>82</v>
      </c>
      <c r="D15" s="135">
        <v>60</v>
      </c>
      <c r="E15" s="136"/>
      <c r="F15" s="137"/>
      <c r="G15" s="138"/>
      <c r="H15" s="139" t="e">
        <f t="shared" si="0"/>
        <v>#DIV/0!</v>
      </c>
      <c r="I15" s="138"/>
      <c r="J15" s="140" t="e">
        <f t="shared" si="1"/>
        <v>#DIV/0!</v>
      </c>
      <c r="K15" s="141">
        <f t="shared" si="2"/>
        <v>0</v>
      </c>
      <c r="L15" s="142" t="str">
        <f t="shared" si="3"/>
        <v/>
      </c>
      <c r="M15" s="143"/>
      <c r="N15" s="144">
        <f t="shared" si="24"/>
        <v>28</v>
      </c>
      <c r="O15" s="145">
        <f t="shared" si="24"/>
        <v>343090</v>
      </c>
      <c r="P15" s="139">
        <f t="shared" si="4"/>
        <v>11139.285714285714</v>
      </c>
      <c r="Q15" s="145">
        <f t="shared" si="25"/>
        <v>37050</v>
      </c>
      <c r="R15" s="140">
        <f t="shared" si="5"/>
        <v>1202.8928571428571</v>
      </c>
      <c r="S15" s="146">
        <f t="shared" si="20"/>
        <v>380140</v>
      </c>
      <c r="T15" s="142">
        <f t="shared" si="6"/>
        <v>13576.428571428571</v>
      </c>
      <c r="U15" s="147">
        <f t="shared" si="7"/>
        <v>28</v>
      </c>
      <c r="V15" s="145">
        <f t="shared" si="7"/>
        <v>343090</v>
      </c>
      <c r="W15" s="145">
        <f t="shared" si="8"/>
        <v>37050</v>
      </c>
      <c r="X15" s="148">
        <f t="shared" si="21"/>
        <v>380140</v>
      </c>
      <c r="Y15" s="145">
        <f t="shared" si="9"/>
        <v>13576.428571428571</v>
      </c>
      <c r="Z15" s="149"/>
      <c r="AA15" s="150">
        <v>120</v>
      </c>
      <c r="AB15" s="138">
        <v>61750</v>
      </c>
      <c r="AC15" s="139">
        <f t="shared" si="10"/>
        <v>514.58333333333337</v>
      </c>
      <c r="AD15" s="138">
        <v>40250</v>
      </c>
      <c r="AE15" s="140">
        <f t="shared" si="11"/>
        <v>335.41666666666669</v>
      </c>
      <c r="AF15" s="151">
        <f t="shared" si="12"/>
        <v>102000</v>
      </c>
      <c r="AG15" s="142">
        <f t="shared" si="13"/>
        <v>850</v>
      </c>
      <c r="AH15" s="158">
        <f t="shared" si="14"/>
        <v>28</v>
      </c>
      <c r="AI15" s="145">
        <f t="shared" si="15"/>
        <v>404840</v>
      </c>
      <c r="AJ15" s="145">
        <f t="shared" si="16"/>
        <v>77300</v>
      </c>
      <c r="AK15" s="152">
        <f t="shared" si="22"/>
        <v>482140</v>
      </c>
      <c r="AL15" s="145">
        <f t="shared" si="17"/>
        <v>26970</v>
      </c>
      <c r="AM15" s="145"/>
      <c r="AN15" s="153">
        <v>28</v>
      </c>
      <c r="AO15" s="153">
        <v>343090</v>
      </c>
      <c r="AP15" s="153">
        <v>37050</v>
      </c>
      <c r="AQ15" s="154">
        <v>24200</v>
      </c>
      <c r="AR15" s="154">
        <v>2770</v>
      </c>
      <c r="AS15" s="154">
        <v>0</v>
      </c>
      <c r="AT15" s="154">
        <v>5500</v>
      </c>
      <c r="AU15" s="155">
        <f t="shared" si="18"/>
        <v>407110</v>
      </c>
      <c r="AV15" s="121">
        <v>11</v>
      </c>
      <c r="AW15" s="122">
        <f t="shared" si="23"/>
        <v>412610</v>
      </c>
      <c r="AX15" s="156"/>
    </row>
    <row r="16" spans="1:50" ht="13.5" customHeight="1">
      <c r="A16" s="121"/>
      <c r="B16" s="189">
        <f t="shared" si="19"/>
        <v>45638</v>
      </c>
      <c r="C16" s="134" t="s">
        <v>52</v>
      </c>
      <c r="D16" s="135">
        <v>85</v>
      </c>
      <c r="E16" s="136"/>
      <c r="F16" s="137"/>
      <c r="G16" s="138"/>
      <c r="H16" s="139" t="e">
        <f t="shared" si="0"/>
        <v>#DIV/0!</v>
      </c>
      <c r="I16" s="138"/>
      <c r="J16" s="140" t="e">
        <f t="shared" si="1"/>
        <v>#DIV/0!</v>
      </c>
      <c r="K16" s="141">
        <f t="shared" si="2"/>
        <v>0</v>
      </c>
      <c r="L16" s="142" t="str">
        <f t="shared" si="3"/>
        <v/>
      </c>
      <c r="M16" s="143"/>
      <c r="N16" s="144">
        <f t="shared" si="24"/>
        <v>38</v>
      </c>
      <c r="O16" s="145">
        <f t="shared" si="24"/>
        <v>427790</v>
      </c>
      <c r="P16" s="139">
        <f t="shared" si="4"/>
        <v>10234.21052631579</v>
      </c>
      <c r="Q16" s="145">
        <f t="shared" si="25"/>
        <v>59190</v>
      </c>
      <c r="R16" s="140">
        <f t="shared" si="5"/>
        <v>1416.0263157894738</v>
      </c>
      <c r="S16" s="146">
        <f t="shared" si="20"/>
        <v>486980</v>
      </c>
      <c r="T16" s="142">
        <f t="shared" si="6"/>
        <v>12815.263157894737</v>
      </c>
      <c r="U16" s="147">
        <f t="shared" si="7"/>
        <v>38</v>
      </c>
      <c r="V16" s="145">
        <f t="shared" si="7"/>
        <v>427790</v>
      </c>
      <c r="W16" s="145">
        <f t="shared" si="8"/>
        <v>59190</v>
      </c>
      <c r="X16" s="148">
        <f t="shared" si="21"/>
        <v>486980</v>
      </c>
      <c r="Y16" s="145">
        <f t="shared" si="9"/>
        <v>12815.263157894737</v>
      </c>
      <c r="Z16" s="149"/>
      <c r="AA16" s="150">
        <v>93</v>
      </c>
      <c r="AB16" s="138">
        <v>51340</v>
      </c>
      <c r="AC16" s="139">
        <f t="shared" si="10"/>
        <v>552.04301075268813</v>
      </c>
      <c r="AD16" s="138">
        <v>31500</v>
      </c>
      <c r="AE16" s="140">
        <f t="shared" si="11"/>
        <v>338.70967741935482</v>
      </c>
      <c r="AF16" s="151">
        <f t="shared" si="12"/>
        <v>82840</v>
      </c>
      <c r="AG16" s="142">
        <f t="shared" si="13"/>
        <v>890.75268817204301</v>
      </c>
      <c r="AH16" s="158">
        <v>66</v>
      </c>
      <c r="AI16" s="145">
        <f t="shared" si="15"/>
        <v>479130</v>
      </c>
      <c r="AJ16" s="145">
        <f t="shared" si="16"/>
        <v>90690</v>
      </c>
      <c r="AK16" s="152">
        <f t="shared" si="22"/>
        <v>569820</v>
      </c>
      <c r="AL16" s="145">
        <f t="shared" si="17"/>
        <v>20900</v>
      </c>
      <c r="AM16" s="145"/>
      <c r="AN16" s="153">
        <v>38</v>
      </c>
      <c r="AO16" s="153">
        <v>427790</v>
      </c>
      <c r="AP16" s="153">
        <v>59190</v>
      </c>
      <c r="AQ16" s="154">
        <v>20900</v>
      </c>
      <c r="AR16" s="154">
        <v>0</v>
      </c>
      <c r="AS16" s="154">
        <v>0</v>
      </c>
      <c r="AT16" s="154">
        <v>0</v>
      </c>
      <c r="AU16" s="155">
        <f t="shared" si="18"/>
        <v>507880</v>
      </c>
      <c r="AV16" s="121">
        <v>12</v>
      </c>
      <c r="AW16" s="122">
        <f t="shared" si="23"/>
        <v>507880</v>
      </c>
      <c r="AX16" s="156"/>
    </row>
    <row r="17" spans="1:50" ht="13.5" customHeight="1">
      <c r="A17" s="121"/>
      <c r="B17" s="189">
        <f t="shared" si="19"/>
        <v>45639</v>
      </c>
      <c r="C17" s="134" t="s">
        <v>52</v>
      </c>
      <c r="D17" s="135">
        <v>80</v>
      </c>
      <c r="E17" s="136"/>
      <c r="F17" s="137"/>
      <c r="G17" s="138"/>
      <c r="H17" s="139" t="e">
        <f t="shared" si="0"/>
        <v>#DIV/0!</v>
      </c>
      <c r="I17" s="138"/>
      <c r="J17" s="140" t="e">
        <f t="shared" si="1"/>
        <v>#DIV/0!</v>
      </c>
      <c r="K17" s="141">
        <f t="shared" si="2"/>
        <v>0</v>
      </c>
      <c r="L17" s="142" t="str">
        <f t="shared" si="3"/>
        <v/>
      </c>
      <c r="M17" s="143"/>
      <c r="N17" s="144">
        <f t="shared" si="24"/>
        <v>39</v>
      </c>
      <c r="O17" s="145">
        <f t="shared" si="24"/>
        <v>413710</v>
      </c>
      <c r="P17" s="139">
        <f t="shared" si="4"/>
        <v>9643.5897435897441</v>
      </c>
      <c r="Q17" s="145">
        <f t="shared" si="25"/>
        <v>66370</v>
      </c>
      <c r="R17" s="140">
        <f t="shared" si="5"/>
        <v>1547.0769230769231</v>
      </c>
      <c r="S17" s="146">
        <f t="shared" si="20"/>
        <v>480080</v>
      </c>
      <c r="T17" s="142">
        <f t="shared" si="6"/>
        <v>12309.74358974359</v>
      </c>
      <c r="U17" s="147">
        <f t="shared" si="7"/>
        <v>39</v>
      </c>
      <c r="V17" s="145">
        <f t="shared" si="7"/>
        <v>413710</v>
      </c>
      <c r="W17" s="145">
        <f t="shared" si="8"/>
        <v>66370</v>
      </c>
      <c r="X17" s="148">
        <f t="shared" si="21"/>
        <v>480080</v>
      </c>
      <c r="Y17" s="145">
        <f t="shared" si="9"/>
        <v>12309.74358974359</v>
      </c>
      <c r="Z17" s="149"/>
      <c r="AA17" s="150">
        <v>108</v>
      </c>
      <c r="AB17" s="138">
        <v>48440</v>
      </c>
      <c r="AC17" s="139">
        <f t="shared" si="10"/>
        <v>448.51851851851853</v>
      </c>
      <c r="AD17" s="138">
        <v>23700</v>
      </c>
      <c r="AE17" s="140">
        <f t="shared" si="11"/>
        <v>219.44444444444446</v>
      </c>
      <c r="AF17" s="151">
        <f t="shared" si="12"/>
        <v>72140</v>
      </c>
      <c r="AG17" s="142">
        <f t="shared" si="13"/>
        <v>667.96296296296293</v>
      </c>
      <c r="AH17" s="158">
        <f t="shared" si="14"/>
        <v>39</v>
      </c>
      <c r="AI17" s="145">
        <f t="shared" si="15"/>
        <v>462150</v>
      </c>
      <c r="AJ17" s="145">
        <f t="shared" si="16"/>
        <v>90070</v>
      </c>
      <c r="AK17" s="152">
        <f t="shared" si="22"/>
        <v>552220</v>
      </c>
      <c r="AL17" s="145">
        <f t="shared" si="17"/>
        <v>29700</v>
      </c>
      <c r="AM17" s="145"/>
      <c r="AN17" s="153">
        <v>39</v>
      </c>
      <c r="AO17" s="153">
        <v>413710</v>
      </c>
      <c r="AP17" s="153">
        <v>66370</v>
      </c>
      <c r="AQ17" s="154">
        <v>29700</v>
      </c>
      <c r="AR17" s="154">
        <v>0</v>
      </c>
      <c r="AS17" s="154">
        <v>0</v>
      </c>
      <c r="AT17" s="154">
        <v>0</v>
      </c>
      <c r="AU17" s="155">
        <f t="shared" si="18"/>
        <v>509780</v>
      </c>
      <c r="AV17" s="121">
        <v>13</v>
      </c>
      <c r="AW17" s="122">
        <f t="shared" si="23"/>
        <v>509780</v>
      </c>
      <c r="AX17" s="156"/>
    </row>
    <row r="18" spans="1:50" ht="13.5" customHeight="1">
      <c r="A18" s="121"/>
      <c r="B18" s="193">
        <f t="shared" si="19"/>
        <v>45640</v>
      </c>
      <c r="C18" s="134"/>
      <c r="D18" s="135" t="s">
        <v>83</v>
      </c>
      <c r="E18" s="136">
        <v>5</v>
      </c>
      <c r="F18" s="137">
        <v>13</v>
      </c>
      <c r="G18" s="138">
        <v>55220</v>
      </c>
      <c r="H18" s="139">
        <f t="shared" si="0"/>
        <v>3861.5384615384614</v>
      </c>
      <c r="I18" s="138">
        <v>3300</v>
      </c>
      <c r="J18" s="140">
        <f t="shared" si="1"/>
        <v>230.76923076923077</v>
      </c>
      <c r="K18" s="141">
        <f t="shared" si="2"/>
        <v>58520</v>
      </c>
      <c r="L18" s="142">
        <f t="shared" si="3"/>
        <v>4501.5384615384619</v>
      </c>
      <c r="M18" s="143"/>
      <c r="N18" s="144">
        <f t="shared" si="24"/>
        <v>40</v>
      </c>
      <c r="O18" s="145">
        <f t="shared" si="24"/>
        <v>472560</v>
      </c>
      <c r="P18" s="139">
        <f t="shared" si="4"/>
        <v>10740</v>
      </c>
      <c r="Q18" s="145">
        <f t="shared" si="25"/>
        <v>78390</v>
      </c>
      <c r="R18" s="140">
        <f t="shared" si="5"/>
        <v>1781.575</v>
      </c>
      <c r="S18" s="146">
        <f t="shared" si="20"/>
        <v>550950</v>
      </c>
      <c r="T18" s="142">
        <f t="shared" si="6"/>
        <v>13773.75</v>
      </c>
      <c r="U18" s="147">
        <f t="shared" si="7"/>
        <v>53</v>
      </c>
      <c r="V18" s="145">
        <f t="shared" si="7"/>
        <v>527780</v>
      </c>
      <c r="W18" s="145">
        <f t="shared" si="8"/>
        <v>81690</v>
      </c>
      <c r="X18" s="148">
        <f t="shared" si="21"/>
        <v>609470</v>
      </c>
      <c r="Y18" s="145">
        <f t="shared" si="9"/>
        <v>11499.433962264151</v>
      </c>
      <c r="Z18" s="149"/>
      <c r="AA18" s="150">
        <v>160</v>
      </c>
      <c r="AB18" s="138">
        <v>112840</v>
      </c>
      <c r="AC18" s="139">
        <f t="shared" si="10"/>
        <v>705.25</v>
      </c>
      <c r="AD18" s="138">
        <v>52300</v>
      </c>
      <c r="AE18" s="140">
        <f t="shared" si="11"/>
        <v>326.875</v>
      </c>
      <c r="AF18" s="151">
        <f t="shared" si="12"/>
        <v>165140</v>
      </c>
      <c r="AG18" s="142">
        <f t="shared" si="13"/>
        <v>1032.125</v>
      </c>
      <c r="AH18" s="158">
        <f t="shared" si="14"/>
        <v>53</v>
      </c>
      <c r="AI18" s="145">
        <f t="shared" si="15"/>
        <v>640620</v>
      </c>
      <c r="AJ18" s="145">
        <f t="shared" si="16"/>
        <v>133990</v>
      </c>
      <c r="AK18" s="152">
        <f t="shared" si="22"/>
        <v>774610</v>
      </c>
      <c r="AL18" s="145">
        <f t="shared" si="17"/>
        <v>28050</v>
      </c>
      <c r="AM18" s="145"/>
      <c r="AN18" s="153">
        <v>53</v>
      </c>
      <c r="AO18" s="153">
        <v>527780</v>
      </c>
      <c r="AP18" s="153">
        <v>81690</v>
      </c>
      <c r="AQ18" s="154">
        <v>26400</v>
      </c>
      <c r="AR18" s="154">
        <v>1650</v>
      </c>
      <c r="AS18" s="154">
        <v>0</v>
      </c>
      <c r="AT18" s="154">
        <v>0</v>
      </c>
      <c r="AU18" s="155">
        <f t="shared" si="18"/>
        <v>637520</v>
      </c>
      <c r="AV18" s="121">
        <v>14</v>
      </c>
      <c r="AW18" s="122">
        <f t="shared" si="23"/>
        <v>637520</v>
      </c>
      <c r="AX18" s="156"/>
    </row>
    <row r="19" spans="1:50" ht="13.5" customHeight="1">
      <c r="A19" s="121"/>
      <c r="B19" s="161">
        <f t="shared" si="19"/>
        <v>45641</v>
      </c>
      <c r="C19" s="134"/>
      <c r="D19" s="135">
        <v>70</v>
      </c>
      <c r="E19" s="136">
        <v>8</v>
      </c>
      <c r="F19" s="137">
        <v>20</v>
      </c>
      <c r="G19" s="138">
        <v>66330</v>
      </c>
      <c r="H19" s="139">
        <f t="shared" si="0"/>
        <v>3015</v>
      </c>
      <c r="I19" s="138">
        <v>7190</v>
      </c>
      <c r="J19" s="140">
        <f t="shared" si="1"/>
        <v>326.8</v>
      </c>
      <c r="K19" s="141">
        <f t="shared" si="2"/>
        <v>73520</v>
      </c>
      <c r="L19" s="142">
        <f t="shared" si="3"/>
        <v>3676</v>
      </c>
      <c r="M19" s="143"/>
      <c r="N19" s="144">
        <f t="shared" si="24"/>
        <v>35</v>
      </c>
      <c r="O19" s="145">
        <f t="shared" si="24"/>
        <v>382250</v>
      </c>
      <c r="P19" s="139">
        <f t="shared" si="4"/>
        <v>9928.5714285714294</v>
      </c>
      <c r="Q19" s="145">
        <f t="shared" si="25"/>
        <v>40640</v>
      </c>
      <c r="R19" s="163">
        <f t="shared" si="5"/>
        <v>1055.5714285714287</v>
      </c>
      <c r="S19" s="146">
        <f t="shared" si="20"/>
        <v>422890</v>
      </c>
      <c r="T19" s="142">
        <f t="shared" si="6"/>
        <v>12082.571428571429</v>
      </c>
      <c r="U19" s="147">
        <f t="shared" si="7"/>
        <v>55</v>
      </c>
      <c r="V19" s="145">
        <f t="shared" si="7"/>
        <v>448580</v>
      </c>
      <c r="W19" s="145">
        <f t="shared" si="8"/>
        <v>47830</v>
      </c>
      <c r="X19" s="148">
        <f t="shared" si="21"/>
        <v>496410</v>
      </c>
      <c r="Y19" s="145">
        <f t="shared" si="9"/>
        <v>9025.636363636364</v>
      </c>
      <c r="Z19" s="149"/>
      <c r="AA19" s="150">
        <v>135</v>
      </c>
      <c r="AB19" s="138">
        <v>77840</v>
      </c>
      <c r="AC19" s="139">
        <f t="shared" si="10"/>
        <v>576.59259259259261</v>
      </c>
      <c r="AD19" s="138">
        <v>42900</v>
      </c>
      <c r="AE19" s="140">
        <f t="shared" si="11"/>
        <v>317.77777777777777</v>
      </c>
      <c r="AF19" s="151">
        <f t="shared" si="12"/>
        <v>120740</v>
      </c>
      <c r="AG19" s="142">
        <f t="shared" si="13"/>
        <v>894.37037037037032</v>
      </c>
      <c r="AH19" s="158">
        <f t="shared" si="14"/>
        <v>55</v>
      </c>
      <c r="AI19" s="145">
        <f t="shared" si="15"/>
        <v>526420</v>
      </c>
      <c r="AJ19" s="145">
        <f t="shared" si="16"/>
        <v>90730</v>
      </c>
      <c r="AK19" s="152">
        <f t="shared" si="22"/>
        <v>617150</v>
      </c>
      <c r="AL19" s="145">
        <f t="shared" si="17"/>
        <v>33000</v>
      </c>
      <c r="AM19" s="145"/>
      <c r="AN19" s="153">
        <v>55</v>
      </c>
      <c r="AO19" s="153">
        <v>448580</v>
      </c>
      <c r="AP19" s="153">
        <v>47830</v>
      </c>
      <c r="AQ19" s="154">
        <v>33000</v>
      </c>
      <c r="AR19" s="154">
        <v>0</v>
      </c>
      <c r="AS19" s="154">
        <v>0</v>
      </c>
      <c r="AT19" s="154">
        <v>0</v>
      </c>
      <c r="AU19" s="155">
        <f t="shared" si="18"/>
        <v>529410</v>
      </c>
      <c r="AV19" s="121">
        <v>15</v>
      </c>
      <c r="AW19" s="122">
        <f t="shared" si="23"/>
        <v>529410</v>
      </c>
      <c r="AX19" s="121"/>
    </row>
    <row r="20" spans="1:50" ht="13.5" customHeight="1">
      <c r="A20" s="121"/>
      <c r="B20" s="189">
        <f t="shared" si="19"/>
        <v>45642</v>
      </c>
      <c r="C20" s="134" t="s">
        <v>52</v>
      </c>
      <c r="D20" s="135">
        <v>40</v>
      </c>
      <c r="E20" s="136"/>
      <c r="F20" s="137"/>
      <c r="G20" s="138"/>
      <c r="H20" s="139" t="e">
        <f t="shared" si="0"/>
        <v>#DIV/0!</v>
      </c>
      <c r="I20" s="138"/>
      <c r="J20" s="139" t="e">
        <f t="shared" si="1"/>
        <v>#DIV/0!</v>
      </c>
      <c r="K20" s="141">
        <f t="shared" si="2"/>
        <v>0</v>
      </c>
      <c r="L20" s="142" t="str">
        <f t="shared" si="3"/>
        <v/>
      </c>
      <c r="M20" s="143"/>
      <c r="N20" s="144">
        <f t="shared" si="24"/>
        <v>36</v>
      </c>
      <c r="O20" s="145">
        <f t="shared" si="24"/>
        <v>370480</v>
      </c>
      <c r="P20" s="139">
        <f t="shared" si="4"/>
        <v>9355.5555555555547</v>
      </c>
      <c r="Q20" s="145">
        <f t="shared" si="25"/>
        <v>40820</v>
      </c>
      <c r="R20" s="163">
        <f t="shared" si="5"/>
        <v>1030.8055555555557</v>
      </c>
      <c r="S20" s="146">
        <f t="shared" si="20"/>
        <v>411300</v>
      </c>
      <c r="T20" s="142">
        <f t="shared" si="6"/>
        <v>11425</v>
      </c>
      <c r="U20" s="147">
        <f t="shared" si="7"/>
        <v>36</v>
      </c>
      <c r="V20" s="145">
        <f t="shared" si="7"/>
        <v>370480</v>
      </c>
      <c r="W20" s="145">
        <f t="shared" si="8"/>
        <v>40820</v>
      </c>
      <c r="X20" s="148">
        <f t="shared" si="21"/>
        <v>411300</v>
      </c>
      <c r="Y20" s="145">
        <f t="shared" si="9"/>
        <v>11425</v>
      </c>
      <c r="Z20" s="149"/>
      <c r="AA20" s="150">
        <v>80</v>
      </c>
      <c r="AB20" s="138">
        <v>50420</v>
      </c>
      <c r="AC20" s="139">
        <f t="shared" si="10"/>
        <v>630.25</v>
      </c>
      <c r="AD20" s="138">
        <v>29550</v>
      </c>
      <c r="AE20" s="140">
        <f t="shared" si="11"/>
        <v>369.375</v>
      </c>
      <c r="AF20" s="151">
        <f t="shared" si="12"/>
        <v>79970</v>
      </c>
      <c r="AG20" s="142">
        <f t="shared" si="13"/>
        <v>999.625</v>
      </c>
      <c r="AH20" s="158">
        <f t="shared" si="14"/>
        <v>36</v>
      </c>
      <c r="AI20" s="153">
        <f t="shared" si="15"/>
        <v>420900</v>
      </c>
      <c r="AJ20" s="153">
        <f t="shared" si="16"/>
        <v>70370</v>
      </c>
      <c r="AK20" s="152">
        <f t="shared" si="22"/>
        <v>491270</v>
      </c>
      <c r="AL20" s="145">
        <f t="shared" si="17"/>
        <v>9900</v>
      </c>
      <c r="AM20" s="145"/>
      <c r="AN20" s="153">
        <v>36</v>
      </c>
      <c r="AO20" s="153">
        <v>370480</v>
      </c>
      <c r="AP20" s="153">
        <v>40820</v>
      </c>
      <c r="AQ20" s="154">
        <v>9900</v>
      </c>
      <c r="AR20" s="154">
        <v>0</v>
      </c>
      <c r="AS20" s="154">
        <v>0</v>
      </c>
      <c r="AT20" s="154">
        <v>5000</v>
      </c>
      <c r="AU20" s="155">
        <f t="shared" si="18"/>
        <v>421200</v>
      </c>
      <c r="AV20" s="121">
        <v>16</v>
      </c>
      <c r="AW20" s="122">
        <f t="shared" si="23"/>
        <v>426200</v>
      </c>
      <c r="AX20" s="156"/>
    </row>
    <row r="21" spans="1:50" ht="15.75" customHeight="1">
      <c r="A21" s="121"/>
      <c r="B21" s="189">
        <f t="shared" si="19"/>
        <v>45643</v>
      </c>
      <c r="C21" s="134" t="s">
        <v>52</v>
      </c>
      <c r="D21" s="135">
        <v>58</v>
      </c>
      <c r="E21" s="136"/>
      <c r="F21" s="137"/>
      <c r="G21" s="138"/>
      <c r="H21" s="139" t="e">
        <f t="shared" si="0"/>
        <v>#DIV/0!</v>
      </c>
      <c r="I21" s="138"/>
      <c r="J21" s="139" t="e">
        <f t="shared" si="1"/>
        <v>#DIV/0!</v>
      </c>
      <c r="K21" s="141">
        <f t="shared" si="2"/>
        <v>0</v>
      </c>
      <c r="L21" s="142" t="str">
        <f t="shared" si="3"/>
        <v/>
      </c>
      <c r="M21" s="143"/>
      <c r="N21" s="144">
        <f t="shared" si="24"/>
        <v>38</v>
      </c>
      <c r="O21" s="145">
        <f t="shared" si="24"/>
        <v>448800</v>
      </c>
      <c r="P21" s="139">
        <f t="shared" si="4"/>
        <v>10736.842105263158</v>
      </c>
      <c r="Q21" s="145">
        <f t="shared" si="25"/>
        <v>49060</v>
      </c>
      <c r="R21" s="163">
        <f t="shared" si="5"/>
        <v>1173.6842105263158</v>
      </c>
      <c r="S21" s="146">
        <f t="shared" si="20"/>
        <v>497860</v>
      </c>
      <c r="T21" s="142">
        <f t="shared" si="6"/>
        <v>13101.578947368422</v>
      </c>
      <c r="U21" s="147">
        <f t="shared" ref="U21:V35" si="26">F21+N21</f>
        <v>38</v>
      </c>
      <c r="V21" s="145">
        <f t="shared" si="26"/>
        <v>448800</v>
      </c>
      <c r="W21" s="145">
        <f t="shared" si="8"/>
        <v>49060</v>
      </c>
      <c r="X21" s="148">
        <f t="shared" si="21"/>
        <v>497860</v>
      </c>
      <c r="Y21" s="145">
        <f t="shared" si="9"/>
        <v>13101.578947368422</v>
      </c>
      <c r="Z21" s="149"/>
      <c r="AA21" s="150">
        <v>141</v>
      </c>
      <c r="AB21" s="138">
        <v>70580</v>
      </c>
      <c r="AC21" s="139">
        <f t="shared" si="10"/>
        <v>500.56737588652481</v>
      </c>
      <c r="AD21" s="138">
        <v>40750</v>
      </c>
      <c r="AE21" s="140">
        <f t="shared" si="11"/>
        <v>289.00709219858157</v>
      </c>
      <c r="AF21" s="151">
        <f t="shared" si="12"/>
        <v>111330</v>
      </c>
      <c r="AG21" s="142">
        <f t="shared" si="13"/>
        <v>789.57446808510633</v>
      </c>
      <c r="AH21" s="158">
        <v>50</v>
      </c>
      <c r="AI21" s="153">
        <f t="shared" si="15"/>
        <v>519380</v>
      </c>
      <c r="AJ21" s="153">
        <f t="shared" si="16"/>
        <v>89810</v>
      </c>
      <c r="AK21" s="152">
        <f t="shared" si="22"/>
        <v>609190</v>
      </c>
      <c r="AL21" s="145">
        <f t="shared" si="17"/>
        <v>28160</v>
      </c>
      <c r="AM21" s="145"/>
      <c r="AN21" s="153">
        <v>38</v>
      </c>
      <c r="AO21" s="153">
        <v>448800</v>
      </c>
      <c r="AP21" s="153">
        <v>49060</v>
      </c>
      <c r="AQ21" s="154">
        <v>26950</v>
      </c>
      <c r="AR21" s="154">
        <v>1210</v>
      </c>
      <c r="AS21" s="154">
        <v>0</v>
      </c>
      <c r="AT21" s="154">
        <v>5500</v>
      </c>
      <c r="AU21" s="155">
        <f t="shared" si="18"/>
        <v>526020</v>
      </c>
      <c r="AV21" s="121">
        <v>17</v>
      </c>
      <c r="AW21" s="122">
        <f t="shared" si="23"/>
        <v>531520</v>
      </c>
      <c r="AX21" s="156"/>
    </row>
    <row r="22" spans="1:50" ht="15.75" customHeight="1">
      <c r="A22" s="121"/>
      <c r="B22" s="189">
        <f t="shared" si="19"/>
        <v>45644</v>
      </c>
      <c r="C22" s="134" t="s">
        <v>52</v>
      </c>
      <c r="D22" s="135">
        <v>71</v>
      </c>
      <c r="E22" s="136"/>
      <c r="F22" s="137"/>
      <c r="G22" s="138"/>
      <c r="H22" s="139" t="e">
        <f t="shared" si="0"/>
        <v>#DIV/0!</v>
      </c>
      <c r="I22" s="138"/>
      <c r="J22" s="139" t="e">
        <f t="shared" si="1"/>
        <v>#DIV/0!</v>
      </c>
      <c r="K22" s="141">
        <f t="shared" si="2"/>
        <v>0</v>
      </c>
      <c r="L22" s="142" t="str">
        <f t="shared" si="3"/>
        <v/>
      </c>
      <c r="M22" s="143"/>
      <c r="N22" s="144">
        <f t="shared" si="24"/>
        <v>39</v>
      </c>
      <c r="O22" s="145">
        <f t="shared" si="24"/>
        <v>398750</v>
      </c>
      <c r="P22" s="139">
        <f t="shared" si="4"/>
        <v>9294.8717948717949</v>
      </c>
      <c r="Q22" s="145">
        <f t="shared" si="25"/>
        <v>52760</v>
      </c>
      <c r="R22" s="163">
        <f t="shared" si="5"/>
        <v>1229.8205128205129</v>
      </c>
      <c r="S22" s="146">
        <f t="shared" si="20"/>
        <v>451510</v>
      </c>
      <c r="T22" s="142">
        <f t="shared" si="6"/>
        <v>11577.179487179486</v>
      </c>
      <c r="U22" s="147">
        <f t="shared" si="26"/>
        <v>39</v>
      </c>
      <c r="V22" s="145">
        <f t="shared" si="26"/>
        <v>398750</v>
      </c>
      <c r="W22" s="145">
        <f t="shared" si="8"/>
        <v>52760</v>
      </c>
      <c r="X22" s="148">
        <f t="shared" si="21"/>
        <v>451510</v>
      </c>
      <c r="Y22" s="145">
        <f t="shared" si="9"/>
        <v>11577.179487179486</v>
      </c>
      <c r="Z22" s="149"/>
      <c r="AA22" s="150">
        <v>107</v>
      </c>
      <c r="AB22" s="138">
        <v>66420</v>
      </c>
      <c r="AC22" s="139">
        <f t="shared" si="10"/>
        <v>620.74766355140184</v>
      </c>
      <c r="AD22" s="138">
        <v>37300</v>
      </c>
      <c r="AE22" s="140">
        <f t="shared" si="11"/>
        <v>348.59813084112147</v>
      </c>
      <c r="AF22" s="151">
        <f t="shared" si="12"/>
        <v>103720</v>
      </c>
      <c r="AG22" s="142">
        <f t="shared" si="13"/>
        <v>969.34579439252332</v>
      </c>
      <c r="AH22" s="158">
        <f t="shared" si="14"/>
        <v>39</v>
      </c>
      <c r="AI22" s="153">
        <f t="shared" si="15"/>
        <v>465170</v>
      </c>
      <c r="AJ22" s="153">
        <f t="shared" si="16"/>
        <v>90060</v>
      </c>
      <c r="AK22" s="152">
        <f t="shared" si="22"/>
        <v>555230</v>
      </c>
      <c r="AL22" s="145">
        <f t="shared" si="17"/>
        <v>29700</v>
      </c>
      <c r="AM22" s="145"/>
      <c r="AN22" s="153">
        <v>39</v>
      </c>
      <c r="AO22" s="153">
        <v>398750</v>
      </c>
      <c r="AP22" s="153">
        <v>52760</v>
      </c>
      <c r="AQ22" s="154">
        <v>29700</v>
      </c>
      <c r="AR22" s="154">
        <v>0</v>
      </c>
      <c r="AS22" s="154">
        <v>0</v>
      </c>
      <c r="AT22" s="154">
        <v>0</v>
      </c>
      <c r="AU22" s="155">
        <f t="shared" si="18"/>
        <v>481210</v>
      </c>
      <c r="AV22" s="121">
        <v>18</v>
      </c>
      <c r="AW22" s="122">
        <f t="shared" si="23"/>
        <v>481210</v>
      </c>
      <c r="AX22" s="156"/>
    </row>
    <row r="23" spans="1:50" ht="15.75" customHeight="1">
      <c r="A23" s="121"/>
      <c r="B23" s="189">
        <f t="shared" si="19"/>
        <v>45645</v>
      </c>
      <c r="C23" s="134" t="s">
        <v>52</v>
      </c>
      <c r="D23" s="135">
        <v>75</v>
      </c>
      <c r="E23" s="136"/>
      <c r="F23" s="137"/>
      <c r="G23" s="138"/>
      <c r="H23" s="139" t="e">
        <f t="shared" si="0"/>
        <v>#DIV/0!</v>
      </c>
      <c r="I23" s="138"/>
      <c r="J23" s="139" t="e">
        <f t="shared" si="1"/>
        <v>#DIV/0!</v>
      </c>
      <c r="K23" s="141">
        <f t="shared" si="2"/>
        <v>0</v>
      </c>
      <c r="L23" s="142" t="str">
        <f t="shared" si="3"/>
        <v/>
      </c>
      <c r="M23" s="143"/>
      <c r="N23" s="144">
        <f t="shared" si="24"/>
        <v>40</v>
      </c>
      <c r="O23" s="145">
        <f t="shared" si="24"/>
        <v>413270</v>
      </c>
      <c r="P23" s="139">
        <f t="shared" si="4"/>
        <v>9392.5</v>
      </c>
      <c r="Q23" s="145">
        <f t="shared" si="25"/>
        <v>36790</v>
      </c>
      <c r="R23" s="163">
        <f t="shared" si="5"/>
        <v>836.125</v>
      </c>
      <c r="S23" s="146">
        <f t="shared" si="20"/>
        <v>450060</v>
      </c>
      <c r="T23" s="142">
        <f t="shared" si="6"/>
        <v>11251.5</v>
      </c>
      <c r="U23" s="147">
        <f t="shared" si="26"/>
        <v>40</v>
      </c>
      <c r="V23" s="145">
        <f t="shared" si="26"/>
        <v>413270</v>
      </c>
      <c r="W23" s="145">
        <f t="shared" si="8"/>
        <v>36790</v>
      </c>
      <c r="X23" s="148">
        <f t="shared" si="21"/>
        <v>450060</v>
      </c>
      <c r="Y23" s="145">
        <f t="shared" si="9"/>
        <v>11251.5</v>
      </c>
      <c r="Z23" s="149"/>
      <c r="AA23" s="150">
        <v>92</v>
      </c>
      <c r="AB23" s="138">
        <v>54720</v>
      </c>
      <c r="AC23" s="139">
        <f t="shared" si="10"/>
        <v>594.78260869565213</v>
      </c>
      <c r="AD23" s="138">
        <v>34750</v>
      </c>
      <c r="AE23" s="140">
        <f t="shared" si="11"/>
        <v>377.71739130434781</v>
      </c>
      <c r="AF23" s="151">
        <f t="shared" si="12"/>
        <v>89470</v>
      </c>
      <c r="AG23" s="142">
        <f t="shared" si="13"/>
        <v>972.5</v>
      </c>
      <c r="AH23" s="158">
        <f t="shared" si="14"/>
        <v>40</v>
      </c>
      <c r="AI23" s="153">
        <f t="shared" si="15"/>
        <v>467990</v>
      </c>
      <c r="AJ23" s="153">
        <f t="shared" si="16"/>
        <v>71540</v>
      </c>
      <c r="AK23" s="152">
        <f t="shared" si="22"/>
        <v>539530</v>
      </c>
      <c r="AL23" s="145">
        <f t="shared" si="17"/>
        <v>28050</v>
      </c>
      <c r="AM23" s="145"/>
      <c r="AN23" s="153">
        <v>40</v>
      </c>
      <c r="AO23" s="153">
        <v>413270</v>
      </c>
      <c r="AP23" s="153">
        <v>36790</v>
      </c>
      <c r="AQ23" s="154">
        <v>26400</v>
      </c>
      <c r="AR23" s="154">
        <v>1650</v>
      </c>
      <c r="AS23" s="154">
        <v>0</v>
      </c>
      <c r="AT23" s="154">
        <v>3300</v>
      </c>
      <c r="AU23" s="155">
        <f t="shared" si="18"/>
        <v>478110</v>
      </c>
      <c r="AV23" s="121">
        <v>19</v>
      </c>
      <c r="AW23" s="122">
        <f t="shared" si="23"/>
        <v>481410</v>
      </c>
      <c r="AX23" s="156"/>
    </row>
    <row r="24" spans="1:50" ht="15.75" customHeight="1">
      <c r="A24" s="121"/>
      <c r="B24" s="189">
        <f t="shared" si="19"/>
        <v>45646</v>
      </c>
      <c r="C24" s="134" t="s">
        <v>52</v>
      </c>
      <c r="D24" s="135">
        <v>100</v>
      </c>
      <c r="E24" s="136"/>
      <c r="F24" s="137"/>
      <c r="G24" s="138"/>
      <c r="H24" s="139" t="e">
        <f t="shared" si="0"/>
        <v>#DIV/0!</v>
      </c>
      <c r="I24" s="138"/>
      <c r="J24" s="139" t="e">
        <f t="shared" si="1"/>
        <v>#DIV/0!</v>
      </c>
      <c r="K24" s="141">
        <f t="shared" si="2"/>
        <v>0</v>
      </c>
      <c r="L24" s="142" t="str">
        <f t="shared" si="3"/>
        <v/>
      </c>
      <c r="M24" s="143"/>
      <c r="N24" s="144">
        <f t="shared" si="24"/>
        <v>37</v>
      </c>
      <c r="O24" s="145">
        <f t="shared" si="24"/>
        <v>495550</v>
      </c>
      <c r="P24" s="139">
        <f t="shared" si="4"/>
        <v>12175.675675675675</v>
      </c>
      <c r="Q24" s="145">
        <f t="shared" si="25"/>
        <v>74310</v>
      </c>
      <c r="R24" s="163">
        <f t="shared" si="5"/>
        <v>1825.7837837837837</v>
      </c>
      <c r="S24" s="146">
        <f t="shared" si="20"/>
        <v>569860</v>
      </c>
      <c r="T24" s="142">
        <f t="shared" si="6"/>
        <v>15401.621621621622</v>
      </c>
      <c r="U24" s="147">
        <f t="shared" si="26"/>
        <v>37</v>
      </c>
      <c r="V24" s="145">
        <f t="shared" si="26"/>
        <v>495550</v>
      </c>
      <c r="W24" s="145">
        <f t="shared" si="8"/>
        <v>74310</v>
      </c>
      <c r="X24" s="148">
        <f t="shared" si="21"/>
        <v>569860</v>
      </c>
      <c r="Y24" s="145">
        <f t="shared" si="9"/>
        <v>15401.621621621622</v>
      </c>
      <c r="Z24" s="149"/>
      <c r="AA24" s="150">
        <v>120</v>
      </c>
      <c r="AB24" s="138">
        <v>77580</v>
      </c>
      <c r="AC24" s="139">
        <f t="shared" si="10"/>
        <v>646.5</v>
      </c>
      <c r="AD24" s="138">
        <v>37500</v>
      </c>
      <c r="AE24" s="140">
        <f t="shared" si="11"/>
        <v>312.5</v>
      </c>
      <c r="AF24" s="151">
        <f t="shared" si="12"/>
        <v>115080</v>
      </c>
      <c r="AG24" s="142">
        <f t="shared" si="13"/>
        <v>959</v>
      </c>
      <c r="AH24" s="158">
        <f t="shared" si="14"/>
        <v>37</v>
      </c>
      <c r="AI24" s="153">
        <f t="shared" si="15"/>
        <v>573130</v>
      </c>
      <c r="AJ24" s="153">
        <f t="shared" si="16"/>
        <v>111810</v>
      </c>
      <c r="AK24" s="152">
        <f>X24+AF24</f>
        <v>684940</v>
      </c>
      <c r="AL24" s="145">
        <f t="shared" si="17"/>
        <v>25300</v>
      </c>
      <c r="AM24" s="145"/>
      <c r="AN24" s="153">
        <v>37</v>
      </c>
      <c r="AO24" s="153">
        <v>495550</v>
      </c>
      <c r="AP24" s="153">
        <v>74310</v>
      </c>
      <c r="AQ24" s="154">
        <v>25300</v>
      </c>
      <c r="AR24" s="154">
        <v>0</v>
      </c>
      <c r="AS24" s="154">
        <v>0</v>
      </c>
      <c r="AT24" s="154">
        <v>8800</v>
      </c>
      <c r="AU24" s="155">
        <f t="shared" si="18"/>
        <v>595160</v>
      </c>
      <c r="AV24" s="121">
        <v>20</v>
      </c>
      <c r="AW24" s="122">
        <f t="shared" si="23"/>
        <v>603960</v>
      </c>
      <c r="AX24" s="156"/>
    </row>
    <row r="25" spans="1:50" ht="15.75" customHeight="1">
      <c r="A25" s="121"/>
      <c r="B25" s="193">
        <f t="shared" si="19"/>
        <v>45647</v>
      </c>
      <c r="C25" s="134"/>
      <c r="D25" s="135">
        <v>100</v>
      </c>
      <c r="E25" s="136">
        <v>14</v>
      </c>
      <c r="F25" s="137">
        <v>32</v>
      </c>
      <c r="G25" s="138">
        <v>148390</v>
      </c>
      <c r="H25" s="139">
        <f t="shared" si="0"/>
        <v>4215.625</v>
      </c>
      <c r="I25" s="138">
        <v>27360</v>
      </c>
      <c r="J25" s="139">
        <f t="shared" si="1"/>
        <v>777.25</v>
      </c>
      <c r="K25" s="141">
        <f t="shared" si="2"/>
        <v>175750</v>
      </c>
      <c r="L25" s="142">
        <f t="shared" si="3"/>
        <v>5492.1875</v>
      </c>
      <c r="M25" s="143"/>
      <c r="N25" s="144">
        <f t="shared" si="24"/>
        <v>41</v>
      </c>
      <c r="O25" s="145">
        <f t="shared" si="24"/>
        <v>414260</v>
      </c>
      <c r="P25" s="139">
        <f t="shared" si="4"/>
        <v>9185.3658536585372</v>
      </c>
      <c r="Q25" s="145">
        <f t="shared" si="25"/>
        <v>93090</v>
      </c>
      <c r="R25" s="163">
        <f t="shared" si="5"/>
        <v>2064.0731707317073</v>
      </c>
      <c r="S25" s="146">
        <f t="shared" si="20"/>
        <v>507350</v>
      </c>
      <c r="T25" s="142">
        <f t="shared" si="6"/>
        <v>12374.390243902439</v>
      </c>
      <c r="U25" s="147">
        <f t="shared" si="26"/>
        <v>73</v>
      </c>
      <c r="V25" s="145">
        <f t="shared" si="26"/>
        <v>562650</v>
      </c>
      <c r="W25" s="145">
        <f t="shared" si="8"/>
        <v>120450</v>
      </c>
      <c r="X25" s="148">
        <f t="shared" si="21"/>
        <v>683100</v>
      </c>
      <c r="Y25" s="145">
        <f t="shared" si="9"/>
        <v>9357.534246575342</v>
      </c>
      <c r="Z25" s="149"/>
      <c r="AA25" s="150">
        <v>116</v>
      </c>
      <c r="AB25" s="138">
        <v>73710</v>
      </c>
      <c r="AC25" s="139">
        <f t="shared" si="10"/>
        <v>635.43103448275861</v>
      </c>
      <c r="AD25" s="138">
        <v>34750</v>
      </c>
      <c r="AE25" s="140">
        <f t="shared" si="11"/>
        <v>299.56896551724139</v>
      </c>
      <c r="AF25" s="151">
        <f t="shared" si="12"/>
        <v>108460</v>
      </c>
      <c r="AG25" s="142">
        <f t="shared" si="13"/>
        <v>935</v>
      </c>
      <c r="AH25" s="158">
        <f t="shared" si="14"/>
        <v>73</v>
      </c>
      <c r="AI25" s="153">
        <f t="shared" si="15"/>
        <v>636360</v>
      </c>
      <c r="AJ25" s="153">
        <f t="shared" si="16"/>
        <v>155200</v>
      </c>
      <c r="AK25" s="152">
        <f t="shared" si="22"/>
        <v>791560</v>
      </c>
      <c r="AL25" s="145">
        <f t="shared" si="17"/>
        <v>39050</v>
      </c>
      <c r="AM25" s="145"/>
      <c r="AN25" s="153">
        <v>73</v>
      </c>
      <c r="AO25" s="153">
        <v>562650</v>
      </c>
      <c r="AP25" s="153">
        <v>120450</v>
      </c>
      <c r="AQ25" s="154">
        <v>39050</v>
      </c>
      <c r="AR25" s="154">
        <v>0</v>
      </c>
      <c r="AS25" s="154">
        <v>0</v>
      </c>
      <c r="AT25" s="154">
        <v>4950</v>
      </c>
      <c r="AU25" s="155">
        <f t="shared" si="18"/>
        <v>722150</v>
      </c>
      <c r="AV25" s="121">
        <v>21</v>
      </c>
      <c r="AW25" s="122">
        <f t="shared" si="23"/>
        <v>727100</v>
      </c>
      <c r="AX25" s="156"/>
    </row>
    <row r="26" spans="1:50" ht="15.75" customHeight="1">
      <c r="A26" s="121"/>
      <c r="B26" s="161">
        <f t="shared" si="19"/>
        <v>45648</v>
      </c>
      <c r="C26" s="134"/>
      <c r="D26" s="135">
        <v>100</v>
      </c>
      <c r="E26" s="136">
        <v>10</v>
      </c>
      <c r="F26" s="137">
        <v>23</v>
      </c>
      <c r="G26" s="138">
        <v>131450</v>
      </c>
      <c r="H26" s="139">
        <f t="shared" si="0"/>
        <v>5195.652173913043</v>
      </c>
      <c r="I26" s="138">
        <v>18960</v>
      </c>
      <c r="J26" s="139">
        <f t="shared" si="1"/>
        <v>749.39130434782612</v>
      </c>
      <c r="K26" s="141">
        <f t="shared" si="2"/>
        <v>150410</v>
      </c>
      <c r="L26" s="142">
        <f t="shared" si="3"/>
        <v>6539.565217391304</v>
      </c>
      <c r="M26" s="143"/>
      <c r="N26" s="144">
        <f t="shared" si="24"/>
        <v>40</v>
      </c>
      <c r="O26" s="145">
        <f t="shared" si="24"/>
        <v>554510</v>
      </c>
      <c r="P26" s="139">
        <f t="shared" si="4"/>
        <v>12602.5</v>
      </c>
      <c r="Q26" s="145">
        <f t="shared" si="25"/>
        <v>77390</v>
      </c>
      <c r="R26" s="163">
        <f t="shared" si="5"/>
        <v>1758.85</v>
      </c>
      <c r="S26" s="146">
        <f t="shared" si="20"/>
        <v>631900</v>
      </c>
      <c r="T26" s="142">
        <f t="shared" si="6"/>
        <v>15797.5</v>
      </c>
      <c r="U26" s="147">
        <f t="shared" si="26"/>
        <v>63</v>
      </c>
      <c r="V26" s="145">
        <f t="shared" si="26"/>
        <v>685960</v>
      </c>
      <c r="W26" s="145">
        <f t="shared" si="8"/>
        <v>96350</v>
      </c>
      <c r="X26" s="148">
        <f t="shared" si="21"/>
        <v>782310</v>
      </c>
      <c r="Y26" s="145">
        <f t="shared" si="9"/>
        <v>12417.619047619048</v>
      </c>
      <c r="Z26" s="149"/>
      <c r="AA26" s="150">
        <v>238</v>
      </c>
      <c r="AB26" s="138">
        <v>153570</v>
      </c>
      <c r="AC26" s="139">
        <f t="shared" si="10"/>
        <v>645.25210084033608</v>
      </c>
      <c r="AD26" s="138">
        <v>82400</v>
      </c>
      <c r="AE26" s="140">
        <f t="shared" si="11"/>
        <v>346.218487394958</v>
      </c>
      <c r="AF26" s="151">
        <f t="shared" si="12"/>
        <v>235970</v>
      </c>
      <c r="AG26" s="142">
        <f t="shared" si="13"/>
        <v>991.47058823529414</v>
      </c>
      <c r="AH26" s="158">
        <f t="shared" si="14"/>
        <v>63</v>
      </c>
      <c r="AI26" s="153">
        <f t="shared" si="15"/>
        <v>839530</v>
      </c>
      <c r="AJ26" s="153">
        <f t="shared" si="16"/>
        <v>178750</v>
      </c>
      <c r="AK26" s="152">
        <f t="shared" si="22"/>
        <v>1018280</v>
      </c>
      <c r="AL26" s="145">
        <f t="shared" si="17"/>
        <v>83110</v>
      </c>
      <c r="AM26" s="145"/>
      <c r="AN26" s="153">
        <v>63</v>
      </c>
      <c r="AO26" s="153">
        <v>685960</v>
      </c>
      <c r="AP26" s="153">
        <v>96350</v>
      </c>
      <c r="AQ26" s="154">
        <v>31900</v>
      </c>
      <c r="AR26" s="154">
        <v>51210</v>
      </c>
      <c r="AS26" s="154">
        <v>0</v>
      </c>
      <c r="AT26" s="154">
        <v>3300</v>
      </c>
      <c r="AU26" s="155">
        <f t="shared" si="18"/>
        <v>865420</v>
      </c>
      <c r="AV26" s="121">
        <v>22</v>
      </c>
      <c r="AW26" s="122">
        <f t="shared" si="23"/>
        <v>868720</v>
      </c>
      <c r="AX26" s="156"/>
    </row>
    <row r="27" spans="1:50" ht="15.75" customHeight="1">
      <c r="A27" s="121"/>
      <c r="B27" s="189">
        <f t="shared" si="19"/>
        <v>45649</v>
      </c>
      <c r="C27" s="194" t="s">
        <v>84</v>
      </c>
      <c r="D27" s="135">
        <v>100</v>
      </c>
      <c r="E27" s="136">
        <v>3</v>
      </c>
      <c r="F27" s="137">
        <v>8</v>
      </c>
      <c r="G27" s="138">
        <v>51810</v>
      </c>
      <c r="H27" s="139">
        <f t="shared" si="0"/>
        <v>5887.5</v>
      </c>
      <c r="I27" s="138">
        <v>4850</v>
      </c>
      <c r="J27" s="139">
        <f t="shared" si="1"/>
        <v>551.125</v>
      </c>
      <c r="K27" s="141">
        <f t="shared" si="2"/>
        <v>56660</v>
      </c>
      <c r="L27" s="142">
        <f t="shared" si="3"/>
        <v>7082.5</v>
      </c>
      <c r="M27" s="143"/>
      <c r="N27" s="144">
        <f t="shared" si="24"/>
        <v>38</v>
      </c>
      <c r="O27" s="145">
        <f t="shared" si="24"/>
        <v>590260</v>
      </c>
      <c r="P27" s="139">
        <f t="shared" si="4"/>
        <v>14121.052631578947</v>
      </c>
      <c r="Q27" s="145">
        <f t="shared" si="25"/>
        <v>57910</v>
      </c>
      <c r="R27" s="140">
        <f t="shared" si="5"/>
        <v>1385.3947368421052</v>
      </c>
      <c r="S27" s="146">
        <f t="shared" si="20"/>
        <v>648170</v>
      </c>
      <c r="T27" s="142">
        <f t="shared" si="6"/>
        <v>17057.105263157893</v>
      </c>
      <c r="U27" s="147">
        <f t="shared" si="26"/>
        <v>46</v>
      </c>
      <c r="V27" s="145">
        <f t="shared" si="26"/>
        <v>642070</v>
      </c>
      <c r="W27" s="145">
        <f t="shared" si="8"/>
        <v>62760</v>
      </c>
      <c r="X27" s="148">
        <f t="shared" si="21"/>
        <v>704830</v>
      </c>
      <c r="Y27" s="145">
        <f t="shared" si="9"/>
        <v>15322.391304347826</v>
      </c>
      <c r="Z27" s="149"/>
      <c r="AA27" s="150">
        <v>143</v>
      </c>
      <c r="AB27" s="138">
        <v>118280</v>
      </c>
      <c r="AC27" s="139">
        <f t="shared" si="10"/>
        <v>827.13286713286709</v>
      </c>
      <c r="AD27" s="138">
        <v>57050</v>
      </c>
      <c r="AE27" s="140">
        <f t="shared" si="11"/>
        <v>398.95104895104896</v>
      </c>
      <c r="AF27" s="151">
        <f t="shared" si="12"/>
        <v>175330</v>
      </c>
      <c r="AG27" s="142">
        <f t="shared" si="13"/>
        <v>1226.0839160839162</v>
      </c>
      <c r="AH27" s="158">
        <v>45</v>
      </c>
      <c r="AI27" s="153">
        <f t="shared" si="15"/>
        <v>760350</v>
      </c>
      <c r="AJ27" s="153">
        <f t="shared" si="16"/>
        <v>119810</v>
      </c>
      <c r="AK27" s="152">
        <f t="shared" si="22"/>
        <v>880160</v>
      </c>
      <c r="AL27" s="145">
        <f t="shared" si="17"/>
        <v>62700</v>
      </c>
      <c r="AM27" s="145"/>
      <c r="AN27" s="153">
        <v>46</v>
      </c>
      <c r="AO27" s="153">
        <v>642070</v>
      </c>
      <c r="AP27" s="153">
        <v>62760</v>
      </c>
      <c r="AQ27" s="154">
        <v>62700</v>
      </c>
      <c r="AR27" s="154">
        <v>0</v>
      </c>
      <c r="AS27" s="154">
        <v>0</v>
      </c>
      <c r="AT27" s="154">
        <v>0</v>
      </c>
      <c r="AU27" s="155">
        <f t="shared" si="18"/>
        <v>767530</v>
      </c>
      <c r="AV27" s="121">
        <v>23</v>
      </c>
      <c r="AW27" s="122">
        <f t="shared" si="23"/>
        <v>767530</v>
      </c>
      <c r="AX27" s="156"/>
    </row>
    <row r="28" spans="1:50" ht="15.75" customHeight="1">
      <c r="A28" s="121"/>
      <c r="B28" s="189">
        <f t="shared" si="19"/>
        <v>45650</v>
      </c>
      <c r="C28" s="134"/>
      <c r="D28" s="135">
        <v>78</v>
      </c>
      <c r="E28" s="136">
        <v>8</v>
      </c>
      <c r="F28" s="137">
        <v>17</v>
      </c>
      <c r="G28" s="138">
        <v>109230</v>
      </c>
      <c r="H28" s="139">
        <f t="shared" si="0"/>
        <v>5841.1764705882351</v>
      </c>
      <c r="I28" s="138">
        <v>28240</v>
      </c>
      <c r="J28" s="139">
        <f t="shared" si="1"/>
        <v>1510.1176470588234</v>
      </c>
      <c r="K28" s="141">
        <f t="shared" si="2"/>
        <v>137470</v>
      </c>
      <c r="L28" s="142">
        <f t="shared" si="3"/>
        <v>8086.4705882352937</v>
      </c>
      <c r="M28" s="143"/>
      <c r="N28" s="144">
        <f t="shared" si="24"/>
        <v>36</v>
      </c>
      <c r="O28" s="145">
        <f t="shared" si="24"/>
        <v>599940</v>
      </c>
      <c r="P28" s="139">
        <f t="shared" si="4"/>
        <v>15150</v>
      </c>
      <c r="Q28" s="145">
        <f t="shared" si="25"/>
        <v>77530</v>
      </c>
      <c r="R28" s="140">
        <f t="shared" si="5"/>
        <v>1957.8055555555557</v>
      </c>
      <c r="S28" s="146">
        <f t="shared" si="20"/>
        <v>677470</v>
      </c>
      <c r="T28" s="142">
        <f t="shared" si="6"/>
        <v>18818.611111111109</v>
      </c>
      <c r="U28" s="147">
        <f t="shared" si="26"/>
        <v>53</v>
      </c>
      <c r="V28" s="145">
        <f t="shared" si="26"/>
        <v>709170</v>
      </c>
      <c r="W28" s="145">
        <f t="shared" si="8"/>
        <v>105770</v>
      </c>
      <c r="X28" s="148">
        <f t="shared" si="21"/>
        <v>814940</v>
      </c>
      <c r="Y28" s="145">
        <f t="shared" si="9"/>
        <v>15376.226415094339</v>
      </c>
      <c r="Z28" s="149"/>
      <c r="AA28" s="150">
        <v>169</v>
      </c>
      <c r="AB28" s="138">
        <v>121090</v>
      </c>
      <c r="AC28" s="139">
        <f t="shared" si="10"/>
        <v>716.50887573964496</v>
      </c>
      <c r="AD28" s="138">
        <v>67250</v>
      </c>
      <c r="AE28" s="140">
        <f t="shared" si="11"/>
        <v>397.92899408284023</v>
      </c>
      <c r="AF28" s="151">
        <f t="shared" si="12"/>
        <v>188340</v>
      </c>
      <c r="AG28" s="142">
        <f t="shared" si="13"/>
        <v>1114.4378698224853</v>
      </c>
      <c r="AH28" s="158">
        <f t="shared" si="14"/>
        <v>53</v>
      </c>
      <c r="AI28" s="153">
        <f t="shared" si="15"/>
        <v>830260</v>
      </c>
      <c r="AJ28" s="153">
        <f t="shared" si="16"/>
        <v>173020</v>
      </c>
      <c r="AK28" s="152">
        <f t="shared" si="22"/>
        <v>1003280</v>
      </c>
      <c r="AL28" s="145">
        <f t="shared" si="17"/>
        <v>71320</v>
      </c>
      <c r="AM28" s="145">
        <v>3600</v>
      </c>
      <c r="AN28" s="153">
        <v>53</v>
      </c>
      <c r="AO28" s="153">
        <v>709170</v>
      </c>
      <c r="AP28" s="153">
        <v>105770</v>
      </c>
      <c r="AQ28" s="154">
        <v>68200</v>
      </c>
      <c r="AR28" s="154">
        <v>3120</v>
      </c>
      <c r="AS28" s="154">
        <v>0</v>
      </c>
      <c r="AT28" s="154">
        <v>0</v>
      </c>
      <c r="AU28" s="155">
        <f t="shared" si="18"/>
        <v>886260</v>
      </c>
      <c r="AV28" s="121">
        <v>24</v>
      </c>
      <c r="AW28" s="122">
        <f t="shared" si="23"/>
        <v>886260</v>
      </c>
      <c r="AX28" s="156"/>
    </row>
    <row r="29" spans="1:50" ht="15.75" customHeight="1">
      <c r="A29" s="121"/>
      <c r="B29" s="189">
        <f t="shared" si="19"/>
        <v>45651</v>
      </c>
      <c r="C29" s="134"/>
      <c r="D29" s="135">
        <v>100</v>
      </c>
      <c r="E29" s="136">
        <v>12</v>
      </c>
      <c r="F29" s="137">
        <v>29</v>
      </c>
      <c r="G29" s="138">
        <v>190960</v>
      </c>
      <c r="H29" s="139">
        <f t="shared" si="0"/>
        <v>5986.2068965517237</v>
      </c>
      <c r="I29" s="138">
        <v>21380</v>
      </c>
      <c r="J29" s="139">
        <f t="shared" si="1"/>
        <v>670.20689655172418</v>
      </c>
      <c r="K29" s="141">
        <f t="shared" si="2"/>
        <v>212340</v>
      </c>
      <c r="L29" s="142">
        <f t="shared" si="3"/>
        <v>7322.0689655172409</v>
      </c>
      <c r="M29" s="143"/>
      <c r="N29" s="144">
        <f t="shared" si="24"/>
        <v>38</v>
      </c>
      <c r="O29" s="145">
        <f t="shared" si="24"/>
        <v>632940</v>
      </c>
      <c r="P29" s="139">
        <f t="shared" si="4"/>
        <v>15142.105263157895</v>
      </c>
      <c r="Q29" s="145">
        <f t="shared" si="25"/>
        <v>91680</v>
      </c>
      <c r="R29" s="140">
        <f t="shared" si="5"/>
        <v>2193.2894736842104</v>
      </c>
      <c r="S29" s="146">
        <f t="shared" si="20"/>
        <v>724620</v>
      </c>
      <c r="T29" s="142">
        <f t="shared" si="6"/>
        <v>19068.947368421053</v>
      </c>
      <c r="U29" s="147">
        <f t="shared" si="26"/>
        <v>67</v>
      </c>
      <c r="V29" s="145">
        <f t="shared" si="26"/>
        <v>823900</v>
      </c>
      <c r="W29" s="145">
        <f t="shared" si="8"/>
        <v>113060</v>
      </c>
      <c r="X29" s="148">
        <f t="shared" si="21"/>
        <v>936960</v>
      </c>
      <c r="Y29" s="145">
        <f t="shared" si="9"/>
        <v>13984.477611940298</v>
      </c>
      <c r="Z29" s="149"/>
      <c r="AA29" s="150">
        <v>188</v>
      </c>
      <c r="AB29" s="138">
        <v>139010</v>
      </c>
      <c r="AC29" s="139">
        <f t="shared" si="10"/>
        <v>739.41489361702122</v>
      </c>
      <c r="AD29" s="138">
        <v>83200</v>
      </c>
      <c r="AE29" s="140">
        <f t="shared" si="11"/>
        <v>442.55319148936172</v>
      </c>
      <c r="AF29" s="151">
        <f t="shared" si="12"/>
        <v>222210</v>
      </c>
      <c r="AG29" s="142">
        <f t="shared" si="13"/>
        <v>1181.9680851063829</v>
      </c>
      <c r="AH29" s="158">
        <f t="shared" si="14"/>
        <v>67</v>
      </c>
      <c r="AI29" s="153">
        <f t="shared" si="15"/>
        <v>962910</v>
      </c>
      <c r="AJ29" s="153">
        <f t="shared" si="16"/>
        <v>196260</v>
      </c>
      <c r="AK29" s="152">
        <f t="shared" si="22"/>
        <v>1159170</v>
      </c>
      <c r="AL29" s="145">
        <f t="shared" si="17"/>
        <v>67100</v>
      </c>
      <c r="AM29" s="145"/>
      <c r="AN29" s="153">
        <v>67</v>
      </c>
      <c r="AO29" s="153">
        <v>823900</v>
      </c>
      <c r="AP29" s="153">
        <v>113060</v>
      </c>
      <c r="AQ29" s="154">
        <v>67100</v>
      </c>
      <c r="AR29" s="154">
        <v>0</v>
      </c>
      <c r="AS29" s="154">
        <v>0</v>
      </c>
      <c r="AT29" s="154">
        <v>15000</v>
      </c>
      <c r="AU29" s="155">
        <f t="shared" si="18"/>
        <v>1004060</v>
      </c>
      <c r="AV29" s="121">
        <v>25</v>
      </c>
      <c r="AW29" s="122">
        <f t="shared" si="23"/>
        <v>1019060</v>
      </c>
      <c r="AX29" s="121"/>
    </row>
    <row r="30" spans="1:50" ht="15.75" customHeight="1">
      <c r="A30" s="121"/>
      <c r="B30" s="189">
        <f t="shared" si="19"/>
        <v>45652</v>
      </c>
      <c r="C30" s="134" t="s">
        <v>52</v>
      </c>
      <c r="D30" s="135">
        <v>55</v>
      </c>
      <c r="E30" s="136"/>
      <c r="F30" s="137"/>
      <c r="G30" s="138"/>
      <c r="H30" s="139" t="e">
        <f>ROUNDDOWN(G30/1.1,0)/F30</f>
        <v>#DIV/0!</v>
      </c>
      <c r="I30" s="138"/>
      <c r="J30" s="139" t="e">
        <f>ROUNDDOWN(I30/1.1,0)/F30</f>
        <v>#DIV/0!</v>
      </c>
      <c r="K30" s="141">
        <f t="shared" si="2"/>
        <v>0</v>
      </c>
      <c r="L30" s="142" t="str">
        <f>IF(F30="","",K30/F30)</f>
        <v/>
      </c>
      <c r="M30" s="143"/>
      <c r="N30" s="144">
        <f t="shared" si="24"/>
        <v>38</v>
      </c>
      <c r="O30" s="145">
        <f t="shared" si="24"/>
        <v>364480</v>
      </c>
      <c r="P30" s="139">
        <f t="shared" si="4"/>
        <v>8719.605263157895</v>
      </c>
      <c r="Q30" s="145">
        <f t="shared" si="25"/>
        <v>41780</v>
      </c>
      <c r="R30" s="139">
        <f t="shared" si="5"/>
        <v>999.5</v>
      </c>
      <c r="S30" s="146">
        <f t="shared" si="20"/>
        <v>406260</v>
      </c>
      <c r="T30" s="142">
        <f t="shared" si="6"/>
        <v>10691.052631578947</v>
      </c>
      <c r="U30" s="147">
        <f>F30+N30</f>
        <v>38</v>
      </c>
      <c r="V30" s="145">
        <f t="shared" si="26"/>
        <v>364480</v>
      </c>
      <c r="W30" s="145">
        <f t="shared" si="8"/>
        <v>41780</v>
      </c>
      <c r="X30" s="148">
        <f t="shared" si="21"/>
        <v>406260</v>
      </c>
      <c r="Y30" s="145">
        <f t="shared" si="9"/>
        <v>10691.052631578947</v>
      </c>
      <c r="Z30" s="149"/>
      <c r="AA30" s="150">
        <v>202</v>
      </c>
      <c r="AB30" s="138">
        <v>193810</v>
      </c>
      <c r="AC30" s="139">
        <f t="shared" si="10"/>
        <v>959.45544554455444</v>
      </c>
      <c r="AD30" s="138">
        <v>78100</v>
      </c>
      <c r="AE30" s="140">
        <f t="shared" si="11"/>
        <v>386.63366336633663</v>
      </c>
      <c r="AF30" s="151">
        <f t="shared" si="12"/>
        <v>271910</v>
      </c>
      <c r="AG30" s="142">
        <f t="shared" si="13"/>
        <v>1346.0891089108911</v>
      </c>
      <c r="AH30" s="158">
        <f>SUM(F30,N30)</f>
        <v>38</v>
      </c>
      <c r="AI30" s="153">
        <f t="shared" si="15"/>
        <v>558290</v>
      </c>
      <c r="AJ30" s="153">
        <f t="shared" si="16"/>
        <v>119880</v>
      </c>
      <c r="AK30" s="152">
        <f t="shared" si="22"/>
        <v>678170</v>
      </c>
      <c r="AL30" s="145">
        <f t="shared" si="17"/>
        <v>18610</v>
      </c>
      <c r="AM30" s="145"/>
      <c r="AN30" s="153">
        <v>38</v>
      </c>
      <c r="AO30" s="153">
        <v>364480</v>
      </c>
      <c r="AP30" s="153">
        <v>41780</v>
      </c>
      <c r="AQ30" s="154">
        <v>17050</v>
      </c>
      <c r="AR30" s="154">
        <v>1560</v>
      </c>
      <c r="AS30" s="154">
        <v>0</v>
      </c>
      <c r="AT30" s="154">
        <v>0</v>
      </c>
      <c r="AU30" s="155">
        <f t="shared" si="18"/>
        <v>424870</v>
      </c>
      <c r="AV30" s="121">
        <v>26</v>
      </c>
      <c r="AW30" s="122">
        <f t="shared" si="23"/>
        <v>424870</v>
      </c>
      <c r="AX30" s="156"/>
    </row>
    <row r="31" spans="1:50" ht="15.75" customHeight="1">
      <c r="A31" s="121"/>
      <c r="B31" s="189">
        <f t="shared" si="19"/>
        <v>45653</v>
      </c>
      <c r="C31" s="134" t="s">
        <v>52</v>
      </c>
      <c r="D31" s="135">
        <v>86</v>
      </c>
      <c r="E31" s="136"/>
      <c r="F31" s="137"/>
      <c r="G31" s="138"/>
      <c r="H31" s="139" t="e">
        <f>ROUNDDOWN(G31/1.1,0)/F31</f>
        <v>#DIV/0!</v>
      </c>
      <c r="I31" s="138"/>
      <c r="J31" s="139" t="e">
        <f>ROUNDDOWN(I31/1.1,0)/F31</f>
        <v>#DIV/0!</v>
      </c>
      <c r="K31" s="141">
        <f t="shared" si="2"/>
        <v>0</v>
      </c>
      <c r="L31" s="142" t="str">
        <f>IF(F31="","",K31/F31)</f>
        <v/>
      </c>
      <c r="M31" s="143"/>
      <c r="N31" s="144">
        <f t="shared" si="24"/>
        <v>41</v>
      </c>
      <c r="O31" s="145">
        <f t="shared" si="24"/>
        <v>413120</v>
      </c>
      <c r="P31" s="139">
        <f t="shared" si="4"/>
        <v>9160.0731707317082</v>
      </c>
      <c r="Q31" s="145">
        <f t="shared" si="25"/>
        <v>64760</v>
      </c>
      <c r="R31" s="139">
        <f t="shared" si="5"/>
        <v>1435.9024390243903</v>
      </c>
      <c r="S31" s="146">
        <f t="shared" si="20"/>
        <v>477880</v>
      </c>
      <c r="T31" s="142">
        <f t="shared" si="6"/>
        <v>11655.609756097561</v>
      </c>
      <c r="U31" s="147">
        <f>F31+N31</f>
        <v>41</v>
      </c>
      <c r="V31" s="145">
        <f t="shared" si="26"/>
        <v>413120</v>
      </c>
      <c r="W31" s="145">
        <f t="shared" si="8"/>
        <v>64760</v>
      </c>
      <c r="X31" s="148">
        <f t="shared" si="21"/>
        <v>477880</v>
      </c>
      <c r="Y31" s="145">
        <f t="shared" si="9"/>
        <v>11655.609756097561</v>
      </c>
      <c r="Z31" s="149"/>
      <c r="AA31" s="150">
        <v>151</v>
      </c>
      <c r="AB31" s="138">
        <v>102170</v>
      </c>
      <c r="AC31" s="139">
        <f t="shared" si="10"/>
        <v>676.62251655629143</v>
      </c>
      <c r="AD31" s="138">
        <v>52550</v>
      </c>
      <c r="AE31" s="140">
        <f t="shared" si="11"/>
        <v>348.01324503311258</v>
      </c>
      <c r="AF31" s="151">
        <f t="shared" si="12"/>
        <v>154720</v>
      </c>
      <c r="AG31" s="142">
        <f t="shared" si="13"/>
        <v>1024.635761589404</v>
      </c>
      <c r="AH31" s="158">
        <f>SUM(F31,N31)</f>
        <v>41</v>
      </c>
      <c r="AI31" s="153">
        <f t="shared" si="15"/>
        <v>515290</v>
      </c>
      <c r="AJ31" s="153">
        <f t="shared" si="16"/>
        <v>117310</v>
      </c>
      <c r="AK31" s="152">
        <f t="shared" si="22"/>
        <v>632600</v>
      </c>
      <c r="AL31" s="145">
        <f t="shared" si="17"/>
        <v>25850</v>
      </c>
      <c r="AM31" s="145"/>
      <c r="AN31" s="153">
        <v>41</v>
      </c>
      <c r="AO31" s="153">
        <v>413120</v>
      </c>
      <c r="AP31" s="153">
        <v>64760</v>
      </c>
      <c r="AQ31" s="154">
        <v>24200</v>
      </c>
      <c r="AR31" s="154">
        <v>1650</v>
      </c>
      <c r="AS31" s="154">
        <v>0</v>
      </c>
      <c r="AT31" s="154">
        <v>0</v>
      </c>
      <c r="AU31" s="155">
        <f t="shared" si="18"/>
        <v>503730</v>
      </c>
      <c r="AV31" s="121">
        <v>27</v>
      </c>
      <c r="AW31" s="122">
        <f t="shared" si="23"/>
        <v>503730</v>
      </c>
      <c r="AX31" s="156"/>
    </row>
    <row r="32" spans="1:50" ht="15.75" customHeight="1">
      <c r="A32" s="121"/>
      <c r="B32" s="193">
        <f t="shared" si="19"/>
        <v>45654</v>
      </c>
      <c r="C32" s="134"/>
      <c r="D32" s="135">
        <v>93</v>
      </c>
      <c r="E32" s="136">
        <v>8</v>
      </c>
      <c r="F32" s="137">
        <v>22</v>
      </c>
      <c r="G32" s="138">
        <v>80410</v>
      </c>
      <c r="H32" s="139">
        <f t="shared" si="0"/>
        <v>3322.7272727272725</v>
      </c>
      <c r="I32" s="138">
        <v>22400</v>
      </c>
      <c r="J32" s="139">
        <f t="shared" si="1"/>
        <v>925.59090909090912</v>
      </c>
      <c r="K32" s="141">
        <f t="shared" si="2"/>
        <v>102810</v>
      </c>
      <c r="L32" s="142">
        <f t="shared" si="3"/>
        <v>4673.181818181818</v>
      </c>
      <c r="M32" s="143"/>
      <c r="N32" s="144">
        <f t="shared" si="24"/>
        <v>37</v>
      </c>
      <c r="O32" s="145">
        <f t="shared" si="24"/>
        <v>417540</v>
      </c>
      <c r="P32" s="139">
        <f t="shared" si="4"/>
        <v>10258.945945945947</v>
      </c>
      <c r="Q32" s="145">
        <f t="shared" si="25"/>
        <v>50250</v>
      </c>
      <c r="R32" s="139">
        <f t="shared" si="5"/>
        <v>1234.6216216216217</v>
      </c>
      <c r="S32" s="146">
        <f t="shared" si="20"/>
        <v>467790</v>
      </c>
      <c r="T32" s="142">
        <f t="shared" si="6"/>
        <v>12642.972972972973</v>
      </c>
      <c r="U32" s="147">
        <f t="shared" si="26"/>
        <v>59</v>
      </c>
      <c r="V32" s="145">
        <f t="shared" si="26"/>
        <v>497950</v>
      </c>
      <c r="W32" s="145">
        <f t="shared" si="8"/>
        <v>72650</v>
      </c>
      <c r="X32" s="148">
        <f t="shared" si="21"/>
        <v>570600</v>
      </c>
      <c r="Y32" s="145">
        <f t="shared" si="9"/>
        <v>9671.1864406779659</v>
      </c>
      <c r="Z32" s="149"/>
      <c r="AA32" s="150">
        <v>197</v>
      </c>
      <c r="AB32" s="138">
        <v>128650</v>
      </c>
      <c r="AC32" s="139">
        <f t="shared" si="10"/>
        <v>653.04568527918786</v>
      </c>
      <c r="AD32" s="138">
        <v>78800</v>
      </c>
      <c r="AE32" s="140">
        <f t="shared" si="11"/>
        <v>400</v>
      </c>
      <c r="AF32" s="151">
        <f t="shared" si="12"/>
        <v>207450</v>
      </c>
      <c r="AG32" s="142">
        <f t="shared" si="13"/>
        <v>1053.0456852791879</v>
      </c>
      <c r="AH32" s="158">
        <f t="shared" si="14"/>
        <v>59</v>
      </c>
      <c r="AI32" s="153">
        <f t="shared" si="15"/>
        <v>626600</v>
      </c>
      <c r="AJ32" s="153">
        <f t="shared" si="16"/>
        <v>151450</v>
      </c>
      <c r="AK32" s="152">
        <f t="shared" si="22"/>
        <v>778050</v>
      </c>
      <c r="AL32" s="145">
        <f t="shared" si="17"/>
        <v>36210</v>
      </c>
      <c r="AM32" s="145"/>
      <c r="AN32" s="153">
        <v>59</v>
      </c>
      <c r="AO32" s="153">
        <v>497950</v>
      </c>
      <c r="AP32" s="153">
        <v>72650</v>
      </c>
      <c r="AQ32" s="154">
        <v>34650</v>
      </c>
      <c r="AR32" s="154">
        <v>1560</v>
      </c>
      <c r="AS32" s="154">
        <v>0</v>
      </c>
      <c r="AT32" s="154">
        <v>0</v>
      </c>
      <c r="AU32" s="155">
        <f t="shared" si="18"/>
        <v>606810</v>
      </c>
      <c r="AV32" s="121">
        <v>28</v>
      </c>
      <c r="AW32" s="122">
        <f t="shared" si="23"/>
        <v>606810</v>
      </c>
      <c r="AX32" s="156"/>
    </row>
    <row r="33" spans="1:50" ht="15.75" customHeight="1">
      <c r="A33" s="121"/>
      <c r="B33" s="161">
        <f t="shared" si="19"/>
        <v>45655</v>
      </c>
      <c r="C33" s="134"/>
      <c r="D33" s="135">
        <v>82</v>
      </c>
      <c r="E33" s="136">
        <v>7</v>
      </c>
      <c r="F33" s="137">
        <v>29</v>
      </c>
      <c r="G33" s="138">
        <v>97460</v>
      </c>
      <c r="H33" s="139">
        <f t="shared" si="0"/>
        <v>3055.1724137931033</v>
      </c>
      <c r="I33" s="138">
        <v>12510</v>
      </c>
      <c r="J33" s="139">
        <f t="shared" si="1"/>
        <v>392.13793103448273</v>
      </c>
      <c r="K33" s="141">
        <f t="shared" si="2"/>
        <v>109970</v>
      </c>
      <c r="L33" s="142">
        <f t="shared" si="3"/>
        <v>3792.0689655172414</v>
      </c>
      <c r="M33" s="143"/>
      <c r="N33" s="144">
        <f t="shared" si="24"/>
        <v>43</v>
      </c>
      <c r="O33" s="145">
        <f t="shared" si="24"/>
        <v>400450</v>
      </c>
      <c r="P33" s="139">
        <f t="shared" si="4"/>
        <v>8466.1627906976737</v>
      </c>
      <c r="Q33" s="145">
        <f t="shared" si="25"/>
        <v>70890</v>
      </c>
      <c r="R33" s="139">
        <f t="shared" si="5"/>
        <v>1498.7209302325582</v>
      </c>
      <c r="S33" s="146">
        <f t="shared" si="20"/>
        <v>471340</v>
      </c>
      <c r="T33" s="142">
        <f t="shared" si="6"/>
        <v>10961.39534883721</v>
      </c>
      <c r="U33" s="147">
        <f t="shared" si="26"/>
        <v>72</v>
      </c>
      <c r="V33" s="145">
        <f t="shared" si="26"/>
        <v>497910</v>
      </c>
      <c r="W33" s="145">
        <f t="shared" si="8"/>
        <v>83400</v>
      </c>
      <c r="X33" s="148">
        <f t="shared" si="21"/>
        <v>581310</v>
      </c>
      <c r="Y33" s="145">
        <f t="shared" si="9"/>
        <v>8073.75</v>
      </c>
      <c r="Z33" s="149"/>
      <c r="AA33" s="150">
        <v>248</v>
      </c>
      <c r="AB33" s="138">
        <v>143290</v>
      </c>
      <c r="AC33" s="139">
        <f t="shared" si="10"/>
        <v>577.7822580645161</v>
      </c>
      <c r="AD33" s="138">
        <v>58800</v>
      </c>
      <c r="AE33" s="140">
        <f t="shared" si="11"/>
        <v>237.09677419354838</v>
      </c>
      <c r="AF33" s="151">
        <f t="shared" si="12"/>
        <v>202090</v>
      </c>
      <c r="AG33" s="142">
        <f t="shared" si="13"/>
        <v>814.87903225806451</v>
      </c>
      <c r="AH33" s="158">
        <f t="shared" si="14"/>
        <v>72</v>
      </c>
      <c r="AI33" s="153">
        <f t="shared" si="15"/>
        <v>641200</v>
      </c>
      <c r="AJ33" s="153">
        <f t="shared" si="16"/>
        <v>142200</v>
      </c>
      <c r="AK33" s="152">
        <f t="shared" si="22"/>
        <v>783400</v>
      </c>
      <c r="AL33" s="145">
        <f t="shared" si="17"/>
        <v>36410</v>
      </c>
      <c r="AM33" s="145"/>
      <c r="AN33" s="153">
        <v>72</v>
      </c>
      <c r="AO33" s="153">
        <v>497910</v>
      </c>
      <c r="AP33" s="153">
        <v>83400</v>
      </c>
      <c r="AQ33" s="154">
        <v>35200</v>
      </c>
      <c r="AR33" s="154">
        <v>1210</v>
      </c>
      <c r="AS33" s="154">
        <v>0</v>
      </c>
      <c r="AT33" s="154">
        <v>0</v>
      </c>
      <c r="AU33" s="155">
        <f t="shared" si="18"/>
        <v>617720</v>
      </c>
      <c r="AV33" s="121">
        <v>29</v>
      </c>
      <c r="AW33" s="122">
        <f t="shared" si="23"/>
        <v>617720</v>
      </c>
      <c r="AX33" s="156"/>
    </row>
    <row r="34" spans="1:50" ht="15.75" customHeight="1">
      <c r="A34" s="121"/>
      <c r="B34" s="189">
        <f t="shared" si="19"/>
        <v>45656</v>
      </c>
      <c r="C34" s="134" t="s">
        <v>52</v>
      </c>
      <c r="D34" s="135">
        <v>100</v>
      </c>
      <c r="E34" s="136"/>
      <c r="F34" s="137"/>
      <c r="G34" s="138"/>
      <c r="H34" s="139" t="e">
        <f t="shared" si="0"/>
        <v>#DIV/0!</v>
      </c>
      <c r="I34" s="138"/>
      <c r="J34" s="139" t="e">
        <f t="shared" si="1"/>
        <v>#DIV/0!</v>
      </c>
      <c r="K34" s="141">
        <f t="shared" si="2"/>
        <v>0</v>
      </c>
      <c r="L34" s="142" t="str">
        <f t="shared" si="3"/>
        <v/>
      </c>
      <c r="M34" s="143"/>
      <c r="N34" s="144">
        <f t="shared" si="24"/>
        <v>38</v>
      </c>
      <c r="O34" s="145">
        <f t="shared" si="24"/>
        <v>429550</v>
      </c>
      <c r="P34" s="139">
        <f t="shared" si="4"/>
        <v>10276.315789473685</v>
      </c>
      <c r="Q34" s="145">
        <f t="shared" si="25"/>
        <v>92210</v>
      </c>
      <c r="R34" s="139">
        <f>ROUNDDOWN(Q34/1.1,0)/N34</f>
        <v>2205.9736842105262</v>
      </c>
      <c r="S34" s="146">
        <f t="shared" si="20"/>
        <v>521760</v>
      </c>
      <c r="T34" s="142">
        <f t="shared" si="6"/>
        <v>13730.526315789473</v>
      </c>
      <c r="U34" s="147">
        <f t="shared" si="26"/>
        <v>38</v>
      </c>
      <c r="V34" s="145">
        <f t="shared" si="26"/>
        <v>429550</v>
      </c>
      <c r="W34" s="145">
        <f t="shared" si="8"/>
        <v>92210</v>
      </c>
      <c r="X34" s="148">
        <f t="shared" si="21"/>
        <v>521760</v>
      </c>
      <c r="Y34" s="145">
        <f t="shared" si="9"/>
        <v>13730.526315789473</v>
      </c>
      <c r="Z34" s="164"/>
      <c r="AA34" s="165">
        <v>203</v>
      </c>
      <c r="AB34" s="166">
        <v>172680</v>
      </c>
      <c r="AC34" s="139">
        <f t="shared" si="10"/>
        <v>850.64039408866995</v>
      </c>
      <c r="AD34" s="166">
        <v>71800</v>
      </c>
      <c r="AE34" s="140">
        <f t="shared" si="11"/>
        <v>353.69458128078816</v>
      </c>
      <c r="AF34" s="151">
        <f t="shared" si="12"/>
        <v>244480</v>
      </c>
      <c r="AG34" s="142">
        <f t="shared" si="13"/>
        <v>1204.3349753694581</v>
      </c>
      <c r="AH34" s="158">
        <f t="shared" si="14"/>
        <v>38</v>
      </c>
      <c r="AI34" s="153">
        <f t="shared" si="15"/>
        <v>602230</v>
      </c>
      <c r="AJ34" s="153">
        <f t="shared" si="16"/>
        <v>164010</v>
      </c>
      <c r="AK34" s="152">
        <f t="shared" si="22"/>
        <v>766240</v>
      </c>
      <c r="AL34" s="145">
        <f t="shared" si="17"/>
        <v>46950</v>
      </c>
      <c r="AM34" s="145"/>
      <c r="AN34" s="153">
        <v>38</v>
      </c>
      <c r="AO34" s="153">
        <v>429550</v>
      </c>
      <c r="AP34" s="153">
        <v>92210</v>
      </c>
      <c r="AQ34" s="154">
        <v>26950</v>
      </c>
      <c r="AR34" s="154">
        <v>20000</v>
      </c>
      <c r="AS34" s="154">
        <v>0</v>
      </c>
      <c r="AT34" s="154">
        <v>0</v>
      </c>
      <c r="AU34" s="155">
        <f t="shared" si="18"/>
        <v>568710</v>
      </c>
      <c r="AV34" s="121">
        <v>30</v>
      </c>
      <c r="AW34" s="122">
        <f t="shared" si="23"/>
        <v>568710</v>
      </c>
      <c r="AX34" s="156"/>
    </row>
    <row r="35" spans="1:50" ht="15.75" customHeight="1" thickBot="1">
      <c r="A35" s="121"/>
      <c r="B35" s="189">
        <f t="shared" si="19"/>
        <v>45657</v>
      </c>
      <c r="C35" s="134" t="s">
        <v>85</v>
      </c>
      <c r="D35" s="135"/>
      <c r="E35" s="136"/>
      <c r="F35" s="137"/>
      <c r="G35" s="138"/>
      <c r="H35" s="139" t="e">
        <f t="shared" si="0"/>
        <v>#DIV/0!</v>
      </c>
      <c r="I35" s="138"/>
      <c r="J35" s="139" t="e">
        <f t="shared" si="1"/>
        <v>#DIV/0!</v>
      </c>
      <c r="K35" s="141">
        <f t="shared" si="2"/>
        <v>0</v>
      </c>
      <c r="L35" s="142" t="str">
        <f t="shared" si="3"/>
        <v/>
      </c>
      <c r="M35" s="143"/>
      <c r="N35" s="167">
        <f t="shared" si="24"/>
        <v>0</v>
      </c>
      <c r="O35" s="145">
        <f t="shared" si="24"/>
        <v>0</v>
      </c>
      <c r="P35" s="139" t="e">
        <f t="shared" si="4"/>
        <v>#DIV/0!</v>
      </c>
      <c r="Q35" s="145">
        <f t="shared" si="25"/>
        <v>0</v>
      </c>
      <c r="R35" s="139" t="e">
        <f t="shared" si="5"/>
        <v>#DIV/0!</v>
      </c>
      <c r="S35" s="146">
        <f t="shared" si="20"/>
        <v>0</v>
      </c>
      <c r="T35" s="142" t="e">
        <f t="shared" si="6"/>
        <v>#DIV/0!</v>
      </c>
      <c r="U35" s="147">
        <f t="shared" si="26"/>
        <v>0</v>
      </c>
      <c r="V35" s="168">
        <f t="shared" si="26"/>
        <v>0</v>
      </c>
      <c r="W35" s="168">
        <f t="shared" si="8"/>
        <v>0</v>
      </c>
      <c r="X35" s="169">
        <f t="shared" si="21"/>
        <v>0</v>
      </c>
      <c r="Y35" s="168"/>
      <c r="Z35" s="170"/>
      <c r="AA35" s="171"/>
      <c r="AB35" s="172"/>
      <c r="AC35" s="173" t="e">
        <f t="shared" si="10"/>
        <v>#DIV/0!</v>
      </c>
      <c r="AD35" s="172"/>
      <c r="AE35" s="174" t="e">
        <f t="shared" si="11"/>
        <v>#DIV/0!</v>
      </c>
      <c r="AF35" s="175">
        <f t="shared" si="12"/>
        <v>0</v>
      </c>
      <c r="AG35" s="142" t="str">
        <f t="shared" si="13"/>
        <v/>
      </c>
      <c r="AH35" s="176">
        <f t="shared" si="14"/>
        <v>0</v>
      </c>
      <c r="AI35" s="168">
        <f t="shared" si="15"/>
        <v>0</v>
      </c>
      <c r="AJ35" s="168">
        <f t="shared" si="16"/>
        <v>0</v>
      </c>
      <c r="AK35" s="152">
        <f t="shared" si="22"/>
        <v>0</v>
      </c>
      <c r="AL35" s="145">
        <f t="shared" si="17"/>
        <v>0</v>
      </c>
      <c r="AM35" s="145"/>
      <c r="AN35" s="153"/>
      <c r="AO35" s="153"/>
      <c r="AP35" s="153"/>
      <c r="AQ35" s="154"/>
      <c r="AR35" s="154"/>
      <c r="AS35" s="154"/>
      <c r="AT35" s="154"/>
      <c r="AU35" s="155">
        <f>SUM(AO35:AT35)</f>
        <v>0</v>
      </c>
      <c r="AV35" s="121">
        <v>31</v>
      </c>
      <c r="AW35" s="122">
        <f t="shared" si="23"/>
        <v>0</v>
      </c>
      <c r="AX35" s="156"/>
    </row>
    <row r="36" spans="1:50" ht="15.75" customHeight="1" thickTop="1" thickBot="1">
      <c r="A36" s="34"/>
      <c r="B36" s="35" t="s">
        <v>26</v>
      </c>
      <c r="C36" s="177">
        <f>SUM(C5:C35)</f>
        <v>0</v>
      </c>
      <c r="D36" s="178"/>
      <c r="E36" s="37">
        <f>SUM(E5:E35)</f>
        <v>92</v>
      </c>
      <c r="F36" s="38">
        <f>SUM(F5:F35)</f>
        <v>243</v>
      </c>
      <c r="G36" s="39">
        <f>SUM(G5:G35)</f>
        <v>1079540</v>
      </c>
      <c r="H36" s="40">
        <f>G36/F36</f>
        <v>4442.5514403292182</v>
      </c>
      <c r="I36" s="36">
        <f>SUM(I5:I35)</f>
        <v>179550</v>
      </c>
      <c r="J36" s="41">
        <f>I36/F36</f>
        <v>738.88888888888891</v>
      </c>
      <c r="K36" s="42">
        <f>SUM(K5:K35)</f>
        <v>1259090</v>
      </c>
      <c r="L36" s="43">
        <f>K36/F36</f>
        <v>5181.4403292181069</v>
      </c>
      <c r="M36" s="44">
        <f>SUM(M5:M35)</f>
        <v>0</v>
      </c>
      <c r="N36" s="38">
        <f>SUM(N5:N35)</f>
        <v>980</v>
      </c>
      <c r="O36" s="39">
        <f>SUM(O5:O35)</f>
        <v>11270760</v>
      </c>
      <c r="P36" s="40">
        <f>O36/N36</f>
        <v>11500.775510204081</v>
      </c>
      <c r="Q36" s="45">
        <f>SUM(Q5:Q35)</f>
        <v>1598200</v>
      </c>
      <c r="R36" s="41">
        <f>Q36/N36</f>
        <v>1630.8163265306123</v>
      </c>
      <c r="S36" s="46">
        <f>SUM(S5:S35)</f>
        <v>12868960</v>
      </c>
      <c r="T36" s="47">
        <f>S36/N36</f>
        <v>13131.591836734693</v>
      </c>
      <c r="U36" s="38">
        <f>SUM(U5:U35)</f>
        <v>1223</v>
      </c>
      <c r="V36" s="48">
        <f>SUM(V5:V35)</f>
        <v>12350300</v>
      </c>
      <c r="W36" s="45">
        <f>SUM(W5:W35)</f>
        <v>1777750</v>
      </c>
      <c r="X36" s="49">
        <f>SUM(X5:X35)</f>
        <v>14128050</v>
      </c>
      <c r="Y36" s="50">
        <f>X36/U36</f>
        <v>11551.962387571546</v>
      </c>
      <c r="Z36" s="37">
        <f>SUM(Z5:Z35)</f>
        <v>0</v>
      </c>
      <c r="AA36" s="38">
        <f>SUM(AA5:AA35)</f>
        <v>3871</v>
      </c>
      <c r="AB36" s="51">
        <f>SUM(AB5:AB35)</f>
        <v>2545970</v>
      </c>
      <c r="AC36" s="40"/>
      <c r="AD36" s="36">
        <f>SUM(AD5:AD35)</f>
        <v>1288950</v>
      </c>
      <c r="AE36" s="41"/>
      <c r="AF36" s="52">
        <f>SUM(AF5:AF35)</f>
        <v>3834920</v>
      </c>
      <c r="AG36" s="53">
        <f>AF36/AA36</f>
        <v>990.67941100490827</v>
      </c>
      <c r="AH36" s="38">
        <f t="shared" ref="AH36:AU36" si="27">SUM(AH5:AH35)</f>
        <v>1262</v>
      </c>
      <c r="AI36" s="48">
        <f t="shared" si="27"/>
        <v>14896270</v>
      </c>
      <c r="AJ36" s="45">
        <f t="shared" si="27"/>
        <v>3066700</v>
      </c>
      <c r="AK36" s="46">
        <f>SUM(AK5:AK35)</f>
        <v>17962970</v>
      </c>
      <c r="AL36" s="36">
        <f>SUM(AL5:AL35)</f>
        <v>949350</v>
      </c>
      <c r="AM36" s="195">
        <f t="shared" si="27"/>
        <v>3600</v>
      </c>
      <c r="AN36" s="54">
        <f t="shared" si="27"/>
        <v>1223</v>
      </c>
      <c r="AO36" s="54">
        <f t="shared" si="27"/>
        <v>12350300</v>
      </c>
      <c r="AP36" s="54">
        <f t="shared" si="27"/>
        <v>1777850</v>
      </c>
      <c r="AQ36" s="54">
        <f t="shared" si="27"/>
        <v>858550</v>
      </c>
      <c r="AR36" s="54">
        <f t="shared" si="27"/>
        <v>90800</v>
      </c>
      <c r="AS36" s="54">
        <f t="shared" si="27"/>
        <v>0</v>
      </c>
      <c r="AT36" s="54">
        <f t="shared" si="27"/>
        <v>121640</v>
      </c>
      <c r="AU36" s="54">
        <f t="shared" si="27"/>
        <v>15077500</v>
      </c>
      <c r="AV36" s="34"/>
      <c r="AW36" s="55">
        <f>SUM(AW5:AW35)</f>
        <v>15199140</v>
      </c>
    </row>
    <row r="37" spans="1:50" ht="15.75" customHeight="1" thickTop="1">
      <c r="A37" s="34"/>
      <c r="B37" s="56"/>
      <c r="C37" s="179"/>
      <c r="D37" s="89"/>
      <c r="E37" s="34"/>
      <c r="F37" s="57" t="s">
        <v>36</v>
      </c>
      <c r="G37" s="58">
        <f>G36/1.1</f>
        <v>981399.99999999988</v>
      </c>
      <c r="H37" s="59">
        <f>G37/F36</f>
        <v>4038.683127572016</v>
      </c>
      <c r="I37" s="32">
        <f>I36/1.1</f>
        <v>163227.27272727271</v>
      </c>
      <c r="J37" s="59">
        <f>I37/F36</f>
        <v>671.7171717171716</v>
      </c>
      <c r="K37" s="54">
        <f>K36/1.1</f>
        <v>1144627.2727272727</v>
      </c>
      <c r="L37" s="60">
        <f>H37+J37</f>
        <v>4710.4002992891874</v>
      </c>
      <c r="M37" s="61"/>
      <c r="N37" s="57" t="s">
        <v>36</v>
      </c>
      <c r="O37" s="58">
        <f>O36/1.1</f>
        <v>10246145.454545453</v>
      </c>
      <c r="P37" s="59">
        <f>O37/N36</f>
        <v>10455.250463821891</v>
      </c>
      <c r="Q37" s="58">
        <f>Q36/1.1</f>
        <v>1452909.0909090908</v>
      </c>
      <c r="R37" s="59">
        <f>Q37/N36</f>
        <v>1482.5602968460109</v>
      </c>
      <c r="S37" s="59">
        <f>S36/1.1</f>
        <v>11699054.545454545</v>
      </c>
      <c r="T37" s="62">
        <f>S37/N36</f>
        <v>11937.810760667902</v>
      </c>
      <c r="U37" s="57" t="s">
        <v>36</v>
      </c>
      <c r="V37" s="58">
        <f>V36/1.1</f>
        <v>11227545.454545453</v>
      </c>
      <c r="W37" s="58">
        <f>W36/1.1</f>
        <v>1616136.3636363635</v>
      </c>
      <c r="X37" s="63">
        <f>X36/1.1</f>
        <v>12843681.818181816</v>
      </c>
      <c r="Y37" s="50">
        <f>X37/U36</f>
        <v>10501.783988701403</v>
      </c>
      <c r="Z37" s="61"/>
      <c r="AA37" s="57" t="s">
        <v>36</v>
      </c>
      <c r="AB37" s="58">
        <f>AB36/1.1</f>
        <v>2314518.1818181816</v>
      </c>
      <c r="AC37" s="32">
        <f>AB37/AA36</f>
        <v>597.91221436791056</v>
      </c>
      <c r="AD37" s="32">
        <f>AD36/1.1</f>
        <v>1171772.7272727273</v>
      </c>
      <c r="AE37" s="32">
        <f>AD37/AA36</f>
        <v>302.7054320001879</v>
      </c>
      <c r="AF37" s="59">
        <f>AF36/1.1</f>
        <v>3486290.9090909087</v>
      </c>
      <c r="AG37" s="64">
        <f>AF37/AA36</f>
        <v>900.61764636809835</v>
      </c>
      <c r="AH37" s="57" t="s">
        <v>36</v>
      </c>
      <c r="AI37" s="65">
        <f>AI36/1.1</f>
        <v>13542063.636363635</v>
      </c>
      <c r="AJ37" s="58">
        <f>AJ36/1.1</f>
        <v>2787909.0909090908</v>
      </c>
      <c r="AK37" s="59">
        <f>AK36/1.1</f>
        <v>16329972.727272727</v>
      </c>
      <c r="AL37" s="196">
        <f>AL36/1.1</f>
        <v>863045.45454545447</v>
      </c>
      <c r="AM37" s="197">
        <f>AM36/1.08</f>
        <v>3333.333333333333</v>
      </c>
      <c r="AN37" s="34"/>
      <c r="AO37" s="34"/>
      <c r="AP37" s="34"/>
      <c r="AQ37" s="34"/>
      <c r="AR37" s="67"/>
      <c r="AS37" s="34"/>
      <c r="AT37" s="34"/>
      <c r="AU37" s="67"/>
      <c r="AV37" s="34"/>
      <c r="AW37" s="67"/>
    </row>
    <row r="38" spans="1:50" ht="15.75" customHeight="1">
      <c r="A38" s="31"/>
      <c r="B38" s="68"/>
      <c r="C38" s="180"/>
      <c r="D38" s="90"/>
      <c r="E38" s="31"/>
      <c r="F38" s="69" t="s">
        <v>37</v>
      </c>
      <c r="G38" s="70">
        <f>F36/H38</f>
        <v>22.09090909090909</v>
      </c>
      <c r="H38" s="71">
        <v>11</v>
      </c>
      <c r="I38" s="72" t="s">
        <v>38</v>
      </c>
      <c r="J38" s="70"/>
      <c r="K38" s="73" t="s">
        <v>39</v>
      </c>
      <c r="L38" s="74">
        <f>K37/H38</f>
        <v>104057.02479338842</v>
      </c>
      <c r="M38" s="31"/>
      <c r="N38" s="69" t="s">
        <v>37</v>
      </c>
      <c r="O38" s="70">
        <f>N36/P38</f>
        <v>32.666666666666664</v>
      </c>
      <c r="P38" s="71">
        <v>30</v>
      </c>
      <c r="Q38" s="72" t="s">
        <v>38</v>
      </c>
      <c r="R38" s="70"/>
      <c r="S38" s="73" t="s">
        <v>39</v>
      </c>
      <c r="T38" s="75">
        <f>S37/P38</f>
        <v>389968.4848484848</v>
      </c>
      <c r="U38" s="31"/>
      <c r="V38" s="31"/>
      <c r="W38" s="31"/>
      <c r="X38" s="33"/>
      <c r="Y38" s="33"/>
      <c r="Z38" s="31"/>
      <c r="AA38" s="31"/>
      <c r="AB38" s="76">
        <v>30</v>
      </c>
      <c r="AC38" s="72" t="s">
        <v>38</v>
      </c>
      <c r="AD38" s="70"/>
      <c r="AE38" s="70"/>
      <c r="AF38" s="73" t="s">
        <v>39</v>
      </c>
      <c r="AG38" s="77">
        <f>AF37/AB38</f>
        <v>116209.69696969696</v>
      </c>
      <c r="AH38" s="31"/>
      <c r="AI38" s="31"/>
      <c r="AJ38" s="31" t="s">
        <v>53</v>
      </c>
      <c r="AK38" s="33"/>
      <c r="AL38" s="33">
        <f>AK37/AN38</f>
        <v>3181.3701007739583</v>
      </c>
      <c r="AM38" s="33"/>
      <c r="AN38" s="78">
        <f>AH36+AA36</f>
        <v>5133</v>
      </c>
      <c r="AO38" s="31" t="s">
        <v>54</v>
      </c>
      <c r="AP38" s="31"/>
      <c r="AQ38" s="31"/>
      <c r="AR38" s="33"/>
      <c r="AS38" s="31"/>
      <c r="AT38" s="31"/>
      <c r="AU38" s="33"/>
      <c r="AV38" s="31"/>
      <c r="AW38" s="33">
        <f>AW36/1.1</f>
        <v>13817399.999999998</v>
      </c>
    </row>
    <row r="39" spans="1:50" ht="15.75" customHeight="1">
      <c r="A39" s="31"/>
      <c r="B39" s="68"/>
      <c r="C39" s="180"/>
      <c r="D39" s="90"/>
      <c r="E39" s="79" t="s">
        <v>40</v>
      </c>
      <c r="F39" s="80"/>
      <c r="G39" s="70"/>
      <c r="H39" s="81"/>
      <c r="I39" s="70"/>
      <c r="J39" s="70"/>
      <c r="K39" s="73"/>
      <c r="L39" s="77"/>
      <c r="M39" s="82" t="s">
        <v>41</v>
      </c>
      <c r="N39" s="69"/>
      <c r="O39" s="70"/>
      <c r="P39" s="70"/>
      <c r="Q39" s="70"/>
      <c r="R39" s="70"/>
      <c r="S39" s="73"/>
      <c r="T39" s="77"/>
      <c r="U39" s="31"/>
      <c r="V39" s="31"/>
      <c r="W39" s="31"/>
      <c r="X39" s="33"/>
      <c r="Y39" s="33"/>
      <c r="Z39" s="82" t="s">
        <v>42</v>
      </c>
      <c r="AA39" s="31"/>
      <c r="AB39" s="70"/>
      <c r="AC39" s="70"/>
      <c r="AD39" s="70"/>
      <c r="AE39" s="70"/>
      <c r="AF39" s="70"/>
      <c r="AG39" s="77"/>
      <c r="AH39" s="31"/>
      <c r="AI39" s="31"/>
      <c r="AJ39" s="31" t="s">
        <v>55</v>
      </c>
      <c r="AL39" s="83">
        <f>AK37/AB38</f>
        <v>544332.4242424242</v>
      </c>
      <c r="AM39" s="83"/>
      <c r="AN39" s="31" t="s">
        <v>56</v>
      </c>
      <c r="AO39" s="31"/>
      <c r="AP39" s="31"/>
      <c r="AQ39" s="31"/>
      <c r="AR39" s="33"/>
      <c r="AS39" s="31"/>
      <c r="AT39" s="31"/>
      <c r="AU39" s="33"/>
      <c r="AV39" s="31"/>
      <c r="AW39" s="33"/>
    </row>
    <row r="40" spans="1:50" ht="21" customHeight="1">
      <c r="A40" s="31"/>
      <c r="B40" s="68"/>
      <c r="C40" s="181"/>
      <c r="D40" s="90"/>
      <c r="E40" s="84"/>
      <c r="F40" s="10"/>
      <c r="G40" s="10"/>
      <c r="H40" s="10"/>
      <c r="I40" s="10"/>
      <c r="J40" s="10"/>
      <c r="K40" s="10"/>
      <c r="L40" s="85"/>
      <c r="M40" s="84"/>
      <c r="N40" s="10"/>
      <c r="O40" s="10"/>
      <c r="P40" s="10"/>
      <c r="Q40" s="10"/>
      <c r="R40" s="10"/>
      <c r="S40" s="10"/>
      <c r="T40" s="85"/>
      <c r="U40" s="31"/>
      <c r="V40" s="31"/>
      <c r="W40" s="31"/>
      <c r="X40" s="33"/>
      <c r="Y40" s="31"/>
      <c r="Z40" s="84"/>
      <c r="AA40" s="10"/>
      <c r="AB40" s="10"/>
      <c r="AC40" s="10"/>
      <c r="AD40" s="10"/>
      <c r="AE40" s="10"/>
      <c r="AF40" s="10"/>
      <c r="AG40" s="85"/>
      <c r="AH40" s="31"/>
      <c r="AI40" s="31"/>
      <c r="AJ40" s="31" t="s">
        <v>57</v>
      </c>
      <c r="AK40" s="33">
        <f>AK36+AL36+AM36</f>
        <v>18915920</v>
      </c>
      <c r="AL40" s="83">
        <f>AK40/AB38</f>
        <v>630530.66666666663</v>
      </c>
      <c r="AM40" s="83"/>
      <c r="AN40" s="31" t="s">
        <v>43</v>
      </c>
      <c r="AO40" s="31"/>
      <c r="AP40" s="31"/>
      <c r="AQ40" s="31"/>
      <c r="AR40" s="31"/>
      <c r="AS40" s="31"/>
      <c r="AT40" s="31"/>
      <c r="AU40" s="33"/>
      <c r="AV40" s="31"/>
      <c r="AW40" s="33"/>
    </row>
    <row r="41" spans="1:50" ht="21" customHeight="1">
      <c r="A41" s="31"/>
      <c r="B41" s="68"/>
      <c r="C41" s="181"/>
      <c r="D41" s="90"/>
      <c r="E41" s="86"/>
      <c r="F41" s="87"/>
      <c r="G41" s="87"/>
      <c r="H41" s="87"/>
      <c r="I41" s="87"/>
      <c r="J41" s="87"/>
      <c r="K41" s="87"/>
      <c r="L41" s="88"/>
      <c r="M41" s="86"/>
      <c r="N41" s="87"/>
      <c r="O41" s="87"/>
      <c r="P41" s="87"/>
      <c r="Q41" s="87"/>
      <c r="R41" s="87"/>
      <c r="S41" s="87"/>
      <c r="T41" s="88"/>
      <c r="U41" s="31"/>
      <c r="V41" s="31"/>
      <c r="W41" s="31"/>
      <c r="X41" s="33"/>
      <c r="Y41" s="31"/>
      <c r="Z41" s="86"/>
      <c r="AA41" s="87"/>
      <c r="AB41" s="87"/>
      <c r="AC41" s="87"/>
      <c r="AD41" s="87"/>
      <c r="AE41" s="87"/>
      <c r="AF41" s="87"/>
      <c r="AG41" s="88"/>
      <c r="AH41" s="31"/>
      <c r="AI41" s="31"/>
      <c r="AJ41" s="31" t="s">
        <v>58</v>
      </c>
      <c r="AK41" s="67">
        <f>AK37+AL37+AM37</f>
        <v>17196351.515151512</v>
      </c>
      <c r="AL41" s="83">
        <f>AK41/AB38</f>
        <v>573211.71717171709</v>
      </c>
      <c r="AM41" s="83"/>
      <c r="AN41" s="31" t="s">
        <v>56</v>
      </c>
      <c r="AO41" s="31"/>
      <c r="AP41" s="31"/>
      <c r="AQ41" s="31"/>
      <c r="AR41" s="31"/>
      <c r="AS41" s="31"/>
      <c r="AT41" s="31"/>
      <c r="AU41" s="33"/>
      <c r="AV41" s="31"/>
      <c r="AW41" s="33"/>
    </row>
    <row r="42" spans="1:50" ht="21" customHeight="1">
      <c r="A42" s="31"/>
      <c r="B42" s="68"/>
      <c r="C42" s="181"/>
      <c r="D42" s="90"/>
      <c r="E42" s="86"/>
      <c r="F42" s="87"/>
      <c r="G42" s="87"/>
      <c r="H42" s="87"/>
      <c r="I42" s="87"/>
      <c r="J42" s="87"/>
      <c r="K42" s="87"/>
      <c r="L42" s="88"/>
      <c r="M42" s="86"/>
      <c r="N42" s="87"/>
      <c r="O42" s="87"/>
      <c r="P42" s="87"/>
      <c r="Q42" s="87"/>
      <c r="R42" s="87"/>
      <c r="S42" s="87"/>
      <c r="T42" s="88"/>
      <c r="U42" s="31"/>
      <c r="V42" s="31"/>
      <c r="W42" s="31"/>
      <c r="X42" s="33"/>
      <c r="Y42" s="31"/>
      <c r="Z42" s="86"/>
      <c r="AA42" s="87"/>
      <c r="AB42" s="87"/>
      <c r="AC42" s="87"/>
      <c r="AD42" s="87"/>
      <c r="AE42" s="87"/>
      <c r="AF42" s="87"/>
      <c r="AG42" s="88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3"/>
      <c r="AV42" s="31"/>
      <c r="AW42" s="33"/>
    </row>
    <row r="43" spans="1:50" ht="21" customHeight="1">
      <c r="A43" s="31"/>
      <c r="B43" s="68"/>
      <c r="C43" s="181"/>
      <c r="D43" s="90"/>
      <c r="E43" s="86"/>
      <c r="F43" s="87"/>
      <c r="G43" s="87"/>
      <c r="H43" s="87"/>
      <c r="I43" s="87"/>
      <c r="J43" s="87"/>
      <c r="K43" s="87"/>
      <c r="L43" s="88"/>
      <c r="M43" s="86"/>
      <c r="N43" s="87"/>
      <c r="O43" s="87"/>
      <c r="P43" s="87"/>
      <c r="Q43" s="87"/>
      <c r="R43" s="87"/>
      <c r="S43" s="87"/>
      <c r="T43" s="88"/>
      <c r="U43" s="31"/>
      <c r="V43" s="31"/>
      <c r="W43" s="31"/>
      <c r="X43" s="31"/>
      <c r="Y43" s="31"/>
      <c r="Z43" s="86"/>
      <c r="AA43" s="87"/>
      <c r="AB43" s="87"/>
      <c r="AC43" s="87"/>
      <c r="AD43" s="87"/>
      <c r="AE43" s="87"/>
      <c r="AF43" s="87"/>
      <c r="AG43" s="88"/>
      <c r="AH43" s="31"/>
      <c r="AI43" s="31"/>
      <c r="AJ43" s="31"/>
      <c r="AK43" s="33">
        <f>AK37+AL37</f>
        <v>17193018.18181818</v>
      </c>
      <c r="AL43" s="90" t="s">
        <v>44</v>
      </c>
      <c r="AM43" s="90"/>
      <c r="AN43" s="90" t="s">
        <v>64</v>
      </c>
      <c r="AO43" s="90" t="s">
        <v>65</v>
      </c>
      <c r="AP43" s="31"/>
      <c r="AQ43" s="31"/>
      <c r="AR43" s="31"/>
      <c r="AS43" s="31"/>
      <c r="AT43" s="31"/>
      <c r="AU43" s="33"/>
      <c r="AV43" s="31"/>
      <c r="AW43" s="33"/>
    </row>
    <row r="44" spans="1:50" ht="21" customHeight="1">
      <c r="A44" s="31"/>
      <c r="B44" s="68"/>
      <c r="C44" s="181"/>
      <c r="D44" s="90"/>
      <c r="E44" s="91"/>
      <c r="F44" s="92"/>
      <c r="G44" s="92"/>
      <c r="H44" s="92"/>
      <c r="I44" s="92"/>
      <c r="J44" s="92"/>
      <c r="K44" s="92"/>
      <c r="L44" s="93"/>
      <c r="M44" s="91"/>
      <c r="N44" s="92"/>
      <c r="O44" s="92"/>
      <c r="P44" s="92"/>
      <c r="Q44" s="92"/>
      <c r="R44" s="92"/>
      <c r="S44" s="92"/>
      <c r="T44" s="93"/>
      <c r="U44" s="31"/>
      <c r="V44" s="31"/>
      <c r="W44" s="31"/>
      <c r="X44" s="31"/>
      <c r="Y44" s="31"/>
      <c r="Z44" s="91"/>
      <c r="AA44" s="92"/>
      <c r="AB44" s="92"/>
      <c r="AC44" s="92"/>
      <c r="AD44" s="92"/>
      <c r="AE44" s="92"/>
      <c r="AF44" s="92"/>
      <c r="AG44" s="93"/>
      <c r="AH44" s="31"/>
      <c r="AI44" s="34"/>
      <c r="AJ44" s="89" t="s">
        <v>45</v>
      </c>
      <c r="AK44" s="67">
        <f>K45+S45+AF45+AL44</f>
        <v>14782000</v>
      </c>
      <c r="AL44" s="182">
        <f>AN44+AO44</f>
        <v>956600</v>
      </c>
      <c r="AM44" s="182"/>
      <c r="AN44" s="34">
        <v>720000</v>
      </c>
      <c r="AO44" s="34">
        <v>236600</v>
      </c>
      <c r="AP44" s="31"/>
      <c r="AQ44" s="31"/>
      <c r="AR44" s="31"/>
      <c r="AS44" s="31"/>
      <c r="AT44" s="31"/>
      <c r="AU44" s="33"/>
      <c r="AV44" s="31"/>
      <c r="AW44" s="33"/>
    </row>
    <row r="45" spans="1:50" ht="21" customHeight="1">
      <c r="A45" s="31"/>
      <c r="B45" s="68"/>
      <c r="C45" s="180"/>
      <c r="D45" s="90"/>
      <c r="E45" s="31"/>
      <c r="F45" s="31"/>
      <c r="G45" s="31"/>
      <c r="H45" s="31"/>
      <c r="I45" s="94"/>
      <c r="J45" s="95" t="s">
        <v>46</v>
      </c>
      <c r="K45" s="183">
        <v>1125000</v>
      </c>
      <c r="L45" s="96" t="s">
        <v>47</v>
      </c>
      <c r="M45" s="34"/>
      <c r="N45" s="34"/>
      <c r="O45" s="34"/>
      <c r="P45" s="34"/>
      <c r="Q45" s="34"/>
      <c r="R45" s="95" t="s">
        <v>48</v>
      </c>
      <c r="S45" s="183">
        <v>10676400</v>
      </c>
      <c r="T45" s="96" t="s">
        <v>47</v>
      </c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94" t="s">
        <v>49</v>
      </c>
      <c r="AF45" s="183">
        <v>2024000</v>
      </c>
      <c r="AG45" s="96" t="s">
        <v>47</v>
      </c>
      <c r="AH45" s="34"/>
      <c r="AI45" s="34"/>
      <c r="AJ45" s="89" t="s">
        <v>50</v>
      </c>
      <c r="AK45" s="67">
        <f>AK44-AK37-AL37</f>
        <v>-2411018.1818181812</v>
      </c>
      <c r="AL45" s="67">
        <f>AL44-AL37</f>
        <v>93554.545454545529</v>
      </c>
      <c r="AM45" s="67"/>
      <c r="AN45" s="107">
        <f>AL37/AL44</f>
        <v>0.90220097694486145</v>
      </c>
      <c r="AO45" s="31"/>
      <c r="AP45" s="31"/>
      <c r="AQ45" s="31"/>
      <c r="AR45" s="31"/>
      <c r="AS45" s="33"/>
      <c r="AT45" s="31"/>
      <c r="AU45" s="33"/>
      <c r="AV45" s="31"/>
      <c r="AW45" s="31"/>
    </row>
    <row r="46" spans="1:50" ht="21" customHeight="1">
      <c r="A46" s="31"/>
      <c r="B46" s="68"/>
      <c r="C46" s="180"/>
      <c r="D46" s="90"/>
      <c r="E46" s="31"/>
      <c r="F46" s="31"/>
      <c r="G46" s="31"/>
      <c r="H46" s="31"/>
      <c r="I46" s="94"/>
      <c r="J46" s="94" t="s">
        <v>50</v>
      </c>
      <c r="K46" s="67">
        <f>K45-K37</f>
        <v>-19627.272727272706</v>
      </c>
      <c r="L46" s="97">
        <v>0</v>
      </c>
      <c r="M46" s="34"/>
      <c r="N46" s="34"/>
      <c r="O46" s="34"/>
      <c r="P46" s="34"/>
      <c r="Q46" s="34"/>
      <c r="R46" s="94" t="s">
        <v>50</v>
      </c>
      <c r="S46" s="67">
        <f>S45-S37</f>
        <v>-1022654.5454545449</v>
      </c>
      <c r="T46" s="34">
        <f>L46</f>
        <v>0</v>
      </c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94" t="s">
        <v>50</v>
      </c>
      <c r="AF46" s="67">
        <f>AF45-AF37</f>
        <v>-1462290.9090909087</v>
      </c>
      <c r="AG46" s="34">
        <f>L46</f>
        <v>0</v>
      </c>
      <c r="AH46" s="34"/>
      <c r="AI46" s="98"/>
      <c r="AJ46" s="99" t="s">
        <v>51</v>
      </c>
      <c r="AK46" s="100" t="e">
        <f>AK45/L46</f>
        <v>#DIV/0!</v>
      </c>
      <c r="AL46" s="106">
        <f>(AK37+AL37)/AK44</f>
        <v>1.1631050048584888</v>
      </c>
      <c r="AM46" s="106"/>
      <c r="AN46" s="98"/>
      <c r="AO46" s="101"/>
      <c r="AP46" s="31"/>
      <c r="AQ46" s="31"/>
      <c r="AR46" s="31"/>
      <c r="AS46" s="33"/>
      <c r="AT46" s="31"/>
      <c r="AU46" s="33"/>
      <c r="AV46" s="31"/>
      <c r="AW46" s="31"/>
    </row>
    <row r="47" spans="1:50" ht="25.5" customHeight="1">
      <c r="A47" s="101"/>
      <c r="B47" s="102"/>
      <c r="C47" s="184"/>
      <c r="D47" s="115"/>
      <c r="E47" s="101"/>
      <c r="F47" s="101"/>
      <c r="G47" s="101"/>
      <c r="H47" s="101"/>
      <c r="I47" s="103"/>
      <c r="J47" s="99" t="s">
        <v>51</v>
      </c>
      <c r="K47" s="104" t="e">
        <f>K46/L46</f>
        <v>#DIV/0!</v>
      </c>
      <c r="L47" s="105">
        <f>K37/K45</f>
        <v>1.0174464646464647</v>
      </c>
      <c r="M47" s="98"/>
      <c r="N47" s="98"/>
      <c r="O47" s="98"/>
      <c r="P47" s="98"/>
      <c r="Q47" s="98"/>
      <c r="R47" s="99" t="s">
        <v>51</v>
      </c>
      <c r="S47" s="100" t="e">
        <f>S46/T46</f>
        <v>#DIV/0!</v>
      </c>
      <c r="T47" s="105">
        <f>S37/S45</f>
        <v>1.0957864584929888</v>
      </c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9" t="s">
        <v>51</v>
      </c>
      <c r="AF47" s="104" t="e">
        <f>AF46/AG46</f>
        <v>#DIV/0!</v>
      </c>
      <c r="AG47" s="105">
        <f>AF37/AF45</f>
        <v>1.7224757455982751</v>
      </c>
      <c r="AH47" s="98"/>
      <c r="AI47" s="31"/>
      <c r="AJ47" s="31"/>
      <c r="AK47" s="33"/>
      <c r="AL47" s="31"/>
      <c r="AM47" s="31"/>
      <c r="AN47" s="31"/>
      <c r="AO47" s="31"/>
      <c r="AP47" s="101"/>
      <c r="AQ47" s="101"/>
      <c r="AR47" s="101"/>
      <c r="AS47" s="108"/>
      <c r="AT47" s="101"/>
      <c r="AU47" s="108"/>
      <c r="AV47" s="101"/>
      <c r="AW47" s="101"/>
    </row>
    <row r="48" spans="1:50" ht="15.75" customHeight="1">
      <c r="A48" s="31"/>
      <c r="B48" s="68"/>
      <c r="C48" s="180"/>
      <c r="D48" s="90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109"/>
      <c r="AJ48" s="109"/>
      <c r="AK48" s="109"/>
      <c r="AL48" s="109"/>
      <c r="AM48" s="109"/>
      <c r="AN48" s="109"/>
      <c r="AO48" s="109"/>
      <c r="AP48" s="31"/>
      <c r="AQ48" s="31"/>
      <c r="AR48" s="31"/>
      <c r="AS48" s="33"/>
      <c r="AT48" s="31"/>
      <c r="AU48" s="33"/>
      <c r="AV48" s="31"/>
      <c r="AW48" s="31"/>
    </row>
    <row r="49" spans="1:49" ht="36" customHeight="1">
      <c r="A49" s="109"/>
      <c r="B49" s="110"/>
      <c r="C49" s="185"/>
      <c r="D49" s="1"/>
      <c r="E49" s="109"/>
      <c r="F49" s="109"/>
      <c r="G49" s="109"/>
      <c r="H49" s="109"/>
      <c r="I49" s="109"/>
      <c r="J49" s="109"/>
      <c r="K49" s="109"/>
      <c r="L49" s="109"/>
      <c r="M49" s="111"/>
      <c r="N49" s="31"/>
      <c r="O49" s="31"/>
      <c r="P49" s="31"/>
      <c r="Q49" s="31"/>
      <c r="R49" s="31"/>
      <c r="S49" s="111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"/>
      <c r="AJ49" s="1"/>
      <c r="AK49" s="1"/>
      <c r="AL49" s="1"/>
      <c r="AM49" s="1"/>
      <c r="AN49" s="1"/>
      <c r="AO49" s="1"/>
      <c r="AP49" s="109"/>
      <c r="AQ49" s="109"/>
      <c r="AR49" s="109"/>
      <c r="AS49" s="112"/>
      <c r="AT49" s="109"/>
      <c r="AU49" s="112"/>
      <c r="AV49" s="109"/>
      <c r="AW49" s="109"/>
    </row>
    <row r="50" spans="1:49" ht="36" customHeight="1">
      <c r="A50" s="1"/>
      <c r="B50" s="113"/>
      <c r="C50" s="123"/>
      <c r="D50" s="1"/>
      <c r="E50" s="1"/>
      <c r="F50" s="1"/>
      <c r="G50" s="1"/>
      <c r="H50" s="1"/>
      <c r="I50" s="1"/>
      <c r="J50" s="1"/>
      <c r="K50" s="1"/>
      <c r="L50" s="1"/>
      <c r="M50" s="114"/>
      <c r="N50" s="31"/>
      <c r="O50" s="31"/>
      <c r="P50" s="31"/>
      <c r="Q50" s="31"/>
      <c r="R50" s="31"/>
      <c r="S50" s="114"/>
      <c r="T50" s="114"/>
      <c r="U50" s="1"/>
      <c r="V50" s="1"/>
      <c r="W50" s="1"/>
      <c r="X50" s="1"/>
      <c r="Y50" s="1"/>
      <c r="Z50" s="1"/>
      <c r="AA50" s="115"/>
      <c r="AB50" s="1"/>
      <c r="AC50" s="1"/>
      <c r="AD50" s="1"/>
      <c r="AE50" s="1"/>
      <c r="AF50" s="1"/>
      <c r="AG50" s="1"/>
      <c r="AH50" s="1"/>
      <c r="AI50" s="109"/>
      <c r="AJ50" s="109"/>
      <c r="AK50" s="109"/>
      <c r="AL50" s="109"/>
      <c r="AM50" s="109"/>
      <c r="AN50" s="109"/>
      <c r="AO50" s="109"/>
      <c r="AP50" s="1"/>
      <c r="AQ50" s="1"/>
      <c r="AR50" s="1"/>
      <c r="AS50" s="116"/>
      <c r="AT50" s="1"/>
      <c r="AU50" s="116"/>
      <c r="AV50" s="1"/>
      <c r="AW50" s="1"/>
    </row>
    <row r="51" spans="1:49" ht="36" customHeight="1">
      <c r="A51" s="109"/>
      <c r="B51" s="110"/>
      <c r="C51" s="185"/>
      <c r="D51" s="1"/>
      <c r="E51" s="109"/>
      <c r="F51" s="109"/>
      <c r="G51" s="109"/>
      <c r="H51" s="109"/>
      <c r="I51" s="109"/>
      <c r="J51" s="109"/>
      <c r="K51" s="109"/>
      <c r="L51" s="1"/>
      <c r="M51" s="114"/>
      <c r="N51" s="31"/>
      <c r="O51" s="31"/>
      <c r="P51" s="31"/>
      <c r="Q51" s="31"/>
      <c r="R51" s="31"/>
      <c r="S51" s="117"/>
      <c r="T51" s="118"/>
      <c r="U51" s="118"/>
      <c r="V51" s="118"/>
      <c r="W51" s="118"/>
      <c r="X51" s="119"/>
      <c r="Y51" s="120"/>
      <c r="Z51" s="121"/>
      <c r="AA51" s="122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12"/>
      <c r="AT51" s="109"/>
      <c r="AU51" s="112"/>
      <c r="AV51" s="109"/>
      <c r="AW51" s="109"/>
    </row>
    <row r="52" spans="1:49" ht="36" customHeight="1">
      <c r="A52" s="109"/>
      <c r="B52" s="110"/>
      <c r="C52" s="185"/>
      <c r="D52" s="1"/>
      <c r="E52" s="109"/>
      <c r="F52" s="109"/>
      <c r="G52" s="109"/>
      <c r="H52" s="109"/>
      <c r="I52" s="109"/>
      <c r="J52" s="109"/>
      <c r="K52" s="109"/>
      <c r="L52" s="1"/>
      <c r="M52" s="114"/>
      <c r="N52" s="31"/>
      <c r="O52" s="31"/>
      <c r="P52" s="31"/>
      <c r="Q52" s="31"/>
      <c r="R52" s="31"/>
      <c r="S52" s="119"/>
      <c r="T52" s="118"/>
      <c r="U52" s="118"/>
      <c r="V52" s="118"/>
      <c r="W52" s="118"/>
      <c r="X52" s="119"/>
      <c r="Y52" s="120"/>
      <c r="Z52" s="121"/>
      <c r="AA52" s="122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12"/>
      <c r="AT52" s="109"/>
      <c r="AU52" s="112"/>
      <c r="AV52" s="109"/>
      <c r="AW52" s="109"/>
    </row>
    <row r="53" spans="1:49" ht="36" customHeight="1">
      <c r="A53" s="109"/>
      <c r="B53" s="110"/>
      <c r="C53" s="185"/>
      <c r="D53" s="1"/>
      <c r="E53" s="109"/>
      <c r="F53" s="109"/>
      <c r="G53" s="109"/>
      <c r="H53" s="109"/>
      <c r="I53" s="109"/>
      <c r="J53" s="109"/>
      <c r="K53" s="109"/>
      <c r="L53" s="1"/>
      <c r="M53" s="114"/>
      <c r="N53" s="31"/>
      <c r="O53" s="31"/>
      <c r="P53" s="31"/>
      <c r="Q53" s="31"/>
      <c r="R53" s="31"/>
      <c r="S53" s="119"/>
      <c r="T53" s="118"/>
      <c r="U53" s="118"/>
      <c r="V53" s="118"/>
      <c r="W53" s="118"/>
      <c r="X53" s="119"/>
      <c r="Y53" s="120"/>
      <c r="Z53" s="121"/>
      <c r="AA53" s="122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12"/>
      <c r="AT53" s="109"/>
      <c r="AU53" s="112"/>
      <c r="AV53" s="109"/>
      <c r="AW53" s="109"/>
    </row>
    <row r="54" spans="1:49" ht="36" customHeight="1">
      <c r="A54" s="109"/>
      <c r="B54" s="110"/>
      <c r="C54" s="185"/>
      <c r="D54" s="1"/>
      <c r="E54" s="109"/>
      <c r="F54" s="109"/>
      <c r="G54" s="109"/>
      <c r="H54" s="109"/>
      <c r="I54" s="109"/>
      <c r="J54" s="109"/>
      <c r="K54" s="109"/>
      <c r="L54" s="1"/>
      <c r="M54" s="114"/>
      <c r="N54" s="31"/>
      <c r="O54" s="31"/>
      <c r="P54" s="31"/>
      <c r="Q54" s="31"/>
      <c r="R54" s="31"/>
      <c r="S54" s="119"/>
      <c r="T54" s="118"/>
      <c r="U54" s="118"/>
      <c r="V54" s="118"/>
      <c r="W54" s="118"/>
      <c r="X54" s="119"/>
      <c r="Y54" s="120"/>
      <c r="Z54" s="121"/>
      <c r="AA54" s="122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12"/>
      <c r="AT54" s="109"/>
      <c r="AU54" s="112"/>
      <c r="AV54" s="109"/>
      <c r="AW54" s="109"/>
    </row>
    <row r="55" spans="1:49" ht="36" customHeight="1">
      <c r="A55" s="109"/>
      <c r="B55" s="110"/>
      <c r="C55" s="185"/>
      <c r="D55" s="1"/>
      <c r="E55" s="109"/>
      <c r="F55" s="109"/>
      <c r="G55" s="109"/>
      <c r="H55" s="109"/>
      <c r="I55" s="109"/>
      <c r="J55" s="109"/>
      <c r="K55" s="109"/>
      <c r="L55" s="109"/>
      <c r="M55" s="111"/>
      <c r="N55" s="31"/>
      <c r="O55" s="31"/>
      <c r="P55" s="31"/>
      <c r="Q55" s="31"/>
      <c r="R55" s="31"/>
      <c r="S55" s="119"/>
      <c r="T55" s="118"/>
      <c r="U55" s="118"/>
      <c r="V55" s="118"/>
      <c r="W55" s="118"/>
      <c r="X55" s="120"/>
      <c r="Y55" s="120"/>
      <c r="Z55" s="121"/>
      <c r="AA55" s="122"/>
      <c r="AB55" s="109"/>
      <c r="AC55" s="109"/>
      <c r="AD55" s="109"/>
      <c r="AE55" s="109"/>
      <c r="AF55" s="109"/>
      <c r="AG55" s="109"/>
      <c r="AH55" s="109"/>
      <c r="AI55" s="31"/>
      <c r="AJ55" s="31"/>
      <c r="AK55" s="31"/>
      <c r="AL55" s="31"/>
      <c r="AM55" s="31"/>
      <c r="AN55" s="31"/>
      <c r="AO55" s="31"/>
      <c r="AP55" s="109"/>
      <c r="AQ55" s="109"/>
      <c r="AR55" s="109"/>
      <c r="AS55" s="112"/>
      <c r="AT55" s="109"/>
      <c r="AU55" s="112"/>
      <c r="AV55" s="109"/>
      <c r="AW55" s="109"/>
    </row>
    <row r="56" spans="1:49" ht="15.75" customHeight="1">
      <c r="A56" s="31"/>
      <c r="B56" s="68"/>
      <c r="C56" s="180"/>
      <c r="D56" s="90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121"/>
      <c r="AA56" s="12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3"/>
      <c r="AV56" s="31"/>
      <c r="AW56" s="33"/>
    </row>
    <row r="57" spans="1:49" ht="15.75" customHeight="1">
      <c r="A57" s="31"/>
      <c r="B57" s="68"/>
      <c r="C57" s="180"/>
      <c r="D57" s="90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109"/>
      <c r="AA57" s="109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3"/>
      <c r="AV57" s="31"/>
      <c r="AW57" s="33"/>
    </row>
    <row r="58" spans="1:49" ht="15.75" customHeight="1">
      <c r="A58" s="31"/>
      <c r="B58" s="68"/>
      <c r="C58" s="180"/>
      <c r="D58" s="90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3"/>
      <c r="AV58" s="31"/>
      <c r="AW58" s="33"/>
    </row>
    <row r="59" spans="1:49" ht="15.75" customHeight="1">
      <c r="A59" s="31"/>
      <c r="B59" s="68"/>
      <c r="C59" s="180"/>
      <c r="D59" s="90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3"/>
      <c r="AV59" s="31"/>
      <c r="AW59" s="33"/>
    </row>
    <row r="60" spans="1:49" ht="15.75" customHeight="1">
      <c r="A60" s="31"/>
      <c r="B60" s="68"/>
      <c r="C60" s="180"/>
      <c r="D60" s="90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3"/>
      <c r="AV60" s="31"/>
      <c r="AW60" s="33"/>
    </row>
    <row r="61" spans="1:49" ht="15.75" customHeight="1">
      <c r="A61" s="31"/>
      <c r="B61" s="68"/>
      <c r="C61" s="180"/>
      <c r="D61" s="90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3"/>
      <c r="AV61" s="31"/>
      <c r="AW61" s="33"/>
    </row>
    <row r="62" spans="1:49" ht="15.75" customHeight="1">
      <c r="A62" s="31"/>
      <c r="B62" s="68"/>
      <c r="C62" s="180"/>
      <c r="D62" s="90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3"/>
      <c r="AV62" s="31"/>
      <c r="AW62" s="33"/>
    </row>
    <row r="63" spans="1:49" ht="15.75" customHeight="1">
      <c r="A63" s="31"/>
      <c r="B63" s="68"/>
      <c r="C63" s="180"/>
      <c r="D63" s="90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3"/>
      <c r="AV63" s="31"/>
      <c r="AW63" s="33"/>
    </row>
    <row r="64" spans="1:49" ht="15.75" customHeight="1">
      <c r="A64" s="31"/>
      <c r="B64" s="68"/>
      <c r="C64" s="180"/>
      <c r="D64" s="90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3"/>
      <c r="AV64" s="31"/>
      <c r="AW64" s="33"/>
    </row>
    <row r="65" spans="1:49" ht="15.75" customHeight="1">
      <c r="A65" s="31"/>
      <c r="B65" s="68"/>
      <c r="C65" s="180"/>
      <c r="D65" s="90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3"/>
      <c r="AV65" s="31"/>
      <c r="AW65" s="33"/>
    </row>
    <row r="66" spans="1:49" ht="15.75" customHeight="1">
      <c r="A66" s="31"/>
      <c r="B66" s="68"/>
      <c r="C66" s="180"/>
      <c r="D66" s="90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3"/>
      <c r="AV66" s="31"/>
      <c r="AW66" s="33"/>
    </row>
    <row r="67" spans="1:49" ht="15.75" customHeight="1">
      <c r="A67" s="31"/>
      <c r="B67" s="68"/>
      <c r="C67" s="180"/>
      <c r="D67" s="90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3"/>
      <c r="AV67" s="31"/>
      <c r="AW67" s="33"/>
    </row>
    <row r="68" spans="1:49" ht="15.75" customHeight="1">
      <c r="A68" s="31"/>
      <c r="B68" s="68"/>
      <c r="C68" s="180"/>
      <c r="D68" s="90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3"/>
      <c r="AV68" s="31"/>
      <c r="AW68" s="33"/>
    </row>
    <row r="69" spans="1:49" ht="15.75" customHeight="1">
      <c r="A69" s="31"/>
      <c r="B69" s="68"/>
      <c r="C69" s="180"/>
      <c r="D69" s="90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3"/>
      <c r="AV69" s="31"/>
      <c r="AW69" s="33"/>
    </row>
    <row r="70" spans="1:49" ht="15.75" customHeight="1">
      <c r="A70" s="31"/>
      <c r="B70" s="68"/>
      <c r="C70" s="180"/>
      <c r="D70" s="90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3"/>
      <c r="AV70" s="31"/>
      <c r="AW70" s="33"/>
    </row>
    <row r="71" spans="1:49" ht="15.75" customHeight="1">
      <c r="A71" s="31"/>
      <c r="B71" s="68"/>
      <c r="C71" s="180"/>
      <c r="D71" s="90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3"/>
      <c r="AV71" s="31"/>
      <c r="AW71" s="33"/>
    </row>
    <row r="72" spans="1:49" ht="15.75" customHeight="1">
      <c r="A72" s="31"/>
      <c r="B72" s="68"/>
      <c r="C72" s="180"/>
      <c r="D72" s="90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3"/>
      <c r="AV72" s="31"/>
      <c r="AW72" s="33"/>
    </row>
    <row r="73" spans="1:49" ht="15.75" customHeight="1">
      <c r="A73" s="31"/>
      <c r="B73" s="68"/>
      <c r="C73" s="180"/>
      <c r="D73" s="90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3"/>
      <c r="AV73" s="31"/>
      <c r="AW73" s="33"/>
    </row>
    <row r="74" spans="1:49" ht="15.75" customHeight="1">
      <c r="A74" s="31"/>
      <c r="B74" s="68"/>
      <c r="C74" s="180"/>
      <c r="D74" s="90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3"/>
      <c r="AV74" s="31"/>
      <c r="AW74" s="33"/>
    </row>
    <row r="75" spans="1:49" ht="15.75" customHeight="1">
      <c r="A75" s="31"/>
      <c r="B75" s="68"/>
      <c r="C75" s="180"/>
      <c r="D75" s="90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3"/>
      <c r="AV75" s="31"/>
      <c r="AW75" s="33"/>
    </row>
    <row r="76" spans="1:49" ht="15.75" customHeight="1">
      <c r="A76" s="31"/>
      <c r="B76" s="68"/>
      <c r="C76" s="180"/>
      <c r="D76" s="90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3"/>
      <c r="AV76" s="31"/>
      <c r="AW76" s="33"/>
    </row>
    <row r="77" spans="1:49" ht="15.75" customHeight="1">
      <c r="A77" s="31"/>
      <c r="B77" s="68"/>
      <c r="C77" s="180"/>
      <c r="D77" s="90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3"/>
      <c r="AV77" s="31"/>
      <c r="AW77" s="33"/>
    </row>
    <row r="78" spans="1:49" ht="15.75" customHeight="1">
      <c r="A78" s="31"/>
      <c r="B78" s="68"/>
      <c r="C78" s="180"/>
      <c r="D78" s="90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3"/>
      <c r="AV78" s="31"/>
      <c r="AW78" s="33"/>
    </row>
    <row r="79" spans="1:49" ht="15.75" customHeight="1">
      <c r="A79" s="31"/>
      <c r="B79" s="68"/>
      <c r="C79" s="180"/>
      <c r="D79" s="90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3"/>
      <c r="AV79" s="31"/>
      <c r="AW79" s="33"/>
    </row>
    <row r="80" spans="1:49" ht="15.75" customHeight="1">
      <c r="A80" s="31"/>
      <c r="B80" s="68"/>
      <c r="C80" s="180"/>
      <c r="D80" s="90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3"/>
      <c r="AV80" s="31"/>
      <c r="AW80" s="33"/>
    </row>
    <row r="81" spans="1:49" ht="15.75" customHeight="1">
      <c r="A81" s="31"/>
      <c r="B81" s="68"/>
      <c r="C81" s="180"/>
      <c r="D81" s="90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3"/>
      <c r="AV81" s="31"/>
      <c r="AW81" s="33"/>
    </row>
    <row r="82" spans="1:49" ht="15.75" customHeight="1">
      <c r="A82" s="31"/>
      <c r="B82" s="68"/>
      <c r="C82" s="180"/>
      <c r="D82" s="90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3"/>
      <c r="AV82" s="31"/>
      <c r="AW82" s="33"/>
    </row>
    <row r="83" spans="1:49" ht="15.75" customHeight="1">
      <c r="A83" s="31"/>
      <c r="B83" s="68"/>
      <c r="C83" s="180"/>
      <c r="D83" s="90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3"/>
      <c r="AV83" s="31"/>
      <c r="AW83" s="33"/>
    </row>
    <row r="84" spans="1:49" ht="15.75" customHeight="1">
      <c r="A84" s="31"/>
      <c r="B84" s="68"/>
      <c r="C84" s="180"/>
      <c r="D84" s="90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3"/>
      <c r="AV84" s="31"/>
      <c r="AW84" s="33"/>
    </row>
    <row r="85" spans="1:49" ht="15.75" customHeight="1">
      <c r="A85" s="31"/>
      <c r="B85" s="68"/>
      <c r="C85" s="180"/>
      <c r="D85" s="90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3"/>
      <c r="AV85" s="31"/>
      <c r="AW85" s="33"/>
    </row>
    <row r="86" spans="1:49" ht="15.75" customHeight="1">
      <c r="A86" s="31"/>
      <c r="B86" s="68"/>
      <c r="C86" s="180"/>
      <c r="D86" s="90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3"/>
      <c r="AV86" s="31"/>
      <c r="AW86" s="33"/>
    </row>
    <row r="87" spans="1:49" ht="15.75" customHeight="1">
      <c r="A87" s="31"/>
      <c r="B87" s="68"/>
      <c r="C87" s="180"/>
      <c r="D87" s="90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3"/>
      <c r="AV87" s="31"/>
      <c r="AW87" s="33"/>
    </row>
    <row r="88" spans="1:49" ht="15.75" customHeight="1">
      <c r="A88" s="31"/>
      <c r="B88" s="68"/>
      <c r="C88" s="180"/>
      <c r="D88" s="90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3"/>
      <c r="AV88" s="31"/>
      <c r="AW88" s="33"/>
    </row>
    <row r="89" spans="1:49" ht="15.75" customHeight="1">
      <c r="A89" s="31"/>
      <c r="B89" s="68"/>
      <c r="C89" s="180"/>
      <c r="D89" s="90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3"/>
      <c r="AV89" s="31"/>
      <c r="AW89" s="33"/>
    </row>
    <row r="90" spans="1:49" ht="15.75" customHeight="1">
      <c r="A90" s="31"/>
      <c r="B90" s="68"/>
      <c r="C90" s="180"/>
      <c r="D90" s="90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3"/>
      <c r="AV90" s="31"/>
      <c r="AW90" s="33"/>
    </row>
    <row r="91" spans="1:49" ht="15.75" customHeight="1">
      <c r="A91" s="31"/>
      <c r="B91" s="68"/>
      <c r="C91" s="180"/>
      <c r="D91" s="90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3"/>
      <c r="AV91" s="31"/>
      <c r="AW91" s="33"/>
    </row>
    <row r="92" spans="1:49" ht="15.75" customHeight="1">
      <c r="A92" s="31"/>
      <c r="B92" s="68"/>
      <c r="C92" s="180"/>
      <c r="D92" s="90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3"/>
      <c r="AV92" s="31"/>
      <c r="AW92" s="33"/>
    </row>
    <row r="93" spans="1:49" ht="15.75" customHeight="1">
      <c r="A93" s="31"/>
      <c r="B93" s="68"/>
      <c r="C93" s="180"/>
      <c r="D93" s="90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3"/>
      <c r="AV93" s="31"/>
      <c r="AW93" s="33"/>
    </row>
    <row r="94" spans="1:49" ht="15.75" customHeight="1">
      <c r="A94" s="31"/>
      <c r="B94" s="68"/>
      <c r="C94" s="180"/>
      <c r="D94" s="90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3"/>
      <c r="AV94" s="31"/>
      <c r="AW94" s="33"/>
    </row>
    <row r="95" spans="1:49" ht="15.75" customHeight="1">
      <c r="A95" s="31"/>
      <c r="B95" s="68"/>
      <c r="C95" s="180"/>
      <c r="D95" s="90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3"/>
      <c r="AV95" s="31"/>
      <c r="AW95" s="33"/>
    </row>
    <row r="96" spans="1:49" ht="15.75" customHeight="1">
      <c r="A96" s="31"/>
      <c r="B96" s="68"/>
      <c r="C96" s="180"/>
      <c r="D96" s="90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3"/>
      <c r="AV96" s="31"/>
      <c r="AW96" s="33"/>
    </row>
    <row r="97" spans="1:49" ht="15.75" customHeight="1">
      <c r="A97" s="31"/>
      <c r="B97" s="68"/>
      <c r="C97" s="180"/>
      <c r="D97" s="90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3"/>
      <c r="AV97" s="31"/>
      <c r="AW97" s="33"/>
    </row>
    <row r="98" spans="1:49" ht="15.75" customHeight="1">
      <c r="A98" s="31"/>
      <c r="B98" s="68"/>
      <c r="C98" s="180"/>
      <c r="D98" s="90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3"/>
      <c r="AV98" s="31"/>
      <c r="AW98" s="33"/>
    </row>
    <row r="99" spans="1:49" ht="15.75" customHeight="1">
      <c r="A99" s="31"/>
      <c r="B99" s="68"/>
      <c r="C99" s="180"/>
      <c r="D99" s="90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3"/>
      <c r="AV99" s="31"/>
      <c r="AW99" s="33"/>
    </row>
    <row r="100" spans="1:49" ht="15.75" customHeight="1">
      <c r="A100" s="31"/>
      <c r="B100" s="68"/>
      <c r="C100" s="180"/>
      <c r="D100" s="90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3"/>
      <c r="AV100" s="31"/>
      <c r="AW100" s="33"/>
    </row>
    <row r="101" spans="1:49" ht="15.75" customHeight="1">
      <c r="A101" s="31"/>
      <c r="B101" s="68"/>
      <c r="C101" s="180"/>
      <c r="D101" s="90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3"/>
      <c r="AV101" s="31"/>
      <c r="AW101" s="33"/>
    </row>
    <row r="102" spans="1:49" ht="15.75" customHeight="1">
      <c r="A102" s="31"/>
      <c r="B102" s="68"/>
      <c r="C102" s="180"/>
      <c r="D102" s="90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3"/>
      <c r="AV102" s="31"/>
      <c r="AW102" s="33"/>
    </row>
    <row r="103" spans="1:49" ht="15.75" customHeight="1">
      <c r="A103" s="31"/>
      <c r="B103" s="68"/>
      <c r="C103" s="180"/>
      <c r="D103" s="90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3"/>
      <c r="AV103" s="31"/>
      <c r="AW103" s="33"/>
    </row>
    <row r="104" spans="1:49" ht="15.75" customHeight="1">
      <c r="A104" s="31"/>
      <c r="B104" s="68"/>
      <c r="C104" s="180"/>
      <c r="D104" s="90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3"/>
      <c r="AV104" s="31"/>
      <c r="AW104" s="33"/>
    </row>
    <row r="105" spans="1:49" ht="15.75" customHeight="1">
      <c r="A105" s="31"/>
      <c r="B105" s="68"/>
      <c r="C105" s="180"/>
      <c r="D105" s="90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3"/>
      <c r="AV105" s="31"/>
      <c r="AW105" s="33"/>
    </row>
    <row r="106" spans="1:49" ht="15.75" customHeight="1">
      <c r="A106" s="31"/>
      <c r="B106" s="68"/>
      <c r="C106" s="180"/>
      <c r="D106" s="90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3"/>
      <c r="AV106" s="31"/>
      <c r="AW106" s="33"/>
    </row>
    <row r="107" spans="1:49" ht="15.75" customHeight="1">
      <c r="A107" s="31"/>
      <c r="B107" s="68"/>
      <c r="C107" s="180"/>
      <c r="D107" s="90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3"/>
      <c r="AV107" s="31"/>
      <c r="AW107" s="33"/>
    </row>
    <row r="108" spans="1:49" ht="15.75" customHeight="1">
      <c r="A108" s="31"/>
      <c r="B108" s="68"/>
      <c r="C108" s="180"/>
      <c r="D108" s="90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3"/>
      <c r="AV108" s="31"/>
      <c r="AW108" s="33"/>
    </row>
    <row r="109" spans="1:49" ht="15.75" customHeight="1">
      <c r="A109" s="31"/>
      <c r="B109" s="68"/>
      <c r="C109" s="180"/>
      <c r="D109" s="90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3"/>
      <c r="AV109" s="31"/>
      <c r="AW109" s="33"/>
    </row>
    <row r="110" spans="1:49" ht="15.75" customHeight="1">
      <c r="A110" s="31"/>
      <c r="B110" s="68"/>
      <c r="C110" s="180"/>
      <c r="D110" s="90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3"/>
      <c r="AV110" s="31"/>
      <c r="AW110" s="33"/>
    </row>
    <row r="111" spans="1:49" ht="15.75" customHeight="1">
      <c r="A111" s="31"/>
      <c r="B111" s="68"/>
      <c r="C111" s="180"/>
      <c r="D111" s="90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3"/>
      <c r="AV111" s="31"/>
      <c r="AW111" s="33"/>
    </row>
    <row r="112" spans="1:49" ht="15.75" customHeight="1">
      <c r="A112" s="31"/>
      <c r="B112" s="68"/>
      <c r="C112" s="180"/>
      <c r="D112" s="90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3"/>
      <c r="AV112" s="31"/>
      <c r="AW112" s="33"/>
    </row>
    <row r="113" spans="1:49" ht="15.75" customHeight="1">
      <c r="A113" s="31"/>
      <c r="B113" s="68"/>
      <c r="C113" s="180"/>
      <c r="D113" s="90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3"/>
      <c r="AV113" s="31"/>
      <c r="AW113" s="33"/>
    </row>
    <row r="114" spans="1:49" ht="15.75" customHeight="1">
      <c r="A114" s="31"/>
      <c r="B114" s="68"/>
      <c r="C114" s="180"/>
      <c r="D114" s="90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3"/>
      <c r="AV114" s="31"/>
      <c r="AW114" s="33"/>
    </row>
    <row r="115" spans="1:49" ht="15.75" customHeight="1">
      <c r="A115" s="31"/>
      <c r="B115" s="68"/>
      <c r="C115" s="180"/>
      <c r="D115" s="90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3"/>
      <c r="AV115" s="31"/>
      <c r="AW115" s="33"/>
    </row>
    <row r="116" spans="1:49" ht="15.75" customHeight="1">
      <c r="A116" s="31"/>
      <c r="B116" s="68"/>
      <c r="C116" s="180"/>
      <c r="D116" s="90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3"/>
      <c r="AV116" s="31"/>
      <c r="AW116" s="33"/>
    </row>
    <row r="117" spans="1:49" ht="15.75" customHeight="1">
      <c r="A117" s="31"/>
      <c r="B117" s="68"/>
      <c r="C117" s="180"/>
      <c r="D117" s="90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3"/>
      <c r="AV117" s="31"/>
      <c r="AW117" s="33"/>
    </row>
    <row r="118" spans="1:49" ht="15.75" customHeight="1">
      <c r="A118" s="31"/>
      <c r="B118" s="68"/>
      <c r="C118" s="180"/>
      <c r="D118" s="90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3"/>
      <c r="AV118" s="31"/>
      <c r="AW118" s="33"/>
    </row>
    <row r="119" spans="1:49" ht="15.75" customHeight="1">
      <c r="A119" s="31"/>
      <c r="B119" s="68"/>
      <c r="C119" s="180"/>
      <c r="D119" s="90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3"/>
      <c r="AV119" s="31"/>
      <c r="AW119" s="33"/>
    </row>
    <row r="120" spans="1:49" ht="15.75" customHeight="1">
      <c r="A120" s="31"/>
      <c r="B120" s="68"/>
      <c r="C120" s="180"/>
      <c r="D120" s="90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3"/>
      <c r="AV120" s="31"/>
      <c r="AW120" s="33"/>
    </row>
    <row r="121" spans="1:49" ht="15.75" customHeight="1">
      <c r="A121" s="31"/>
      <c r="B121" s="68"/>
      <c r="C121" s="180"/>
      <c r="D121" s="90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3"/>
      <c r="AV121" s="31"/>
      <c r="AW121" s="33"/>
    </row>
    <row r="122" spans="1:49" ht="15.75" customHeight="1">
      <c r="A122" s="31"/>
      <c r="B122" s="68"/>
      <c r="C122" s="180"/>
      <c r="D122" s="90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3"/>
      <c r="AV122" s="31"/>
      <c r="AW122" s="33"/>
    </row>
    <row r="123" spans="1:49" ht="15.75" customHeight="1">
      <c r="A123" s="31"/>
      <c r="B123" s="68"/>
      <c r="C123" s="180"/>
      <c r="D123" s="90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3"/>
      <c r="AV123" s="31"/>
      <c r="AW123" s="33"/>
    </row>
    <row r="124" spans="1:49" ht="15.75" customHeight="1">
      <c r="A124" s="31"/>
      <c r="B124" s="68"/>
      <c r="C124" s="180"/>
      <c r="D124" s="90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3"/>
      <c r="AV124" s="31"/>
      <c r="AW124" s="33"/>
    </row>
    <row r="125" spans="1:49" ht="15.75" customHeight="1">
      <c r="A125" s="31"/>
      <c r="B125" s="68"/>
      <c r="C125" s="180"/>
      <c r="D125" s="90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3"/>
      <c r="AV125" s="31"/>
      <c r="AW125" s="33"/>
    </row>
    <row r="126" spans="1:49" ht="15.75" customHeight="1">
      <c r="A126" s="31"/>
      <c r="B126" s="68"/>
      <c r="C126" s="180"/>
      <c r="D126" s="90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3"/>
      <c r="AV126" s="31"/>
      <c r="AW126" s="33"/>
    </row>
    <row r="127" spans="1:49" ht="15.75" customHeight="1">
      <c r="A127" s="31"/>
      <c r="B127" s="68"/>
      <c r="C127" s="180"/>
      <c r="D127" s="90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3"/>
      <c r="AV127" s="31"/>
      <c r="AW127" s="33"/>
    </row>
    <row r="128" spans="1:49" ht="15.75" customHeight="1">
      <c r="A128" s="31"/>
      <c r="B128" s="68"/>
      <c r="C128" s="180"/>
      <c r="D128" s="90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3"/>
      <c r="AV128" s="31"/>
      <c r="AW128" s="33"/>
    </row>
    <row r="129" spans="1:49" ht="15.75" customHeight="1">
      <c r="A129" s="31"/>
      <c r="B129" s="68"/>
      <c r="C129" s="180"/>
      <c r="D129" s="90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3"/>
      <c r="AV129" s="31"/>
      <c r="AW129" s="33"/>
    </row>
    <row r="130" spans="1:49" ht="15.75" customHeight="1">
      <c r="A130" s="31"/>
      <c r="B130" s="68"/>
      <c r="C130" s="180"/>
      <c r="D130" s="90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3"/>
      <c r="AV130" s="31"/>
      <c r="AW130" s="33"/>
    </row>
    <row r="131" spans="1:49" ht="15.75" customHeight="1">
      <c r="A131" s="31"/>
      <c r="B131" s="68"/>
      <c r="C131" s="180"/>
      <c r="D131" s="90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3"/>
      <c r="AV131" s="31"/>
      <c r="AW131" s="33"/>
    </row>
    <row r="132" spans="1:49" ht="15.75" customHeight="1">
      <c r="A132" s="31"/>
      <c r="B132" s="68"/>
      <c r="C132" s="180"/>
      <c r="D132" s="90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3"/>
      <c r="AV132" s="31"/>
      <c r="AW132" s="33"/>
    </row>
    <row r="133" spans="1:49" ht="15.75" customHeight="1">
      <c r="A133" s="31"/>
      <c r="B133" s="68"/>
      <c r="C133" s="180"/>
      <c r="D133" s="90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3"/>
      <c r="AV133" s="31"/>
      <c r="AW133" s="33"/>
    </row>
    <row r="134" spans="1:49" ht="15.75" customHeight="1">
      <c r="A134" s="31"/>
      <c r="B134" s="68"/>
      <c r="C134" s="180"/>
      <c r="D134" s="90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3"/>
      <c r="AV134" s="31"/>
      <c r="AW134" s="33"/>
    </row>
    <row r="135" spans="1:49" ht="15.75" customHeight="1">
      <c r="A135" s="31"/>
      <c r="B135" s="68"/>
      <c r="C135" s="180"/>
      <c r="D135" s="90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3"/>
      <c r="AV135" s="31"/>
      <c r="AW135" s="33"/>
    </row>
    <row r="136" spans="1:49" ht="15.75" customHeight="1">
      <c r="A136" s="31"/>
      <c r="B136" s="68"/>
      <c r="C136" s="180"/>
      <c r="D136" s="90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3"/>
      <c r="AV136" s="31"/>
      <c r="AW136" s="33"/>
    </row>
    <row r="137" spans="1:49" ht="15.75" customHeight="1">
      <c r="A137" s="31"/>
      <c r="B137" s="68"/>
      <c r="C137" s="180"/>
      <c r="D137" s="90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3"/>
      <c r="AV137" s="31"/>
      <c r="AW137" s="33"/>
    </row>
    <row r="138" spans="1:49" ht="15.75" customHeight="1">
      <c r="A138" s="31"/>
      <c r="B138" s="68"/>
      <c r="C138" s="180"/>
      <c r="D138" s="90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3"/>
      <c r="AV138" s="31"/>
      <c r="AW138" s="33"/>
    </row>
    <row r="139" spans="1:49" ht="15.75" customHeight="1">
      <c r="A139" s="31"/>
      <c r="B139" s="68"/>
      <c r="C139" s="180"/>
      <c r="D139" s="90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3"/>
      <c r="AV139" s="31"/>
      <c r="AW139" s="33"/>
    </row>
    <row r="140" spans="1:49" ht="15.75" customHeight="1">
      <c r="A140" s="31"/>
      <c r="B140" s="68"/>
      <c r="C140" s="180"/>
      <c r="D140" s="90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3"/>
      <c r="AV140" s="31"/>
      <c r="AW140" s="33"/>
    </row>
    <row r="141" spans="1:49" ht="15.75" customHeight="1">
      <c r="A141" s="31"/>
      <c r="B141" s="68"/>
      <c r="C141" s="180"/>
      <c r="D141" s="90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3"/>
      <c r="AV141" s="31"/>
      <c r="AW141" s="33"/>
    </row>
    <row r="142" spans="1:49" ht="15.75" customHeight="1">
      <c r="A142" s="31"/>
      <c r="B142" s="68"/>
      <c r="C142" s="180"/>
      <c r="D142" s="90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3"/>
      <c r="AV142" s="31"/>
      <c r="AW142" s="33"/>
    </row>
    <row r="143" spans="1:49" ht="15.75" customHeight="1">
      <c r="A143" s="31"/>
      <c r="B143" s="68"/>
      <c r="C143" s="180"/>
      <c r="D143" s="90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3"/>
      <c r="AV143" s="31"/>
      <c r="AW143" s="33"/>
    </row>
    <row r="144" spans="1:49" ht="15.75" customHeight="1">
      <c r="A144" s="31"/>
      <c r="B144" s="68"/>
      <c r="C144" s="180"/>
      <c r="D144" s="90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3"/>
      <c r="AV144" s="31"/>
      <c r="AW144" s="33"/>
    </row>
    <row r="145" spans="1:49" ht="15.75" customHeight="1">
      <c r="A145" s="31"/>
      <c r="B145" s="68"/>
      <c r="C145" s="180"/>
      <c r="D145" s="90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3"/>
      <c r="AV145" s="31"/>
      <c r="AW145" s="33"/>
    </row>
    <row r="146" spans="1:49" ht="15.75" customHeight="1">
      <c r="A146" s="31"/>
      <c r="B146" s="68"/>
      <c r="C146" s="180"/>
      <c r="D146" s="90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3"/>
      <c r="AV146" s="31"/>
      <c r="AW146" s="33"/>
    </row>
    <row r="147" spans="1:49" ht="15.75" customHeight="1">
      <c r="A147" s="31"/>
      <c r="B147" s="68"/>
      <c r="C147" s="180"/>
      <c r="D147" s="90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3"/>
      <c r="AV147" s="31"/>
      <c r="AW147" s="33"/>
    </row>
    <row r="148" spans="1:49" ht="15.75" customHeight="1">
      <c r="A148" s="31"/>
      <c r="B148" s="68"/>
      <c r="C148" s="180"/>
      <c r="D148" s="90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3"/>
      <c r="AV148" s="31"/>
      <c r="AW148" s="33"/>
    </row>
    <row r="149" spans="1:49" ht="15.75" customHeight="1">
      <c r="A149" s="31"/>
      <c r="B149" s="68"/>
      <c r="C149" s="180"/>
      <c r="D149" s="90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3"/>
      <c r="AV149" s="31"/>
      <c r="AW149" s="33"/>
    </row>
    <row r="150" spans="1:49" ht="15.75" customHeight="1">
      <c r="A150" s="31"/>
      <c r="B150" s="68"/>
      <c r="C150" s="180"/>
      <c r="D150" s="90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3"/>
      <c r="AV150" s="31"/>
      <c r="AW150" s="33"/>
    </row>
    <row r="151" spans="1:49" ht="15.75" customHeight="1">
      <c r="A151" s="31"/>
      <c r="B151" s="68"/>
      <c r="C151" s="180"/>
      <c r="D151" s="90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3"/>
      <c r="AV151" s="31"/>
      <c r="AW151" s="33"/>
    </row>
    <row r="152" spans="1:49" ht="15.75" customHeight="1">
      <c r="A152" s="31"/>
      <c r="B152" s="68"/>
      <c r="C152" s="180"/>
      <c r="D152" s="90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3"/>
      <c r="AV152" s="31"/>
      <c r="AW152" s="33"/>
    </row>
    <row r="153" spans="1:49" ht="15.75" customHeight="1">
      <c r="A153" s="31"/>
      <c r="B153" s="68"/>
      <c r="C153" s="180"/>
      <c r="D153" s="90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3"/>
      <c r="AV153" s="31"/>
      <c r="AW153" s="33"/>
    </row>
    <row r="154" spans="1:49" ht="15.75" customHeight="1">
      <c r="A154" s="31"/>
      <c r="B154" s="68"/>
      <c r="C154" s="180"/>
      <c r="D154" s="90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3"/>
      <c r="AV154" s="31"/>
      <c r="AW154" s="33"/>
    </row>
    <row r="155" spans="1:49" ht="15.75" customHeight="1">
      <c r="A155" s="31"/>
      <c r="B155" s="68"/>
      <c r="C155" s="180"/>
      <c r="D155" s="90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3"/>
      <c r="AV155" s="31"/>
      <c r="AW155" s="33"/>
    </row>
    <row r="156" spans="1:49" ht="15.75" customHeight="1">
      <c r="A156" s="31"/>
      <c r="B156" s="68"/>
      <c r="C156" s="180"/>
      <c r="D156" s="90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3"/>
      <c r="AV156" s="31"/>
      <c r="AW156" s="33"/>
    </row>
    <row r="157" spans="1:49" ht="15.75" customHeight="1">
      <c r="A157" s="31"/>
      <c r="B157" s="68"/>
      <c r="C157" s="180"/>
      <c r="D157" s="90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3"/>
      <c r="AV157" s="31"/>
      <c r="AW157" s="33"/>
    </row>
    <row r="158" spans="1:49" ht="15.75" customHeight="1">
      <c r="A158" s="31"/>
      <c r="B158" s="68"/>
      <c r="C158" s="180"/>
      <c r="D158" s="90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3"/>
      <c r="AV158" s="31"/>
      <c r="AW158" s="33"/>
    </row>
    <row r="159" spans="1:49" ht="15.75" customHeight="1">
      <c r="A159" s="31"/>
      <c r="B159" s="68"/>
      <c r="C159" s="180"/>
      <c r="D159" s="90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3"/>
      <c r="AV159" s="31"/>
      <c r="AW159" s="33"/>
    </row>
    <row r="160" spans="1:49" ht="15.75" customHeight="1">
      <c r="A160" s="31"/>
      <c r="B160" s="68"/>
      <c r="C160" s="180"/>
      <c r="D160" s="90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3"/>
      <c r="AV160" s="31"/>
      <c r="AW160" s="33"/>
    </row>
    <row r="161" spans="1:49" ht="15.75" customHeight="1">
      <c r="A161" s="31"/>
      <c r="B161" s="68"/>
      <c r="C161" s="180"/>
      <c r="D161" s="90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3"/>
      <c r="AV161" s="31"/>
      <c r="AW161" s="33"/>
    </row>
    <row r="162" spans="1:49" ht="15.75" customHeight="1">
      <c r="A162" s="31"/>
      <c r="B162" s="68"/>
      <c r="C162" s="180"/>
      <c r="D162" s="90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3"/>
      <c r="AV162" s="31"/>
      <c r="AW162" s="33"/>
    </row>
    <row r="163" spans="1:49" ht="15.75" customHeight="1">
      <c r="A163" s="31"/>
      <c r="B163" s="68"/>
      <c r="C163" s="180"/>
      <c r="D163" s="90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3"/>
      <c r="AV163" s="31"/>
      <c r="AW163" s="33"/>
    </row>
    <row r="164" spans="1:49" ht="15.75" customHeight="1">
      <c r="A164" s="31"/>
      <c r="B164" s="68"/>
      <c r="C164" s="180"/>
      <c r="D164" s="90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3"/>
      <c r="AV164" s="31"/>
      <c r="AW164" s="33"/>
    </row>
    <row r="165" spans="1:49" ht="15.75" customHeight="1">
      <c r="A165" s="31"/>
      <c r="B165" s="68"/>
      <c r="C165" s="180"/>
      <c r="D165" s="90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3"/>
      <c r="AV165" s="31"/>
      <c r="AW165" s="33"/>
    </row>
    <row r="166" spans="1:49" ht="15.75" customHeight="1">
      <c r="A166" s="31"/>
      <c r="B166" s="68"/>
      <c r="C166" s="180"/>
      <c r="D166" s="90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3"/>
      <c r="AV166" s="31"/>
      <c r="AW166" s="33"/>
    </row>
    <row r="167" spans="1:49" ht="15.75" customHeight="1">
      <c r="A167" s="31"/>
      <c r="B167" s="68"/>
      <c r="C167" s="180"/>
      <c r="D167" s="90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3"/>
      <c r="AV167" s="31"/>
      <c r="AW167" s="33"/>
    </row>
    <row r="168" spans="1:49" ht="15.75" customHeight="1">
      <c r="A168" s="31"/>
      <c r="B168" s="68"/>
      <c r="C168" s="180"/>
      <c r="D168" s="90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3"/>
      <c r="AV168" s="31"/>
      <c r="AW168" s="33"/>
    </row>
    <row r="169" spans="1:49" ht="15.75" customHeight="1">
      <c r="A169" s="31"/>
      <c r="B169" s="68"/>
      <c r="C169" s="180"/>
      <c r="D169" s="90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3"/>
      <c r="AV169" s="31"/>
      <c r="AW169" s="33"/>
    </row>
    <row r="170" spans="1:49" ht="15.75" customHeight="1">
      <c r="A170" s="31"/>
      <c r="B170" s="68"/>
      <c r="C170" s="180"/>
      <c r="D170" s="90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3"/>
      <c r="AV170" s="31"/>
      <c r="AW170" s="33"/>
    </row>
    <row r="171" spans="1:49" ht="15.75" customHeight="1">
      <c r="A171" s="31"/>
      <c r="B171" s="68"/>
      <c r="C171" s="180"/>
      <c r="D171" s="90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3"/>
      <c r="AV171" s="31"/>
      <c r="AW171" s="33"/>
    </row>
    <row r="172" spans="1:49" ht="15.75" customHeight="1">
      <c r="A172" s="31"/>
      <c r="B172" s="68"/>
      <c r="C172" s="180"/>
      <c r="D172" s="90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3"/>
      <c r="AV172" s="31"/>
      <c r="AW172" s="33"/>
    </row>
    <row r="173" spans="1:49" ht="15.75" customHeight="1">
      <c r="A173" s="31"/>
      <c r="B173" s="68"/>
      <c r="C173" s="180"/>
      <c r="D173" s="90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3"/>
      <c r="AV173" s="31"/>
      <c r="AW173" s="33"/>
    </row>
    <row r="174" spans="1:49" ht="15.75" customHeight="1">
      <c r="A174" s="31"/>
      <c r="B174" s="68"/>
      <c r="C174" s="180"/>
      <c r="D174" s="90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3"/>
      <c r="AV174" s="31"/>
      <c r="AW174" s="33"/>
    </row>
    <row r="175" spans="1:49" ht="15.75" customHeight="1">
      <c r="A175" s="31"/>
      <c r="B175" s="68"/>
      <c r="C175" s="180"/>
      <c r="D175" s="90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3"/>
      <c r="AV175" s="31"/>
      <c r="AW175" s="33"/>
    </row>
    <row r="176" spans="1:49" ht="15.75" customHeight="1">
      <c r="A176" s="31"/>
      <c r="B176" s="68"/>
      <c r="C176" s="180"/>
      <c r="D176" s="90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3"/>
      <c r="AV176" s="31"/>
      <c r="AW176" s="33"/>
    </row>
    <row r="177" spans="1:49" ht="15.75" customHeight="1">
      <c r="A177" s="31"/>
      <c r="B177" s="68"/>
      <c r="C177" s="180"/>
      <c r="D177" s="90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3"/>
      <c r="AV177" s="31"/>
      <c r="AW177" s="33"/>
    </row>
    <row r="178" spans="1:49" ht="15.75" customHeight="1">
      <c r="A178" s="31"/>
      <c r="B178" s="68"/>
      <c r="C178" s="180"/>
      <c r="D178" s="90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3"/>
      <c r="AV178" s="31"/>
      <c r="AW178" s="33"/>
    </row>
    <row r="179" spans="1:49" ht="15.75" customHeight="1">
      <c r="A179" s="31"/>
      <c r="B179" s="68"/>
      <c r="C179" s="180"/>
      <c r="D179" s="90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3"/>
      <c r="AV179" s="31"/>
      <c r="AW179" s="33"/>
    </row>
    <row r="180" spans="1:49" ht="15.75" customHeight="1">
      <c r="A180" s="31"/>
      <c r="B180" s="68"/>
      <c r="C180" s="180"/>
      <c r="D180" s="90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3"/>
      <c r="AV180" s="31"/>
      <c r="AW180" s="33"/>
    </row>
    <row r="181" spans="1:49" ht="15.75" customHeight="1">
      <c r="A181" s="31"/>
      <c r="B181" s="68"/>
      <c r="C181" s="180"/>
      <c r="D181" s="90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3"/>
      <c r="AV181" s="31"/>
      <c r="AW181" s="33"/>
    </row>
    <row r="182" spans="1:49" ht="15.75" customHeight="1">
      <c r="A182" s="31"/>
      <c r="B182" s="68"/>
      <c r="C182" s="180"/>
      <c r="D182" s="90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3"/>
      <c r="AV182" s="31"/>
      <c r="AW182" s="33"/>
    </row>
    <row r="183" spans="1:49" ht="15.75" customHeight="1">
      <c r="A183" s="31"/>
      <c r="B183" s="68"/>
      <c r="C183" s="180"/>
      <c r="D183" s="90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3"/>
      <c r="AV183" s="31"/>
      <c r="AW183" s="33"/>
    </row>
    <row r="184" spans="1:49" ht="15.75" customHeight="1">
      <c r="A184" s="31"/>
      <c r="B184" s="68"/>
      <c r="C184" s="180"/>
      <c r="D184" s="90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3"/>
      <c r="AV184" s="31"/>
      <c r="AW184" s="33"/>
    </row>
    <row r="185" spans="1:49" ht="15.75" customHeight="1">
      <c r="A185" s="31"/>
      <c r="B185" s="68"/>
      <c r="C185" s="180"/>
      <c r="D185" s="90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3"/>
      <c r="AV185" s="31"/>
      <c r="AW185" s="33"/>
    </row>
    <row r="186" spans="1:49" ht="15.75" customHeight="1">
      <c r="A186" s="31"/>
      <c r="B186" s="68"/>
      <c r="C186" s="180"/>
      <c r="D186" s="90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3"/>
      <c r="AV186" s="31"/>
      <c r="AW186" s="33"/>
    </row>
    <row r="187" spans="1:49" ht="15.75" customHeight="1">
      <c r="A187" s="31"/>
      <c r="B187" s="68"/>
      <c r="C187" s="180"/>
      <c r="D187" s="90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3"/>
      <c r="AV187" s="31"/>
      <c r="AW187" s="33"/>
    </row>
    <row r="188" spans="1:49" ht="15.75" customHeight="1">
      <c r="A188" s="31"/>
      <c r="B188" s="68"/>
      <c r="C188" s="180"/>
      <c r="D188" s="90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3"/>
      <c r="AV188" s="31"/>
      <c r="AW188" s="33"/>
    </row>
    <row r="189" spans="1:49" ht="15.75" customHeight="1">
      <c r="A189" s="31"/>
      <c r="B189" s="68"/>
      <c r="C189" s="180"/>
      <c r="D189" s="90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3"/>
      <c r="AV189" s="31"/>
      <c r="AW189" s="33"/>
    </row>
    <row r="190" spans="1:49" ht="15.75" customHeight="1">
      <c r="A190" s="31"/>
      <c r="B190" s="68"/>
      <c r="C190" s="180"/>
      <c r="D190" s="90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3"/>
      <c r="AV190" s="31"/>
      <c r="AW190" s="33"/>
    </row>
    <row r="191" spans="1:49" ht="15.75" customHeight="1">
      <c r="A191" s="31"/>
      <c r="B191" s="68"/>
      <c r="C191" s="180"/>
      <c r="D191" s="90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3"/>
      <c r="AV191" s="31"/>
      <c r="AW191" s="33"/>
    </row>
    <row r="192" spans="1:49" ht="15.75" customHeight="1">
      <c r="A192" s="31"/>
      <c r="B192" s="68"/>
      <c r="C192" s="180"/>
      <c r="D192" s="90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3"/>
      <c r="AV192" s="31"/>
      <c r="AW192" s="33"/>
    </row>
    <row r="193" spans="1:49" ht="15.75" customHeight="1">
      <c r="A193" s="31"/>
      <c r="B193" s="68"/>
      <c r="C193" s="180"/>
      <c r="D193" s="90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3"/>
      <c r="AV193" s="31"/>
      <c r="AW193" s="33"/>
    </row>
    <row r="194" spans="1:49" ht="15.75" customHeight="1">
      <c r="A194" s="31"/>
      <c r="B194" s="68"/>
      <c r="C194" s="180"/>
      <c r="D194" s="90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3"/>
      <c r="AV194" s="31"/>
      <c r="AW194" s="33"/>
    </row>
    <row r="195" spans="1:49" ht="15.75" customHeight="1">
      <c r="A195" s="31"/>
      <c r="B195" s="68"/>
      <c r="C195" s="180"/>
      <c r="D195" s="90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3"/>
      <c r="AV195" s="31"/>
      <c r="AW195" s="33"/>
    </row>
    <row r="196" spans="1:49" ht="15.75" customHeight="1">
      <c r="A196" s="31"/>
      <c r="B196" s="68"/>
      <c r="C196" s="180"/>
      <c r="D196" s="90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3"/>
      <c r="AV196" s="31"/>
      <c r="AW196" s="33"/>
    </row>
    <row r="197" spans="1:49" ht="15.75" customHeight="1">
      <c r="A197" s="31"/>
      <c r="B197" s="68"/>
      <c r="C197" s="180"/>
      <c r="D197" s="90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3"/>
      <c r="AV197" s="31"/>
      <c r="AW197" s="33"/>
    </row>
    <row r="198" spans="1:49" ht="15.75" customHeight="1">
      <c r="A198" s="31"/>
      <c r="B198" s="68"/>
      <c r="C198" s="180"/>
      <c r="D198" s="90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3"/>
      <c r="AV198" s="31"/>
      <c r="AW198" s="33"/>
    </row>
    <row r="199" spans="1:49" ht="15.75" customHeight="1">
      <c r="A199" s="31"/>
      <c r="B199" s="68"/>
      <c r="C199" s="180"/>
      <c r="D199" s="90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3"/>
      <c r="AV199" s="31"/>
      <c r="AW199" s="33"/>
    </row>
    <row r="200" spans="1:49" ht="15.75" customHeight="1">
      <c r="A200" s="31"/>
      <c r="B200" s="68"/>
      <c r="C200" s="180"/>
      <c r="D200" s="90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3"/>
      <c r="AV200" s="31"/>
      <c r="AW200" s="33"/>
    </row>
    <row r="201" spans="1:49" ht="15.75" customHeight="1">
      <c r="A201" s="31"/>
      <c r="B201" s="68"/>
      <c r="C201" s="180"/>
      <c r="D201" s="90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3"/>
      <c r="AV201" s="31"/>
      <c r="AW201" s="33"/>
    </row>
    <row r="202" spans="1:49" ht="15.75" customHeight="1">
      <c r="A202" s="31"/>
      <c r="B202" s="68"/>
      <c r="C202" s="180"/>
      <c r="D202" s="90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3"/>
      <c r="AV202" s="31"/>
      <c r="AW202" s="33"/>
    </row>
    <row r="203" spans="1:49" ht="15.75" customHeight="1">
      <c r="A203" s="31"/>
      <c r="B203" s="68"/>
      <c r="C203" s="180"/>
      <c r="D203" s="90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3"/>
      <c r="AV203" s="31"/>
      <c r="AW203" s="33"/>
    </row>
    <row r="204" spans="1:49" ht="15.75" customHeight="1">
      <c r="A204" s="31"/>
      <c r="B204" s="68"/>
      <c r="C204" s="180"/>
      <c r="D204" s="90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3"/>
      <c r="AV204" s="31"/>
      <c r="AW204" s="33"/>
    </row>
    <row r="205" spans="1:49" ht="15.75" customHeight="1">
      <c r="A205" s="31"/>
      <c r="B205" s="68"/>
      <c r="C205" s="180"/>
      <c r="D205" s="90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3"/>
      <c r="AV205" s="31"/>
      <c r="AW205" s="33"/>
    </row>
    <row r="206" spans="1:49" ht="15.75" customHeight="1">
      <c r="A206" s="31"/>
      <c r="B206" s="68"/>
      <c r="C206" s="180"/>
      <c r="D206" s="90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3"/>
      <c r="AV206" s="31"/>
      <c r="AW206" s="33"/>
    </row>
    <row r="207" spans="1:49" ht="15.75" customHeight="1">
      <c r="A207" s="31"/>
      <c r="B207" s="68"/>
      <c r="C207" s="180"/>
      <c r="D207" s="90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3"/>
      <c r="AV207" s="31"/>
      <c r="AW207" s="33"/>
    </row>
    <row r="208" spans="1:49" ht="15.75" customHeight="1">
      <c r="A208" s="31"/>
      <c r="B208" s="68"/>
      <c r="C208" s="180"/>
      <c r="D208" s="90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3"/>
      <c r="AV208" s="31"/>
      <c r="AW208" s="33"/>
    </row>
    <row r="209" spans="1:49" ht="15.75" customHeight="1">
      <c r="A209" s="31"/>
      <c r="B209" s="68"/>
      <c r="C209" s="180"/>
      <c r="D209" s="90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3"/>
      <c r="AV209" s="31"/>
      <c r="AW209" s="33"/>
    </row>
    <row r="210" spans="1:49" ht="15.75" customHeight="1">
      <c r="A210" s="31"/>
      <c r="B210" s="68"/>
      <c r="C210" s="180"/>
      <c r="D210" s="90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3"/>
      <c r="AV210" s="31"/>
      <c r="AW210" s="33"/>
    </row>
    <row r="211" spans="1:49" ht="15.75" customHeight="1">
      <c r="A211" s="31"/>
      <c r="B211" s="68"/>
      <c r="C211" s="180"/>
      <c r="D211" s="90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3"/>
      <c r="AV211" s="31"/>
      <c r="AW211" s="33"/>
    </row>
    <row r="212" spans="1:49" ht="15.75" customHeight="1">
      <c r="A212" s="31"/>
      <c r="B212" s="68"/>
      <c r="C212" s="180"/>
      <c r="D212" s="90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3"/>
      <c r="AV212" s="31"/>
      <c r="AW212" s="33"/>
    </row>
    <row r="213" spans="1:49" ht="15.75" customHeight="1">
      <c r="A213" s="31"/>
      <c r="B213" s="68"/>
      <c r="C213" s="180"/>
      <c r="D213" s="90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3"/>
      <c r="AV213" s="31"/>
      <c r="AW213" s="33"/>
    </row>
    <row r="214" spans="1:49" ht="15.75" customHeight="1">
      <c r="A214" s="31"/>
      <c r="B214" s="68"/>
      <c r="C214" s="180"/>
      <c r="D214" s="90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3"/>
      <c r="AV214" s="31"/>
      <c r="AW214" s="33"/>
    </row>
    <row r="215" spans="1:49" ht="15.75" customHeight="1">
      <c r="A215" s="31"/>
      <c r="B215" s="68"/>
      <c r="C215" s="180"/>
      <c r="D215" s="90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3"/>
      <c r="AV215" s="31"/>
      <c r="AW215" s="33"/>
    </row>
    <row r="216" spans="1:49" ht="15.75" customHeight="1">
      <c r="A216" s="31"/>
      <c r="B216" s="68"/>
      <c r="C216" s="180"/>
      <c r="D216" s="90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3"/>
      <c r="AV216" s="31"/>
      <c r="AW216" s="33"/>
    </row>
    <row r="217" spans="1:49" ht="15.75" customHeight="1">
      <c r="A217" s="31"/>
      <c r="B217" s="68"/>
      <c r="C217" s="180"/>
      <c r="D217" s="90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3"/>
      <c r="AV217" s="31"/>
      <c r="AW217" s="33"/>
    </row>
    <row r="218" spans="1:49" ht="15.75" customHeight="1">
      <c r="A218" s="31"/>
      <c r="B218" s="68"/>
      <c r="C218" s="180"/>
      <c r="D218" s="90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3"/>
      <c r="AV218" s="31"/>
      <c r="AW218" s="33"/>
    </row>
    <row r="219" spans="1:49" ht="15.75" customHeight="1">
      <c r="A219" s="31"/>
      <c r="B219" s="68"/>
      <c r="C219" s="180"/>
      <c r="D219" s="90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3"/>
      <c r="AV219" s="31"/>
      <c r="AW219" s="33"/>
    </row>
    <row r="220" spans="1:49" ht="15.75" customHeight="1">
      <c r="A220" s="31"/>
      <c r="B220" s="68"/>
      <c r="C220" s="180"/>
      <c r="D220" s="90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3"/>
      <c r="AV220" s="31"/>
      <c r="AW220" s="33"/>
    </row>
    <row r="221" spans="1:49" ht="15.75" customHeight="1">
      <c r="A221" s="31"/>
      <c r="B221" s="68"/>
      <c r="C221" s="180"/>
      <c r="D221" s="90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3"/>
      <c r="AV221" s="31"/>
      <c r="AW221" s="33"/>
    </row>
    <row r="222" spans="1:49" ht="15.75" customHeight="1">
      <c r="A222" s="31"/>
      <c r="B222" s="68"/>
      <c r="C222" s="180"/>
      <c r="D222" s="90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3"/>
      <c r="AV222" s="31"/>
      <c r="AW222" s="33"/>
    </row>
    <row r="223" spans="1:49" ht="15.75" customHeight="1">
      <c r="A223" s="31"/>
      <c r="B223" s="68"/>
      <c r="C223" s="180"/>
      <c r="D223" s="90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3"/>
      <c r="AV223" s="31"/>
      <c r="AW223" s="33"/>
    </row>
    <row r="224" spans="1:49" ht="15.75" customHeight="1">
      <c r="A224" s="31"/>
      <c r="B224" s="68"/>
      <c r="C224" s="180"/>
      <c r="D224" s="90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3"/>
      <c r="AV224" s="31"/>
      <c r="AW224" s="33"/>
    </row>
    <row r="225" spans="1:49" ht="15.75" customHeight="1">
      <c r="A225" s="31"/>
      <c r="B225" s="68"/>
      <c r="C225" s="180"/>
      <c r="D225" s="90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3"/>
      <c r="AV225" s="31"/>
      <c r="AW225" s="33"/>
    </row>
    <row r="226" spans="1:49" ht="15.75" customHeight="1">
      <c r="A226" s="31"/>
      <c r="B226" s="68"/>
      <c r="C226" s="180"/>
      <c r="D226" s="90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3"/>
      <c r="AV226" s="31"/>
      <c r="AW226" s="33"/>
    </row>
    <row r="227" spans="1:49" ht="15.75" customHeight="1">
      <c r="A227" s="31"/>
      <c r="B227" s="68"/>
      <c r="C227" s="180"/>
      <c r="D227" s="90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3"/>
      <c r="AV227" s="31"/>
      <c r="AW227" s="33"/>
    </row>
    <row r="228" spans="1:49" ht="15.75" customHeight="1">
      <c r="A228" s="31"/>
      <c r="B228" s="68"/>
      <c r="C228" s="180"/>
      <c r="D228" s="90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3"/>
      <c r="AV228" s="31"/>
      <c r="AW228" s="33"/>
    </row>
    <row r="229" spans="1:49" ht="15.75" customHeight="1">
      <c r="A229" s="31"/>
      <c r="B229" s="68"/>
      <c r="C229" s="180"/>
      <c r="D229" s="90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3"/>
      <c r="AV229" s="31"/>
      <c r="AW229" s="33"/>
    </row>
    <row r="230" spans="1:49" ht="15.75" customHeight="1">
      <c r="A230" s="31"/>
      <c r="B230" s="68"/>
      <c r="C230" s="180"/>
      <c r="D230" s="90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3"/>
      <c r="AV230" s="31"/>
      <c r="AW230" s="33"/>
    </row>
    <row r="231" spans="1:49" ht="15.75" customHeight="1">
      <c r="A231" s="31"/>
      <c r="B231" s="68"/>
      <c r="C231" s="180"/>
      <c r="D231" s="90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3"/>
      <c r="AV231" s="31"/>
      <c r="AW231" s="33"/>
    </row>
    <row r="232" spans="1:49" ht="15.75" customHeight="1">
      <c r="A232" s="31"/>
      <c r="B232" s="68"/>
      <c r="C232" s="180"/>
      <c r="D232" s="90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3"/>
      <c r="AV232" s="31"/>
      <c r="AW232" s="33"/>
    </row>
    <row r="233" spans="1:49" ht="15.75" customHeight="1">
      <c r="A233" s="31"/>
      <c r="B233" s="68"/>
      <c r="C233" s="180"/>
      <c r="D233" s="90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3"/>
      <c r="AV233" s="31"/>
      <c r="AW233" s="33"/>
    </row>
    <row r="234" spans="1:49" ht="15.75" customHeight="1">
      <c r="A234" s="31"/>
      <c r="B234" s="68"/>
      <c r="C234" s="180"/>
      <c r="D234" s="90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3"/>
      <c r="AV234" s="31"/>
      <c r="AW234" s="33"/>
    </row>
    <row r="235" spans="1:49" ht="15.75" customHeight="1">
      <c r="A235" s="31"/>
      <c r="B235" s="68"/>
      <c r="C235" s="180"/>
      <c r="D235" s="90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3"/>
      <c r="AV235" s="31"/>
      <c r="AW235" s="33"/>
    </row>
    <row r="236" spans="1:49" ht="15.75" customHeight="1">
      <c r="A236" s="31"/>
      <c r="B236" s="68"/>
      <c r="C236" s="180"/>
      <c r="D236" s="90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3"/>
      <c r="AV236" s="31"/>
      <c r="AW236" s="33"/>
    </row>
    <row r="237" spans="1:49" ht="15.75" customHeight="1">
      <c r="A237" s="31"/>
      <c r="B237" s="68"/>
      <c r="C237" s="180"/>
      <c r="D237" s="90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3"/>
      <c r="AV237" s="31"/>
      <c r="AW237" s="33"/>
    </row>
    <row r="238" spans="1:49" ht="15.75" customHeight="1">
      <c r="A238" s="31"/>
      <c r="B238" s="68"/>
      <c r="C238" s="180"/>
      <c r="D238" s="90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3"/>
      <c r="AV238" s="31"/>
      <c r="AW238" s="33"/>
    </row>
    <row r="239" spans="1:49" ht="15.75" customHeight="1">
      <c r="A239" s="31"/>
      <c r="B239" s="68"/>
      <c r="C239" s="180"/>
      <c r="D239" s="90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3"/>
      <c r="AV239" s="31"/>
      <c r="AW239" s="33"/>
    </row>
    <row r="240" spans="1:49" ht="15.75" customHeight="1">
      <c r="A240" s="31"/>
      <c r="B240" s="68"/>
      <c r="C240" s="180"/>
      <c r="D240" s="90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3"/>
      <c r="AV240" s="31"/>
      <c r="AW240" s="33"/>
    </row>
    <row r="241" spans="1:49" ht="15.75" customHeight="1">
      <c r="A241" s="31"/>
      <c r="B241" s="68"/>
      <c r="C241" s="180"/>
      <c r="D241" s="90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3"/>
      <c r="AV241" s="31"/>
      <c r="AW241" s="33"/>
    </row>
    <row r="242" spans="1:49" ht="15.75" customHeight="1">
      <c r="A242" s="31"/>
      <c r="B242" s="68"/>
      <c r="C242" s="180"/>
      <c r="D242" s="90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3"/>
      <c r="AV242" s="31"/>
      <c r="AW242" s="33"/>
    </row>
    <row r="243" spans="1:49" ht="15.75" customHeight="1">
      <c r="A243" s="31"/>
      <c r="B243" s="68"/>
      <c r="C243" s="180"/>
      <c r="D243" s="90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3"/>
      <c r="AV243" s="31"/>
      <c r="AW243" s="33"/>
    </row>
    <row r="244" spans="1:49" ht="15.75" customHeight="1">
      <c r="A244" s="31"/>
      <c r="B244" s="68"/>
      <c r="C244" s="180"/>
      <c r="D244" s="90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3"/>
      <c r="AV244" s="31"/>
      <c r="AW244" s="33"/>
    </row>
    <row r="245" spans="1:49" ht="15.75" customHeight="1">
      <c r="A245" s="31"/>
      <c r="B245" s="68"/>
      <c r="C245" s="180"/>
      <c r="D245" s="90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3"/>
      <c r="AV245" s="31"/>
      <c r="AW245" s="33"/>
    </row>
    <row r="246" spans="1:49" ht="15.75" customHeight="1">
      <c r="A246" s="31"/>
      <c r="B246" s="68"/>
      <c r="C246" s="180"/>
      <c r="D246" s="90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3"/>
      <c r="AV246" s="31"/>
      <c r="AW246" s="33"/>
    </row>
    <row r="247" spans="1:49" ht="15.75" customHeight="1">
      <c r="A247" s="31"/>
      <c r="B247" s="68"/>
      <c r="C247" s="180"/>
      <c r="D247" s="90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3"/>
      <c r="AV247" s="31"/>
      <c r="AW247" s="33"/>
    </row>
    <row r="248" spans="1:49" ht="15.75" customHeight="1"/>
    <row r="249" spans="1:49" ht="15.75" customHeight="1"/>
    <row r="250" spans="1:49" ht="15.75" customHeight="1"/>
    <row r="251" spans="1:49" ht="15.75" customHeight="1"/>
    <row r="252" spans="1:49" ht="15.75" customHeight="1"/>
    <row r="253" spans="1:49" ht="15.75" customHeight="1"/>
    <row r="254" spans="1:49" ht="15.75" customHeight="1"/>
    <row r="255" spans="1:49" ht="15.75" customHeight="1"/>
    <row r="256" spans="1:4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Z3:AG3"/>
    <mergeCell ref="AH3:AM3"/>
    <mergeCell ref="AN3:AU3"/>
    <mergeCell ref="E40:L44"/>
    <mergeCell ref="M40:T44"/>
    <mergeCell ref="Z40:AG44"/>
    <mergeCell ref="B3:B4"/>
    <mergeCell ref="E3:L3"/>
    <mergeCell ref="M3:T3"/>
    <mergeCell ref="U3:Y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２０２4.10</vt:lpstr>
      <vt:lpstr>2024.11</vt:lpstr>
      <vt:lpstr>2024.12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Nouvell Pousse</cp:lastModifiedBy>
  <dcterms:created xsi:type="dcterms:W3CDTF">2026-02-11T10:20:36Z</dcterms:created>
  <dcterms:modified xsi:type="dcterms:W3CDTF">2026-02-11T10:45:43Z</dcterms:modified>
</cp:coreProperties>
</file>