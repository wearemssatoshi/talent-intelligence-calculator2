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"/>
    </mc:Choice>
  </mc:AlternateContent>
  <xr:revisionPtr revIDLastSave="0" documentId="8_{9AEF5C09-AF99-784B-92B8-B451EBFA5CB4}" xr6:coauthVersionLast="47" xr6:coauthVersionMax="47" xr10:uidLastSave="{00000000-0000-0000-0000-000000000000}"/>
  <bookViews>
    <workbookView xWindow="0" yWindow="660" windowWidth="30240" windowHeight="18980" activeTab="1" xr2:uid="{6E4E4426-308E-024C-BDE4-2DCFB193B06A}"/>
  </bookViews>
  <sheets>
    <sheet name="２０２6.01" sheetId="1" r:id="rId1"/>
    <sheet name="2026.0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5" i="2" l="1"/>
  <c r="AE65" i="2"/>
  <c r="AO61" i="2"/>
  <c r="AG61" i="2"/>
  <c r="S56" i="2"/>
  <c r="K56" i="2"/>
  <c r="AE55" i="2"/>
  <c r="AW54" i="2"/>
  <c r="AK47" i="2"/>
  <c r="AL47" i="2" s="1"/>
  <c r="AH47" i="2"/>
  <c r="Q47" i="2"/>
  <c r="P47" i="2"/>
  <c r="N47" i="2"/>
  <c r="O47" i="2" s="1"/>
  <c r="M47" i="2"/>
  <c r="F47" i="2"/>
  <c r="G47" i="2" s="1"/>
  <c r="E47" i="2"/>
  <c r="AK46" i="2"/>
  <c r="AL46" i="2" s="1"/>
  <c r="AH46" i="2"/>
  <c r="Q46" i="2"/>
  <c r="P46" i="2"/>
  <c r="O46" i="2"/>
  <c r="N46" i="2"/>
  <c r="M46" i="2"/>
  <c r="F46" i="2"/>
  <c r="G46" i="2" s="1"/>
  <c r="E46" i="2"/>
  <c r="AK45" i="2"/>
  <c r="AI45" i="2"/>
  <c r="AJ45" i="2" s="1"/>
  <c r="AH45" i="2"/>
  <c r="P45" i="2"/>
  <c r="Q45" i="2" s="1"/>
  <c r="O45" i="2"/>
  <c r="N45" i="2"/>
  <c r="M45" i="2"/>
  <c r="G45" i="2"/>
  <c r="F45" i="2"/>
  <c r="E45" i="2"/>
  <c r="AL44" i="2"/>
  <c r="AK44" i="2"/>
  <c r="AH44" i="2"/>
  <c r="P44" i="2"/>
  <c r="N44" i="2"/>
  <c r="O44" i="2" s="1"/>
  <c r="M44" i="2"/>
  <c r="H44" i="2"/>
  <c r="F44" i="2"/>
  <c r="E44" i="2"/>
  <c r="AL43" i="2"/>
  <c r="AK43" i="2"/>
  <c r="AH43" i="2"/>
  <c r="X43" i="2"/>
  <c r="P43" i="2"/>
  <c r="N43" i="2"/>
  <c r="M43" i="2"/>
  <c r="H43" i="2"/>
  <c r="I43" i="2" s="1"/>
  <c r="F43" i="2"/>
  <c r="E43" i="2"/>
  <c r="G43" i="2" s="1"/>
  <c r="AK42" i="2"/>
  <c r="AL42" i="2" s="1"/>
  <c r="AH42" i="2"/>
  <c r="Q42" i="2"/>
  <c r="P42" i="2"/>
  <c r="N42" i="2"/>
  <c r="O42" i="2" s="1"/>
  <c r="M42" i="2"/>
  <c r="E42" i="2"/>
  <c r="AK41" i="2"/>
  <c r="AL41" i="2" s="1"/>
  <c r="AH41" i="2"/>
  <c r="Q41" i="2"/>
  <c r="P41" i="2"/>
  <c r="O41" i="2"/>
  <c r="N41" i="2"/>
  <c r="M41" i="2"/>
  <c r="G41" i="2"/>
  <c r="F41" i="2"/>
  <c r="E41" i="2"/>
  <c r="AJ38" i="2"/>
  <c r="AC38" i="2"/>
  <c r="X38" i="2"/>
  <c r="AA56" i="2" s="1"/>
  <c r="AN56" i="2" s="1"/>
  <c r="O38" i="2"/>
  <c r="N37" i="2"/>
  <c r="O37" i="2" s="1"/>
  <c r="BJ36" i="2"/>
  <c r="BJ37" i="2" s="1"/>
  <c r="BI36" i="2"/>
  <c r="BI37" i="2" s="1"/>
  <c r="BD36" i="2"/>
  <c r="BC36" i="2"/>
  <c r="BB36" i="2"/>
  <c r="BA36" i="2"/>
  <c r="AY36" i="2"/>
  <c r="AX36" i="2"/>
  <c r="AR36" i="2"/>
  <c r="AQ36" i="2"/>
  <c r="AP36" i="2"/>
  <c r="AO36" i="2"/>
  <c r="AK36" i="2"/>
  <c r="AK37" i="2" s="1"/>
  <c r="AL37" i="2" s="1"/>
  <c r="AH36" i="2"/>
  <c r="AO39" i="2" s="1"/>
  <c r="AG36" i="2"/>
  <c r="P36" i="2"/>
  <c r="P37" i="2" s="1"/>
  <c r="Q37" i="2" s="1"/>
  <c r="O36" i="2"/>
  <c r="N36" i="2"/>
  <c r="M36" i="2"/>
  <c r="L36" i="2"/>
  <c r="H36" i="2"/>
  <c r="E36" i="2"/>
  <c r="F38" i="2" s="1"/>
  <c r="D36" i="2"/>
  <c r="C36" i="2"/>
  <c r="BF35" i="2"/>
  <c r="AW35" i="2"/>
  <c r="AS35" i="2"/>
  <c r="AN35" i="2"/>
  <c r="AM35" i="2"/>
  <c r="AL35" i="2"/>
  <c r="AJ35" i="2"/>
  <c r="AD35" i="2"/>
  <c r="AU35" i="2" s="1"/>
  <c r="AC35" i="2"/>
  <c r="AT35" i="2" s="1"/>
  <c r="X35" i="2"/>
  <c r="Y35" i="2" s="1"/>
  <c r="V35" i="2"/>
  <c r="U35" i="2"/>
  <c r="AB35" i="2" s="1"/>
  <c r="S35" i="2"/>
  <c r="R35" i="2"/>
  <c r="Q35" i="2"/>
  <c r="O35" i="2"/>
  <c r="K35" i="2"/>
  <c r="J35" i="2"/>
  <c r="I35" i="2"/>
  <c r="G35" i="2"/>
  <c r="BK34" i="2"/>
  <c r="BG34" i="2"/>
  <c r="BM34" i="2" s="1"/>
  <c r="BF34" i="2"/>
  <c r="AW34" i="2"/>
  <c r="AN34" i="2"/>
  <c r="AM34" i="2"/>
  <c r="BN34" i="2" s="1"/>
  <c r="AL34" i="2"/>
  <c r="AJ34" i="2"/>
  <c r="X34" i="2"/>
  <c r="AD34" i="2" s="1"/>
  <c r="AU34" i="2" s="1"/>
  <c r="V34" i="2"/>
  <c r="AC34" i="2" s="1"/>
  <c r="AT34" i="2" s="1"/>
  <c r="U34" i="2"/>
  <c r="S34" i="2"/>
  <c r="R34" i="2"/>
  <c r="Q34" i="2"/>
  <c r="O34" i="2"/>
  <c r="K34" i="2"/>
  <c r="J34" i="2"/>
  <c r="I34" i="2"/>
  <c r="G34" i="2"/>
  <c r="BN33" i="2"/>
  <c r="BF33" i="2"/>
  <c r="BK33" i="2" s="1"/>
  <c r="AW33" i="2"/>
  <c r="AS33" i="2"/>
  <c r="AN33" i="2"/>
  <c r="AM33" i="2"/>
  <c r="AL33" i="2"/>
  <c r="AJ33" i="2"/>
  <c r="AD33" i="2"/>
  <c r="AU33" i="2" s="1"/>
  <c r="AC33" i="2"/>
  <c r="AT33" i="2" s="1"/>
  <c r="AB33" i="2"/>
  <c r="Z33" i="2"/>
  <c r="AA33" i="2" s="1"/>
  <c r="Y33" i="2"/>
  <c r="X33" i="2"/>
  <c r="V33" i="2"/>
  <c r="W33" i="2" s="1"/>
  <c r="U33" i="2"/>
  <c r="S33" i="2"/>
  <c r="R33" i="2"/>
  <c r="Q33" i="2"/>
  <c r="O33" i="2"/>
  <c r="K33" i="2"/>
  <c r="J33" i="2"/>
  <c r="I33" i="2"/>
  <c r="G33" i="2"/>
  <c r="BF32" i="2"/>
  <c r="BN32" i="2" s="1"/>
  <c r="AW32" i="2"/>
  <c r="AU32" i="2"/>
  <c r="AN32" i="2"/>
  <c r="AM32" i="2"/>
  <c r="AL32" i="2"/>
  <c r="AJ32" i="2"/>
  <c r="AD32" i="2"/>
  <c r="AC32" i="2"/>
  <c r="AT32" i="2" s="1"/>
  <c r="X32" i="2"/>
  <c r="Y32" i="2" s="1"/>
  <c r="W32" i="2"/>
  <c r="V32" i="2"/>
  <c r="U32" i="2"/>
  <c r="S32" i="2"/>
  <c r="R32" i="2"/>
  <c r="Q32" i="2"/>
  <c r="O32" i="2"/>
  <c r="K32" i="2"/>
  <c r="J32" i="2"/>
  <c r="I32" i="2"/>
  <c r="G32" i="2"/>
  <c r="BN31" i="2"/>
  <c r="BM31" i="2"/>
  <c r="BK31" i="2"/>
  <c r="BF31" i="2"/>
  <c r="BG31" i="2" s="1"/>
  <c r="AW31" i="2"/>
  <c r="AT31" i="2"/>
  <c r="AS31" i="2"/>
  <c r="AN31" i="2"/>
  <c r="AM31" i="2"/>
  <c r="AL31" i="2"/>
  <c r="AJ31" i="2"/>
  <c r="AC31" i="2"/>
  <c r="AB31" i="2"/>
  <c r="X31" i="2"/>
  <c r="AD31" i="2" s="1"/>
  <c r="AU31" i="2" s="1"/>
  <c r="V31" i="2"/>
  <c r="U31" i="2"/>
  <c r="S31" i="2"/>
  <c r="R31" i="2"/>
  <c r="Q31" i="2"/>
  <c r="O31" i="2"/>
  <c r="K31" i="2"/>
  <c r="J31" i="2"/>
  <c r="I31" i="2"/>
  <c r="G31" i="2"/>
  <c r="BF30" i="2"/>
  <c r="BN30" i="2" s="1"/>
  <c r="AW30" i="2"/>
  <c r="AN30" i="2"/>
  <c r="AM30" i="2"/>
  <c r="AL30" i="2"/>
  <c r="AJ30" i="2"/>
  <c r="AC30" i="2"/>
  <c r="AT30" i="2" s="1"/>
  <c r="Z30" i="2"/>
  <c r="Y30" i="2"/>
  <c r="X30" i="2"/>
  <c r="AD30" i="2" s="1"/>
  <c r="AU30" i="2" s="1"/>
  <c r="W30" i="2"/>
  <c r="V30" i="2"/>
  <c r="U30" i="2"/>
  <c r="S30" i="2"/>
  <c r="R30" i="2"/>
  <c r="Q30" i="2"/>
  <c r="O30" i="2"/>
  <c r="K30" i="2"/>
  <c r="J30" i="2"/>
  <c r="AE30" i="2" s="1"/>
  <c r="AV30" i="2" s="1"/>
  <c r="I30" i="2"/>
  <c r="G30" i="2"/>
  <c r="BM29" i="2"/>
  <c r="BK29" i="2"/>
  <c r="BF29" i="2"/>
  <c r="BG29" i="2" s="1"/>
  <c r="AW29" i="2"/>
  <c r="AS29" i="2"/>
  <c r="AN29" i="2"/>
  <c r="AM29" i="2"/>
  <c r="BN29" i="2" s="1"/>
  <c r="AL29" i="2"/>
  <c r="AJ29" i="2"/>
  <c r="AD29" i="2"/>
  <c r="AU29" i="2" s="1"/>
  <c r="AC29" i="2"/>
  <c r="AT29" i="2" s="1"/>
  <c r="AB29" i="2"/>
  <c r="Z29" i="2"/>
  <c r="AA29" i="2" s="1"/>
  <c r="X29" i="2"/>
  <c r="Y29" i="2" s="1"/>
  <c r="V29" i="2"/>
  <c r="W29" i="2" s="1"/>
  <c r="U29" i="2"/>
  <c r="S29" i="2"/>
  <c r="R29" i="2"/>
  <c r="Q29" i="2"/>
  <c r="O29" i="2"/>
  <c r="K29" i="2"/>
  <c r="J29" i="2"/>
  <c r="AE29" i="2" s="1"/>
  <c r="AV29" i="2" s="1"/>
  <c r="I29" i="2"/>
  <c r="G29" i="2"/>
  <c r="BF28" i="2"/>
  <c r="BN28" i="2" s="1"/>
  <c r="AW28" i="2"/>
  <c r="AU28" i="2"/>
  <c r="AN28" i="2"/>
  <c r="AM28" i="2"/>
  <c r="AL28" i="2"/>
  <c r="AJ28" i="2"/>
  <c r="AD28" i="2"/>
  <c r="AC28" i="2"/>
  <c r="AT28" i="2" s="1"/>
  <c r="Z28" i="2"/>
  <c r="Y28" i="2"/>
  <c r="X28" i="2"/>
  <c r="V28" i="2"/>
  <c r="W28" i="2" s="1"/>
  <c r="U28" i="2"/>
  <c r="S28" i="2"/>
  <c r="R28" i="2"/>
  <c r="Q28" i="2"/>
  <c r="O28" i="2"/>
  <c r="K28" i="2"/>
  <c r="J28" i="2"/>
  <c r="AE28" i="2" s="1"/>
  <c r="AV28" i="2" s="1"/>
  <c r="I28" i="2"/>
  <c r="G28" i="2"/>
  <c r="BK27" i="2"/>
  <c r="BF27" i="2"/>
  <c r="BG27" i="2" s="1"/>
  <c r="BM27" i="2" s="1"/>
  <c r="AW27" i="2"/>
  <c r="AU27" i="2"/>
  <c r="AN27" i="2"/>
  <c r="AM27" i="2"/>
  <c r="BN27" i="2" s="1"/>
  <c r="AL27" i="2"/>
  <c r="AJ27" i="2"/>
  <c r="AD27" i="2"/>
  <c r="AC27" i="2"/>
  <c r="AT27" i="2" s="1"/>
  <c r="AB27" i="2"/>
  <c r="X27" i="2"/>
  <c r="Z27" i="2" s="1"/>
  <c r="AE27" i="2" s="1"/>
  <c r="AV27" i="2" s="1"/>
  <c r="V27" i="2"/>
  <c r="U27" i="2"/>
  <c r="AA27" i="2" s="1"/>
  <c r="S27" i="2"/>
  <c r="R27" i="2"/>
  <c r="Q27" i="2"/>
  <c r="O27" i="2"/>
  <c r="K27" i="2"/>
  <c r="J27" i="2"/>
  <c r="I27" i="2"/>
  <c r="G27" i="2"/>
  <c r="BK26" i="2"/>
  <c r="BG26" i="2"/>
  <c r="BM26" i="2" s="1"/>
  <c r="BF26" i="2"/>
  <c r="BN26" i="2" s="1"/>
  <c r="AW26" i="2"/>
  <c r="AN26" i="2"/>
  <c r="AM26" i="2"/>
  <c r="AL26" i="2"/>
  <c r="AJ26" i="2"/>
  <c r="AD26" i="2"/>
  <c r="AU26" i="2" s="1"/>
  <c r="AC26" i="2"/>
  <c r="AT26" i="2" s="1"/>
  <c r="X26" i="2"/>
  <c r="Y26" i="2" s="1"/>
  <c r="V26" i="2"/>
  <c r="Z26" i="2" s="1"/>
  <c r="AE26" i="2" s="1"/>
  <c r="AV26" i="2" s="1"/>
  <c r="U26" i="2"/>
  <c r="S26" i="2"/>
  <c r="R26" i="2"/>
  <c r="Q26" i="2"/>
  <c r="O26" i="2"/>
  <c r="K26" i="2"/>
  <c r="J26" i="2"/>
  <c r="I26" i="2"/>
  <c r="G26" i="2"/>
  <c r="BM25" i="2"/>
  <c r="BK25" i="2"/>
  <c r="BF25" i="2"/>
  <c r="BG25" i="2" s="1"/>
  <c r="AW25" i="2"/>
  <c r="AT25" i="2"/>
  <c r="AN25" i="2"/>
  <c r="AM25" i="2"/>
  <c r="BN25" i="2" s="1"/>
  <c r="AL25" i="2"/>
  <c r="AJ25" i="2"/>
  <c r="AD25" i="2"/>
  <c r="AU25" i="2" s="1"/>
  <c r="AC25" i="2"/>
  <c r="X25" i="2"/>
  <c r="Z25" i="2" s="1"/>
  <c r="AE25" i="2" s="1"/>
  <c r="AV25" i="2" s="1"/>
  <c r="V25" i="2"/>
  <c r="W25" i="2" s="1"/>
  <c r="U25" i="2"/>
  <c r="AB25" i="2" s="1"/>
  <c r="S25" i="2"/>
  <c r="R25" i="2"/>
  <c r="Q25" i="2"/>
  <c r="O25" i="2"/>
  <c r="K25" i="2"/>
  <c r="J25" i="2"/>
  <c r="I25" i="2"/>
  <c r="G25" i="2"/>
  <c r="BN24" i="2"/>
  <c r="BK24" i="2"/>
  <c r="BG24" i="2"/>
  <c r="BM24" i="2" s="1"/>
  <c r="BF24" i="2"/>
  <c r="AW24" i="2"/>
  <c r="AN24" i="2"/>
  <c r="AM24" i="2"/>
  <c r="AL24" i="2"/>
  <c r="AJ24" i="2"/>
  <c r="X24" i="2"/>
  <c r="AD24" i="2" s="1"/>
  <c r="AU24" i="2" s="1"/>
  <c r="V24" i="2"/>
  <c r="AC24" i="2" s="1"/>
  <c r="AT24" i="2" s="1"/>
  <c r="U24" i="2"/>
  <c r="S24" i="2"/>
  <c r="R24" i="2"/>
  <c r="Q24" i="2"/>
  <c r="O24" i="2"/>
  <c r="K24" i="2"/>
  <c r="J24" i="2"/>
  <c r="I24" i="2"/>
  <c r="G24" i="2"/>
  <c r="BM23" i="2"/>
  <c r="BK23" i="2"/>
  <c r="BF23" i="2"/>
  <c r="BG23" i="2" s="1"/>
  <c r="AW23" i="2"/>
  <c r="AT23" i="2"/>
  <c r="AN23" i="2"/>
  <c r="AM23" i="2"/>
  <c r="BN23" i="2" s="1"/>
  <c r="AL23" i="2"/>
  <c r="AJ23" i="2"/>
  <c r="AC23" i="2"/>
  <c r="Z23" i="2"/>
  <c r="X23" i="2"/>
  <c r="AD23" i="2" s="1"/>
  <c r="AU23" i="2" s="1"/>
  <c r="V23" i="2"/>
  <c r="U23" i="2"/>
  <c r="AB23" i="2" s="1"/>
  <c r="S23" i="2"/>
  <c r="R23" i="2"/>
  <c r="Q23" i="2"/>
  <c r="O23" i="2"/>
  <c r="K23" i="2"/>
  <c r="J23" i="2"/>
  <c r="AE23" i="2" s="1"/>
  <c r="AV23" i="2" s="1"/>
  <c r="I23" i="2"/>
  <c r="G23" i="2"/>
  <c r="BF22" i="2"/>
  <c r="BK22" i="2" s="1"/>
  <c r="AW22" i="2"/>
  <c r="AN22" i="2"/>
  <c r="AM22" i="2"/>
  <c r="BN22" i="2" s="1"/>
  <c r="AL22" i="2"/>
  <c r="AJ22" i="2"/>
  <c r="X22" i="2"/>
  <c r="AD22" i="2" s="1"/>
  <c r="AU22" i="2" s="1"/>
  <c r="V22" i="2"/>
  <c r="AC22" i="2" s="1"/>
  <c r="AT22" i="2" s="1"/>
  <c r="U22" i="2"/>
  <c r="S22" i="2"/>
  <c r="R22" i="2"/>
  <c r="Q22" i="2"/>
  <c r="O22" i="2"/>
  <c r="K22" i="2"/>
  <c r="J22" i="2"/>
  <c r="I22" i="2"/>
  <c r="G22" i="2"/>
  <c r="BK21" i="2"/>
  <c r="BF21" i="2"/>
  <c r="BG21" i="2" s="1"/>
  <c r="BM21" i="2" s="1"/>
  <c r="AW21" i="2"/>
  <c r="AT21" i="2"/>
  <c r="AS21" i="2"/>
  <c r="AN21" i="2"/>
  <c r="AM21" i="2"/>
  <c r="BN21" i="2" s="1"/>
  <c r="AL21" i="2"/>
  <c r="AJ21" i="2"/>
  <c r="AC21" i="2"/>
  <c r="AB21" i="2"/>
  <c r="X21" i="2"/>
  <c r="AD21" i="2" s="1"/>
  <c r="AU21" i="2" s="1"/>
  <c r="V21" i="2"/>
  <c r="W21" i="2" s="1"/>
  <c r="U21" i="2"/>
  <c r="S21" i="2"/>
  <c r="R21" i="2"/>
  <c r="Q21" i="2"/>
  <c r="O21" i="2"/>
  <c r="K21" i="2"/>
  <c r="J21" i="2"/>
  <c r="I21" i="2"/>
  <c r="G21" i="2"/>
  <c r="BF20" i="2"/>
  <c r="BN20" i="2" s="1"/>
  <c r="AW20" i="2"/>
  <c r="AN20" i="2"/>
  <c r="AM20" i="2"/>
  <c r="AL20" i="2"/>
  <c r="AJ20" i="2"/>
  <c r="AC20" i="2"/>
  <c r="AT20" i="2" s="1"/>
  <c r="Z20" i="2"/>
  <c r="Y20" i="2"/>
  <c r="X20" i="2"/>
  <c r="AD20" i="2" s="1"/>
  <c r="AU20" i="2" s="1"/>
  <c r="W20" i="2"/>
  <c r="V20" i="2"/>
  <c r="U20" i="2"/>
  <c r="S20" i="2"/>
  <c r="R20" i="2"/>
  <c r="Q20" i="2"/>
  <c r="O20" i="2"/>
  <c r="K20" i="2"/>
  <c r="J20" i="2"/>
  <c r="AE20" i="2" s="1"/>
  <c r="AV20" i="2" s="1"/>
  <c r="I20" i="2"/>
  <c r="G20" i="2"/>
  <c r="BM19" i="2"/>
  <c r="BK19" i="2"/>
  <c r="BG19" i="2"/>
  <c r="BF19" i="2"/>
  <c r="AW19" i="2"/>
  <c r="AT19" i="2"/>
  <c r="AN19" i="2"/>
  <c r="AM19" i="2"/>
  <c r="BN19" i="2" s="1"/>
  <c r="AL19" i="2"/>
  <c r="AJ19" i="2"/>
  <c r="AD19" i="2"/>
  <c r="AU19" i="2" s="1"/>
  <c r="AC19" i="2"/>
  <c r="AB19" i="2"/>
  <c r="X19" i="2"/>
  <c r="Z19" i="2" s="1"/>
  <c r="V19" i="2"/>
  <c r="U19" i="2"/>
  <c r="W19" i="2" s="1"/>
  <c r="S19" i="2"/>
  <c r="R19" i="2"/>
  <c r="Q19" i="2"/>
  <c r="O19" i="2"/>
  <c r="K19" i="2"/>
  <c r="J19" i="2"/>
  <c r="I19" i="2"/>
  <c r="G19" i="2"/>
  <c r="BK18" i="2"/>
  <c r="BF18" i="2"/>
  <c r="BN18" i="2" s="1"/>
  <c r="AW18" i="2"/>
  <c r="AN18" i="2"/>
  <c r="AM18" i="2"/>
  <c r="AL18" i="2"/>
  <c r="AJ18" i="2"/>
  <c r="AD18" i="2"/>
  <c r="AU18" i="2" s="1"/>
  <c r="AC18" i="2"/>
  <c r="AT18" i="2" s="1"/>
  <c r="Z18" i="2"/>
  <c r="AE18" i="2" s="1"/>
  <c r="AV18" i="2" s="1"/>
  <c r="X18" i="2"/>
  <c r="V18" i="2"/>
  <c r="U18" i="2"/>
  <c r="S18" i="2"/>
  <c r="R18" i="2"/>
  <c r="Q18" i="2"/>
  <c r="O18" i="2"/>
  <c r="K18" i="2"/>
  <c r="J18" i="2"/>
  <c r="I18" i="2"/>
  <c r="G18" i="2"/>
  <c r="BM17" i="2"/>
  <c r="BK17" i="2"/>
  <c r="BG17" i="2"/>
  <c r="BF17" i="2"/>
  <c r="AW17" i="2"/>
  <c r="AT17" i="2"/>
  <c r="AN17" i="2"/>
  <c r="AM17" i="2"/>
  <c r="BN17" i="2" s="1"/>
  <c r="AL17" i="2"/>
  <c r="AJ17" i="2"/>
  <c r="AD17" i="2"/>
  <c r="AU17" i="2" s="1"/>
  <c r="AC17" i="2"/>
  <c r="X17" i="2"/>
  <c r="Z17" i="2" s="1"/>
  <c r="AE17" i="2" s="1"/>
  <c r="AV17" i="2" s="1"/>
  <c r="V17" i="2"/>
  <c r="U17" i="2"/>
  <c r="W17" i="2" s="1"/>
  <c r="S17" i="2"/>
  <c r="R17" i="2"/>
  <c r="Q17" i="2"/>
  <c r="O17" i="2"/>
  <c r="K17" i="2"/>
  <c r="J17" i="2"/>
  <c r="I17" i="2"/>
  <c r="G17" i="2"/>
  <c r="BN16" i="2"/>
  <c r="BK16" i="2"/>
  <c r="BG16" i="2"/>
  <c r="BM16" i="2" s="1"/>
  <c r="BF16" i="2"/>
  <c r="AW16" i="2"/>
  <c r="AN16" i="2"/>
  <c r="AM16" i="2"/>
  <c r="AL16" i="2"/>
  <c r="AJ16" i="2"/>
  <c r="X16" i="2"/>
  <c r="AD16" i="2" s="1"/>
  <c r="AU16" i="2" s="1"/>
  <c r="V16" i="2"/>
  <c r="AC16" i="2" s="1"/>
  <c r="AT16" i="2" s="1"/>
  <c r="U16" i="2"/>
  <c r="S16" i="2"/>
  <c r="R16" i="2"/>
  <c r="Q16" i="2"/>
  <c r="O16" i="2"/>
  <c r="K16" i="2"/>
  <c r="J16" i="2"/>
  <c r="I16" i="2"/>
  <c r="G16" i="2"/>
  <c r="BN15" i="2"/>
  <c r="BM15" i="2"/>
  <c r="BK15" i="2"/>
  <c r="BG15" i="2"/>
  <c r="BF15" i="2"/>
  <c r="AW15" i="2"/>
  <c r="AT15" i="2"/>
  <c r="AS15" i="2"/>
  <c r="AN15" i="2"/>
  <c r="AM15" i="2"/>
  <c r="AL15" i="2"/>
  <c r="AJ15" i="2"/>
  <c r="AC15" i="2"/>
  <c r="AB15" i="2"/>
  <c r="Z15" i="2"/>
  <c r="AA15" i="2" s="1"/>
  <c r="Y15" i="2"/>
  <c r="X15" i="2"/>
  <c r="AD15" i="2" s="1"/>
  <c r="AU15" i="2" s="1"/>
  <c r="V15" i="2"/>
  <c r="U15" i="2"/>
  <c r="W15" i="2" s="1"/>
  <c r="S15" i="2"/>
  <c r="R15" i="2"/>
  <c r="Q15" i="2"/>
  <c r="O15" i="2"/>
  <c r="K15" i="2"/>
  <c r="J15" i="2"/>
  <c r="AE15" i="2" s="1"/>
  <c r="AV15" i="2" s="1"/>
  <c r="I15" i="2"/>
  <c r="G15" i="2"/>
  <c r="AZ14" i="2"/>
  <c r="BF14" i="2" s="1"/>
  <c r="AW14" i="2"/>
  <c r="AS14" i="2"/>
  <c r="AM14" i="2"/>
  <c r="AN14" i="2" s="1"/>
  <c r="AL14" i="2"/>
  <c r="AI14" i="2"/>
  <c r="AJ14" i="2" s="1"/>
  <c r="AB14" i="2"/>
  <c r="X14" i="2"/>
  <c r="Y14" i="2" s="1"/>
  <c r="U14" i="2"/>
  <c r="S14" i="2"/>
  <c r="R14" i="2"/>
  <c r="Q14" i="2"/>
  <c r="O14" i="2"/>
  <c r="K14" i="2"/>
  <c r="J14" i="2"/>
  <c r="I14" i="2"/>
  <c r="H14" i="2"/>
  <c r="H42" i="2" s="1"/>
  <c r="I42" i="2" s="1"/>
  <c r="F14" i="2"/>
  <c r="AZ13" i="2"/>
  <c r="X13" i="2" s="1"/>
  <c r="AW13" i="2"/>
  <c r="AL13" i="2"/>
  <c r="AI13" i="2"/>
  <c r="AM13" i="2" s="1"/>
  <c r="AN13" i="2" s="1"/>
  <c r="V13" i="2"/>
  <c r="AC13" i="2" s="1"/>
  <c r="U13" i="2"/>
  <c r="S13" i="2"/>
  <c r="R13" i="2"/>
  <c r="Q13" i="2"/>
  <c r="O13" i="2"/>
  <c r="I13" i="2"/>
  <c r="H13" i="2"/>
  <c r="J13" i="2" s="1"/>
  <c r="G13" i="2"/>
  <c r="AZ12" i="2"/>
  <c r="X12" i="2" s="1"/>
  <c r="Y12" i="2" s="1"/>
  <c r="AW12" i="2"/>
  <c r="AL12" i="2"/>
  <c r="AI12" i="2"/>
  <c r="AM12" i="2" s="1"/>
  <c r="AN12" i="2" s="1"/>
  <c r="V12" i="2"/>
  <c r="U12" i="2"/>
  <c r="R12" i="2"/>
  <c r="S12" i="2" s="1"/>
  <c r="Q12" i="2"/>
  <c r="O12" i="2"/>
  <c r="H12" i="2"/>
  <c r="H47" i="2" s="1"/>
  <c r="I47" i="2" s="1"/>
  <c r="G12" i="2"/>
  <c r="AZ11" i="2"/>
  <c r="AW11" i="2"/>
  <c r="AL11" i="2"/>
  <c r="AI11" i="2"/>
  <c r="V11" i="2"/>
  <c r="V46" i="2" s="1"/>
  <c r="U11" i="2"/>
  <c r="U46" i="2" s="1"/>
  <c r="S11" i="2"/>
  <c r="R11" i="2"/>
  <c r="Q11" i="2"/>
  <c r="O11" i="2"/>
  <c r="H11" i="2"/>
  <c r="G11" i="2"/>
  <c r="BN10" i="2"/>
  <c r="BF10" i="2"/>
  <c r="BK10" i="2" s="1"/>
  <c r="AZ10" i="2"/>
  <c r="AW10" i="2"/>
  <c r="AU10" i="2"/>
  <c r="AT10" i="2"/>
  <c r="AS10" i="2"/>
  <c r="AN10" i="2"/>
  <c r="AM10" i="2"/>
  <c r="AL10" i="2"/>
  <c r="AJ10" i="2"/>
  <c r="AI10" i="2"/>
  <c r="AD10" i="2"/>
  <c r="AC10" i="2"/>
  <c r="AB10" i="2"/>
  <c r="Z10" i="2"/>
  <c r="X10" i="2"/>
  <c r="V10" i="2"/>
  <c r="W10" i="2" s="1"/>
  <c r="U10" i="2"/>
  <c r="S10" i="2"/>
  <c r="R10" i="2"/>
  <c r="R45" i="2" s="1"/>
  <c r="S45" i="2" s="1"/>
  <c r="Q10" i="2"/>
  <c r="O10" i="2"/>
  <c r="J10" i="2"/>
  <c r="J45" i="2" s="1"/>
  <c r="K45" i="2" s="1"/>
  <c r="I10" i="2"/>
  <c r="H10" i="2"/>
  <c r="H45" i="2" s="1"/>
  <c r="I45" i="2" s="1"/>
  <c r="G10" i="2"/>
  <c r="AZ9" i="2"/>
  <c r="X9" i="2" s="1"/>
  <c r="AW9" i="2"/>
  <c r="AS9" i="2"/>
  <c r="AL9" i="2"/>
  <c r="AI9" i="2"/>
  <c r="AI44" i="2" s="1"/>
  <c r="AJ44" i="2" s="1"/>
  <c r="AC9" i="2"/>
  <c r="AT9" i="2" s="1"/>
  <c r="AB9" i="2"/>
  <c r="V9" i="2"/>
  <c r="V44" i="2" s="1"/>
  <c r="U9" i="2"/>
  <c r="S9" i="2"/>
  <c r="R9" i="2"/>
  <c r="R44" i="2" s="1"/>
  <c r="S44" i="2" s="1"/>
  <c r="Q9" i="2"/>
  <c r="O9" i="2"/>
  <c r="K9" i="2"/>
  <c r="J9" i="2"/>
  <c r="I9" i="2"/>
  <c r="G9" i="2"/>
  <c r="BK8" i="2"/>
  <c r="BG8" i="2"/>
  <c r="BM8" i="2" s="1"/>
  <c r="BF8" i="2"/>
  <c r="AZ8" i="2"/>
  <c r="AW8" i="2"/>
  <c r="AT8" i="2"/>
  <c r="AM8" i="2"/>
  <c r="AM43" i="2" s="1"/>
  <c r="AN43" i="2" s="1"/>
  <c r="AL8" i="2"/>
  <c r="AJ8" i="2"/>
  <c r="AI8" i="2"/>
  <c r="AI43" i="2" s="1"/>
  <c r="AJ43" i="2" s="1"/>
  <c r="AC8" i="2"/>
  <c r="Z8" i="2"/>
  <c r="Y8" i="2"/>
  <c r="X8" i="2"/>
  <c r="AD8" i="2" s="1"/>
  <c r="AU8" i="2" s="1"/>
  <c r="W8" i="2"/>
  <c r="V8" i="2"/>
  <c r="V43" i="2" s="1"/>
  <c r="U8" i="2"/>
  <c r="S8" i="2"/>
  <c r="R8" i="2"/>
  <c r="Q8" i="2"/>
  <c r="O8" i="2"/>
  <c r="J8" i="2"/>
  <c r="AE8" i="2" s="1"/>
  <c r="AV8" i="2" s="1"/>
  <c r="I8" i="2"/>
  <c r="G8" i="2"/>
  <c r="BF7" i="2"/>
  <c r="AW7" i="2"/>
  <c r="AL7" i="2"/>
  <c r="AI7" i="2"/>
  <c r="AI42" i="2" s="1"/>
  <c r="AJ42" i="2" s="1"/>
  <c r="AD7" i="2"/>
  <c r="AU7" i="2" s="1"/>
  <c r="AC7" i="2"/>
  <c r="AT7" i="2" s="1"/>
  <c r="X7" i="2"/>
  <c r="V7" i="2"/>
  <c r="Z7" i="2" s="1"/>
  <c r="U7" i="2"/>
  <c r="AS7" i="2" s="1"/>
  <c r="S7" i="2"/>
  <c r="R7" i="2"/>
  <c r="R42" i="2" s="1"/>
  <c r="S42" i="2" s="1"/>
  <c r="Q7" i="2"/>
  <c r="O7" i="2"/>
  <c r="K7" i="2"/>
  <c r="J7" i="2"/>
  <c r="J42" i="2" s="1"/>
  <c r="K42" i="2" s="1"/>
  <c r="I7" i="2"/>
  <c r="G7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Z6" i="2"/>
  <c r="BF6" i="2" s="1"/>
  <c r="AW6" i="2"/>
  <c r="AS6" i="2"/>
  <c r="AM6" i="2"/>
  <c r="AL6" i="2"/>
  <c r="AI6" i="2"/>
  <c r="AI41" i="2" s="1"/>
  <c r="AJ41" i="2" s="1"/>
  <c r="AC6" i="2"/>
  <c r="AT6" i="2" s="1"/>
  <c r="AB6" i="2"/>
  <c r="V6" i="2"/>
  <c r="U6" i="2"/>
  <c r="U41" i="2" s="1"/>
  <c r="S6" i="2"/>
  <c r="R6" i="2"/>
  <c r="R41" i="2" s="1"/>
  <c r="S41" i="2" s="1"/>
  <c r="Q6" i="2"/>
  <c r="O6" i="2"/>
  <c r="H6" i="2"/>
  <c r="J6" i="2" s="1"/>
  <c r="G6" i="2"/>
  <c r="B6" i="2"/>
  <c r="BF5" i="2"/>
  <c r="AZ5" i="2"/>
  <c r="AW5" i="2"/>
  <c r="AW36" i="2" s="1"/>
  <c r="AW37" i="2" s="1"/>
  <c r="AS5" i="2"/>
  <c r="AM5" i="2"/>
  <c r="AM47" i="2" s="1"/>
  <c r="AN47" i="2" s="1"/>
  <c r="AL5" i="2"/>
  <c r="AJ5" i="2"/>
  <c r="AI5" i="2"/>
  <c r="AC5" i="2"/>
  <c r="AT5" i="2" s="1"/>
  <c r="AB5" i="2"/>
  <c r="X5" i="2"/>
  <c r="Z5" i="2" s="1"/>
  <c r="V5" i="2"/>
  <c r="U5" i="2"/>
  <c r="R5" i="2"/>
  <c r="Q5" i="2"/>
  <c r="O5" i="2"/>
  <c r="K5" i="2"/>
  <c r="J5" i="2"/>
  <c r="I5" i="2"/>
  <c r="G5" i="2"/>
  <c r="B5" i="2"/>
  <c r="AL65" i="1"/>
  <c r="AD65" i="1"/>
  <c r="AN61" i="1"/>
  <c r="AF61" i="1"/>
  <c r="Z56" i="1"/>
  <c r="S56" i="1"/>
  <c r="K56" i="1"/>
  <c r="AD55" i="1"/>
  <c r="AW54" i="1"/>
  <c r="AV54" i="1"/>
  <c r="AK47" i="1"/>
  <c r="AJ47" i="1"/>
  <c r="AG47" i="1"/>
  <c r="P47" i="1"/>
  <c r="Q47" i="1" s="1"/>
  <c r="N47" i="1"/>
  <c r="O47" i="1" s="1"/>
  <c r="M47" i="1"/>
  <c r="E47" i="1"/>
  <c r="AG46" i="1"/>
  <c r="Q46" i="1"/>
  <c r="P46" i="1"/>
  <c r="N46" i="1"/>
  <c r="O46" i="1" s="1"/>
  <c r="M46" i="1"/>
  <c r="F46" i="1"/>
  <c r="G46" i="1" s="1"/>
  <c r="E46" i="1"/>
  <c r="AJ45" i="1"/>
  <c r="AK45" i="1" s="1"/>
  <c r="AG45" i="1"/>
  <c r="Q45" i="1"/>
  <c r="P45" i="1"/>
  <c r="O45" i="1"/>
  <c r="N45" i="1"/>
  <c r="M45" i="1"/>
  <c r="F45" i="1"/>
  <c r="G45" i="1" s="1"/>
  <c r="E45" i="1"/>
  <c r="AJ44" i="1"/>
  <c r="AG44" i="1"/>
  <c r="P44" i="1"/>
  <c r="Q44" i="1" s="1"/>
  <c r="N44" i="1"/>
  <c r="O44" i="1" s="1"/>
  <c r="M44" i="1"/>
  <c r="H44" i="1"/>
  <c r="I44" i="1" s="1"/>
  <c r="E44" i="1"/>
  <c r="AJ43" i="1"/>
  <c r="AG43" i="1"/>
  <c r="AK43" i="1" s="1"/>
  <c r="P43" i="1"/>
  <c r="Q43" i="1" s="1"/>
  <c r="O43" i="1"/>
  <c r="N43" i="1"/>
  <c r="M43" i="1"/>
  <c r="F43" i="1"/>
  <c r="E43" i="1"/>
  <c r="AJ42" i="1"/>
  <c r="AK42" i="1" s="1"/>
  <c r="AG42" i="1"/>
  <c r="P42" i="1"/>
  <c r="O42" i="1"/>
  <c r="N42" i="1"/>
  <c r="M42" i="1"/>
  <c r="G42" i="1"/>
  <c r="F42" i="1"/>
  <c r="E42" i="1"/>
  <c r="AJ41" i="1"/>
  <c r="AK41" i="1" s="1"/>
  <c r="AI41" i="1"/>
  <c r="AH41" i="1"/>
  <c r="AG41" i="1"/>
  <c r="Q41" i="1"/>
  <c r="P41" i="1"/>
  <c r="N41" i="1"/>
  <c r="O41" i="1" s="1"/>
  <c r="M41" i="1"/>
  <c r="H41" i="1"/>
  <c r="I41" i="1" s="1"/>
  <c r="F41" i="1"/>
  <c r="G41" i="1" s="1"/>
  <c r="E41" i="1"/>
  <c r="AI38" i="1"/>
  <c r="AB38" i="1"/>
  <c r="O38" i="1"/>
  <c r="F38" i="1"/>
  <c r="BC37" i="1"/>
  <c r="AZ37" i="1"/>
  <c r="Q37" i="1"/>
  <c r="P37" i="1"/>
  <c r="O37" i="1"/>
  <c r="N37" i="1"/>
  <c r="BH36" i="1"/>
  <c r="BH37" i="1" s="1"/>
  <c r="BG36" i="1"/>
  <c r="BG37" i="1" s="1"/>
  <c r="BC36" i="1"/>
  <c r="BB36" i="1"/>
  <c r="BA36" i="1"/>
  <c r="AZ36" i="1"/>
  <c r="AX36" i="1"/>
  <c r="AX37" i="1" s="1"/>
  <c r="AW36" i="1"/>
  <c r="AQ36" i="1"/>
  <c r="AP36" i="1"/>
  <c r="AO36" i="1"/>
  <c r="AN36" i="1"/>
  <c r="AG36" i="1"/>
  <c r="AN39" i="1" s="1"/>
  <c r="AF36" i="1"/>
  <c r="Q36" i="1"/>
  <c r="P36" i="1"/>
  <c r="O36" i="1"/>
  <c r="N36" i="1"/>
  <c r="M36" i="1"/>
  <c r="L36" i="1"/>
  <c r="E36" i="1"/>
  <c r="D36" i="1"/>
  <c r="C36" i="1"/>
  <c r="CE35" i="1"/>
  <c r="CF35" i="1" s="1"/>
  <c r="CD35" i="1"/>
  <c r="BY35" i="1"/>
  <c r="BX35" i="1"/>
  <c r="BW35" i="1"/>
  <c r="BV35" i="1"/>
  <c r="BU35" i="1"/>
  <c r="BT35" i="1"/>
  <c r="BS35" i="1"/>
  <c r="BR35" i="1"/>
  <c r="BQ35" i="1"/>
  <c r="BP35" i="1"/>
  <c r="BO35" i="1"/>
  <c r="BD35" i="1"/>
  <c r="AY35" i="1"/>
  <c r="W35" i="1" s="1"/>
  <c r="AV35" i="1"/>
  <c r="AR35" i="1"/>
  <c r="AJ35" i="1"/>
  <c r="AI35" i="1"/>
  <c r="AH35" i="1"/>
  <c r="AB35" i="1"/>
  <c r="AS35" i="1" s="1"/>
  <c r="AA35" i="1"/>
  <c r="Z35" i="1"/>
  <c r="Y35" i="1"/>
  <c r="V35" i="1"/>
  <c r="U35" i="1"/>
  <c r="T35" i="1"/>
  <c r="R35" i="1"/>
  <c r="S35" i="1" s="1"/>
  <c r="Q35" i="1"/>
  <c r="O35" i="1"/>
  <c r="K35" i="1"/>
  <c r="J35" i="1"/>
  <c r="I35" i="1"/>
  <c r="G35" i="1"/>
  <c r="CD34" i="1"/>
  <c r="BW34" i="1"/>
  <c r="BV34" i="1"/>
  <c r="BU34" i="1"/>
  <c r="BS34" i="1"/>
  <c r="BT34" i="1" s="1"/>
  <c r="BQ34" i="1"/>
  <c r="BR34" i="1" s="1"/>
  <c r="BP34" i="1"/>
  <c r="BO34" i="1"/>
  <c r="BK34" i="1"/>
  <c r="BI34" i="1"/>
  <c r="BE34" i="1"/>
  <c r="BD34" i="1"/>
  <c r="AY34" i="1"/>
  <c r="AV34" i="1"/>
  <c r="AR34" i="1"/>
  <c r="AK34" i="1"/>
  <c r="AI34" i="1"/>
  <c r="AH34" i="1"/>
  <c r="AL34" i="1" s="1"/>
  <c r="AM34" i="1" s="1"/>
  <c r="AA34" i="1"/>
  <c r="U34" i="1"/>
  <c r="T34" i="1"/>
  <c r="S34" i="1"/>
  <c r="R34" i="1"/>
  <c r="Q34" i="1"/>
  <c r="O34" i="1"/>
  <c r="H34" i="1"/>
  <c r="G34" i="1"/>
  <c r="BS33" i="1"/>
  <c r="BT33" i="1" s="1"/>
  <c r="BQ33" i="1"/>
  <c r="BP33" i="1"/>
  <c r="BO33" i="1"/>
  <c r="AY33" i="1"/>
  <c r="AV33" i="1"/>
  <c r="AK33" i="1"/>
  <c r="AH33" i="1"/>
  <c r="AL33" i="1" s="1"/>
  <c r="AM33" i="1" s="1"/>
  <c r="U33" i="1"/>
  <c r="T33" i="1"/>
  <c r="S33" i="1"/>
  <c r="R33" i="1"/>
  <c r="Q33" i="1"/>
  <c r="O33" i="1"/>
  <c r="H33" i="1"/>
  <c r="G33" i="1"/>
  <c r="BS32" i="1"/>
  <c r="BT32" i="1" s="1"/>
  <c r="BQ32" i="1"/>
  <c r="BP32" i="1"/>
  <c r="BO32" i="1"/>
  <c r="BD32" i="1"/>
  <c r="AV32" i="1"/>
  <c r="AS32" i="1"/>
  <c r="AR32" i="1"/>
  <c r="AK32" i="1"/>
  <c r="AH32" i="1"/>
  <c r="AB32" i="1"/>
  <c r="X32" i="1"/>
  <c r="W32" i="1"/>
  <c r="U32" i="1"/>
  <c r="T32" i="1"/>
  <c r="S32" i="1"/>
  <c r="R32" i="1"/>
  <c r="Q32" i="1"/>
  <c r="O32" i="1"/>
  <c r="J32" i="1"/>
  <c r="K32" i="1" s="1"/>
  <c r="I32" i="1"/>
  <c r="G32" i="1"/>
  <c r="BQ31" i="1"/>
  <c r="BP31" i="1"/>
  <c r="BO31" i="1"/>
  <c r="AY31" i="1"/>
  <c r="AV31" i="1"/>
  <c r="AR31" i="1"/>
  <c r="AM31" i="1"/>
  <c r="AL31" i="1"/>
  <c r="AK31" i="1"/>
  <c r="AH31" i="1"/>
  <c r="AI31" i="1" s="1"/>
  <c r="AA31" i="1"/>
  <c r="V31" i="1"/>
  <c r="U31" i="1"/>
  <c r="BX31" i="1" s="1"/>
  <c r="T31" i="1"/>
  <c r="BW31" i="1" s="1"/>
  <c r="R31" i="1"/>
  <c r="S31" i="1" s="1"/>
  <c r="Q31" i="1"/>
  <c r="O31" i="1"/>
  <c r="H31" i="1"/>
  <c r="G31" i="1"/>
  <c r="CG30" i="1"/>
  <c r="BZ30" i="1"/>
  <c r="BX30" i="1"/>
  <c r="BW30" i="1"/>
  <c r="BS30" i="1"/>
  <c r="BT30" i="1" s="1"/>
  <c r="BR30" i="1"/>
  <c r="BQ30" i="1"/>
  <c r="BP30" i="1"/>
  <c r="BO30" i="1"/>
  <c r="BK30" i="1"/>
  <c r="BI30" i="1"/>
  <c r="BE30" i="1"/>
  <c r="AY30" i="1"/>
  <c r="BD30" i="1" s="1"/>
  <c r="AV30" i="1"/>
  <c r="AR30" i="1"/>
  <c r="AL30" i="1"/>
  <c r="BL30" i="1" s="1"/>
  <c r="AK30" i="1"/>
  <c r="AI30" i="1"/>
  <c r="AC30" i="1"/>
  <c r="AT30" i="1" s="1"/>
  <c r="AB30" i="1"/>
  <c r="AS30" i="1" s="1"/>
  <c r="AA30" i="1"/>
  <c r="W30" i="1"/>
  <c r="Y30" i="1" s="1"/>
  <c r="Z30" i="1" s="1"/>
  <c r="U30" i="1"/>
  <c r="V30" i="1" s="1"/>
  <c r="T30" i="1"/>
  <c r="R30" i="1"/>
  <c r="S30" i="1" s="1"/>
  <c r="Q30" i="1"/>
  <c r="O30" i="1"/>
  <c r="K30" i="1"/>
  <c r="J30" i="1"/>
  <c r="I30" i="1"/>
  <c r="G30" i="1"/>
  <c r="CD29" i="1"/>
  <c r="BW29" i="1"/>
  <c r="BP29" i="1"/>
  <c r="BO29" i="1"/>
  <c r="BL29" i="1"/>
  <c r="BK29" i="1"/>
  <c r="BI29" i="1"/>
  <c r="AY29" i="1"/>
  <c r="BD29" i="1" s="1"/>
  <c r="BE29" i="1" s="1"/>
  <c r="AV29" i="1"/>
  <c r="AR29" i="1"/>
  <c r="AM29" i="1"/>
  <c r="AL29" i="1"/>
  <c r="AK29" i="1"/>
  <c r="AI29" i="1"/>
  <c r="AH29" i="1"/>
  <c r="AA29" i="1"/>
  <c r="U29" i="1"/>
  <c r="T29" i="1"/>
  <c r="S29" i="1"/>
  <c r="R29" i="1"/>
  <c r="Q29" i="1"/>
  <c r="O29" i="1"/>
  <c r="J29" i="1"/>
  <c r="I29" i="1"/>
  <c r="H29" i="1"/>
  <c r="G29" i="1"/>
  <c r="F29" i="1"/>
  <c r="F47" i="1" s="1"/>
  <c r="G47" i="1" s="1"/>
  <c r="CD28" i="1"/>
  <c r="BW28" i="1"/>
  <c r="BV28" i="1"/>
  <c r="BU28" i="1"/>
  <c r="BT28" i="1"/>
  <c r="BS28" i="1"/>
  <c r="BR28" i="1"/>
  <c r="BQ28" i="1"/>
  <c r="BP28" i="1"/>
  <c r="BO28" i="1"/>
  <c r="AY28" i="1"/>
  <c r="W28" i="1" s="1"/>
  <c r="AV28" i="1"/>
  <c r="AR28" i="1"/>
  <c r="AK28" i="1"/>
  <c r="AI28" i="1"/>
  <c r="AH28" i="1"/>
  <c r="AL28" i="1" s="1"/>
  <c r="AM28" i="1" s="1"/>
  <c r="AB28" i="1"/>
  <c r="AS28" i="1" s="1"/>
  <c r="AA28" i="1"/>
  <c r="U28" i="1"/>
  <c r="T28" i="1"/>
  <c r="R28" i="1"/>
  <c r="S28" i="1" s="1"/>
  <c r="Q28" i="1"/>
  <c r="O28" i="1"/>
  <c r="J28" i="1"/>
  <c r="I28" i="1"/>
  <c r="H28" i="1"/>
  <c r="G28" i="1"/>
  <c r="BS27" i="1"/>
  <c r="BT27" i="1" s="1"/>
  <c r="BR27" i="1"/>
  <c r="BQ27" i="1"/>
  <c r="BU27" i="1" s="1"/>
  <c r="BV27" i="1" s="1"/>
  <c r="BP27" i="1"/>
  <c r="BO27" i="1"/>
  <c r="BI27" i="1"/>
  <c r="BE27" i="1"/>
  <c r="BK27" i="1" s="1"/>
  <c r="BD27" i="1"/>
  <c r="AY27" i="1"/>
  <c r="W27" i="1" s="1"/>
  <c r="AV27" i="1"/>
  <c r="AK27" i="1"/>
  <c r="AH27" i="1"/>
  <c r="AL27" i="1" s="1"/>
  <c r="AM27" i="1" s="1"/>
  <c r="U27" i="1"/>
  <c r="T27" i="1"/>
  <c r="S27" i="1"/>
  <c r="R27" i="1"/>
  <c r="Q27" i="1"/>
  <c r="O27" i="1"/>
  <c r="J27" i="1"/>
  <c r="K27" i="1" s="1"/>
  <c r="I27" i="1"/>
  <c r="G27" i="1"/>
  <c r="BS26" i="1"/>
  <c r="BT26" i="1" s="1"/>
  <c r="BP26" i="1"/>
  <c r="BO26" i="1"/>
  <c r="AY26" i="1"/>
  <c r="BD26" i="1" s="1"/>
  <c r="AV26" i="1"/>
  <c r="AL26" i="1"/>
  <c r="AM26" i="1" s="1"/>
  <c r="AK26" i="1"/>
  <c r="AI26" i="1"/>
  <c r="AA26" i="1"/>
  <c r="U26" i="1"/>
  <c r="T26" i="1"/>
  <c r="S26" i="1"/>
  <c r="R26" i="1"/>
  <c r="Q26" i="1"/>
  <c r="O26" i="1"/>
  <c r="I26" i="1"/>
  <c r="H26" i="1"/>
  <c r="G26" i="1"/>
  <c r="F26" i="1"/>
  <c r="BT25" i="1"/>
  <c r="BS25" i="1"/>
  <c r="BQ25" i="1"/>
  <c r="BP25" i="1"/>
  <c r="BO25" i="1"/>
  <c r="AY25" i="1"/>
  <c r="BD25" i="1" s="1"/>
  <c r="AV25" i="1"/>
  <c r="AS25" i="1"/>
  <c r="AR25" i="1"/>
  <c r="AM25" i="1"/>
  <c r="AK25" i="1"/>
  <c r="AI25" i="1"/>
  <c r="AH25" i="1"/>
  <c r="AL25" i="1" s="1"/>
  <c r="AB25" i="1"/>
  <c r="AA25" i="1"/>
  <c r="U25" i="1"/>
  <c r="T25" i="1"/>
  <c r="S25" i="1"/>
  <c r="R25" i="1"/>
  <c r="Q25" i="1"/>
  <c r="O25" i="1"/>
  <c r="J25" i="1"/>
  <c r="I25" i="1"/>
  <c r="H25" i="1"/>
  <c r="H43" i="1" s="1"/>
  <c r="I43" i="1" s="1"/>
  <c r="G25" i="1"/>
  <c r="BS24" i="1"/>
  <c r="BT24" i="1" s="1"/>
  <c r="BQ24" i="1"/>
  <c r="BP24" i="1"/>
  <c r="BO24" i="1"/>
  <c r="AY24" i="1"/>
  <c r="BD24" i="1" s="1"/>
  <c r="AV24" i="1"/>
  <c r="AL24" i="1"/>
  <c r="AM24" i="1" s="1"/>
  <c r="AK24" i="1"/>
  <c r="AI24" i="1"/>
  <c r="AH24" i="1"/>
  <c r="W24" i="1"/>
  <c r="U24" i="1"/>
  <c r="T24" i="1"/>
  <c r="S24" i="1"/>
  <c r="R24" i="1"/>
  <c r="Q24" i="1"/>
  <c r="O24" i="1"/>
  <c r="I24" i="1"/>
  <c r="H24" i="1"/>
  <c r="G24" i="1"/>
  <c r="BX23" i="1"/>
  <c r="BU23" i="1"/>
  <c r="BV23" i="1" s="1"/>
  <c r="BR23" i="1"/>
  <c r="BQ23" i="1"/>
  <c r="BP23" i="1"/>
  <c r="BO23" i="1"/>
  <c r="BI23" i="1"/>
  <c r="BE23" i="1"/>
  <c r="BK23" i="1" s="1"/>
  <c r="BD23" i="1"/>
  <c r="AY23" i="1"/>
  <c r="AV23" i="1"/>
  <c r="AS23" i="1"/>
  <c r="AL23" i="1"/>
  <c r="AK23" i="1"/>
  <c r="AI23" i="1"/>
  <c r="AC23" i="1"/>
  <c r="AT23" i="1" s="1"/>
  <c r="AB23" i="1"/>
  <c r="W23" i="1"/>
  <c r="U23" i="1"/>
  <c r="T23" i="1"/>
  <c r="S23" i="1"/>
  <c r="R23" i="1"/>
  <c r="Q23" i="1"/>
  <c r="O23" i="1"/>
  <c r="J23" i="1"/>
  <c r="K23" i="1" s="1"/>
  <c r="I23" i="1"/>
  <c r="H23" i="1"/>
  <c r="BS23" i="1" s="1"/>
  <c r="G23" i="1"/>
  <c r="BY22" i="1"/>
  <c r="BX22" i="1"/>
  <c r="BW22" i="1"/>
  <c r="BQ22" i="1"/>
  <c r="BP22" i="1"/>
  <c r="BR22" i="1" s="1"/>
  <c r="BO22" i="1"/>
  <c r="BL22" i="1"/>
  <c r="BK22" i="1"/>
  <c r="BI22" i="1"/>
  <c r="BE22" i="1"/>
  <c r="AY22" i="1"/>
  <c r="BD22" i="1" s="1"/>
  <c r="AV22" i="1"/>
  <c r="AS22" i="1"/>
  <c r="AR22" i="1"/>
  <c r="AL22" i="1"/>
  <c r="AM22" i="1" s="1"/>
  <c r="AK22" i="1"/>
  <c r="AI22" i="1"/>
  <c r="AH22" i="1"/>
  <c r="AH47" i="1" s="1"/>
  <c r="AI47" i="1" s="1"/>
  <c r="AB22" i="1"/>
  <c r="AA22" i="1"/>
  <c r="V22" i="1"/>
  <c r="U22" i="1"/>
  <c r="T22" i="1"/>
  <c r="R22" i="1"/>
  <c r="S22" i="1" s="1"/>
  <c r="Q22" i="1"/>
  <c r="O22" i="1"/>
  <c r="H22" i="1"/>
  <c r="G22" i="1"/>
  <c r="CE21" i="1"/>
  <c r="CD21" i="1"/>
  <c r="CB21" i="1"/>
  <c r="BY21" i="1"/>
  <c r="BX21" i="1"/>
  <c r="BR21" i="1"/>
  <c r="BQ21" i="1"/>
  <c r="BP21" i="1"/>
  <c r="BO21" i="1"/>
  <c r="BL21" i="1"/>
  <c r="BD21" i="1"/>
  <c r="BI21" i="1" s="1"/>
  <c r="AY21" i="1"/>
  <c r="AV21" i="1"/>
  <c r="AS21" i="1"/>
  <c r="AR21" i="1"/>
  <c r="AL21" i="1"/>
  <c r="AM21" i="1" s="1"/>
  <c r="AK21" i="1"/>
  <c r="AI21" i="1"/>
  <c r="AA21" i="1"/>
  <c r="Y21" i="1"/>
  <c r="Z21" i="1" s="1"/>
  <c r="X21" i="1"/>
  <c r="W21" i="1"/>
  <c r="BZ21" i="1" s="1"/>
  <c r="CA21" i="1" s="1"/>
  <c r="V21" i="1"/>
  <c r="U21" i="1"/>
  <c r="AB21" i="1" s="1"/>
  <c r="T21" i="1"/>
  <c r="BW21" i="1" s="1"/>
  <c r="S21" i="1"/>
  <c r="R21" i="1"/>
  <c r="Q21" i="1"/>
  <c r="O21" i="1"/>
  <c r="J21" i="1"/>
  <c r="AD21" i="1" s="1"/>
  <c r="AU21" i="1" s="1"/>
  <c r="I21" i="1"/>
  <c r="H21" i="1"/>
  <c r="G21" i="1"/>
  <c r="BZ20" i="1"/>
  <c r="BQ20" i="1"/>
  <c r="BP20" i="1"/>
  <c r="BO20" i="1"/>
  <c r="AY20" i="1"/>
  <c r="BD20" i="1" s="1"/>
  <c r="AV20" i="1"/>
  <c r="AL20" i="1"/>
  <c r="AM20" i="1" s="1"/>
  <c r="AK20" i="1"/>
  <c r="AH20" i="1"/>
  <c r="W20" i="1"/>
  <c r="Y20" i="1" s="1"/>
  <c r="Z20" i="1" s="1"/>
  <c r="V20" i="1"/>
  <c r="U20" i="1"/>
  <c r="T20" i="1"/>
  <c r="S20" i="1"/>
  <c r="R20" i="1"/>
  <c r="Q20" i="1"/>
  <c r="O20" i="1"/>
  <c r="I20" i="1"/>
  <c r="H20" i="1"/>
  <c r="G20" i="1"/>
  <c r="CG19" i="1"/>
  <c r="BZ19" i="1"/>
  <c r="BS19" i="1"/>
  <c r="BQ19" i="1"/>
  <c r="BU19" i="1" s="1"/>
  <c r="BP19" i="1"/>
  <c r="BV19" i="1" s="1"/>
  <c r="BO19" i="1"/>
  <c r="BI19" i="1"/>
  <c r="BD19" i="1"/>
  <c r="BL19" i="1" s="1"/>
  <c r="AV19" i="1"/>
  <c r="AR19" i="1"/>
  <c r="AM19" i="1"/>
  <c r="AL19" i="1"/>
  <c r="AK19" i="1"/>
  <c r="AI19" i="1"/>
  <c r="AC19" i="1"/>
  <c r="AT19" i="1" s="1"/>
  <c r="W19" i="1"/>
  <c r="U19" i="1"/>
  <c r="T19" i="1"/>
  <c r="S19" i="1"/>
  <c r="R19" i="1"/>
  <c r="Q19" i="1"/>
  <c r="O19" i="1"/>
  <c r="K19" i="1"/>
  <c r="J19" i="1"/>
  <c r="I19" i="1"/>
  <c r="G19" i="1"/>
  <c r="CE18" i="1"/>
  <c r="BZ18" i="1"/>
  <c r="CG18" i="1" s="1"/>
  <c r="BY18" i="1"/>
  <c r="BX18" i="1"/>
  <c r="BW18" i="1"/>
  <c r="BS18" i="1"/>
  <c r="BQ18" i="1"/>
  <c r="BP18" i="1"/>
  <c r="BO18" i="1"/>
  <c r="BL18" i="1"/>
  <c r="BD18" i="1"/>
  <c r="BI18" i="1" s="1"/>
  <c r="AV18" i="1"/>
  <c r="AR18" i="1"/>
  <c r="AL18" i="1"/>
  <c r="AM18" i="1" s="1"/>
  <c r="AK18" i="1"/>
  <c r="AH18" i="1"/>
  <c r="AB18" i="1"/>
  <c r="AS18" i="1" s="1"/>
  <c r="AA18" i="1"/>
  <c r="Z18" i="1"/>
  <c r="Y18" i="1"/>
  <c r="W18" i="1"/>
  <c r="AC18" i="1" s="1"/>
  <c r="AT18" i="1" s="1"/>
  <c r="V18" i="1"/>
  <c r="U18" i="1"/>
  <c r="T18" i="1"/>
  <c r="S18" i="1"/>
  <c r="R18" i="1"/>
  <c r="Q18" i="1"/>
  <c r="O18" i="1"/>
  <c r="K18" i="1"/>
  <c r="J18" i="1"/>
  <c r="I18" i="1"/>
  <c r="G18" i="1"/>
  <c r="BX17" i="1"/>
  <c r="BY17" i="1" s="1"/>
  <c r="BW17" i="1"/>
  <c r="CD17" i="1" s="1"/>
  <c r="BS17" i="1"/>
  <c r="BQ17" i="1"/>
  <c r="BP17" i="1"/>
  <c r="BO17" i="1"/>
  <c r="AY17" i="1"/>
  <c r="AV17" i="1"/>
  <c r="AR17" i="1"/>
  <c r="AM17" i="1"/>
  <c r="AL17" i="1"/>
  <c r="AK17" i="1"/>
  <c r="AH17" i="1"/>
  <c r="AA17" i="1"/>
  <c r="W17" i="1"/>
  <c r="V17" i="1"/>
  <c r="U17" i="1"/>
  <c r="AB17" i="1" s="1"/>
  <c r="T17" i="1"/>
  <c r="S17" i="1"/>
  <c r="R17" i="1"/>
  <c r="Q17" i="1"/>
  <c r="O17" i="1"/>
  <c r="J17" i="1"/>
  <c r="I17" i="1"/>
  <c r="G17" i="1"/>
  <c r="BS16" i="1"/>
  <c r="BQ16" i="1"/>
  <c r="BP16" i="1"/>
  <c r="BO16" i="1"/>
  <c r="BI16" i="1"/>
  <c r="BE16" i="1"/>
  <c r="BK16" i="1" s="1"/>
  <c r="BD16" i="1"/>
  <c r="BL16" i="1" s="1"/>
  <c r="AV16" i="1"/>
  <c r="AM16" i="1"/>
  <c r="AL16" i="1"/>
  <c r="AK16" i="1"/>
  <c r="AI16" i="1"/>
  <c r="W16" i="1"/>
  <c r="BZ16" i="1" s="1"/>
  <c r="U16" i="1"/>
  <c r="T16" i="1"/>
  <c r="AR16" i="1" s="1"/>
  <c r="S16" i="1"/>
  <c r="R16" i="1"/>
  <c r="Q16" i="1"/>
  <c r="O16" i="1"/>
  <c r="K16" i="1"/>
  <c r="J16" i="1"/>
  <c r="I16" i="1"/>
  <c r="G16" i="1"/>
  <c r="CB15" i="1"/>
  <c r="CA15" i="1"/>
  <c r="BZ15" i="1"/>
  <c r="CG15" i="1" s="1"/>
  <c r="BX15" i="1"/>
  <c r="BY15" i="1" s="1"/>
  <c r="BW15" i="1"/>
  <c r="BS15" i="1"/>
  <c r="BQ15" i="1"/>
  <c r="BP15" i="1"/>
  <c r="BO15" i="1"/>
  <c r="BL15" i="1"/>
  <c r="BD15" i="1"/>
  <c r="AV15" i="1"/>
  <c r="AT15" i="1"/>
  <c r="AR15" i="1"/>
  <c r="AM15" i="1"/>
  <c r="AL15" i="1"/>
  <c r="AK15" i="1"/>
  <c r="AI15" i="1"/>
  <c r="AC15" i="1"/>
  <c r="AB15" i="1"/>
  <c r="AS15" i="1" s="1"/>
  <c r="AA15" i="1"/>
  <c r="AE15" i="1" s="1"/>
  <c r="Y15" i="1"/>
  <c r="Z15" i="1" s="1"/>
  <c r="X15" i="1"/>
  <c r="W15" i="1"/>
  <c r="U15" i="1"/>
  <c r="V15" i="1" s="1"/>
  <c r="T15" i="1"/>
  <c r="S15" i="1"/>
  <c r="R15" i="1"/>
  <c r="Q15" i="1"/>
  <c r="O15" i="1"/>
  <c r="J15" i="1"/>
  <c r="AD15" i="1" s="1"/>
  <c r="AU15" i="1" s="1"/>
  <c r="I15" i="1"/>
  <c r="G15" i="1"/>
  <c r="CD14" i="1"/>
  <c r="BW14" i="1"/>
  <c r="BS14" i="1"/>
  <c r="BU14" i="1" s="1"/>
  <c r="BV14" i="1" s="1"/>
  <c r="BR14" i="1"/>
  <c r="BQ14" i="1"/>
  <c r="BP14" i="1"/>
  <c r="BO14" i="1"/>
  <c r="BD14" i="1"/>
  <c r="BL14" i="1" s="1"/>
  <c r="AV14" i="1"/>
  <c r="AL14" i="1"/>
  <c r="AM14" i="1" s="1"/>
  <c r="AK14" i="1"/>
  <c r="AI14" i="1"/>
  <c r="AB14" i="1"/>
  <c r="AS14" i="1" s="1"/>
  <c r="AA14" i="1"/>
  <c r="W14" i="1"/>
  <c r="V14" i="1"/>
  <c r="U14" i="1"/>
  <c r="T14" i="1"/>
  <c r="S14" i="1"/>
  <c r="R14" i="1"/>
  <c r="Q14" i="1"/>
  <c r="O14" i="1"/>
  <c r="J14" i="1"/>
  <c r="K14" i="1" s="1"/>
  <c r="I14" i="1"/>
  <c r="G14" i="1"/>
  <c r="BZ13" i="1"/>
  <c r="BX13" i="1"/>
  <c r="CB13" i="1" s="1"/>
  <c r="BS13" i="1"/>
  <c r="BT13" i="1" s="1"/>
  <c r="BQ13" i="1"/>
  <c r="BP13" i="1"/>
  <c r="BO13" i="1"/>
  <c r="BL13" i="1"/>
  <c r="BK13" i="1"/>
  <c r="BI13" i="1"/>
  <c r="BD13" i="1"/>
  <c r="BE13" i="1" s="1"/>
  <c r="AV13" i="1"/>
  <c r="AL13" i="1"/>
  <c r="AM13" i="1" s="1"/>
  <c r="AK13" i="1"/>
  <c r="AI13" i="1"/>
  <c r="AC13" i="1"/>
  <c r="AT13" i="1" s="1"/>
  <c r="W13" i="1"/>
  <c r="U13" i="1"/>
  <c r="AB13" i="1" s="1"/>
  <c r="AS13" i="1" s="1"/>
  <c r="T13" i="1"/>
  <c r="AA13" i="1" s="1"/>
  <c r="S13" i="1"/>
  <c r="R13" i="1"/>
  <c r="Q13" i="1"/>
  <c r="O13" i="1"/>
  <c r="J13" i="1"/>
  <c r="K13" i="1" s="1"/>
  <c r="I13" i="1"/>
  <c r="G13" i="1"/>
  <c r="BZ12" i="1"/>
  <c r="CA12" i="1" s="1"/>
  <c r="BX12" i="1"/>
  <c r="CB12" i="1" s="1"/>
  <c r="BS12" i="1"/>
  <c r="CG12" i="1" s="1"/>
  <c r="BR12" i="1"/>
  <c r="BQ12" i="1"/>
  <c r="BP12" i="1"/>
  <c r="BO12" i="1"/>
  <c r="BD12" i="1"/>
  <c r="BI12" i="1" s="1"/>
  <c r="AV12" i="1"/>
  <c r="AT12" i="1"/>
  <c r="AM12" i="1"/>
  <c r="AL12" i="1"/>
  <c r="AK12" i="1"/>
  <c r="AI12" i="1"/>
  <c r="AC12" i="1"/>
  <c r="AB12" i="1"/>
  <c r="AS12" i="1" s="1"/>
  <c r="W12" i="1"/>
  <c r="U12" i="1"/>
  <c r="Y12" i="1" s="1"/>
  <c r="AD12" i="1" s="1"/>
  <c r="AU12" i="1" s="1"/>
  <c r="T12" i="1"/>
  <c r="BW12" i="1" s="1"/>
  <c r="S12" i="1"/>
  <c r="R12" i="1"/>
  <c r="Q12" i="1"/>
  <c r="O12" i="1"/>
  <c r="K12" i="1"/>
  <c r="J12" i="1"/>
  <c r="I12" i="1"/>
  <c r="G12" i="1"/>
  <c r="BW11" i="1"/>
  <c r="BU11" i="1"/>
  <c r="BV11" i="1" s="1"/>
  <c r="BT11" i="1"/>
  <c r="BS11" i="1"/>
  <c r="BQ11" i="1"/>
  <c r="BP11" i="1"/>
  <c r="BO11" i="1"/>
  <c r="BD11" i="1"/>
  <c r="BL11" i="1" s="1"/>
  <c r="AV11" i="1"/>
  <c r="AT11" i="1"/>
  <c r="AR11" i="1"/>
  <c r="AL11" i="1"/>
  <c r="AK11" i="1"/>
  <c r="AI11" i="1"/>
  <c r="AB11" i="1"/>
  <c r="AS11" i="1" s="1"/>
  <c r="AA11" i="1"/>
  <c r="W11" i="1"/>
  <c r="AC11" i="1" s="1"/>
  <c r="V11" i="1"/>
  <c r="U11" i="1"/>
  <c r="U43" i="1" s="1"/>
  <c r="T11" i="1"/>
  <c r="R11" i="1"/>
  <c r="Q11" i="1"/>
  <c r="O11" i="1"/>
  <c r="K11" i="1"/>
  <c r="J11" i="1"/>
  <c r="I11" i="1"/>
  <c r="G11" i="1"/>
  <c r="CD10" i="1"/>
  <c r="BW10" i="1"/>
  <c r="BS10" i="1"/>
  <c r="BT10" i="1" s="1"/>
  <c r="BQ10" i="1"/>
  <c r="BU10" i="1" s="1"/>
  <c r="BP10" i="1"/>
  <c r="BV10" i="1" s="1"/>
  <c r="BO10" i="1"/>
  <c r="BI10" i="1"/>
  <c r="BE10" i="1"/>
  <c r="BK10" i="1" s="1"/>
  <c r="BD10" i="1"/>
  <c r="AV10" i="1"/>
  <c r="AS10" i="1"/>
  <c r="AL10" i="1"/>
  <c r="AK10" i="1"/>
  <c r="AI10" i="1"/>
  <c r="AB10" i="1"/>
  <c r="AA10" i="1"/>
  <c r="W10" i="1"/>
  <c r="V10" i="1"/>
  <c r="U10" i="1"/>
  <c r="T10" i="1"/>
  <c r="R10" i="1"/>
  <c r="R42" i="1" s="1"/>
  <c r="S42" i="1" s="1"/>
  <c r="Q10" i="1"/>
  <c r="O10" i="1"/>
  <c r="J10" i="1"/>
  <c r="I10" i="1"/>
  <c r="G10" i="1"/>
  <c r="BX9" i="1"/>
  <c r="BS9" i="1"/>
  <c r="BQ9" i="1"/>
  <c r="BP9" i="1"/>
  <c r="BO9" i="1"/>
  <c r="BK9" i="1"/>
  <c r="BI9" i="1"/>
  <c r="BD9" i="1"/>
  <c r="BE9" i="1" s="1"/>
  <c r="AV9" i="1"/>
  <c r="AR9" i="1"/>
  <c r="AL9" i="1"/>
  <c r="AL41" i="1" s="1"/>
  <c r="AM41" i="1" s="1"/>
  <c r="AK9" i="1"/>
  <c r="AI9" i="1"/>
  <c r="AB9" i="1"/>
  <c r="AS9" i="1" s="1"/>
  <c r="X9" i="1"/>
  <c r="W9" i="1"/>
  <c r="W41" i="1" s="1"/>
  <c r="U9" i="1"/>
  <c r="V9" i="1" s="1"/>
  <c r="T9" i="1"/>
  <c r="R9" i="1"/>
  <c r="Q9" i="1"/>
  <c r="O9" i="1"/>
  <c r="J9" i="1"/>
  <c r="J41" i="1" s="1"/>
  <c r="K41" i="1" s="1"/>
  <c r="I9" i="1"/>
  <c r="G9" i="1"/>
  <c r="BS8" i="1"/>
  <c r="BU8" i="1" s="1"/>
  <c r="BV8" i="1" s="1"/>
  <c r="BR8" i="1"/>
  <c r="BQ8" i="1"/>
  <c r="BP8" i="1"/>
  <c r="BO8" i="1"/>
  <c r="BI8" i="1"/>
  <c r="BD8" i="1"/>
  <c r="BE8" i="1" s="1"/>
  <c r="BK8" i="1" s="1"/>
  <c r="AV8" i="1"/>
  <c r="AL8" i="1"/>
  <c r="AM8" i="1" s="1"/>
  <c r="AK8" i="1"/>
  <c r="AI8" i="1"/>
  <c r="W8" i="1"/>
  <c r="X8" i="1" s="1"/>
  <c r="U8" i="1"/>
  <c r="T8" i="1"/>
  <c r="S8" i="1"/>
  <c r="R8" i="1"/>
  <c r="Q8" i="1"/>
  <c r="O8" i="1"/>
  <c r="K8" i="1"/>
  <c r="J8" i="1"/>
  <c r="I8" i="1"/>
  <c r="G8" i="1"/>
  <c r="BZ7" i="1"/>
  <c r="CA7" i="1" s="1"/>
  <c r="BX7" i="1"/>
  <c r="CB7" i="1" s="1"/>
  <c r="BU7" i="1"/>
  <c r="BT7" i="1"/>
  <c r="BS7" i="1"/>
  <c r="BQ7" i="1"/>
  <c r="CE7" i="1" s="1"/>
  <c r="BP7" i="1"/>
  <c r="BO7" i="1"/>
  <c r="BD7" i="1"/>
  <c r="BI7" i="1" s="1"/>
  <c r="AV7" i="1"/>
  <c r="AM7" i="1"/>
  <c r="AL7" i="1"/>
  <c r="AK7" i="1"/>
  <c r="AI7" i="1"/>
  <c r="AC7" i="1"/>
  <c r="AT7" i="1" s="1"/>
  <c r="W7" i="1"/>
  <c r="U7" i="1"/>
  <c r="U46" i="1" s="1"/>
  <c r="T7" i="1"/>
  <c r="BW7" i="1" s="1"/>
  <c r="S7" i="1"/>
  <c r="R7" i="1"/>
  <c r="R46" i="1" s="1"/>
  <c r="S46" i="1" s="1"/>
  <c r="Q7" i="1"/>
  <c r="O7" i="1"/>
  <c r="K7" i="1"/>
  <c r="J7" i="1"/>
  <c r="I7" i="1"/>
  <c r="G7" i="1"/>
  <c r="BW6" i="1"/>
  <c r="BV6" i="1"/>
  <c r="BU6" i="1"/>
  <c r="BS6" i="1"/>
  <c r="BQ6" i="1"/>
  <c r="BP6" i="1"/>
  <c r="BO6" i="1"/>
  <c r="BI6" i="1"/>
  <c r="BE6" i="1"/>
  <c r="BK6" i="1" s="1"/>
  <c r="BD6" i="1"/>
  <c r="AV6" i="1"/>
  <c r="AR6" i="1"/>
  <c r="AL6" i="1"/>
  <c r="AL45" i="1" s="1"/>
  <c r="AM45" i="1" s="1"/>
  <c r="AK6" i="1"/>
  <c r="AI6" i="1"/>
  <c r="AA6" i="1"/>
  <c r="X6" i="1"/>
  <c r="W6" i="1"/>
  <c r="U6" i="1"/>
  <c r="U45" i="1" s="1"/>
  <c r="T6" i="1"/>
  <c r="T45" i="1" s="1"/>
  <c r="S6" i="1"/>
  <c r="R6" i="1"/>
  <c r="R45" i="1" s="1"/>
  <c r="S45" i="1" s="1"/>
  <c r="Q6" i="1"/>
  <c r="O6" i="1"/>
  <c r="K6" i="1"/>
  <c r="J6" i="1"/>
  <c r="I6" i="1"/>
  <c r="G6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U5" i="1"/>
  <c r="BT5" i="1"/>
  <c r="BS5" i="1"/>
  <c r="BQ5" i="1"/>
  <c r="BP5" i="1"/>
  <c r="BO5" i="1"/>
  <c r="BD5" i="1"/>
  <c r="BI5" i="1" s="1"/>
  <c r="AV5" i="1"/>
  <c r="AV36" i="1" s="1"/>
  <c r="AV37" i="1" s="1"/>
  <c r="AX55" i="1" s="1"/>
  <c r="AM5" i="1"/>
  <c r="AL5" i="1"/>
  <c r="AK5" i="1"/>
  <c r="AI5" i="1"/>
  <c r="AC5" i="1"/>
  <c r="AB5" i="1"/>
  <c r="AS5" i="1" s="1"/>
  <c r="W5" i="1"/>
  <c r="BZ5" i="1" s="1"/>
  <c r="U5" i="1"/>
  <c r="T5" i="1"/>
  <c r="V5" i="1" s="1"/>
  <c r="S5" i="1"/>
  <c r="R5" i="1"/>
  <c r="Q5" i="1"/>
  <c r="O5" i="1"/>
  <c r="K5" i="1"/>
  <c r="J5" i="1"/>
  <c r="I5" i="1"/>
  <c r="G5" i="1"/>
  <c r="B5" i="1"/>
  <c r="AD9" i="2" l="1"/>
  <c r="AU9" i="2" s="1"/>
  <c r="Y9" i="2"/>
  <c r="X44" i="2"/>
  <c r="BG6" i="2"/>
  <c r="BM6" i="2" s="1"/>
  <c r="BN6" i="2"/>
  <c r="BK6" i="2"/>
  <c r="BK14" i="2"/>
  <c r="BG14" i="2"/>
  <c r="BM14" i="2" s="1"/>
  <c r="BN14" i="2"/>
  <c r="AY55" i="2"/>
  <c r="AX55" i="2"/>
  <c r="AE7" i="2"/>
  <c r="AV7" i="2" s="1"/>
  <c r="Z45" i="2"/>
  <c r="K13" i="2"/>
  <c r="AE22" i="2"/>
  <c r="AV22" i="2" s="1"/>
  <c r="Y13" i="2"/>
  <c r="AD13" i="2"/>
  <c r="AU13" i="2" s="1"/>
  <c r="AE19" i="2"/>
  <c r="AV19" i="2" s="1"/>
  <c r="AA19" i="2"/>
  <c r="AE31" i="2"/>
  <c r="AV31" i="2" s="1"/>
  <c r="Z47" i="2"/>
  <c r="AA47" i="2" s="1"/>
  <c r="AA5" i="2"/>
  <c r="AF23" i="2"/>
  <c r="J41" i="2"/>
  <c r="K41" i="2" s="1"/>
  <c r="K6" i="2"/>
  <c r="AF25" i="2"/>
  <c r="W43" i="2"/>
  <c r="AJ11" i="2"/>
  <c r="AI46" i="2"/>
  <c r="AJ46" i="2" s="1"/>
  <c r="AB22" i="2"/>
  <c r="AS22" i="2"/>
  <c r="AA22" i="2"/>
  <c r="AF33" i="2"/>
  <c r="I36" i="2"/>
  <c r="H37" i="2"/>
  <c r="I37" i="2" s="1"/>
  <c r="BF36" i="2"/>
  <c r="BF37" i="2" s="1"/>
  <c r="AM41" i="2"/>
  <c r="AN41" i="2" s="1"/>
  <c r="AF27" i="2"/>
  <c r="Y5" i="2"/>
  <c r="BG5" i="2"/>
  <c r="AN6" i="2"/>
  <c r="BF9" i="2"/>
  <c r="K10" i="2"/>
  <c r="AA10" i="2"/>
  <c r="W46" i="2"/>
  <c r="BF12" i="2"/>
  <c r="Y21" i="2"/>
  <c r="W23" i="2"/>
  <c r="Y31" i="2"/>
  <c r="BK5" i="2"/>
  <c r="U44" i="2"/>
  <c r="AF10" i="2"/>
  <c r="W11" i="2"/>
  <c r="AM11" i="2"/>
  <c r="AA12" i="2"/>
  <c r="AB16" i="2"/>
  <c r="AF16" i="2" s="1"/>
  <c r="AS16" i="2"/>
  <c r="AA16" i="2"/>
  <c r="Z21" i="2"/>
  <c r="AA21" i="2" s="1"/>
  <c r="W22" i="2"/>
  <c r="AB24" i="2"/>
  <c r="AF24" i="2" s="1"/>
  <c r="AS24" i="2"/>
  <c r="AF29" i="2"/>
  <c r="Z31" i="2"/>
  <c r="AA31" i="2" s="1"/>
  <c r="U42" i="2"/>
  <c r="AN5" i="2"/>
  <c r="K8" i="2"/>
  <c r="Z43" i="2"/>
  <c r="AA43" i="2" s="1"/>
  <c r="AN8" i="2"/>
  <c r="W44" i="2"/>
  <c r="AJ9" i="2"/>
  <c r="Z12" i="2"/>
  <c r="AJ12" i="2"/>
  <c r="BF13" i="2"/>
  <c r="BG18" i="2"/>
  <c r="BM18" i="2" s="1"/>
  <c r="Y23" i="2"/>
  <c r="AB34" i="2"/>
  <c r="AS34" i="2"/>
  <c r="AA34" i="2"/>
  <c r="J43" i="2"/>
  <c r="K43" i="2" s="1"/>
  <c r="Q44" i="2"/>
  <c r="AS11" i="2"/>
  <c r="W12" i="2"/>
  <c r="AS13" i="2"/>
  <c r="AB13" i="2"/>
  <c r="W16" i="2"/>
  <c r="Y22" i="2"/>
  <c r="AS23" i="2"/>
  <c r="W24" i="2"/>
  <c r="AB26" i="2"/>
  <c r="AF26" i="2" s="1"/>
  <c r="AS26" i="2"/>
  <c r="AA26" i="2"/>
  <c r="BG28" i="2"/>
  <c r="BM28" i="2" s="1"/>
  <c r="AF31" i="2"/>
  <c r="BG32" i="2"/>
  <c r="BM32" i="2" s="1"/>
  <c r="BN35" i="2"/>
  <c r="BK35" i="2"/>
  <c r="BG35" i="2"/>
  <c r="BM35" i="2" s="1"/>
  <c r="AF56" i="2"/>
  <c r="X47" i="2"/>
  <c r="J11" i="2"/>
  <c r="I11" i="2"/>
  <c r="H46" i="2"/>
  <c r="I46" i="2" s="1"/>
  <c r="R47" i="2"/>
  <c r="S47" i="2" s="1"/>
  <c r="X42" i="2"/>
  <c r="Y42" i="2" s="1"/>
  <c r="AJ7" i="2"/>
  <c r="BG7" i="2"/>
  <c r="BM7" i="2" s="1"/>
  <c r="AM9" i="2"/>
  <c r="AE10" i="2"/>
  <c r="AV10" i="2" s="1"/>
  <c r="AB11" i="2"/>
  <c r="AS12" i="2"/>
  <c r="AT13" i="2"/>
  <c r="AJ13" i="2"/>
  <c r="AF15" i="2"/>
  <c r="Y17" i="2"/>
  <c r="AB18" i="2"/>
  <c r="AF18" i="2" s="1"/>
  <c r="AS18" i="2"/>
  <c r="AA18" i="2"/>
  <c r="Z22" i="2"/>
  <c r="AA23" i="2"/>
  <c r="Y25" i="2"/>
  <c r="W27" i="2"/>
  <c r="BK28" i="2"/>
  <c r="BK32" i="2"/>
  <c r="W34" i="2"/>
  <c r="AM36" i="2"/>
  <c r="AL45" i="2"/>
  <c r="S5" i="2"/>
  <c r="AD5" i="2"/>
  <c r="V41" i="2"/>
  <c r="W41" i="2" s="1"/>
  <c r="Y7" i="2"/>
  <c r="BK7" i="2"/>
  <c r="R43" i="2"/>
  <c r="S43" i="2" s="1"/>
  <c r="AE9" i="2"/>
  <c r="J44" i="2"/>
  <c r="K44" i="2" s="1"/>
  <c r="U45" i="2"/>
  <c r="AC11" i="2"/>
  <c r="AT11" i="2" s="1"/>
  <c r="I12" i="2"/>
  <c r="W13" i="2"/>
  <c r="Y16" i="2"/>
  <c r="AS17" i="2"/>
  <c r="BG20" i="2"/>
  <c r="BM20" i="2" s="1"/>
  <c r="Y24" i="2"/>
  <c r="AS25" i="2"/>
  <c r="W26" i="2"/>
  <c r="AB28" i="2"/>
  <c r="AF28" i="2" s="1"/>
  <c r="AS28" i="2"/>
  <c r="AA28" i="2"/>
  <c r="BG30" i="2"/>
  <c r="BM30" i="2" s="1"/>
  <c r="Q36" i="2"/>
  <c r="O43" i="2"/>
  <c r="BN5" i="2"/>
  <c r="W7" i="2"/>
  <c r="AA8" i="2"/>
  <c r="W9" i="2"/>
  <c r="U36" i="2"/>
  <c r="W38" i="2" s="1"/>
  <c r="U47" i="2"/>
  <c r="AE5" i="2"/>
  <c r="W6" i="2"/>
  <c r="AM7" i="2"/>
  <c r="Z9" i="2"/>
  <c r="AD11" i="2"/>
  <c r="AU11" i="2" s="1"/>
  <c r="J12" i="2"/>
  <c r="AB12" i="2"/>
  <c r="F42" i="2"/>
  <c r="G42" i="2" s="1"/>
  <c r="Z16" i="2"/>
  <c r="AE16" i="2" s="1"/>
  <c r="AV16" i="2" s="1"/>
  <c r="AA17" i="2"/>
  <c r="W18" i="2"/>
  <c r="BK20" i="2"/>
  <c r="Z24" i="2"/>
  <c r="AE24" i="2" s="1"/>
  <c r="AV24" i="2" s="1"/>
  <c r="AA25" i="2"/>
  <c r="Y27" i="2"/>
  <c r="BK30" i="2"/>
  <c r="Y34" i="2"/>
  <c r="R36" i="2"/>
  <c r="Q43" i="2"/>
  <c r="I44" i="2"/>
  <c r="G44" i="2"/>
  <c r="V47" i="2"/>
  <c r="W47" i="2" s="1"/>
  <c r="I6" i="2"/>
  <c r="X6" i="2"/>
  <c r="AJ6" i="2"/>
  <c r="AA7" i="2"/>
  <c r="AS8" i="2"/>
  <c r="AS36" i="2" s="1"/>
  <c r="AY38" i="2" s="1"/>
  <c r="AB8" i="2"/>
  <c r="AF8" i="2" s="1"/>
  <c r="U43" i="2"/>
  <c r="Y43" i="2" s="1"/>
  <c r="X45" i="2"/>
  <c r="BG10" i="2"/>
  <c r="BM10" i="2" s="1"/>
  <c r="R46" i="2"/>
  <c r="S46" i="2" s="1"/>
  <c r="AC12" i="2"/>
  <c r="AT12" i="2" s="1"/>
  <c r="G14" i="2"/>
  <c r="V14" i="2"/>
  <c r="V42" i="2" s="1"/>
  <c r="W42" i="2" s="1"/>
  <c r="AB17" i="2"/>
  <c r="AF17" i="2" s="1"/>
  <c r="Y19" i="2"/>
  <c r="AB20" i="2"/>
  <c r="AF20" i="2" s="1"/>
  <c r="AS20" i="2"/>
  <c r="AA20" i="2"/>
  <c r="BG22" i="2"/>
  <c r="BM22" i="2" s="1"/>
  <c r="AS27" i="2"/>
  <c r="AB30" i="2"/>
  <c r="AF30" i="2" s="1"/>
  <c r="AS30" i="2"/>
  <c r="AA30" i="2"/>
  <c r="AB32" i="2"/>
  <c r="AF32" i="2" s="1"/>
  <c r="AS32" i="2"/>
  <c r="AE33" i="2"/>
  <c r="AV33" i="2" s="1"/>
  <c r="Z34" i="2"/>
  <c r="AE34" i="2" s="1"/>
  <c r="AV34" i="2" s="1"/>
  <c r="F36" i="2"/>
  <c r="H41" i="2"/>
  <c r="I41" i="2" s="1"/>
  <c r="W5" i="2"/>
  <c r="AI47" i="2"/>
  <c r="AJ47" i="2" s="1"/>
  <c r="AI36" i="2"/>
  <c r="AI37" i="2" s="1"/>
  <c r="AJ37" i="2" s="1"/>
  <c r="AZ36" i="2"/>
  <c r="AB7" i="2"/>
  <c r="BN8" i="2"/>
  <c r="Y10" i="2"/>
  <c r="AM45" i="2"/>
  <c r="AN45" i="2" s="1"/>
  <c r="BF11" i="2"/>
  <c r="X11" i="2"/>
  <c r="AD12" i="2"/>
  <c r="AU12" i="2" s="1"/>
  <c r="Z13" i="2"/>
  <c r="AA13" i="2" s="1"/>
  <c r="AD14" i="2"/>
  <c r="AU14" i="2" s="1"/>
  <c r="Y18" i="2"/>
  <c r="AS19" i="2"/>
  <c r="W31" i="2"/>
  <c r="Z32" i="2"/>
  <c r="AE32" i="2" s="1"/>
  <c r="AV32" i="2" s="1"/>
  <c r="Z35" i="2"/>
  <c r="W35" i="2"/>
  <c r="BG33" i="2"/>
  <c r="BM33" i="2" s="1"/>
  <c r="V45" i="2"/>
  <c r="CA20" i="1"/>
  <c r="CH18" i="1"/>
  <c r="CA5" i="1"/>
  <c r="CG5" i="1"/>
  <c r="CA13" i="1"/>
  <c r="AT5" i="1"/>
  <c r="AB6" i="1"/>
  <c r="AS6" i="1" s="1"/>
  <c r="T41" i="1"/>
  <c r="X41" i="1" s="1"/>
  <c r="AL42" i="1"/>
  <c r="AM42" i="1" s="1"/>
  <c r="AM10" i="1"/>
  <c r="AA12" i="1"/>
  <c r="AE12" i="1" s="1"/>
  <c r="CE12" i="1"/>
  <c r="BW13" i="1"/>
  <c r="BT17" i="1"/>
  <c r="CB18" i="1"/>
  <c r="AC21" i="1"/>
  <c r="AT21" i="1" s="1"/>
  <c r="H46" i="1"/>
  <c r="I46" i="1" s="1"/>
  <c r="BS21" i="1"/>
  <c r="X24" i="1"/>
  <c r="BZ24" i="1"/>
  <c r="K25" i="1"/>
  <c r="BZ35" i="1"/>
  <c r="CA35" i="1" s="1"/>
  <c r="X35" i="1"/>
  <c r="AC35" i="1"/>
  <c r="AT35" i="1" s="1"/>
  <c r="T47" i="1"/>
  <c r="AA8" i="1"/>
  <c r="BW8" i="1"/>
  <c r="CD8" i="1" s="1"/>
  <c r="BZ14" i="1"/>
  <c r="CA14" i="1" s="1"/>
  <c r="X14" i="1"/>
  <c r="BZ17" i="1"/>
  <c r="CA17" i="1" s="1"/>
  <c r="AC17" i="1"/>
  <c r="AT17" i="1" s="1"/>
  <c r="BL23" i="1"/>
  <c r="AM23" i="1"/>
  <c r="BU24" i="1"/>
  <c r="BV24" i="1" s="1"/>
  <c r="BR24" i="1"/>
  <c r="BU32" i="1"/>
  <c r="BV32" i="1" s="1"/>
  <c r="BL35" i="1"/>
  <c r="BI35" i="1"/>
  <c r="R44" i="1"/>
  <c r="S44" i="1" s="1"/>
  <c r="R36" i="1"/>
  <c r="AB8" i="1"/>
  <c r="AS8" i="1" s="1"/>
  <c r="U47" i="1"/>
  <c r="BL8" i="1"/>
  <c r="BX8" i="1"/>
  <c r="BL9" i="1"/>
  <c r="BZ9" i="1"/>
  <c r="X10" i="1"/>
  <c r="BR10" i="1"/>
  <c r="BT12" i="1"/>
  <c r="BY13" i="1"/>
  <c r="BT14" i="1"/>
  <c r="CD15" i="1"/>
  <c r="BV15" i="1"/>
  <c r="BU16" i="1"/>
  <c r="BV16" i="1" s="1"/>
  <c r="CE16" i="1"/>
  <c r="BR16" i="1"/>
  <c r="X17" i="1"/>
  <c r="BZ28" i="1"/>
  <c r="CA28" i="1" s="1"/>
  <c r="X28" i="1"/>
  <c r="Y28" i="1"/>
  <c r="Z28" i="1" s="1"/>
  <c r="BR32" i="1"/>
  <c r="BE35" i="1"/>
  <c r="BK35" i="1" s="1"/>
  <c r="BX6" i="1"/>
  <c r="BE7" i="1"/>
  <c r="BK7" i="1" s="1"/>
  <c r="BY7" i="1"/>
  <c r="V8" i="1"/>
  <c r="AM9" i="1"/>
  <c r="K10" i="1"/>
  <c r="R43" i="1"/>
  <c r="S43" i="1" s="1"/>
  <c r="S11" i="1"/>
  <c r="BE11" i="1"/>
  <c r="BK11" i="1" s="1"/>
  <c r="BU12" i="1"/>
  <c r="BU15" i="1"/>
  <c r="CE15" i="1"/>
  <c r="CG16" i="1"/>
  <c r="BT16" i="1"/>
  <c r="K17" i="1"/>
  <c r="Y17" i="1"/>
  <c r="Z17" i="1" s="1"/>
  <c r="CA18" i="1"/>
  <c r="BR20" i="1"/>
  <c r="K21" i="1"/>
  <c r="V23" i="1"/>
  <c r="AA23" i="1"/>
  <c r="AR23" i="1"/>
  <c r="BU25" i="1"/>
  <c r="BV25" i="1" s="1"/>
  <c r="CE25" i="1"/>
  <c r="BW27" i="1"/>
  <c r="CD27" i="1" s="1"/>
  <c r="AA27" i="1"/>
  <c r="AE27" i="1" s="1"/>
  <c r="AR27" i="1"/>
  <c r="X27" i="1"/>
  <c r="BD28" i="1"/>
  <c r="J31" i="1"/>
  <c r="I31" i="1"/>
  <c r="CD31" i="1"/>
  <c r="AE35" i="1"/>
  <c r="BL7" i="1"/>
  <c r="AC14" i="1"/>
  <c r="AT14" i="1" s="1"/>
  <c r="CI18" i="1"/>
  <c r="CF21" i="1"/>
  <c r="BW23" i="1"/>
  <c r="BR25" i="1"/>
  <c r="BU31" i="1"/>
  <c r="BV31" i="1" s="1"/>
  <c r="CE31" i="1"/>
  <c r="AR33" i="1"/>
  <c r="AA33" i="1"/>
  <c r="BW33" i="1"/>
  <c r="CD33" i="1" s="1"/>
  <c r="BI11" i="1"/>
  <c r="AY36" i="1"/>
  <c r="AY37" i="1" s="1"/>
  <c r="BD17" i="1"/>
  <c r="U44" i="1"/>
  <c r="U36" i="1"/>
  <c r="Y5" i="1"/>
  <c r="BX5" i="1"/>
  <c r="AC6" i="1"/>
  <c r="AT6" i="1" s="1"/>
  <c r="AM6" i="1"/>
  <c r="BZ6" i="1"/>
  <c r="AR8" i="1"/>
  <c r="K9" i="1"/>
  <c r="Z9" i="1"/>
  <c r="BU9" i="1"/>
  <c r="CE9" i="1"/>
  <c r="AC10" i="1"/>
  <c r="AT10" i="1" s="1"/>
  <c r="BL10" i="1"/>
  <c r="BX11" i="1"/>
  <c r="BE12" i="1"/>
  <c r="BK12" i="1" s="1"/>
  <c r="BY12" i="1"/>
  <c r="V13" i="1"/>
  <c r="CD13" i="1"/>
  <c r="CE13" i="1"/>
  <c r="BI14" i="1"/>
  <c r="K15" i="1"/>
  <c r="BX16" i="1"/>
  <c r="Y16" i="1"/>
  <c r="AD16" i="1" s="1"/>
  <c r="AU16" i="1" s="1"/>
  <c r="CD18" i="1"/>
  <c r="CJ18" i="1" s="1"/>
  <c r="BV18" i="1"/>
  <c r="BR19" i="1"/>
  <c r="H45" i="1"/>
  <c r="I45" i="1" s="1"/>
  <c r="H36" i="1"/>
  <c r="BS20" i="1"/>
  <c r="AC20" i="1"/>
  <c r="AT20" i="1" s="1"/>
  <c r="AE21" i="1"/>
  <c r="BZ23" i="1"/>
  <c r="Y23" i="1"/>
  <c r="AD23" i="1" s="1"/>
  <c r="AU23" i="1" s="1"/>
  <c r="X23" i="1"/>
  <c r="CB23" i="1"/>
  <c r="BY23" i="1"/>
  <c r="BR31" i="1"/>
  <c r="AB33" i="1"/>
  <c r="AS33" i="1" s="1"/>
  <c r="BX33" i="1"/>
  <c r="V33" i="1"/>
  <c r="BU33" i="1"/>
  <c r="BV33" i="1" s="1"/>
  <c r="BR33" i="1"/>
  <c r="W43" i="1"/>
  <c r="X43" i="1" s="1"/>
  <c r="AH44" i="1"/>
  <c r="AI44" i="1" s="1"/>
  <c r="T46" i="1"/>
  <c r="V46" i="1" s="1"/>
  <c r="V6" i="1"/>
  <c r="BO36" i="1"/>
  <c r="J45" i="1"/>
  <c r="K45" i="1" s="1"/>
  <c r="CD6" i="1"/>
  <c r="J46" i="1"/>
  <c r="K46" i="1" s="1"/>
  <c r="Y7" i="1"/>
  <c r="BV7" i="1"/>
  <c r="Y8" i="1"/>
  <c r="AA9" i="1"/>
  <c r="AE9" i="1" s="1"/>
  <c r="BR9" i="1"/>
  <c r="V12" i="1"/>
  <c r="BL12" i="1"/>
  <c r="CG13" i="1"/>
  <c r="BT15" i="1"/>
  <c r="V16" i="1"/>
  <c r="BR18" i="1"/>
  <c r="BU18" i="1"/>
  <c r="BX19" i="1"/>
  <c r="AB19" i="1"/>
  <c r="AS19" i="1" s="1"/>
  <c r="BS22" i="1"/>
  <c r="W22" i="1"/>
  <c r="BT23" i="1"/>
  <c r="CG23" i="1"/>
  <c r="CH23" i="1" s="1"/>
  <c r="CE24" i="1"/>
  <c r="BL26" i="1"/>
  <c r="BI26" i="1"/>
  <c r="BE26" i="1"/>
  <c r="BK26" i="1" s="1"/>
  <c r="BS31" i="1"/>
  <c r="AL47" i="1"/>
  <c r="AM47" i="1" s="1"/>
  <c r="BV5" i="1"/>
  <c r="T44" i="1"/>
  <c r="T36" i="1"/>
  <c r="V38" i="1" s="1"/>
  <c r="BW5" i="1"/>
  <c r="BL6" i="1"/>
  <c r="V7" i="1"/>
  <c r="BE14" i="1"/>
  <c r="BK14" i="1" s="1"/>
  <c r="BR15" i="1"/>
  <c r="BW16" i="1"/>
  <c r="CD16" i="1" s="1"/>
  <c r="AA16" i="1"/>
  <c r="AE16" i="1" s="1"/>
  <c r="CB17" i="1"/>
  <c r="X5" i="1"/>
  <c r="BP36" i="1"/>
  <c r="Y6" i="1"/>
  <c r="AD6" i="1" s="1"/>
  <c r="BR6" i="1"/>
  <c r="AR7" i="1"/>
  <c r="CD7" i="1"/>
  <c r="Z8" i="1"/>
  <c r="BT9" i="1"/>
  <c r="S10" i="1"/>
  <c r="AM11" i="1"/>
  <c r="BZ11" i="1"/>
  <c r="X12" i="1"/>
  <c r="X13" i="1"/>
  <c r="AR13" i="1"/>
  <c r="X16" i="1"/>
  <c r="AC16" i="1"/>
  <c r="AT16" i="1" s="1"/>
  <c r="V19" i="1"/>
  <c r="BT19" i="1"/>
  <c r="J20" i="1"/>
  <c r="X20" i="1"/>
  <c r="CD20" i="1"/>
  <c r="I22" i="1"/>
  <c r="AR24" i="1"/>
  <c r="AA24" i="1"/>
  <c r="Z24" i="1"/>
  <c r="BW24" i="1"/>
  <c r="CD24" i="1" s="1"/>
  <c r="BE24" i="1"/>
  <c r="BK24" i="1" s="1"/>
  <c r="BL24" i="1"/>
  <c r="BI24" i="1"/>
  <c r="AI27" i="1"/>
  <c r="K28" i="1"/>
  <c r="Y29" i="1"/>
  <c r="Z29" i="1" s="1"/>
  <c r="V29" i="1"/>
  <c r="BX29" i="1"/>
  <c r="CB30" i="1"/>
  <c r="BY30" i="1"/>
  <c r="Z32" i="1"/>
  <c r="BW32" i="1"/>
  <c r="CD32" i="1" s="1"/>
  <c r="V32" i="1"/>
  <c r="AA32" i="1"/>
  <c r="AI33" i="1"/>
  <c r="V45" i="1"/>
  <c r="W47" i="1"/>
  <c r="X47" i="1" s="1"/>
  <c r="BZ8" i="1"/>
  <c r="CA8" i="1" s="1"/>
  <c r="AR5" i="1"/>
  <c r="CD5" i="1"/>
  <c r="AA7" i="1"/>
  <c r="BR7" i="1"/>
  <c r="AC8" i="1"/>
  <c r="AT8" i="1" s="1"/>
  <c r="BT8" i="1"/>
  <c r="R41" i="1"/>
  <c r="S41" i="1" s="1"/>
  <c r="AC9" i="1"/>
  <c r="AT9" i="1" s="1"/>
  <c r="T42" i="1"/>
  <c r="AR10" i="1"/>
  <c r="BZ10" i="1"/>
  <c r="CA10" i="1" s="1"/>
  <c r="X11" i="1"/>
  <c r="CD11" i="1"/>
  <c r="BV12" i="1"/>
  <c r="Y13" i="1"/>
  <c r="AD13" i="1" s="1"/>
  <c r="AU13" i="1" s="1"/>
  <c r="AR14" i="1"/>
  <c r="BT18" i="1"/>
  <c r="BL20" i="1"/>
  <c r="BI20" i="1"/>
  <c r="BE20" i="1"/>
  <c r="BK20" i="1" s="1"/>
  <c r="J22" i="1"/>
  <c r="AB24" i="1"/>
  <c r="AS24" i="1" s="1"/>
  <c r="Y24" i="1"/>
  <c r="BX24" i="1"/>
  <c r="BX26" i="1"/>
  <c r="AE30" i="1"/>
  <c r="CA30" i="1"/>
  <c r="H47" i="1"/>
  <c r="I47" i="1" s="1"/>
  <c r="BE5" i="1"/>
  <c r="Y9" i="1"/>
  <c r="AA5" i="1"/>
  <c r="BR5" i="1"/>
  <c r="BT6" i="1"/>
  <c r="AB7" i="1"/>
  <c r="AS7" i="1" s="1"/>
  <c r="AS36" i="1" s="1"/>
  <c r="AS37" i="1" s="1"/>
  <c r="CG7" i="1"/>
  <c r="CH7" i="1" s="1"/>
  <c r="AD8" i="1"/>
  <c r="AU8" i="1" s="1"/>
  <c r="S9" i="1"/>
  <c r="AD9" i="1"/>
  <c r="AU9" i="1" s="1"/>
  <c r="BW9" i="1"/>
  <c r="BY9" i="1" s="1"/>
  <c r="U42" i="1"/>
  <c r="V42" i="1" s="1"/>
  <c r="BX10" i="1"/>
  <c r="Y10" i="1"/>
  <c r="J43" i="1"/>
  <c r="K43" i="1" s="1"/>
  <c r="Y11" i="1"/>
  <c r="AD11" i="1" s="1"/>
  <c r="BR11" i="1"/>
  <c r="CE11" i="1"/>
  <c r="Z12" i="1"/>
  <c r="AR12" i="1"/>
  <c r="CD12" i="1"/>
  <c r="CH12" i="1" s="1"/>
  <c r="Y14" i="1"/>
  <c r="AD14" i="1" s="1"/>
  <c r="AU14" i="1" s="1"/>
  <c r="BX14" i="1"/>
  <c r="BI15" i="1"/>
  <c r="BE15" i="1"/>
  <c r="BK15" i="1" s="1"/>
  <c r="AB16" i="1"/>
  <c r="AS16" i="1" s="1"/>
  <c r="BU17" i="1"/>
  <c r="BV17" i="1" s="1"/>
  <c r="CE17" i="1"/>
  <c r="BR17" i="1"/>
  <c r="AD18" i="1"/>
  <c r="AU18" i="1" s="1"/>
  <c r="X18" i="1"/>
  <c r="Y19" i="1"/>
  <c r="CE22" i="1"/>
  <c r="V24" i="1"/>
  <c r="AB26" i="1"/>
  <c r="AS26" i="1" s="1"/>
  <c r="J26" i="1"/>
  <c r="F36" i="1"/>
  <c r="F44" i="1"/>
  <c r="G44" i="1" s="1"/>
  <c r="V26" i="1"/>
  <c r="BQ26" i="1"/>
  <c r="CG28" i="1"/>
  <c r="CH28" i="1" s="1"/>
  <c r="AB29" i="1"/>
  <c r="AS29" i="1" s="1"/>
  <c r="BZ32" i="1"/>
  <c r="CA32" i="1" s="1"/>
  <c r="AC32" i="1"/>
  <c r="AT32" i="1" s="1"/>
  <c r="CE33" i="1"/>
  <c r="BL27" i="1"/>
  <c r="AD30" i="1"/>
  <c r="AU30" i="1" s="1"/>
  <c r="CE30" i="1"/>
  <c r="BU30" i="1"/>
  <c r="AL32" i="1"/>
  <c r="AM32" i="1" s="1"/>
  <c r="AI32" i="1"/>
  <c r="BL34" i="1"/>
  <c r="Q42" i="1"/>
  <c r="AE18" i="1"/>
  <c r="CD22" i="1"/>
  <c r="J24" i="1"/>
  <c r="H42" i="1"/>
  <c r="I42" i="1" s="1"/>
  <c r="CG24" i="1"/>
  <c r="W26" i="1"/>
  <c r="W44" i="1" s="1"/>
  <c r="X44" i="1" s="1"/>
  <c r="AB27" i="1"/>
  <c r="AS27" i="1" s="1"/>
  <c r="BX27" i="1"/>
  <c r="V27" i="1"/>
  <c r="AB31" i="1"/>
  <c r="AS31" i="1" s="1"/>
  <c r="G43" i="1"/>
  <c r="BI25" i="1"/>
  <c r="BE25" i="1"/>
  <c r="BK25" i="1" s="1"/>
  <c r="W29" i="1"/>
  <c r="AC29" i="1" s="1"/>
  <c r="AT29" i="1" s="1"/>
  <c r="BY31" i="1"/>
  <c r="AB34" i="1"/>
  <c r="AS34" i="1" s="1"/>
  <c r="BX34" i="1"/>
  <c r="CE34" i="1" s="1"/>
  <c r="BE21" i="1"/>
  <c r="BK21" i="1" s="1"/>
  <c r="AC24" i="1"/>
  <c r="AT24" i="1" s="1"/>
  <c r="BW25" i="1"/>
  <c r="CD25" i="1" s="1"/>
  <c r="V25" i="1"/>
  <c r="Y27" i="1"/>
  <c r="AD27" i="1" s="1"/>
  <c r="AU27" i="1" s="1"/>
  <c r="BS29" i="1"/>
  <c r="AM30" i="1"/>
  <c r="J33" i="1"/>
  <c r="J44" i="1" s="1"/>
  <c r="K44" i="1" s="1"/>
  <c r="I33" i="1"/>
  <c r="W33" i="1"/>
  <c r="V34" i="1"/>
  <c r="AJ36" i="1"/>
  <c r="AJ37" i="1" s="1"/>
  <c r="AK37" i="1" s="1"/>
  <c r="AL35" i="1"/>
  <c r="AM35" i="1" s="1"/>
  <c r="AK35" i="1"/>
  <c r="U41" i="1"/>
  <c r="AH46" i="1"/>
  <c r="AI46" i="1" s="1"/>
  <c r="AL44" i="1"/>
  <c r="AM44" i="1" s="1"/>
  <c r="W46" i="1"/>
  <c r="BU13" i="1"/>
  <c r="BV13" i="1" s="1"/>
  <c r="AH36" i="1"/>
  <c r="AH37" i="1" s="1"/>
  <c r="AI37" i="1" s="1"/>
  <c r="AH42" i="1"/>
  <c r="AI42" i="1" s="1"/>
  <c r="AH43" i="1"/>
  <c r="AI43" i="1" s="1"/>
  <c r="BE18" i="1"/>
  <c r="BK18" i="1" s="1"/>
  <c r="AR20" i="1"/>
  <c r="AA20" i="1"/>
  <c r="AH45" i="1"/>
  <c r="AI45" i="1" s="1"/>
  <c r="CD23" i="1"/>
  <c r="BL25" i="1"/>
  <c r="BX28" i="1"/>
  <c r="V28" i="1"/>
  <c r="K29" i="1"/>
  <c r="X30" i="1"/>
  <c r="BE32" i="1"/>
  <c r="BK32" i="1" s="1"/>
  <c r="BD33" i="1"/>
  <c r="Y34" i="1"/>
  <c r="Z34" i="1" s="1"/>
  <c r="X7" i="1"/>
  <c r="AL46" i="1"/>
  <c r="AM46" i="1" s="1"/>
  <c r="R47" i="1"/>
  <c r="S47" i="1" s="1"/>
  <c r="T43" i="1"/>
  <c r="V43" i="1" s="1"/>
  <c r="BR13" i="1"/>
  <c r="AS17" i="1"/>
  <c r="AI17" i="1"/>
  <c r="AI18" i="1"/>
  <c r="X19" i="1"/>
  <c r="BW19" i="1"/>
  <c r="CA19" i="1" s="1"/>
  <c r="BE19" i="1"/>
  <c r="BK19" i="1" s="1"/>
  <c r="AB20" i="1"/>
  <c r="AS20" i="1" s="1"/>
  <c r="BX20" i="1"/>
  <c r="CE20" i="1" s="1"/>
  <c r="AI20" i="1"/>
  <c r="BW20" i="1"/>
  <c r="CE23" i="1"/>
  <c r="W25" i="1"/>
  <c r="BZ27" i="1"/>
  <c r="AC27" i="1"/>
  <c r="AT27" i="1" s="1"/>
  <c r="CD30" i="1"/>
  <c r="CH30" i="1" s="1"/>
  <c r="BV30" i="1"/>
  <c r="BI32" i="1"/>
  <c r="AC34" i="1"/>
  <c r="AT34" i="1" s="1"/>
  <c r="J34" i="1"/>
  <c r="I34" i="1"/>
  <c r="W34" i="1"/>
  <c r="AJ46" i="1"/>
  <c r="AK46" i="1" s="1"/>
  <c r="AW55" i="1"/>
  <c r="Y25" i="1"/>
  <c r="Z25" i="1" s="1"/>
  <c r="BD31" i="1"/>
  <c r="BD36" i="1" s="1"/>
  <c r="BD37" i="1" s="1"/>
  <c r="W31" i="1"/>
  <c r="AC31" i="1" s="1"/>
  <c r="AT31" i="1" s="1"/>
  <c r="BX32" i="1"/>
  <c r="Y32" i="1"/>
  <c r="AD32" i="1" s="1"/>
  <c r="AU32" i="1" s="1"/>
  <c r="AK44" i="1"/>
  <c r="BX25" i="1"/>
  <c r="AR26" i="1"/>
  <c r="BW26" i="1"/>
  <c r="CD26" i="1" s="1"/>
  <c r="AC28" i="1"/>
  <c r="AT28" i="1" s="1"/>
  <c r="AD35" i="1"/>
  <c r="AU35" i="1" s="1"/>
  <c r="CB35" i="1"/>
  <c r="AM56" i="1"/>
  <c r="AE56" i="1"/>
  <c r="BQ29" i="1"/>
  <c r="AF7" i="2" l="1"/>
  <c r="AB36" i="2"/>
  <c r="R37" i="2"/>
  <c r="S36" i="2"/>
  <c r="AC14" i="2"/>
  <c r="AT14" i="2" s="1"/>
  <c r="AT36" i="2" s="1"/>
  <c r="AT37" i="2" s="1"/>
  <c r="AE13" i="2"/>
  <c r="AV13" i="2" s="1"/>
  <c r="W14" i="2"/>
  <c r="Z14" i="2"/>
  <c r="AF12" i="2"/>
  <c r="AV9" i="2"/>
  <c r="AF9" i="2"/>
  <c r="BN9" i="2"/>
  <c r="BK9" i="2"/>
  <c r="BK36" i="2" s="1"/>
  <c r="BK37" i="2" s="1"/>
  <c r="BG9" i="2"/>
  <c r="BM9" i="2" s="1"/>
  <c r="X41" i="2"/>
  <c r="Y41" i="2" s="1"/>
  <c r="Y6" i="2"/>
  <c r="AD6" i="2"/>
  <c r="AU6" i="2" s="1"/>
  <c r="Z6" i="2"/>
  <c r="K12" i="2"/>
  <c r="AE12" i="2"/>
  <c r="AV12" i="2" s="1"/>
  <c r="AA45" i="2"/>
  <c r="AF34" i="2"/>
  <c r="BM5" i="2"/>
  <c r="W45" i="2"/>
  <c r="BN36" i="2"/>
  <c r="BN37" i="2" s="1"/>
  <c r="Y11" i="2"/>
  <c r="X46" i="2"/>
  <c r="Y46" i="2" s="1"/>
  <c r="Z11" i="2"/>
  <c r="AA9" i="2"/>
  <c r="Z44" i="2"/>
  <c r="AA44" i="2" s="1"/>
  <c r="J46" i="2"/>
  <c r="K46" i="2" s="1"/>
  <c r="AE11" i="2"/>
  <c r="AV11" i="2" s="1"/>
  <c r="K11" i="2"/>
  <c r="AE21" i="2"/>
  <c r="BG11" i="2"/>
  <c r="BM11" i="2" s="1"/>
  <c r="BK11" i="2"/>
  <c r="BN11" i="2"/>
  <c r="F37" i="2"/>
  <c r="G37" i="2" s="1"/>
  <c r="K37" i="2" s="1"/>
  <c r="G36" i="2"/>
  <c r="V36" i="2"/>
  <c r="AM42" i="2"/>
  <c r="AN42" i="2" s="1"/>
  <c r="AN7" i="2"/>
  <c r="AF11" i="2"/>
  <c r="J47" i="2"/>
  <c r="K47" i="2" s="1"/>
  <c r="Y44" i="2"/>
  <c r="AE35" i="2"/>
  <c r="AA35" i="2"/>
  <c r="Y45" i="2"/>
  <c r="AU5" i="2"/>
  <c r="X36" i="2"/>
  <c r="BN13" i="2"/>
  <c r="BK13" i="2"/>
  <c r="BG13" i="2"/>
  <c r="BM13" i="2" s="1"/>
  <c r="AF19" i="2"/>
  <c r="J36" i="2"/>
  <c r="AF22" i="2"/>
  <c r="AV5" i="2"/>
  <c r="AM44" i="2"/>
  <c r="AN44" i="2" s="1"/>
  <c r="AN9" i="2"/>
  <c r="Y47" i="2"/>
  <c r="AM46" i="2"/>
  <c r="AN46" i="2" s="1"/>
  <c r="AN11" i="2"/>
  <c r="BK12" i="2"/>
  <c r="BN12" i="2"/>
  <c r="BG12" i="2"/>
  <c r="BM12" i="2" s="1"/>
  <c r="AN36" i="2"/>
  <c r="AM37" i="2"/>
  <c r="AA32" i="2"/>
  <c r="AA24" i="2"/>
  <c r="AF5" i="2"/>
  <c r="BN7" i="2"/>
  <c r="AU6" i="1"/>
  <c r="AE6" i="1"/>
  <c r="CI20" i="1"/>
  <c r="CJ20" i="1" s="1"/>
  <c r="CF20" i="1"/>
  <c r="CF34" i="1"/>
  <c r="AU11" i="1"/>
  <c r="AE11" i="1"/>
  <c r="W36" i="1"/>
  <c r="AD5" i="1"/>
  <c r="X33" i="1"/>
  <c r="BZ33" i="1"/>
  <c r="CF22" i="1"/>
  <c r="CB32" i="1"/>
  <c r="BY32" i="1"/>
  <c r="CE32" i="1"/>
  <c r="BY27" i="1"/>
  <c r="CE27" i="1"/>
  <c r="CB27" i="1"/>
  <c r="CF33" i="1"/>
  <c r="CF11" i="1"/>
  <c r="Z14" i="1"/>
  <c r="Z5" i="1"/>
  <c r="CG20" i="1"/>
  <c r="CH20" i="1" s="1"/>
  <c r="BT20" i="1"/>
  <c r="CF9" i="1"/>
  <c r="CI9" i="1"/>
  <c r="BY5" i="1"/>
  <c r="BX36" i="1"/>
  <c r="CB5" i="1"/>
  <c r="Z27" i="1"/>
  <c r="CD19" i="1"/>
  <c r="AE8" i="1"/>
  <c r="CI12" i="1"/>
  <c r="CF12" i="1"/>
  <c r="BV9" i="1"/>
  <c r="CB6" i="1"/>
  <c r="BY6" i="1"/>
  <c r="CI16" i="1"/>
  <c r="CJ16" i="1" s="1"/>
  <c r="CF16" i="1"/>
  <c r="CB9" i="1"/>
  <c r="CG9" i="1"/>
  <c r="CA9" i="1"/>
  <c r="BU21" i="1"/>
  <c r="BV21" i="1" s="1"/>
  <c r="CG21" i="1"/>
  <c r="BT21" i="1"/>
  <c r="AD22" i="1"/>
  <c r="K22" i="1"/>
  <c r="CG8" i="1"/>
  <c r="CH8" i="1" s="1"/>
  <c r="CF24" i="1"/>
  <c r="CI24" i="1"/>
  <c r="CJ24" i="1" s="1"/>
  <c r="U37" i="1"/>
  <c r="V37" i="1" s="1"/>
  <c r="V36" i="1"/>
  <c r="CJ31" i="1"/>
  <c r="AE24" i="1"/>
  <c r="Y46" i="1"/>
  <c r="Z46" i="1" s="1"/>
  <c r="AD7" i="1"/>
  <c r="AU7" i="1" s="1"/>
  <c r="V44" i="1"/>
  <c r="CF25" i="1"/>
  <c r="AD17" i="1"/>
  <c r="CE28" i="1"/>
  <c r="CB28" i="1"/>
  <c r="BY28" i="1"/>
  <c r="BZ26" i="1"/>
  <c r="X26" i="1"/>
  <c r="CB8" i="1"/>
  <c r="CE8" i="1"/>
  <c r="BY8" i="1"/>
  <c r="CG27" i="1"/>
  <c r="CH27" i="1" s="1"/>
  <c r="CA27" i="1"/>
  <c r="BL33" i="1"/>
  <c r="BE33" i="1"/>
  <c r="BK33" i="1" s="1"/>
  <c r="BI33" i="1"/>
  <c r="BL32" i="1"/>
  <c r="K24" i="1"/>
  <c r="AD24" i="1"/>
  <c r="AU24" i="1" s="1"/>
  <c r="CI30" i="1"/>
  <c r="CJ30" i="1" s="1"/>
  <c r="CF30" i="1"/>
  <c r="BU26" i="1"/>
  <c r="BV26" i="1" s="1"/>
  <c r="CE26" i="1"/>
  <c r="BR26" i="1"/>
  <c r="Y42" i="1"/>
  <c r="Z42" i="1" s="1"/>
  <c r="CE5" i="1"/>
  <c r="CE6" i="1"/>
  <c r="CG32" i="1"/>
  <c r="CH32" i="1" s="1"/>
  <c r="Y22" i="1"/>
  <c r="Z22" i="1" s="1"/>
  <c r="X22" i="1"/>
  <c r="BZ22" i="1"/>
  <c r="J47" i="1"/>
  <c r="K47" i="1" s="1"/>
  <c r="J42" i="1"/>
  <c r="K42" i="1" s="1"/>
  <c r="CF7" i="1"/>
  <c r="CF31" i="1"/>
  <c r="CI31" i="1"/>
  <c r="AC26" i="1"/>
  <c r="AT26" i="1" s="1"/>
  <c r="J36" i="1"/>
  <c r="AC33" i="1"/>
  <c r="AT33" i="1" s="1"/>
  <c r="BY34" i="1"/>
  <c r="Z13" i="1"/>
  <c r="BY10" i="1"/>
  <c r="CB10" i="1"/>
  <c r="Y26" i="1"/>
  <c r="Z26" i="1" s="1"/>
  <c r="AE7" i="1"/>
  <c r="BT31" i="1"/>
  <c r="CG31" i="1"/>
  <c r="CH31" i="1" s="1"/>
  <c r="BU22" i="1"/>
  <c r="BV22" i="1" s="1"/>
  <c r="CG22" i="1"/>
  <c r="CH22" i="1" s="1"/>
  <c r="BT22" i="1"/>
  <c r="CB11" i="1"/>
  <c r="BY11" i="1"/>
  <c r="CG6" i="1"/>
  <c r="CH6" i="1" s="1"/>
  <c r="CA6" i="1"/>
  <c r="K31" i="1"/>
  <c r="Z23" i="1"/>
  <c r="V47" i="1"/>
  <c r="AD25" i="1"/>
  <c r="CG17" i="1"/>
  <c r="CH17" i="1" s="1"/>
  <c r="BS36" i="1"/>
  <c r="X46" i="1"/>
  <c r="CH24" i="1"/>
  <c r="BY25" i="1"/>
  <c r="BZ34" i="1"/>
  <c r="X34" i="1"/>
  <c r="BZ25" i="1"/>
  <c r="BZ36" i="1" s="1"/>
  <c r="X25" i="1"/>
  <c r="AC25" i="1"/>
  <c r="AT25" i="1" s="1"/>
  <c r="V41" i="1"/>
  <c r="BT29" i="1"/>
  <c r="CJ12" i="1"/>
  <c r="AA36" i="1"/>
  <c r="AE5" i="1"/>
  <c r="BY26" i="1"/>
  <c r="CB26" i="1"/>
  <c r="Z10" i="1"/>
  <c r="CD36" i="1"/>
  <c r="AE32" i="1"/>
  <c r="CA11" i="1"/>
  <c r="CG11" i="1"/>
  <c r="CH11" i="1" s="1"/>
  <c r="Y45" i="1"/>
  <c r="Z45" i="1" s="1"/>
  <c r="Z6" i="1"/>
  <c r="AC22" i="1"/>
  <c r="AT22" i="1" s="1"/>
  <c r="AL43" i="1"/>
  <c r="AM43" i="1" s="1"/>
  <c r="Y33" i="1"/>
  <c r="Z33" i="1" s="1"/>
  <c r="CA23" i="1"/>
  <c r="CF18" i="1"/>
  <c r="BL28" i="1"/>
  <c r="BI28" i="1"/>
  <c r="BI36" i="1" s="1"/>
  <c r="BI37" i="1" s="1"/>
  <c r="BE28" i="1"/>
  <c r="BK28" i="1" s="1"/>
  <c r="AE23" i="1"/>
  <c r="CH16" i="1"/>
  <c r="CH15" i="1"/>
  <c r="AT36" i="1"/>
  <c r="AT37" i="1" s="1"/>
  <c r="CA16" i="1"/>
  <c r="AE13" i="1"/>
  <c r="X31" i="1"/>
  <c r="BZ31" i="1"/>
  <c r="Y31" i="1"/>
  <c r="Z31" i="1" s="1"/>
  <c r="BY20" i="1"/>
  <c r="CB20" i="1"/>
  <c r="Y47" i="1"/>
  <c r="Z47" i="1" s="1"/>
  <c r="BE31" i="1"/>
  <c r="BK31" i="1" s="1"/>
  <c r="BI31" i="1"/>
  <c r="BL31" i="1"/>
  <c r="BY14" i="1"/>
  <c r="CE14" i="1"/>
  <c r="CB14" i="1"/>
  <c r="K33" i="1"/>
  <c r="AD19" i="1"/>
  <c r="Z19" i="1"/>
  <c r="Z7" i="1"/>
  <c r="CH5" i="1"/>
  <c r="BU29" i="1"/>
  <c r="BV29" i="1" s="1"/>
  <c r="BR29" i="1"/>
  <c r="CE29" i="1"/>
  <c r="CF23" i="1"/>
  <c r="CI23" i="1"/>
  <c r="AD29" i="1"/>
  <c r="G36" i="1"/>
  <c r="F37" i="1"/>
  <c r="G37" i="1" s="1"/>
  <c r="K37" i="1" s="1"/>
  <c r="CF17" i="1"/>
  <c r="Y41" i="1"/>
  <c r="Z41" i="1" s="1"/>
  <c r="BQ36" i="1"/>
  <c r="K20" i="1"/>
  <c r="AD20" i="1"/>
  <c r="AU20" i="1" s="1"/>
  <c r="BL36" i="1"/>
  <c r="BL37" i="1" s="1"/>
  <c r="AD28" i="1"/>
  <c r="AD10" i="1"/>
  <c r="BY33" i="1"/>
  <c r="CB33" i="1"/>
  <c r="BY16" i="1"/>
  <c r="CB16" i="1"/>
  <c r="CI15" i="1"/>
  <c r="CJ15" i="1" s="1"/>
  <c r="CF15" i="1"/>
  <c r="BU20" i="1"/>
  <c r="BV20" i="1" s="1"/>
  <c r="CE10" i="1"/>
  <c r="W42" i="1"/>
  <c r="X42" i="1" s="1"/>
  <c r="CG14" i="1"/>
  <c r="CH14" i="1" s="1"/>
  <c r="CG10" i="1"/>
  <c r="CH10" i="1" s="1"/>
  <c r="H37" i="1"/>
  <c r="I37" i="1" s="1"/>
  <c r="I36" i="1"/>
  <c r="CF13" i="1"/>
  <c r="CI13" i="1"/>
  <c r="CJ13" i="1" s="1"/>
  <c r="Y43" i="1"/>
  <c r="Z43" i="1" s="1"/>
  <c r="Z11" i="1"/>
  <c r="BY29" i="1"/>
  <c r="CJ23" i="1"/>
  <c r="AB36" i="1"/>
  <c r="AB37" i="1" s="1"/>
  <c r="CH13" i="1"/>
  <c r="BI17" i="1"/>
  <c r="BE17" i="1"/>
  <c r="BK17" i="1" s="1"/>
  <c r="BL17" i="1"/>
  <c r="CI7" i="1"/>
  <c r="CJ7" i="1" s="1"/>
  <c r="K34" i="1"/>
  <c r="AD34" i="1"/>
  <c r="BZ29" i="1"/>
  <c r="CA29" i="1" s="1"/>
  <c r="X29" i="1"/>
  <c r="CG35" i="1"/>
  <c r="K26" i="1"/>
  <c r="AD26" i="1"/>
  <c r="BK5" i="1"/>
  <c r="BY24" i="1"/>
  <c r="CB24" i="1"/>
  <c r="Z16" i="1"/>
  <c r="AR36" i="1"/>
  <c r="AX38" i="1" s="1"/>
  <c r="BW36" i="1"/>
  <c r="BY19" i="1"/>
  <c r="CE19" i="1"/>
  <c r="CB19" i="1"/>
  <c r="AL36" i="1"/>
  <c r="CD9" i="1"/>
  <c r="W45" i="1"/>
  <c r="X45" i="1" s="1"/>
  <c r="R37" i="1"/>
  <c r="S36" i="1"/>
  <c r="CA24" i="1"/>
  <c r="AE14" i="1"/>
  <c r="AV21" i="2" l="1"/>
  <c r="AF21" i="2"/>
  <c r="AA14" i="2"/>
  <c r="Z42" i="2"/>
  <c r="AA42" i="2" s="1"/>
  <c r="AE14" i="2"/>
  <c r="BM36" i="2"/>
  <c r="BM37" i="2" s="1"/>
  <c r="BG36" i="2"/>
  <c r="BG37" i="2" s="1"/>
  <c r="Y36" i="2"/>
  <c r="X37" i="2"/>
  <c r="Y37" i="2" s="1"/>
  <c r="AU36" i="2"/>
  <c r="AU37" i="2" s="1"/>
  <c r="W36" i="2"/>
  <c r="V37" i="2"/>
  <c r="W37" i="2" s="1"/>
  <c r="AF13" i="2"/>
  <c r="Z41" i="2"/>
  <c r="AA41" i="2" s="1"/>
  <c r="AA6" i="2"/>
  <c r="AE6" i="2"/>
  <c r="Z36" i="2"/>
  <c r="AN57" i="2"/>
  <c r="AO38" i="2"/>
  <c r="AM56" i="2"/>
  <c r="AM57" i="2" s="1"/>
  <c r="AM62" i="2"/>
  <c r="AM63" i="2" s="1"/>
  <c r="AM60" i="2"/>
  <c r="AN37" i="2"/>
  <c r="AD36" i="2"/>
  <c r="AD37" i="2" s="1"/>
  <c r="S37" i="2"/>
  <c r="S57" i="2"/>
  <c r="R56" i="2"/>
  <c r="R57" i="2" s="1"/>
  <c r="S38" i="2"/>
  <c r="Z46" i="2"/>
  <c r="AA46" i="2" s="1"/>
  <c r="AA11" i="2"/>
  <c r="AC36" i="2"/>
  <c r="AC37" i="2" s="1"/>
  <c r="K36" i="2"/>
  <c r="J37" i="2"/>
  <c r="AF35" i="2"/>
  <c r="AV35" i="2"/>
  <c r="BZ37" i="1"/>
  <c r="CA37" i="1" s="1"/>
  <c r="CA36" i="1"/>
  <c r="CH35" i="1"/>
  <c r="CI35" i="1"/>
  <c r="CJ35" i="1" s="1"/>
  <c r="CI17" i="1"/>
  <c r="CJ17" i="1" s="1"/>
  <c r="CG36" i="1"/>
  <c r="CF6" i="1"/>
  <c r="CI6" i="1"/>
  <c r="CJ6" i="1" s="1"/>
  <c r="CA26" i="1"/>
  <c r="CG26" i="1"/>
  <c r="CH26" i="1" s="1"/>
  <c r="BX37" i="1"/>
  <c r="BY37" i="1" s="1"/>
  <c r="BY36" i="1"/>
  <c r="CA33" i="1"/>
  <c r="CG33" i="1"/>
  <c r="BT36" i="1"/>
  <c r="BS37" i="1"/>
  <c r="BT37" i="1" s="1"/>
  <c r="CI5" i="1"/>
  <c r="CE36" i="1"/>
  <c r="CF5" i="1"/>
  <c r="AU22" i="1"/>
  <c r="AE22" i="1"/>
  <c r="S37" i="1"/>
  <c r="R56" i="1"/>
  <c r="R57" i="1" s="1"/>
  <c r="S38" i="1"/>
  <c r="S57" i="1"/>
  <c r="AU10" i="1"/>
  <c r="AE10" i="1"/>
  <c r="CA25" i="1"/>
  <c r="CG25" i="1"/>
  <c r="AC36" i="1"/>
  <c r="AC37" i="1" s="1"/>
  <c r="AU5" i="1"/>
  <c r="AU34" i="1"/>
  <c r="AE34" i="1"/>
  <c r="CB29" i="1"/>
  <c r="AU28" i="1"/>
  <c r="AE28" i="1"/>
  <c r="AU29" i="1"/>
  <c r="AE29" i="1"/>
  <c r="AE19" i="1"/>
  <c r="AU19" i="1"/>
  <c r="AU25" i="1"/>
  <c r="AE25" i="1"/>
  <c r="CF28" i="1"/>
  <c r="CI28" i="1"/>
  <c r="CJ28" i="1" s="1"/>
  <c r="CI27" i="1"/>
  <c r="CJ27" i="1" s="1"/>
  <c r="CF27" i="1"/>
  <c r="Y44" i="1"/>
  <c r="Z44" i="1" s="1"/>
  <c r="CI10" i="1"/>
  <c r="CJ10" i="1" s="1"/>
  <c r="CF10" i="1"/>
  <c r="CA34" i="1"/>
  <c r="CG34" i="1"/>
  <c r="CB34" i="1"/>
  <c r="CI26" i="1"/>
  <c r="CJ26" i="1" s="1"/>
  <c r="CF26" i="1"/>
  <c r="AU17" i="1"/>
  <c r="AE17" i="1"/>
  <c r="CH21" i="1"/>
  <c r="CI21" i="1"/>
  <c r="CJ21" i="1" s="1"/>
  <c r="Y36" i="1"/>
  <c r="CJ9" i="1"/>
  <c r="AD33" i="1"/>
  <c r="CI32" i="1"/>
  <c r="CJ32" i="1" s="1"/>
  <c r="CF32" i="1"/>
  <c r="X36" i="1"/>
  <c r="W37" i="1"/>
  <c r="X37" i="1" s="1"/>
  <c r="AL37" i="1"/>
  <c r="AM36" i="1"/>
  <c r="BK36" i="1"/>
  <c r="BK37" i="1" s="1"/>
  <c r="CF29" i="1"/>
  <c r="CB25" i="1"/>
  <c r="AE20" i="1"/>
  <c r="CA22" i="1"/>
  <c r="CB22" i="1"/>
  <c r="BE36" i="1"/>
  <c r="BE37" i="1" s="1"/>
  <c r="BR36" i="1"/>
  <c r="BQ37" i="1"/>
  <c r="BR37" i="1" s="1"/>
  <c r="BV37" i="1" s="1"/>
  <c r="CF14" i="1"/>
  <c r="CI14" i="1"/>
  <c r="CJ14" i="1" s="1"/>
  <c r="CA31" i="1"/>
  <c r="CB31" i="1"/>
  <c r="CG29" i="1"/>
  <c r="CH29" i="1" s="1"/>
  <c r="AD31" i="1"/>
  <c r="CF8" i="1"/>
  <c r="CI8" i="1"/>
  <c r="CJ8" i="1" s="1"/>
  <c r="CH9" i="1"/>
  <c r="CJ19" i="1"/>
  <c r="CH19" i="1"/>
  <c r="CI19" i="1"/>
  <c r="CF19" i="1"/>
  <c r="AU26" i="1"/>
  <c r="AE26" i="1"/>
  <c r="J37" i="1"/>
  <c r="K36" i="1"/>
  <c r="CI22" i="1"/>
  <c r="CJ22" i="1" s="1"/>
  <c r="BU36" i="1"/>
  <c r="CB36" i="1"/>
  <c r="CB37" i="1" s="1"/>
  <c r="CI11" i="1"/>
  <c r="CJ11" i="1" s="1"/>
  <c r="Z37" i="2" l="1"/>
  <c r="AA36" i="2"/>
  <c r="AV6" i="2"/>
  <c r="AF6" i="2"/>
  <c r="AE36" i="2"/>
  <c r="AV14" i="2"/>
  <c r="AF14" i="2"/>
  <c r="J56" i="2"/>
  <c r="J57" i="2" s="1"/>
  <c r="K38" i="2"/>
  <c r="K57" i="2"/>
  <c r="CH25" i="1"/>
  <c r="CI25" i="1"/>
  <c r="CJ25" i="1" s="1"/>
  <c r="CE37" i="1"/>
  <c r="CF37" i="1" s="1"/>
  <c r="CF36" i="1"/>
  <c r="BV36" i="1"/>
  <c r="BU37" i="1"/>
  <c r="AM57" i="1"/>
  <c r="AL56" i="1"/>
  <c r="AL57" i="1" s="1"/>
  <c r="AL62" i="1"/>
  <c r="AL63" i="1" s="1"/>
  <c r="AM37" i="1"/>
  <c r="AL60" i="1"/>
  <c r="AN38" i="1"/>
  <c r="CJ5" i="1"/>
  <c r="AU31" i="1"/>
  <c r="AU36" i="1" s="1"/>
  <c r="AE31" i="1"/>
  <c r="CG37" i="1"/>
  <c r="CH37" i="1" s="1"/>
  <c r="CH36" i="1"/>
  <c r="AU33" i="1"/>
  <c r="AE33" i="1"/>
  <c r="CH34" i="1"/>
  <c r="CI34" i="1"/>
  <c r="CJ34" i="1" s="1"/>
  <c r="J56" i="1"/>
  <c r="J57" i="1" s="1"/>
  <c r="K38" i="1"/>
  <c r="K57" i="1"/>
  <c r="AD36" i="1"/>
  <c r="CH33" i="1"/>
  <c r="CI33" i="1"/>
  <c r="CJ33" i="1" s="1"/>
  <c r="CI29" i="1"/>
  <c r="CJ29" i="1" s="1"/>
  <c r="Z36" i="1"/>
  <c r="Y37" i="1"/>
  <c r="AE37" i="2" l="1"/>
  <c r="AF36" i="2"/>
  <c r="AV36" i="2"/>
  <c r="Z56" i="2"/>
  <c r="Z57" i="2" s="1"/>
  <c r="AA57" i="2"/>
  <c r="AA38" i="2"/>
  <c r="AA37" i="2"/>
  <c r="AV50" i="1"/>
  <c r="AW50" i="1" s="1"/>
  <c r="AU37" i="1"/>
  <c r="AD37" i="1"/>
  <c r="AE36" i="1"/>
  <c r="CI36" i="1"/>
  <c r="CJ37" i="1"/>
  <c r="Z57" i="1"/>
  <c r="Y56" i="1"/>
  <c r="Y57" i="1" s="1"/>
  <c r="Z37" i="1"/>
  <c r="Z38" i="1"/>
  <c r="AW50" i="2" l="1"/>
  <c r="AX50" i="2" s="1"/>
  <c r="AV37" i="2"/>
  <c r="AF37" i="2"/>
  <c r="AF57" i="2"/>
  <c r="AE62" i="2"/>
  <c r="AE63" i="2" s="1"/>
  <c r="AE60" i="2"/>
  <c r="AF38" i="2"/>
  <c r="AE56" i="2"/>
  <c r="AE57" i="2" s="1"/>
  <c r="CI37" i="1"/>
  <c r="CJ36" i="1"/>
  <c r="AE37" i="1"/>
  <c r="AE57" i="1"/>
  <c r="AD62" i="1"/>
  <c r="AD63" i="1" s="1"/>
  <c r="AD60" i="1"/>
  <c r="AE38" i="1"/>
  <c r="AD56" i="1"/>
  <c r="AD57" i="1" s="1"/>
  <c r="AW56" i="1"/>
  <c r="AV51" i="1"/>
  <c r="AW51" i="1" s="1"/>
  <c r="AW49" i="1"/>
  <c r="AW38" i="1"/>
  <c r="AV53" i="1"/>
  <c r="AV55" i="1"/>
  <c r="AV56" i="1" s="1"/>
  <c r="AX56" i="2" l="1"/>
  <c r="AX38" i="2"/>
  <c r="AX49" i="2"/>
  <c r="AW53" i="2"/>
  <c r="AW51" i="2"/>
  <c r="AX51" i="2" s="1"/>
  <c r="AW55" i="2"/>
  <c r="AW5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三品真二local</author>
  </authors>
  <commentList>
    <comment ref="BK36" authorId="0" shapeId="0" xr:uid="{8394F138-2A16-D248-A37D-1CBBB360CABC}">
      <text>
        <r>
          <rPr>
            <b/>
            <sz val="10"/>
            <color theme="1"/>
            <rFont val="游ゴシック"/>
            <family val="2"/>
            <scheme val="minor"/>
          </rPr>
          <t>日計レポート取引別数字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三品真二local</author>
  </authors>
  <commentList>
    <comment ref="BM36" authorId="0" shapeId="0" xr:uid="{4D7A7553-7617-FB4E-BC66-62CA098BAAC0}">
      <text>
        <r>
          <rPr>
            <b/>
            <sz val="10"/>
            <color theme="1"/>
            <rFont val="游ゴシック"/>
            <family val="2"/>
            <scheme val="minor"/>
          </rPr>
          <t>日計レポート取引別数字</t>
        </r>
      </text>
    </comment>
  </commentList>
</comments>
</file>

<file path=xl/sharedStrings.xml><?xml version="1.0" encoding="utf-8"?>
<sst xmlns="http://schemas.openxmlformats.org/spreadsheetml/2006/main" count="427" uniqueCount="117">
  <si>
    <t>※割引反映前</t>
  </si>
  <si>
    <t>金額：(税込)</t>
  </si>
  <si>
    <t>BQ</t>
    <phoneticPr fontId="12"/>
  </si>
  <si>
    <t>LUNCH</t>
  </si>
  <si>
    <t>Afternoon Tea（税込）</t>
    <phoneticPr fontId="16"/>
  </si>
  <si>
    <t>DINNER（計算式あり・入力不要）</t>
  </si>
  <si>
    <t>レストランTOTAL売上（税込）</t>
  </si>
  <si>
    <t>ルスツ羊蹄ぶた（税込）</t>
    <rPh sb="3" eb="5">
      <t>ヨウテイ</t>
    </rPh>
    <phoneticPr fontId="12"/>
  </si>
  <si>
    <t>レストラン＋ルスツ羊蹄ぶた（人数は含まず）</t>
    <rPh sb="9" eb="11">
      <t>ヨウテイ</t>
    </rPh>
    <phoneticPr fontId="12"/>
  </si>
  <si>
    <t>レストラン営業終了後トータル売上（入力用税込）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</si>
  <si>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</si>
  <si>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</si>
  <si>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</si>
  <si>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</si>
  <si>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</si>
  <si>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</si>
  <si>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</si>
  <si>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</si>
  <si>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件数</t>
    <rPh sb="0" eb="2">
      <t>ケンスウ</t>
    </rPh>
    <phoneticPr fontId="12"/>
  </si>
  <si>
    <t>料理売上</t>
  </si>
  <si>
    <t>料理単価</t>
  </si>
  <si>
    <t>飲料売上</t>
  </si>
  <si>
    <t>飲料単価</t>
  </si>
  <si>
    <t>合計</t>
  </si>
  <si>
    <t>人数</t>
  </si>
  <si>
    <t>売上</t>
  </si>
  <si>
    <t>席料+食品物販+花</t>
    <rPh sb="3" eb="5">
      <t>ショクヒン</t>
    </rPh>
    <rPh sb="5" eb="7">
      <t>ブッパン</t>
    </rPh>
    <phoneticPr fontId="12"/>
  </si>
  <si>
    <t>客数</t>
  </si>
  <si>
    <t>料理</t>
  </si>
  <si>
    <t>飲料</t>
  </si>
  <si>
    <t>席料</t>
  </si>
  <si>
    <t>食品物販</t>
    <rPh sb="0" eb="2">
      <t>ショクヒン</t>
    </rPh>
    <rPh sb="2" eb="4">
      <t>ブッパン</t>
    </rPh>
    <phoneticPr fontId="12"/>
  </si>
  <si>
    <t>花束（プラン）</t>
  </si>
  <si>
    <t>招待券・花束             （預り金）</t>
  </si>
  <si>
    <t>税抜金額</t>
  </si>
  <si>
    <t>入客</t>
  </si>
  <si>
    <t>（営業日数）</t>
  </si>
  <si>
    <t>一日平均</t>
  </si>
  <si>
    <t>税抜レストラン+RYB売上単価</t>
    <phoneticPr fontId="12"/>
  </si>
  <si>
    <t>(RYB＋BQ昼夜人数)</t>
    <rPh sb="9" eb="11">
      <t>ニンズウ</t>
    </rPh>
    <phoneticPr fontId="12"/>
  </si>
  <si>
    <t>ランチ</t>
    <phoneticPr fontId="12"/>
  </si>
  <si>
    <t>AT</t>
    <phoneticPr fontId="12"/>
  </si>
  <si>
    <t>ディナー</t>
    <phoneticPr fontId="12"/>
  </si>
  <si>
    <t>RYB</t>
    <phoneticPr fontId="12"/>
  </si>
  <si>
    <t>客数</t>
    <rPh sb="0" eb="2">
      <t>キャクスウ</t>
    </rPh>
    <phoneticPr fontId="12"/>
  </si>
  <si>
    <t>料理売上</t>
    <rPh sb="0" eb="2">
      <t>リョウリ</t>
    </rPh>
    <rPh sb="2" eb="4">
      <t>ウリアゲ</t>
    </rPh>
    <phoneticPr fontId="12"/>
  </si>
  <si>
    <t>料理単価</t>
    <rPh sb="0" eb="2">
      <t>リョウリ</t>
    </rPh>
    <rPh sb="2" eb="4">
      <t>タンカ</t>
    </rPh>
    <phoneticPr fontId="12"/>
  </si>
  <si>
    <t>飲料売上</t>
    <rPh sb="0" eb="2">
      <t>インリョウ</t>
    </rPh>
    <rPh sb="2" eb="4">
      <t>ウリアゲ</t>
    </rPh>
    <phoneticPr fontId="12"/>
  </si>
  <si>
    <t>飲料単価</t>
    <rPh sb="0" eb="2">
      <t>インリョウ</t>
    </rPh>
    <rPh sb="2" eb="4">
      <t>タンカ</t>
    </rPh>
    <phoneticPr fontId="12"/>
  </si>
  <si>
    <t>合計</t>
    <rPh sb="0" eb="2">
      <t>ゴウケイ</t>
    </rPh>
    <phoneticPr fontId="12"/>
  </si>
  <si>
    <t>客単価</t>
    <rPh sb="0" eb="3">
      <t>キャクタンカ</t>
    </rPh>
    <phoneticPr fontId="12"/>
  </si>
  <si>
    <t>月</t>
    <rPh sb="0" eb="1">
      <t>ゲツ</t>
    </rPh>
    <phoneticPr fontId="12"/>
  </si>
  <si>
    <t>火</t>
  </si>
  <si>
    <t>水</t>
  </si>
  <si>
    <t>木</t>
  </si>
  <si>
    <t>金</t>
  </si>
  <si>
    <t>土</t>
  </si>
  <si>
    <t>日</t>
  </si>
  <si>
    <t>■ランチコメント</t>
  </si>
  <si>
    <t>■ATコメント</t>
    <phoneticPr fontId="16"/>
  </si>
  <si>
    <t>■ディナーコメント</t>
  </si>
  <si>
    <t>■RTBコメント</t>
    <phoneticPr fontId="12"/>
  </si>
  <si>
    <t>税抜レストラン+RYB売上</t>
    <phoneticPr fontId="12"/>
  </si>
  <si>
    <t>　1日売上平均（税抜）</t>
  </si>
  <si>
    <t>税込合計</t>
  </si>
  <si>
    <t>　1日売上平均（税込）</t>
  </si>
  <si>
    <t>税抜合計</t>
  </si>
  <si>
    <t>その他予算</t>
  </si>
  <si>
    <t>席料予算</t>
    <rPh sb="0" eb="2">
      <t>セキリョウ</t>
    </rPh>
    <rPh sb="2" eb="4">
      <t>ヨサン</t>
    </rPh>
    <phoneticPr fontId="12"/>
  </si>
  <si>
    <t>その他</t>
    <rPh sb="2" eb="3">
      <t>タ</t>
    </rPh>
    <phoneticPr fontId="12"/>
  </si>
  <si>
    <t>TOTAL予算</t>
  </si>
  <si>
    <t>ランチ予算</t>
  </si>
  <si>
    <t>当月残り日数</t>
  </si>
  <si>
    <t>AT予算</t>
    <phoneticPr fontId="12"/>
  </si>
  <si>
    <t>ディナー予算</t>
  </si>
  <si>
    <t>RYB予算</t>
    <phoneticPr fontId="12"/>
  </si>
  <si>
    <t>予算まで</t>
  </si>
  <si>
    <t>達成まで一日あたり</t>
  </si>
  <si>
    <t>家賃比率</t>
    <rPh sb="0" eb="4">
      <t xml:space="preserve">ヤチンヒリツ </t>
    </rPh>
    <phoneticPr fontId="12"/>
  </si>
  <si>
    <t>坪単価</t>
    <rPh sb="0" eb="3">
      <t xml:space="preserve">ツボタンカ </t>
    </rPh>
    <phoneticPr fontId="12"/>
  </si>
  <si>
    <t>契約率</t>
    <rPh sb="0" eb="2">
      <t xml:space="preserve">ケイヤク </t>
    </rPh>
    <rPh sb="2" eb="3">
      <t xml:space="preserve">リツ </t>
    </rPh>
    <phoneticPr fontId="12"/>
  </si>
  <si>
    <t>差異</t>
    <rPh sb="0" eb="2">
      <t>サイ</t>
    </rPh>
    <phoneticPr fontId="12"/>
  </si>
  <si>
    <t>LUNCH+DINNER</t>
    <phoneticPr fontId="12"/>
  </si>
  <si>
    <t>wolt</t>
    <phoneticPr fontId="12"/>
  </si>
  <si>
    <t>レストラン予算</t>
    <phoneticPr fontId="12"/>
  </si>
  <si>
    <t>Uber</t>
    <phoneticPr fontId="12"/>
  </si>
  <si>
    <t>税抜金額</t>
    <phoneticPr fontId="12"/>
  </si>
  <si>
    <t>レストラン+RYB-割引</t>
    <rPh sb="10" eb="12">
      <t>ワリビキ</t>
    </rPh>
    <phoneticPr fontId="12"/>
  </si>
  <si>
    <t>室料</t>
    <rPh sb="0" eb="1">
      <t>シツ</t>
    </rPh>
    <phoneticPr fontId="12"/>
  </si>
  <si>
    <t>売上合計　　　　　（花束預り金除く）</t>
    <phoneticPr fontId="12"/>
  </si>
  <si>
    <t>売上合計+預り金</t>
    <rPh sb="0" eb="2">
      <t>ウリアゲ</t>
    </rPh>
    <rPh sb="2" eb="4">
      <t>ゴウケイ</t>
    </rPh>
    <rPh sb="5" eb="6">
      <t>アズカ</t>
    </rPh>
    <rPh sb="7" eb="8">
      <t>キン</t>
    </rPh>
    <phoneticPr fontId="12"/>
  </si>
  <si>
    <t>割引Food</t>
    <rPh sb="0" eb="2">
      <t>ワリビキ</t>
    </rPh>
    <phoneticPr fontId="12"/>
  </si>
  <si>
    <t>割引Bev</t>
    <rPh sb="0" eb="2">
      <t>ワリビキ</t>
    </rPh>
    <phoneticPr fontId="12"/>
  </si>
  <si>
    <t>売上合計
-割引</t>
    <rPh sb="6" eb="8">
      <t>ワリビキ</t>
    </rPh>
    <phoneticPr fontId="12"/>
  </si>
  <si>
    <t>割引内容</t>
    <rPh sb="0" eb="2">
      <t>ワリビキ</t>
    </rPh>
    <rPh sb="2" eb="4">
      <t>ナイヨウ</t>
    </rPh>
    <phoneticPr fontId="12"/>
  </si>
  <si>
    <t>売上合計+預り金-割引</t>
    <rPh sb="0" eb="2">
      <t>ウリアゲ</t>
    </rPh>
    <rPh sb="2" eb="4">
      <t>ゴウケイ</t>
    </rPh>
    <rPh sb="5" eb="6">
      <t>アズカ</t>
    </rPh>
    <rPh sb="7" eb="8">
      <t>キン</t>
    </rPh>
    <rPh sb="9" eb="11">
      <t>ワリビキ</t>
    </rPh>
    <phoneticPr fontId="12"/>
  </si>
  <si>
    <t>（売上合計-割引）+RYB</t>
    <rPh sb="1" eb="3">
      <t>ウリアゲ</t>
    </rPh>
    <rPh sb="3" eb="5">
      <t>ゴウケイ</t>
    </rPh>
    <rPh sb="6" eb="8">
      <t>ワリビキ</t>
    </rPh>
    <phoneticPr fontId="12"/>
  </si>
  <si>
    <t>備考</t>
    <rPh sb="0" eb="2">
      <t>ビコウ</t>
    </rPh>
    <phoneticPr fontId="12"/>
  </si>
  <si>
    <t>ランチ池田さん</t>
    <rPh sb="3" eb="5">
      <t>イケダ</t>
    </rPh>
    <phoneticPr fontId="12"/>
  </si>
  <si>
    <t>ランチ京谷さん</t>
    <rPh sb="3" eb="5">
      <t>キョウヤ</t>
    </rPh>
    <phoneticPr fontId="12"/>
  </si>
  <si>
    <t>ディナー専務</t>
    <rPh sb="4" eb="6">
      <t>センム</t>
    </rPh>
    <phoneticPr fontId="12"/>
  </si>
  <si>
    <t>大雪</t>
    <rPh sb="0" eb="2">
      <t>オオユキ</t>
    </rPh>
    <phoneticPr fontId="12"/>
  </si>
  <si>
    <t>福袋ランチ招待券5500(5000)×2利用</t>
    <rPh sb="0" eb="2">
      <t>フクブクロ</t>
    </rPh>
    <rPh sb="5" eb="8">
      <t>ショウタイケン</t>
    </rPh>
    <rPh sb="20" eb="22">
      <t>リヨウ</t>
    </rPh>
    <phoneticPr fontId="12"/>
  </si>
  <si>
    <t>夜貸切</t>
    <rPh sb="0" eb="1">
      <t>ヨル</t>
    </rPh>
    <rPh sb="1" eb="3">
      <t>カシキリ</t>
    </rPh>
    <phoneticPr fontId="12"/>
  </si>
  <si>
    <t>RYBバルテラ</t>
    <phoneticPr fontId="12"/>
  </si>
  <si>
    <t>ランチ・アフタヌーン</t>
    <phoneticPr fontId="12"/>
  </si>
  <si>
    <t>ディナー・RYB</t>
    <phoneticPr fontId="12"/>
  </si>
  <si>
    <t>Takeaway 145件 ￥138,892（税込）　￥126,265.5（税別）</t>
    <phoneticPr fontId="12"/>
  </si>
  <si>
    <t>日計レポート売上</t>
    <rPh sb="0" eb="2">
      <t>ニッケイ</t>
    </rPh>
    <rPh sb="6" eb="8">
      <t>ウリアゲ</t>
    </rPh>
    <phoneticPr fontId="12"/>
  </si>
  <si>
    <t>席料+
食品物販+花</t>
    <rPh sb="4" eb="6">
      <t>ショクヒン</t>
    </rPh>
    <rPh sb="6" eb="8">
      <t>ブッパン</t>
    </rPh>
    <phoneticPr fontId="12"/>
  </si>
  <si>
    <t>（会社接待利用）</t>
    <rPh sb="1" eb="3">
      <t>カイシャ</t>
    </rPh>
    <rPh sb="3" eb="5">
      <t>セッタイ</t>
    </rPh>
    <rPh sb="5" eb="7">
      <t>リヨウ</t>
    </rPh>
    <phoneticPr fontId="12"/>
  </si>
  <si>
    <t>雪まつり～11日</t>
    <rPh sb="0" eb="1">
      <t>ユキ</t>
    </rPh>
    <rPh sb="7" eb="8">
      <t>ニチ</t>
    </rPh>
    <phoneticPr fontId="12"/>
  </si>
  <si>
    <t>本社接待F82500B60280</t>
    <rPh sb="0" eb="2">
      <t>ホンシャ</t>
    </rPh>
    <rPh sb="2" eb="4">
      <t>セッタイ</t>
    </rPh>
    <phoneticPr fontId="12"/>
  </si>
  <si>
    <t>夜142,780</t>
    <rPh sb="0" eb="1">
      <t>ヨル</t>
    </rPh>
    <phoneticPr fontId="12"/>
  </si>
  <si>
    <t>バルテラ</t>
    <phoneticPr fontId="12"/>
  </si>
  <si>
    <t>選挙</t>
    <rPh sb="0" eb="2">
      <t>センキョ</t>
    </rPh>
    <phoneticPr fontId="12"/>
  </si>
  <si>
    <t>昼伊賀GM</t>
    <rPh sb="0" eb="1">
      <t>ヒル</t>
    </rPh>
    <rPh sb="1" eb="3">
      <t>イガ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</si>
</sst>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#,##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0&quot;点&quot;"/>
    <numFmt numFmtId="189" formatCode="0.0&quot;名&quot;"/>
    <numFmt numFmtId="190" formatCode="0_ "/>
  </numFmts>
  <fonts count="4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9"/>
      <color rgb="FF000000"/>
      <name val="游ゴシック Medium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游ゴシック Medium"/>
      <family val="3"/>
      <charset val="128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10"/>
      <color rgb="FF000000"/>
      <name val="游ゴシック Medium"/>
      <family val="3"/>
      <charset val="128"/>
    </font>
    <font>
      <sz val="8"/>
      <color rgb="FF000000"/>
      <name val="游ゴシック Medium"/>
      <family val="3"/>
      <charset val="128"/>
    </font>
    <font>
      <b/>
      <sz val="9"/>
      <color rgb="FF000000"/>
      <name val="游ゴシック Medium"/>
      <family val="3"/>
      <charset val="128"/>
    </font>
    <font>
      <b/>
      <sz val="9"/>
      <color indexed="8"/>
      <name val="游ゴシック"/>
      <family val="3"/>
      <charset val="128"/>
      <scheme val="minor"/>
    </font>
    <font>
      <b/>
      <sz val="12"/>
      <color theme="1"/>
      <name val="游ゴシック Medium"/>
      <family val="3"/>
      <charset val="128"/>
    </font>
    <font>
      <sz val="6"/>
      <name val="游ゴシック"/>
      <family val="3"/>
      <charset val="128"/>
      <scheme val="minor"/>
    </font>
    <font>
      <b/>
      <sz val="12"/>
      <color rgb="FF000000"/>
      <name val="游ゴシック Medium"/>
      <family val="3"/>
      <charset val="128"/>
    </font>
    <font>
      <sz val="10"/>
      <name val="游ゴシック Medium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rgb="FF000000"/>
      <name val="游ゴシック Medium"/>
      <family val="3"/>
      <charset val="128"/>
    </font>
    <font>
      <b/>
      <sz val="8"/>
      <color indexed="8"/>
      <name val="游ゴシック"/>
      <family val="3"/>
      <charset val="128"/>
      <scheme val="minor"/>
    </font>
    <font>
      <sz val="9"/>
      <color rgb="FFFF0000"/>
      <name val="游ゴシック Medium"/>
      <family val="3"/>
      <charset val="128"/>
    </font>
    <font>
      <b/>
      <sz val="9"/>
      <color theme="1"/>
      <name val="游ゴシック Medium"/>
      <family val="3"/>
      <charset val="128"/>
    </font>
    <font>
      <b/>
      <sz val="8"/>
      <color rgb="FF000000"/>
      <name val="游ゴシック Medium"/>
      <family val="3"/>
      <charset val="128"/>
    </font>
    <font>
      <b/>
      <sz val="7"/>
      <color rgb="FF000000"/>
      <name val="游ゴシック Medium"/>
      <family val="3"/>
      <charset val="128"/>
    </font>
    <font>
      <b/>
      <sz val="10"/>
      <color rgb="FF000000"/>
      <name val="游ゴシック Medium"/>
      <family val="3"/>
      <charset val="128"/>
    </font>
    <font>
      <b/>
      <sz val="6"/>
      <color rgb="FF000000"/>
      <name val="游ゴシック Medium"/>
      <family val="3"/>
      <charset val="128"/>
    </font>
    <font>
      <b/>
      <sz val="10"/>
      <color theme="1"/>
      <name val="游ゴシック Medium"/>
      <family val="3"/>
      <charset val="128"/>
    </font>
    <font>
      <sz val="9"/>
      <color indexed="10"/>
      <name val="游ゴシック"/>
      <family val="3"/>
      <charset val="128"/>
      <scheme val="minor"/>
    </font>
    <font>
      <sz val="11"/>
      <color rgb="FF000000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rgb="FF000000"/>
      <name val="游ゴシック Medium"/>
      <family val="3"/>
      <charset val="128"/>
    </font>
    <font>
      <sz val="11"/>
      <color indexed="8"/>
      <name val="游ゴシック"/>
      <family val="3"/>
      <charset val="128"/>
      <scheme val="minor"/>
    </font>
    <font>
      <sz val="9"/>
      <name val="游ゴシック Medium"/>
      <family val="3"/>
      <charset val="128"/>
    </font>
    <font>
      <sz val="9"/>
      <color rgb="FF00B0F0"/>
      <name val="游ゴシック Medium"/>
      <family val="3"/>
      <charset val="128"/>
    </font>
    <font>
      <sz val="9"/>
      <color theme="8"/>
      <name val="游ゴシック Medium"/>
      <family val="3"/>
      <charset val="128"/>
    </font>
    <font>
      <sz val="9"/>
      <name val="游ゴシック"/>
      <family val="3"/>
      <charset val="128"/>
      <scheme val="minor"/>
    </font>
    <font>
      <sz val="7"/>
      <color rgb="FF000000"/>
      <name val="游ゴシック Medium"/>
      <family val="3"/>
      <charset val="128"/>
    </font>
    <font>
      <b/>
      <sz val="10"/>
      <color theme="1"/>
      <name val="游ゴシック"/>
      <family val="2"/>
      <scheme val="minor"/>
    </font>
    <font>
      <sz val="8"/>
      <color indexed="8"/>
      <name val="游ゴシック"/>
      <family val="3"/>
      <charset val="128"/>
      <scheme val="minor"/>
    </font>
    <font>
      <b/>
      <sz val="9"/>
      <color theme="0" tint="-0.34998626667073579"/>
      <name val="游ゴシック Medium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indexed="47"/>
        <bgColor indexed="43"/>
      </patternFill>
    </fill>
    <fill>
      <patternFill patternType="solid">
        <fgColor rgb="FFCCECFF"/>
        <bgColor rgb="FFCCECFF"/>
      </patternFill>
    </fill>
    <fill>
      <patternFill patternType="solid">
        <fgColor rgb="FFFFFF00"/>
        <bgColor rgb="FFFBE5D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indexed="27"/>
        <bgColor indexed="41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indexed="13"/>
        <bgColor indexed="34"/>
      </patternFill>
    </fill>
    <fill>
      <patternFill patternType="solid">
        <fgColor rgb="FFFBE5D6"/>
        <bgColor rgb="FFFBE5D6"/>
      </patternFill>
    </fill>
    <fill>
      <patternFill patternType="solid">
        <fgColor rgb="FFFBE4D5"/>
        <bgColor rgb="FFFBE4D5"/>
      </patternFill>
    </fill>
    <fill>
      <patternFill patternType="solid">
        <fgColor theme="5" tint="0.79998168889431442"/>
        <bgColor rgb="FFCCECFF"/>
      </patternFill>
    </fill>
    <fill>
      <patternFill patternType="solid">
        <fgColor rgb="FFCCECFF"/>
        <bgColor rgb="FFFFFFCC"/>
      </patternFill>
    </fill>
    <fill>
      <patternFill patternType="solid">
        <fgColor theme="5" tint="0.79998168889431442"/>
        <b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66"/>
        <bgColor rgb="FFFBE5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indexed="41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CCECFF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indexed="34"/>
      </patternFill>
    </fill>
    <fill>
      <patternFill patternType="solid">
        <fgColor rgb="FFFFFFCC"/>
        <bgColor rgb="FFFFF2CC"/>
      </patternFill>
    </fill>
    <fill>
      <patternFill patternType="solid">
        <fgColor rgb="FFCCECFF"/>
        <bgColor rgb="FFFFF2CC"/>
      </patternFill>
    </fill>
  </fills>
  <borders count="9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/>
      <bottom style="double">
        <color indexed="64"/>
      </bottom>
      <diagonal/>
    </border>
    <border>
      <left style="thin">
        <color rgb="FF000000"/>
      </left>
      <right style="medium">
        <color rgb="FF000000"/>
      </right>
      <top/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uble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/>
      <right style="thin">
        <color indexed="64"/>
      </right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8"/>
      </left>
      <right style="thin">
        <color rgb="FF000000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  <xf numFmtId="38" fontId="5" fillId="0" borderId="0"/>
    <xf numFmtId="184" fontId="5" fillId="0" borderId="0"/>
  </cellStyleXfs>
  <cellXfs count="41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38" fontId="2" fillId="0" borderId="0" xfId="0" applyNumberFormat="1" applyFont="1" applyAlignment="1">
      <alignment horizontal="center" vertical="center" wrapText="1"/>
    </xf>
    <xf numFmtId="0" fontId="7" fillId="0" borderId="0" xfId="0" applyFont="1" applyAlignment="1"/>
    <xf numFmtId="176" fontId="8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/>
    <xf numFmtId="0" fontId="15" fillId="3" borderId="3" xfId="3" applyFont="1" applyFill="1" applyBorder="1" applyAlignment="1">
      <alignment horizontal="center" vertical="center" wrapText="1"/>
    </xf>
    <xf numFmtId="0" fontId="15" fillId="3" borderId="4" xfId="3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/>
    <xf numFmtId="0" fontId="14" fillId="0" borderId="9" xfId="0" applyFont="1" applyBorder="1" applyAlignment="1"/>
    <xf numFmtId="0" fontId="14" fillId="0" borderId="10" xfId="0" applyFont="1" applyBorder="1" applyAlignment="1"/>
    <xf numFmtId="177" fontId="2" fillId="0" borderId="10" xfId="0" applyNumberFormat="1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0" fillId="3" borderId="14" xfId="3" applyFont="1" applyFill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0" fillId="0" borderId="14" xfId="3" applyFont="1" applyBorder="1" applyAlignment="1">
      <alignment horizontal="center" vertical="center" wrapText="1"/>
    </xf>
    <xf numFmtId="0" fontId="10" fillId="0" borderId="15" xfId="3" applyFont="1" applyBorder="1" applyAlignment="1">
      <alignment horizontal="center" vertical="center" wrapText="1"/>
    </xf>
    <xf numFmtId="0" fontId="10" fillId="0" borderId="16" xfId="3" applyFont="1" applyBorder="1" applyAlignment="1">
      <alignment horizontal="center" vertical="center" wrapText="1"/>
    </xf>
    <xf numFmtId="0" fontId="10" fillId="8" borderId="14" xfId="3" applyFont="1" applyFill="1" applyBorder="1" applyAlignment="1">
      <alignment horizontal="center" vertical="center" wrapText="1"/>
    </xf>
    <xf numFmtId="0" fontId="10" fillId="0" borderId="17" xfId="3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38" fontId="2" fillId="0" borderId="12" xfId="0" applyNumberFormat="1" applyFont="1" applyBorder="1" applyAlignment="1">
      <alignment horizontal="center" vertical="center" wrapText="1"/>
    </xf>
    <xf numFmtId="0" fontId="2" fillId="0" borderId="0" xfId="0" applyFont="1">
      <alignment vertical="center"/>
    </xf>
    <xf numFmtId="38" fontId="4" fillId="0" borderId="21" xfId="0" applyNumberFormat="1" applyFont="1" applyBorder="1" applyAlignment="1">
      <alignment vertical="center" shrinkToFit="1"/>
    </xf>
    <xf numFmtId="179" fontId="2" fillId="0" borderId="22" xfId="0" applyNumberFormat="1" applyFont="1" applyBorder="1">
      <alignment vertical="center"/>
    </xf>
    <xf numFmtId="180" fontId="2" fillId="2" borderId="22" xfId="0" applyNumberFormat="1" applyFont="1" applyFill="1" applyBorder="1">
      <alignment vertical="center"/>
    </xf>
    <xf numFmtId="38" fontId="2" fillId="9" borderId="22" xfId="0" applyNumberFormat="1" applyFont="1" applyFill="1" applyBorder="1">
      <alignment vertical="center"/>
    </xf>
    <xf numFmtId="38" fontId="9" fillId="0" borderId="23" xfId="0" applyNumberFormat="1" applyFont="1" applyBorder="1">
      <alignment vertical="center"/>
    </xf>
    <xf numFmtId="38" fontId="9" fillId="0" borderId="21" xfId="0" applyNumberFormat="1" applyFont="1" applyBorder="1">
      <alignment vertical="center"/>
    </xf>
    <xf numFmtId="38" fontId="17" fillId="2" borderId="22" xfId="0" applyNumberFormat="1" applyFont="1" applyFill="1" applyBorder="1">
      <alignment vertical="center"/>
    </xf>
    <xf numFmtId="181" fontId="2" fillId="0" borderId="24" xfId="0" applyNumberFormat="1" applyFont="1" applyBorder="1">
      <alignment vertical="center"/>
    </xf>
    <xf numFmtId="179" fontId="6" fillId="3" borderId="25" xfId="3" applyNumberFormat="1" applyFont="1" applyFill="1" applyBorder="1" applyAlignment="1">
      <alignment vertical="center"/>
    </xf>
    <xf numFmtId="180" fontId="6" fillId="10" borderId="25" xfId="4" applyNumberFormat="1" applyFont="1" applyFill="1" applyBorder="1" applyAlignment="1">
      <alignment vertical="center"/>
    </xf>
    <xf numFmtId="38" fontId="6" fillId="11" borderId="25" xfId="4" applyFont="1" applyFill="1" applyBorder="1" applyAlignment="1">
      <alignment vertical="center"/>
    </xf>
    <xf numFmtId="38" fontId="10" fillId="0" borderId="26" xfId="4" applyFont="1" applyBorder="1" applyAlignment="1">
      <alignment vertical="center"/>
    </xf>
    <xf numFmtId="38" fontId="10" fillId="0" borderId="27" xfId="4" applyFont="1" applyBorder="1" applyAlignment="1">
      <alignment vertical="center"/>
    </xf>
    <xf numFmtId="38" fontId="6" fillId="8" borderId="25" xfId="4" applyFont="1" applyFill="1" applyBorder="1" applyAlignment="1">
      <alignment vertical="center"/>
    </xf>
    <xf numFmtId="181" fontId="6" fillId="0" borderId="28" xfId="3" applyNumberFormat="1" applyFont="1" applyBorder="1" applyAlignment="1">
      <alignment vertical="center"/>
    </xf>
    <xf numFmtId="180" fontId="2" fillId="4" borderId="22" xfId="0" applyNumberFormat="1" applyFont="1" applyFill="1" applyBorder="1">
      <alignment vertical="center"/>
    </xf>
    <xf numFmtId="38" fontId="2" fillId="0" borderId="22" xfId="0" applyNumberFormat="1" applyFont="1" applyBorder="1">
      <alignment vertical="center"/>
    </xf>
    <xf numFmtId="38" fontId="17" fillId="0" borderId="22" xfId="0" applyNumberFormat="1" applyFont="1" applyBorder="1">
      <alignment vertical="center"/>
    </xf>
    <xf numFmtId="38" fontId="2" fillId="0" borderId="24" xfId="0" applyNumberFormat="1" applyFont="1" applyBorder="1">
      <alignment vertical="center"/>
    </xf>
    <xf numFmtId="180" fontId="2" fillId="0" borderId="29" xfId="0" applyNumberFormat="1" applyFont="1" applyBorder="1">
      <alignment vertical="center"/>
    </xf>
    <xf numFmtId="38" fontId="2" fillId="12" borderId="21" xfId="0" applyNumberFormat="1" applyFont="1" applyFill="1" applyBorder="1">
      <alignment vertical="center"/>
    </xf>
    <xf numFmtId="179" fontId="2" fillId="5" borderId="22" xfId="0" applyNumberFormat="1" applyFont="1" applyFill="1" applyBorder="1">
      <alignment vertical="center"/>
    </xf>
    <xf numFmtId="180" fontId="2" fillId="0" borderId="22" xfId="0" applyNumberFormat="1" applyFont="1" applyBorder="1">
      <alignment vertical="center"/>
    </xf>
    <xf numFmtId="38" fontId="2" fillId="4" borderId="22" xfId="0" applyNumberFormat="1" applyFont="1" applyFill="1" applyBorder="1">
      <alignment vertical="center"/>
    </xf>
    <xf numFmtId="40" fontId="2" fillId="0" borderId="24" xfId="0" applyNumberFormat="1" applyFont="1" applyBorder="1">
      <alignment vertical="center"/>
    </xf>
    <xf numFmtId="38" fontId="17" fillId="0" borderId="21" xfId="0" applyNumberFormat="1" applyFont="1" applyBorder="1">
      <alignment vertical="center"/>
    </xf>
    <xf numFmtId="38" fontId="9" fillId="0" borderId="22" xfId="0" applyNumberFormat="1" applyFont="1" applyBorder="1">
      <alignment vertical="center"/>
    </xf>
    <xf numFmtId="38" fontId="2" fillId="12" borderId="22" xfId="0" applyNumberFormat="1" applyFont="1" applyFill="1" applyBorder="1">
      <alignment vertical="center"/>
    </xf>
    <xf numFmtId="38" fontId="2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0" fontId="7" fillId="0" borderId="0" xfId="0" applyFont="1">
      <alignment vertical="center"/>
    </xf>
    <xf numFmtId="38" fontId="4" fillId="0" borderId="5" xfId="0" applyNumberFormat="1" applyFont="1" applyBorder="1" applyAlignment="1">
      <alignment vertical="center" shrinkToFit="1"/>
    </xf>
    <xf numFmtId="179" fontId="6" fillId="3" borderId="25" xfId="3" applyNumberFormat="1" applyFont="1" applyFill="1" applyBorder="1"/>
    <xf numFmtId="180" fontId="6" fillId="10" borderId="25" xfId="4" applyNumberFormat="1" applyFont="1" applyFill="1" applyBorder="1"/>
    <xf numFmtId="38" fontId="6" fillId="11" borderId="25" xfId="4" applyFont="1" applyFill="1" applyBorder="1"/>
    <xf numFmtId="38" fontId="10" fillId="0" borderId="26" xfId="4" applyFont="1" applyBorder="1"/>
    <xf numFmtId="38" fontId="10" fillId="0" borderId="27" xfId="4" applyFont="1" applyBorder="1"/>
    <xf numFmtId="38" fontId="6" fillId="8" borderId="30" xfId="4" applyFont="1" applyFill="1" applyBorder="1"/>
    <xf numFmtId="181" fontId="6" fillId="0" borderId="28" xfId="3" applyNumberFormat="1" applyFont="1" applyBorder="1"/>
    <xf numFmtId="38" fontId="17" fillId="0" borderId="31" xfId="0" applyNumberFormat="1" applyFont="1" applyBorder="1">
      <alignment vertical="center"/>
    </xf>
    <xf numFmtId="38" fontId="2" fillId="4" borderId="31" xfId="0" applyNumberFormat="1" applyFont="1" applyFill="1" applyBorder="1">
      <alignment vertical="center"/>
    </xf>
    <xf numFmtId="38" fontId="2" fillId="0" borderId="31" xfId="0" applyNumberFormat="1" applyFont="1" applyBorder="1">
      <alignment vertical="center"/>
    </xf>
    <xf numFmtId="38" fontId="9" fillId="0" borderId="31" xfId="0" applyNumberFormat="1" applyFont="1" applyBorder="1">
      <alignment vertical="center"/>
    </xf>
    <xf numFmtId="38" fontId="2" fillId="12" borderId="31" xfId="0" applyNumberFormat="1" applyFont="1" applyFill="1" applyBorder="1">
      <alignment vertical="center"/>
    </xf>
    <xf numFmtId="178" fontId="19" fillId="0" borderId="5" xfId="0" applyNumberFormat="1" applyFont="1" applyBorder="1">
      <alignment vertical="center"/>
    </xf>
    <xf numFmtId="38" fontId="17" fillId="13" borderId="21" xfId="0" applyNumberFormat="1" applyFont="1" applyFill="1" applyBorder="1">
      <alignment vertical="center"/>
    </xf>
    <xf numFmtId="180" fontId="2" fillId="0" borderId="32" xfId="0" applyNumberFormat="1" applyFont="1" applyBorder="1">
      <alignment vertical="center"/>
    </xf>
    <xf numFmtId="38" fontId="9" fillId="13" borderId="21" xfId="0" applyNumberFormat="1" applyFont="1" applyFill="1" applyBorder="1">
      <alignment vertical="center"/>
    </xf>
    <xf numFmtId="179" fontId="6" fillId="3" borderId="30" xfId="3" applyNumberFormat="1" applyFont="1" applyFill="1" applyBorder="1"/>
    <xf numFmtId="180" fontId="6" fillId="10" borderId="30" xfId="4" applyNumberFormat="1" applyFont="1" applyFill="1" applyBorder="1"/>
    <xf numFmtId="38" fontId="6" fillId="11" borderId="30" xfId="4" applyFont="1" applyFill="1" applyBorder="1"/>
    <xf numFmtId="179" fontId="6" fillId="3" borderId="33" xfId="3" applyNumberFormat="1" applyFont="1" applyFill="1" applyBorder="1"/>
    <xf numFmtId="180" fontId="6" fillId="10" borderId="33" xfId="4" applyNumberFormat="1" applyFont="1" applyFill="1" applyBorder="1"/>
    <xf numFmtId="38" fontId="6" fillId="11" borderId="33" xfId="4" applyFont="1" applyFill="1" applyBorder="1"/>
    <xf numFmtId="38" fontId="10" fillId="0" borderId="34" xfId="4" applyFont="1" applyBorder="1"/>
    <xf numFmtId="38" fontId="10" fillId="0" borderId="35" xfId="4" applyFont="1" applyBorder="1"/>
    <xf numFmtId="38" fontId="6" fillId="8" borderId="33" xfId="4" applyFont="1" applyFill="1" applyBorder="1"/>
    <xf numFmtId="0" fontId="9" fillId="0" borderId="0" xfId="0" applyFont="1" applyAlignment="1"/>
    <xf numFmtId="0" fontId="20" fillId="0" borderId="36" xfId="0" applyFont="1" applyBorder="1" applyAlignment="1"/>
    <xf numFmtId="38" fontId="9" fillId="0" borderId="37" xfId="0" applyNumberFormat="1" applyFont="1" applyBorder="1" applyAlignment="1">
      <alignment shrinkToFit="1"/>
    </xf>
    <xf numFmtId="179" fontId="9" fillId="0" borderId="38" xfId="0" applyNumberFormat="1" applyFont="1" applyBorder="1" applyAlignment="1"/>
    <xf numFmtId="180" fontId="9" fillId="0" borderId="37" xfId="0" applyNumberFormat="1" applyFont="1" applyBorder="1" applyAlignment="1"/>
    <xf numFmtId="38" fontId="21" fillId="0" borderId="38" xfId="0" applyNumberFormat="1" applyFont="1" applyBorder="1" applyAlignment="1"/>
    <xf numFmtId="38" fontId="9" fillId="0" borderId="38" xfId="0" applyNumberFormat="1" applyFont="1" applyBorder="1" applyAlignment="1"/>
    <xf numFmtId="38" fontId="9" fillId="0" borderId="37" xfId="0" applyNumberFormat="1" applyFont="1" applyBorder="1" applyAlignment="1"/>
    <xf numFmtId="38" fontId="9" fillId="0" borderId="36" xfId="0" applyNumberFormat="1" applyFont="1" applyBorder="1" applyAlignment="1"/>
    <xf numFmtId="38" fontId="9" fillId="7" borderId="37" xfId="0" applyNumberFormat="1" applyFont="1" applyFill="1" applyBorder="1" applyAlignment="1"/>
    <xf numFmtId="181" fontId="9" fillId="0" borderId="37" xfId="0" applyNumberFormat="1" applyFont="1" applyBorder="1" applyAlignment="1">
      <alignment shrinkToFit="1"/>
    </xf>
    <xf numFmtId="179" fontId="10" fillId="0" borderId="39" xfId="3" applyNumberFormat="1" applyFont="1" applyBorder="1"/>
    <xf numFmtId="180" fontId="10" fillId="0" borderId="40" xfId="3" applyNumberFormat="1" applyFont="1" applyBorder="1"/>
    <xf numFmtId="38" fontId="10" fillId="0" borderId="39" xfId="3" applyNumberFormat="1" applyFont="1" applyBorder="1"/>
    <xf numFmtId="38" fontId="10" fillId="0" borderId="40" xfId="3" applyNumberFormat="1" applyFont="1" applyBorder="1"/>
    <xf numFmtId="38" fontId="10" fillId="0" borderId="41" xfId="3" applyNumberFormat="1" applyFont="1" applyBorder="1"/>
    <xf numFmtId="38" fontId="15" fillId="14" borderId="40" xfId="3" applyNumberFormat="1" applyFont="1" applyFill="1" applyBorder="1"/>
    <xf numFmtId="181" fontId="10" fillId="0" borderId="42" xfId="3" applyNumberFormat="1" applyFont="1" applyBorder="1"/>
    <xf numFmtId="38" fontId="21" fillId="0" borderId="37" xfId="0" applyNumberFormat="1" applyFont="1" applyBorder="1" applyAlignment="1"/>
    <xf numFmtId="38" fontId="17" fillId="7" borderId="37" xfId="0" applyNumberFormat="1" applyFont="1" applyFill="1" applyBorder="1" applyAlignment="1"/>
    <xf numFmtId="38" fontId="22" fillId="0" borderId="38" xfId="0" applyNumberFormat="1" applyFont="1" applyBorder="1" applyAlignment="1">
      <alignment shrinkToFit="1"/>
    </xf>
    <xf numFmtId="38" fontId="22" fillId="0" borderId="37" xfId="0" applyNumberFormat="1" applyFont="1" applyBorder="1" applyAlignment="1"/>
    <xf numFmtId="38" fontId="21" fillId="7" borderId="37" xfId="0" applyNumberFormat="1" applyFont="1" applyFill="1" applyBorder="1" applyAlignment="1"/>
    <xf numFmtId="182" fontId="21" fillId="0" borderId="38" xfId="0" applyNumberFormat="1" applyFont="1" applyBorder="1" applyAlignment="1">
      <alignment shrinkToFit="1"/>
    </xf>
    <xf numFmtId="38" fontId="22" fillId="0" borderId="38" xfId="0" applyNumberFormat="1" applyFont="1" applyBorder="1" applyAlignment="1"/>
    <xf numFmtId="38" fontId="23" fillId="7" borderId="37" xfId="0" applyNumberFormat="1" applyFont="1" applyFill="1" applyBorder="1" applyAlignment="1"/>
    <xf numFmtId="38" fontId="9" fillId="7" borderId="31" xfId="0" applyNumberFormat="1" applyFont="1" applyFill="1" applyBorder="1" applyAlignment="1"/>
    <xf numFmtId="38" fontId="9" fillId="13" borderId="31" xfId="0" applyNumberFormat="1" applyFont="1" applyFill="1" applyBorder="1" applyAlignment="1"/>
    <xf numFmtId="0" fontId="9" fillId="0" borderId="0" xfId="0" applyFont="1" applyAlignment="1">
      <alignment shrinkToFit="1"/>
    </xf>
    <xf numFmtId="0" fontId="9" fillId="0" borderId="5" xfId="0" applyFont="1" applyBorder="1" applyAlignment="1"/>
    <xf numFmtId="38" fontId="21" fillId="0" borderId="31" xfId="0" applyNumberFormat="1" applyFont="1" applyBorder="1" applyAlignment="1"/>
    <xf numFmtId="38" fontId="17" fillId="7" borderId="31" xfId="0" applyNumberFormat="1" applyFont="1" applyFill="1" applyBorder="1" applyAlignment="1"/>
    <xf numFmtId="38" fontId="9" fillId="0" borderId="31" xfId="0" applyNumberFormat="1" applyFont="1" applyBorder="1" applyAlignment="1"/>
    <xf numFmtId="181" fontId="9" fillId="0" borderId="0" xfId="0" applyNumberFormat="1" applyFont="1" applyAlignment="1">
      <alignment shrinkToFit="1"/>
    </xf>
    <xf numFmtId="179" fontId="10" fillId="0" borderId="0" xfId="3" applyNumberFormat="1" applyFont="1"/>
    <xf numFmtId="0" fontId="10" fillId="0" borderId="43" xfId="3" applyFont="1" applyBorder="1"/>
    <xf numFmtId="38" fontId="18" fillId="0" borderId="30" xfId="4" applyFont="1" applyBorder="1"/>
    <xf numFmtId="38" fontId="10" fillId="0" borderId="30" xfId="4" applyFont="1" applyBorder="1"/>
    <xf numFmtId="38" fontId="15" fillId="14" borderId="30" xfId="4" applyFont="1" applyFill="1" applyBorder="1"/>
    <xf numFmtId="181" fontId="10" fillId="0" borderId="0" xfId="3" applyNumberFormat="1" applyFont="1"/>
    <xf numFmtId="38" fontId="22" fillId="0" borderId="0" xfId="0" applyNumberFormat="1" applyFont="1" applyAlignment="1"/>
    <xf numFmtId="38" fontId="21" fillId="7" borderId="31" xfId="0" applyNumberFormat="1" applyFont="1" applyFill="1" applyBorder="1" applyAlignment="1"/>
    <xf numFmtId="179" fontId="9" fillId="0" borderId="0" xfId="0" applyNumberFormat="1" applyFont="1" applyAlignment="1"/>
    <xf numFmtId="182" fontId="9" fillId="0" borderId="0" xfId="0" applyNumberFormat="1" applyFont="1" applyAlignment="1"/>
    <xf numFmtId="38" fontId="22" fillId="0" borderId="31" xfId="0" applyNumberFormat="1" applyFont="1" applyBorder="1" applyAlignment="1"/>
    <xf numFmtId="38" fontId="9" fillId="0" borderId="0" xfId="0" applyNumberFormat="1" applyFont="1" applyAlignment="1"/>
    <xf numFmtId="0" fontId="2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shrinkToFit="1"/>
    </xf>
    <xf numFmtId="0" fontId="2" fillId="0" borderId="0" xfId="0" applyFont="1" applyAlignment="1">
      <alignment horizontal="right"/>
    </xf>
    <xf numFmtId="183" fontId="9" fillId="0" borderId="0" xfId="0" applyNumberFormat="1" applyFont="1" applyAlignment="1"/>
    <xf numFmtId="1" fontId="9" fillId="9" borderId="0" xfId="0" applyNumberFormat="1" applyFont="1" applyFill="1" applyAlignment="1"/>
    <xf numFmtId="183" fontId="24" fillId="0" borderId="0" xfId="0" applyNumberFormat="1" applyFont="1" applyAlignment="1"/>
    <xf numFmtId="183" fontId="9" fillId="0" borderId="0" xfId="0" applyNumberFormat="1" applyFont="1" applyAlignment="1">
      <alignment horizontal="right"/>
    </xf>
    <xf numFmtId="184" fontId="21" fillId="0" borderId="0" xfId="0" applyNumberFormat="1" applyFont="1" applyAlignment="1"/>
    <xf numFmtId="38" fontId="2" fillId="0" borderId="0" xfId="0" applyNumberFormat="1" applyFont="1" applyAlignment="1"/>
    <xf numFmtId="0" fontId="6" fillId="0" borderId="0" xfId="3" applyFont="1"/>
    <xf numFmtId="1" fontId="10" fillId="3" borderId="0" xfId="3" applyNumberFormat="1" applyFont="1" applyFill="1"/>
    <xf numFmtId="183" fontId="10" fillId="0" borderId="0" xfId="3" applyNumberFormat="1" applyFont="1"/>
    <xf numFmtId="184" fontId="21" fillId="0" borderId="0" xfId="0" applyNumberFormat="1" applyFont="1" applyAlignment="1">
      <alignment shrinkToFit="1"/>
    </xf>
    <xf numFmtId="184" fontId="10" fillId="0" borderId="0" xfId="5" applyFont="1"/>
    <xf numFmtId="183" fontId="9" fillId="15" borderId="0" xfId="0" applyNumberFormat="1" applyFont="1" applyFill="1" applyAlignment="1"/>
    <xf numFmtId="184" fontId="9" fillId="0" borderId="0" xfId="0" applyNumberFormat="1" applyFont="1" applyAlignment="1"/>
    <xf numFmtId="3" fontId="2" fillId="0" borderId="0" xfId="0" applyNumberFormat="1" applyFont="1" applyAlignment="1"/>
    <xf numFmtId="0" fontId="2" fillId="0" borderId="0" xfId="0" applyFont="1" applyAlignment="1">
      <alignment horizontal="center"/>
    </xf>
    <xf numFmtId="180" fontId="9" fillId="0" borderId="0" xfId="0" applyNumberFormat="1" applyFont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38" fontId="9" fillId="0" borderId="0" xfId="1" applyFont="1" applyAlignment="1"/>
    <xf numFmtId="0" fontId="2" fillId="0" borderId="47" xfId="0" applyFont="1" applyBorder="1" applyAlignment="1">
      <alignment horizontal="center"/>
    </xf>
    <xf numFmtId="180" fontId="2" fillId="0" borderId="0" xfId="0" applyNumberFormat="1" applyFont="1" applyAlignment="1"/>
    <xf numFmtId="38" fontId="25" fillId="0" borderId="0" xfId="1" applyFont="1" applyBorder="1" applyAlignment="1"/>
    <xf numFmtId="38" fontId="23" fillId="0" borderId="0" xfId="1" applyFont="1" applyBorder="1" applyAlignment="1"/>
    <xf numFmtId="38" fontId="23" fillId="0" borderId="48" xfId="1" applyFont="1" applyBorder="1" applyAlignment="1"/>
    <xf numFmtId="0" fontId="2" fillId="0" borderId="49" xfId="0" applyFont="1" applyBorder="1" applyAlignment="1">
      <alignment horizontal="center"/>
    </xf>
    <xf numFmtId="180" fontId="2" fillId="0" borderId="50" xfId="0" applyNumberFormat="1" applyFont="1" applyBorder="1" applyAlignment="1"/>
    <xf numFmtId="38" fontId="25" fillId="0" borderId="50" xfId="1" applyFont="1" applyBorder="1" applyAlignment="1"/>
    <xf numFmtId="38" fontId="23" fillId="0" borderId="50" xfId="1" applyFont="1" applyBorder="1" applyAlignment="1"/>
    <xf numFmtId="38" fontId="23" fillId="0" borderId="51" xfId="1" applyFont="1" applyBorder="1" applyAlignment="1"/>
    <xf numFmtId="0" fontId="2" fillId="0" borderId="23" xfId="0" applyFont="1" applyBorder="1" applyAlignment="1"/>
    <xf numFmtId="0" fontId="2" fillId="0" borderId="52" xfId="0" applyFont="1" applyBorder="1" applyAlignment="1">
      <alignment horizontal="right"/>
    </xf>
    <xf numFmtId="183" fontId="9" fillId="13" borderId="0" xfId="0" applyNumberFormat="1" applyFont="1" applyFill="1" applyAlignment="1"/>
    <xf numFmtId="0" fontId="6" fillId="0" borderId="53" xfId="3" applyFont="1" applyBorder="1"/>
    <xf numFmtId="0" fontId="2" fillId="0" borderId="54" xfId="0" applyFont="1" applyBorder="1" applyAlignment="1"/>
    <xf numFmtId="185" fontId="2" fillId="0" borderId="0" xfId="0" applyNumberFormat="1" applyFont="1" applyAlignment="1"/>
    <xf numFmtId="0" fontId="2" fillId="0" borderId="54" xfId="0" applyFont="1" applyBorder="1" applyAlignment="1">
      <alignment shrinkToFi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56" xfId="0" applyFont="1" applyBorder="1" applyAlignment="1">
      <alignment horizontal="center" vertical="top" wrapText="1"/>
    </xf>
    <xf numFmtId="0" fontId="14" fillId="0" borderId="0" xfId="0" applyFont="1" applyAlignment="1"/>
    <xf numFmtId="0" fontId="26" fillId="0" borderId="58" xfId="3" applyFont="1" applyBorder="1" applyAlignment="1">
      <alignment horizontal="center" vertical="top" wrapText="1"/>
    </xf>
    <xf numFmtId="0" fontId="26" fillId="0" borderId="59" xfId="3" applyFont="1" applyBorder="1" applyAlignment="1">
      <alignment horizontal="center" vertical="top" wrapText="1"/>
    </xf>
    <xf numFmtId="0" fontId="26" fillId="0" borderId="34" xfId="3" applyFont="1" applyBorder="1" applyAlignment="1">
      <alignment horizontal="center" vertical="top" wrapText="1"/>
    </xf>
    <xf numFmtId="0" fontId="2" fillId="0" borderId="5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6" fillId="0" borderId="35" xfId="3" applyFont="1" applyBorder="1" applyAlignment="1">
      <alignment horizontal="center" vertical="top" wrapText="1"/>
    </xf>
    <xf numFmtId="0" fontId="26" fillId="0" borderId="0" xfId="3" applyFont="1" applyAlignment="1">
      <alignment horizontal="center" vertical="top" wrapText="1"/>
    </xf>
    <xf numFmtId="0" fontId="26" fillId="0" borderId="53" xfId="3" applyFont="1" applyBorder="1" applyAlignment="1">
      <alignment horizontal="center" vertical="top" wrapText="1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4" fillId="0" borderId="61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4" fillId="0" borderId="60" xfId="0" applyFont="1" applyBorder="1" applyAlignment="1">
      <alignment horizontal="center" vertical="top" wrapText="1"/>
    </xf>
    <xf numFmtId="0" fontId="26" fillId="0" borderId="27" xfId="3" applyFont="1" applyBorder="1" applyAlignment="1">
      <alignment horizontal="center" vertical="top" wrapText="1"/>
    </xf>
    <xf numFmtId="0" fontId="26" fillId="0" borderId="28" xfId="3" applyFont="1" applyBorder="1" applyAlignment="1">
      <alignment horizontal="center" vertical="top" wrapText="1"/>
    </xf>
    <xf numFmtId="0" fontId="26" fillId="0" borderId="26" xfId="3" applyFont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38" fontId="9" fillId="16" borderId="0" xfId="0" applyNumberFormat="1" applyFont="1" applyFill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38" fontId="9" fillId="16" borderId="0" xfId="0" applyNumberFormat="1" applyFont="1" applyFill="1" applyAlignment="1"/>
    <xf numFmtId="0" fontId="9" fillId="0" borderId="0" xfId="0" applyFont="1" applyAlignment="1">
      <alignment horizontal="center" vertical="center" shrinkToFit="1"/>
    </xf>
    <xf numFmtId="0" fontId="10" fillId="0" borderId="0" xfId="3" applyFont="1"/>
    <xf numFmtId="0" fontId="10" fillId="0" borderId="0" xfId="3" applyFont="1" applyAlignment="1">
      <alignment horizontal="center" vertical="center" shrinkToFit="1"/>
    </xf>
    <xf numFmtId="186" fontId="9" fillId="0" borderId="0" xfId="0" applyNumberFormat="1" applyFont="1" applyAlignment="1"/>
    <xf numFmtId="187" fontId="9" fillId="7" borderId="0" xfId="0" applyNumberFormat="1" applyFont="1" applyFill="1" applyAlignment="1"/>
    <xf numFmtId="187" fontId="9" fillId="6" borderId="0" xfId="0" applyNumberFormat="1" applyFont="1" applyFill="1" applyAlignment="1"/>
    <xf numFmtId="0" fontId="9" fillId="6" borderId="0" xfId="0" applyFont="1" applyFill="1" applyAlignment="1"/>
    <xf numFmtId="0" fontId="17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184" fontId="17" fillId="0" borderId="0" xfId="0" applyNumberFormat="1" applyFont="1">
      <alignment vertical="center"/>
    </xf>
    <xf numFmtId="10" fontId="17" fillId="0" borderId="0" xfId="0" applyNumberFormat="1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7" fillId="0" borderId="0" xfId="0" applyFont="1" applyAlignment="1">
      <alignment vertical="center" shrinkToFit="1"/>
    </xf>
    <xf numFmtId="0" fontId="17" fillId="0" borderId="0" xfId="0" applyFont="1" applyAlignment="1">
      <alignment horizontal="center" vertical="center"/>
    </xf>
    <xf numFmtId="184" fontId="23" fillId="0" borderId="0" xfId="0" applyNumberFormat="1" applyFont="1">
      <alignment vertical="center"/>
    </xf>
    <xf numFmtId="10" fontId="23" fillId="0" borderId="0" xfId="0" applyNumberFormat="1" applyFont="1">
      <alignment vertical="center"/>
    </xf>
    <xf numFmtId="0" fontId="15" fillId="0" borderId="0" xfId="3" applyFont="1" applyAlignment="1">
      <alignment vertical="center"/>
    </xf>
    <xf numFmtId="10" fontId="29" fillId="0" borderId="0" xfId="2" applyNumberFormat="1" applyFont="1" applyAlignment="1">
      <alignment vertical="center"/>
    </xf>
    <xf numFmtId="38" fontId="27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0" fontId="6" fillId="0" borderId="0" xfId="3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38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0" fontId="2" fillId="0" borderId="0" xfId="2" applyNumberFormat="1" applyFont="1" applyAlignment="1">
      <alignment horizontal="right" vertical="center"/>
    </xf>
    <xf numFmtId="0" fontId="27" fillId="0" borderId="0" xfId="0" applyFont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  <xf numFmtId="38" fontId="6" fillId="0" borderId="0" xfId="1" applyFont="1" applyAlignment="1"/>
    <xf numFmtId="38" fontId="2" fillId="0" borderId="0" xfId="1" applyFont="1" applyAlignment="1"/>
    <xf numFmtId="10" fontId="2" fillId="0" borderId="0" xfId="0" applyNumberFormat="1" applyFont="1" applyAlignment="1"/>
    <xf numFmtId="0" fontId="6" fillId="0" borderId="0" xfId="3" applyFont="1" applyAlignment="1">
      <alignment horizontal="center"/>
    </xf>
    <xf numFmtId="0" fontId="7" fillId="0" borderId="0" xfId="0" applyFont="1" applyAlignment="1">
      <alignment shrinkToFit="1"/>
    </xf>
    <xf numFmtId="0" fontId="13" fillId="2" borderId="62" xfId="0" applyFont="1" applyFill="1" applyBorder="1" applyAlignment="1">
      <alignment horizontal="center" vertical="center" wrapText="1"/>
    </xf>
    <xf numFmtId="0" fontId="14" fillId="0" borderId="63" xfId="0" applyFont="1" applyBorder="1" applyAlignment="1"/>
    <xf numFmtId="0" fontId="9" fillId="4" borderId="64" xfId="0" applyFont="1" applyFill="1" applyBorder="1" applyAlignment="1">
      <alignment horizontal="center" vertical="center" wrapText="1"/>
    </xf>
    <xf numFmtId="0" fontId="9" fillId="4" borderId="63" xfId="0" applyFont="1" applyFill="1" applyBorder="1" applyAlignment="1">
      <alignment horizontal="center" vertical="center" wrapText="1"/>
    </xf>
    <xf numFmtId="0" fontId="9" fillId="4" borderId="65" xfId="0" applyFont="1" applyFill="1" applyBorder="1" applyAlignment="1">
      <alignment horizontal="center" vertical="center" wrapText="1"/>
    </xf>
    <xf numFmtId="0" fontId="9" fillId="17" borderId="64" xfId="0" applyFont="1" applyFill="1" applyBorder="1" applyAlignment="1">
      <alignment horizontal="center" vertical="center" wrapText="1"/>
    </xf>
    <xf numFmtId="0" fontId="9" fillId="17" borderId="63" xfId="0" applyFont="1" applyFill="1" applyBorder="1" applyAlignment="1">
      <alignment horizontal="center" vertical="center" wrapText="1"/>
    </xf>
    <xf numFmtId="0" fontId="9" fillId="17" borderId="66" xfId="0" applyFont="1" applyFill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18" borderId="20" xfId="0" applyFont="1" applyFill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178" fontId="19" fillId="0" borderId="21" xfId="0" applyNumberFormat="1" applyFont="1" applyBorder="1">
      <alignment vertical="center"/>
    </xf>
    <xf numFmtId="179" fontId="2" fillId="0" borderId="71" xfId="0" applyNumberFormat="1" applyFont="1" applyBorder="1">
      <alignment vertical="center"/>
    </xf>
    <xf numFmtId="180" fontId="2" fillId="4" borderId="29" xfId="0" applyNumberFormat="1" applyFont="1" applyFill="1" applyBorder="1">
      <alignment vertical="center"/>
    </xf>
    <xf numFmtId="38" fontId="17" fillId="20" borderId="22" xfId="0" applyNumberFormat="1" applyFont="1" applyFill="1" applyBorder="1">
      <alignment vertical="center"/>
    </xf>
    <xf numFmtId="38" fontId="2" fillId="0" borderId="72" xfId="0" applyNumberFormat="1" applyFont="1" applyBorder="1">
      <alignment vertical="center"/>
    </xf>
    <xf numFmtId="180" fontId="2" fillId="17" borderId="29" xfId="0" applyNumberFormat="1" applyFont="1" applyFill="1" applyBorder="1">
      <alignment vertical="center"/>
    </xf>
    <xf numFmtId="38" fontId="17" fillId="21" borderId="22" xfId="0" applyNumberFormat="1" applyFont="1" applyFill="1" applyBorder="1">
      <alignment vertical="center"/>
    </xf>
    <xf numFmtId="181" fontId="2" fillId="0" borderId="73" xfId="0" applyNumberFormat="1" applyFont="1" applyBorder="1">
      <alignment vertical="center"/>
    </xf>
    <xf numFmtId="179" fontId="9" fillId="0" borderId="74" xfId="0" applyNumberFormat="1" applyFont="1" applyBorder="1" applyAlignment="1"/>
    <xf numFmtId="181" fontId="9" fillId="0" borderId="36" xfId="0" applyNumberFormat="1" applyFont="1" applyBorder="1" applyAlignment="1">
      <alignment shrinkToFit="1"/>
    </xf>
    <xf numFmtId="180" fontId="9" fillId="0" borderId="75" xfId="0" applyNumberFormat="1" applyFont="1" applyBorder="1" applyAlignment="1"/>
    <xf numFmtId="38" fontId="22" fillId="0" borderId="76" xfId="0" applyNumberFormat="1" applyFont="1" applyBorder="1" applyAlignment="1">
      <alignment shrinkToFit="1"/>
    </xf>
    <xf numFmtId="38" fontId="21" fillId="0" borderId="77" xfId="0" applyNumberFormat="1" applyFont="1" applyBorder="1" applyAlignment="1"/>
    <xf numFmtId="0" fontId="9" fillId="0" borderId="78" xfId="0" applyFont="1" applyBorder="1" applyAlignment="1"/>
    <xf numFmtId="0" fontId="9" fillId="0" borderId="79" xfId="0" applyFont="1" applyBorder="1" applyAlignment="1"/>
    <xf numFmtId="38" fontId="21" fillId="0" borderId="80" xfId="0" applyNumberFormat="1" applyFont="1" applyBorder="1" applyAlignment="1"/>
    <xf numFmtId="38" fontId="17" fillId="7" borderId="80" xfId="0" applyNumberFormat="1" applyFont="1" applyFill="1" applyBorder="1" applyAlignment="1"/>
    <xf numFmtId="38" fontId="9" fillId="0" borderId="80" xfId="0" applyNumberFormat="1" applyFont="1" applyBorder="1" applyAlignment="1"/>
    <xf numFmtId="38" fontId="9" fillId="7" borderId="80" xfId="0" applyNumberFormat="1" applyFont="1" applyFill="1" applyBorder="1" applyAlignment="1"/>
    <xf numFmtId="181" fontId="9" fillId="0" borderId="81" xfId="0" applyNumberFormat="1" applyFont="1" applyBorder="1" applyAlignment="1">
      <alignment shrinkToFit="1"/>
    </xf>
    <xf numFmtId="0" fontId="9" fillId="0" borderId="82" xfId="0" applyFont="1" applyBorder="1" applyAlignment="1"/>
    <xf numFmtId="38" fontId="22" fillId="0" borderId="83" xfId="0" applyNumberFormat="1" applyFont="1" applyBorder="1" applyAlignment="1"/>
    <xf numFmtId="181" fontId="9" fillId="0" borderId="84" xfId="0" applyNumberFormat="1" applyFont="1" applyBorder="1" applyAlignment="1">
      <alignment shrinkToFit="1"/>
    </xf>
    <xf numFmtId="0" fontId="14" fillId="0" borderId="55" xfId="0" applyFont="1" applyBorder="1" applyAlignment="1"/>
    <xf numFmtId="0" fontId="14" fillId="0" borderId="52" xfId="0" applyFont="1" applyBorder="1" applyAlignment="1"/>
    <xf numFmtId="0" fontId="7" fillId="0" borderId="0" xfId="0" applyFont="1" applyAlignment="1"/>
    <xf numFmtId="0" fontId="14" fillId="0" borderId="54" xfId="0" applyFont="1" applyBorder="1" applyAlignment="1"/>
    <xf numFmtId="0" fontId="2" fillId="0" borderId="85" xfId="0" applyFont="1" applyBorder="1" applyAlignment="1">
      <alignment horizontal="center"/>
    </xf>
    <xf numFmtId="0" fontId="4" fillId="0" borderId="86" xfId="0" applyFont="1" applyBorder="1" applyAlignment="1">
      <alignment horizontal="center" vertical="top" wrapText="1"/>
    </xf>
    <xf numFmtId="0" fontId="4" fillId="0" borderId="85" xfId="0" applyFont="1" applyBorder="1" applyAlignment="1">
      <alignment horizontal="center" vertical="top" wrapText="1"/>
    </xf>
    <xf numFmtId="0" fontId="14" fillId="0" borderId="21" xfId="0" applyFont="1" applyBorder="1" applyAlignment="1"/>
    <xf numFmtId="0" fontId="14" fillId="0" borderId="24" xfId="0" applyFont="1" applyBorder="1" applyAlignment="1"/>
    <xf numFmtId="0" fontId="14" fillId="0" borderId="23" xfId="0" applyFont="1" applyBorder="1" applyAlignment="1"/>
    <xf numFmtId="0" fontId="2" fillId="0" borderId="2" xfId="0" applyFont="1" applyBorder="1" applyAlignment="1">
      <alignment horizontal="center"/>
    </xf>
    <xf numFmtId="0" fontId="26" fillId="0" borderId="0" xfId="3" applyFont="1" applyAlignment="1">
      <alignment horizontal="center" vertical="top" wrapText="1"/>
    </xf>
    <xf numFmtId="0" fontId="2" fillId="0" borderId="24" xfId="0" applyFont="1" applyBorder="1" applyAlignment="1">
      <alignment horizontal="center"/>
    </xf>
    <xf numFmtId="0" fontId="17" fillId="5" borderId="87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178" fontId="32" fillId="0" borderId="5" xfId="0" applyNumberFormat="1" applyFont="1" applyBorder="1">
      <alignment vertical="center"/>
    </xf>
    <xf numFmtId="179" fontId="2" fillId="0" borderId="88" xfId="0" applyNumberFormat="1" applyFont="1" applyBorder="1">
      <alignment vertical="center"/>
    </xf>
    <xf numFmtId="188" fontId="4" fillId="0" borderId="21" xfId="0" applyNumberFormat="1" applyFont="1" applyBorder="1" applyAlignment="1">
      <alignment vertical="center" shrinkToFit="1"/>
    </xf>
    <xf numFmtId="178" fontId="33" fillId="0" borderId="5" xfId="0" applyNumberFormat="1" applyFont="1" applyBorder="1">
      <alignment vertical="center"/>
    </xf>
    <xf numFmtId="179" fontId="2" fillId="0" borderId="89" xfId="0" applyNumberFormat="1" applyFont="1" applyBorder="1">
      <alignment vertical="center"/>
    </xf>
    <xf numFmtId="188" fontId="4" fillId="0" borderId="5" xfId="0" applyNumberFormat="1" applyFont="1" applyBorder="1" applyAlignment="1">
      <alignment vertical="center" shrinkToFit="1"/>
    </xf>
    <xf numFmtId="179" fontId="2" fillId="0" borderId="90" xfId="0" applyNumberFormat="1" applyFont="1" applyBorder="1">
      <alignment vertical="center"/>
    </xf>
    <xf numFmtId="182" fontId="23" fillId="0" borderId="38" xfId="0" applyNumberFormat="1" applyFont="1" applyBorder="1" applyAlignment="1"/>
    <xf numFmtId="188" fontId="9" fillId="0" borderId="37" xfId="0" applyNumberFormat="1" applyFont="1" applyBorder="1" applyAlignment="1">
      <alignment shrinkToFit="1"/>
    </xf>
    <xf numFmtId="184" fontId="9" fillId="0" borderId="0" xfId="0" applyNumberFormat="1" applyFont="1" applyAlignment="1">
      <alignment horizontal="center"/>
    </xf>
    <xf numFmtId="189" fontId="9" fillId="0" borderId="0" xfId="0" applyNumberFormat="1" applyFont="1" applyAlignment="1">
      <alignment horizontal="center"/>
    </xf>
    <xf numFmtId="0" fontId="17" fillId="5" borderId="2" xfId="0" applyFont="1" applyFill="1" applyBorder="1" applyAlignment="1">
      <alignment horizontal="center" vertical="center" wrapText="1"/>
    </xf>
    <xf numFmtId="178" fontId="34" fillId="0" borderId="5" xfId="0" applyNumberFormat="1" applyFont="1" applyBorder="1">
      <alignment vertical="center"/>
    </xf>
    <xf numFmtId="0" fontId="35" fillId="0" borderId="58" xfId="3" applyFont="1" applyBorder="1" applyAlignment="1">
      <alignment vertical="top" wrapText="1"/>
    </xf>
    <xf numFmtId="0" fontId="35" fillId="0" borderId="59" xfId="3" applyFont="1" applyBorder="1" applyAlignment="1">
      <alignment vertical="top" wrapText="1"/>
    </xf>
    <xf numFmtId="0" fontId="35" fillId="0" borderId="34" xfId="3" applyFont="1" applyBorder="1" applyAlignment="1">
      <alignment vertical="top" wrapText="1"/>
    </xf>
    <xf numFmtId="0" fontId="35" fillId="0" borderId="35" xfId="3" applyFont="1" applyBorder="1" applyAlignment="1">
      <alignment vertical="top" wrapText="1"/>
    </xf>
    <xf numFmtId="0" fontId="35" fillId="0" borderId="0" xfId="3" applyFont="1" applyAlignment="1">
      <alignment vertical="top" wrapText="1"/>
    </xf>
    <xf numFmtId="0" fontId="35" fillId="0" borderId="53" xfId="3" applyFont="1" applyBorder="1" applyAlignment="1">
      <alignment vertical="top" wrapText="1"/>
    </xf>
    <xf numFmtId="0" fontId="35" fillId="0" borderId="27" xfId="3" applyFont="1" applyBorder="1" applyAlignment="1">
      <alignment vertical="top" wrapText="1"/>
    </xf>
    <xf numFmtId="0" fontId="35" fillId="0" borderId="28" xfId="3" applyFont="1" applyBorder="1" applyAlignment="1">
      <alignment vertical="top" wrapText="1"/>
    </xf>
    <xf numFmtId="0" fontId="35" fillId="0" borderId="26" xfId="3" applyFont="1" applyBorder="1" applyAlignment="1">
      <alignment vertical="top" wrapText="1"/>
    </xf>
    <xf numFmtId="0" fontId="2" fillId="0" borderId="0" xfId="0" applyFont="1" applyAlignment="1">
      <alignment horizontal="centerContinuous" vertical="center" wrapText="1"/>
    </xf>
    <xf numFmtId="177" fontId="2" fillId="0" borderId="91" xfId="0" applyNumberFormat="1" applyFont="1" applyBorder="1" applyAlignment="1">
      <alignment horizontal="center" vertical="center" shrinkToFit="1"/>
    </xf>
    <xf numFmtId="177" fontId="2" fillId="0" borderId="92" xfId="0" applyNumberFormat="1" applyFont="1" applyBorder="1" applyAlignment="1">
      <alignment horizontal="center" vertical="center" shrinkToFit="1"/>
    </xf>
    <xf numFmtId="177" fontId="2" fillId="0" borderId="93" xfId="0" applyNumberFormat="1" applyFont="1" applyBorder="1" applyAlignment="1">
      <alignment horizontal="center" vertical="center" shrinkToFit="1"/>
    </xf>
    <xf numFmtId="177" fontId="2" fillId="0" borderId="94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38" fontId="7" fillId="0" borderId="0" xfId="0" applyNumberFormat="1" applyFont="1" applyAlignment="1"/>
    <xf numFmtId="38" fontId="9" fillId="0" borderId="95" xfId="0" applyNumberFormat="1" applyFont="1" applyBorder="1" applyAlignment="1"/>
    <xf numFmtId="0" fontId="4" fillId="0" borderId="0" xfId="0" applyFont="1" applyAlignment="1">
      <alignment shrinkToFit="1"/>
    </xf>
    <xf numFmtId="0" fontId="36" fillId="0" borderId="0" xfId="0" applyFont="1" applyAlignment="1">
      <alignment shrinkToFit="1"/>
    </xf>
    <xf numFmtId="0" fontId="2" fillId="0" borderId="50" xfId="0" applyFont="1" applyBorder="1" applyAlignment="1"/>
    <xf numFmtId="0" fontId="2" fillId="20" borderId="5" xfId="0" applyFont="1" applyFill="1" applyBorder="1" applyAlignment="1">
      <alignment horizontal="centerContinuous" vertical="center" wrapText="1"/>
    </xf>
    <xf numFmtId="0" fontId="9" fillId="4" borderId="6" xfId="0" applyFont="1" applyFill="1" applyBorder="1" applyAlignment="1">
      <alignment horizontal="centerContinuous" vertical="center" wrapText="1"/>
    </xf>
    <xf numFmtId="0" fontId="17" fillId="22" borderId="87" xfId="0" applyFont="1" applyFill="1" applyBorder="1" applyAlignment="1">
      <alignment horizontal="centerContinuous" vertical="center" wrapText="1"/>
    </xf>
    <xf numFmtId="0" fontId="17" fillId="22" borderId="2" xfId="0" applyFont="1" applyFill="1" applyBorder="1" applyAlignment="1">
      <alignment horizontal="centerContinuous" vertical="center" wrapText="1"/>
    </xf>
    <xf numFmtId="0" fontId="2" fillId="23" borderId="11" xfId="0" applyFont="1" applyFill="1" applyBorder="1" applyAlignment="1">
      <alignment horizontal="center" vertical="center" wrapText="1"/>
    </xf>
    <xf numFmtId="0" fontId="6" fillId="3" borderId="14" xfId="3" applyFont="1" applyFill="1" applyBorder="1" applyAlignment="1">
      <alignment horizontal="center" vertical="center" wrapText="1"/>
    </xf>
    <xf numFmtId="0" fontId="38" fillId="24" borderId="14" xfId="3" applyFont="1" applyFill="1" applyBorder="1" applyAlignment="1">
      <alignment horizontal="center" vertical="center" wrapText="1"/>
    </xf>
    <xf numFmtId="0" fontId="6" fillId="0" borderId="14" xfId="3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6" fillId="25" borderId="14" xfId="3" applyFont="1" applyFill="1" applyBorder="1" applyAlignment="1">
      <alignment horizontal="center" vertical="center" wrapText="1"/>
    </xf>
    <xf numFmtId="0" fontId="6" fillId="0" borderId="17" xfId="3" applyFont="1" applyBorder="1" applyAlignment="1">
      <alignment horizontal="center" vertical="center" wrapText="1"/>
    </xf>
    <xf numFmtId="0" fontId="2" fillId="20" borderId="96" xfId="0" applyFont="1" applyFill="1" applyBorder="1" applyAlignment="1">
      <alignment horizontal="center" vertical="center" wrapText="1"/>
    </xf>
    <xf numFmtId="0" fontId="2" fillId="18" borderId="12" xfId="0" applyFont="1" applyFill="1" applyBorder="1" applyAlignment="1">
      <alignment horizontal="center" vertical="center" wrapText="1"/>
    </xf>
    <xf numFmtId="0" fontId="2" fillId="22" borderId="12" xfId="0" applyFont="1" applyFill="1" applyBorder="1" applyAlignment="1">
      <alignment horizontal="center" vertical="center" wrapText="1"/>
    </xf>
    <xf numFmtId="0" fontId="2" fillId="26" borderId="12" xfId="0" applyFont="1" applyFill="1" applyBorder="1" applyAlignment="1">
      <alignment horizontal="center" vertical="center" wrapText="1"/>
    </xf>
    <xf numFmtId="0" fontId="2" fillId="27" borderId="12" xfId="0" applyFont="1" applyFill="1" applyBorder="1" applyAlignment="1">
      <alignment horizontal="center" vertical="center" wrapText="1"/>
    </xf>
    <xf numFmtId="179" fontId="2" fillId="23" borderId="22" xfId="0" applyNumberFormat="1" applyFont="1" applyFill="1" applyBorder="1">
      <alignment vertical="center"/>
    </xf>
    <xf numFmtId="180" fontId="6" fillId="24" borderId="25" xfId="4" applyNumberFormat="1" applyFont="1" applyFill="1" applyBorder="1" applyAlignment="1">
      <alignment vertical="center"/>
    </xf>
    <xf numFmtId="38" fontId="6" fillId="0" borderId="25" xfId="4" applyFont="1" applyBorder="1" applyAlignment="1">
      <alignment vertical="center"/>
    </xf>
    <xf numFmtId="38" fontId="6" fillId="25" borderId="25" xfId="4" applyFont="1" applyFill="1" applyBorder="1" applyAlignment="1">
      <alignment vertical="center"/>
    </xf>
    <xf numFmtId="181" fontId="6" fillId="20" borderId="22" xfId="3" applyNumberFormat="1" applyFont="1" applyFill="1" applyBorder="1" applyAlignment="1">
      <alignment vertical="center"/>
    </xf>
    <xf numFmtId="179" fontId="2" fillId="22" borderId="22" xfId="0" applyNumberFormat="1" applyFont="1" applyFill="1" applyBorder="1">
      <alignment vertical="center"/>
    </xf>
    <xf numFmtId="180" fontId="2" fillId="26" borderId="22" xfId="0" applyNumberFormat="1" applyFont="1" applyFill="1" applyBorder="1">
      <alignment vertical="center"/>
    </xf>
    <xf numFmtId="38" fontId="2" fillId="27" borderId="22" xfId="0" applyNumberFormat="1" applyFont="1" applyFill="1" applyBorder="1">
      <alignment vertical="center"/>
    </xf>
    <xf numFmtId="38" fontId="39" fillId="0" borderId="22" xfId="0" applyNumberFormat="1" applyFont="1" applyBorder="1">
      <alignment vertical="center"/>
    </xf>
    <xf numFmtId="180" fontId="6" fillId="24" borderId="25" xfId="4" applyNumberFormat="1" applyFont="1" applyFill="1" applyBorder="1"/>
    <xf numFmtId="38" fontId="6" fillId="0" borderId="25" xfId="4" applyFont="1" applyBorder="1"/>
    <xf numFmtId="38" fontId="6" fillId="25" borderId="30" xfId="4" applyFont="1" applyFill="1" applyBorder="1"/>
    <xf numFmtId="181" fontId="6" fillId="20" borderId="31" xfId="3" applyNumberFormat="1" applyFont="1" applyFill="1" applyBorder="1"/>
    <xf numFmtId="38" fontId="17" fillId="20" borderId="31" xfId="0" applyNumberFormat="1" applyFont="1" applyFill="1" applyBorder="1">
      <alignment vertical="center"/>
    </xf>
    <xf numFmtId="38" fontId="2" fillId="27" borderId="31" xfId="0" applyNumberFormat="1" applyFont="1" applyFill="1" applyBorder="1">
      <alignment vertical="center"/>
    </xf>
    <xf numFmtId="38" fontId="39" fillId="0" borderId="31" xfId="0" applyNumberFormat="1" applyFont="1" applyBorder="1">
      <alignment vertical="center"/>
    </xf>
    <xf numFmtId="180" fontId="6" fillId="24" borderId="30" xfId="4" applyNumberFormat="1" applyFont="1" applyFill="1" applyBorder="1"/>
    <xf numFmtId="38" fontId="6" fillId="0" borderId="30" xfId="4" applyFont="1" applyBorder="1"/>
    <xf numFmtId="180" fontId="6" fillId="24" borderId="33" xfId="4" applyNumberFormat="1" applyFont="1" applyFill="1" applyBorder="1"/>
    <xf numFmtId="38" fontId="6" fillId="0" borderId="33" xfId="4" applyFont="1" applyBorder="1"/>
    <xf numFmtId="38" fontId="6" fillId="25" borderId="33" xfId="4" applyFont="1" applyFill="1" applyBorder="1"/>
    <xf numFmtId="181" fontId="6" fillId="20" borderId="96" xfId="3" applyNumberFormat="1" applyFont="1" applyFill="1" applyBorder="1"/>
    <xf numFmtId="38" fontId="9" fillId="28" borderId="37" xfId="0" applyNumberFormat="1" applyFont="1" applyFill="1" applyBorder="1" applyAlignment="1"/>
    <xf numFmtId="38" fontId="15" fillId="29" borderId="40" xfId="3" applyNumberFormat="1" applyFont="1" applyFill="1" applyBorder="1"/>
    <xf numFmtId="181" fontId="10" fillId="0" borderId="37" xfId="3" applyNumberFormat="1" applyFont="1" applyBorder="1"/>
    <xf numFmtId="38" fontId="17" fillId="28" borderId="37" xfId="0" applyNumberFormat="1" applyFont="1" applyFill="1" applyBorder="1" applyAlignment="1"/>
    <xf numFmtId="38" fontId="21" fillId="28" borderId="37" xfId="0" applyNumberFormat="1" applyFont="1" applyFill="1" applyBorder="1" applyAlignment="1"/>
    <xf numFmtId="38" fontId="23" fillId="28" borderId="37" xfId="0" applyNumberFormat="1" applyFont="1" applyFill="1" applyBorder="1" applyAlignment="1"/>
    <xf numFmtId="38" fontId="39" fillId="0" borderId="31" xfId="0" applyNumberFormat="1" applyFont="1" applyBorder="1" applyAlignment="1"/>
    <xf numFmtId="38" fontId="17" fillId="0" borderId="31" xfId="0" applyNumberFormat="1" applyFont="1" applyBorder="1" applyAlignment="1"/>
    <xf numFmtId="38" fontId="9" fillId="28" borderId="31" xfId="0" applyNumberFormat="1" applyFont="1" applyFill="1" applyBorder="1" applyAlignment="1"/>
    <xf numFmtId="38" fontId="15" fillId="29" borderId="30" xfId="4" applyFont="1" applyFill="1" applyBorder="1"/>
    <xf numFmtId="181" fontId="10" fillId="0" borderId="97" xfId="3" applyNumberFormat="1" applyFont="1" applyBorder="1"/>
    <xf numFmtId="181" fontId="10" fillId="0" borderId="31" xfId="3" applyNumberFormat="1" applyFont="1" applyBorder="1"/>
    <xf numFmtId="38" fontId="17" fillId="28" borderId="31" xfId="0" applyNumberFormat="1" applyFont="1" applyFill="1" applyBorder="1" applyAlignment="1"/>
    <xf numFmtId="38" fontId="21" fillId="28" borderId="31" xfId="0" applyNumberFormat="1" applyFont="1" applyFill="1" applyBorder="1" applyAlignment="1"/>
    <xf numFmtId="1" fontId="9" fillId="30" borderId="0" xfId="0" applyNumberFormat="1" applyFont="1" applyFill="1" applyAlignment="1"/>
    <xf numFmtId="1" fontId="9" fillId="31" borderId="0" xfId="0" applyNumberFormat="1" applyFont="1" applyFill="1" applyAlignment="1"/>
    <xf numFmtId="1" fontId="9" fillId="15" borderId="0" xfId="0" applyNumberFormat="1" applyFont="1" applyFill="1" applyAlignment="1"/>
    <xf numFmtId="0" fontId="33" fillId="0" borderId="47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190" fontId="9" fillId="7" borderId="0" xfId="0" applyNumberFormat="1" applyFont="1" applyFill="1" applyAlignment="1"/>
    <xf numFmtId="187" fontId="9" fillId="0" borderId="0" xfId="0" applyNumberFormat="1" applyFont="1" applyAlignment="1"/>
    <xf numFmtId="190" fontId="9" fillId="6" borderId="0" xfId="0" applyNumberFormat="1" applyFont="1" applyFill="1" applyAlignment="1"/>
  </cellXfs>
  <cellStyles count="6">
    <cellStyle name="Excel Built-in Comma [0]" xfId="4" xr:uid="{375CD470-55DD-FC49-9A6E-388E27A4BDF8}"/>
    <cellStyle name="Excel Built-in Currency [0]" xfId="5" xr:uid="{57B2CFD1-FF4A-0745-8EA3-BB13307B8C36}"/>
    <cellStyle name="Excel Built-in Normal 1" xfId="3" xr:uid="{791F63B1-71DD-9E4A-A494-49BC63E752A3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1F11-C342-884A-886F-08CC780159BB}">
  <dimension ref="A1:CJ1000"/>
  <sheetViews>
    <sheetView workbookViewId="0">
      <selection sqref="A1:XFD1048576"/>
    </sheetView>
  </sheetViews>
  <sheetFormatPr baseColWidth="10" defaultColWidth="12.28515625" defaultRowHeight="17"/>
  <cols>
    <col min="1" max="2" width="11.140625" style="7" customWidth="1"/>
    <col min="3" max="3" width="11.5703125" style="264" customWidth="1"/>
    <col min="4" max="4" width="5.5703125" style="7" customWidth="1"/>
    <col min="5" max="5" width="7.5703125" style="7" customWidth="1"/>
    <col min="6" max="6" width="9.42578125" style="7" bestFit="1" customWidth="1"/>
    <col min="7" max="7" width="11.5703125" style="7" customWidth="1"/>
    <col min="8" max="8" width="8.85546875" style="7" bestFit="1" customWidth="1"/>
    <col min="9" max="9" width="8.140625" style="7" customWidth="1"/>
    <col min="10" max="10" width="9.85546875" style="7" customWidth="1"/>
    <col min="11" max="11" width="7.5703125" style="7" customWidth="1"/>
    <col min="12" max="12" width="4.5703125" style="7" customWidth="1"/>
    <col min="13" max="13" width="7.7109375" style="164" customWidth="1"/>
    <col min="14" max="14" width="8.5703125" style="164" customWidth="1"/>
    <col min="15" max="17" width="7.5703125" style="164" customWidth="1"/>
    <col min="18" max="18" width="8.85546875" style="164" bestFit="1" customWidth="1"/>
    <col min="19" max="19" width="9.85546875" style="164" customWidth="1"/>
    <col min="20" max="20" width="8.42578125" style="7" customWidth="1"/>
    <col min="21" max="21" width="9" style="7" bestFit="1" customWidth="1"/>
    <col min="22" max="22" width="9.42578125" style="7" bestFit="1" customWidth="1"/>
    <col min="23" max="23" width="11.5703125" style="7" customWidth="1"/>
    <col min="24" max="24" width="9" style="7" bestFit="1" customWidth="1"/>
    <col min="25" max="25" width="11.42578125" style="7" customWidth="1"/>
    <col min="26" max="26" width="12.28515625" style="7"/>
    <col min="27" max="27" width="7.5703125" style="7" customWidth="1"/>
    <col min="28" max="28" width="9" style="7" bestFit="1" customWidth="1"/>
    <col min="29" max="29" width="9.42578125" style="7" bestFit="1" customWidth="1"/>
    <col min="30" max="30" width="11.85546875" style="7" bestFit="1" customWidth="1"/>
    <col min="31" max="31" width="8.42578125" style="7" customWidth="1"/>
    <col min="32" max="32" width="6.7109375" style="164" customWidth="1"/>
    <col min="33" max="33" width="7.140625" style="7" customWidth="1"/>
    <col min="34" max="34" width="9" style="7" bestFit="1" customWidth="1"/>
    <col min="35" max="35" width="7.5703125" style="7" customWidth="1"/>
    <col min="36" max="36" width="8.85546875" style="7" bestFit="1" customWidth="1"/>
    <col min="37" max="37" width="9.42578125" style="7" bestFit="1" customWidth="1"/>
    <col min="38" max="38" width="10.5703125" style="7" bestFit="1" customWidth="1"/>
    <col min="39" max="39" width="9.42578125" style="7" customWidth="1"/>
    <col min="40" max="40" width="5.28515625" style="7" bestFit="1" customWidth="1"/>
    <col min="41" max="41" width="4.5703125" style="264" customWidth="1"/>
    <col min="42" max="42" width="4.7109375" style="7" customWidth="1"/>
    <col min="43" max="43" width="4.5703125" style="264" customWidth="1"/>
    <col min="44" max="44" width="11.140625" style="7" bestFit="1" customWidth="1"/>
    <col min="45" max="45" width="7.5703125" style="7" customWidth="1"/>
    <col min="46" max="46" width="9.42578125" style="7" bestFit="1" customWidth="1"/>
    <col min="47" max="47" width="11.5703125" style="7" customWidth="1"/>
    <col min="48" max="48" width="13.5703125" style="7" customWidth="1"/>
    <col min="49" max="58" width="11.140625" style="7" customWidth="1"/>
    <col min="59" max="60" width="9.28515625" style="7" customWidth="1"/>
    <col min="61" max="64" width="11.140625" style="7" customWidth="1"/>
    <col min="65" max="66" width="12.28515625" style="7"/>
    <col min="67" max="67" width="5.85546875" style="7" customWidth="1"/>
    <col min="68" max="68" width="7.5703125" style="7" customWidth="1"/>
    <col min="69" max="69" width="9.42578125" style="7" bestFit="1" customWidth="1"/>
    <col min="70" max="70" width="11.5703125" style="7" customWidth="1"/>
    <col min="71" max="71" width="8.85546875" style="7" bestFit="1" customWidth="1"/>
    <col min="72" max="72" width="8.140625" style="7" customWidth="1"/>
    <col min="73" max="73" width="9.85546875" style="7" customWidth="1"/>
    <col min="74" max="75" width="7.5703125" style="7" customWidth="1"/>
    <col min="76" max="81" width="11" style="7" customWidth="1"/>
    <col min="82" max="82" width="7.5703125" style="7" customWidth="1"/>
    <col min="83" max="88" width="11" style="7" customWidth="1"/>
    <col min="89" max="16384" width="12.28515625" style="7"/>
  </cols>
  <sheetData>
    <row r="1" spans="1:88" ht="13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4"/>
      <c r="AH1" s="4"/>
      <c r="AI1" s="4"/>
      <c r="AJ1" s="4"/>
      <c r="AK1" s="4"/>
      <c r="AL1" s="4"/>
      <c r="AM1" s="4"/>
      <c r="AN1" s="4"/>
      <c r="AO1" s="3"/>
      <c r="AP1" s="4"/>
      <c r="AQ1" s="3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6"/>
      <c r="BG1" s="6"/>
      <c r="BH1" s="6"/>
      <c r="BI1" s="6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</row>
    <row r="2" spans="1:88" ht="13.5" customHeight="1" thickBot="1">
      <c r="A2" s="8">
        <v>2026</v>
      </c>
      <c r="B2" s="9">
        <v>1</v>
      </c>
      <c r="C2" s="10"/>
      <c r="D2" s="11"/>
      <c r="E2" s="11"/>
      <c r="F2" s="11"/>
      <c r="G2" s="11"/>
      <c r="H2" s="11"/>
      <c r="I2" s="11"/>
      <c r="J2" s="11"/>
      <c r="K2" s="11"/>
      <c r="L2" s="4"/>
      <c r="M2" s="12"/>
      <c r="N2" s="12"/>
      <c r="O2" s="12"/>
      <c r="P2" s="12"/>
      <c r="Q2" s="12"/>
      <c r="R2" s="12"/>
      <c r="S2" s="5"/>
      <c r="T2" s="11"/>
      <c r="U2" s="11"/>
      <c r="V2" s="11"/>
      <c r="W2" s="11"/>
      <c r="X2" s="11"/>
      <c r="Y2" s="11"/>
      <c r="Z2" s="4"/>
      <c r="AA2" s="4"/>
      <c r="AB2" s="4"/>
      <c r="AC2" s="4"/>
      <c r="AD2" s="4"/>
      <c r="AE2" s="4"/>
      <c r="AF2" s="5"/>
      <c r="AG2" s="11"/>
      <c r="AH2" s="11"/>
      <c r="AI2" s="11"/>
      <c r="AJ2" s="11"/>
      <c r="AK2" s="11"/>
      <c r="AL2" s="11"/>
      <c r="AM2" s="4"/>
      <c r="AN2" s="4"/>
      <c r="AO2" s="10"/>
      <c r="AP2" s="4"/>
      <c r="AQ2" s="10"/>
      <c r="AR2" s="4"/>
      <c r="AS2" s="4"/>
      <c r="AT2" s="4"/>
      <c r="AU2" s="4"/>
      <c r="AV2" s="4"/>
      <c r="AW2" s="4" t="s">
        <v>1</v>
      </c>
      <c r="AX2" s="4"/>
      <c r="AY2" s="4"/>
      <c r="AZ2" s="4"/>
      <c r="BA2" s="4"/>
      <c r="BB2" s="4"/>
      <c r="BC2" s="4"/>
      <c r="BD2" s="4"/>
      <c r="BE2" s="4"/>
      <c r="BF2" s="6"/>
      <c r="BG2" s="6"/>
      <c r="BH2" s="6"/>
      <c r="BI2" s="6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4"/>
      <c r="CD2" s="11"/>
      <c r="CE2" s="11"/>
      <c r="CF2" s="11"/>
      <c r="CG2" s="11"/>
      <c r="CH2" s="11"/>
      <c r="CI2" s="11"/>
      <c r="CJ2" s="4"/>
    </row>
    <row r="3" spans="1:88" ht="33" customHeight="1" thickBot="1">
      <c r="A3" s="13"/>
      <c r="B3" s="14" t="s">
        <v>2</v>
      </c>
      <c r="C3" s="15"/>
      <c r="D3" s="16" t="s">
        <v>3</v>
      </c>
      <c r="E3" s="17"/>
      <c r="F3" s="17"/>
      <c r="G3" s="17"/>
      <c r="H3" s="17"/>
      <c r="I3" s="17"/>
      <c r="J3" s="17"/>
      <c r="K3" s="17"/>
      <c r="L3" s="18" t="s">
        <v>4</v>
      </c>
      <c r="M3" s="18"/>
      <c r="N3" s="18"/>
      <c r="O3" s="18"/>
      <c r="P3" s="18"/>
      <c r="Q3" s="18"/>
      <c r="R3" s="18"/>
      <c r="S3" s="19"/>
      <c r="T3" s="20" t="s">
        <v>5</v>
      </c>
      <c r="U3" s="21"/>
      <c r="V3" s="21"/>
      <c r="W3" s="21"/>
      <c r="X3" s="21"/>
      <c r="Y3" s="21"/>
      <c r="Z3" s="21"/>
      <c r="AA3" s="22" t="s">
        <v>6</v>
      </c>
      <c r="AB3" s="23"/>
      <c r="AC3" s="23"/>
      <c r="AD3" s="23"/>
      <c r="AE3" s="24"/>
      <c r="AF3" s="318" t="s">
        <v>7</v>
      </c>
      <c r="AG3" s="319"/>
      <c r="AH3" s="319"/>
      <c r="AI3" s="319"/>
      <c r="AJ3" s="319"/>
      <c r="AK3" s="319"/>
      <c r="AL3" s="319"/>
      <c r="AM3" s="319"/>
      <c r="AN3" s="319"/>
      <c r="AO3" s="319"/>
      <c r="AP3" s="331"/>
      <c r="AQ3" s="331"/>
      <c r="AR3" s="22" t="s">
        <v>8</v>
      </c>
      <c r="AS3" s="23"/>
      <c r="AT3" s="23"/>
      <c r="AU3" s="23"/>
      <c r="AV3" s="25"/>
      <c r="AW3" s="26" t="s">
        <v>9</v>
      </c>
      <c r="AX3" s="27"/>
      <c r="AY3" s="27"/>
      <c r="AZ3" s="27"/>
      <c r="BA3" s="27"/>
      <c r="BB3" s="27"/>
      <c r="BC3" s="27"/>
      <c r="BD3" s="28"/>
      <c r="BE3" s="203"/>
      <c r="BF3" s="4"/>
      <c r="BG3" s="342"/>
      <c r="BH3" s="342"/>
      <c r="BI3" s="342"/>
      <c r="BL3" s="81" t="s">
        <v>87</v>
      </c>
      <c r="BO3" s="265" t="s">
        <v>3</v>
      </c>
      <c r="BP3" s="266"/>
      <c r="BQ3" s="266"/>
      <c r="BR3" s="266"/>
      <c r="BS3" s="266"/>
      <c r="BT3" s="266"/>
      <c r="BU3" s="266"/>
      <c r="BV3" s="266"/>
      <c r="BW3" s="267" t="s">
        <v>5</v>
      </c>
      <c r="BX3" s="268"/>
      <c r="BY3" s="268"/>
      <c r="BZ3" s="268"/>
      <c r="CA3" s="268"/>
      <c r="CB3" s="268"/>
      <c r="CC3" s="269"/>
      <c r="CD3" s="270" t="s">
        <v>82</v>
      </c>
      <c r="CE3" s="271"/>
      <c r="CF3" s="271"/>
      <c r="CG3" s="271"/>
      <c r="CH3" s="271"/>
      <c r="CI3" s="271"/>
      <c r="CJ3" s="272"/>
    </row>
    <row r="4" spans="1:88" ht="53.25" customHeight="1" thickBot="1">
      <c r="A4" s="13"/>
      <c r="B4" s="29"/>
      <c r="C4" s="30"/>
      <c r="D4" s="31" t="s">
        <v>10</v>
      </c>
      <c r="E4" s="32" t="s">
        <v>11</v>
      </c>
      <c r="F4" s="33" t="s">
        <v>12</v>
      </c>
      <c r="G4" s="31" t="s">
        <v>13</v>
      </c>
      <c r="H4" s="33" t="s">
        <v>14</v>
      </c>
      <c r="I4" s="34" t="s">
        <v>15</v>
      </c>
      <c r="J4" s="32" t="s">
        <v>16</v>
      </c>
      <c r="K4" s="33" t="s">
        <v>17</v>
      </c>
      <c r="L4" s="35" t="s">
        <v>18</v>
      </c>
      <c r="M4" s="36" t="s">
        <v>11</v>
      </c>
      <c r="N4" s="37" t="s">
        <v>19</v>
      </c>
      <c r="O4" s="38" t="s">
        <v>20</v>
      </c>
      <c r="P4" s="37" t="s">
        <v>21</v>
      </c>
      <c r="Q4" s="39" t="s">
        <v>22</v>
      </c>
      <c r="R4" s="40" t="s">
        <v>23</v>
      </c>
      <c r="S4" s="41" t="s">
        <v>17</v>
      </c>
      <c r="T4" s="42" t="s">
        <v>11</v>
      </c>
      <c r="U4" s="33" t="s">
        <v>12</v>
      </c>
      <c r="V4" s="31" t="s">
        <v>13</v>
      </c>
      <c r="W4" s="33" t="s">
        <v>14</v>
      </c>
      <c r="X4" s="34" t="s">
        <v>15</v>
      </c>
      <c r="Y4" s="32" t="s">
        <v>16</v>
      </c>
      <c r="Z4" s="43" t="s">
        <v>17</v>
      </c>
      <c r="AA4" s="44" t="s">
        <v>24</v>
      </c>
      <c r="AB4" s="45" t="s">
        <v>19</v>
      </c>
      <c r="AC4" s="45" t="s">
        <v>21</v>
      </c>
      <c r="AD4" s="46" t="s">
        <v>25</v>
      </c>
      <c r="AE4" s="41" t="s">
        <v>17</v>
      </c>
      <c r="AF4" s="47" t="s">
        <v>18</v>
      </c>
      <c r="AG4" s="48" t="s">
        <v>11</v>
      </c>
      <c r="AH4" s="33" t="s">
        <v>19</v>
      </c>
      <c r="AI4" s="31" t="s">
        <v>20</v>
      </c>
      <c r="AJ4" s="33" t="s">
        <v>21</v>
      </c>
      <c r="AK4" s="34" t="s">
        <v>22</v>
      </c>
      <c r="AL4" s="42" t="s">
        <v>23</v>
      </c>
      <c r="AM4" s="34" t="s">
        <v>17</v>
      </c>
      <c r="AN4" s="343" t="s">
        <v>83</v>
      </c>
      <c r="AO4" s="344"/>
      <c r="AP4" s="345" t="s">
        <v>85</v>
      </c>
      <c r="AQ4" s="346"/>
      <c r="AR4" s="44" t="s">
        <v>24</v>
      </c>
      <c r="AS4" s="45" t="s">
        <v>19</v>
      </c>
      <c r="AT4" s="45" t="s">
        <v>21</v>
      </c>
      <c r="AU4" s="46" t="s">
        <v>25</v>
      </c>
      <c r="AV4" s="45" t="s">
        <v>26</v>
      </c>
      <c r="AW4" s="33" t="s">
        <v>27</v>
      </c>
      <c r="AX4" s="33" t="s">
        <v>28</v>
      </c>
      <c r="AY4" s="33" t="s">
        <v>29</v>
      </c>
      <c r="AZ4" s="33" t="s">
        <v>88</v>
      </c>
      <c r="BA4" s="33" t="s">
        <v>31</v>
      </c>
      <c r="BB4" s="33" t="s">
        <v>32</v>
      </c>
      <c r="BC4" s="33" t="s">
        <v>33</v>
      </c>
      <c r="BD4" s="49" t="s">
        <v>89</v>
      </c>
      <c r="BE4" s="6" t="s">
        <v>90</v>
      </c>
      <c r="BF4" s="4"/>
      <c r="BG4" s="4" t="s">
        <v>91</v>
      </c>
      <c r="BH4" s="4" t="s">
        <v>92</v>
      </c>
      <c r="BI4" s="4" t="s">
        <v>93</v>
      </c>
      <c r="BJ4" s="347" t="s">
        <v>94</v>
      </c>
      <c r="BK4" s="6" t="s">
        <v>95</v>
      </c>
      <c r="BL4" s="348" t="s">
        <v>96</v>
      </c>
      <c r="BM4" s="347" t="s">
        <v>97</v>
      </c>
      <c r="BO4" s="273" t="s">
        <v>10</v>
      </c>
      <c r="BP4" s="274" t="s">
        <v>11</v>
      </c>
      <c r="BQ4" s="45" t="s">
        <v>12</v>
      </c>
      <c r="BR4" s="275" t="s">
        <v>13</v>
      </c>
      <c r="BS4" s="45" t="s">
        <v>14</v>
      </c>
      <c r="BT4" s="46" t="s">
        <v>15</v>
      </c>
      <c r="BU4" s="274" t="s">
        <v>16</v>
      </c>
      <c r="BV4" s="46" t="s">
        <v>17</v>
      </c>
      <c r="BW4" s="276" t="s">
        <v>11</v>
      </c>
      <c r="BX4" s="45" t="s">
        <v>12</v>
      </c>
      <c r="BY4" s="275" t="s">
        <v>13</v>
      </c>
      <c r="BZ4" s="45" t="s">
        <v>14</v>
      </c>
      <c r="CA4" s="46" t="s">
        <v>15</v>
      </c>
      <c r="CB4" s="277" t="s">
        <v>16</v>
      </c>
      <c r="CC4" s="278" t="s">
        <v>17</v>
      </c>
      <c r="CD4" s="279" t="s">
        <v>11</v>
      </c>
      <c r="CE4" s="45" t="s">
        <v>12</v>
      </c>
      <c r="CF4" s="275" t="s">
        <v>13</v>
      </c>
      <c r="CG4" s="45" t="s">
        <v>14</v>
      </c>
      <c r="CH4" s="46" t="s">
        <v>15</v>
      </c>
      <c r="CI4" s="280" t="s">
        <v>16</v>
      </c>
      <c r="CJ4" s="281" t="s">
        <v>17</v>
      </c>
    </row>
    <row r="5" spans="1:88" s="81" customFormat="1" ht="13.5" customHeight="1" thickTop="1">
      <c r="A5" s="50"/>
      <c r="B5" s="282">
        <f>DATE($A$2,$B$2,1)</f>
        <v>46023</v>
      </c>
      <c r="C5" s="51"/>
      <c r="D5" s="52"/>
      <c r="E5" s="53"/>
      <c r="F5" s="54"/>
      <c r="G5" s="55" t="e">
        <f t="shared" ref="G5:G35" si="0">ROUNDDOWN(F5/1.1,0)/E5</f>
        <v>#DIV/0!</v>
      </c>
      <c r="H5" s="54"/>
      <c r="I5" s="56" t="e">
        <f t="shared" ref="I5:I35" si="1">ROUNDDOWN(H5/1.1,0)/E5</f>
        <v>#DIV/0!</v>
      </c>
      <c r="J5" s="57">
        <f t="shared" ref="J5:J35" si="2">F5+H5</f>
        <v>0</v>
      </c>
      <c r="K5" s="58" t="str">
        <f t="shared" ref="K5:K35" si="3">IF(E5="","",J5/E5)</f>
        <v/>
      </c>
      <c r="L5" s="59"/>
      <c r="M5" s="60"/>
      <c r="N5" s="61"/>
      <c r="O5" s="62" t="e">
        <f t="shared" ref="O5:O36" si="4">N5/M5</f>
        <v>#DIV/0!</v>
      </c>
      <c r="P5" s="61"/>
      <c r="Q5" s="63" t="e">
        <f t="shared" ref="Q5:Q36" si="5">P5/M5</f>
        <v>#DIV/0!</v>
      </c>
      <c r="R5" s="64">
        <f t="shared" ref="R5" si="6">N5+P5</f>
        <v>0</v>
      </c>
      <c r="S5" s="65" t="str">
        <f t="shared" ref="S5:S35" si="7">IF(M5="","",R5/M5)</f>
        <v/>
      </c>
      <c r="T5" s="66">
        <f>AW5-M5-E5</f>
        <v>0</v>
      </c>
      <c r="U5" s="67">
        <f>AX5-(F5+N5)</f>
        <v>0</v>
      </c>
      <c r="V5" s="55" t="e">
        <f t="shared" ref="V5:V35" si="8">ROUNDDOWN(U5/1.1,0)/T5</f>
        <v>#DIV/0!</v>
      </c>
      <c r="W5" s="67">
        <f>AY5-H5-P5</f>
        <v>0</v>
      </c>
      <c r="X5" s="56" t="e">
        <f t="shared" ref="X5:X35" si="9">ROUNDDOWN(W5/1.1,0)/T5</f>
        <v>#DIV/0!</v>
      </c>
      <c r="Y5" s="68">
        <f>U5+W5</f>
        <v>0</v>
      </c>
      <c r="Z5" s="69" t="e">
        <f t="shared" ref="Z5:Z35" si="10">IF(T5="","",Y5/T5)</f>
        <v>#DIV/0!</v>
      </c>
      <c r="AA5" s="70">
        <f>E5+T5+M5</f>
        <v>0</v>
      </c>
      <c r="AB5" s="67">
        <f>F5+U5+N5</f>
        <v>0</v>
      </c>
      <c r="AC5" s="67">
        <f>H5+W5+P5</f>
        <v>0</v>
      </c>
      <c r="AD5" s="71">
        <f t="shared" ref="AD5" si="11">J5+Y5</f>
        <v>0</v>
      </c>
      <c r="AE5" s="67" t="e">
        <f>IF(AA5="","",AD5/AA5)</f>
        <v>#DIV/0!</v>
      </c>
      <c r="AF5" s="72"/>
      <c r="AG5" s="73"/>
      <c r="AH5" s="54"/>
      <c r="AI5" s="55" t="e">
        <f t="shared" ref="AI5:AI35" si="12">AH5/AG5</f>
        <v>#DIV/0!</v>
      </c>
      <c r="AJ5" s="54"/>
      <c r="AK5" s="56" t="e">
        <f t="shared" ref="AK5:AK35" si="13">AJ5/AG5</f>
        <v>#DIV/0!</v>
      </c>
      <c r="AL5" s="74">
        <f>AH5+AJ5</f>
        <v>0</v>
      </c>
      <c r="AM5" s="75" t="str">
        <f t="shared" ref="AM5:AM35" si="14">IF(AG5="","",AL5/AG5)</f>
        <v/>
      </c>
      <c r="AN5" s="321"/>
      <c r="AO5" s="322"/>
      <c r="AP5" s="321"/>
      <c r="AQ5" s="322"/>
      <c r="AR5" s="70">
        <f>SUM(E5,T5,M5)</f>
        <v>0</v>
      </c>
      <c r="AS5" s="67">
        <f>AB5+AH5</f>
        <v>0</v>
      </c>
      <c r="AT5" s="67">
        <f t="shared" ref="AT5:AT35" si="15">AC5+AJ5</f>
        <v>0</v>
      </c>
      <c r="AU5" s="76">
        <f>AD5+AL5</f>
        <v>0</v>
      </c>
      <c r="AV5" s="67">
        <f>AZ5+BA5+BB5</f>
        <v>0</v>
      </c>
      <c r="AW5" s="67"/>
      <c r="AX5" s="67"/>
      <c r="AY5" s="67"/>
      <c r="AZ5" s="77"/>
      <c r="BA5" s="77"/>
      <c r="BB5" s="77"/>
      <c r="BC5" s="77"/>
      <c r="BD5" s="78">
        <f>SUM(AX5:BB5)</f>
        <v>0</v>
      </c>
      <c r="BE5" s="79">
        <f>BC5+BD5</f>
        <v>0</v>
      </c>
      <c r="BF5" s="50">
        <v>1</v>
      </c>
      <c r="BG5" s="50"/>
      <c r="BH5" s="50"/>
      <c r="BI5" s="79">
        <f>BD5-BG5-BH5</f>
        <v>0</v>
      </c>
      <c r="BK5" s="80">
        <f>BE5-BG5-BH5</f>
        <v>0</v>
      </c>
      <c r="BO5" s="283">
        <f>D5</f>
        <v>0</v>
      </c>
      <c r="BP5" s="53">
        <f>E5</f>
        <v>0</v>
      </c>
      <c r="BQ5" s="67">
        <f>F5</f>
        <v>0</v>
      </c>
      <c r="BR5" s="55" t="e">
        <f t="shared" ref="BR5:BR35" si="16">ROUNDDOWN(BQ5/1.1,0)/BP5</f>
        <v>#DIV/0!</v>
      </c>
      <c r="BS5" s="67">
        <f>H5</f>
        <v>0</v>
      </c>
      <c r="BT5" s="56" t="e">
        <f t="shared" ref="BT5:BT35" si="17">ROUNDDOWN(BS5/1.1,0)/BP5</f>
        <v>#DIV/0!</v>
      </c>
      <c r="BU5" s="57">
        <f>BQ5+BS5</f>
        <v>0</v>
      </c>
      <c r="BV5" s="58" t="e">
        <f t="shared" ref="BV5:BV35" si="18">IF(BP5="","",BU5/BP5)</f>
        <v>#DIV/0!</v>
      </c>
      <c r="BW5" s="284">
        <f>T5</f>
        <v>0</v>
      </c>
      <c r="BX5" s="67">
        <f>U5</f>
        <v>0</v>
      </c>
      <c r="BY5" s="55" t="e">
        <f t="shared" ref="BY5:BY35" si="19">ROUNDDOWN(BX5/1.1,0)/BW5</f>
        <v>#DIV/0!</v>
      </c>
      <c r="BZ5" s="67">
        <f>W5</f>
        <v>0</v>
      </c>
      <c r="CA5" s="56" t="e">
        <f t="shared" ref="CA5:CA35" si="20">ROUNDDOWN(BZ5/1.1,0)/BW5</f>
        <v>#DIV/0!</v>
      </c>
      <c r="CB5" s="285">
        <f>BX5+BZ5</f>
        <v>0</v>
      </c>
      <c r="CC5" s="286" t="e">
        <v>#DIV/0!</v>
      </c>
      <c r="CD5" s="287">
        <f>BP5+BW5</f>
        <v>0</v>
      </c>
      <c r="CE5" s="67">
        <f>BQ5+BX5</f>
        <v>0</v>
      </c>
      <c r="CF5" s="56" t="e">
        <f>ROUNDDOWN(CE5/1.1,0)/CD5</f>
        <v>#DIV/0!</v>
      </c>
      <c r="CG5" s="67">
        <f>BS5+BZ5</f>
        <v>0</v>
      </c>
      <c r="CH5" s="56" t="e">
        <f>ROUNDDOWN(CG5/1.1,0)/CD5</f>
        <v>#DIV/0!</v>
      </c>
      <c r="CI5" s="288">
        <f>CE5+CG5</f>
        <v>0</v>
      </c>
      <c r="CJ5" s="289" t="e">
        <f>IF(CD5="","",CI5/CD5)</f>
        <v>#DIV/0!</v>
      </c>
    </row>
    <row r="6" spans="1:88" ht="13.5" customHeight="1">
      <c r="A6" s="50"/>
      <c r="B6" s="320">
        <f t="shared" ref="B6:B35" si="21">B5+1</f>
        <v>46024</v>
      </c>
      <c r="C6" s="82"/>
      <c r="D6" s="52"/>
      <c r="E6" s="53"/>
      <c r="F6" s="54"/>
      <c r="G6" s="55" t="e">
        <f t="shared" si="0"/>
        <v>#DIV/0!</v>
      </c>
      <c r="H6" s="54"/>
      <c r="I6" s="56" t="e">
        <f t="shared" si="1"/>
        <v>#DIV/0!</v>
      </c>
      <c r="J6" s="57">
        <f t="shared" si="2"/>
        <v>0</v>
      </c>
      <c r="K6" s="58" t="str">
        <f t="shared" si="3"/>
        <v/>
      </c>
      <c r="L6" s="83"/>
      <c r="M6" s="84"/>
      <c r="N6" s="85"/>
      <c r="O6" s="86" t="e">
        <f t="shared" si="4"/>
        <v>#DIV/0!</v>
      </c>
      <c r="P6" s="85"/>
      <c r="Q6" s="87" t="e">
        <f t="shared" si="5"/>
        <v>#DIV/0!</v>
      </c>
      <c r="R6" s="88">
        <f>N6+P6</f>
        <v>0</v>
      </c>
      <c r="S6" s="89" t="str">
        <f t="shared" si="7"/>
        <v/>
      </c>
      <c r="T6" s="66">
        <f t="shared" ref="T6:T35" si="22">AW6-M6-E6</f>
        <v>11</v>
      </c>
      <c r="U6" s="67">
        <f t="shared" ref="U6:U35" si="23">AX6-(F6+N6)</f>
        <v>154440</v>
      </c>
      <c r="V6" s="55">
        <f t="shared" si="8"/>
        <v>12763.636363636364</v>
      </c>
      <c r="W6" s="67">
        <f t="shared" ref="W6:W35" si="24">AY6-H6-P6</f>
        <v>41030</v>
      </c>
      <c r="X6" s="56">
        <f t="shared" si="9"/>
        <v>3390.909090909091</v>
      </c>
      <c r="Y6" s="90">
        <f t="shared" ref="Y6:Y35" si="25">U6+W6</f>
        <v>195470</v>
      </c>
      <c r="Z6" s="69">
        <f t="shared" si="10"/>
        <v>17770</v>
      </c>
      <c r="AA6" s="70">
        <f t="shared" ref="AA6:AB35" si="26">E6+T6+M6</f>
        <v>11</v>
      </c>
      <c r="AB6" s="67">
        <f t="shared" si="26"/>
        <v>154440</v>
      </c>
      <c r="AC6" s="67">
        <f t="shared" ref="AC6:AC35" si="27">H6+W6+P6</f>
        <v>41030</v>
      </c>
      <c r="AD6" s="71">
        <f>J6+Y6+R6</f>
        <v>195470</v>
      </c>
      <c r="AE6" s="67">
        <f t="shared" ref="AE6:AE35" si="28">IF(AA6="","",AD6/AA6)</f>
        <v>17770</v>
      </c>
      <c r="AF6" s="72">
        <v>133</v>
      </c>
      <c r="AG6" s="73">
        <v>154</v>
      </c>
      <c r="AH6" s="54">
        <v>177450</v>
      </c>
      <c r="AI6" s="55">
        <f t="shared" si="12"/>
        <v>1152.2727272727273</v>
      </c>
      <c r="AJ6" s="54">
        <v>36400</v>
      </c>
      <c r="AK6" s="56">
        <f t="shared" si="13"/>
        <v>236.36363636363637</v>
      </c>
      <c r="AL6" s="91">
        <f t="shared" ref="AL6:AL35" si="29">AH6+AJ6</f>
        <v>213850</v>
      </c>
      <c r="AM6" s="75">
        <f t="shared" si="14"/>
        <v>1388.6363636363637</v>
      </c>
      <c r="AN6" s="324">
        <v>0</v>
      </c>
      <c r="AO6" s="322">
        <v>0</v>
      </c>
      <c r="AP6" s="324">
        <v>0</v>
      </c>
      <c r="AQ6" s="322">
        <v>0</v>
      </c>
      <c r="AR6" s="70">
        <f t="shared" ref="AR6:AR35" si="30">SUM(E6,T6)</f>
        <v>11</v>
      </c>
      <c r="AS6" s="67">
        <f t="shared" ref="AS6:AS35" si="31">AB6+AH6</f>
        <v>331890</v>
      </c>
      <c r="AT6" s="67">
        <f t="shared" si="15"/>
        <v>77430</v>
      </c>
      <c r="AU6" s="76">
        <f t="shared" ref="AU6:AU35" si="32">AD6+AL6</f>
        <v>409320</v>
      </c>
      <c r="AV6" s="67">
        <f>AZ6+BA6+BB6</f>
        <v>0</v>
      </c>
      <c r="AW6" s="92">
        <v>11</v>
      </c>
      <c r="AX6" s="92">
        <v>154440</v>
      </c>
      <c r="AY6" s="92">
        <v>41030</v>
      </c>
      <c r="AZ6" s="93">
        <v>0</v>
      </c>
      <c r="BA6" s="93">
        <v>0</v>
      </c>
      <c r="BB6" s="93">
        <v>0</v>
      </c>
      <c r="BC6" s="93">
        <v>25500</v>
      </c>
      <c r="BD6" s="94">
        <f t="shared" ref="BD6:BD31" si="33">SUM(AX6:BB6)</f>
        <v>195470</v>
      </c>
      <c r="BE6" s="79">
        <f t="shared" ref="BE6:BE35" si="34">BC6+BD6</f>
        <v>220970</v>
      </c>
      <c r="BF6" s="50">
        <v>2</v>
      </c>
      <c r="BG6" s="50"/>
      <c r="BH6" s="50"/>
      <c r="BI6" s="79">
        <f t="shared" ref="BI6:BI35" si="35">BD6-BG6-BH6</f>
        <v>195470</v>
      </c>
      <c r="BK6" s="80">
        <f t="shared" ref="BK6:BK35" si="36">BE6-BG6-BH6</f>
        <v>220970</v>
      </c>
      <c r="BL6" s="349">
        <f t="shared" ref="BL6:BL35" si="37">BD6+AL6-BG6-BH6</f>
        <v>409320</v>
      </c>
      <c r="BO6" s="283">
        <f t="shared" ref="BO6:BQ35" si="38">D6</f>
        <v>0</v>
      </c>
      <c r="BP6" s="53">
        <f t="shared" si="38"/>
        <v>0</v>
      </c>
      <c r="BQ6" s="67">
        <f t="shared" si="38"/>
        <v>0</v>
      </c>
      <c r="BR6" s="55" t="e">
        <f t="shared" si="16"/>
        <v>#DIV/0!</v>
      </c>
      <c r="BS6" s="67">
        <f t="shared" ref="BS6:BS35" si="39">H6</f>
        <v>0</v>
      </c>
      <c r="BT6" s="56" t="e">
        <f t="shared" si="17"/>
        <v>#DIV/0!</v>
      </c>
      <c r="BU6" s="57">
        <f t="shared" ref="BU6:BU35" si="40">BQ6+BS6</f>
        <v>0</v>
      </c>
      <c r="BV6" s="58" t="e">
        <f t="shared" si="18"/>
        <v>#DIV/0!</v>
      </c>
      <c r="BW6" s="284">
        <f t="shared" ref="BW6:BX35" si="41">T6</f>
        <v>11</v>
      </c>
      <c r="BX6" s="67">
        <f t="shared" si="41"/>
        <v>154440</v>
      </c>
      <c r="BY6" s="55">
        <f t="shared" si="19"/>
        <v>12763.636363636364</v>
      </c>
      <c r="BZ6" s="67">
        <f t="shared" ref="BZ6:BZ35" si="42">W6</f>
        <v>41030</v>
      </c>
      <c r="CA6" s="56">
        <f t="shared" si="20"/>
        <v>3390.909090909091</v>
      </c>
      <c r="CB6" s="285">
        <f t="shared" ref="CB6:CB35" si="43">BX6+BZ6</f>
        <v>195470</v>
      </c>
      <c r="CC6" s="286" t="e">
        <v>#DIV/0!</v>
      </c>
      <c r="CD6" s="287">
        <f t="shared" ref="CD6:CE35" si="44">BP6+BW6</f>
        <v>11</v>
      </c>
      <c r="CE6" s="67">
        <f t="shared" si="44"/>
        <v>154440</v>
      </c>
      <c r="CF6" s="56">
        <f t="shared" ref="CF6:CF35" si="45">ROUNDDOWN(CE6/1.1,0)/CD6</f>
        <v>12763.636363636364</v>
      </c>
      <c r="CG6" s="67">
        <f t="shared" ref="CG6:CG35" si="46">BS6+BZ6</f>
        <v>41030</v>
      </c>
      <c r="CH6" s="56">
        <f t="shared" ref="CH6:CH35" si="47">ROUNDDOWN(CG6/1.1,0)/CD6</f>
        <v>3390.909090909091</v>
      </c>
      <c r="CI6" s="288">
        <f t="shared" ref="CI6:CI35" si="48">CE6+CG6</f>
        <v>195470</v>
      </c>
      <c r="CJ6" s="289">
        <f t="shared" ref="CJ6:CJ35" si="49">IF(CD6="","",CI6/CD6)</f>
        <v>17770</v>
      </c>
    </row>
    <row r="7" spans="1:88" ht="13.5" customHeight="1">
      <c r="A7" s="50"/>
      <c r="B7" s="332">
        <f t="shared" si="21"/>
        <v>46025</v>
      </c>
      <c r="C7" s="82"/>
      <c r="D7" s="52">
        <v>7</v>
      </c>
      <c r="E7" s="53">
        <v>16</v>
      </c>
      <c r="F7" s="54">
        <v>107800</v>
      </c>
      <c r="G7" s="55">
        <f t="shared" si="0"/>
        <v>6125</v>
      </c>
      <c r="H7" s="54">
        <v>42350</v>
      </c>
      <c r="I7" s="56">
        <f t="shared" si="1"/>
        <v>2406.25</v>
      </c>
      <c r="J7" s="57">
        <f t="shared" si="2"/>
        <v>150150</v>
      </c>
      <c r="K7" s="58">
        <f>IF(E7="","",J7/E7)</f>
        <v>9384.375</v>
      </c>
      <c r="L7" s="83">
        <v>2</v>
      </c>
      <c r="M7" s="84">
        <v>4</v>
      </c>
      <c r="N7" s="85">
        <v>15400</v>
      </c>
      <c r="O7" s="86">
        <f t="shared" si="4"/>
        <v>3850</v>
      </c>
      <c r="P7" s="85">
        <v>3300</v>
      </c>
      <c r="Q7" s="87">
        <f t="shared" si="5"/>
        <v>825</v>
      </c>
      <c r="R7" s="88">
        <f t="shared" ref="R7:R35" si="50">N7+P7</f>
        <v>18700</v>
      </c>
      <c r="S7" s="89">
        <f t="shared" si="7"/>
        <v>4675</v>
      </c>
      <c r="T7" s="66">
        <f t="shared" si="22"/>
        <v>12</v>
      </c>
      <c r="U7" s="67">
        <f t="shared" si="23"/>
        <v>135540</v>
      </c>
      <c r="V7" s="55">
        <f t="shared" si="8"/>
        <v>10268.166666666666</v>
      </c>
      <c r="W7" s="67">
        <f t="shared" si="24"/>
        <v>32840</v>
      </c>
      <c r="X7" s="56">
        <f t="shared" si="9"/>
        <v>2487.8333333333335</v>
      </c>
      <c r="Y7" s="90">
        <f t="shared" si="25"/>
        <v>168380</v>
      </c>
      <c r="Z7" s="69">
        <f t="shared" si="10"/>
        <v>14031.666666666666</v>
      </c>
      <c r="AA7" s="70">
        <f t="shared" si="26"/>
        <v>32</v>
      </c>
      <c r="AB7" s="67">
        <f t="shared" si="26"/>
        <v>258740</v>
      </c>
      <c r="AC7" s="67">
        <f t="shared" si="27"/>
        <v>78490</v>
      </c>
      <c r="AD7" s="71">
        <f t="shared" ref="AD7:AD34" si="51">J7+Y7+R7</f>
        <v>337230</v>
      </c>
      <c r="AE7" s="67">
        <f t="shared" si="28"/>
        <v>10538.4375</v>
      </c>
      <c r="AF7" s="72">
        <v>108</v>
      </c>
      <c r="AG7" s="73">
        <v>115</v>
      </c>
      <c r="AH7" s="54">
        <v>153910</v>
      </c>
      <c r="AI7" s="55">
        <f t="shared" si="12"/>
        <v>1338.3478260869565</v>
      </c>
      <c r="AJ7" s="54">
        <v>21150</v>
      </c>
      <c r="AK7" s="56">
        <f t="shared" si="13"/>
        <v>183.91304347826087</v>
      </c>
      <c r="AL7" s="91">
        <f t="shared" si="29"/>
        <v>175060</v>
      </c>
      <c r="AM7" s="75">
        <f t="shared" si="14"/>
        <v>1522.2608695652175</v>
      </c>
      <c r="AN7" s="324">
        <v>0</v>
      </c>
      <c r="AO7" s="322">
        <v>0</v>
      </c>
      <c r="AP7" s="324">
        <v>0</v>
      </c>
      <c r="AQ7" s="322">
        <v>0</v>
      </c>
      <c r="AR7" s="70">
        <f t="shared" si="30"/>
        <v>28</v>
      </c>
      <c r="AS7" s="67">
        <f t="shared" si="31"/>
        <v>412650</v>
      </c>
      <c r="AT7" s="67">
        <f t="shared" si="15"/>
        <v>99640</v>
      </c>
      <c r="AU7" s="76">
        <f t="shared" si="32"/>
        <v>512290</v>
      </c>
      <c r="AV7" s="67">
        <f t="shared" ref="AV7:AV35" si="52">AZ7+BA7+BB7</f>
        <v>0</v>
      </c>
      <c r="AW7" s="92">
        <v>32</v>
      </c>
      <c r="AX7" s="92">
        <v>258740</v>
      </c>
      <c r="AY7" s="92">
        <v>78490</v>
      </c>
      <c r="AZ7" s="93">
        <v>0</v>
      </c>
      <c r="BA7" s="93">
        <v>0</v>
      </c>
      <c r="BB7" s="93">
        <v>0</v>
      </c>
      <c r="BC7" s="93">
        <v>53300</v>
      </c>
      <c r="BD7" s="94">
        <f t="shared" si="33"/>
        <v>337230</v>
      </c>
      <c r="BE7" s="79">
        <f t="shared" si="34"/>
        <v>390530</v>
      </c>
      <c r="BF7" s="50">
        <v>3</v>
      </c>
      <c r="BG7" s="50"/>
      <c r="BH7" s="50"/>
      <c r="BI7" s="79">
        <f t="shared" si="35"/>
        <v>337230</v>
      </c>
      <c r="BK7" s="80">
        <f t="shared" si="36"/>
        <v>390530</v>
      </c>
      <c r="BL7" s="349">
        <f t="shared" si="37"/>
        <v>512290</v>
      </c>
      <c r="BO7" s="283">
        <f t="shared" si="38"/>
        <v>7</v>
      </c>
      <c r="BP7" s="53">
        <f t="shared" si="38"/>
        <v>16</v>
      </c>
      <c r="BQ7" s="67">
        <f t="shared" si="38"/>
        <v>107800</v>
      </c>
      <c r="BR7" s="55">
        <f t="shared" si="16"/>
        <v>6125</v>
      </c>
      <c r="BS7" s="67">
        <f t="shared" si="39"/>
        <v>42350</v>
      </c>
      <c r="BT7" s="56">
        <f t="shared" si="17"/>
        <v>2406.25</v>
      </c>
      <c r="BU7" s="57">
        <f t="shared" si="40"/>
        <v>150150</v>
      </c>
      <c r="BV7" s="58">
        <f t="shared" si="18"/>
        <v>9384.375</v>
      </c>
      <c r="BW7" s="284">
        <f t="shared" si="41"/>
        <v>12</v>
      </c>
      <c r="BX7" s="67">
        <f t="shared" si="41"/>
        <v>135540</v>
      </c>
      <c r="BY7" s="55">
        <f t="shared" si="19"/>
        <v>10268.166666666666</v>
      </c>
      <c r="BZ7" s="67">
        <f t="shared" si="42"/>
        <v>32840</v>
      </c>
      <c r="CA7" s="56">
        <f t="shared" si="20"/>
        <v>2487.8333333333335</v>
      </c>
      <c r="CB7" s="285">
        <f t="shared" si="43"/>
        <v>168380</v>
      </c>
      <c r="CC7" s="286" t="e">
        <v>#DIV/0!</v>
      </c>
      <c r="CD7" s="287">
        <f>BP7+BW7</f>
        <v>28</v>
      </c>
      <c r="CE7" s="67">
        <f t="shared" si="44"/>
        <v>243340</v>
      </c>
      <c r="CF7" s="56">
        <f t="shared" si="45"/>
        <v>7900.6428571428569</v>
      </c>
      <c r="CG7" s="67">
        <f t="shared" si="46"/>
        <v>75190</v>
      </c>
      <c r="CH7" s="56">
        <f t="shared" si="47"/>
        <v>2441.2142857142858</v>
      </c>
      <c r="CI7" s="288">
        <f t="shared" si="48"/>
        <v>318530</v>
      </c>
      <c r="CJ7" s="289">
        <f t="shared" si="49"/>
        <v>11376.071428571429</v>
      </c>
    </row>
    <row r="8" spans="1:88" ht="13.5" customHeight="1">
      <c r="A8" s="50"/>
      <c r="B8" s="95">
        <f t="shared" si="21"/>
        <v>46026</v>
      </c>
      <c r="C8" s="82"/>
      <c r="D8" s="52">
        <v>6</v>
      </c>
      <c r="E8" s="53">
        <v>14</v>
      </c>
      <c r="F8" s="54">
        <v>78000</v>
      </c>
      <c r="G8" s="55">
        <f t="shared" si="0"/>
        <v>5064.9285714285716</v>
      </c>
      <c r="H8" s="54">
        <v>40700</v>
      </c>
      <c r="I8" s="56">
        <f t="shared" si="1"/>
        <v>2642.8571428571427</v>
      </c>
      <c r="J8" s="57">
        <f t="shared" si="2"/>
        <v>118700</v>
      </c>
      <c r="K8" s="58">
        <f t="shared" si="3"/>
        <v>8478.5714285714294</v>
      </c>
      <c r="L8" s="83">
        <v>1</v>
      </c>
      <c r="M8" s="84">
        <v>2</v>
      </c>
      <c r="N8" s="85">
        <v>7700</v>
      </c>
      <c r="O8" s="86">
        <f t="shared" si="4"/>
        <v>3850</v>
      </c>
      <c r="P8" s="85">
        <v>3300</v>
      </c>
      <c r="Q8" s="87">
        <f t="shared" si="5"/>
        <v>1650</v>
      </c>
      <c r="R8" s="88">
        <f t="shared" si="50"/>
        <v>11000</v>
      </c>
      <c r="S8" s="89">
        <f t="shared" si="7"/>
        <v>5500</v>
      </c>
      <c r="T8" s="66">
        <f t="shared" si="22"/>
        <v>6</v>
      </c>
      <c r="U8" s="67">
        <f t="shared" si="23"/>
        <v>87120</v>
      </c>
      <c r="V8" s="55">
        <f t="shared" si="8"/>
        <v>13200</v>
      </c>
      <c r="W8" s="67">
        <f t="shared" si="24"/>
        <v>40810</v>
      </c>
      <c r="X8" s="56">
        <f t="shared" si="9"/>
        <v>6183.333333333333</v>
      </c>
      <c r="Y8" s="90">
        <f t="shared" si="25"/>
        <v>127930</v>
      </c>
      <c r="Z8" s="69">
        <f t="shared" si="10"/>
        <v>21321.666666666668</v>
      </c>
      <c r="AA8" s="70">
        <f t="shared" si="26"/>
        <v>22</v>
      </c>
      <c r="AB8" s="67">
        <f t="shared" si="26"/>
        <v>172820</v>
      </c>
      <c r="AC8" s="67">
        <f t="shared" si="27"/>
        <v>84810</v>
      </c>
      <c r="AD8" s="71">
        <f t="shared" si="51"/>
        <v>257630</v>
      </c>
      <c r="AE8" s="67">
        <f t="shared" si="28"/>
        <v>11710.454545454546</v>
      </c>
      <c r="AF8" s="72">
        <v>79</v>
      </c>
      <c r="AG8" s="73">
        <v>85</v>
      </c>
      <c r="AH8" s="54">
        <v>108050</v>
      </c>
      <c r="AI8" s="55">
        <f t="shared" si="12"/>
        <v>1271.1764705882354</v>
      </c>
      <c r="AJ8" s="54">
        <v>14600</v>
      </c>
      <c r="AK8" s="56">
        <f t="shared" si="13"/>
        <v>171.76470588235293</v>
      </c>
      <c r="AL8" s="91">
        <f t="shared" si="29"/>
        <v>122650</v>
      </c>
      <c r="AM8" s="75">
        <f t="shared" si="14"/>
        <v>1442.9411764705883</v>
      </c>
      <c r="AN8" s="324">
        <v>1</v>
      </c>
      <c r="AO8" s="322">
        <v>1</v>
      </c>
      <c r="AP8" s="324">
        <v>0</v>
      </c>
      <c r="AQ8" s="322">
        <v>0</v>
      </c>
      <c r="AR8" s="70">
        <f t="shared" si="30"/>
        <v>20</v>
      </c>
      <c r="AS8" s="67">
        <f t="shared" si="31"/>
        <v>280870</v>
      </c>
      <c r="AT8" s="67">
        <f t="shared" si="15"/>
        <v>99410</v>
      </c>
      <c r="AU8" s="96">
        <f t="shared" si="32"/>
        <v>380280</v>
      </c>
      <c r="AV8" s="67">
        <f t="shared" si="52"/>
        <v>0</v>
      </c>
      <c r="AW8" s="92">
        <v>22</v>
      </c>
      <c r="AX8" s="92">
        <v>172820</v>
      </c>
      <c r="AY8" s="92">
        <v>84810</v>
      </c>
      <c r="AZ8" s="93">
        <v>0</v>
      </c>
      <c r="BA8" s="93">
        <v>0</v>
      </c>
      <c r="BB8" s="93">
        <v>0</v>
      </c>
      <c r="BC8" s="93">
        <v>0</v>
      </c>
      <c r="BD8" s="94">
        <f t="shared" si="33"/>
        <v>257630</v>
      </c>
      <c r="BE8" s="79">
        <f t="shared" si="34"/>
        <v>257630</v>
      </c>
      <c r="BF8" s="50">
        <v>4</v>
      </c>
      <c r="BG8" s="50"/>
      <c r="BH8" s="50"/>
      <c r="BI8" s="79">
        <f t="shared" si="35"/>
        <v>257630</v>
      </c>
      <c r="BK8" s="80">
        <f t="shared" si="36"/>
        <v>257630</v>
      </c>
      <c r="BL8" s="349">
        <f t="shared" si="37"/>
        <v>380280</v>
      </c>
      <c r="BO8" s="283">
        <f t="shared" si="38"/>
        <v>6</v>
      </c>
      <c r="BP8" s="53">
        <f t="shared" si="38"/>
        <v>14</v>
      </c>
      <c r="BQ8" s="67">
        <f t="shared" si="38"/>
        <v>78000</v>
      </c>
      <c r="BR8" s="55">
        <f t="shared" si="16"/>
        <v>5064.9285714285716</v>
      </c>
      <c r="BS8" s="67">
        <f t="shared" si="39"/>
        <v>40700</v>
      </c>
      <c r="BT8" s="56">
        <f t="shared" si="17"/>
        <v>2642.8571428571427</v>
      </c>
      <c r="BU8" s="57">
        <f t="shared" si="40"/>
        <v>118700</v>
      </c>
      <c r="BV8" s="58">
        <f t="shared" si="18"/>
        <v>8478.5714285714294</v>
      </c>
      <c r="BW8" s="284">
        <f t="shared" si="41"/>
        <v>6</v>
      </c>
      <c r="BX8" s="67">
        <f t="shared" si="41"/>
        <v>87120</v>
      </c>
      <c r="BY8" s="55">
        <f t="shared" si="19"/>
        <v>13200</v>
      </c>
      <c r="BZ8" s="67">
        <f t="shared" si="42"/>
        <v>40810</v>
      </c>
      <c r="CA8" s="56">
        <f t="shared" si="20"/>
        <v>6183.333333333333</v>
      </c>
      <c r="CB8" s="285">
        <f t="shared" si="43"/>
        <v>127930</v>
      </c>
      <c r="CC8" s="286" t="e">
        <v>#DIV/0!</v>
      </c>
      <c r="CD8" s="287">
        <f t="shared" si="44"/>
        <v>20</v>
      </c>
      <c r="CE8" s="67">
        <f t="shared" si="44"/>
        <v>165120</v>
      </c>
      <c r="CF8" s="56">
        <f t="shared" si="45"/>
        <v>7505.45</v>
      </c>
      <c r="CG8" s="67">
        <f t="shared" si="46"/>
        <v>81510</v>
      </c>
      <c r="CH8" s="56">
        <f t="shared" si="47"/>
        <v>3705</v>
      </c>
      <c r="CI8" s="288">
        <f t="shared" si="48"/>
        <v>246630</v>
      </c>
      <c r="CJ8" s="289">
        <f t="shared" si="49"/>
        <v>12331.5</v>
      </c>
    </row>
    <row r="9" spans="1:88" ht="13.5" customHeight="1">
      <c r="A9" s="50"/>
      <c r="B9" s="320">
        <f t="shared" si="21"/>
        <v>46027</v>
      </c>
      <c r="C9" s="82"/>
      <c r="D9" s="52">
        <v>4</v>
      </c>
      <c r="E9" s="53">
        <v>11</v>
      </c>
      <c r="F9" s="54">
        <v>70400</v>
      </c>
      <c r="G9" s="55">
        <f t="shared" si="0"/>
        <v>5818.181818181818</v>
      </c>
      <c r="H9" s="54">
        <v>9680</v>
      </c>
      <c r="I9" s="56">
        <f t="shared" si="1"/>
        <v>800</v>
      </c>
      <c r="J9" s="57">
        <f t="shared" si="2"/>
        <v>80080</v>
      </c>
      <c r="K9" s="58">
        <f t="shared" si="3"/>
        <v>7280</v>
      </c>
      <c r="L9" s="83">
        <v>1</v>
      </c>
      <c r="M9" s="84">
        <v>3</v>
      </c>
      <c r="N9" s="85">
        <v>11550</v>
      </c>
      <c r="O9" s="86">
        <f t="shared" si="4"/>
        <v>3850</v>
      </c>
      <c r="P9" s="85">
        <v>1650</v>
      </c>
      <c r="Q9" s="87">
        <f t="shared" si="5"/>
        <v>550</v>
      </c>
      <c r="R9" s="88">
        <f t="shared" si="50"/>
        <v>13200</v>
      </c>
      <c r="S9" s="89">
        <f t="shared" si="7"/>
        <v>4400</v>
      </c>
      <c r="T9" s="66">
        <f t="shared" si="22"/>
        <v>0</v>
      </c>
      <c r="U9" s="67">
        <f t="shared" si="23"/>
        <v>0</v>
      </c>
      <c r="V9" s="55" t="e">
        <f t="shared" si="8"/>
        <v>#DIV/0!</v>
      </c>
      <c r="W9" s="67">
        <f t="shared" si="24"/>
        <v>0</v>
      </c>
      <c r="X9" s="56" t="e">
        <f t="shared" si="9"/>
        <v>#DIV/0!</v>
      </c>
      <c r="Y9" s="90">
        <f t="shared" si="25"/>
        <v>0</v>
      </c>
      <c r="Z9" s="69" t="e">
        <f t="shared" si="10"/>
        <v>#DIV/0!</v>
      </c>
      <c r="AA9" s="70">
        <f t="shared" si="26"/>
        <v>14</v>
      </c>
      <c r="AB9" s="67">
        <f t="shared" si="26"/>
        <v>81950</v>
      </c>
      <c r="AC9" s="67">
        <f t="shared" si="27"/>
        <v>11330</v>
      </c>
      <c r="AD9" s="71">
        <f t="shared" si="51"/>
        <v>93280</v>
      </c>
      <c r="AE9" s="67">
        <f t="shared" si="28"/>
        <v>6662.8571428571431</v>
      </c>
      <c r="AF9" s="72">
        <v>61</v>
      </c>
      <c r="AG9" s="73">
        <v>64</v>
      </c>
      <c r="AH9" s="54">
        <v>76500</v>
      </c>
      <c r="AI9" s="55">
        <f t="shared" si="12"/>
        <v>1195.3125</v>
      </c>
      <c r="AJ9" s="54">
        <v>8700</v>
      </c>
      <c r="AK9" s="56">
        <f t="shared" si="13"/>
        <v>135.9375</v>
      </c>
      <c r="AL9" s="91">
        <f t="shared" si="29"/>
        <v>85200</v>
      </c>
      <c r="AM9" s="75">
        <f t="shared" si="14"/>
        <v>1331.25</v>
      </c>
      <c r="AN9" s="324">
        <v>1</v>
      </c>
      <c r="AO9" s="322">
        <v>2</v>
      </c>
      <c r="AP9" s="324">
        <v>0</v>
      </c>
      <c r="AQ9" s="322">
        <v>0</v>
      </c>
      <c r="AR9" s="70">
        <f t="shared" si="30"/>
        <v>11</v>
      </c>
      <c r="AS9" s="67">
        <f t="shared" si="31"/>
        <v>158450</v>
      </c>
      <c r="AT9" s="67">
        <f t="shared" si="15"/>
        <v>20030</v>
      </c>
      <c r="AU9" s="76">
        <f t="shared" si="32"/>
        <v>178480</v>
      </c>
      <c r="AV9" s="67">
        <f t="shared" si="52"/>
        <v>0</v>
      </c>
      <c r="AW9" s="92">
        <v>14</v>
      </c>
      <c r="AX9" s="92">
        <v>81950</v>
      </c>
      <c r="AY9" s="92">
        <v>11330</v>
      </c>
      <c r="AZ9" s="93">
        <v>0</v>
      </c>
      <c r="BA9" s="93">
        <v>0</v>
      </c>
      <c r="BB9" s="93">
        <v>0</v>
      </c>
      <c r="BC9" s="93">
        <v>0</v>
      </c>
      <c r="BD9" s="94">
        <f t="shared" si="33"/>
        <v>93280</v>
      </c>
      <c r="BE9" s="79">
        <f t="shared" si="34"/>
        <v>93280</v>
      </c>
      <c r="BF9" s="50">
        <v>5</v>
      </c>
      <c r="BG9" s="50"/>
      <c r="BH9" s="50"/>
      <c r="BI9" s="79">
        <f t="shared" si="35"/>
        <v>93280</v>
      </c>
      <c r="BK9" s="80">
        <f t="shared" si="36"/>
        <v>93280</v>
      </c>
      <c r="BL9" s="349">
        <f t="shared" si="37"/>
        <v>178480</v>
      </c>
      <c r="BO9" s="283">
        <f t="shared" si="38"/>
        <v>4</v>
      </c>
      <c r="BP9" s="53">
        <f t="shared" si="38"/>
        <v>11</v>
      </c>
      <c r="BQ9" s="67">
        <f t="shared" si="38"/>
        <v>70400</v>
      </c>
      <c r="BR9" s="55">
        <f t="shared" si="16"/>
        <v>5818.181818181818</v>
      </c>
      <c r="BS9" s="67">
        <f t="shared" si="39"/>
        <v>9680</v>
      </c>
      <c r="BT9" s="56">
        <f t="shared" si="17"/>
        <v>800</v>
      </c>
      <c r="BU9" s="57">
        <f t="shared" si="40"/>
        <v>80080</v>
      </c>
      <c r="BV9" s="58">
        <f t="shared" si="18"/>
        <v>7280</v>
      </c>
      <c r="BW9" s="284">
        <f t="shared" si="41"/>
        <v>0</v>
      </c>
      <c r="BX9" s="67">
        <f t="shared" si="41"/>
        <v>0</v>
      </c>
      <c r="BY9" s="55" t="e">
        <f t="shared" si="19"/>
        <v>#DIV/0!</v>
      </c>
      <c r="BZ9" s="67">
        <f t="shared" si="42"/>
        <v>0</v>
      </c>
      <c r="CA9" s="56" t="e">
        <f t="shared" si="20"/>
        <v>#DIV/0!</v>
      </c>
      <c r="CB9" s="285">
        <f t="shared" si="43"/>
        <v>0</v>
      </c>
      <c r="CC9" s="286" t="e">
        <v>#DIV/0!</v>
      </c>
      <c r="CD9" s="287">
        <f t="shared" si="44"/>
        <v>11</v>
      </c>
      <c r="CE9" s="67">
        <f t="shared" si="44"/>
        <v>70400</v>
      </c>
      <c r="CF9" s="56">
        <f t="shared" si="45"/>
        <v>5818.181818181818</v>
      </c>
      <c r="CG9" s="67">
        <f t="shared" si="46"/>
        <v>9680</v>
      </c>
      <c r="CH9" s="56">
        <f t="shared" si="47"/>
        <v>800</v>
      </c>
      <c r="CI9" s="288">
        <f t="shared" si="48"/>
        <v>80080</v>
      </c>
      <c r="CJ9" s="289">
        <f t="shared" si="49"/>
        <v>7280</v>
      </c>
    </row>
    <row r="10" spans="1:88" ht="13.5" customHeight="1">
      <c r="A10" s="50"/>
      <c r="B10" s="320">
        <f t="shared" si="21"/>
        <v>46028</v>
      </c>
      <c r="C10" s="82"/>
      <c r="D10" s="52">
        <v>4</v>
      </c>
      <c r="E10" s="53">
        <v>10</v>
      </c>
      <c r="F10" s="54">
        <v>70400</v>
      </c>
      <c r="G10" s="55">
        <f t="shared" si="0"/>
        <v>6400</v>
      </c>
      <c r="H10" s="54">
        <v>20570</v>
      </c>
      <c r="I10" s="56">
        <f t="shared" si="1"/>
        <v>1870</v>
      </c>
      <c r="J10" s="57">
        <f t="shared" si="2"/>
        <v>90970</v>
      </c>
      <c r="K10" s="58">
        <f t="shared" si="3"/>
        <v>9097</v>
      </c>
      <c r="L10" s="83">
        <v>0</v>
      </c>
      <c r="M10" s="84">
        <v>0</v>
      </c>
      <c r="N10" s="85">
        <v>0</v>
      </c>
      <c r="O10" s="86" t="e">
        <f t="shared" si="4"/>
        <v>#DIV/0!</v>
      </c>
      <c r="P10" s="85">
        <v>0</v>
      </c>
      <c r="Q10" s="87" t="e">
        <f t="shared" si="5"/>
        <v>#DIV/0!</v>
      </c>
      <c r="R10" s="88">
        <f t="shared" si="50"/>
        <v>0</v>
      </c>
      <c r="S10" s="89" t="e">
        <f t="shared" si="7"/>
        <v>#DIV/0!</v>
      </c>
      <c r="T10" s="66">
        <f t="shared" si="22"/>
        <v>0</v>
      </c>
      <c r="U10" s="67">
        <f t="shared" si="23"/>
        <v>0</v>
      </c>
      <c r="V10" s="55" t="e">
        <f t="shared" si="8"/>
        <v>#DIV/0!</v>
      </c>
      <c r="W10" s="67">
        <f t="shared" si="24"/>
        <v>0</v>
      </c>
      <c r="X10" s="56" t="e">
        <f t="shared" si="9"/>
        <v>#DIV/0!</v>
      </c>
      <c r="Y10" s="90">
        <f t="shared" si="25"/>
        <v>0</v>
      </c>
      <c r="Z10" s="69" t="e">
        <f t="shared" si="10"/>
        <v>#DIV/0!</v>
      </c>
      <c r="AA10" s="70">
        <f t="shared" si="26"/>
        <v>10</v>
      </c>
      <c r="AB10" s="67">
        <f t="shared" si="26"/>
        <v>70400</v>
      </c>
      <c r="AC10" s="67">
        <f t="shared" si="27"/>
        <v>20570</v>
      </c>
      <c r="AD10" s="71">
        <f t="shared" si="51"/>
        <v>90970</v>
      </c>
      <c r="AE10" s="67">
        <f t="shared" si="28"/>
        <v>9097</v>
      </c>
      <c r="AF10" s="72">
        <v>51</v>
      </c>
      <c r="AG10" s="73">
        <v>54</v>
      </c>
      <c r="AH10" s="54">
        <v>84700</v>
      </c>
      <c r="AI10" s="55">
        <f t="shared" si="12"/>
        <v>1568.5185185185185</v>
      </c>
      <c r="AJ10" s="54">
        <v>7300</v>
      </c>
      <c r="AK10" s="56">
        <f t="shared" si="13"/>
        <v>135.18518518518519</v>
      </c>
      <c r="AL10" s="91">
        <f t="shared" si="29"/>
        <v>92000</v>
      </c>
      <c r="AM10" s="75">
        <f t="shared" si="14"/>
        <v>1703.7037037037037</v>
      </c>
      <c r="AN10" s="324">
        <v>0</v>
      </c>
      <c r="AO10" s="322">
        <v>0</v>
      </c>
      <c r="AP10" s="324">
        <v>0</v>
      </c>
      <c r="AQ10" s="322">
        <v>0</v>
      </c>
      <c r="AR10" s="97">
        <f t="shared" si="30"/>
        <v>10</v>
      </c>
      <c r="AS10" s="67">
        <f t="shared" si="31"/>
        <v>155100</v>
      </c>
      <c r="AT10" s="67">
        <f t="shared" si="15"/>
        <v>27870</v>
      </c>
      <c r="AU10" s="76">
        <f t="shared" si="32"/>
        <v>182970</v>
      </c>
      <c r="AV10" s="67">
        <f t="shared" si="52"/>
        <v>0</v>
      </c>
      <c r="AW10" s="92">
        <v>10</v>
      </c>
      <c r="AX10" s="92">
        <v>70400</v>
      </c>
      <c r="AY10" s="92">
        <v>20570</v>
      </c>
      <c r="AZ10" s="93">
        <v>0</v>
      </c>
      <c r="BA10" s="93">
        <v>0</v>
      </c>
      <c r="BB10" s="93">
        <v>0</v>
      </c>
      <c r="BC10" s="93">
        <v>0</v>
      </c>
      <c r="BD10" s="94">
        <f>SUM(AX10:BB10)</f>
        <v>90970</v>
      </c>
      <c r="BE10" s="79">
        <f t="shared" si="34"/>
        <v>90970</v>
      </c>
      <c r="BF10" s="50">
        <v>6</v>
      </c>
      <c r="BG10" s="50"/>
      <c r="BH10" s="50"/>
      <c r="BI10" s="79">
        <f t="shared" si="35"/>
        <v>90970</v>
      </c>
      <c r="BK10" s="80">
        <f t="shared" si="36"/>
        <v>90970</v>
      </c>
      <c r="BL10" s="349">
        <f t="shared" si="37"/>
        <v>182970</v>
      </c>
      <c r="BO10" s="283">
        <f t="shared" si="38"/>
        <v>4</v>
      </c>
      <c r="BP10" s="53">
        <f t="shared" si="38"/>
        <v>10</v>
      </c>
      <c r="BQ10" s="67">
        <f t="shared" si="38"/>
        <v>70400</v>
      </c>
      <c r="BR10" s="55">
        <f t="shared" si="16"/>
        <v>6400</v>
      </c>
      <c r="BS10" s="67">
        <f t="shared" si="39"/>
        <v>20570</v>
      </c>
      <c r="BT10" s="56">
        <f t="shared" si="17"/>
        <v>1870</v>
      </c>
      <c r="BU10" s="57">
        <f t="shared" si="40"/>
        <v>90970</v>
      </c>
      <c r="BV10" s="58">
        <f t="shared" si="18"/>
        <v>9097</v>
      </c>
      <c r="BW10" s="284">
        <f t="shared" si="41"/>
        <v>0</v>
      </c>
      <c r="BX10" s="67">
        <f t="shared" si="41"/>
        <v>0</v>
      </c>
      <c r="BY10" s="55" t="e">
        <f t="shared" si="19"/>
        <v>#DIV/0!</v>
      </c>
      <c r="BZ10" s="67">
        <f t="shared" si="42"/>
        <v>0</v>
      </c>
      <c r="CA10" s="56" t="e">
        <f t="shared" si="20"/>
        <v>#DIV/0!</v>
      </c>
      <c r="CB10" s="285">
        <f t="shared" si="43"/>
        <v>0</v>
      </c>
      <c r="CC10" s="286" t="e">
        <v>#DIV/0!</v>
      </c>
      <c r="CD10" s="287">
        <f t="shared" si="44"/>
        <v>10</v>
      </c>
      <c r="CE10" s="67">
        <f t="shared" si="44"/>
        <v>70400</v>
      </c>
      <c r="CF10" s="56">
        <f t="shared" si="45"/>
        <v>6400</v>
      </c>
      <c r="CG10" s="67">
        <f t="shared" si="46"/>
        <v>20570</v>
      </c>
      <c r="CH10" s="56">
        <f t="shared" si="47"/>
        <v>1870</v>
      </c>
      <c r="CI10" s="288">
        <f t="shared" si="48"/>
        <v>90970</v>
      </c>
      <c r="CJ10" s="289">
        <f t="shared" si="49"/>
        <v>9097</v>
      </c>
    </row>
    <row r="11" spans="1:88" ht="13.5" customHeight="1">
      <c r="A11" s="50"/>
      <c r="B11" s="320">
        <f t="shared" si="21"/>
        <v>46029</v>
      </c>
      <c r="C11" s="82"/>
      <c r="D11" s="52">
        <v>3</v>
      </c>
      <c r="E11" s="53">
        <v>6</v>
      </c>
      <c r="F11" s="54">
        <v>35200</v>
      </c>
      <c r="G11" s="55">
        <f t="shared" si="0"/>
        <v>5333.333333333333</v>
      </c>
      <c r="H11" s="54">
        <v>11110</v>
      </c>
      <c r="I11" s="56">
        <f t="shared" si="1"/>
        <v>1683.3333333333333</v>
      </c>
      <c r="J11" s="57">
        <f t="shared" si="2"/>
        <v>46310</v>
      </c>
      <c r="K11" s="58">
        <f t="shared" si="3"/>
        <v>7718.333333333333</v>
      </c>
      <c r="L11" s="83">
        <v>1</v>
      </c>
      <c r="M11" s="84">
        <v>2</v>
      </c>
      <c r="N11" s="85">
        <v>7700</v>
      </c>
      <c r="O11" s="86">
        <f t="shared" si="4"/>
        <v>3850</v>
      </c>
      <c r="P11" s="85">
        <v>1100</v>
      </c>
      <c r="Q11" s="87">
        <f t="shared" si="5"/>
        <v>550</v>
      </c>
      <c r="R11" s="88">
        <f t="shared" si="50"/>
        <v>8800</v>
      </c>
      <c r="S11" s="89">
        <f t="shared" si="7"/>
        <v>4400</v>
      </c>
      <c r="T11" s="66">
        <f t="shared" si="22"/>
        <v>0</v>
      </c>
      <c r="U11" s="67">
        <f t="shared" si="23"/>
        <v>0</v>
      </c>
      <c r="V11" s="55" t="e">
        <f t="shared" si="8"/>
        <v>#DIV/0!</v>
      </c>
      <c r="W11" s="67">
        <f t="shared" si="24"/>
        <v>1870</v>
      </c>
      <c r="X11" s="56" t="e">
        <f t="shared" si="9"/>
        <v>#DIV/0!</v>
      </c>
      <c r="Y11" s="90">
        <f t="shared" si="25"/>
        <v>1870</v>
      </c>
      <c r="Z11" s="69" t="e">
        <f t="shared" si="10"/>
        <v>#DIV/0!</v>
      </c>
      <c r="AA11" s="70">
        <f t="shared" si="26"/>
        <v>8</v>
      </c>
      <c r="AB11" s="67">
        <f t="shared" si="26"/>
        <v>42900</v>
      </c>
      <c r="AC11" s="67">
        <f t="shared" si="27"/>
        <v>14080</v>
      </c>
      <c r="AD11" s="71">
        <f t="shared" si="51"/>
        <v>56980</v>
      </c>
      <c r="AE11" s="67">
        <f t="shared" si="28"/>
        <v>7122.5</v>
      </c>
      <c r="AF11" s="72">
        <v>56</v>
      </c>
      <c r="AG11" s="73">
        <v>59</v>
      </c>
      <c r="AH11" s="54">
        <v>81430</v>
      </c>
      <c r="AI11" s="55">
        <f t="shared" si="12"/>
        <v>1380.1694915254238</v>
      </c>
      <c r="AJ11" s="54">
        <v>8400</v>
      </c>
      <c r="AK11" s="56">
        <f t="shared" si="13"/>
        <v>142.37288135593221</v>
      </c>
      <c r="AL11" s="91">
        <f t="shared" si="29"/>
        <v>89830</v>
      </c>
      <c r="AM11" s="75">
        <f t="shared" si="14"/>
        <v>1522.542372881356</v>
      </c>
      <c r="AN11" s="324">
        <v>0</v>
      </c>
      <c r="AO11" s="322">
        <v>0</v>
      </c>
      <c r="AP11" s="324">
        <v>0</v>
      </c>
      <c r="AQ11" s="322">
        <v>0</v>
      </c>
      <c r="AR11" s="97">
        <f t="shared" si="30"/>
        <v>6</v>
      </c>
      <c r="AS11" s="67">
        <f t="shared" si="31"/>
        <v>124330</v>
      </c>
      <c r="AT11" s="67">
        <f t="shared" si="15"/>
        <v>22480</v>
      </c>
      <c r="AU11" s="76">
        <f t="shared" si="32"/>
        <v>146810</v>
      </c>
      <c r="AV11" s="67">
        <f t="shared" si="52"/>
        <v>0</v>
      </c>
      <c r="AW11" s="92">
        <v>8</v>
      </c>
      <c r="AX11" s="92">
        <v>42900</v>
      </c>
      <c r="AY11" s="92">
        <v>14080</v>
      </c>
      <c r="AZ11" s="93">
        <v>0</v>
      </c>
      <c r="BA11" s="93">
        <v>0</v>
      </c>
      <c r="BB11" s="93">
        <v>0</v>
      </c>
      <c r="BC11" s="93">
        <v>0</v>
      </c>
      <c r="BD11" s="94">
        <f t="shared" si="33"/>
        <v>56980</v>
      </c>
      <c r="BE11" s="79">
        <f t="shared" si="34"/>
        <v>56980</v>
      </c>
      <c r="BF11" s="50">
        <v>7</v>
      </c>
      <c r="BG11" s="50"/>
      <c r="BH11" s="50"/>
      <c r="BI11" s="79">
        <f t="shared" si="35"/>
        <v>56980</v>
      </c>
      <c r="BK11" s="80">
        <f t="shared" si="36"/>
        <v>56980</v>
      </c>
      <c r="BL11" s="349">
        <f t="shared" si="37"/>
        <v>146810</v>
      </c>
      <c r="BO11" s="283">
        <f t="shared" si="38"/>
        <v>3</v>
      </c>
      <c r="BP11" s="53">
        <f t="shared" si="38"/>
        <v>6</v>
      </c>
      <c r="BQ11" s="67">
        <f t="shared" si="38"/>
        <v>35200</v>
      </c>
      <c r="BR11" s="55">
        <f t="shared" si="16"/>
        <v>5333.333333333333</v>
      </c>
      <c r="BS11" s="67">
        <f t="shared" si="39"/>
        <v>11110</v>
      </c>
      <c r="BT11" s="56">
        <f t="shared" si="17"/>
        <v>1683.3333333333333</v>
      </c>
      <c r="BU11" s="57">
        <f t="shared" si="40"/>
        <v>46310</v>
      </c>
      <c r="BV11" s="58">
        <f t="shared" si="18"/>
        <v>7718.333333333333</v>
      </c>
      <c r="BW11" s="284">
        <f t="shared" si="41"/>
        <v>0</v>
      </c>
      <c r="BX11" s="67">
        <f t="shared" si="41"/>
        <v>0</v>
      </c>
      <c r="BY11" s="55" t="e">
        <f t="shared" si="19"/>
        <v>#DIV/0!</v>
      </c>
      <c r="BZ11" s="67">
        <f t="shared" si="42"/>
        <v>1870</v>
      </c>
      <c r="CA11" s="56" t="e">
        <f t="shared" si="20"/>
        <v>#DIV/0!</v>
      </c>
      <c r="CB11" s="285">
        <f t="shared" si="43"/>
        <v>1870</v>
      </c>
      <c r="CC11" s="286" t="e">
        <v>#DIV/0!</v>
      </c>
      <c r="CD11" s="287">
        <f t="shared" si="44"/>
        <v>6</v>
      </c>
      <c r="CE11" s="67">
        <f t="shared" si="44"/>
        <v>35200</v>
      </c>
      <c r="CF11" s="56">
        <f t="shared" si="45"/>
        <v>5333.333333333333</v>
      </c>
      <c r="CG11" s="67">
        <f t="shared" si="46"/>
        <v>12980</v>
      </c>
      <c r="CH11" s="56">
        <f t="shared" si="47"/>
        <v>1966.6666666666667</v>
      </c>
      <c r="CI11" s="288">
        <f t="shared" si="48"/>
        <v>48180</v>
      </c>
      <c r="CJ11" s="289">
        <f t="shared" si="49"/>
        <v>8030</v>
      </c>
    </row>
    <row r="12" spans="1:88" ht="13.5" customHeight="1">
      <c r="A12" s="50"/>
      <c r="B12" s="320">
        <f t="shared" si="21"/>
        <v>46030</v>
      </c>
      <c r="C12" s="82"/>
      <c r="D12" s="52">
        <v>3</v>
      </c>
      <c r="E12" s="53">
        <v>6</v>
      </c>
      <c r="F12" s="54">
        <v>39600</v>
      </c>
      <c r="G12" s="55">
        <f t="shared" si="0"/>
        <v>6000</v>
      </c>
      <c r="H12" s="54">
        <v>5390</v>
      </c>
      <c r="I12" s="56">
        <f t="shared" si="1"/>
        <v>816.66666666666663</v>
      </c>
      <c r="J12" s="57">
        <f t="shared" si="2"/>
        <v>44990</v>
      </c>
      <c r="K12" s="58">
        <f t="shared" si="3"/>
        <v>7498.333333333333</v>
      </c>
      <c r="L12" s="83">
        <v>1</v>
      </c>
      <c r="M12" s="84">
        <v>2</v>
      </c>
      <c r="N12" s="85">
        <v>7700</v>
      </c>
      <c r="O12" s="86">
        <f t="shared" si="4"/>
        <v>3850</v>
      </c>
      <c r="P12" s="85">
        <v>3740</v>
      </c>
      <c r="Q12" s="87">
        <f t="shared" si="5"/>
        <v>1870</v>
      </c>
      <c r="R12" s="88">
        <f t="shared" si="50"/>
        <v>11440</v>
      </c>
      <c r="S12" s="89">
        <f t="shared" si="7"/>
        <v>5720</v>
      </c>
      <c r="T12" s="66">
        <f t="shared" si="22"/>
        <v>4</v>
      </c>
      <c r="U12" s="67">
        <f t="shared" si="23"/>
        <v>62700</v>
      </c>
      <c r="V12" s="55">
        <f t="shared" si="8"/>
        <v>14250</v>
      </c>
      <c r="W12" s="67">
        <f t="shared" si="24"/>
        <v>33000</v>
      </c>
      <c r="X12" s="98">
        <f t="shared" si="9"/>
        <v>7500</v>
      </c>
      <c r="Y12" s="90">
        <f t="shared" si="25"/>
        <v>95700</v>
      </c>
      <c r="Z12" s="69">
        <f t="shared" si="10"/>
        <v>23925</v>
      </c>
      <c r="AA12" s="70">
        <f t="shared" si="26"/>
        <v>12</v>
      </c>
      <c r="AB12" s="67">
        <f t="shared" si="26"/>
        <v>110000</v>
      </c>
      <c r="AC12" s="67">
        <f t="shared" si="27"/>
        <v>42130</v>
      </c>
      <c r="AD12" s="71">
        <f t="shared" si="51"/>
        <v>152130</v>
      </c>
      <c r="AE12" s="67">
        <f t="shared" si="28"/>
        <v>12677.5</v>
      </c>
      <c r="AF12" s="72">
        <v>63</v>
      </c>
      <c r="AG12" s="73">
        <v>67</v>
      </c>
      <c r="AH12" s="54">
        <v>109692</v>
      </c>
      <c r="AI12" s="55">
        <f t="shared" si="12"/>
        <v>1637.1940298507463</v>
      </c>
      <c r="AJ12" s="54">
        <v>12800</v>
      </c>
      <c r="AK12" s="56">
        <f t="shared" si="13"/>
        <v>191.044776119403</v>
      </c>
      <c r="AL12" s="91">
        <f t="shared" si="29"/>
        <v>122492</v>
      </c>
      <c r="AM12" s="75">
        <f t="shared" si="14"/>
        <v>1828.2388059701493</v>
      </c>
      <c r="AN12" s="324">
        <v>0</v>
      </c>
      <c r="AO12" s="322">
        <v>0</v>
      </c>
      <c r="AP12" s="324">
        <v>1</v>
      </c>
      <c r="AQ12" s="322">
        <v>1</v>
      </c>
      <c r="AR12" s="97">
        <f t="shared" si="30"/>
        <v>10</v>
      </c>
      <c r="AS12" s="67">
        <f t="shared" si="31"/>
        <v>219692</v>
      </c>
      <c r="AT12" s="67">
        <f t="shared" si="15"/>
        <v>54930</v>
      </c>
      <c r="AU12" s="76">
        <f t="shared" si="32"/>
        <v>274622</v>
      </c>
      <c r="AV12" s="67">
        <f t="shared" si="52"/>
        <v>2200</v>
      </c>
      <c r="AW12" s="92">
        <v>12</v>
      </c>
      <c r="AX12" s="92">
        <v>110000</v>
      </c>
      <c r="AY12" s="92">
        <v>42130</v>
      </c>
      <c r="AZ12" s="93">
        <v>2200</v>
      </c>
      <c r="BA12" s="93">
        <v>0</v>
      </c>
      <c r="BB12" s="93">
        <v>0</v>
      </c>
      <c r="BC12" s="93">
        <v>0</v>
      </c>
      <c r="BD12" s="94">
        <f t="shared" si="33"/>
        <v>154330</v>
      </c>
      <c r="BE12" s="79">
        <f t="shared" si="34"/>
        <v>154330</v>
      </c>
      <c r="BF12" s="50">
        <v>8</v>
      </c>
      <c r="BG12" s="50"/>
      <c r="BH12" s="50"/>
      <c r="BI12" s="79">
        <f t="shared" si="35"/>
        <v>154330</v>
      </c>
      <c r="BK12" s="80">
        <f t="shared" si="36"/>
        <v>154330</v>
      </c>
      <c r="BL12" s="349">
        <f t="shared" si="37"/>
        <v>276822</v>
      </c>
      <c r="BO12" s="283">
        <f t="shared" si="38"/>
        <v>3</v>
      </c>
      <c r="BP12" s="53">
        <f t="shared" si="38"/>
        <v>6</v>
      </c>
      <c r="BQ12" s="67">
        <f t="shared" si="38"/>
        <v>39600</v>
      </c>
      <c r="BR12" s="55">
        <f t="shared" si="16"/>
        <v>6000</v>
      </c>
      <c r="BS12" s="67">
        <f t="shared" si="39"/>
        <v>5390</v>
      </c>
      <c r="BT12" s="56">
        <f t="shared" si="17"/>
        <v>816.66666666666663</v>
      </c>
      <c r="BU12" s="57">
        <f t="shared" si="40"/>
        <v>44990</v>
      </c>
      <c r="BV12" s="58">
        <f t="shared" si="18"/>
        <v>7498.333333333333</v>
      </c>
      <c r="BW12" s="284">
        <f t="shared" si="41"/>
        <v>4</v>
      </c>
      <c r="BX12" s="67">
        <f t="shared" si="41"/>
        <v>62700</v>
      </c>
      <c r="BY12" s="55">
        <f t="shared" si="19"/>
        <v>14250</v>
      </c>
      <c r="BZ12" s="67">
        <f t="shared" si="42"/>
        <v>33000</v>
      </c>
      <c r="CA12" s="56">
        <f t="shared" si="20"/>
        <v>7500</v>
      </c>
      <c r="CB12" s="285">
        <f t="shared" si="43"/>
        <v>95700</v>
      </c>
      <c r="CC12" s="286" t="e">
        <v>#DIV/0!</v>
      </c>
      <c r="CD12" s="287">
        <f t="shared" si="44"/>
        <v>10</v>
      </c>
      <c r="CE12" s="67">
        <f t="shared" si="44"/>
        <v>102300</v>
      </c>
      <c r="CF12" s="56">
        <f t="shared" si="45"/>
        <v>9300</v>
      </c>
      <c r="CG12" s="67">
        <f t="shared" si="46"/>
        <v>38390</v>
      </c>
      <c r="CH12" s="56">
        <f t="shared" si="47"/>
        <v>3490</v>
      </c>
      <c r="CI12" s="288">
        <f t="shared" si="48"/>
        <v>140690</v>
      </c>
      <c r="CJ12" s="289">
        <f t="shared" si="49"/>
        <v>14069</v>
      </c>
    </row>
    <row r="13" spans="1:88" ht="13.5" customHeight="1">
      <c r="A13" s="50"/>
      <c r="B13" s="320">
        <f t="shared" si="21"/>
        <v>46031</v>
      </c>
      <c r="C13" s="82"/>
      <c r="D13" s="52">
        <v>5</v>
      </c>
      <c r="E13" s="53">
        <v>10</v>
      </c>
      <c r="F13" s="54">
        <v>53900</v>
      </c>
      <c r="G13" s="55">
        <f t="shared" si="0"/>
        <v>4900</v>
      </c>
      <c r="H13" s="54">
        <v>26510</v>
      </c>
      <c r="I13" s="56">
        <f t="shared" si="1"/>
        <v>2410</v>
      </c>
      <c r="J13" s="57">
        <f t="shared" si="2"/>
        <v>80410</v>
      </c>
      <c r="K13" s="58">
        <f t="shared" si="3"/>
        <v>8041</v>
      </c>
      <c r="L13" s="83">
        <v>1</v>
      </c>
      <c r="M13" s="84">
        <v>2</v>
      </c>
      <c r="N13" s="85">
        <v>7700</v>
      </c>
      <c r="O13" s="86">
        <f t="shared" si="4"/>
        <v>3850</v>
      </c>
      <c r="P13" s="85">
        <v>1100</v>
      </c>
      <c r="Q13" s="87">
        <f t="shared" si="5"/>
        <v>550</v>
      </c>
      <c r="R13" s="88">
        <f t="shared" si="50"/>
        <v>8800</v>
      </c>
      <c r="S13" s="89">
        <f t="shared" si="7"/>
        <v>4400</v>
      </c>
      <c r="T13" s="66">
        <f t="shared" si="22"/>
        <v>3</v>
      </c>
      <c r="U13" s="67">
        <f t="shared" si="23"/>
        <v>49500</v>
      </c>
      <c r="V13" s="55">
        <f t="shared" si="8"/>
        <v>15000</v>
      </c>
      <c r="W13" s="67">
        <f t="shared" si="24"/>
        <v>19800</v>
      </c>
      <c r="X13" s="56">
        <f t="shared" si="9"/>
        <v>6000</v>
      </c>
      <c r="Y13" s="90">
        <f t="shared" si="25"/>
        <v>69300</v>
      </c>
      <c r="Z13" s="69">
        <f t="shared" si="10"/>
        <v>23100</v>
      </c>
      <c r="AA13" s="70">
        <f t="shared" si="26"/>
        <v>15</v>
      </c>
      <c r="AB13" s="67">
        <f t="shared" si="26"/>
        <v>111100</v>
      </c>
      <c r="AC13" s="67">
        <f t="shared" si="27"/>
        <v>47410</v>
      </c>
      <c r="AD13" s="71">
        <f t="shared" si="51"/>
        <v>158510</v>
      </c>
      <c r="AE13" s="67">
        <f t="shared" si="28"/>
        <v>10567.333333333334</v>
      </c>
      <c r="AF13" s="72">
        <v>116</v>
      </c>
      <c r="AG13" s="73">
        <v>122</v>
      </c>
      <c r="AH13" s="54">
        <v>127100</v>
      </c>
      <c r="AI13" s="55">
        <f t="shared" si="12"/>
        <v>1041.8032786885246</v>
      </c>
      <c r="AJ13" s="54">
        <v>31400</v>
      </c>
      <c r="AK13" s="56">
        <f t="shared" si="13"/>
        <v>257.37704918032784</v>
      </c>
      <c r="AL13" s="91">
        <f t="shared" si="29"/>
        <v>158500</v>
      </c>
      <c r="AM13" s="75">
        <f t="shared" si="14"/>
        <v>1299.1803278688524</v>
      </c>
      <c r="AN13" s="324">
        <v>0</v>
      </c>
      <c r="AO13" s="325">
        <v>0</v>
      </c>
      <c r="AP13" s="324">
        <v>0</v>
      </c>
      <c r="AQ13" s="325">
        <v>0</v>
      </c>
      <c r="AR13" s="97">
        <f t="shared" si="30"/>
        <v>13</v>
      </c>
      <c r="AS13" s="67">
        <f t="shared" si="31"/>
        <v>238200</v>
      </c>
      <c r="AT13" s="67">
        <f t="shared" si="15"/>
        <v>78810</v>
      </c>
      <c r="AU13" s="76">
        <f t="shared" si="32"/>
        <v>317010</v>
      </c>
      <c r="AV13" s="67">
        <f t="shared" si="52"/>
        <v>0</v>
      </c>
      <c r="AW13" s="92">
        <v>15</v>
      </c>
      <c r="AX13" s="92">
        <v>111100</v>
      </c>
      <c r="AY13" s="92">
        <v>47410</v>
      </c>
      <c r="AZ13" s="93">
        <v>0</v>
      </c>
      <c r="BA13" s="93">
        <v>0</v>
      </c>
      <c r="BB13" s="93">
        <v>0</v>
      </c>
      <c r="BC13" s="93">
        <v>0</v>
      </c>
      <c r="BD13" s="94">
        <f t="shared" si="33"/>
        <v>158510</v>
      </c>
      <c r="BE13" s="79">
        <f t="shared" si="34"/>
        <v>158510</v>
      </c>
      <c r="BF13" s="50">
        <v>9</v>
      </c>
      <c r="BG13" s="50">
        <v>2200</v>
      </c>
      <c r="BH13" s="50">
        <v>1100</v>
      </c>
      <c r="BI13" s="79">
        <f t="shared" si="35"/>
        <v>155210</v>
      </c>
      <c r="BJ13" s="7" t="s">
        <v>98</v>
      </c>
      <c r="BK13" s="80">
        <f t="shared" si="36"/>
        <v>155210</v>
      </c>
      <c r="BL13" s="349">
        <f t="shared" si="37"/>
        <v>313710</v>
      </c>
      <c r="BO13" s="283">
        <f t="shared" si="38"/>
        <v>5</v>
      </c>
      <c r="BP13" s="53">
        <f t="shared" si="38"/>
        <v>10</v>
      </c>
      <c r="BQ13" s="67">
        <f t="shared" si="38"/>
        <v>53900</v>
      </c>
      <c r="BR13" s="55">
        <f t="shared" si="16"/>
        <v>4900</v>
      </c>
      <c r="BS13" s="67">
        <f t="shared" si="39"/>
        <v>26510</v>
      </c>
      <c r="BT13" s="56">
        <f t="shared" si="17"/>
        <v>2410</v>
      </c>
      <c r="BU13" s="57">
        <f t="shared" si="40"/>
        <v>80410</v>
      </c>
      <c r="BV13" s="58">
        <f t="shared" si="18"/>
        <v>8041</v>
      </c>
      <c r="BW13" s="284">
        <f t="shared" si="41"/>
        <v>3</v>
      </c>
      <c r="BX13" s="67">
        <f t="shared" si="41"/>
        <v>49500</v>
      </c>
      <c r="BY13" s="55">
        <f t="shared" si="19"/>
        <v>15000</v>
      </c>
      <c r="BZ13" s="67">
        <f t="shared" si="42"/>
        <v>19800</v>
      </c>
      <c r="CA13" s="56">
        <f t="shared" si="20"/>
        <v>6000</v>
      </c>
      <c r="CB13" s="285">
        <f t="shared" si="43"/>
        <v>69300</v>
      </c>
      <c r="CC13" s="286" t="e">
        <v>#DIV/0!</v>
      </c>
      <c r="CD13" s="287">
        <f t="shared" si="44"/>
        <v>13</v>
      </c>
      <c r="CE13" s="67">
        <f t="shared" si="44"/>
        <v>103400</v>
      </c>
      <c r="CF13" s="56">
        <f t="shared" si="45"/>
        <v>7230.7692307692305</v>
      </c>
      <c r="CG13" s="67">
        <f t="shared" si="46"/>
        <v>46310</v>
      </c>
      <c r="CH13" s="56">
        <f t="shared" si="47"/>
        <v>3238.4615384615386</v>
      </c>
      <c r="CI13" s="288">
        <f t="shared" si="48"/>
        <v>149710</v>
      </c>
      <c r="CJ13" s="289">
        <f t="shared" si="49"/>
        <v>11516.153846153846</v>
      </c>
    </row>
    <row r="14" spans="1:88" ht="13.5" customHeight="1">
      <c r="A14" s="50"/>
      <c r="B14" s="332">
        <f t="shared" si="21"/>
        <v>46032</v>
      </c>
      <c r="C14" s="82"/>
      <c r="D14" s="52">
        <v>4</v>
      </c>
      <c r="E14" s="53">
        <v>9</v>
      </c>
      <c r="F14" s="54">
        <v>59400</v>
      </c>
      <c r="G14" s="55">
        <f t="shared" si="0"/>
        <v>6000</v>
      </c>
      <c r="H14" s="54">
        <v>25190</v>
      </c>
      <c r="I14" s="56">
        <f t="shared" si="1"/>
        <v>2544.4444444444443</v>
      </c>
      <c r="J14" s="57">
        <f t="shared" si="2"/>
        <v>84590</v>
      </c>
      <c r="K14" s="58">
        <f t="shared" si="3"/>
        <v>9398.8888888888887</v>
      </c>
      <c r="L14" s="83">
        <v>2</v>
      </c>
      <c r="M14" s="84">
        <v>4</v>
      </c>
      <c r="N14" s="85">
        <v>15400</v>
      </c>
      <c r="O14" s="86">
        <f t="shared" si="4"/>
        <v>3850</v>
      </c>
      <c r="P14" s="85">
        <v>2200</v>
      </c>
      <c r="Q14" s="87">
        <f t="shared" si="5"/>
        <v>550</v>
      </c>
      <c r="R14" s="88">
        <f t="shared" si="50"/>
        <v>17600</v>
      </c>
      <c r="S14" s="89">
        <f t="shared" si="7"/>
        <v>4400</v>
      </c>
      <c r="T14" s="66">
        <f t="shared" si="22"/>
        <v>8</v>
      </c>
      <c r="U14" s="67">
        <f t="shared" si="23"/>
        <v>79200</v>
      </c>
      <c r="V14" s="55">
        <f t="shared" si="8"/>
        <v>9000</v>
      </c>
      <c r="W14" s="67">
        <f t="shared" si="24"/>
        <v>62590</v>
      </c>
      <c r="X14" s="56">
        <f t="shared" si="9"/>
        <v>7112.5</v>
      </c>
      <c r="Y14" s="90">
        <f t="shared" si="25"/>
        <v>141790</v>
      </c>
      <c r="Z14" s="69">
        <f t="shared" si="10"/>
        <v>17723.75</v>
      </c>
      <c r="AA14" s="70">
        <f t="shared" si="26"/>
        <v>21</v>
      </c>
      <c r="AB14" s="67">
        <f t="shared" si="26"/>
        <v>154000</v>
      </c>
      <c r="AC14" s="67">
        <f t="shared" si="27"/>
        <v>89980</v>
      </c>
      <c r="AD14" s="71">
        <f t="shared" si="51"/>
        <v>243980</v>
      </c>
      <c r="AE14" s="67">
        <f t="shared" si="28"/>
        <v>11618.095238095239</v>
      </c>
      <c r="AF14" s="72">
        <v>109</v>
      </c>
      <c r="AG14" s="73">
        <v>113</v>
      </c>
      <c r="AH14" s="54">
        <v>131050</v>
      </c>
      <c r="AI14" s="55">
        <f t="shared" si="12"/>
        <v>1159.7345132743362</v>
      </c>
      <c r="AJ14" s="54">
        <v>20200</v>
      </c>
      <c r="AK14" s="56">
        <f t="shared" si="13"/>
        <v>178.76106194690266</v>
      </c>
      <c r="AL14" s="91">
        <f t="shared" si="29"/>
        <v>151250</v>
      </c>
      <c r="AM14" s="75">
        <f t="shared" si="14"/>
        <v>1338.4955752212391</v>
      </c>
      <c r="AN14" s="324">
        <v>1</v>
      </c>
      <c r="AO14" s="325">
        <v>2</v>
      </c>
      <c r="AP14" s="324">
        <v>0</v>
      </c>
      <c r="AQ14" s="325">
        <v>0</v>
      </c>
      <c r="AR14" s="97">
        <f t="shared" si="30"/>
        <v>17</v>
      </c>
      <c r="AS14" s="67">
        <f t="shared" si="31"/>
        <v>285050</v>
      </c>
      <c r="AT14" s="67">
        <f t="shared" si="15"/>
        <v>110180</v>
      </c>
      <c r="AU14" s="96">
        <f t="shared" si="32"/>
        <v>395230</v>
      </c>
      <c r="AV14" s="67">
        <f t="shared" si="52"/>
        <v>0</v>
      </c>
      <c r="AW14" s="92">
        <v>21</v>
      </c>
      <c r="AX14" s="92">
        <v>154000</v>
      </c>
      <c r="AY14" s="92">
        <v>89980</v>
      </c>
      <c r="AZ14" s="93">
        <v>0</v>
      </c>
      <c r="BA14" s="93">
        <v>0</v>
      </c>
      <c r="BB14" s="93">
        <v>0</v>
      </c>
      <c r="BC14" s="93">
        <v>0</v>
      </c>
      <c r="BD14" s="94">
        <f t="shared" si="33"/>
        <v>243980</v>
      </c>
      <c r="BE14" s="79">
        <f t="shared" si="34"/>
        <v>243980</v>
      </c>
      <c r="BF14" s="50">
        <v>10</v>
      </c>
      <c r="BG14" s="50"/>
      <c r="BH14" s="50"/>
      <c r="BI14" s="79">
        <f t="shared" si="35"/>
        <v>243980</v>
      </c>
      <c r="BK14" s="80">
        <f t="shared" si="36"/>
        <v>243980</v>
      </c>
      <c r="BL14" s="349">
        <f t="shared" si="37"/>
        <v>395230</v>
      </c>
      <c r="BO14" s="283">
        <f t="shared" si="38"/>
        <v>4</v>
      </c>
      <c r="BP14" s="53">
        <f t="shared" si="38"/>
        <v>9</v>
      </c>
      <c r="BQ14" s="67">
        <f t="shared" si="38"/>
        <v>59400</v>
      </c>
      <c r="BR14" s="55">
        <f t="shared" si="16"/>
        <v>6000</v>
      </c>
      <c r="BS14" s="67">
        <f t="shared" si="39"/>
        <v>25190</v>
      </c>
      <c r="BT14" s="56">
        <f t="shared" si="17"/>
        <v>2544.4444444444443</v>
      </c>
      <c r="BU14" s="57">
        <f t="shared" si="40"/>
        <v>84590</v>
      </c>
      <c r="BV14" s="58">
        <f t="shared" si="18"/>
        <v>9398.8888888888887</v>
      </c>
      <c r="BW14" s="284">
        <f t="shared" si="41"/>
        <v>8</v>
      </c>
      <c r="BX14" s="67">
        <f t="shared" si="41"/>
        <v>79200</v>
      </c>
      <c r="BY14" s="55">
        <f t="shared" si="19"/>
        <v>9000</v>
      </c>
      <c r="BZ14" s="67">
        <f t="shared" si="42"/>
        <v>62590</v>
      </c>
      <c r="CA14" s="56">
        <f t="shared" si="20"/>
        <v>7112.5</v>
      </c>
      <c r="CB14" s="285">
        <f t="shared" si="43"/>
        <v>141790</v>
      </c>
      <c r="CC14" s="286" t="e">
        <v>#DIV/0!</v>
      </c>
      <c r="CD14" s="287">
        <f t="shared" si="44"/>
        <v>17</v>
      </c>
      <c r="CE14" s="67">
        <f t="shared" si="44"/>
        <v>138600</v>
      </c>
      <c r="CF14" s="56">
        <f t="shared" si="45"/>
        <v>7411.7647058823532</v>
      </c>
      <c r="CG14" s="67">
        <f t="shared" si="46"/>
        <v>87780</v>
      </c>
      <c r="CH14" s="56">
        <f t="shared" si="47"/>
        <v>4694.1176470588234</v>
      </c>
      <c r="CI14" s="288">
        <f t="shared" si="48"/>
        <v>226380</v>
      </c>
      <c r="CJ14" s="289">
        <f t="shared" si="49"/>
        <v>13316.470588235294</v>
      </c>
    </row>
    <row r="15" spans="1:88" ht="13.5" customHeight="1">
      <c r="A15" s="50"/>
      <c r="B15" s="95">
        <f>B14+1</f>
        <v>46033</v>
      </c>
      <c r="C15" s="82"/>
      <c r="D15" s="52">
        <v>7</v>
      </c>
      <c r="E15" s="53">
        <v>19</v>
      </c>
      <c r="F15" s="54">
        <v>170500</v>
      </c>
      <c r="G15" s="55">
        <f t="shared" si="0"/>
        <v>8157.894736842105</v>
      </c>
      <c r="H15" s="54">
        <v>65780</v>
      </c>
      <c r="I15" s="56">
        <f t="shared" si="1"/>
        <v>3147.3684210526317</v>
      </c>
      <c r="J15" s="57">
        <f t="shared" si="2"/>
        <v>236280</v>
      </c>
      <c r="K15" s="58">
        <f t="shared" si="3"/>
        <v>12435.78947368421</v>
      </c>
      <c r="L15" s="83"/>
      <c r="M15" s="84"/>
      <c r="N15" s="85"/>
      <c r="O15" s="86" t="e">
        <f t="shared" si="4"/>
        <v>#DIV/0!</v>
      </c>
      <c r="P15" s="85"/>
      <c r="Q15" s="87" t="e">
        <f t="shared" si="5"/>
        <v>#DIV/0!</v>
      </c>
      <c r="R15" s="88">
        <f t="shared" si="50"/>
        <v>0</v>
      </c>
      <c r="S15" s="89" t="str">
        <f t="shared" si="7"/>
        <v/>
      </c>
      <c r="T15" s="66">
        <f t="shared" si="22"/>
        <v>6</v>
      </c>
      <c r="U15" s="67">
        <f t="shared" si="23"/>
        <v>94400</v>
      </c>
      <c r="V15" s="55">
        <f t="shared" si="8"/>
        <v>14303</v>
      </c>
      <c r="W15" s="67">
        <f t="shared" si="24"/>
        <v>13700</v>
      </c>
      <c r="X15" s="56">
        <f t="shared" si="9"/>
        <v>2075.6666666666665</v>
      </c>
      <c r="Y15" s="90">
        <f t="shared" si="25"/>
        <v>108100</v>
      </c>
      <c r="Z15" s="69">
        <f t="shared" si="10"/>
        <v>18016.666666666668</v>
      </c>
      <c r="AA15" s="70">
        <f t="shared" si="26"/>
        <v>25</v>
      </c>
      <c r="AB15" s="67">
        <f t="shared" si="26"/>
        <v>264900</v>
      </c>
      <c r="AC15" s="67">
        <f t="shared" si="27"/>
        <v>79480</v>
      </c>
      <c r="AD15" s="71">
        <f t="shared" si="51"/>
        <v>344380</v>
      </c>
      <c r="AE15" s="67">
        <f t="shared" si="28"/>
        <v>13775.2</v>
      </c>
      <c r="AF15" s="72">
        <v>76</v>
      </c>
      <c r="AG15" s="73">
        <v>80</v>
      </c>
      <c r="AH15" s="54">
        <v>113900</v>
      </c>
      <c r="AI15" s="55">
        <f t="shared" si="12"/>
        <v>1423.75</v>
      </c>
      <c r="AJ15" s="54">
        <v>12100</v>
      </c>
      <c r="AK15" s="56">
        <f t="shared" si="13"/>
        <v>151.25</v>
      </c>
      <c r="AL15" s="91">
        <f t="shared" si="29"/>
        <v>126000</v>
      </c>
      <c r="AM15" s="75">
        <f t="shared" si="14"/>
        <v>1575</v>
      </c>
      <c r="AN15" s="324">
        <v>0</v>
      </c>
      <c r="AO15" s="325">
        <v>0</v>
      </c>
      <c r="AP15" s="324">
        <v>0</v>
      </c>
      <c r="AQ15" s="325">
        <v>0</v>
      </c>
      <c r="AR15" s="97">
        <f t="shared" si="30"/>
        <v>25</v>
      </c>
      <c r="AS15" s="67">
        <f t="shared" si="31"/>
        <v>378800</v>
      </c>
      <c r="AT15" s="67">
        <f t="shared" si="15"/>
        <v>91580</v>
      </c>
      <c r="AU15" s="76">
        <f t="shared" si="32"/>
        <v>470380</v>
      </c>
      <c r="AV15" s="67">
        <f t="shared" si="52"/>
        <v>6600</v>
      </c>
      <c r="AW15" s="92">
        <v>25</v>
      </c>
      <c r="AX15" s="92">
        <v>264900</v>
      </c>
      <c r="AY15" s="92">
        <v>79480</v>
      </c>
      <c r="AZ15" s="93">
        <v>6600</v>
      </c>
      <c r="BA15" s="93">
        <v>0</v>
      </c>
      <c r="BB15" s="93">
        <v>0</v>
      </c>
      <c r="BC15" s="93">
        <v>3300</v>
      </c>
      <c r="BD15" s="94">
        <f t="shared" si="33"/>
        <v>350980</v>
      </c>
      <c r="BE15" s="79">
        <f t="shared" si="34"/>
        <v>354280</v>
      </c>
      <c r="BF15" s="50">
        <v>11</v>
      </c>
      <c r="BG15" s="50"/>
      <c r="BH15" s="50"/>
      <c r="BI15" s="79">
        <f t="shared" si="35"/>
        <v>350980</v>
      </c>
      <c r="BK15" s="80">
        <f t="shared" si="36"/>
        <v>354280</v>
      </c>
      <c r="BL15" s="349">
        <f t="shared" si="37"/>
        <v>476980</v>
      </c>
      <c r="BO15" s="283">
        <f t="shared" si="38"/>
        <v>7</v>
      </c>
      <c r="BP15" s="53">
        <f t="shared" si="38"/>
        <v>19</v>
      </c>
      <c r="BQ15" s="67">
        <f t="shared" si="38"/>
        <v>170500</v>
      </c>
      <c r="BR15" s="55">
        <f t="shared" si="16"/>
        <v>8157.894736842105</v>
      </c>
      <c r="BS15" s="67">
        <f t="shared" si="39"/>
        <v>65780</v>
      </c>
      <c r="BT15" s="56">
        <f t="shared" si="17"/>
        <v>3147.3684210526317</v>
      </c>
      <c r="BU15" s="57">
        <f t="shared" si="40"/>
        <v>236280</v>
      </c>
      <c r="BV15" s="58">
        <f t="shared" si="18"/>
        <v>12435.78947368421</v>
      </c>
      <c r="BW15" s="284">
        <f t="shared" si="41"/>
        <v>6</v>
      </c>
      <c r="BX15" s="67">
        <f t="shared" si="41"/>
        <v>94400</v>
      </c>
      <c r="BY15" s="55">
        <f t="shared" si="19"/>
        <v>14303</v>
      </c>
      <c r="BZ15" s="67">
        <f t="shared" si="42"/>
        <v>13700</v>
      </c>
      <c r="CA15" s="56">
        <f t="shared" si="20"/>
        <v>2075.6666666666665</v>
      </c>
      <c r="CB15" s="285">
        <f t="shared" si="43"/>
        <v>108100</v>
      </c>
      <c r="CC15" s="286" t="e">
        <v>#DIV/0!</v>
      </c>
      <c r="CD15" s="287">
        <f t="shared" si="44"/>
        <v>25</v>
      </c>
      <c r="CE15" s="67">
        <f t="shared" si="44"/>
        <v>264900</v>
      </c>
      <c r="CF15" s="56">
        <f t="shared" si="45"/>
        <v>9632.7199999999993</v>
      </c>
      <c r="CG15" s="67">
        <f t="shared" si="46"/>
        <v>79480</v>
      </c>
      <c r="CH15" s="56">
        <f t="shared" si="47"/>
        <v>2890.16</v>
      </c>
      <c r="CI15" s="288">
        <f t="shared" si="48"/>
        <v>344380</v>
      </c>
      <c r="CJ15" s="289">
        <f t="shared" si="49"/>
        <v>13775.2</v>
      </c>
    </row>
    <row r="16" spans="1:88" ht="13.5" customHeight="1">
      <c r="A16" s="50"/>
      <c r="B16" s="95">
        <f t="shared" si="21"/>
        <v>46034</v>
      </c>
      <c r="C16" s="82"/>
      <c r="D16" s="52">
        <v>3</v>
      </c>
      <c r="E16" s="53">
        <v>6</v>
      </c>
      <c r="F16" s="54">
        <v>35200</v>
      </c>
      <c r="G16" s="55">
        <f t="shared" si="0"/>
        <v>5333.333333333333</v>
      </c>
      <c r="H16" s="54">
        <v>24640</v>
      </c>
      <c r="I16" s="56">
        <f t="shared" si="1"/>
        <v>3733.3333333333335</v>
      </c>
      <c r="J16" s="57">
        <f t="shared" si="2"/>
        <v>59840</v>
      </c>
      <c r="K16" s="58">
        <f t="shared" si="3"/>
        <v>9973.3333333333339</v>
      </c>
      <c r="L16" s="83"/>
      <c r="M16" s="84"/>
      <c r="N16" s="85"/>
      <c r="O16" s="86" t="e">
        <f t="shared" si="4"/>
        <v>#DIV/0!</v>
      </c>
      <c r="P16" s="85"/>
      <c r="Q16" s="87" t="e">
        <f t="shared" si="5"/>
        <v>#DIV/0!</v>
      </c>
      <c r="R16" s="88">
        <f t="shared" si="50"/>
        <v>0</v>
      </c>
      <c r="S16" s="89" t="str">
        <f t="shared" si="7"/>
        <v/>
      </c>
      <c r="T16" s="66">
        <f t="shared" si="22"/>
        <v>0</v>
      </c>
      <c r="U16" s="67">
        <f t="shared" si="23"/>
        <v>0</v>
      </c>
      <c r="V16" s="55" t="e">
        <f t="shared" si="8"/>
        <v>#DIV/0!</v>
      </c>
      <c r="W16" s="67">
        <f t="shared" si="24"/>
        <v>0</v>
      </c>
      <c r="X16" s="56" t="e">
        <f t="shared" si="9"/>
        <v>#DIV/0!</v>
      </c>
      <c r="Y16" s="90">
        <f t="shared" si="25"/>
        <v>0</v>
      </c>
      <c r="Z16" s="69" t="e">
        <f t="shared" si="10"/>
        <v>#DIV/0!</v>
      </c>
      <c r="AA16" s="70">
        <f t="shared" si="26"/>
        <v>6</v>
      </c>
      <c r="AB16" s="67">
        <f t="shared" si="26"/>
        <v>35200</v>
      </c>
      <c r="AC16" s="67">
        <f t="shared" si="27"/>
        <v>24640</v>
      </c>
      <c r="AD16" s="71">
        <f t="shared" si="51"/>
        <v>59840</v>
      </c>
      <c r="AE16" s="67">
        <f t="shared" si="28"/>
        <v>9973.3333333333339</v>
      </c>
      <c r="AF16" s="72">
        <v>61</v>
      </c>
      <c r="AG16" s="73">
        <v>64</v>
      </c>
      <c r="AH16" s="54">
        <v>69400</v>
      </c>
      <c r="AI16" s="55">
        <f t="shared" si="12"/>
        <v>1084.375</v>
      </c>
      <c r="AJ16" s="54">
        <v>12800</v>
      </c>
      <c r="AK16" s="56">
        <f t="shared" si="13"/>
        <v>200</v>
      </c>
      <c r="AL16" s="91">
        <f t="shared" si="29"/>
        <v>82200</v>
      </c>
      <c r="AM16" s="75">
        <f t="shared" si="14"/>
        <v>1284.375</v>
      </c>
      <c r="AN16" s="324">
        <v>1</v>
      </c>
      <c r="AO16" s="325">
        <v>1</v>
      </c>
      <c r="AP16" s="324">
        <v>0</v>
      </c>
      <c r="AQ16" s="325">
        <v>0</v>
      </c>
      <c r="AR16" s="97">
        <f t="shared" si="30"/>
        <v>6</v>
      </c>
      <c r="AS16" s="67">
        <f t="shared" si="31"/>
        <v>104600</v>
      </c>
      <c r="AT16" s="67">
        <f t="shared" si="15"/>
        <v>37440</v>
      </c>
      <c r="AU16" s="76">
        <f t="shared" si="32"/>
        <v>142040</v>
      </c>
      <c r="AV16" s="67">
        <f t="shared" si="52"/>
        <v>0</v>
      </c>
      <c r="AW16" s="92">
        <v>6</v>
      </c>
      <c r="AX16" s="92">
        <v>35200</v>
      </c>
      <c r="AY16" s="92">
        <v>24640</v>
      </c>
      <c r="AZ16" s="93">
        <v>0</v>
      </c>
      <c r="BA16" s="93">
        <v>0</v>
      </c>
      <c r="BB16" s="93">
        <v>0</v>
      </c>
      <c r="BC16" s="93">
        <v>0</v>
      </c>
      <c r="BD16" s="94">
        <f t="shared" si="33"/>
        <v>59840</v>
      </c>
      <c r="BE16" s="79">
        <f t="shared" si="34"/>
        <v>59840</v>
      </c>
      <c r="BF16" s="50">
        <v>12</v>
      </c>
      <c r="BG16" s="50"/>
      <c r="BH16" s="50"/>
      <c r="BI16" s="79">
        <f t="shared" si="35"/>
        <v>59840</v>
      </c>
      <c r="BK16" s="80">
        <f t="shared" si="36"/>
        <v>59840</v>
      </c>
      <c r="BL16" s="349">
        <f t="shared" si="37"/>
        <v>142040</v>
      </c>
      <c r="BO16" s="283">
        <f t="shared" si="38"/>
        <v>3</v>
      </c>
      <c r="BP16" s="53">
        <f t="shared" si="38"/>
        <v>6</v>
      </c>
      <c r="BQ16" s="67">
        <f t="shared" si="38"/>
        <v>35200</v>
      </c>
      <c r="BR16" s="55">
        <f t="shared" si="16"/>
        <v>5333.333333333333</v>
      </c>
      <c r="BS16" s="67">
        <f t="shared" si="39"/>
        <v>24640</v>
      </c>
      <c r="BT16" s="56">
        <f t="shared" si="17"/>
        <v>3733.3333333333335</v>
      </c>
      <c r="BU16" s="57">
        <f t="shared" si="40"/>
        <v>59840</v>
      </c>
      <c r="BV16" s="58">
        <f t="shared" si="18"/>
        <v>9973.3333333333339</v>
      </c>
      <c r="BW16" s="284">
        <f t="shared" si="41"/>
        <v>0</v>
      </c>
      <c r="BX16" s="67">
        <f t="shared" si="41"/>
        <v>0</v>
      </c>
      <c r="BY16" s="55" t="e">
        <f t="shared" si="19"/>
        <v>#DIV/0!</v>
      </c>
      <c r="BZ16" s="67">
        <f t="shared" si="42"/>
        <v>0</v>
      </c>
      <c r="CA16" s="56" t="e">
        <f t="shared" si="20"/>
        <v>#DIV/0!</v>
      </c>
      <c r="CB16" s="285">
        <f t="shared" si="43"/>
        <v>0</v>
      </c>
      <c r="CC16" s="286" t="e">
        <v>#DIV/0!</v>
      </c>
      <c r="CD16" s="287">
        <f t="shared" si="44"/>
        <v>6</v>
      </c>
      <c r="CE16" s="67">
        <f t="shared" si="44"/>
        <v>35200</v>
      </c>
      <c r="CF16" s="56">
        <f t="shared" si="45"/>
        <v>5333.333333333333</v>
      </c>
      <c r="CG16" s="67">
        <f t="shared" si="46"/>
        <v>24640</v>
      </c>
      <c r="CH16" s="56">
        <f t="shared" si="47"/>
        <v>3733.3333333333335</v>
      </c>
      <c r="CI16" s="288">
        <f t="shared" si="48"/>
        <v>59840</v>
      </c>
      <c r="CJ16" s="289">
        <f t="shared" si="49"/>
        <v>9973.3333333333339</v>
      </c>
    </row>
    <row r="17" spans="1:88" ht="13.5" customHeight="1">
      <c r="A17" s="50"/>
      <c r="B17" s="320">
        <f t="shared" si="21"/>
        <v>46035</v>
      </c>
      <c r="C17" s="82"/>
      <c r="D17" s="52">
        <v>6</v>
      </c>
      <c r="E17" s="53">
        <v>11</v>
      </c>
      <c r="F17" s="54">
        <v>57200</v>
      </c>
      <c r="G17" s="55">
        <f t="shared" si="0"/>
        <v>4727.272727272727</v>
      </c>
      <c r="H17" s="54">
        <v>31900</v>
      </c>
      <c r="I17" s="56">
        <f t="shared" si="1"/>
        <v>2636.3636363636365</v>
      </c>
      <c r="J17" s="57">
        <f t="shared" si="2"/>
        <v>89100</v>
      </c>
      <c r="K17" s="58">
        <f t="shared" si="3"/>
        <v>8100</v>
      </c>
      <c r="L17" s="83">
        <v>1</v>
      </c>
      <c r="M17" s="84">
        <v>2</v>
      </c>
      <c r="N17" s="85">
        <v>7700</v>
      </c>
      <c r="O17" s="86">
        <f t="shared" si="4"/>
        <v>3850</v>
      </c>
      <c r="P17" s="61">
        <v>1100</v>
      </c>
      <c r="Q17" s="87">
        <f t="shared" si="5"/>
        <v>550</v>
      </c>
      <c r="R17" s="88">
        <f t="shared" si="50"/>
        <v>8800</v>
      </c>
      <c r="S17" s="89">
        <f t="shared" si="7"/>
        <v>4400</v>
      </c>
      <c r="T17" s="66">
        <f t="shared" si="22"/>
        <v>8</v>
      </c>
      <c r="U17" s="67">
        <f t="shared" si="23"/>
        <v>139920</v>
      </c>
      <c r="V17" s="55">
        <f t="shared" si="8"/>
        <v>15900</v>
      </c>
      <c r="W17" s="67">
        <f t="shared" si="24"/>
        <v>61710</v>
      </c>
      <c r="X17" s="56">
        <f t="shared" si="9"/>
        <v>7012.5</v>
      </c>
      <c r="Y17" s="90">
        <f t="shared" si="25"/>
        <v>201630</v>
      </c>
      <c r="Z17" s="69">
        <f t="shared" si="10"/>
        <v>25203.75</v>
      </c>
      <c r="AA17" s="70">
        <f t="shared" si="26"/>
        <v>21</v>
      </c>
      <c r="AB17" s="67">
        <f t="shared" si="26"/>
        <v>204820</v>
      </c>
      <c r="AC17" s="67">
        <f t="shared" si="27"/>
        <v>94710</v>
      </c>
      <c r="AD17" s="71">
        <f t="shared" si="51"/>
        <v>299530</v>
      </c>
      <c r="AE17" s="67">
        <f t="shared" si="28"/>
        <v>14263.333333333334</v>
      </c>
      <c r="AF17" s="72">
        <v>47</v>
      </c>
      <c r="AG17" s="73">
        <v>47</v>
      </c>
      <c r="AH17" s="54">
        <f>66950+8250</f>
        <v>75200</v>
      </c>
      <c r="AI17" s="55">
        <f t="shared" si="12"/>
        <v>1600</v>
      </c>
      <c r="AJ17" s="54">
        <v>4250</v>
      </c>
      <c r="AK17" s="56">
        <f t="shared" si="13"/>
        <v>90.425531914893611</v>
      </c>
      <c r="AL17" s="91">
        <f t="shared" si="29"/>
        <v>79450</v>
      </c>
      <c r="AM17" s="75">
        <f t="shared" si="14"/>
        <v>1690.4255319148936</v>
      </c>
      <c r="AN17" s="324">
        <v>1</v>
      </c>
      <c r="AO17" s="325">
        <v>4</v>
      </c>
      <c r="AP17" s="324">
        <v>0</v>
      </c>
      <c r="AQ17" s="325">
        <v>0</v>
      </c>
      <c r="AR17" s="97">
        <f t="shared" si="30"/>
        <v>19</v>
      </c>
      <c r="AS17" s="67">
        <f t="shared" si="31"/>
        <v>280020</v>
      </c>
      <c r="AT17" s="67">
        <f t="shared" si="15"/>
        <v>98960</v>
      </c>
      <c r="AU17" s="76">
        <f t="shared" si="32"/>
        <v>378980</v>
      </c>
      <c r="AV17" s="67">
        <f t="shared" si="52"/>
        <v>4400</v>
      </c>
      <c r="AW17" s="92">
        <v>21</v>
      </c>
      <c r="AX17" s="92">
        <v>204820</v>
      </c>
      <c r="AY17" s="92">
        <f>86130+8580</f>
        <v>94710</v>
      </c>
      <c r="AZ17" s="93">
        <v>4400</v>
      </c>
      <c r="BA17" s="93">
        <v>0</v>
      </c>
      <c r="BB17" s="93">
        <v>0</v>
      </c>
      <c r="BC17" s="93">
        <v>0</v>
      </c>
      <c r="BD17" s="94">
        <f t="shared" si="33"/>
        <v>303930</v>
      </c>
      <c r="BE17" s="79">
        <f t="shared" si="34"/>
        <v>303930</v>
      </c>
      <c r="BF17" s="50">
        <v>13</v>
      </c>
      <c r="BG17" s="50"/>
      <c r="BH17" s="50"/>
      <c r="BI17" s="79">
        <f t="shared" si="35"/>
        <v>303930</v>
      </c>
      <c r="BK17" s="80">
        <f t="shared" si="36"/>
        <v>303930</v>
      </c>
      <c r="BL17" s="349">
        <f t="shared" si="37"/>
        <v>383380</v>
      </c>
      <c r="BO17" s="283">
        <f t="shared" si="38"/>
        <v>6</v>
      </c>
      <c r="BP17" s="53">
        <f t="shared" si="38"/>
        <v>11</v>
      </c>
      <c r="BQ17" s="67">
        <f t="shared" si="38"/>
        <v>57200</v>
      </c>
      <c r="BR17" s="55">
        <f t="shared" si="16"/>
        <v>4727.272727272727</v>
      </c>
      <c r="BS17" s="67">
        <f t="shared" si="39"/>
        <v>31900</v>
      </c>
      <c r="BT17" s="56">
        <f t="shared" si="17"/>
        <v>2636.3636363636365</v>
      </c>
      <c r="BU17" s="57">
        <f t="shared" si="40"/>
        <v>89100</v>
      </c>
      <c r="BV17" s="58">
        <f t="shared" si="18"/>
        <v>8100</v>
      </c>
      <c r="BW17" s="284">
        <f t="shared" si="41"/>
        <v>8</v>
      </c>
      <c r="BX17" s="67">
        <f t="shared" si="41"/>
        <v>139920</v>
      </c>
      <c r="BY17" s="55">
        <f t="shared" si="19"/>
        <v>15900</v>
      </c>
      <c r="BZ17" s="67">
        <f t="shared" si="42"/>
        <v>61710</v>
      </c>
      <c r="CA17" s="56">
        <f t="shared" si="20"/>
        <v>7012.5</v>
      </c>
      <c r="CB17" s="285">
        <f t="shared" si="43"/>
        <v>201630</v>
      </c>
      <c r="CC17" s="286" t="e">
        <v>#DIV/0!</v>
      </c>
      <c r="CD17" s="287">
        <f t="shared" si="44"/>
        <v>19</v>
      </c>
      <c r="CE17" s="67">
        <f t="shared" si="44"/>
        <v>197120</v>
      </c>
      <c r="CF17" s="56">
        <f t="shared" si="45"/>
        <v>9431.5789473684217</v>
      </c>
      <c r="CG17" s="67">
        <f t="shared" si="46"/>
        <v>93610</v>
      </c>
      <c r="CH17" s="56">
        <f t="shared" si="47"/>
        <v>4478.9473684210525</v>
      </c>
      <c r="CI17" s="288">
        <f t="shared" si="48"/>
        <v>290730</v>
      </c>
      <c r="CJ17" s="289">
        <f t="shared" si="49"/>
        <v>15301.578947368422</v>
      </c>
    </row>
    <row r="18" spans="1:88" ht="13.5" customHeight="1">
      <c r="A18" s="50"/>
      <c r="B18" s="320">
        <f t="shared" si="21"/>
        <v>46036</v>
      </c>
      <c r="C18" s="82"/>
      <c r="D18" s="52">
        <v>3</v>
      </c>
      <c r="E18" s="53">
        <v>7</v>
      </c>
      <c r="F18" s="54">
        <v>30800</v>
      </c>
      <c r="G18" s="55">
        <f t="shared" si="0"/>
        <v>4000</v>
      </c>
      <c r="H18" s="54">
        <v>5720</v>
      </c>
      <c r="I18" s="56">
        <f t="shared" si="1"/>
        <v>742.85714285714289</v>
      </c>
      <c r="J18" s="57">
        <f t="shared" si="2"/>
        <v>36520</v>
      </c>
      <c r="K18" s="58">
        <f t="shared" si="3"/>
        <v>5217.1428571428569</v>
      </c>
      <c r="L18" s="83"/>
      <c r="M18" s="84"/>
      <c r="N18" s="85"/>
      <c r="O18" s="86" t="e">
        <f t="shared" si="4"/>
        <v>#DIV/0!</v>
      </c>
      <c r="P18" s="85"/>
      <c r="Q18" s="87" t="e">
        <f t="shared" si="5"/>
        <v>#DIV/0!</v>
      </c>
      <c r="R18" s="88">
        <f t="shared" si="50"/>
        <v>0</v>
      </c>
      <c r="S18" s="89" t="str">
        <f t="shared" si="7"/>
        <v/>
      </c>
      <c r="T18" s="66">
        <f t="shared" si="22"/>
        <v>0</v>
      </c>
      <c r="U18" s="67">
        <f t="shared" si="23"/>
        <v>11000</v>
      </c>
      <c r="V18" s="55" t="e">
        <f t="shared" si="8"/>
        <v>#DIV/0!</v>
      </c>
      <c r="W18" s="67">
        <f t="shared" si="24"/>
        <v>2200</v>
      </c>
      <c r="X18" s="56" t="e">
        <f t="shared" si="9"/>
        <v>#DIV/0!</v>
      </c>
      <c r="Y18" s="90">
        <f t="shared" si="25"/>
        <v>13200</v>
      </c>
      <c r="Z18" s="69" t="e">
        <f t="shared" si="10"/>
        <v>#DIV/0!</v>
      </c>
      <c r="AA18" s="70">
        <f t="shared" si="26"/>
        <v>7</v>
      </c>
      <c r="AB18" s="67">
        <f t="shared" si="26"/>
        <v>41800</v>
      </c>
      <c r="AC18" s="67">
        <f t="shared" si="27"/>
        <v>7920</v>
      </c>
      <c r="AD18" s="71">
        <f t="shared" si="51"/>
        <v>49720</v>
      </c>
      <c r="AE18" s="67">
        <f t="shared" si="28"/>
        <v>7102.8571428571431</v>
      </c>
      <c r="AF18" s="72">
        <v>64</v>
      </c>
      <c r="AG18" s="73">
        <v>64</v>
      </c>
      <c r="AH18" s="54">
        <f>63400+3300</f>
        <v>66700</v>
      </c>
      <c r="AI18" s="55">
        <f t="shared" si="12"/>
        <v>1042.1875</v>
      </c>
      <c r="AJ18" s="54">
        <v>14600</v>
      </c>
      <c r="AK18" s="56">
        <f t="shared" si="13"/>
        <v>228.125</v>
      </c>
      <c r="AL18" s="91">
        <f t="shared" si="29"/>
        <v>81300</v>
      </c>
      <c r="AM18" s="75">
        <f t="shared" si="14"/>
        <v>1270.3125</v>
      </c>
      <c r="AN18" s="324">
        <v>1</v>
      </c>
      <c r="AO18" s="325">
        <v>2</v>
      </c>
      <c r="AP18" s="324">
        <v>0</v>
      </c>
      <c r="AQ18" s="325">
        <v>0</v>
      </c>
      <c r="AR18" s="97">
        <f t="shared" si="30"/>
        <v>7</v>
      </c>
      <c r="AS18" s="67">
        <f t="shared" si="31"/>
        <v>108500</v>
      </c>
      <c r="AT18" s="67">
        <f t="shared" si="15"/>
        <v>22520</v>
      </c>
      <c r="AU18" s="76">
        <f t="shared" si="32"/>
        <v>131020</v>
      </c>
      <c r="AV18" s="67">
        <f t="shared" si="52"/>
        <v>0</v>
      </c>
      <c r="AW18" s="92">
        <v>7</v>
      </c>
      <c r="AX18" s="92">
        <v>41800</v>
      </c>
      <c r="AY18" s="92">
        <v>7920</v>
      </c>
      <c r="AZ18" s="93"/>
      <c r="BA18" s="93"/>
      <c r="BB18" s="93"/>
      <c r="BC18" s="93">
        <v>20000</v>
      </c>
      <c r="BD18" s="94">
        <f>SUM(AX18:BB18)</f>
        <v>49720</v>
      </c>
      <c r="BE18" s="79">
        <f t="shared" si="34"/>
        <v>69720</v>
      </c>
      <c r="BF18" s="50">
        <v>14</v>
      </c>
      <c r="BG18" s="50"/>
      <c r="BH18" s="50"/>
      <c r="BI18" s="79">
        <f t="shared" si="35"/>
        <v>49720</v>
      </c>
      <c r="BK18" s="80">
        <f t="shared" si="36"/>
        <v>69720</v>
      </c>
      <c r="BL18" s="349">
        <f t="shared" si="37"/>
        <v>131020</v>
      </c>
      <c r="BO18" s="283">
        <f t="shared" si="38"/>
        <v>3</v>
      </c>
      <c r="BP18" s="53">
        <f t="shared" si="38"/>
        <v>7</v>
      </c>
      <c r="BQ18" s="67">
        <f t="shared" si="38"/>
        <v>30800</v>
      </c>
      <c r="BR18" s="55">
        <f t="shared" si="16"/>
        <v>4000</v>
      </c>
      <c r="BS18" s="67">
        <f t="shared" si="39"/>
        <v>5720</v>
      </c>
      <c r="BT18" s="56">
        <f t="shared" si="17"/>
        <v>742.85714285714289</v>
      </c>
      <c r="BU18" s="57">
        <f t="shared" si="40"/>
        <v>36520</v>
      </c>
      <c r="BV18" s="58">
        <f t="shared" si="18"/>
        <v>5217.1428571428569</v>
      </c>
      <c r="BW18" s="284">
        <f t="shared" si="41"/>
        <v>0</v>
      </c>
      <c r="BX18" s="67">
        <f t="shared" si="41"/>
        <v>11000</v>
      </c>
      <c r="BY18" s="55" t="e">
        <f t="shared" si="19"/>
        <v>#DIV/0!</v>
      </c>
      <c r="BZ18" s="67">
        <f t="shared" si="42"/>
        <v>2200</v>
      </c>
      <c r="CA18" s="56" t="e">
        <f t="shared" si="20"/>
        <v>#DIV/0!</v>
      </c>
      <c r="CB18" s="285">
        <f t="shared" si="43"/>
        <v>13200</v>
      </c>
      <c r="CC18" s="286" t="e">
        <v>#DIV/0!</v>
      </c>
      <c r="CD18" s="287">
        <f t="shared" si="44"/>
        <v>7</v>
      </c>
      <c r="CE18" s="67">
        <f t="shared" si="44"/>
        <v>41800</v>
      </c>
      <c r="CF18" s="56">
        <f t="shared" si="45"/>
        <v>5428.5714285714284</v>
      </c>
      <c r="CG18" s="67">
        <f t="shared" si="46"/>
        <v>7920</v>
      </c>
      <c r="CH18" s="56">
        <f t="shared" si="47"/>
        <v>1028.5714285714287</v>
      </c>
      <c r="CI18" s="288">
        <f t="shared" si="48"/>
        <v>49720</v>
      </c>
      <c r="CJ18" s="289">
        <f t="shared" si="49"/>
        <v>7102.8571428571431</v>
      </c>
    </row>
    <row r="19" spans="1:88" ht="13.5" customHeight="1">
      <c r="A19" s="50"/>
      <c r="B19" s="320">
        <f t="shared" si="21"/>
        <v>46037</v>
      </c>
      <c r="C19" s="82"/>
      <c r="D19" s="52">
        <v>4</v>
      </c>
      <c r="E19" s="53">
        <v>10</v>
      </c>
      <c r="F19" s="54">
        <v>74800</v>
      </c>
      <c r="G19" s="55">
        <f t="shared" si="0"/>
        <v>6800</v>
      </c>
      <c r="H19" s="54">
        <v>38170</v>
      </c>
      <c r="I19" s="56">
        <f t="shared" si="1"/>
        <v>3470</v>
      </c>
      <c r="J19" s="57">
        <f t="shared" si="2"/>
        <v>112970</v>
      </c>
      <c r="K19" s="58">
        <f t="shared" si="3"/>
        <v>11297</v>
      </c>
      <c r="L19" s="83"/>
      <c r="M19" s="84"/>
      <c r="N19" s="85"/>
      <c r="O19" s="86" t="e">
        <f t="shared" si="4"/>
        <v>#DIV/0!</v>
      </c>
      <c r="P19" s="85"/>
      <c r="Q19" s="87" t="e">
        <f t="shared" si="5"/>
        <v>#DIV/0!</v>
      </c>
      <c r="R19" s="88">
        <f t="shared" si="50"/>
        <v>0</v>
      </c>
      <c r="S19" s="89" t="str">
        <f t="shared" si="7"/>
        <v/>
      </c>
      <c r="T19" s="66">
        <f t="shared" si="22"/>
        <v>16</v>
      </c>
      <c r="U19" s="67">
        <f t="shared" si="23"/>
        <v>245300</v>
      </c>
      <c r="V19" s="55">
        <f t="shared" si="8"/>
        <v>13937.5</v>
      </c>
      <c r="W19" s="67">
        <f t="shared" si="24"/>
        <v>74800</v>
      </c>
      <c r="X19" s="98">
        <f t="shared" si="9"/>
        <v>4250</v>
      </c>
      <c r="Y19" s="90">
        <f t="shared" si="25"/>
        <v>320100</v>
      </c>
      <c r="Z19" s="69">
        <f t="shared" si="10"/>
        <v>20006.25</v>
      </c>
      <c r="AA19" s="70">
        <v>26</v>
      </c>
      <c r="AB19" s="67">
        <f t="shared" si="26"/>
        <v>320100</v>
      </c>
      <c r="AC19" s="67">
        <f t="shared" si="27"/>
        <v>112970</v>
      </c>
      <c r="AD19" s="71">
        <f t="shared" si="51"/>
        <v>433070</v>
      </c>
      <c r="AE19" s="67">
        <f t="shared" si="28"/>
        <v>16656.538461538461</v>
      </c>
      <c r="AF19" s="72">
        <v>46</v>
      </c>
      <c r="AG19" s="73">
        <v>48</v>
      </c>
      <c r="AH19" s="54">
        <v>71100</v>
      </c>
      <c r="AI19" s="55">
        <f t="shared" si="12"/>
        <v>1481.25</v>
      </c>
      <c r="AJ19" s="54">
        <v>6900</v>
      </c>
      <c r="AK19" s="56">
        <f t="shared" si="13"/>
        <v>143.75</v>
      </c>
      <c r="AL19" s="91">
        <f t="shared" si="29"/>
        <v>78000</v>
      </c>
      <c r="AM19" s="75">
        <f t="shared" si="14"/>
        <v>1625</v>
      </c>
      <c r="AN19" s="324">
        <v>0</v>
      </c>
      <c r="AO19" s="325">
        <v>0</v>
      </c>
      <c r="AP19" s="324">
        <v>0</v>
      </c>
      <c r="AQ19" s="325">
        <v>0</v>
      </c>
      <c r="AR19" s="97">
        <f t="shared" si="30"/>
        <v>26</v>
      </c>
      <c r="AS19" s="67">
        <f t="shared" si="31"/>
        <v>391200</v>
      </c>
      <c r="AT19" s="67">
        <f t="shared" si="15"/>
        <v>119870</v>
      </c>
      <c r="AU19" s="76">
        <f t="shared" si="32"/>
        <v>511070</v>
      </c>
      <c r="AV19" s="67">
        <f t="shared" si="52"/>
        <v>4400</v>
      </c>
      <c r="AW19" s="92">
        <v>26</v>
      </c>
      <c r="AX19" s="92">
        <v>320100</v>
      </c>
      <c r="AY19" s="92">
        <v>112970</v>
      </c>
      <c r="AZ19" s="93">
        <v>4400</v>
      </c>
      <c r="BA19" s="93"/>
      <c r="BB19" s="93"/>
      <c r="BC19" s="93">
        <v>5000</v>
      </c>
      <c r="BD19" s="94">
        <f t="shared" si="33"/>
        <v>437470</v>
      </c>
      <c r="BE19" s="79">
        <f t="shared" si="34"/>
        <v>442470</v>
      </c>
      <c r="BF19" s="50">
        <v>15</v>
      </c>
      <c r="BG19" s="50"/>
      <c r="BH19" s="50"/>
      <c r="BI19" s="79">
        <f t="shared" si="35"/>
        <v>437470</v>
      </c>
      <c r="BK19" s="80">
        <f t="shared" si="36"/>
        <v>442470</v>
      </c>
      <c r="BL19" s="349">
        <f t="shared" si="37"/>
        <v>515470</v>
      </c>
      <c r="BO19" s="283">
        <f t="shared" si="38"/>
        <v>4</v>
      </c>
      <c r="BP19" s="53">
        <f t="shared" si="38"/>
        <v>10</v>
      </c>
      <c r="BQ19" s="67">
        <f t="shared" si="38"/>
        <v>74800</v>
      </c>
      <c r="BR19" s="55">
        <f t="shared" si="16"/>
        <v>6800</v>
      </c>
      <c r="BS19" s="67">
        <f t="shared" si="39"/>
        <v>38170</v>
      </c>
      <c r="BT19" s="56">
        <f t="shared" si="17"/>
        <v>3470</v>
      </c>
      <c r="BU19" s="57">
        <f t="shared" si="40"/>
        <v>112970</v>
      </c>
      <c r="BV19" s="58">
        <f t="shared" si="18"/>
        <v>11297</v>
      </c>
      <c r="BW19" s="284">
        <f t="shared" si="41"/>
        <v>16</v>
      </c>
      <c r="BX19" s="67">
        <f t="shared" si="41"/>
        <v>245300</v>
      </c>
      <c r="BY19" s="55">
        <f t="shared" si="19"/>
        <v>13937.5</v>
      </c>
      <c r="BZ19" s="67">
        <f t="shared" si="42"/>
        <v>74800</v>
      </c>
      <c r="CA19" s="56">
        <f t="shared" si="20"/>
        <v>4250</v>
      </c>
      <c r="CB19" s="285">
        <f t="shared" si="43"/>
        <v>320100</v>
      </c>
      <c r="CC19" s="286" t="e">
        <v>#DIV/0!</v>
      </c>
      <c r="CD19" s="287">
        <f t="shared" si="44"/>
        <v>26</v>
      </c>
      <c r="CE19" s="67">
        <f t="shared" si="44"/>
        <v>320100</v>
      </c>
      <c r="CF19" s="56">
        <f t="shared" si="45"/>
        <v>11192.307692307691</v>
      </c>
      <c r="CG19" s="67">
        <f t="shared" si="46"/>
        <v>112970</v>
      </c>
      <c r="CH19" s="56">
        <f t="shared" si="47"/>
        <v>3950</v>
      </c>
      <c r="CI19" s="288">
        <f t="shared" si="48"/>
        <v>433070</v>
      </c>
      <c r="CJ19" s="289">
        <f t="shared" si="49"/>
        <v>16656.538461538461</v>
      </c>
    </row>
    <row r="20" spans="1:88" ht="13.5" customHeight="1">
      <c r="A20" s="50"/>
      <c r="B20" s="320">
        <f t="shared" si="21"/>
        <v>46038</v>
      </c>
      <c r="C20" s="82"/>
      <c r="D20" s="52">
        <v>4</v>
      </c>
      <c r="E20" s="53">
        <v>8</v>
      </c>
      <c r="F20" s="54">
        <v>45200</v>
      </c>
      <c r="G20" s="55">
        <f t="shared" si="0"/>
        <v>5136.25</v>
      </c>
      <c r="H20" s="54">
        <f>5950+7150</f>
        <v>13100</v>
      </c>
      <c r="I20" s="55">
        <f t="shared" si="1"/>
        <v>1488.625</v>
      </c>
      <c r="J20" s="57">
        <f t="shared" si="2"/>
        <v>58300</v>
      </c>
      <c r="K20" s="58">
        <f t="shared" si="3"/>
        <v>7287.5</v>
      </c>
      <c r="L20" s="83"/>
      <c r="M20" s="84"/>
      <c r="N20" s="85"/>
      <c r="O20" s="86" t="e">
        <f t="shared" si="4"/>
        <v>#DIV/0!</v>
      </c>
      <c r="P20" s="85"/>
      <c r="Q20" s="87" t="e">
        <f t="shared" si="5"/>
        <v>#DIV/0!</v>
      </c>
      <c r="R20" s="88">
        <f t="shared" si="50"/>
        <v>0</v>
      </c>
      <c r="S20" s="89" t="str">
        <f t="shared" si="7"/>
        <v/>
      </c>
      <c r="T20" s="66">
        <f t="shared" si="22"/>
        <v>6</v>
      </c>
      <c r="U20" s="67">
        <f t="shared" si="23"/>
        <v>61400</v>
      </c>
      <c r="V20" s="55">
        <f t="shared" si="8"/>
        <v>9303</v>
      </c>
      <c r="W20" s="67">
        <f t="shared" si="24"/>
        <v>14800</v>
      </c>
      <c r="X20" s="98">
        <f t="shared" si="9"/>
        <v>2242.3333333333335</v>
      </c>
      <c r="Y20" s="90">
        <f t="shared" si="25"/>
        <v>76200</v>
      </c>
      <c r="Z20" s="69">
        <f t="shared" si="10"/>
        <v>12700</v>
      </c>
      <c r="AA20" s="70">
        <f t="shared" si="26"/>
        <v>14</v>
      </c>
      <c r="AB20" s="67">
        <f t="shared" si="26"/>
        <v>106600</v>
      </c>
      <c r="AC20" s="67">
        <f t="shared" si="27"/>
        <v>27900</v>
      </c>
      <c r="AD20" s="71">
        <f t="shared" si="51"/>
        <v>134500</v>
      </c>
      <c r="AE20" s="67">
        <f t="shared" si="28"/>
        <v>9607.1428571428569</v>
      </c>
      <c r="AF20" s="72">
        <v>132</v>
      </c>
      <c r="AG20" s="73">
        <v>136</v>
      </c>
      <c r="AH20" s="54">
        <f>110460+6950</f>
        <v>117410</v>
      </c>
      <c r="AI20" s="55">
        <f t="shared" si="12"/>
        <v>863.30882352941171</v>
      </c>
      <c r="AJ20" s="54">
        <v>42000</v>
      </c>
      <c r="AK20" s="56">
        <f t="shared" si="13"/>
        <v>308.8235294117647</v>
      </c>
      <c r="AL20" s="91">
        <f t="shared" si="29"/>
        <v>159410</v>
      </c>
      <c r="AM20" s="75">
        <f t="shared" si="14"/>
        <v>1172.1323529411766</v>
      </c>
      <c r="AN20" s="324">
        <v>0</v>
      </c>
      <c r="AO20" s="325">
        <v>0</v>
      </c>
      <c r="AP20" s="324">
        <v>0</v>
      </c>
      <c r="AQ20" s="325">
        <v>0</v>
      </c>
      <c r="AR20" s="97">
        <f t="shared" si="30"/>
        <v>14</v>
      </c>
      <c r="AS20" s="92">
        <f t="shared" si="31"/>
        <v>224010</v>
      </c>
      <c r="AT20" s="92">
        <f t="shared" si="15"/>
        <v>69900</v>
      </c>
      <c r="AU20" s="76">
        <f t="shared" si="32"/>
        <v>293910</v>
      </c>
      <c r="AV20" s="67">
        <f t="shared" si="52"/>
        <v>2200</v>
      </c>
      <c r="AW20" s="92">
        <v>14</v>
      </c>
      <c r="AX20" s="92">
        <v>106600</v>
      </c>
      <c r="AY20" s="92">
        <f>14750+13150</f>
        <v>27900</v>
      </c>
      <c r="AZ20" s="93">
        <v>2200</v>
      </c>
      <c r="BA20" s="93"/>
      <c r="BB20" s="93"/>
      <c r="BC20" s="93"/>
      <c r="BD20" s="94">
        <f t="shared" si="33"/>
        <v>136700</v>
      </c>
      <c r="BE20" s="79">
        <f t="shared" si="34"/>
        <v>136700</v>
      </c>
      <c r="BF20" s="50">
        <v>16</v>
      </c>
      <c r="BG20" s="50"/>
      <c r="BH20" s="50">
        <v>198</v>
      </c>
      <c r="BI20" s="79">
        <f t="shared" si="35"/>
        <v>136502</v>
      </c>
      <c r="BJ20" s="7" t="s">
        <v>99</v>
      </c>
      <c r="BK20" s="80">
        <f t="shared" si="36"/>
        <v>136502</v>
      </c>
      <c r="BL20" s="349">
        <f t="shared" si="37"/>
        <v>295912</v>
      </c>
      <c r="BO20" s="283">
        <f t="shared" si="38"/>
        <v>4</v>
      </c>
      <c r="BP20" s="53">
        <f t="shared" si="38"/>
        <v>8</v>
      </c>
      <c r="BQ20" s="67">
        <f t="shared" si="38"/>
        <v>45200</v>
      </c>
      <c r="BR20" s="55">
        <f t="shared" si="16"/>
        <v>5136.25</v>
      </c>
      <c r="BS20" s="67">
        <f t="shared" si="39"/>
        <v>13100</v>
      </c>
      <c r="BT20" s="56">
        <f t="shared" si="17"/>
        <v>1488.625</v>
      </c>
      <c r="BU20" s="57">
        <f t="shared" si="40"/>
        <v>58300</v>
      </c>
      <c r="BV20" s="58">
        <f t="shared" si="18"/>
        <v>7287.5</v>
      </c>
      <c r="BW20" s="284">
        <f t="shared" si="41"/>
        <v>6</v>
      </c>
      <c r="BX20" s="67">
        <f t="shared" si="41"/>
        <v>61400</v>
      </c>
      <c r="BY20" s="55">
        <f t="shared" si="19"/>
        <v>9303</v>
      </c>
      <c r="BZ20" s="67">
        <f t="shared" si="42"/>
        <v>14800</v>
      </c>
      <c r="CA20" s="56">
        <f t="shared" si="20"/>
        <v>2242.3333333333335</v>
      </c>
      <c r="CB20" s="285">
        <f t="shared" si="43"/>
        <v>76200</v>
      </c>
      <c r="CC20" s="286" t="e">
        <v>#DIV/0!</v>
      </c>
      <c r="CD20" s="287">
        <f t="shared" si="44"/>
        <v>14</v>
      </c>
      <c r="CE20" s="67">
        <f t="shared" si="44"/>
        <v>106600</v>
      </c>
      <c r="CF20" s="56">
        <f t="shared" si="45"/>
        <v>6922.0714285714284</v>
      </c>
      <c r="CG20" s="67">
        <f t="shared" si="46"/>
        <v>27900</v>
      </c>
      <c r="CH20" s="56">
        <f t="shared" si="47"/>
        <v>1811.6428571428571</v>
      </c>
      <c r="CI20" s="288">
        <f t="shared" si="48"/>
        <v>134500</v>
      </c>
      <c r="CJ20" s="289">
        <f t="shared" si="49"/>
        <v>9607.1428571428569</v>
      </c>
    </row>
    <row r="21" spans="1:88" ht="15.75" customHeight="1">
      <c r="A21" s="50"/>
      <c r="B21" s="332">
        <f t="shared" si="21"/>
        <v>46039</v>
      </c>
      <c r="C21" s="82"/>
      <c r="D21" s="52">
        <v>5</v>
      </c>
      <c r="E21" s="53">
        <v>20</v>
      </c>
      <c r="F21" s="54">
        <v>99000</v>
      </c>
      <c r="G21" s="55">
        <f t="shared" si="0"/>
        <v>4500</v>
      </c>
      <c r="H21" s="54">
        <f>13750+29700</f>
        <v>43450</v>
      </c>
      <c r="I21" s="55">
        <f t="shared" si="1"/>
        <v>1975</v>
      </c>
      <c r="J21" s="57">
        <f t="shared" si="2"/>
        <v>142450</v>
      </c>
      <c r="K21" s="58">
        <f t="shared" si="3"/>
        <v>7122.5</v>
      </c>
      <c r="L21" s="83">
        <v>1</v>
      </c>
      <c r="M21" s="84">
        <v>1</v>
      </c>
      <c r="N21" s="85">
        <v>3850</v>
      </c>
      <c r="O21" s="86">
        <f t="shared" si="4"/>
        <v>3850</v>
      </c>
      <c r="P21" s="85">
        <v>1650</v>
      </c>
      <c r="Q21" s="87">
        <f t="shared" si="5"/>
        <v>1650</v>
      </c>
      <c r="R21" s="88">
        <f t="shared" si="50"/>
        <v>5500</v>
      </c>
      <c r="S21" s="89">
        <f t="shared" si="7"/>
        <v>5500</v>
      </c>
      <c r="T21" s="66">
        <f t="shared" si="22"/>
        <v>9</v>
      </c>
      <c r="U21" s="67">
        <f t="shared" si="23"/>
        <v>140030</v>
      </c>
      <c r="V21" s="55">
        <f t="shared" si="8"/>
        <v>14144.444444444445</v>
      </c>
      <c r="W21" s="67">
        <f t="shared" si="24"/>
        <v>46690</v>
      </c>
      <c r="X21" s="98">
        <f t="shared" si="9"/>
        <v>4716.1111111111113</v>
      </c>
      <c r="Y21" s="90">
        <f>U21+W21</f>
        <v>186720</v>
      </c>
      <c r="Z21" s="69">
        <f t="shared" si="10"/>
        <v>20746.666666666668</v>
      </c>
      <c r="AA21" s="70">
        <f t="shared" si="26"/>
        <v>30</v>
      </c>
      <c r="AB21" s="67">
        <f t="shared" si="26"/>
        <v>242880</v>
      </c>
      <c r="AC21" s="67">
        <f t="shared" si="27"/>
        <v>91790</v>
      </c>
      <c r="AD21" s="71">
        <f t="shared" si="51"/>
        <v>334670</v>
      </c>
      <c r="AE21" s="67">
        <f t="shared" si="28"/>
        <v>11155.666666666666</v>
      </c>
      <c r="AF21" s="72">
        <v>75</v>
      </c>
      <c r="AG21" s="73">
        <v>78</v>
      </c>
      <c r="AH21" s="54">
        <v>95350</v>
      </c>
      <c r="AI21" s="55">
        <f t="shared" si="12"/>
        <v>1222.4358974358975</v>
      </c>
      <c r="AJ21" s="54">
        <v>16100</v>
      </c>
      <c r="AK21" s="56">
        <f t="shared" si="13"/>
        <v>206.41025641025641</v>
      </c>
      <c r="AL21" s="91">
        <f t="shared" si="29"/>
        <v>111450</v>
      </c>
      <c r="AM21" s="75">
        <f t="shared" si="14"/>
        <v>1428.8461538461538</v>
      </c>
      <c r="AN21" s="324">
        <v>0</v>
      </c>
      <c r="AO21" s="325">
        <v>0</v>
      </c>
      <c r="AP21" s="324">
        <v>0</v>
      </c>
      <c r="AQ21" s="325">
        <v>0</v>
      </c>
      <c r="AR21" s="97">
        <f t="shared" si="30"/>
        <v>29</v>
      </c>
      <c r="AS21" s="92">
        <f t="shared" si="31"/>
        <v>338230</v>
      </c>
      <c r="AT21" s="92">
        <f t="shared" si="15"/>
        <v>107890</v>
      </c>
      <c r="AU21" s="76">
        <f t="shared" si="32"/>
        <v>446120</v>
      </c>
      <c r="AV21" s="67">
        <f>AZ21+BA21+BB21</f>
        <v>6600</v>
      </c>
      <c r="AW21" s="92">
        <v>30</v>
      </c>
      <c r="AX21" s="92">
        <v>242880</v>
      </c>
      <c r="AY21" s="92">
        <f>25460+66330</f>
        <v>91790</v>
      </c>
      <c r="AZ21" s="93">
        <v>6600</v>
      </c>
      <c r="BA21" s="93"/>
      <c r="BB21" s="93"/>
      <c r="BC21" s="93"/>
      <c r="BD21" s="94">
        <f t="shared" si="33"/>
        <v>341270</v>
      </c>
      <c r="BE21" s="79">
        <f t="shared" si="34"/>
        <v>341270</v>
      </c>
      <c r="BF21" s="50">
        <v>17</v>
      </c>
      <c r="BG21" s="50">
        <v>660</v>
      </c>
      <c r="BH21" s="50">
        <v>990</v>
      </c>
      <c r="BI21" s="79">
        <f t="shared" si="35"/>
        <v>339620</v>
      </c>
      <c r="BJ21" s="7" t="s">
        <v>100</v>
      </c>
      <c r="BK21" s="80">
        <f t="shared" si="36"/>
        <v>339620</v>
      </c>
      <c r="BL21" s="349">
        <f t="shared" si="37"/>
        <v>451070</v>
      </c>
      <c r="BO21" s="283">
        <f t="shared" si="38"/>
        <v>5</v>
      </c>
      <c r="BP21" s="53">
        <f t="shared" si="38"/>
        <v>20</v>
      </c>
      <c r="BQ21" s="67">
        <f t="shared" si="38"/>
        <v>99000</v>
      </c>
      <c r="BR21" s="55">
        <f t="shared" si="16"/>
        <v>4500</v>
      </c>
      <c r="BS21" s="67">
        <f t="shared" si="39"/>
        <v>43450</v>
      </c>
      <c r="BT21" s="56">
        <f t="shared" si="17"/>
        <v>1975</v>
      </c>
      <c r="BU21" s="57">
        <f t="shared" si="40"/>
        <v>142450</v>
      </c>
      <c r="BV21" s="58">
        <f t="shared" si="18"/>
        <v>7122.5</v>
      </c>
      <c r="BW21" s="284">
        <f t="shared" si="41"/>
        <v>9</v>
      </c>
      <c r="BX21" s="67">
        <f t="shared" si="41"/>
        <v>140030</v>
      </c>
      <c r="BY21" s="55">
        <f t="shared" si="19"/>
        <v>14144.444444444445</v>
      </c>
      <c r="BZ21" s="67">
        <f t="shared" si="42"/>
        <v>46690</v>
      </c>
      <c r="CA21" s="56">
        <f t="shared" si="20"/>
        <v>4716.1111111111113</v>
      </c>
      <c r="CB21" s="285">
        <f t="shared" si="43"/>
        <v>186720</v>
      </c>
      <c r="CC21" s="286" t="e">
        <v>#DIV/0!</v>
      </c>
      <c r="CD21" s="287">
        <f t="shared" si="44"/>
        <v>29</v>
      </c>
      <c r="CE21" s="67">
        <f t="shared" si="44"/>
        <v>239030</v>
      </c>
      <c r="CF21" s="56">
        <f t="shared" si="45"/>
        <v>7493.1034482758623</v>
      </c>
      <c r="CG21" s="67">
        <f t="shared" si="46"/>
        <v>90140</v>
      </c>
      <c r="CH21" s="56">
        <f t="shared" si="47"/>
        <v>2825.6896551724139</v>
      </c>
      <c r="CI21" s="288">
        <f t="shared" si="48"/>
        <v>329170</v>
      </c>
      <c r="CJ21" s="289">
        <f t="shared" si="49"/>
        <v>11350.689655172413</v>
      </c>
    </row>
    <row r="22" spans="1:88" ht="15.75" customHeight="1">
      <c r="A22" s="50"/>
      <c r="B22" s="95">
        <f t="shared" si="21"/>
        <v>46040</v>
      </c>
      <c r="C22" s="82"/>
      <c r="D22" s="52">
        <v>7</v>
      </c>
      <c r="E22" s="53">
        <v>15</v>
      </c>
      <c r="F22" s="54">
        <v>142600</v>
      </c>
      <c r="G22" s="55">
        <f t="shared" si="0"/>
        <v>8642.4</v>
      </c>
      <c r="H22" s="54">
        <f>12650+16940</f>
        <v>29590</v>
      </c>
      <c r="I22" s="55">
        <f t="shared" si="1"/>
        <v>1793.3333333333333</v>
      </c>
      <c r="J22" s="57">
        <f t="shared" si="2"/>
        <v>172190</v>
      </c>
      <c r="K22" s="58">
        <f t="shared" si="3"/>
        <v>11479.333333333334</v>
      </c>
      <c r="L22" s="83">
        <v>2</v>
      </c>
      <c r="M22" s="84">
        <v>6</v>
      </c>
      <c r="N22" s="85">
        <v>23100</v>
      </c>
      <c r="O22" s="86">
        <f t="shared" si="4"/>
        <v>3850</v>
      </c>
      <c r="P22" s="85">
        <v>4400</v>
      </c>
      <c r="Q22" s="87">
        <f t="shared" si="5"/>
        <v>733.33333333333337</v>
      </c>
      <c r="R22" s="88">
        <f t="shared" si="50"/>
        <v>27500</v>
      </c>
      <c r="S22" s="89">
        <f t="shared" si="7"/>
        <v>4583.333333333333</v>
      </c>
      <c r="T22" s="66">
        <f t="shared" si="22"/>
        <v>1</v>
      </c>
      <c r="U22" s="67">
        <f t="shared" si="23"/>
        <v>22000</v>
      </c>
      <c r="V22" s="55">
        <f t="shared" si="8"/>
        <v>20000</v>
      </c>
      <c r="W22" s="67">
        <f t="shared" si="24"/>
        <v>12320</v>
      </c>
      <c r="X22" s="98">
        <f t="shared" si="9"/>
        <v>11200</v>
      </c>
      <c r="Y22" s="90">
        <f t="shared" si="25"/>
        <v>34320</v>
      </c>
      <c r="Z22" s="69">
        <f t="shared" si="10"/>
        <v>34320</v>
      </c>
      <c r="AA22" s="70">
        <f t="shared" si="26"/>
        <v>22</v>
      </c>
      <c r="AB22" s="67">
        <f t="shared" si="26"/>
        <v>187700</v>
      </c>
      <c r="AC22" s="67">
        <f t="shared" si="27"/>
        <v>46310</v>
      </c>
      <c r="AD22" s="71">
        <f t="shared" si="51"/>
        <v>234010</v>
      </c>
      <c r="AE22" s="67">
        <f t="shared" si="28"/>
        <v>10636.818181818182</v>
      </c>
      <c r="AF22" s="72">
        <v>75</v>
      </c>
      <c r="AG22" s="73">
        <v>77</v>
      </c>
      <c r="AH22" s="54">
        <f>70500+3100</f>
        <v>73600</v>
      </c>
      <c r="AI22" s="55">
        <f t="shared" si="12"/>
        <v>955.84415584415581</v>
      </c>
      <c r="AJ22" s="54">
        <v>19400</v>
      </c>
      <c r="AK22" s="56">
        <f t="shared" si="13"/>
        <v>251.94805194805195</v>
      </c>
      <c r="AL22" s="91">
        <f t="shared" si="29"/>
        <v>93000</v>
      </c>
      <c r="AM22" s="75">
        <f t="shared" si="14"/>
        <v>1207.7922077922078</v>
      </c>
      <c r="AN22" s="324">
        <v>0</v>
      </c>
      <c r="AO22" s="325">
        <v>0</v>
      </c>
      <c r="AP22" s="324">
        <v>1</v>
      </c>
      <c r="AQ22" s="325">
        <v>2</v>
      </c>
      <c r="AR22" s="97">
        <f t="shared" si="30"/>
        <v>16</v>
      </c>
      <c r="AS22" s="92">
        <f t="shared" si="31"/>
        <v>261300</v>
      </c>
      <c r="AT22" s="92">
        <f t="shared" si="15"/>
        <v>65710</v>
      </c>
      <c r="AU22" s="76">
        <f t="shared" si="32"/>
        <v>327010</v>
      </c>
      <c r="AV22" s="67">
        <f t="shared" si="52"/>
        <v>2200</v>
      </c>
      <c r="AW22" s="92">
        <v>22</v>
      </c>
      <c r="AX22" s="92">
        <v>187700</v>
      </c>
      <c r="AY22" s="92">
        <f>19470+26840</f>
        <v>46310</v>
      </c>
      <c r="AZ22" s="93">
        <v>2200</v>
      </c>
      <c r="BA22" s="93"/>
      <c r="BB22" s="93"/>
      <c r="BC22" s="93">
        <v>3300</v>
      </c>
      <c r="BD22" s="94">
        <f t="shared" si="33"/>
        <v>236210</v>
      </c>
      <c r="BE22" s="79">
        <f t="shared" si="34"/>
        <v>239510</v>
      </c>
      <c r="BF22" s="50">
        <v>18</v>
      </c>
      <c r="BG22" s="50"/>
      <c r="BH22" s="50"/>
      <c r="BI22" s="79">
        <f t="shared" si="35"/>
        <v>236210</v>
      </c>
      <c r="BK22" s="80">
        <f t="shared" si="36"/>
        <v>239510</v>
      </c>
      <c r="BL22" s="349">
        <f t="shared" si="37"/>
        <v>329210</v>
      </c>
      <c r="BO22" s="283">
        <f t="shared" si="38"/>
        <v>7</v>
      </c>
      <c r="BP22" s="53">
        <f t="shared" si="38"/>
        <v>15</v>
      </c>
      <c r="BQ22" s="67">
        <f t="shared" si="38"/>
        <v>142600</v>
      </c>
      <c r="BR22" s="55">
        <f t="shared" si="16"/>
        <v>8642.4</v>
      </c>
      <c r="BS22" s="67">
        <f t="shared" si="39"/>
        <v>29590</v>
      </c>
      <c r="BT22" s="56">
        <f t="shared" si="17"/>
        <v>1793.3333333333333</v>
      </c>
      <c r="BU22" s="57">
        <f t="shared" si="40"/>
        <v>172190</v>
      </c>
      <c r="BV22" s="58">
        <f t="shared" si="18"/>
        <v>11479.333333333334</v>
      </c>
      <c r="BW22" s="284">
        <f t="shared" si="41"/>
        <v>1</v>
      </c>
      <c r="BX22" s="67">
        <f t="shared" si="41"/>
        <v>22000</v>
      </c>
      <c r="BY22" s="55">
        <f t="shared" si="19"/>
        <v>20000</v>
      </c>
      <c r="BZ22" s="67">
        <f t="shared" si="42"/>
        <v>12320</v>
      </c>
      <c r="CA22" s="56">
        <f t="shared" si="20"/>
        <v>11200</v>
      </c>
      <c r="CB22" s="285">
        <f t="shared" si="43"/>
        <v>34320</v>
      </c>
      <c r="CC22" s="286" t="e">
        <v>#DIV/0!</v>
      </c>
      <c r="CD22" s="287">
        <f t="shared" si="44"/>
        <v>16</v>
      </c>
      <c r="CE22" s="67">
        <f t="shared" si="44"/>
        <v>164600</v>
      </c>
      <c r="CF22" s="56">
        <f t="shared" si="45"/>
        <v>9352.25</v>
      </c>
      <c r="CG22" s="67">
        <f t="shared" si="46"/>
        <v>41910</v>
      </c>
      <c r="CH22" s="56">
        <f t="shared" si="47"/>
        <v>2381.25</v>
      </c>
      <c r="CI22" s="288">
        <f t="shared" si="48"/>
        <v>206510</v>
      </c>
      <c r="CJ22" s="289">
        <f t="shared" si="49"/>
        <v>12906.875</v>
      </c>
    </row>
    <row r="23" spans="1:88" ht="15.75" customHeight="1">
      <c r="A23" s="50"/>
      <c r="B23" s="320">
        <f t="shared" si="21"/>
        <v>46041</v>
      </c>
      <c r="C23" s="82"/>
      <c r="D23" s="52">
        <v>4</v>
      </c>
      <c r="E23" s="53">
        <v>10</v>
      </c>
      <c r="F23" s="54">
        <v>61600</v>
      </c>
      <c r="G23" s="55">
        <f t="shared" si="0"/>
        <v>5600</v>
      </c>
      <c r="H23" s="54">
        <f>3850+11550</f>
        <v>15400</v>
      </c>
      <c r="I23" s="55">
        <f t="shared" si="1"/>
        <v>1400</v>
      </c>
      <c r="J23" s="57">
        <f t="shared" si="2"/>
        <v>77000</v>
      </c>
      <c r="K23" s="58">
        <f t="shared" si="3"/>
        <v>7700</v>
      </c>
      <c r="L23" s="83"/>
      <c r="M23" s="84"/>
      <c r="N23" s="85"/>
      <c r="O23" s="86" t="e">
        <f t="shared" si="4"/>
        <v>#DIV/0!</v>
      </c>
      <c r="P23" s="85"/>
      <c r="Q23" s="87" t="e">
        <f t="shared" si="5"/>
        <v>#DIV/0!</v>
      </c>
      <c r="R23" s="88">
        <f t="shared" si="50"/>
        <v>0</v>
      </c>
      <c r="S23" s="89" t="str">
        <f t="shared" si="7"/>
        <v/>
      </c>
      <c r="T23" s="66">
        <f t="shared" si="22"/>
        <v>3</v>
      </c>
      <c r="U23" s="67">
        <f t="shared" si="23"/>
        <v>42340</v>
      </c>
      <c r="V23" s="55">
        <f t="shared" si="8"/>
        <v>12830</v>
      </c>
      <c r="W23" s="67">
        <f t="shared" si="24"/>
        <v>45040</v>
      </c>
      <c r="X23" s="98">
        <f t="shared" si="9"/>
        <v>13648.333333333334</v>
      </c>
      <c r="Y23" s="90">
        <f t="shared" si="25"/>
        <v>87380</v>
      </c>
      <c r="Z23" s="69">
        <f t="shared" si="10"/>
        <v>29126.666666666668</v>
      </c>
      <c r="AA23" s="70">
        <f t="shared" si="26"/>
        <v>13</v>
      </c>
      <c r="AB23" s="67">
        <f t="shared" si="26"/>
        <v>103940</v>
      </c>
      <c r="AC23" s="67">
        <f t="shared" si="27"/>
        <v>60440</v>
      </c>
      <c r="AD23" s="71">
        <f t="shared" si="51"/>
        <v>164380</v>
      </c>
      <c r="AE23" s="67">
        <f t="shared" si="28"/>
        <v>12644.615384615385</v>
      </c>
      <c r="AF23" s="72">
        <v>46</v>
      </c>
      <c r="AG23" s="73">
        <v>48</v>
      </c>
      <c r="AH23" s="54">
        <v>63280</v>
      </c>
      <c r="AI23" s="55">
        <f t="shared" si="12"/>
        <v>1318.3333333333333</v>
      </c>
      <c r="AJ23" s="54">
        <v>4200</v>
      </c>
      <c r="AK23" s="56">
        <f t="shared" si="13"/>
        <v>87.5</v>
      </c>
      <c r="AL23" s="91">
        <f t="shared" si="29"/>
        <v>67480</v>
      </c>
      <c r="AM23" s="75">
        <f t="shared" si="14"/>
        <v>1405.8333333333333</v>
      </c>
      <c r="AN23" s="324">
        <v>0</v>
      </c>
      <c r="AO23" s="325">
        <v>0</v>
      </c>
      <c r="AP23" s="324">
        <v>0</v>
      </c>
      <c r="AQ23" s="325">
        <v>0</v>
      </c>
      <c r="AR23" s="97">
        <f t="shared" si="30"/>
        <v>13</v>
      </c>
      <c r="AS23" s="92">
        <f t="shared" si="31"/>
        <v>167220</v>
      </c>
      <c r="AT23" s="92">
        <f t="shared" si="15"/>
        <v>64640</v>
      </c>
      <c r="AU23" s="76">
        <f t="shared" si="32"/>
        <v>231860</v>
      </c>
      <c r="AV23" s="67">
        <f t="shared" si="52"/>
        <v>2200</v>
      </c>
      <c r="AW23" s="92">
        <v>13</v>
      </c>
      <c r="AX23" s="92">
        <v>103940</v>
      </c>
      <c r="AY23" s="92">
        <f>4850+55590</f>
        <v>60440</v>
      </c>
      <c r="AZ23" s="93">
        <v>2200</v>
      </c>
      <c r="BA23" s="93"/>
      <c r="BB23" s="93"/>
      <c r="BC23" s="93"/>
      <c r="BD23" s="94">
        <f t="shared" si="33"/>
        <v>166580</v>
      </c>
      <c r="BE23" s="79">
        <f t="shared" si="34"/>
        <v>166580</v>
      </c>
      <c r="BF23" s="50">
        <v>19</v>
      </c>
      <c r="BG23" s="50"/>
      <c r="BH23" s="50"/>
      <c r="BI23" s="79">
        <f t="shared" si="35"/>
        <v>166580</v>
      </c>
      <c r="BK23" s="80">
        <f t="shared" si="36"/>
        <v>166580</v>
      </c>
      <c r="BL23" s="349">
        <f t="shared" si="37"/>
        <v>234060</v>
      </c>
      <c r="BO23" s="283">
        <f t="shared" si="38"/>
        <v>4</v>
      </c>
      <c r="BP23" s="53">
        <f t="shared" si="38"/>
        <v>10</v>
      </c>
      <c r="BQ23" s="67">
        <f t="shared" si="38"/>
        <v>61600</v>
      </c>
      <c r="BR23" s="55">
        <f t="shared" si="16"/>
        <v>5600</v>
      </c>
      <c r="BS23" s="67">
        <f t="shared" si="39"/>
        <v>15400</v>
      </c>
      <c r="BT23" s="56">
        <f t="shared" si="17"/>
        <v>1400</v>
      </c>
      <c r="BU23" s="57">
        <f t="shared" si="40"/>
        <v>77000</v>
      </c>
      <c r="BV23" s="58">
        <f t="shared" si="18"/>
        <v>7700</v>
      </c>
      <c r="BW23" s="284">
        <f t="shared" si="41"/>
        <v>3</v>
      </c>
      <c r="BX23" s="67">
        <f t="shared" si="41"/>
        <v>42340</v>
      </c>
      <c r="BY23" s="55">
        <f t="shared" si="19"/>
        <v>12830</v>
      </c>
      <c r="BZ23" s="67">
        <f t="shared" si="42"/>
        <v>45040</v>
      </c>
      <c r="CA23" s="56">
        <f t="shared" si="20"/>
        <v>13648.333333333334</v>
      </c>
      <c r="CB23" s="285">
        <f t="shared" si="43"/>
        <v>87380</v>
      </c>
      <c r="CC23" s="286" t="e">
        <v>#DIV/0!</v>
      </c>
      <c r="CD23" s="287">
        <f t="shared" si="44"/>
        <v>13</v>
      </c>
      <c r="CE23" s="67">
        <f t="shared" si="44"/>
        <v>103940</v>
      </c>
      <c r="CF23" s="56">
        <f t="shared" si="45"/>
        <v>7268.4615384615381</v>
      </c>
      <c r="CG23" s="67">
        <f t="shared" si="46"/>
        <v>60440</v>
      </c>
      <c r="CH23" s="56">
        <f t="shared" si="47"/>
        <v>4226.5384615384619</v>
      </c>
      <c r="CI23" s="288">
        <f t="shared" si="48"/>
        <v>164380</v>
      </c>
      <c r="CJ23" s="289">
        <f t="shared" si="49"/>
        <v>12644.615384615385</v>
      </c>
    </row>
    <row r="24" spans="1:88" ht="15.75" customHeight="1">
      <c r="A24" s="50"/>
      <c r="B24" s="320">
        <f t="shared" si="21"/>
        <v>46042</v>
      </c>
      <c r="C24" s="82"/>
      <c r="D24" s="52">
        <v>3</v>
      </c>
      <c r="E24" s="53">
        <v>6</v>
      </c>
      <c r="F24" s="54">
        <v>33000</v>
      </c>
      <c r="G24" s="55">
        <f t="shared" si="0"/>
        <v>5000</v>
      </c>
      <c r="H24" s="54">
        <f>4840+1320</f>
        <v>6160</v>
      </c>
      <c r="I24" s="55">
        <f t="shared" si="1"/>
        <v>933.33333333333337</v>
      </c>
      <c r="J24" s="57">
        <f t="shared" si="2"/>
        <v>39160</v>
      </c>
      <c r="K24" s="58">
        <f t="shared" si="3"/>
        <v>6526.666666666667</v>
      </c>
      <c r="L24" s="83"/>
      <c r="M24" s="84"/>
      <c r="N24" s="85"/>
      <c r="O24" s="86" t="e">
        <f t="shared" si="4"/>
        <v>#DIV/0!</v>
      </c>
      <c r="P24" s="85"/>
      <c r="Q24" s="87" t="e">
        <f t="shared" si="5"/>
        <v>#DIV/0!</v>
      </c>
      <c r="R24" s="88">
        <f t="shared" si="50"/>
        <v>0</v>
      </c>
      <c r="S24" s="89" t="str">
        <f t="shared" si="7"/>
        <v/>
      </c>
      <c r="T24" s="66">
        <f t="shared" si="22"/>
        <v>16</v>
      </c>
      <c r="U24" s="67">
        <f t="shared" si="23"/>
        <v>237600</v>
      </c>
      <c r="V24" s="55">
        <f t="shared" si="8"/>
        <v>13500</v>
      </c>
      <c r="W24" s="67">
        <f t="shared" si="24"/>
        <v>146400</v>
      </c>
      <c r="X24" s="98">
        <f t="shared" si="9"/>
        <v>8318.125</v>
      </c>
      <c r="Y24" s="90">
        <f t="shared" si="25"/>
        <v>384000</v>
      </c>
      <c r="Z24" s="69">
        <f t="shared" si="10"/>
        <v>24000</v>
      </c>
      <c r="AA24" s="70">
        <f t="shared" si="26"/>
        <v>22</v>
      </c>
      <c r="AB24" s="67">
        <f t="shared" si="26"/>
        <v>270600</v>
      </c>
      <c r="AC24" s="67">
        <f t="shared" si="27"/>
        <v>152560</v>
      </c>
      <c r="AD24" s="71">
        <f t="shared" si="51"/>
        <v>423160</v>
      </c>
      <c r="AE24" s="67">
        <f t="shared" si="28"/>
        <v>19234.545454545456</v>
      </c>
      <c r="AF24" s="72">
        <v>62</v>
      </c>
      <c r="AG24" s="73">
        <v>63</v>
      </c>
      <c r="AH24" s="54">
        <f>82980+1950</f>
        <v>84930</v>
      </c>
      <c r="AI24" s="55">
        <f t="shared" si="12"/>
        <v>1348.0952380952381</v>
      </c>
      <c r="AJ24" s="54">
        <v>13500</v>
      </c>
      <c r="AK24" s="56">
        <f t="shared" si="13"/>
        <v>214.28571428571428</v>
      </c>
      <c r="AL24" s="91">
        <f t="shared" si="29"/>
        <v>98430</v>
      </c>
      <c r="AM24" s="75">
        <f t="shared" si="14"/>
        <v>1562.3809523809523</v>
      </c>
      <c r="AN24" s="324">
        <v>0</v>
      </c>
      <c r="AO24" s="325">
        <v>0</v>
      </c>
      <c r="AP24" s="324">
        <v>0</v>
      </c>
      <c r="AQ24" s="325">
        <v>0</v>
      </c>
      <c r="AR24" s="97">
        <f t="shared" si="30"/>
        <v>22</v>
      </c>
      <c r="AS24" s="92">
        <f t="shared" si="31"/>
        <v>355530</v>
      </c>
      <c r="AT24" s="92">
        <f t="shared" si="15"/>
        <v>166060</v>
      </c>
      <c r="AU24" s="76">
        <f t="shared" si="32"/>
        <v>521590</v>
      </c>
      <c r="AV24" s="67">
        <f t="shared" si="52"/>
        <v>0</v>
      </c>
      <c r="AW24" s="92">
        <v>22</v>
      </c>
      <c r="AX24" s="92">
        <v>270600</v>
      </c>
      <c r="AY24" s="92">
        <f>4840+147720</f>
        <v>152560</v>
      </c>
      <c r="AZ24" s="93"/>
      <c r="BA24" s="93"/>
      <c r="BB24" s="93"/>
      <c r="BC24" s="93"/>
      <c r="BD24" s="94">
        <f t="shared" si="33"/>
        <v>423160</v>
      </c>
      <c r="BE24" s="79">
        <f t="shared" si="34"/>
        <v>423160</v>
      </c>
      <c r="BF24" s="50">
        <v>20</v>
      </c>
      <c r="BG24" s="50"/>
      <c r="BH24" s="50"/>
      <c r="BI24" s="79">
        <f t="shared" si="35"/>
        <v>423160</v>
      </c>
      <c r="BK24" s="80">
        <f t="shared" si="36"/>
        <v>423160</v>
      </c>
      <c r="BL24" s="349">
        <f t="shared" si="37"/>
        <v>521590</v>
      </c>
      <c r="BO24" s="283">
        <f t="shared" si="38"/>
        <v>3</v>
      </c>
      <c r="BP24" s="53">
        <f t="shared" si="38"/>
        <v>6</v>
      </c>
      <c r="BQ24" s="67">
        <f t="shared" si="38"/>
        <v>33000</v>
      </c>
      <c r="BR24" s="55">
        <f t="shared" si="16"/>
        <v>5000</v>
      </c>
      <c r="BS24" s="67">
        <f t="shared" si="39"/>
        <v>6160</v>
      </c>
      <c r="BT24" s="56">
        <f t="shared" si="17"/>
        <v>933.33333333333337</v>
      </c>
      <c r="BU24" s="57">
        <f t="shared" si="40"/>
        <v>39160</v>
      </c>
      <c r="BV24" s="58">
        <f t="shared" si="18"/>
        <v>6526.666666666667</v>
      </c>
      <c r="BW24" s="284">
        <f t="shared" si="41"/>
        <v>16</v>
      </c>
      <c r="BX24" s="67">
        <f t="shared" si="41"/>
        <v>237600</v>
      </c>
      <c r="BY24" s="55">
        <f t="shared" si="19"/>
        <v>13500</v>
      </c>
      <c r="BZ24" s="67">
        <f t="shared" si="42"/>
        <v>146400</v>
      </c>
      <c r="CA24" s="56">
        <f t="shared" si="20"/>
        <v>8318.125</v>
      </c>
      <c r="CB24" s="285">
        <f t="shared" si="43"/>
        <v>384000</v>
      </c>
      <c r="CC24" s="286" t="e">
        <v>#DIV/0!</v>
      </c>
      <c r="CD24" s="287">
        <f t="shared" si="44"/>
        <v>22</v>
      </c>
      <c r="CE24" s="67">
        <f t="shared" si="44"/>
        <v>270600</v>
      </c>
      <c r="CF24" s="56">
        <f t="shared" si="45"/>
        <v>11181.818181818182</v>
      </c>
      <c r="CG24" s="67">
        <f t="shared" si="46"/>
        <v>152560</v>
      </c>
      <c r="CH24" s="56">
        <f t="shared" si="47"/>
        <v>6304.090909090909</v>
      </c>
      <c r="CI24" s="288">
        <f t="shared" si="48"/>
        <v>423160</v>
      </c>
      <c r="CJ24" s="289">
        <f t="shared" si="49"/>
        <v>19234.545454545456</v>
      </c>
    </row>
    <row r="25" spans="1:88" ht="15.75" customHeight="1">
      <c r="A25" s="50"/>
      <c r="B25" s="320">
        <f t="shared" si="21"/>
        <v>46043</v>
      </c>
      <c r="C25" s="82"/>
      <c r="D25" s="52">
        <v>3</v>
      </c>
      <c r="E25" s="53">
        <v>10</v>
      </c>
      <c r="F25" s="54">
        <v>55000</v>
      </c>
      <c r="G25" s="55">
        <f t="shared" si="0"/>
        <v>5000</v>
      </c>
      <c r="H25" s="54">
        <f>8580+8690</f>
        <v>17270</v>
      </c>
      <c r="I25" s="55">
        <f t="shared" si="1"/>
        <v>1570</v>
      </c>
      <c r="J25" s="57">
        <f t="shared" si="2"/>
        <v>72270</v>
      </c>
      <c r="K25" s="58">
        <f t="shared" si="3"/>
        <v>7227</v>
      </c>
      <c r="L25" s="83"/>
      <c r="M25" s="84"/>
      <c r="N25" s="85"/>
      <c r="O25" s="86" t="e">
        <f t="shared" si="4"/>
        <v>#DIV/0!</v>
      </c>
      <c r="P25" s="85"/>
      <c r="Q25" s="87" t="e">
        <f t="shared" si="5"/>
        <v>#DIV/0!</v>
      </c>
      <c r="R25" s="88">
        <f t="shared" si="50"/>
        <v>0</v>
      </c>
      <c r="S25" s="89" t="str">
        <f t="shared" si="7"/>
        <v/>
      </c>
      <c r="T25" s="66">
        <f t="shared" si="22"/>
        <v>11</v>
      </c>
      <c r="U25" s="67">
        <f t="shared" si="23"/>
        <v>155100</v>
      </c>
      <c r="V25" s="55">
        <f t="shared" si="8"/>
        <v>12818.181818181818</v>
      </c>
      <c r="W25" s="67">
        <f t="shared" si="24"/>
        <v>67100</v>
      </c>
      <c r="X25" s="98">
        <f t="shared" si="9"/>
        <v>5545.454545454545</v>
      </c>
      <c r="Y25" s="90">
        <f t="shared" si="25"/>
        <v>222200</v>
      </c>
      <c r="Z25" s="69">
        <f t="shared" si="10"/>
        <v>20200</v>
      </c>
      <c r="AA25" s="70">
        <f t="shared" si="26"/>
        <v>21</v>
      </c>
      <c r="AB25" s="67">
        <f t="shared" si="26"/>
        <v>210100</v>
      </c>
      <c r="AC25" s="67">
        <f t="shared" si="27"/>
        <v>84370</v>
      </c>
      <c r="AD25" s="71">
        <f t="shared" si="51"/>
        <v>294470</v>
      </c>
      <c r="AE25" s="67">
        <f t="shared" si="28"/>
        <v>14022.380952380952</v>
      </c>
      <c r="AF25" s="72">
        <v>60</v>
      </c>
      <c r="AG25" s="73">
        <v>62</v>
      </c>
      <c r="AH25" s="54">
        <f>62750+3500</f>
        <v>66250</v>
      </c>
      <c r="AI25" s="55">
        <f t="shared" si="12"/>
        <v>1068.5483870967741</v>
      </c>
      <c r="AJ25" s="54">
        <v>13200</v>
      </c>
      <c r="AK25" s="56">
        <f t="shared" si="13"/>
        <v>212.90322580645162</v>
      </c>
      <c r="AL25" s="91">
        <f t="shared" si="29"/>
        <v>79450</v>
      </c>
      <c r="AM25" s="75">
        <f t="shared" si="14"/>
        <v>1281.4516129032259</v>
      </c>
      <c r="AN25" s="324">
        <v>0</v>
      </c>
      <c r="AO25" s="325">
        <v>0</v>
      </c>
      <c r="AP25" s="324">
        <v>0</v>
      </c>
      <c r="AQ25" s="325">
        <v>0</v>
      </c>
      <c r="AR25" s="97">
        <f t="shared" si="30"/>
        <v>21</v>
      </c>
      <c r="AS25" s="92">
        <f t="shared" si="31"/>
        <v>276350</v>
      </c>
      <c r="AT25" s="92">
        <f t="shared" si="15"/>
        <v>97570</v>
      </c>
      <c r="AU25" s="76">
        <f t="shared" si="32"/>
        <v>373920</v>
      </c>
      <c r="AV25" s="67">
        <f t="shared" si="52"/>
        <v>0</v>
      </c>
      <c r="AW25" s="92">
        <v>21</v>
      </c>
      <c r="AX25" s="92">
        <v>210100</v>
      </c>
      <c r="AY25" s="92">
        <f>8580+75790</f>
        <v>84370</v>
      </c>
      <c r="AZ25" s="93"/>
      <c r="BA25" s="93"/>
      <c r="BB25" s="93"/>
      <c r="BC25" s="93"/>
      <c r="BD25" s="94">
        <f>SUM(AX25:BB25)</f>
        <v>294470</v>
      </c>
      <c r="BE25" s="79">
        <f t="shared" si="34"/>
        <v>294470</v>
      </c>
      <c r="BF25" s="50">
        <v>21</v>
      </c>
      <c r="BG25" s="50"/>
      <c r="BH25" s="50"/>
      <c r="BI25" s="79">
        <f t="shared" si="35"/>
        <v>294470</v>
      </c>
      <c r="BK25" s="80">
        <f t="shared" si="36"/>
        <v>294470</v>
      </c>
      <c r="BL25" s="349">
        <f t="shared" si="37"/>
        <v>373920</v>
      </c>
      <c r="BO25" s="283">
        <f t="shared" si="38"/>
        <v>3</v>
      </c>
      <c r="BP25" s="53">
        <f t="shared" si="38"/>
        <v>10</v>
      </c>
      <c r="BQ25" s="67">
        <f t="shared" si="38"/>
        <v>55000</v>
      </c>
      <c r="BR25" s="55">
        <f t="shared" si="16"/>
        <v>5000</v>
      </c>
      <c r="BS25" s="67">
        <f t="shared" si="39"/>
        <v>17270</v>
      </c>
      <c r="BT25" s="56">
        <f t="shared" si="17"/>
        <v>1570</v>
      </c>
      <c r="BU25" s="57">
        <f t="shared" si="40"/>
        <v>72270</v>
      </c>
      <c r="BV25" s="58">
        <f t="shared" si="18"/>
        <v>7227</v>
      </c>
      <c r="BW25" s="284">
        <f t="shared" si="41"/>
        <v>11</v>
      </c>
      <c r="BX25" s="67">
        <f t="shared" si="41"/>
        <v>155100</v>
      </c>
      <c r="BY25" s="55">
        <f t="shared" si="19"/>
        <v>12818.181818181818</v>
      </c>
      <c r="BZ25" s="67">
        <f t="shared" si="42"/>
        <v>67100</v>
      </c>
      <c r="CA25" s="56">
        <f t="shared" si="20"/>
        <v>5545.454545454545</v>
      </c>
      <c r="CB25" s="285">
        <f t="shared" si="43"/>
        <v>222200</v>
      </c>
      <c r="CC25" s="286" t="e">
        <v>#DIV/0!</v>
      </c>
      <c r="CD25" s="287">
        <f t="shared" si="44"/>
        <v>21</v>
      </c>
      <c r="CE25" s="67">
        <f t="shared" si="44"/>
        <v>210100</v>
      </c>
      <c r="CF25" s="56">
        <f t="shared" si="45"/>
        <v>9095.2380952380954</v>
      </c>
      <c r="CG25" s="67">
        <f t="shared" si="46"/>
        <v>84370</v>
      </c>
      <c r="CH25" s="56">
        <f t="shared" si="47"/>
        <v>3652.3809523809523</v>
      </c>
      <c r="CI25" s="288">
        <f t="shared" si="48"/>
        <v>294470</v>
      </c>
      <c r="CJ25" s="289">
        <f t="shared" si="49"/>
        <v>14022.380952380952</v>
      </c>
    </row>
    <row r="26" spans="1:88" ht="15.75" customHeight="1">
      <c r="A26" s="50"/>
      <c r="B26" s="320">
        <f t="shared" si="21"/>
        <v>46044</v>
      </c>
      <c r="C26" s="82"/>
      <c r="D26" s="52">
        <v>4</v>
      </c>
      <c r="E26" s="53">
        <v>12</v>
      </c>
      <c r="F26" s="54">
        <f>50600+26400</f>
        <v>77000</v>
      </c>
      <c r="G26" s="55">
        <f t="shared" si="0"/>
        <v>5833.333333333333</v>
      </c>
      <c r="H26" s="54">
        <f>7920+8800+12210</f>
        <v>28930</v>
      </c>
      <c r="I26" s="55">
        <f t="shared" si="1"/>
        <v>2191.6666666666665</v>
      </c>
      <c r="J26" s="57">
        <f t="shared" si="2"/>
        <v>105930</v>
      </c>
      <c r="K26" s="58">
        <f t="shared" si="3"/>
        <v>8827.5</v>
      </c>
      <c r="L26" s="83"/>
      <c r="M26" s="84"/>
      <c r="N26" s="85"/>
      <c r="O26" s="86" t="e">
        <f t="shared" si="4"/>
        <v>#DIV/0!</v>
      </c>
      <c r="P26" s="85"/>
      <c r="Q26" s="87" t="e">
        <f t="shared" si="5"/>
        <v>#DIV/0!</v>
      </c>
      <c r="R26" s="88">
        <f t="shared" si="50"/>
        <v>0</v>
      </c>
      <c r="S26" s="89" t="str">
        <f t="shared" si="7"/>
        <v/>
      </c>
      <c r="T26" s="66">
        <f t="shared" si="22"/>
        <v>4</v>
      </c>
      <c r="U26" s="67">
        <f t="shared" si="23"/>
        <v>92400</v>
      </c>
      <c r="V26" s="55">
        <f t="shared" si="8"/>
        <v>21000</v>
      </c>
      <c r="W26" s="67">
        <f t="shared" si="24"/>
        <v>6710</v>
      </c>
      <c r="X26" s="98">
        <f t="shared" si="9"/>
        <v>1525</v>
      </c>
      <c r="Y26" s="90">
        <f t="shared" si="25"/>
        <v>99110</v>
      </c>
      <c r="Z26" s="69">
        <f t="shared" si="10"/>
        <v>24777.5</v>
      </c>
      <c r="AA26" s="70">
        <f t="shared" si="26"/>
        <v>16</v>
      </c>
      <c r="AB26" s="67">
        <f t="shared" si="26"/>
        <v>169400</v>
      </c>
      <c r="AC26" s="67">
        <f t="shared" si="27"/>
        <v>35640</v>
      </c>
      <c r="AD26" s="71">
        <f t="shared" si="51"/>
        <v>205040</v>
      </c>
      <c r="AE26" s="67">
        <f t="shared" si="28"/>
        <v>12815</v>
      </c>
      <c r="AF26" s="72">
        <v>41</v>
      </c>
      <c r="AG26" s="73">
        <v>44</v>
      </c>
      <c r="AH26" s="54">
        <v>48100</v>
      </c>
      <c r="AI26" s="55">
        <f t="shared" si="12"/>
        <v>1093.1818181818182</v>
      </c>
      <c r="AJ26" s="54">
        <v>6400</v>
      </c>
      <c r="AK26" s="56">
        <f t="shared" si="13"/>
        <v>145.45454545454547</v>
      </c>
      <c r="AL26" s="91">
        <f t="shared" si="29"/>
        <v>54500</v>
      </c>
      <c r="AM26" s="75">
        <f t="shared" si="14"/>
        <v>1238.6363636363637</v>
      </c>
      <c r="AN26" s="324">
        <v>0</v>
      </c>
      <c r="AO26" s="325">
        <v>0</v>
      </c>
      <c r="AP26" s="324">
        <v>0</v>
      </c>
      <c r="AQ26" s="325">
        <v>0</v>
      </c>
      <c r="AR26" s="97">
        <f t="shared" si="30"/>
        <v>16</v>
      </c>
      <c r="AS26" s="92">
        <f t="shared" si="31"/>
        <v>217500</v>
      </c>
      <c r="AT26" s="92">
        <f t="shared" si="15"/>
        <v>42040</v>
      </c>
      <c r="AU26" s="76">
        <f t="shared" si="32"/>
        <v>259540</v>
      </c>
      <c r="AV26" s="67">
        <f t="shared" si="52"/>
        <v>0</v>
      </c>
      <c r="AW26" s="92">
        <v>16</v>
      </c>
      <c r="AX26" s="92">
        <v>169400</v>
      </c>
      <c r="AY26" s="92">
        <f>14630+21010</f>
        <v>35640</v>
      </c>
      <c r="AZ26" s="93"/>
      <c r="BA26" s="93"/>
      <c r="BB26" s="93"/>
      <c r="BC26" s="93"/>
      <c r="BD26" s="94">
        <f t="shared" si="33"/>
        <v>205040</v>
      </c>
      <c r="BE26" s="79">
        <f t="shared" si="34"/>
        <v>205040</v>
      </c>
      <c r="BF26" s="50">
        <v>22</v>
      </c>
      <c r="BG26" s="50"/>
      <c r="BH26" s="50"/>
      <c r="BI26" s="79">
        <f t="shared" si="35"/>
        <v>205040</v>
      </c>
      <c r="BK26" s="80">
        <f t="shared" si="36"/>
        <v>205040</v>
      </c>
      <c r="BL26" s="349">
        <f t="shared" si="37"/>
        <v>259540</v>
      </c>
      <c r="BO26" s="283">
        <f t="shared" si="38"/>
        <v>4</v>
      </c>
      <c r="BP26" s="53">
        <f t="shared" si="38"/>
        <v>12</v>
      </c>
      <c r="BQ26" s="67">
        <f t="shared" si="38"/>
        <v>77000</v>
      </c>
      <c r="BR26" s="55">
        <f t="shared" si="16"/>
        <v>5833.333333333333</v>
      </c>
      <c r="BS26" s="67">
        <f t="shared" si="39"/>
        <v>28930</v>
      </c>
      <c r="BT26" s="56">
        <f t="shared" si="17"/>
        <v>2191.6666666666665</v>
      </c>
      <c r="BU26" s="57">
        <f t="shared" si="40"/>
        <v>105930</v>
      </c>
      <c r="BV26" s="58">
        <f t="shared" si="18"/>
        <v>8827.5</v>
      </c>
      <c r="BW26" s="284">
        <f t="shared" si="41"/>
        <v>4</v>
      </c>
      <c r="BX26" s="67">
        <f t="shared" si="41"/>
        <v>92400</v>
      </c>
      <c r="BY26" s="55">
        <f t="shared" si="19"/>
        <v>21000</v>
      </c>
      <c r="BZ26" s="67">
        <f t="shared" si="42"/>
        <v>6710</v>
      </c>
      <c r="CA26" s="56">
        <f t="shared" si="20"/>
        <v>1525</v>
      </c>
      <c r="CB26" s="285">
        <f t="shared" si="43"/>
        <v>99110</v>
      </c>
      <c r="CC26" s="286" t="e">
        <v>#DIV/0!</v>
      </c>
      <c r="CD26" s="287">
        <f t="shared" si="44"/>
        <v>16</v>
      </c>
      <c r="CE26" s="67">
        <f t="shared" si="44"/>
        <v>169400</v>
      </c>
      <c r="CF26" s="56">
        <f t="shared" si="45"/>
        <v>9625</v>
      </c>
      <c r="CG26" s="67">
        <f t="shared" si="46"/>
        <v>35640</v>
      </c>
      <c r="CH26" s="56">
        <f t="shared" si="47"/>
        <v>2025</v>
      </c>
      <c r="CI26" s="288">
        <f t="shared" si="48"/>
        <v>205040</v>
      </c>
      <c r="CJ26" s="289">
        <f t="shared" si="49"/>
        <v>12815</v>
      </c>
    </row>
    <row r="27" spans="1:88" ht="15.75" customHeight="1">
      <c r="A27" s="50"/>
      <c r="B27" s="320">
        <f t="shared" si="21"/>
        <v>46045</v>
      </c>
      <c r="C27" s="82"/>
      <c r="D27" s="52">
        <v>1</v>
      </c>
      <c r="E27" s="53">
        <v>2</v>
      </c>
      <c r="F27" s="54">
        <v>17600</v>
      </c>
      <c r="G27" s="55">
        <f t="shared" si="0"/>
        <v>8000</v>
      </c>
      <c r="H27" s="54">
        <v>1980</v>
      </c>
      <c r="I27" s="55">
        <f t="shared" si="1"/>
        <v>900</v>
      </c>
      <c r="J27" s="57">
        <f t="shared" si="2"/>
        <v>19580</v>
      </c>
      <c r="K27" s="58">
        <f t="shared" si="3"/>
        <v>9790</v>
      </c>
      <c r="L27" s="83"/>
      <c r="M27" s="84"/>
      <c r="N27" s="85"/>
      <c r="O27" s="86" t="e">
        <f t="shared" si="4"/>
        <v>#DIV/0!</v>
      </c>
      <c r="P27" s="85"/>
      <c r="Q27" s="87" t="e">
        <f t="shared" si="5"/>
        <v>#DIV/0!</v>
      </c>
      <c r="R27" s="88">
        <f t="shared" si="50"/>
        <v>0</v>
      </c>
      <c r="S27" s="89" t="str">
        <f t="shared" si="7"/>
        <v/>
      </c>
      <c r="T27" s="66">
        <f t="shared" si="22"/>
        <v>5</v>
      </c>
      <c r="U27" s="67">
        <f t="shared" si="23"/>
        <v>49500</v>
      </c>
      <c r="V27" s="55">
        <f t="shared" si="8"/>
        <v>9000</v>
      </c>
      <c r="W27" s="67">
        <f t="shared" si="24"/>
        <v>26400</v>
      </c>
      <c r="X27" s="56">
        <f t="shared" si="9"/>
        <v>4800</v>
      </c>
      <c r="Y27" s="90">
        <f t="shared" si="25"/>
        <v>75900</v>
      </c>
      <c r="Z27" s="69">
        <f t="shared" si="10"/>
        <v>15180</v>
      </c>
      <c r="AA27" s="70">
        <f t="shared" si="26"/>
        <v>7</v>
      </c>
      <c r="AB27" s="67">
        <f t="shared" si="26"/>
        <v>67100</v>
      </c>
      <c r="AC27" s="67">
        <f t="shared" si="27"/>
        <v>28380</v>
      </c>
      <c r="AD27" s="71">
        <f t="shared" si="51"/>
        <v>95480</v>
      </c>
      <c r="AE27" s="67">
        <f t="shared" si="28"/>
        <v>13640</v>
      </c>
      <c r="AF27" s="72">
        <v>115</v>
      </c>
      <c r="AG27" s="73">
        <v>115</v>
      </c>
      <c r="AH27" s="54">
        <f>110750+6200</f>
        <v>116950</v>
      </c>
      <c r="AI27" s="55">
        <f t="shared" si="12"/>
        <v>1016.9565217391304</v>
      </c>
      <c r="AJ27" s="54">
        <v>34900</v>
      </c>
      <c r="AK27" s="56">
        <f t="shared" si="13"/>
        <v>303.47826086956519</v>
      </c>
      <c r="AL27" s="91">
        <f t="shared" si="29"/>
        <v>151850</v>
      </c>
      <c r="AM27" s="75">
        <f t="shared" si="14"/>
        <v>1320.4347826086957</v>
      </c>
      <c r="AN27" s="324">
        <v>0</v>
      </c>
      <c r="AO27" s="325">
        <v>0</v>
      </c>
      <c r="AP27" s="324">
        <v>0</v>
      </c>
      <c r="AQ27" s="325">
        <v>0</v>
      </c>
      <c r="AR27" s="97">
        <f t="shared" si="30"/>
        <v>7</v>
      </c>
      <c r="AS27" s="92">
        <f t="shared" si="31"/>
        <v>184050</v>
      </c>
      <c r="AT27" s="92">
        <f t="shared" si="15"/>
        <v>63280</v>
      </c>
      <c r="AU27" s="76">
        <f t="shared" si="32"/>
        <v>247330</v>
      </c>
      <c r="AV27" s="67">
        <f t="shared" si="52"/>
        <v>0</v>
      </c>
      <c r="AW27" s="92">
        <v>7</v>
      </c>
      <c r="AX27" s="92">
        <v>67100</v>
      </c>
      <c r="AY27" s="92">
        <f>1980+26400</f>
        <v>28380</v>
      </c>
      <c r="AZ27" s="93"/>
      <c r="BA27" s="93"/>
      <c r="BB27" s="93"/>
      <c r="BC27" s="93"/>
      <c r="BD27" s="94">
        <f t="shared" si="33"/>
        <v>95480</v>
      </c>
      <c r="BE27" s="79">
        <f t="shared" si="34"/>
        <v>95480</v>
      </c>
      <c r="BF27" s="50">
        <v>23</v>
      </c>
      <c r="BG27" s="50"/>
      <c r="BH27" s="50"/>
      <c r="BI27" s="79">
        <f t="shared" si="35"/>
        <v>95480</v>
      </c>
      <c r="BK27" s="80">
        <f t="shared" si="36"/>
        <v>95480</v>
      </c>
      <c r="BL27" s="349">
        <f t="shared" si="37"/>
        <v>247330</v>
      </c>
      <c r="BO27" s="283">
        <f t="shared" si="38"/>
        <v>1</v>
      </c>
      <c r="BP27" s="53">
        <f t="shared" si="38"/>
        <v>2</v>
      </c>
      <c r="BQ27" s="67">
        <f t="shared" si="38"/>
        <v>17600</v>
      </c>
      <c r="BR27" s="55">
        <f t="shared" si="16"/>
        <v>8000</v>
      </c>
      <c r="BS27" s="67">
        <f t="shared" si="39"/>
        <v>1980</v>
      </c>
      <c r="BT27" s="56">
        <f t="shared" si="17"/>
        <v>900</v>
      </c>
      <c r="BU27" s="57">
        <f t="shared" si="40"/>
        <v>19580</v>
      </c>
      <c r="BV27" s="58">
        <f t="shared" si="18"/>
        <v>9790</v>
      </c>
      <c r="BW27" s="284">
        <f t="shared" si="41"/>
        <v>5</v>
      </c>
      <c r="BX27" s="67">
        <f t="shared" si="41"/>
        <v>49500</v>
      </c>
      <c r="BY27" s="55">
        <f t="shared" si="19"/>
        <v>9000</v>
      </c>
      <c r="BZ27" s="67">
        <f t="shared" si="42"/>
        <v>26400</v>
      </c>
      <c r="CA27" s="56">
        <f t="shared" si="20"/>
        <v>4800</v>
      </c>
      <c r="CB27" s="285">
        <f t="shared" si="43"/>
        <v>75900</v>
      </c>
      <c r="CC27" s="286" t="e">
        <v>#DIV/0!</v>
      </c>
      <c r="CD27" s="287">
        <f t="shared" si="44"/>
        <v>7</v>
      </c>
      <c r="CE27" s="67">
        <f t="shared" si="44"/>
        <v>67100</v>
      </c>
      <c r="CF27" s="56">
        <f t="shared" si="45"/>
        <v>8714.2857142857138</v>
      </c>
      <c r="CG27" s="67">
        <f t="shared" si="46"/>
        <v>28380</v>
      </c>
      <c r="CH27" s="56">
        <f t="shared" si="47"/>
        <v>3685.7142857142858</v>
      </c>
      <c r="CI27" s="288">
        <f t="shared" si="48"/>
        <v>95480</v>
      </c>
      <c r="CJ27" s="289">
        <f t="shared" si="49"/>
        <v>13640</v>
      </c>
    </row>
    <row r="28" spans="1:88" ht="15.75" customHeight="1">
      <c r="A28" s="50"/>
      <c r="B28" s="332">
        <f t="shared" si="21"/>
        <v>46046</v>
      </c>
      <c r="C28" s="82"/>
      <c r="D28" s="52">
        <v>6</v>
      </c>
      <c r="E28" s="53">
        <v>20</v>
      </c>
      <c r="F28" s="54">
        <v>129800</v>
      </c>
      <c r="G28" s="55">
        <f t="shared" si="0"/>
        <v>5900</v>
      </c>
      <c r="H28" s="54">
        <f>8910+16830</f>
        <v>25740</v>
      </c>
      <c r="I28" s="55">
        <f t="shared" si="1"/>
        <v>1170</v>
      </c>
      <c r="J28" s="57">
        <f t="shared" si="2"/>
        <v>155540</v>
      </c>
      <c r="K28" s="58">
        <f t="shared" si="3"/>
        <v>7777</v>
      </c>
      <c r="L28" s="83">
        <v>1</v>
      </c>
      <c r="M28" s="84">
        <v>2</v>
      </c>
      <c r="N28" s="85">
        <v>7700</v>
      </c>
      <c r="O28" s="86">
        <f t="shared" si="4"/>
        <v>3850</v>
      </c>
      <c r="P28" s="85">
        <v>1100</v>
      </c>
      <c r="Q28" s="87">
        <f t="shared" si="5"/>
        <v>550</v>
      </c>
      <c r="R28" s="88">
        <f t="shared" si="50"/>
        <v>8800</v>
      </c>
      <c r="S28" s="89">
        <f t="shared" si="7"/>
        <v>4400</v>
      </c>
      <c r="T28" s="66">
        <f t="shared" si="22"/>
        <v>7</v>
      </c>
      <c r="U28" s="67">
        <f t="shared" si="23"/>
        <v>116600</v>
      </c>
      <c r="V28" s="55">
        <f t="shared" si="8"/>
        <v>15142.857142857143</v>
      </c>
      <c r="W28" s="67">
        <f t="shared" si="24"/>
        <v>128700</v>
      </c>
      <c r="X28" s="56">
        <f t="shared" si="9"/>
        <v>16714.285714285714</v>
      </c>
      <c r="Y28" s="90">
        <f t="shared" si="25"/>
        <v>245300</v>
      </c>
      <c r="Z28" s="69">
        <f t="shared" si="10"/>
        <v>35042.857142857145</v>
      </c>
      <c r="AA28" s="70">
        <f t="shared" si="26"/>
        <v>29</v>
      </c>
      <c r="AB28" s="67">
        <f t="shared" si="26"/>
        <v>254100</v>
      </c>
      <c r="AC28" s="67">
        <f t="shared" si="27"/>
        <v>155540</v>
      </c>
      <c r="AD28" s="71">
        <f t="shared" si="51"/>
        <v>409640</v>
      </c>
      <c r="AE28" s="67">
        <f t="shared" si="28"/>
        <v>14125.51724137931</v>
      </c>
      <c r="AF28" s="72">
        <v>125</v>
      </c>
      <c r="AG28" s="73">
        <v>126</v>
      </c>
      <c r="AH28" s="54">
        <f>129750+9600</f>
        <v>139350</v>
      </c>
      <c r="AI28" s="55">
        <f t="shared" si="12"/>
        <v>1105.952380952381</v>
      </c>
      <c r="AJ28" s="54">
        <v>33400</v>
      </c>
      <c r="AK28" s="56">
        <f t="shared" si="13"/>
        <v>265.07936507936506</v>
      </c>
      <c r="AL28" s="91">
        <f t="shared" si="29"/>
        <v>172750</v>
      </c>
      <c r="AM28" s="75">
        <f t="shared" si="14"/>
        <v>1371.031746031746</v>
      </c>
      <c r="AN28" s="324">
        <v>1</v>
      </c>
      <c r="AO28" s="325">
        <v>5</v>
      </c>
      <c r="AP28" s="324">
        <v>0</v>
      </c>
      <c r="AQ28" s="325">
        <v>0</v>
      </c>
      <c r="AR28" s="97">
        <f t="shared" si="30"/>
        <v>27</v>
      </c>
      <c r="AS28" s="92">
        <f t="shared" si="31"/>
        <v>393450</v>
      </c>
      <c r="AT28" s="92">
        <f t="shared" si="15"/>
        <v>188940</v>
      </c>
      <c r="AU28" s="76">
        <f t="shared" si="32"/>
        <v>582390</v>
      </c>
      <c r="AV28" s="67">
        <f t="shared" si="52"/>
        <v>4400</v>
      </c>
      <c r="AW28" s="92">
        <v>29</v>
      </c>
      <c r="AX28" s="92">
        <v>254100</v>
      </c>
      <c r="AY28" s="92">
        <f>24310+131230</f>
        <v>155540</v>
      </c>
      <c r="AZ28" s="93">
        <v>4400</v>
      </c>
      <c r="BA28" s="93"/>
      <c r="BB28" s="93"/>
      <c r="BC28" s="93"/>
      <c r="BD28" s="94">
        <f>SUM(AX28:BB28)</f>
        <v>414040</v>
      </c>
      <c r="BE28" s="79">
        <f t="shared" si="34"/>
        <v>414040</v>
      </c>
      <c r="BF28" s="50">
        <v>24</v>
      </c>
      <c r="BG28" s="50"/>
      <c r="BH28" s="50"/>
      <c r="BI28" s="79">
        <f t="shared" si="35"/>
        <v>414040</v>
      </c>
      <c r="BK28" s="80">
        <f t="shared" si="36"/>
        <v>414040</v>
      </c>
      <c r="BL28" s="349">
        <f t="shared" si="37"/>
        <v>586790</v>
      </c>
      <c r="BO28" s="283">
        <f t="shared" si="38"/>
        <v>6</v>
      </c>
      <c r="BP28" s="53">
        <f t="shared" si="38"/>
        <v>20</v>
      </c>
      <c r="BQ28" s="67">
        <f t="shared" si="38"/>
        <v>129800</v>
      </c>
      <c r="BR28" s="55">
        <f t="shared" si="16"/>
        <v>5900</v>
      </c>
      <c r="BS28" s="67">
        <f t="shared" si="39"/>
        <v>25740</v>
      </c>
      <c r="BT28" s="56">
        <f t="shared" si="17"/>
        <v>1170</v>
      </c>
      <c r="BU28" s="57">
        <f t="shared" si="40"/>
        <v>155540</v>
      </c>
      <c r="BV28" s="58">
        <f t="shared" si="18"/>
        <v>7777</v>
      </c>
      <c r="BW28" s="284">
        <f t="shared" si="41"/>
        <v>7</v>
      </c>
      <c r="BX28" s="67">
        <f t="shared" si="41"/>
        <v>116600</v>
      </c>
      <c r="BY28" s="55">
        <f t="shared" si="19"/>
        <v>15142.857142857143</v>
      </c>
      <c r="BZ28" s="67">
        <f t="shared" si="42"/>
        <v>128700</v>
      </c>
      <c r="CA28" s="56">
        <f t="shared" si="20"/>
        <v>16714.285714285714</v>
      </c>
      <c r="CB28" s="285">
        <f t="shared" si="43"/>
        <v>245300</v>
      </c>
      <c r="CC28" s="286" t="e">
        <v>#DIV/0!</v>
      </c>
      <c r="CD28" s="287">
        <f t="shared" si="44"/>
        <v>27</v>
      </c>
      <c r="CE28" s="67">
        <f t="shared" si="44"/>
        <v>246400</v>
      </c>
      <c r="CF28" s="56">
        <f t="shared" si="45"/>
        <v>8296.2962962962956</v>
      </c>
      <c r="CG28" s="67">
        <f t="shared" si="46"/>
        <v>154440</v>
      </c>
      <c r="CH28" s="56">
        <f t="shared" si="47"/>
        <v>5200</v>
      </c>
      <c r="CI28" s="288">
        <f t="shared" si="48"/>
        <v>400840</v>
      </c>
      <c r="CJ28" s="289">
        <f t="shared" si="49"/>
        <v>14845.925925925925</v>
      </c>
    </row>
    <row r="29" spans="1:88" ht="15.75" customHeight="1">
      <c r="A29" s="50"/>
      <c r="B29" s="95">
        <f t="shared" si="21"/>
        <v>46047</v>
      </c>
      <c r="C29" s="82" t="s">
        <v>101</v>
      </c>
      <c r="D29" s="52">
        <v>7</v>
      </c>
      <c r="E29" s="53">
        <v>16</v>
      </c>
      <c r="F29" s="54">
        <f>113300</f>
        <v>113300</v>
      </c>
      <c r="G29" s="55">
        <f t="shared" si="0"/>
        <v>6437.5</v>
      </c>
      <c r="H29" s="54">
        <f>9460+23870</f>
        <v>33330</v>
      </c>
      <c r="I29" s="55">
        <f t="shared" si="1"/>
        <v>1893.75</v>
      </c>
      <c r="J29" s="57">
        <f t="shared" si="2"/>
        <v>146630</v>
      </c>
      <c r="K29" s="58">
        <f t="shared" si="3"/>
        <v>9164.375</v>
      </c>
      <c r="L29" s="83"/>
      <c r="M29" s="84"/>
      <c r="N29" s="85"/>
      <c r="O29" s="86" t="e">
        <f t="shared" si="4"/>
        <v>#DIV/0!</v>
      </c>
      <c r="P29" s="85"/>
      <c r="Q29" s="87" t="e">
        <f t="shared" si="5"/>
        <v>#DIV/0!</v>
      </c>
      <c r="R29" s="88">
        <f t="shared" si="50"/>
        <v>0</v>
      </c>
      <c r="S29" s="89" t="str">
        <f t="shared" si="7"/>
        <v/>
      </c>
      <c r="T29" s="66">
        <f t="shared" si="22"/>
        <v>0</v>
      </c>
      <c r="U29" s="67">
        <f>AX29-(F29+N29)</f>
        <v>0</v>
      </c>
      <c r="V29" s="55" t="e">
        <f t="shared" si="8"/>
        <v>#DIV/0!</v>
      </c>
      <c r="W29" s="67">
        <f t="shared" si="24"/>
        <v>0</v>
      </c>
      <c r="X29" s="56" t="e">
        <f t="shared" si="9"/>
        <v>#DIV/0!</v>
      </c>
      <c r="Y29" s="90">
        <f t="shared" si="25"/>
        <v>0</v>
      </c>
      <c r="Z29" s="69" t="e">
        <f t="shared" si="10"/>
        <v>#DIV/0!</v>
      </c>
      <c r="AA29" s="70">
        <f t="shared" si="26"/>
        <v>16</v>
      </c>
      <c r="AB29" s="67">
        <f t="shared" si="26"/>
        <v>113300</v>
      </c>
      <c r="AC29" s="67">
        <f t="shared" si="27"/>
        <v>33330</v>
      </c>
      <c r="AD29" s="71">
        <f>J29+Y29+R29</f>
        <v>146630</v>
      </c>
      <c r="AE29" s="67">
        <f t="shared" si="28"/>
        <v>9164.375</v>
      </c>
      <c r="AF29" s="72">
        <v>69</v>
      </c>
      <c r="AG29" s="73">
        <v>72</v>
      </c>
      <c r="AH29" s="54">
        <f>92700+1650</f>
        <v>94350</v>
      </c>
      <c r="AI29" s="55">
        <f t="shared" si="12"/>
        <v>1310.4166666666667</v>
      </c>
      <c r="AJ29" s="54">
        <v>13600</v>
      </c>
      <c r="AK29" s="56">
        <f t="shared" si="13"/>
        <v>188.88888888888889</v>
      </c>
      <c r="AL29" s="91">
        <f t="shared" si="29"/>
        <v>107950</v>
      </c>
      <c r="AM29" s="75">
        <f t="shared" si="14"/>
        <v>1499.3055555555557</v>
      </c>
      <c r="AN29" s="324">
        <v>0</v>
      </c>
      <c r="AO29" s="325">
        <v>0</v>
      </c>
      <c r="AP29" s="324">
        <v>0</v>
      </c>
      <c r="AQ29" s="325">
        <v>0</v>
      </c>
      <c r="AR29" s="97">
        <f t="shared" si="30"/>
        <v>16</v>
      </c>
      <c r="AS29" s="92">
        <f t="shared" si="31"/>
        <v>207650</v>
      </c>
      <c r="AT29" s="92">
        <f t="shared" si="15"/>
        <v>46930</v>
      </c>
      <c r="AU29" s="76">
        <f t="shared" si="32"/>
        <v>254580</v>
      </c>
      <c r="AV29" s="67">
        <f t="shared" si="52"/>
        <v>2200</v>
      </c>
      <c r="AW29" s="92">
        <v>16</v>
      </c>
      <c r="AX29" s="92">
        <v>113300</v>
      </c>
      <c r="AY29" s="92">
        <f>9460+23870</f>
        <v>33330</v>
      </c>
      <c r="AZ29" s="93">
        <v>2200</v>
      </c>
      <c r="BA29" s="93"/>
      <c r="BB29" s="93"/>
      <c r="BC29" s="93"/>
      <c r="BD29" s="94">
        <f t="shared" si="33"/>
        <v>148830</v>
      </c>
      <c r="BE29" s="79">
        <f t="shared" si="34"/>
        <v>148830</v>
      </c>
      <c r="BF29" s="50">
        <v>25</v>
      </c>
      <c r="BG29" s="50"/>
      <c r="BH29" s="50"/>
      <c r="BI29" s="79">
        <f t="shared" si="35"/>
        <v>148830</v>
      </c>
      <c r="BK29" s="80">
        <f t="shared" si="36"/>
        <v>148830</v>
      </c>
      <c r="BL29" s="349">
        <f t="shared" si="37"/>
        <v>256780</v>
      </c>
      <c r="BM29" s="7" t="s">
        <v>102</v>
      </c>
      <c r="BO29" s="283">
        <f t="shared" si="38"/>
        <v>7</v>
      </c>
      <c r="BP29" s="53">
        <f t="shared" si="38"/>
        <v>16</v>
      </c>
      <c r="BQ29" s="67">
        <f t="shared" si="38"/>
        <v>113300</v>
      </c>
      <c r="BR29" s="55">
        <f t="shared" si="16"/>
        <v>6437.5</v>
      </c>
      <c r="BS29" s="67">
        <f t="shared" si="39"/>
        <v>33330</v>
      </c>
      <c r="BT29" s="56">
        <f t="shared" si="17"/>
        <v>1893.75</v>
      </c>
      <c r="BU29" s="57">
        <f t="shared" si="40"/>
        <v>146630</v>
      </c>
      <c r="BV29" s="58">
        <f t="shared" si="18"/>
        <v>9164.375</v>
      </c>
      <c r="BW29" s="284">
        <f t="shared" si="41"/>
        <v>0</v>
      </c>
      <c r="BX29" s="67">
        <f t="shared" si="41"/>
        <v>0</v>
      </c>
      <c r="BY29" s="55" t="e">
        <f t="shared" si="19"/>
        <v>#DIV/0!</v>
      </c>
      <c r="BZ29" s="67">
        <f t="shared" si="42"/>
        <v>0</v>
      </c>
      <c r="CA29" s="56" t="e">
        <f t="shared" si="20"/>
        <v>#DIV/0!</v>
      </c>
      <c r="CB29" s="285">
        <f t="shared" si="43"/>
        <v>0</v>
      </c>
      <c r="CC29" s="286" t="e">
        <v>#DIV/0!</v>
      </c>
      <c r="CD29" s="287">
        <f t="shared" si="44"/>
        <v>16</v>
      </c>
      <c r="CE29" s="67">
        <f t="shared" si="44"/>
        <v>113300</v>
      </c>
      <c r="CF29" s="56">
        <f t="shared" si="45"/>
        <v>6437.5</v>
      </c>
      <c r="CG29" s="67">
        <f t="shared" si="46"/>
        <v>33330</v>
      </c>
      <c r="CH29" s="56">
        <f t="shared" si="47"/>
        <v>1893.75</v>
      </c>
      <c r="CI29" s="288">
        <f t="shared" si="48"/>
        <v>146630</v>
      </c>
      <c r="CJ29" s="289">
        <f t="shared" si="49"/>
        <v>9164.375</v>
      </c>
    </row>
    <row r="30" spans="1:88" ht="15.75" customHeight="1">
      <c r="A30" s="50"/>
      <c r="B30" s="320">
        <f t="shared" si="21"/>
        <v>46048</v>
      </c>
      <c r="C30" s="82"/>
      <c r="D30" s="52">
        <v>3</v>
      </c>
      <c r="E30" s="53">
        <v>7</v>
      </c>
      <c r="F30" s="54">
        <v>33000</v>
      </c>
      <c r="G30" s="55">
        <f>ROUNDDOWN(F30/1.1,0)/E30</f>
        <v>4285.7142857142853</v>
      </c>
      <c r="H30" s="54">
        <v>7700</v>
      </c>
      <c r="I30" s="55">
        <f t="shared" si="1"/>
        <v>1000</v>
      </c>
      <c r="J30" s="57">
        <f t="shared" si="2"/>
        <v>40700</v>
      </c>
      <c r="K30" s="58">
        <f>IF(E30="","",J30/E30)</f>
        <v>5814.2857142857147</v>
      </c>
      <c r="L30" s="83">
        <v>2</v>
      </c>
      <c r="M30" s="84">
        <v>5</v>
      </c>
      <c r="N30" s="85">
        <v>19250</v>
      </c>
      <c r="O30" s="86">
        <f t="shared" si="4"/>
        <v>3850</v>
      </c>
      <c r="P30" s="85">
        <v>2750</v>
      </c>
      <c r="Q30" s="87">
        <f t="shared" si="5"/>
        <v>550</v>
      </c>
      <c r="R30" s="88">
        <f t="shared" si="50"/>
        <v>22000</v>
      </c>
      <c r="S30" s="89">
        <f t="shared" si="7"/>
        <v>4400</v>
      </c>
      <c r="T30" s="66">
        <f t="shared" si="22"/>
        <v>4</v>
      </c>
      <c r="U30" s="67">
        <f t="shared" si="23"/>
        <v>66000</v>
      </c>
      <c r="V30" s="55">
        <f t="shared" si="8"/>
        <v>15000</v>
      </c>
      <c r="W30" s="67">
        <f t="shared" si="24"/>
        <v>7260</v>
      </c>
      <c r="X30" s="55">
        <f t="shared" si="9"/>
        <v>1650</v>
      </c>
      <c r="Y30" s="90">
        <f t="shared" si="25"/>
        <v>73260</v>
      </c>
      <c r="Z30" s="69">
        <f t="shared" si="10"/>
        <v>18315</v>
      </c>
      <c r="AA30" s="70">
        <f t="shared" si="26"/>
        <v>16</v>
      </c>
      <c r="AB30" s="67">
        <f t="shared" si="26"/>
        <v>118250</v>
      </c>
      <c r="AC30" s="67">
        <f t="shared" si="27"/>
        <v>17710</v>
      </c>
      <c r="AD30" s="71">
        <f t="shared" si="51"/>
        <v>135960</v>
      </c>
      <c r="AE30" s="67">
        <f t="shared" si="28"/>
        <v>8497.5</v>
      </c>
      <c r="AF30" s="72">
        <v>53</v>
      </c>
      <c r="AG30" s="73">
        <v>56</v>
      </c>
      <c r="AH30" s="54">
        <v>77450</v>
      </c>
      <c r="AI30" s="55">
        <f t="shared" si="12"/>
        <v>1383.0357142857142</v>
      </c>
      <c r="AJ30" s="54">
        <v>7000</v>
      </c>
      <c r="AK30" s="56">
        <f t="shared" si="13"/>
        <v>125</v>
      </c>
      <c r="AL30" s="91">
        <f t="shared" si="29"/>
        <v>84450</v>
      </c>
      <c r="AM30" s="75">
        <f t="shared" si="14"/>
        <v>1508.0357142857142</v>
      </c>
      <c r="AN30" s="324">
        <v>0</v>
      </c>
      <c r="AO30" s="325">
        <v>0</v>
      </c>
      <c r="AP30" s="324">
        <v>0</v>
      </c>
      <c r="AQ30" s="325">
        <v>0</v>
      </c>
      <c r="AR30" s="97">
        <f t="shared" si="30"/>
        <v>11</v>
      </c>
      <c r="AS30" s="92">
        <f t="shared" si="31"/>
        <v>195700</v>
      </c>
      <c r="AT30" s="92">
        <f t="shared" si="15"/>
        <v>24710</v>
      </c>
      <c r="AU30" s="76">
        <f t="shared" si="32"/>
        <v>220410</v>
      </c>
      <c r="AV30" s="67">
        <f t="shared" si="52"/>
        <v>2200</v>
      </c>
      <c r="AW30" s="92">
        <v>16</v>
      </c>
      <c r="AX30" s="92">
        <v>118250</v>
      </c>
      <c r="AY30" s="92">
        <f>12760+4950</f>
        <v>17710</v>
      </c>
      <c r="AZ30" s="93">
        <v>2200</v>
      </c>
      <c r="BA30" s="93"/>
      <c r="BB30" s="93"/>
      <c r="BC30" s="93"/>
      <c r="BD30" s="94">
        <f t="shared" si="33"/>
        <v>138160</v>
      </c>
      <c r="BE30" s="79">
        <f t="shared" si="34"/>
        <v>138160</v>
      </c>
      <c r="BF30" s="50">
        <v>26</v>
      </c>
      <c r="BG30" s="50"/>
      <c r="BH30" s="50"/>
      <c r="BI30" s="79">
        <f t="shared" si="35"/>
        <v>138160</v>
      </c>
      <c r="BK30" s="80">
        <f t="shared" si="36"/>
        <v>138160</v>
      </c>
      <c r="BL30" s="349">
        <f t="shared" si="37"/>
        <v>222610</v>
      </c>
      <c r="BO30" s="283">
        <f t="shared" si="38"/>
        <v>3</v>
      </c>
      <c r="BP30" s="53">
        <f t="shared" si="38"/>
        <v>7</v>
      </c>
      <c r="BQ30" s="67">
        <f t="shared" si="38"/>
        <v>33000</v>
      </c>
      <c r="BR30" s="55">
        <f t="shared" si="16"/>
        <v>4285.7142857142853</v>
      </c>
      <c r="BS30" s="67">
        <f t="shared" si="39"/>
        <v>7700</v>
      </c>
      <c r="BT30" s="56">
        <f t="shared" si="17"/>
        <v>1000</v>
      </c>
      <c r="BU30" s="57">
        <f t="shared" si="40"/>
        <v>40700</v>
      </c>
      <c r="BV30" s="58">
        <f t="shared" si="18"/>
        <v>5814.2857142857147</v>
      </c>
      <c r="BW30" s="284">
        <f t="shared" si="41"/>
        <v>4</v>
      </c>
      <c r="BX30" s="67">
        <f t="shared" si="41"/>
        <v>66000</v>
      </c>
      <c r="BY30" s="55">
        <f t="shared" si="19"/>
        <v>15000</v>
      </c>
      <c r="BZ30" s="67">
        <f t="shared" si="42"/>
        <v>7260</v>
      </c>
      <c r="CA30" s="56">
        <f t="shared" si="20"/>
        <v>1650</v>
      </c>
      <c r="CB30" s="285">
        <f t="shared" si="43"/>
        <v>73260</v>
      </c>
      <c r="CC30" s="286" t="e">
        <v>#DIV/0!</v>
      </c>
      <c r="CD30" s="287">
        <f t="shared" si="44"/>
        <v>11</v>
      </c>
      <c r="CE30" s="67">
        <f t="shared" si="44"/>
        <v>99000</v>
      </c>
      <c r="CF30" s="56">
        <f t="shared" si="45"/>
        <v>8181.818181818182</v>
      </c>
      <c r="CG30" s="67">
        <f t="shared" si="46"/>
        <v>14960</v>
      </c>
      <c r="CH30" s="56">
        <f t="shared" si="47"/>
        <v>1236.3636363636363</v>
      </c>
      <c r="CI30" s="288">
        <f t="shared" si="48"/>
        <v>113960</v>
      </c>
      <c r="CJ30" s="289">
        <f t="shared" si="49"/>
        <v>10360</v>
      </c>
    </row>
    <row r="31" spans="1:88" ht="15.75" customHeight="1">
      <c r="A31" s="50"/>
      <c r="B31" s="320">
        <f t="shared" si="21"/>
        <v>46049</v>
      </c>
      <c r="C31" s="82"/>
      <c r="D31" s="52">
        <v>6</v>
      </c>
      <c r="E31" s="53">
        <v>12</v>
      </c>
      <c r="F31" s="54">
        <v>58400</v>
      </c>
      <c r="G31" s="55">
        <f>ROUNDDOWN(F31/1.1,0)/E31</f>
        <v>4424.166666666667</v>
      </c>
      <c r="H31" s="54">
        <f>1000+5940</f>
        <v>6940</v>
      </c>
      <c r="I31" s="55">
        <f t="shared" si="1"/>
        <v>525.75</v>
      </c>
      <c r="J31" s="57">
        <f t="shared" si="2"/>
        <v>65340</v>
      </c>
      <c r="K31" s="58">
        <f>IF(E31="","",J31/E31)</f>
        <v>5445</v>
      </c>
      <c r="L31" s="83">
        <v>1</v>
      </c>
      <c r="M31" s="84">
        <v>2</v>
      </c>
      <c r="N31" s="85">
        <v>7700</v>
      </c>
      <c r="O31" s="86">
        <f t="shared" si="4"/>
        <v>3850</v>
      </c>
      <c r="P31" s="85">
        <v>1100</v>
      </c>
      <c r="Q31" s="87">
        <f t="shared" si="5"/>
        <v>550</v>
      </c>
      <c r="R31" s="88">
        <f t="shared" si="50"/>
        <v>8800</v>
      </c>
      <c r="S31" s="89">
        <f t="shared" si="7"/>
        <v>4400</v>
      </c>
      <c r="T31" s="66">
        <f t="shared" si="22"/>
        <v>0</v>
      </c>
      <c r="U31" s="67">
        <f>AX31-(F31+N31)</f>
        <v>0</v>
      </c>
      <c r="V31" s="55" t="e">
        <f t="shared" si="8"/>
        <v>#DIV/0!</v>
      </c>
      <c r="W31" s="67">
        <f t="shared" si="24"/>
        <v>0</v>
      </c>
      <c r="X31" s="55" t="e">
        <f t="shared" si="9"/>
        <v>#DIV/0!</v>
      </c>
      <c r="Y31" s="90">
        <f t="shared" si="25"/>
        <v>0</v>
      </c>
      <c r="Z31" s="69" t="e">
        <f t="shared" si="10"/>
        <v>#DIV/0!</v>
      </c>
      <c r="AA31" s="70">
        <f t="shared" si="26"/>
        <v>14</v>
      </c>
      <c r="AB31" s="67">
        <f t="shared" si="26"/>
        <v>66100</v>
      </c>
      <c r="AC31" s="67">
        <f t="shared" si="27"/>
        <v>8040</v>
      </c>
      <c r="AD31" s="71">
        <f t="shared" si="51"/>
        <v>74140</v>
      </c>
      <c r="AE31" s="67">
        <f t="shared" si="28"/>
        <v>5295.7142857142853</v>
      </c>
      <c r="AF31" s="72">
        <v>64</v>
      </c>
      <c r="AG31" s="73">
        <v>65</v>
      </c>
      <c r="AH31" s="54">
        <f>83730+16650</f>
        <v>100380</v>
      </c>
      <c r="AI31" s="55">
        <f t="shared" si="12"/>
        <v>1544.3076923076924</v>
      </c>
      <c r="AJ31" s="54">
        <v>7600</v>
      </c>
      <c r="AK31" s="56">
        <f t="shared" si="13"/>
        <v>116.92307692307692</v>
      </c>
      <c r="AL31" s="91">
        <f t="shared" si="29"/>
        <v>107980</v>
      </c>
      <c r="AM31" s="75">
        <f t="shared" si="14"/>
        <v>1661.2307692307693</v>
      </c>
      <c r="AN31" s="324">
        <v>0</v>
      </c>
      <c r="AO31" s="325">
        <v>0</v>
      </c>
      <c r="AP31" s="324">
        <v>0</v>
      </c>
      <c r="AQ31" s="325">
        <v>0</v>
      </c>
      <c r="AR31" s="97">
        <f t="shared" si="30"/>
        <v>12</v>
      </c>
      <c r="AS31" s="92">
        <f t="shared" si="31"/>
        <v>166480</v>
      </c>
      <c r="AT31" s="92">
        <f t="shared" si="15"/>
        <v>15640</v>
      </c>
      <c r="AU31" s="76">
        <f t="shared" si="32"/>
        <v>182120</v>
      </c>
      <c r="AV31" s="67">
        <f t="shared" si="52"/>
        <v>0</v>
      </c>
      <c r="AW31" s="92">
        <v>14</v>
      </c>
      <c r="AX31" s="92">
        <v>66100</v>
      </c>
      <c r="AY31" s="92">
        <f>2100+5940</f>
        <v>8040</v>
      </c>
      <c r="AZ31" s="93"/>
      <c r="BA31" s="93"/>
      <c r="BB31" s="93"/>
      <c r="BC31" s="93"/>
      <c r="BD31" s="94">
        <f t="shared" si="33"/>
        <v>74140</v>
      </c>
      <c r="BE31" s="79">
        <f t="shared" si="34"/>
        <v>74140</v>
      </c>
      <c r="BF31" s="50">
        <v>27</v>
      </c>
      <c r="BG31" s="50"/>
      <c r="BH31" s="50"/>
      <c r="BI31" s="79">
        <f t="shared" si="35"/>
        <v>74140</v>
      </c>
      <c r="BK31" s="80">
        <f t="shared" si="36"/>
        <v>74140</v>
      </c>
      <c r="BL31" s="349">
        <f t="shared" si="37"/>
        <v>182120</v>
      </c>
      <c r="BO31" s="283">
        <f t="shared" si="38"/>
        <v>6</v>
      </c>
      <c r="BP31" s="53">
        <f t="shared" si="38"/>
        <v>12</v>
      </c>
      <c r="BQ31" s="67">
        <f t="shared" si="38"/>
        <v>58400</v>
      </c>
      <c r="BR31" s="55">
        <f t="shared" si="16"/>
        <v>4424.166666666667</v>
      </c>
      <c r="BS31" s="67">
        <f t="shared" si="39"/>
        <v>6940</v>
      </c>
      <c r="BT31" s="56">
        <f t="shared" si="17"/>
        <v>525.75</v>
      </c>
      <c r="BU31" s="57">
        <f t="shared" si="40"/>
        <v>65340</v>
      </c>
      <c r="BV31" s="58">
        <f t="shared" si="18"/>
        <v>5445</v>
      </c>
      <c r="BW31" s="284">
        <f t="shared" si="41"/>
        <v>0</v>
      </c>
      <c r="BX31" s="67">
        <f t="shared" si="41"/>
        <v>0</v>
      </c>
      <c r="BY31" s="55" t="e">
        <f t="shared" si="19"/>
        <v>#DIV/0!</v>
      </c>
      <c r="BZ31" s="67">
        <f t="shared" si="42"/>
        <v>0</v>
      </c>
      <c r="CA31" s="56" t="e">
        <f t="shared" si="20"/>
        <v>#DIV/0!</v>
      </c>
      <c r="CB31" s="285">
        <f t="shared" si="43"/>
        <v>0</v>
      </c>
      <c r="CC31" s="286" t="e">
        <v>#DIV/0!</v>
      </c>
      <c r="CD31" s="287">
        <f t="shared" si="44"/>
        <v>12</v>
      </c>
      <c r="CE31" s="67">
        <f t="shared" si="44"/>
        <v>58400</v>
      </c>
      <c r="CF31" s="56">
        <f t="shared" si="45"/>
        <v>4424.166666666667</v>
      </c>
      <c r="CG31" s="67">
        <f t="shared" si="46"/>
        <v>6940</v>
      </c>
      <c r="CH31" s="56">
        <f t="shared" si="47"/>
        <v>525.75</v>
      </c>
      <c r="CI31" s="288">
        <f t="shared" si="48"/>
        <v>65340</v>
      </c>
      <c r="CJ31" s="289">
        <f t="shared" si="49"/>
        <v>5445</v>
      </c>
    </row>
    <row r="32" spans="1:88" ht="15.75" customHeight="1">
      <c r="A32" s="50"/>
      <c r="B32" s="320">
        <f t="shared" si="21"/>
        <v>46050</v>
      </c>
      <c r="C32" s="82" t="s">
        <v>103</v>
      </c>
      <c r="D32" s="52">
        <v>1</v>
      </c>
      <c r="E32" s="53">
        <v>2</v>
      </c>
      <c r="F32" s="54">
        <v>8800</v>
      </c>
      <c r="G32" s="55">
        <f>ROUNDDOWN(F32/1.1,0)/E32</f>
        <v>4000</v>
      </c>
      <c r="H32" s="54">
        <v>0</v>
      </c>
      <c r="I32" s="55">
        <f t="shared" si="1"/>
        <v>0</v>
      </c>
      <c r="J32" s="57">
        <f>F32+H32</f>
        <v>8800</v>
      </c>
      <c r="K32" s="58">
        <f>IF(E32="","",J32/E32)</f>
        <v>4400</v>
      </c>
      <c r="L32" s="83"/>
      <c r="M32" s="84"/>
      <c r="N32" s="85"/>
      <c r="O32" s="86" t="e">
        <f t="shared" si="4"/>
        <v>#DIV/0!</v>
      </c>
      <c r="P32" s="85"/>
      <c r="Q32" s="87" t="e">
        <f t="shared" si="5"/>
        <v>#DIV/0!</v>
      </c>
      <c r="R32" s="88">
        <f t="shared" si="50"/>
        <v>0</v>
      </c>
      <c r="S32" s="89" t="str">
        <f t="shared" si="7"/>
        <v/>
      </c>
      <c r="T32" s="66">
        <f t="shared" si="22"/>
        <v>19</v>
      </c>
      <c r="U32" s="67">
        <f t="shared" si="23"/>
        <v>190000</v>
      </c>
      <c r="V32" s="55">
        <f>ROUNDDOWN(U32/1.1,0)/T32</f>
        <v>9090.894736842105</v>
      </c>
      <c r="W32" s="67">
        <f t="shared" si="24"/>
        <v>160000</v>
      </c>
      <c r="X32" s="55">
        <f>ROUNDDOWN(W32/1.1,0)/T32</f>
        <v>7655.4736842105267</v>
      </c>
      <c r="Y32" s="90">
        <f>U32+W32</f>
        <v>350000</v>
      </c>
      <c r="Z32" s="69">
        <f>IF(T32="","",Y32/T32)</f>
        <v>18421.052631578947</v>
      </c>
      <c r="AA32" s="70">
        <f t="shared" si="26"/>
        <v>21</v>
      </c>
      <c r="AB32" s="67">
        <f t="shared" si="26"/>
        <v>198800</v>
      </c>
      <c r="AC32" s="67">
        <f t="shared" si="27"/>
        <v>160000</v>
      </c>
      <c r="AD32" s="71">
        <f t="shared" si="51"/>
        <v>358800</v>
      </c>
      <c r="AE32" s="67">
        <f>IF(AA32="","",AD32/AA32)</f>
        <v>17085.714285714286</v>
      </c>
      <c r="AF32" s="72">
        <v>57</v>
      </c>
      <c r="AG32" s="73">
        <v>59</v>
      </c>
      <c r="AH32" s="54">
        <f>73700+500</f>
        <v>74200</v>
      </c>
      <c r="AI32" s="55">
        <f>AH32/AG32</f>
        <v>1257.6271186440679</v>
      </c>
      <c r="AJ32" s="54">
        <v>10400</v>
      </c>
      <c r="AK32" s="56">
        <f>AJ32/AG32</f>
        <v>176.27118644067798</v>
      </c>
      <c r="AL32" s="91">
        <f>AH32+AJ32</f>
        <v>84600</v>
      </c>
      <c r="AM32" s="75">
        <f>IF(AG32="","",AL32/AG32)</f>
        <v>1433.8983050847457</v>
      </c>
      <c r="AN32" s="324">
        <v>0</v>
      </c>
      <c r="AO32" s="325">
        <v>0</v>
      </c>
      <c r="AP32" s="324">
        <v>0</v>
      </c>
      <c r="AQ32" s="325">
        <v>0</v>
      </c>
      <c r="AR32" s="97">
        <f t="shared" si="30"/>
        <v>21</v>
      </c>
      <c r="AS32" s="92">
        <f t="shared" si="31"/>
        <v>273000</v>
      </c>
      <c r="AT32" s="92">
        <f t="shared" si="15"/>
        <v>170400</v>
      </c>
      <c r="AU32" s="76">
        <f t="shared" si="32"/>
        <v>443400</v>
      </c>
      <c r="AV32" s="67">
        <f>AZ32+BA32+BB32</f>
        <v>0</v>
      </c>
      <c r="AW32" s="92">
        <v>21</v>
      </c>
      <c r="AX32" s="92">
        <v>198800</v>
      </c>
      <c r="AY32" s="92">
        <v>160000</v>
      </c>
      <c r="AZ32" s="93"/>
      <c r="BA32" s="93"/>
      <c r="BB32" s="93"/>
      <c r="BC32" s="93"/>
      <c r="BD32" s="94">
        <f>SUM(AX32:BB32)</f>
        <v>358800</v>
      </c>
      <c r="BE32" s="79">
        <f t="shared" si="34"/>
        <v>358800</v>
      </c>
      <c r="BF32" s="50">
        <v>28</v>
      </c>
      <c r="BG32" s="50"/>
      <c r="BH32" s="50"/>
      <c r="BI32" s="79">
        <f t="shared" si="35"/>
        <v>358800</v>
      </c>
      <c r="BK32" s="80">
        <f t="shared" si="36"/>
        <v>358800</v>
      </c>
      <c r="BL32" s="349">
        <f t="shared" si="37"/>
        <v>443400</v>
      </c>
      <c r="BO32" s="283">
        <f t="shared" si="38"/>
        <v>1</v>
      </c>
      <c r="BP32" s="53">
        <f t="shared" si="38"/>
        <v>2</v>
      </c>
      <c r="BQ32" s="67">
        <f t="shared" si="38"/>
        <v>8800</v>
      </c>
      <c r="BR32" s="55">
        <f t="shared" si="16"/>
        <v>4000</v>
      </c>
      <c r="BS32" s="67">
        <f t="shared" si="39"/>
        <v>0</v>
      </c>
      <c r="BT32" s="56">
        <f t="shared" si="17"/>
        <v>0</v>
      </c>
      <c r="BU32" s="57">
        <f t="shared" si="40"/>
        <v>8800</v>
      </c>
      <c r="BV32" s="58">
        <f t="shared" si="18"/>
        <v>4400</v>
      </c>
      <c r="BW32" s="284">
        <f t="shared" si="41"/>
        <v>19</v>
      </c>
      <c r="BX32" s="67">
        <f t="shared" si="41"/>
        <v>190000</v>
      </c>
      <c r="BY32" s="55">
        <f t="shared" si="19"/>
        <v>9090.894736842105</v>
      </c>
      <c r="BZ32" s="67">
        <f t="shared" si="42"/>
        <v>160000</v>
      </c>
      <c r="CA32" s="56">
        <f t="shared" si="20"/>
        <v>7655.4736842105267</v>
      </c>
      <c r="CB32" s="285">
        <f t="shared" si="43"/>
        <v>350000</v>
      </c>
      <c r="CC32" s="286" t="e">
        <v>#DIV/0!</v>
      </c>
      <c r="CD32" s="287">
        <f t="shared" si="44"/>
        <v>21</v>
      </c>
      <c r="CE32" s="67">
        <f t="shared" si="44"/>
        <v>198800</v>
      </c>
      <c r="CF32" s="56">
        <f t="shared" si="45"/>
        <v>8606.0476190476184</v>
      </c>
      <c r="CG32" s="67">
        <f t="shared" si="46"/>
        <v>160000</v>
      </c>
      <c r="CH32" s="56">
        <f t="shared" si="47"/>
        <v>6926.3809523809523</v>
      </c>
      <c r="CI32" s="288">
        <f t="shared" si="48"/>
        <v>358800</v>
      </c>
      <c r="CJ32" s="289">
        <f t="shared" si="49"/>
        <v>17085.714285714286</v>
      </c>
    </row>
    <row r="33" spans="1:88" ht="15.75" customHeight="1">
      <c r="A33" s="50"/>
      <c r="B33" s="320">
        <f t="shared" si="21"/>
        <v>46051</v>
      </c>
      <c r="C33" s="82"/>
      <c r="D33" s="52">
        <v>3</v>
      </c>
      <c r="E33" s="53">
        <v>5</v>
      </c>
      <c r="F33" s="54">
        <v>22000</v>
      </c>
      <c r="G33" s="55">
        <f>ROUNDDOWN(F33/1.1,0)/E33</f>
        <v>4000</v>
      </c>
      <c r="H33" s="54">
        <f>1760+5500</f>
        <v>7260</v>
      </c>
      <c r="I33" s="55">
        <f t="shared" si="1"/>
        <v>1320</v>
      </c>
      <c r="J33" s="57">
        <f>F33+H33</f>
        <v>29260</v>
      </c>
      <c r="K33" s="58">
        <f>IF(E33="","",J33/E33)</f>
        <v>5852</v>
      </c>
      <c r="L33" s="83">
        <v>2</v>
      </c>
      <c r="M33" s="84">
        <v>3</v>
      </c>
      <c r="N33" s="85">
        <v>11550</v>
      </c>
      <c r="O33" s="86">
        <f t="shared" si="4"/>
        <v>3850</v>
      </c>
      <c r="P33" s="85">
        <v>1650</v>
      </c>
      <c r="Q33" s="87">
        <f t="shared" si="5"/>
        <v>550</v>
      </c>
      <c r="R33" s="88">
        <f t="shared" si="50"/>
        <v>13200</v>
      </c>
      <c r="S33" s="89">
        <f t="shared" si="7"/>
        <v>4400</v>
      </c>
      <c r="T33" s="66">
        <f t="shared" si="22"/>
        <v>7</v>
      </c>
      <c r="U33" s="67">
        <f t="shared" si="23"/>
        <v>82500</v>
      </c>
      <c r="V33" s="55">
        <f>ROUNDDOWN(U33/1.1,0)/T33</f>
        <v>10714.285714285714</v>
      </c>
      <c r="W33" s="67">
        <f t="shared" si="24"/>
        <v>35200</v>
      </c>
      <c r="X33" s="55">
        <f>ROUNDDOWN(W33/1.1,0)/T33</f>
        <v>4571.4285714285716</v>
      </c>
      <c r="Y33" s="90">
        <f>U33+W33</f>
        <v>117700</v>
      </c>
      <c r="Z33" s="69">
        <f>IF(T33="","",Y33/T33)</f>
        <v>16814.285714285714</v>
      </c>
      <c r="AA33" s="70">
        <f t="shared" si="26"/>
        <v>15</v>
      </c>
      <c r="AB33" s="67">
        <f t="shared" si="26"/>
        <v>116050</v>
      </c>
      <c r="AC33" s="67">
        <f t="shared" si="27"/>
        <v>44110</v>
      </c>
      <c r="AD33" s="71">
        <f t="shared" si="51"/>
        <v>160160</v>
      </c>
      <c r="AE33" s="67">
        <f>IF(AA33="","",AD33/AA33)</f>
        <v>10677.333333333334</v>
      </c>
      <c r="AF33" s="72">
        <v>51</v>
      </c>
      <c r="AG33" s="73">
        <v>52</v>
      </c>
      <c r="AH33" s="54">
        <f>62000+6400</f>
        <v>68400</v>
      </c>
      <c r="AI33" s="55">
        <f>AH33/AG33</f>
        <v>1315.3846153846155</v>
      </c>
      <c r="AJ33" s="54">
        <v>7700</v>
      </c>
      <c r="AK33" s="56">
        <f>AJ33/AG33</f>
        <v>148.07692307692307</v>
      </c>
      <c r="AL33" s="91">
        <f>AH33+AJ33</f>
        <v>76100</v>
      </c>
      <c r="AM33" s="75">
        <f>IF(AG33="","",AL33/AG33)</f>
        <v>1463.4615384615386</v>
      </c>
      <c r="AN33" s="324">
        <v>1</v>
      </c>
      <c r="AO33" s="325">
        <v>1</v>
      </c>
      <c r="AP33" s="324">
        <v>0</v>
      </c>
      <c r="AQ33" s="325">
        <v>0</v>
      </c>
      <c r="AR33" s="97">
        <f t="shared" si="30"/>
        <v>12</v>
      </c>
      <c r="AS33" s="92">
        <f t="shared" si="31"/>
        <v>184450</v>
      </c>
      <c r="AT33" s="92">
        <f t="shared" si="15"/>
        <v>51810</v>
      </c>
      <c r="AU33" s="76">
        <f t="shared" si="32"/>
        <v>236260</v>
      </c>
      <c r="AV33" s="67">
        <f>AZ33+BA33+BB33</f>
        <v>4400</v>
      </c>
      <c r="AW33" s="92">
        <v>15</v>
      </c>
      <c r="AX33" s="92">
        <v>116050</v>
      </c>
      <c r="AY33" s="92">
        <f>12210+31900</f>
        <v>44110</v>
      </c>
      <c r="AZ33" s="93">
        <v>4400</v>
      </c>
      <c r="BA33" s="93"/>
      <c r="BB33" s="93"/>
      <c r="BC33" s="93"/>
      <c r="BD33" s="94">
        <f>SUM(AX33:BB33)</f>
        <v>164560</v>
      </c>
      <c r="BE33" s="79">
        <f t="shared" si="34"/>
        <v>164560</v>
      </c>
      <c r="BF33" s="50">
        <v>29</v>
      </c>
      <c r="BG33" s="50"/>
      <c r="BH33" s="50"/>
      <c r="BI33" s="79">
        <f t="shared" si="35"/>
        <v>164560</v>
      </c>
      <c r="BK33" s="80">
        <f t="shared" si="36"/>
        <v>164560</v>
      </c>
      <c r="BL33" s="349">
        <f t="shared" si="37"/>
        <v>240660</v>
      </c>
      <c r="BO33" s="283">
        <f t="shared" si="38"/>
        <v>3</v>
      </c>
      <c r="BP33" s="53">
        <f t="shared" si="38"/>
        <v>5</v>
      </c>
      <c r="BQ33" s="67">
        <f t="shared" si="38"/>
        <v>22000</v>
      </c>
      <c r="BR33" s="55">
        <f t="shared" si="16"/>
        <v>4000</v>
      </c>
      <c r="BS33" s="67">
        <f t="shared" si="39"/>
        <v>7260</v>
      </c>
      <c r="BT33" s="56">
        <f t="shared" si="17"/>
        <v>1320</v>
      </c>
      <c r="BU33" s="57">
        <f t="shared" si="40"/>
        <v>29260</v>
      </c>
      <c r="BV33" s="58">
        <f t="shared" si="18"/>
        <v>5852</v>
      </c>
      <c r="BW33" s="284">
        <f t="shared" si="41"/>
        <v>7</v>
      </c>
      <c r="BX33" s="67">
        <f t="shared" si="41"/>
        <v>82500</v>
      </c>
      <c r="BY33" s="55">
        <f t="shared" si="19"/>
        <v>10714.285714285714</v>
      </c>
      <c r="BZ33" s="67">
        <f t="shared" si="42"/>
        <v>35200</v>
      </c>
      <c r="CA33" s="56">
        <f t="shared" si="20"/>
        <v>4571.4285714285716</v>
      </c>
      <c r="CB33" s="285">
        <f t="shared" si="43"/>
        <v>117700</v>
      </c>
      <c r="CC33" s="286" t="e">
        <v>#DIV/0!</v>
      </c>
      <c r="CD33" s="287">
        <f t="shared" si="44"/>
        <v>12</v>
      </c>
      <c r="CE33" s="67">
        <f t="shared" si="44"/>
        <v>104500</v>
      </c>
      <c r="CF33" s="56">
        <f t="shared" si="45"/>
        <v>7916.666666666667</v>
      </c>
      <c r="CG33" s="67">
        <f t="shared" si="46"/>
        <v>42460</v>
      </c>
      <c r="CH33" s="56">
        <f t="shared" si="47"/>
        <v>3216.6666666666665</v>
      </c>
      <c r="CI33" s="288">
        <f t="shared" si="48"/>
        <v>146960</v>
      </c>
      <c r="CJ33" s="289">
        <f t="shared" si="49"/>
        <v>12246.666666666666</v>
      </c>
    </row>
    <row r="34" spans="1:88" ht="15.75" customHeight="1">
      <c r="A34" s="50"/>
      <c r="B34" s="320">
        <f t="shared" si="21"/>
        <v>46052</v>
      </c>
      <c r="C34" s="82" t="s">
        <v>104</v>
      </c>
      <c r="D34" s="52">
        <v>4</v>
      </c>
      <c r="E34" s="53">
        <v>8</v>
      </c>
      <c r="F34" s="54">
        <v>50160</v>
      </c>
      <c r="G34" s="55">
        <f>ROUNDDOWN(F34/1.1,0)/E34</f>
        <v>5700</v>
      </c>
      <c r="H34" s="54">
        <f>3960+27390</f>
        <v>31350</v>
      </c>
      <c r="I34" s="55">
        <f t="shared" si="1"/>
        <v>3562.5</v>
      </c>
      <c r="J34" s="57">
        <f>F34+H34</f>
        <v>81510</v>
      </c>
      <c r="K34" s="58">
        <f>IF(E34="","",J34/E34)</f>
        <v>10188.75</v>
      </c>
      <c r="L34" s="99"/>
      <c r="M34" s="100"/>
      <c r="N34" s="101"/>
      <c r="O34" s="86" t="e">
        <f t="shared" si="4"/>
        <v>#DIV/0!</v>
      </c>
      <c r="P34" s="101"/>
      <c r="Q34" s="87" t="e">
        <f t="shared" si="5"/>
        <v>#DIV/0!</v>
      </c>
      <c r="R34" s="88">
        <f t="shared" si="50"/>
        <v>0</v>
      </c>
      <c r="S34" s="89" t="str">
        <f t="shared" si="7"/>
        <v/>
      </c>
      <c r="T34" s="66">
        <f t="shared" si="22"/>
        <v>5</v>
      </c>
      <c r="U34" s="67">
        <f t="shared" si="23"/>
        <v>63600</v>
      </c>
      <c r="V34" s="55">
        <f>ROUNDDOWN(U34/1.1,0)/T34</f>
        <v>11563.6</v>
      </c>
      <c r="W34" s="67">
        <f t="shared" si="24"/>
        <v>8420</v>
      </c>
      <c r="X34" s="55">
        <f>ROUNDDOWN(W34/1.1,0)/T34</f>
        <v>1530.8</v>
      </c>
      <c r="Y34" s="90">
        <f>U34+W34</f>
        <v>72020</v>
      </c>
      <c r="Z34" s="69">
        <f>IF(T34="","",Y34/T34)</f>
        <v>14404</v>
      </c>
      <c r="AA34" s="70">
        <f t="shared" si="26"/>
        <v>13</v>
      </c>
      <c r="AB34" s="67">
        <f t="shared" si="26"/>
        <v>113760</v>
      </c>
      <c r="AC34" s="67">
        <f t="shared" si="27"/>
        <v>39770</v>
      </c>
      <c r="AD34" s="71">
        <f t="shared" si="51"/>
        <v>153530</v>
      </c>
      <c r="AE34" s="67">
        <f>IF(AA34="","",AD34/AA34)</f>
        <v>11810</v>
      </c>
      <c r="AF34" s="72">
        <v>109</v>
      </c>
      <c r="AG34" s="73">
        <v>114</v>
      </c>
      <c r="AH34" s="54">
        <f>93270+3500</f>
        <v>96770</v>
      </c>
      <c r="AI34" s="55">
        <f>AH34/AG34</f>
        <v>848.85964912280701</v>
      </c>
      <c r="AJ34" s="54">
        <v>32800</v>
      </c>
      <c r="AK34" s="56">
        <f>AJ34/AG34</f>
        <v>287.71929824561403</v>
      </c>
      <c r="AL34" s="91">
        <f>AH34+AJ34</f>
        <v>129570</v>
      </c>
      <c r="AM34" s="75">
        <f>IF(AG34="","",AL34/AG34)</f>
        <v>1136.578947368421</v>
      </c>
      <c r="AN34" s="324">
        <v>0</v>
      </c>
      <c r="AO34" s="325">
        <v>0</v>
      </c>
      <c r="AP34" s="324">
        <v>0</v>
      </c>
      <c r="AQ34" s="325">
        <v>0</v>
      </c>
      <c r="AR34" s="97">
        <f t="shared" si="30"/>
        <v>13</v>
      </c>
      <c r="AS34" s="92">
        <f t="shared" si="31"/>
        <v>210530</v>
      </c>
      <c r="AT34" s="92">
        <f t="shared" si="15"/>
        <v>72570</v>
      </c>
      <c r="AU34" s="76">
        <f t="shared" si="32"/>
        <v>283100</v>
      </c>
      <c r="AV34" s="67">
        <f>AZ34+BA34+BB34</f>
        <v>0</v>
      </c>
      <c r="AW34" s="92">
        <v>13</v>
      </c>
      <c r="AX34" s="92">
        <v>113760</v>
      </c>
      <c r="AY34" s="92">
        <f>9680+30090</f>
        <v>39770</v>
      </c>
      <c r="AZ34" s="93"/>
      <c r="BA34" s="93"/>
      <c r="BB34" s="93"/>
      <c r="BC34" s="93">
        <v>3300</v>
      </c>
      <c r="BD34" s="94">
        <f>SUM(AX34:BB34)</f>
        <v>153530</v>
      </c>
      <c r="BE34" s="79">
        <f t="shared" si="34"/>
        <v>156830</v>
      </c>
      <c r="BF34" s="50">
        <v>30</v>
      </c>
      <c r="BG34" s="50"/>
      <c r="BH34" s="50"/>
      <c r="BI34" s="79">
        <f t="shared" si="35"/>
        <v>153530</v>
      </c>
      <c r="BK34" s="80">
        <f t="shared" si="36"/>
        <v>156830</v>
      </c>
      <c r="BL34" s="349">
        <f t="shared" si="37"/>
        <v>283100</v>
      </c>
      <c r="BO34" s="283">
        <f t="shared" si="38"/>
        <v>4</v>
      </c>
      <c r="BP34" s="53">
        <f t="shared" si="38"/>
        <v>8</v>
      </c>
      <c r="BQ34" s="67">
        <f t="shared" si="38"/>
        <v>50160</v>
      </c>
      <c r="BR34" s="55">
        <f t="shared" si="16"/>
        <v>5700</v>
      </c>
      <c r="BS34" s="67">
        <f t="shared" si="39"/>
        <v>31350</v>
      </c>
      <c r="BT34" s="56">
        <f t="shared" si="17"/>
        <v>3562.5</v>
      </c>
      <c r="BU34" s="57">
        <f t="shared" si="40"/>
        <v>81510</v>
      </c>
      <c r="BV34" s="58">
        <f t="shared" si="18"/>
        <v>10188.75</v>
      </c>
      <c r="BW34" s="284">
        <f t="shared" si="41"/>
        <v>5</v>
      </c>
      <c r="BX34" s="67">
        <f t="shared" si="41"/>
        <v>63600</v>
      </c>
      <c r="BY34" s="55">
        <f t="shared" si="19"/>
        <v>11563.6</v>
      </c>
      <c r="BZ34" s="67">
        <f t="shared" si="42"/>
        <v>8420</v>
      </c>
      <c r="CA34" s="56">
        <f t="shared" si="20"/>
        <v>1530.8</v>
      </c>
      <c r="CB34" s="285">
        <f t="shared" si="43"/>
        <v>72020</v>
      </c>
      <c r="CC34" s="286" t="e">
        <v>#DIV/0!</v>
      </c>
      <c r="CD34" s="287">
        <f t="shared" si="44"/>
        <v>13</v>
      </c>
      <c r="CE34" s="67">
        <f t="shared" si="44"/>
        <v>113760</v>
      </c>
      <c r="CF34" s="56">
        <f t="shared" si="45"/>
        <v>7955.2307692307695</v>
      </c>
      <c r="CG34" s="67">
        <f t="shared" si="46"/>
        <v>39770</v>
      </c>
      <c r="CH34" s="56">
        <f t="shared" si="47"/>
        <v>2781.0769230769229</v>
      </c>
      <c r="CI34" s="288">
        <f t="shared" si="48"/>
        <v>153530</v>
      </c>
      <c r="CJ34" s="289">
        <f t="shared" si="49"/>
        <v>11810</v>
      </c>
    </row>
    <row r="35" spans="1:88" ht="15.75" customHeight="1" thickBot="1">
      <c r="A35" s="50"/>
      <c r="B35" s="332">
        <f t="shared" si="21"/>
        <v>46053</v>
      </c>
      <c r="C35" s="82"/>
      <c r="D35" s="52">
        <v>5</v>
      </c>
      <c r="E35" s="53">
        <v>13</v>
      </c>
      <c r="F35" s="54">
        <v>47300</v>
      </c>
      <c r="G35" s="55">
        <f t="shared" si="0"/>
        <v>3307.6923076923076</v>
      </c>
      <c r="H35" s="54">
        <v>11880</v>
      </c>
      <c r="I35" s="55">
        <f t="shared" si="1"/>
        <v>830.76923076923072</v>
      </c>
      <c r="J35" s="57">
        <f t="shared" si="2"/>
        <v>59180</v>
      </c>
      <c r="K35" s="58">
        <f t="shared" si="3"/>
        <v>4552.3076923076924</v>
      </c>
      <c r="L35" s="102">
        <v>1</v>
      </c>
      <c r="M35" s="103">
        <v>2</v>
      </c>
      <c r="N35" s="104">
        <v>7700</v>
      </c>
      <c r="O35" s="105">
        <f t="shared" si="4"/>
        <v>3850</v>
      </c>
      <c r="P35" s="104">
        <v>1100</v>
      </c>
      <c r="Q35" s="106">
        <f t="shared" si="5"/>
        <v>550</v>
      </c>
      <c r="R35" s="107">
        <f t="shared" si="50"/>
        <v>8800</v>
      </c>
      <c r="S35" s="89">
        <f t="shared" si="7"/>
        <v>4400</v>
      </c>
      <c r="T35" s="66">
        <f t="shared" si="22"/>
        <v>5</v>
      </c>
      <c r="U35" s="67">
        <f t="shared" si="23"/>
        <v>92400</v>
      </c>
      <c r="V35" s="55">
        <f t="shared" si="8"/>
        <v>16800</v>
      </c>
      <c r="W35" s="67">
        <f t="shared" si="24"/>
        <v>28930</v>
      </c>
      <c r="X35" s="55">
        <f t="shared" si="9"/>
        <v>5260</v>
      </c>
      <c r="Y35" s="90">
        <f t="shared" si="25"/>
        <v>121330</v>
      </c>
      <c r="Z35" s="69">
        <f t="shared" si="10"/>
        <v>24266</v>
      </c>
      <c r="AA35" s="70">
        <f t="shared" si="26"/>
        <v>20</v>
      </c>
      <c r="AB35" s="67">
        <f t="shared" si="26"/>
        <v>147400</v>
      </c>
      <c r="AC35" s="67">
        <f t="shared" si="27"/>
        <v>41910</v>
      </c>
      <c r="AD35" s="71">
        <f>J35+Y35+R35</f>
        <v>189310</v>
      </c>
      <c r="AE35" s="67">
        <f t="shared" si="28"/>
        <v>9465.5</v>
      </c>
      <c r="AF35" s="72">
        <v>85</v>
      </c>
      <c r="AG35" s="73">
        <v>89</v>
      </c>
      <c r="AH35" s="54">
        <f>96850+4600</f>
        <v>101450</v>
      </c>
      <c r="AI35" s="55">
        <f t="shared" si="12"/>
        <v>1139.8876404494381</v>
      </c>
      <c r="AJ35" s="54">
        <f>18900</f>
        <v>18900</v>
      </c>
      <c r="AK35" s="56">
        <f t="shared" si="13"/>
        <v>212.35955056179776</v>
      </c>
      <c r="AL35" s="91">
        <f t="shared" si="29"/>
        <v>120350</v>
      </c>
      <c r="AM35" s="75">
        <f t="shared" si="14"/>
        <v>1352.2471910112361</v>
      </c>
      <c r="AN35" s="326">
        <v>0</v>
      </c>
      <c r="AO35" s="325">
        <v>0</v>
      </c>
      <c r="AP35" s="326">
        <v>0</v>
      </c>
      <c r="AQ35" s="325">
        <v>0</v>
      </c>
      <c r="AR35" s="97">
        <f t="shared" si="30"/>
        <v>18</v>
      </c>
      <c r="AS35" s="92">
        <f t="shared" si="31"/>
        <v>248850</v>
      </c>
      <c r="AT35" s="92">
        <f t="shared" si="15"/>
        <v>60810</v>
      </c>
      <c r="AU35" s="76">
        <f t="shared" si="32"/>
        <v>309660</v>
      </c>
      <c r="AV35" s="67">
        <f t="shared" si="52"/>
        <v>0</v>
      </c>
      <c r="AW35" s="92">
        <v>20</v>
      </c>
      <c r="AX35" s="92">
        <v>147400</v>
      </c>
      <c r="AY35" s="92">
        <f>10780+31130</f>
        <v>41910</v>
      </c>
      <c r="AZ35" s="93"/>
      <c r="BA35" s="93"/>
      <c r="BB35" s="93"/>
      <c r="BC35" s="93"/>
      <c r="BD35" s="94">
        <f>SUM(AX35:BB35)</f>
        <v>189310</v>
      </c>
      <c r="BE35" s="79">
        <f t="shared" si="34"/>
        <v>189310</v>
      </c>
      <c r="BF35" s="50">
        <v>31</v>
      </c>
      <c r="BG35" s="50"/>
      <c r="BH35" s="50"/>
      <c r="BI35" s="79">
        <f t="shared" si="35"/>
        <v>189310</v>
      </c>
      <c r="BK35" s="80">
        <f t="shared" si="36"/>
        <v>189310</v>
      </c>
      <c r="BL35" s="349">
        <f t="shared" si="37"/>
        <v>309660</v>
      </c>
      <c r="BO35" s="283">
        <f t="shared" si="38"/>
        <v>5</v>
      </c>
      <c r="BP35" s="53">
        <f t="shared" si="38"/>
        <v>13</v>
      </c>
      <c r="BQ35" s="67">
        <f t="shared" si="38"/>
        <v>47300</v>
      </c>
      <c r="BR35" s="55">
        <f t="shared" si="16"/>
        <v>3307.6923076923076</v>
      </c>
      <c r="BS35" s="67">
        <f t="shared" si="39"/>
        <v>11880</v>
      </c>
      <c r="BT35" s="56">
        <f t="shared" si="17"/>
        <v>830.76923076923072</v>
      </c>
      <c r="BU35" s="57">
        <f t="shared" si="40"/>
        <v>59180</v>
      </c>
      <c r="BV35" s="58">
        <f t="shared" si="18"/>
        <v>4552.3076923076924</v>
      </c>
      <c r="BW35" s="284">
        <f t="shared" si="41"/>
        <v>5</v>
      </c>
      <c r="BX35" s="67">
        <f t="shared" si="41"/>
        <v>92400</v>
      </c>
      <c r="BY35" s="55">
        <f t="shared" si="19"/>
        <v>16800</v>
      </c>
      <c r="BZ35" s="67">
        <f t="shared" si="42"/>
        <v>28930</v>
      </c>
      <c r="CA35" s="56">
        <f t="shared" si="20"/>
        <v>5260</v>
      </c>
      <c r="CB35" s="285">
        <f t="shared" si="43"/>
        <v>121330</v>
      </c>
      <c r="CC35" s="286" t="e">
        <v>#DIV/0!</v>
      </c>
      <c r="CD35" s="287">
        <f t="shared" si="44"/>
        <v>18</v>
      </c>
      <c r="CE35" s="67">
        <f t="shared" si="44"/>
        <v>139700</v>
      </c>
      <c r="CF35" s="56">
        <f t="shared" si="45"/>
        <v>7055.5555555555557</v>
      </c>
      <c r="CG35" s="67">
        <f t="shared" si="46"/>
        <v>40810</v>
      </c>
      <c r="CH35" s="56">
        <f t="shared" si="47"/>
        <v>2061.1111111111113</v>
      </c>
      <c r="CI35" s="288">
        <f t="shared" si="48"/>
        <v>180510</v>
      </c>
      <c r="CJ35" s="289">
        <f t="shared" si="49"/>
        <v>10028.333333333334</v>
      </c>
    </row>
    <row r="36" spans="1:88" ht="15.75" customHeight="1" thickTop="1" thickBot="1">
      <c r="A36" s="108"/>
      <c r="B36" s="109" t="s">
        <v>23</v>
      </c>
      <c r="C36" s="110">
        <f>SUM(C5:C35)</f>
        <v>0</v>
      </c>
      <c r="D36" s="111">
        <f>SUM(D5:D35)</f>
        <v>125</v>
      </c>
      <c r="E36" s="112">
        <f>SUM(E5:E35)</f>
        <v>301</v>
      </c>
      <c r="F36" s="113">
        <f>SUM(F5:F35)</f>
        <v>1876960</v>
      </c>
      <c r="G36" s="114">
        <f>F36/E36</f>
        <v>6235.7475083056479</v>
      </c>
      <c r="H36" s="115">
        <f>SUM(H5:H35)</f>
        <v>627790</v>
      </c>
      <c r="I36" s="116">
        <f>H36/E36</f>
        <v>2085.6810631229237</v>
      </c>
      <c r="J36" s="117">
        <f>SUM(J5:J35)</f>
        <v>2504750</v>
      </c>
      <c r="K36" s="118">
        <f>J36/E36</f>
        <v>8321.4285714285706</v>
      </c>
      <c r="L36" s="119">
        <f t="shared" ref="L36:N36" si="53">SUM(L5:L35)</f>
        <v>20</v>
      </c>
      <c r="M36" s="120">
        <f t="shared" si="53"/>
        <v>42</v>
      </c>
      <c r="N36" s="121">
        <f t="shared" si="53"/>
        <v>161700</v>
      </c>
      <c r="O36" s="121">
        <f t="shared" si="4"/>
        <v>3850</v>
      </c>
      <c r="P36" s="122">
        <f>SUM(P5:P35)</f>
        <v>31240</v>
      </c>
      <c r="Q36" s="123">
        <f t="shared" si="5"/>
        <v>743.80952380952385</v>
      </c>
      <c r="R36" s="124">
        <f>SUM(R5:R35)</f>
        <v>192940</v>
      </c>
      <c r="S36" s="125">
        <f>R36/M36</f>
        <v>4593.8095238095239</v>
      </c>
      <c r="T36" s="112">
        <f>SUM(T5:T35)</f>
        <v>176</v>
      </c>
      <c r="U36" s="113">
        <f>SUM(U5:U35)</f>
        <v>2470590</v>
      </c>
      <c r="V36" s="114">
        <f>U36/T36</f>
        <v>14037.443181818182</v>
      </c>
      <c r="W36" s="126">
        <f>SUM(W5:W35)</f>
        <v>1118320</v>
      </c>
      <c r="X36" s="116">
        <f>W36/T36</f>
        <v>6354.090909090909</v>
      </c>
      <c r="Y36" s="127">
        <f>SUM(Y5:Y35)</f>
        <v>3588910</v>
      </c>
      <c r="Z36" s="128">
        <f>Y36/T36</f>
        <v>20391.534090909092</v>
      </c>
      <c r="AA36" s="112">
        <f>SUM(AA5:AA35)</f>
        <v>519</v>
      </c>
      <c r="AB36" s="129">
        <f>SUM(AB5:AB35)</f>
        <v>4509250</v>
      </c>
      <c r="AC36" s="126">
        <f>SUM(AC5:AC35)</f>
        <v>1777350</v>
      </c>
      <c r="AD36" s="130">
        <f>SUM(AD5:AD35)</f>
        <v>6286600</v>
      </c>
      <c r="AE36" s="131">
        <f>AD36/AA36</f>
        <v>12112.909441233141</v>
      </c>
      <c r="AF36" s="111">
        <f>SUM(AF5:AF35)</f>
        <v>2289</v>
      </c>
      <c r="AG36" s="112">
        <f>SUM(AG5:AG35)</f>
        <v>2392</v>
      </c>
      <c r="AH36" s="132">
        <f>SUM(AH5:AH35)</f>
        <v>2864402</v>
      </c>
      <c r="AI36" s="114"/>
      <c r="AJ36" s="115">
        <f>SUM(AJ5:AJ35)</f>
        <v>492700</v>
      </c>
      <c r="AK36" s="116"/>
      <c r="AL36" s="133">
        <f>SUM(AL5:AL35)</f>
        <v>3357102</v>
      </c>
      <c r="AM36" s="327">
        <f>AL36/AG36</f>
        <v>1403.4707357859531</v>
      </c>
      <c r="AN36" s="111">
        <f>SUM(AN5:AN35)</f>
        <v>8</v>
      </c>
      <c r="AO36" s="328">
        <f>SUM(AO5:AO35)</f>
        <v>18</v>
      </c>
      <c r="AP36" s="111">
        <f>SUM(AP5:AP35)</f>
        <v>2</v>
      </c>
      <c r="AQ36" s="328">
        <f>SUM(AQ5:AQ35)</f>
        <v>3</v>
      </c>
      <c r="AR36" s="112">
        <f t="shared" ref="AR36:BC36" si="54">SUM(AR5:AR35)</f>
        <v>477</v>
      </c>
      <c r="AS36" s="129">
        <f t="shared" si="54"/>
        <v>7373652</v>
      </c>
      <c r="AT36" s="126">
        <f t="shared" si="54"/>
        <v>2270050</v>
      </c>
      <c r="AU36" s="127">
        <f t="shared" si="54"/>
        <v>9643702</v>
      </c>
      <c r="AV36" s="115">
        <f t="shared" si="54"/>
        <v>44000</v>
      </c>
      <c r="AW36" s="134">
        <f t="shared" si="54"/>
        <v>519</v>
      </c>
      <c r="AX36" s="134">
        <f t="shared" si="54"/>
        <v>4509250</v>
      </c>
      <c r="AY36" s="134">
        <f t="shared" si="54"/>
        <v>1777350</v>
      </c>
      <c r="AZ36" s="134">
        <f t="shared" si="54"/>
        <v>44000</v>
      </c>
      <c r="BA36" s="134">
        <f t="shared" si="54"/>
        <v>0</v>
      </c>
      <c r="BB36" s="134">
        <f t="shared" si="54"/>
        <v>0</v>
      </c>
      <c r="BC36" s="134">
        <f t="shared" si="54"/>
        <v>113700</v>
      </c>
      <c r="BD36" s="134">
        <f>SUM(BD5:BD35)</f>
        <v>6330600</v>
      </c>
      <c r="BE36" s="153">
        <f>SUM(BE5:BE35)</f>
        <v>6444300</v>
      </c>
      <c r="BF36" s="108"/>
      <c r="BG36" s="350">
        <f>SUM(BG5:BG35)</f>
        <v>2860</v>
      </c>
      <c r="BH36" s="350">
        <f>SUM(BH5:BH35)</f>
        <v>2288</v>
      </c>
      <c r="BI36" s="135">
        <f>SUM(BI5:BI35)</f>
        <v>6325452</v>
      </c>
      <c r="BK36" s="135">
        <f>SUM(BK5:BK35)</f>
        <v>6439152</v>
      </c>
      <c r="BL36" s="135">
        <f>SUM(BL5:BL35)</f>
        <v>9682554</v>
      </c>
      <c r="BO36" s="290">
        <f>SUM(BO5:BO35)</f>
        <v>125</v>
      </c>
      <c r="BP36" s="112">
        <f>SUM(BP5:BP35)</f>
        <v>301</v>
      </c>
      <c r="BQ36" s="113">
        <f>SUM(BQ5:BQ35)</f>
        <v>1876960</v>
      </c>
      <c r="BR36" s="114">
        <f>BQ36/BP36</f>
        <v>6235.7475083056479</v>
      </c>
      <c r="BS36" s="115">
        <f>SUM(BS5:BS35)</f>
        <v>627790</v>
      </c>
      <c r="BT36" s="116">
        <f>BS36/BP36</f>
        <v>2085.6810631229237</v>
      </c>
      <c r="BU36" s="117">
        <f>SUM(BU5:BU35)</f>
        <v>2504750</v>
      </c>
      <c r="BV36" s="291">
        <f>BU36/BP36</f>
        <v>8321.4285714285706</v>
      </c>
      <c r="BW36" s="292">
        <f>SUM(BW5:BW35)</f>
        <v>176</v>
      </c>
      <c r="BX36" s="113">
        <f>SUM(BX5:BX35)</f>
        <v>2470590</v>
      </c>
      <c r="BY36" s="114">
        <f>BX36/BW36</f>
        <v>14037.443181818182</v>
      </c>
      <c r="BZ36" s="126">
        <f>SUM(BZ5:BZ35)</f>
        <v>1118320</v>
      </c>
      <c r="CA36" s="116">
        <f>BZ36/BW36</f>
        <v>6354.090909090909</v>
      </c>
      <c r="CB36" s="117">
        <f>SUM(CB5:CB35)</f>
        <v>3588910</v>
      </c>
      <c r="CC36" s="293">
        <v>20391.534090909092</v>
      </c>
      <c r="CD36" s="292">
        <f>SUM(CD5:CD35)</f>
        <v>477</v>
      </c>
      <c r="CE36" s="113">
        <f>SUM(CE5:CE35)</f>
        <v>4347550</v>
      </c>
      <c r="CF36" s="114">
        <f>ROUNDDOWN(CE36/1.1,0)/CD36</f>
        <v>8285.7819706498958</v>
      </c>
      <c r="CG36" s="113">
        <f>SUM(CG5:CG35)</f>
        <v>1746110</v>
      </c>
      <c r="CH36" s="116">
        <f>ROUNDDOWN(CG36/1.1,0)/CD36</f>
        <v>3327.8238993710693</v>
      </c>
      <c r="CI36" s="127">
        <f>SUM(CI5:CI35)</f>
        <v>6093660</v>
      </c>
      <c r="CJ36" s="294">
        <f>IF(CD36="","",CI36/CD36)</f>
        <v>12774.968553459119</v>
      </c>
    </row>
    <row r="37" spans="1:88" ht="15.75" customHeight="1" thickTop="1" thickBot="1">
      <c r="A37" s="108"/>
      <c r="B37" s="351" t="s">
        <v>105</v>
      </c>
      <c r="C37" s="352" t="s">
        <v>106</v>
      </c>
      <c r="D37" s="108"/>
      <c r="E37" s="137" t="s">
        <v>34</v>
      </c>
      <c r="F37" s="138">
        <f>F36/1.1</f>
        <v>1706327.2727272725</v>
      </c>
      <c r="G37" s="139">
        <f>F37/E36</f>
        <v>5668.8613711869521</v>
      </c>
      <c r="H37" s="140">
        <f>H36/1.1</f>
        <v>570718.18181818177</v>
      </c>
      <c r="I37" s="139">
        <f>H37/E36</f>
        <v>1896.0736937481122</v>
      </c>
      <c r="J37" s="134">
        <f>J36/1.1</f>
        <v>2277045.4545454546</v>
      </c>
      <c r="K37" s="141">
        <f>G37+I37</f>
        <v>7564.9350649350645</v>
      </c>
      <c r="L37" s="142"/>
      <c r="M37" s="143" t="s">
        <v>86</v>
      </c>
      <c r="N37" s="144">
        <f>N36/1.1</f>
        <v>147000</v>
      </c>
      <c r="O37" s="145">
        <f>N37/M36</f>
        <v>3500</v>
      </c>
      <c r="P37" s="145">
        <f>P36/1.1</f>
        <v>28399.999999999996</v>
      </c>
      <c r="Q37" s="145">
        <f>P37/M36</f>
        <v>676.19047619047615</v>
      </c>
      <c r="R37" s="146">
        <f>R36/1.1</f>
        <v>175400</v>
      </c>
      <c r="S37" s="147">
        <f>R37/M36</f>
        <v>4176.1904761904761</v>
      </c>
      <c r="T37" s="137" t="s">
        <v>34</v>
      </c>
      <c r="U37" s="138">
        <f>U36/1.1</f>
        <v>2245990.9090909087</v>
      </c>
      <c r="V37" s="139">
        <f>U37/T36</f>
        <v>12761.311983471072</v>
      </c>
      <c r="W37" s="138">
        <f>W36/1.1</f>
        <v>1016654.5454545454</v>
      </c>
      <c r="X37" s="139">
        <f>W37/T36</f>
        <v>5776.446280991735</v>
      </c>
      <c r="Y37" s="139">
        <f>Y36/1.1</f>
        <v>3262645.4545454541</v>
      </c>
      <c r="Z37" s="148">
        <f>Y37/T36</f>
        <v>18537.758264462809</v>
      </c>
      <c r="AA37" s="137" t="s">
        <v>34</v>
      </c>
      <c r="AB37" s="138">
        <f>AB36/1.1</f>
        <v>4099318.1818181816</v>
      </c>
      <c r="AC37" s="138">
        <f>AC36/1.1</f>
        <v>1615772.7272727271</v>
      </c>
      <c r="AD37" s="149">
        <f>AD36/1.1</f>
        <v>5715090.9090909082</v>
      </c>
      <c r="AE37" s="131">
        <f>AD37/AA36</f>
        <v>11011.735855666489</v>
      </c>
      <c r="AF37" s="150"/>
      <c r="AG37" s="137" t="s">
        <v>34</v>
      </c>
      <c r="AH37" s="138">
        <f>AH36/1.1</f>
        <v>2604001.8181818179</v>
      </c>
      <c r="AI37" s="140">
        <f>AH37/AG36</f>
        <v>1088.6295226512616</v>
      </c>
      <c r="AJ37" s="140">
        <f>AJ36/1.1</f>
        <v>447909.09090909088</v>
      </c>
      <c r="AK37" s="140">
        <f>AJ37/AG36</f>
        <v>187.25296442687747</v>
      </c>
      <c r="AL37" s="139">
        <f>AL36/1.1</f>
        <v>3051910.9090909087</v>
      </c>
      <c r="AM37" s="151">
        <f>AL37/AG36</f>
        <v>1275.8824870781391</v>
      </c>
      <c r="AN37" s="151"/>
      <c r="AO37" s="136"/>
      <c r="AP37" s="151"/>
      <c r="AQ37" s="136"/>
      <c r="AR37" s="137" t="s">
        <v>34</v>
      </c>
      <c r="AS37" s="152">
        <f>AS36/1.1</f>
        <v>6703319.9999999991</v>
      </c>
      <c r="AT37" s="138">
        <f>AT36/1.1</f>
        <v>2063681.8181818181</v>
      </c>
      <c r="AU37" s="139">
        <f>AU36/1.1</f>
        <v>8767001.8181818184</v>
      </c>
      <c r="AV37" s="140">
        <f>AV36/1.1</f>
        <v>40000</v>
      </c>
      <c r="AW37" s="108"/>
      <c r="AX37" s="163">
        <f>AX36/1.1</f>
        <v>4099318.1818181816</v>
      </c>
      <c r="AY37" s="163">
        <f>AY36/1.1</f>
        <v>1615772.7272727271</v>
      </c>
      <c r="AZ37" s="163">
        <f>AZ36/1.1</f>
        <v>40000</v>
      </c>
      <c r="BA37" s="153"/>
      <c r="BB37" s="108"/>
      <c r="BC37" s="163">
        <f>BC36/1.1</f>
        <v>103363.63636363635</v>
      </c>
      <c r="BD37" s="153">
        <f>BD36/1.1</f>
        <v>5755090.9090909082</v>
      </c>
      <c r="BE37" s="153">
        <f>BE36/1.1</f>
        <v>5858454.5454545449</v>
      </c>
      <c r="BF37" s="108"/>
      <c r="BG37" s="163">
        <f>BG36/1.1</f>
        <v>2600</v>
      </c>
      <c r="BH37" s="163">
        <f>BH36/1.1</f>
        <v>2080</v>
      </c>
      <c r="BI37" s="163">
        <f>BI36/1.1</f>
        <v>5750410.9090909082</v>
      </c>
      <c r="BK37" s="163">
        <f>BK36/1.1</f>
        <v>5853774.5454545449</v>
      </c>
      <c r="BL37" s="163">
        <f>BL36/1.1</f>
        <v>8802321.8181818184</v>
      </c>
      <c r="BO37" s="295"/>
      <c r="BP37" s="296" t="s">
        <v>34</v>
      </c>
      <c r="BQ37" s="297">
        <f>BQ36/1.1</f>
        <v>1706327.2727272725</v>
      </c>
      <c r="BR37" s="298">
        <f>BQ37/BP36</f>
        <v>5668.8613711869521</v>
      </c>
      <c r="BS37" s="299">
        <f>BS36/1.1</f>
        <v>570718.18181818177</v>
      </c>
      <c r="BT37" s="298">
        <f>BS37/BP36</f>
        <v>1896.0736937481122</v>
      </c>
      <c r="BU37" s="300">
        <f>BU36/1.1</f>
        <v>2277045.4545454546</v>
      </c>
      <c r="BV37" s="301">
        <f>BR37+BT37</f>
        <v>7564.9350649350645</v>
      </c>
      <c r="BW37" s="302" t="s">
        <v>34</v>
      </c>
      <c r="BX37" s="297">
        <f>BX36/1.1</f>
        <v>2245990.9090909087</v>
      </c>
      <c r="BY37" s="298">
        <f>BX37/BW36</f>
        <v>12761.311983471072</v>
      </c>
      <c r="BZ37" s="299">
        <f>BZ36/1.1</f>
        <v>1016654.5454545454</v>
      </c>
      <c r="CA37" s="298">
        <f>BZ37/BW36</f>
        <v>5776.446280991735</v>
      </c>
      <c r="CB37" s="300">
        <f>CB36/1.1</f>
        <v>3262645.4545454541</v>
      </c>
      <c r="CC37" s="303">
        <v>18537.758264462809</v>
      </c>
      <c r="CD37" s="302" t="s">
        <v>34</v>
      </c>
      <c r="CE37" s="297">
        <f>CE36/1.1</f>
        <v>3952318.1818181816</v>
      </c>
      <c r="CF37" s="298">
        <f>CE37/CD36</f>
        <v>8285.7823518200876</v>
      </c>
      <c r="CG37" s="297">
        <f>CG36/1.1</f>
        <v>1587372.7272727271</v>
      </c>
      <c r="CH37" s="298">
        <f>CG37/CD36</f>
        <v>3327.8254240518386</v>
      </c>
      <c r="CI37" s="298">
        <f>CI36/1.1</f>
        <v>5539690.9090909082</v>
      </c>
      <c r="CJ37" s="304">
        <f>CF37+CH37</f>
        <v>11613.607775871926</v>
      </c>
    </row>
    <row r="38" spans="1:88" ht="15.75" customHeight="1">
      <c r="A38" s="154"/>
      <c r="B38" s="155">
        <v>29</v>
      </c>
      <c r="C38" s="156">
        <v>30</v>
      </c>
      <c r="D38" s="154"/>
      <c r="E38" s="157" t="s">
        <v>35</v>
      </c>
      <c r="F38" s="158">
        <f>E36/G38</f>
        <v>10.379310344827585</v>
      </c>
      <c r="G38" s="159">
        <v>29</v>
      </c>
      <c r="H38" s="160" t="s">
        <v>36</v>
      </c>
      <c r="I38" s="158"/>
      <c r="J38" s="161" t="s">
        <v>37</v>
      </c>
      <c r="K38" s="162">
        <f>J37/G38</f>
        <v>78518.808777429469</v>
      </c>
      <c r="L38" s="163"/>
      <c r="O38" s="165">
        <f>G38</f>
        <v>29</v>
      </c>
      <c r="P38" s="166"/>
      <c r="Q38" s="166"/>
      <c r="R38" s="161" t="s">
        <v>37</v>
      </c>
      <c r="S38" s="162">
        <f>R37/O38</f>
        <v>6048.2758620689656</v>
      </c>
      <c r="T38" s="154"/>
      <c r="U38" s="157" t="s">
        <v>35</v>
      </c>
      <c r="V38" s="158">
        <f>T36/W38</f>
        <v>5.8666666666666663</v>
      </c>
      <c r="W38" s="159">
        <v>30</v>
      </c>
      <c r="X38" s="160" t="s">
        <v>36</v>
      </c>
      <c r="Y38" s="161" t="s">
        <v>37</v>
      </c>
      <c r="Z38" s="167">
        <f>Y37/W38</f>
        <v>108754.84848484847</v>
      </c>
      <c r="AB38" s="159">
        <f>G38</f>
        <v>29</v>
      </c>
      <c r="AC38" s="154"/>
      <c r="AD38" s="161" t="s">
        <v>37</v>
      </c>
      <c r="AE38" s="167">
        <f>AD37/AB38</f>
        <v>197072.1003134796</v>
      </c>
      <c r="AF38" s="168"/>
      <c r="AG38" s="154"/>
      <c r="AH38" s="154"/>
      <c r="AI38" s="169">
        <f>W38</f>
        <v>30</v>
      </c>
      <c r="AJ38" s="160" t="s">
        <v>36</v>
      </c>
      <c r="AK38" s="158"/>
      <c r="AL38" s="158"/>
      <c r="AM38" s="161" t="s">
        <v>37</v>
      </c>
      <c r="AN38" s="329">
        <f>AL37/AI38</f>
        <v>101730.36363636362</v>
      </c>
      <c r="AO38" s="329"/>
      <c r="AP38" s="329"/>
      <c r="AQ38" s="329"/>
      <c r="AS38" s="154"/>
      <c r="AT38" s="154"/>
      <c r="AU38" s="154" t="s">
        <v>38</v>
      </c>
      <c r="AV38" s="163"/>
      <c r="AW38" s="163">
        <f>AU37/AX38</f>
        <v>3055.7691942076744</v>
      </c>
      <c r="AX38" s="171">
        <f>AR36+AG36</f>
        <v>2869</v>
      </c>
      <c r="AY38" s="154" t="s">
        <v>39</v>
      </c>
      <c r="AZ38" s="154"/>
      <c r="BA38" s="154"/>
      <c r="BB38" s="163"/>
      <c r="BC38" s="154"/>
      <c r="BD38" s="154"/>
      <c r="BE38" s="154"/>
      <c r="BF38" s="163"/>
      <c r="BG38" s="163"/>
      <c r="BH38" s="163"/>
      <c r="BI38" s="163"/>
      <c r="CB38" s="161"/>
      <c r="CC38" s="167"/>
      <c r="CD38" s="154"/>
      <c r="CE38" s="157"/>
      <c r="CF38" s="158"/>
      <c r="CH38" s="160"/>
      <c r="CI38" s="161"/>
      <c r="CJ38" s="167"/>
    </row>
    <row r="39" spans="1:88" ht="15.75" customHeight="1" thickBot="1">
      <c r="A39" s="154"/>
      <c r="B39" s="155"/>
      <c r="C39" s="156"/>
      <c r="D39" s="154" t="s">
        <v>40</v>
      </c>
      <c r="E39" s="154"/>
      <c r="F39" s="154"/>
      <c r="G39" s="154"/>
      <c r="H39" s="154"/>
      <c r="I39" s="154"/>
      <c r="J39" s="154"/>
      <c r="K39" s="154"/>
      <c r="L39" s="154" t="s">
        <v>41</v>
      </c>
      <c r="T39" s="154" t="s">
        <v>42</v>
      </c>
      <c r="U39" s="154"/>
      <c r="V39" s="154"/>
      <c r="W39" s="154"/>
      <c r="X39" s="154"/>
      <c r="Y39" s="154"/>
      <c r="Z39" s="154"/>
      <c r="AA39" s="154"/>
      <c r="AB39" s="154"/>
      <c r="AC39" s="154"/>
      <c r="AD39" s="163"/>
      <c r="AE39" s="172"/>
      <c r="AF39" s="164" t="s">
        <v>43</v>
      </c>
      <c r="AG39" s="154"/>
      <c r="AH39" s="154"/>
      <c r="AI39" s="154"/>
      <c r="AJ39" s="154"/>
      <c r="AK39" s="154"/>
      <c r="AL39" s="158"/>
      <c r="AM39" s="158"/>
      <c r="AN39" s="173">
        <f>AG36/AI38</f>
        <v>79.733333333333334</v>
      </c>
      <c r="AO39" s="173"/>
      <c r="AP39" s="154"/>
      <c r="AQ39" s="156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4"/>
      <c r="BI39" s="154"/>
      <c r="BJ39" s="163"/>
      <c r="BK39" s="163"/>
      <c r="BL39" s="163"/>
    </row>
    <row r="40" spans="1:88" ht="15.75" customHeight="1">
      <c r="A40" s="154"/>
      <c r="B40" s="155"/>
      <c r="C40" s="156"/>
      <c r="D40" s="174"/>
      <c r="E40" s="175" t="s">
        <v>44</v>
      </c>
      <c r="F40" s="175" t="s">
        <v>45</v>
      </c>
      <c r="G40" s="175" t="s">
        <v>46</v>
      </c>
      <c r="H40" s="175" t="s">
        <v>47</v>
      </c>
      <c r="I40" s="176" t="s">
        <v>48</v>
      </c>
      <c r="J40" s="175" t="s">
        <v>49</v>
      </c>
      <c r="K40" s="177" t="s">
        <v>50</v>
      </c>
      <c r="L40" s="174"/>
      <c r="M40" s="175" t="s">
        <v>44</v>
      </c>
      <c r="N40" s="175" t="s">
        <v>45</v>
      </c>
      <c r="O40" s="175" t="s">
        <v>46</v>
      </c>
      <c r="P40" s="175" t="s">
        <v>47</v>
      </c>
      <c r="Q40" s="176" t="s">
        <v>48</v>
      </c>
      <c r="R40" s="175" t="s">
        <v>49</v>
      </c>
      <c r="S40" s="177" t="s">
        <v>50</v>
      </c>
      <c r="T40" s="175" t="s">
        <v>44</v>
      </c>
      <c r="U40" s="175" t="s">
        <v>45</v>
      </c>
      <c r="V40" s="175" t="s">
        <v>46</v>
      </c>
      <c r="W40" s="175" t="s">
        <v>47</v>
      </c>
      <c r="X40" s="176" t="s">
        <v>48</v>
      </c>
      <c r="Y40" s="175" t="s">
        <v>49</v>
      </c>
      <c r="Z40" s="177" t="s">
        <v>50</v>
      </c>
      <c r="AA40" s="154"/>
      <c r="AB40" s="154"/>
      <c r="AC40" s="154"/>
      <c r="AD40" s="178"/>
      <c r="AE40" s="154"/>
      <c r="AF40" s="174"/>
      <c r="AG40" s="175" t="s">
        <v>44</v>
      </c>
      <c r="AH40" s="175" t="s">
        <v>45</v>
      </c>
      <c r="AI40" s="175" t="s">
        <v>46</v>
      </c>
      <c r="AJ40" s="175" t="s">
        <v>47</v>
      </c>
      <c r="AK40" s="176" t="s">
        <v>48</v>
      </c>
      <c r="AL40" s="175" t="s">
        <v>49</v>
      </c>
      <c r="AM40" s="177" t="s">
        <v>50</v>
      </c>
      <c r="AN40" s="164"/>
      <c r="AO40" s="156"/>
      <c r="AP40" s="154"/>
      <c r="AQ40" s="156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63"/>
      <c r="BK40" s="163"/>
      <c r="BL40" s="163"/>
    </row>
    <row r="41" spans="1:88" ht="15.75" customHeight="1">
      <c r="A41" s="154"/>
      <c r="B41" s="155"/>
      <c r="C41" s="156"/>
      <c r="D41" s="179" t="s">
        <v>51</v>
      </c>
      <c r="E41" s="180">
        <f t="shared" ref="E41:F43" si="55">E9+E16+E23+E30</f>
        <v>34</v>
      </c>
      <c r="F41" s="154">
        <f t="shared" si="55"/>
        <v>200200</v>
      </c>
      <c r="G41" s="181">
        <f>F41/E41</f>
        <v>5888.2352941176468</v>
      </c>
      <c r="H41" s="154">
        <f>H9+H16+H23+H30</f>
        <v>57420</v>
      </c>
      <c r="I41" s="182">
        <f>H41/E41</f>
        <v>1688.8235294117646</v>
      </c>
      <c r="J41" s="154">
        <f>J9+J16+J23+J30</f>
        <v>257620</v>
      </c>
      <c r="K41" s="183">
        <f>J41/E41</f>
        <v>7577.0588235294117</v>
      </c>
      <c r="L41" s="179" t="s">
        <v>51</v>
      </c>
      <c r="M41" s="180">
        <f t="shared" ref="M41:N43" si="56">M9+M16+M23+M30</f>
        <v>8</v>
      </c>
      <c r="N41" s="154">
        <f t="shared" si="56"/>
        <v>30800</v>
      </c>
      <c r="O41" s="181">
        <f>N41/M41</f>
        <v>3850</v>
      </c>
      <c r="P41" s="154">
        <f>P9+P16+P23+P30</f>
        <v>4400</v>
      </c>
      <c r="Q41" s="182">
        <f>P41/M41</f>
        <v>550</v>
      </c>
      <c r="R41" s="154">
        <f>R9+R16+R23+R30</f>
        <v>35200</v>
      </c>
      <c r="S41" s="183">
        <f>R41/M41</f>
        <v>4400</v>
      </c>
      <c r="T41" s="180">
        <f>T9+T16+T23+T30</f>
        <v>7</v>
      </c>
      <c r="U41" s="154">
        <f t="shared" ref="T41:V43" si="57">U9+U16+U23+U30</f>
        <v>108340</v>
      </c>
      <c r="V41" s="181">
        <f>U41/T41</f>
        <v>15477.142857142857</v>
      </c>
      <c r="W41" s="154">
        <f>W9+W16+W23+W30</f>
        <v>52300</v>
      </c>
      <c r="X41" s="182">
        <f>W41/T41</f>
        <v>7471.4285714285716</v>
      </c>
      <c r="Y41" s="154">
        <f>Y9+Y16+Y23+Y30</f>
        <v>160640</v>
      </c>
      <c r="Z41" s="183">
        <f>Y41/T41</f>
        <v>22948.571428571428</v>
      </c>
      <c r="AA41" s="154"/>
      <c r="AB41" s="154"/>
      <c r="AC41" s="154"/>
      <c r="AD41" s="154"/>
      <c r="AE41" s="154"/>
      <c r="AF41" s="179" t="s">
        <v>51</v>
      </c>
      <c r="AG41" s="180">
        <f t="shared" ref="AG41:AH43" si="58">AG9+AG16+AG23+AG30</f>
        <v>232</v>
      </c>
      <c r="AH41" s="154">
        <f t="shared" si="58"/>
        <v>286630</v>
      </c>
      <c r="AI41" s="181">
        <f>AH41/AG41</f>
        <v>1235.4741379310344</v>
      </c>
      <c r="AJ41" s="154">
        <f>AJ9+AJ16+AJ23+AJ30</f>
        <v>32700</v>
      </c>
      <c r="AK41" s="182">
        <f>AJ41/AG41</f>
        <v>140.94827586206895</v>
      </c>
      <c r="AL41" s="154">
        <f>AL9+AL16+AL23+AL30</f>
        <v>319330</v>
      </c>
      <c r="AM41" s="183">
        <f>AL41/AG41</f>
        <v>1376.4224137931035</v>
      </c>
      <c r="AN41" s="164"/>
      <c r="AO41" s="156"/>
      <c r="AP41" s="154"/>
      <c r="AQ41" s="156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63"/>
      <c r="BK41" s="163"/>
      <c r="BL41" s="163"/>
    </row>
    <row r="42" spans="1:88" ht="15.75" customHeight="1">
      <c r="A42" s="154"/>
      <c r="B42" s="155"/>
      <c r="C42" s="156"/>
      <c r="D42" s="179" t="s">
        <v>52</v>
      </c>
      <c r="E42" s="180">
        <f t="shared" si="55"/>
        <v>39</v>
      </c>
      <c r="F42" s="154">
        <f t="shared" si="55"/>
        <v>219000</v>
      </c>
      <c r="G42" s="181">
        <f>F42/E42</f>
        <v>5615.3846153846152</v>
      </c>
      <c r="H42" s="154">
        <f>H10+H17+H24+H31</f>
        <v>65570</v>
      </c>
      <c r="I42" s="182">
        <f t="shared" ref="I42:I47" si="59">H42/E42</f>
        <v>1681.2820512820513</v>
      </c>
      <c r="J42" s="154">
        <f>J10+J17+J24+J31</f>
        <v>284570</v>
      </c>
      <c r="K42" s="183">
        <f t="shared" ref="K42:K46" si="60">J42/E42</f>
        <v>7296.666666666667</v>
      </c>
      <c r="L42" s="179" t="s">
        <v>52</v>
      </c>
      <c r="M42" s="180">
        <f t="shared" si="56"/>
        <v>4</v>
      </c>
      <c r="N42" s="154">
        <f t="shared" si="56"/>
        <v>15400</v>
      </c>
      <c r="O42" s="181">
        <f>N42/M42</f>
        <v>3850</v>
      </c>
      <c r="P42" s="154">
        <f>P10+P17+P24+P31</f>
        <v>2200</v>
      </c>
      <c r="Q42" s="182">
        <f t="shared" ref="Q42:Q43" si="61">P42/M42</f>
        <v>550</v>
      </c>
      <c r="R42" s="154">
        <f>R10+R17+R24+R31</f>
        <v>17600</v>
      </c>
      <c r="S42" s="183">
        <f t="shared" ref="S42:S46" si="62">R42/M42</f>
        <v>4400</v>
      </c>
      <c r="T42" s="180">
        <f t="shared" si="57"/>
        <v>24</v>
      </c>
      <c r="U42" s="154">
        <f t="shared" si="57"/>
        <v>377520</v>
      </c>
      <c r="V42" s="181">
        <f>U42/T42</f>
        <v>15730</v>
      </c>
      <c r="W42" s="154">
        <f>W10+W17+W24+W31</f>
        <v>208110</v>
      </c>
      <c r="X42" s="182">
        <f t="shared" ref="X42:X43" si="63">W42/T42</f>
        <v>8671.25</v>
      </c>
      <c r="Y42" s="154">
        <f>Y10+Y17+Y24+Y31</f>
        <v>585630</v>
      </c>
      <c r="Z42" s="183">
        <f t="shared" ref="Z42:Z46" si="64">Y42/T42</f>
        <v>24401.25</v>
      </c>
      <c r="AA42" s="154"/>
      <c r="AB42" s="154"/>
      <c r="AC42" s="154"/>
      <c r="AD42" s="154"/>
      <c r="AE42" s="154"/>
      <c r="AF42" s="179" t="s">
        <v>52</v>
      </c>
      <c r="AG42" s="180">
        <f t="shared" si="58"/>
        <v>229</v>
      </c>
      <c r="AH42" s="154">
        <f t="shared" si="58"/>
        <v>345210</v>
      </c>
      <c r="AI42" s="181">
        <f>AH42/AG42</f>
        <v>1507.4672489082971</v>
      </c>
      <c r="AJ42" s="154">
        <f>AJ10+AJ17+AJ24+AJ31</f>
        <v>32650</v>
      </c>
      <c r="AK42" s="182">
        <f t="shared" ref="AK42:AK43" si="65">AJ42/AG42</f>
        <v>142.57641921397379</v>
      </c>
      <c r="AL42" s="154">
        <f>AL10+AL17+AL24+AL31</f>
        <v>377860</v>
      </c>
      <c r="AM42" s="183">
        <f t="shared" ref="AM42:AM46" si="66">AL42/AG42</f>
        <v>1650.0436681222707</v>
      </c>
      <c r="AN42" s="154"/>
      <c r="AO42" s="156"/>
      <c r="AP42" s="154"/>
      <c r="AQ42" s="156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  <c r="BI42" s="154"/>
      <c r="BJ42" s="163"/>
      <c r="BK42" s="163"/>
      <c r="BL42" s="163"/>
    </row>
    <row r="43" spans="1:88" ht="15.75" customHeight="1">
      <c r="A43" s="154"/>
      <c r="B43" s="155"/>
      <c r="C43" s="156"/>
      <c r="D43" s="179" t="s">
        <v>53</v>
      </c>
      <c r="E43" s="180">
        <f t="shared" si="55"/>
        <v>25</v>
      </c>
      <c r="F43" s="154">
        <f t="shared" si="55"/>
        <v>129800</v>
      </c>
      <c r="G43" s="181">
        <f>F43/E43</f>
        <v>5192</v>
      </c>
      <c r="H43" s="154">
        <f>H11+H18+H25+H32</f>
        <v>34100</v>
      </c>
      <c r="I43" s="182">
        <f t="shared" si="59"/>
        <v>1364</v>
      </c>
      <c r="J43" s="154">
        <f>J11+J18+J25+J32</f>
        <v>163900</v>
      </c>
      <c r="K43" s="183">
        <f t="shared" si="60"/>
        <v>6556</v>
      </c>
      <c r="L43" s="179" t="s">
        <v>53</v>
      </c>
      <c r="M43" s="180">
        <f t="shared" si="56"/>
        <v>2</v>
      </c>
      <c r="N43" s="154">
        <f t="shared" si="56"/>
        <v>7700</v>
      </c>
      <c r="O43" s="181">
        <f>N43/M43</f>
        <v>3850</v>
      </c>
      <c r="P43" s="154">
        <f>P11+P18+P25+P32</f>
        <v>1100</v>
      </c>
      <c r="Q43" s="182">
        <f t="shared" si="61"/>
        <v>550</v>
      </c>
      <c r="R43" s="154">
        <f>R11+R18+R25+R32</f>
        <v>8800</v>
      </c>
      <c r="S43" s="183">
        <f t="shared" si="62"/>
        <v>4400</v>
      </c>
      <c r="T43" s="180">
        <f t="shared" si="57"/>
        <v>30</v>
      </c>
      <c r="U43" s="154">
        <f t="shared" si="57"/>
        <v>356100</v>
      </c>
      <c r="V43" s="181">
        <f>U43/T43</f>
        <v>11870</v>
      </c>
      <c r="W43" s="154">
        <f>W11+W18+W25+W32</f>
        <v>231170</v>
      </c>
      <c r="X43" s="182">
        <f t="shared" si="63"/>
        <v>7705.666666666667</v>
      </c>
      <c r="Y43" s="154">
        <f>Y11+Y18+Y25+Y32</f>
        <v>587270</v>
      </c>
      <c r="Z43" s="183">
        <f t="shared" si="64"/>
        <v>19575.666666666668</v>
      </c>
      <c r="AA43" s="154"/>
      <c r="AB43" s="154"/>
      <c r="AC43" s="154"/>
      <c r="AD43" s="154"/>
      <c r="AE43" s="154"/>
      <c r="AF43" s="179" t="s">
        <v>53</v>
      </c>
      <c r="AG43" s="180">
        <f t="shared" si="58"/>
        <v>244</v>
      </c>
      <c r="AH43" s="154">
        <f t="shared" si="58"/>
        <v>288580</v>
      </c>
      <c r="AI43" s="181">
        <f>AH43/AG43</f>
        <v>1182.704918032787</v>
      </c>
      <c r="AJ43" s="154">
        <f>AJ11+AJ18+AJ25+AJ32</f>
        <v>46600</v>
      </c>
      <c r="AK43" s="182">
        <f t="shared" si="65"/>
        <v>190.98360655737704</v>
      </c>
      <c r="AL43" s="154">
        <f>AL11+AL18+AL25+AL32</f>
        <v>335180</v>
      </c>
      <c r="AM43" s="183">
        <f t="shared" si="66"/>
        <v>1373.688524590164</v>
      </c>
      <c r="AN43" s="154"/>
      <c r="AO43" s="156"/>
      <c r="AP43" s="154"/>
      <c r="AQ43" s="156"/>
      <c r="AR43" s="154"/>
      <c r="AS43" s="154"/>
      <c r="AT43" s="154"/>
      <c r="AU43" s="154"/>
      <c r="AV43" s="154"/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63"/>
      <c r="BK43" s="163"/>
      <c r="BL43" s="163"/>
    </row>
    <row r="44" spans="1:88" ht="15.75" customHeight="1">
      <c r="A44" s="154"/>
      <c r="B44" s="155"/>
      <c r="C44" s="156"/>
      <c r="D44" s="179" t="s">
        <v>54</v>
      </c>
      <c r="E44" s="180">
        <f t="shared" ref="E44:F46" si="67">E5+E12+E19+E26+E33</f>
        <v>33</v>
      </c>
      <c r="F44" s="154">
        <f t="shared" si="67"/>
        <v>213400</v>
      </c>
      <c r="G44" s="181">
        <f>F44/E44</f>
        <v>6466.666666666667</v>
      </c>
      <c r="H44" s="154">
        <f>H5+H12+H19+H26+H33</f>
        <v>79750</v>
      </c>
      <c r="I44" s="182">
        <f>H44/E44</f>
        <v>2416.6666666666665</v>
      </c>
      <c r="J44" s="154">
        <f>J5+J12+J19+J26+J33</f>
        <v>293150</v>
      </c>
      <c r="K44" s="183">
        <f t="shared" si="60"/>
        <v>8883.3333333333339</v>
      </c>
      <c r="L44" s="179" t="s">
        <v>54</v>
      </c>
      <c r="M44" s="180">
        <f t="shared" ref="M44:N46" si="68">M5+M12+M19+M26+M33</f>
        <v>5</v>
      </c>
      <c r="N44" s="154">
        <f t="shared" si="68"/>
        <v>19250</v>
      </c>
      <c r="O44" s="181">
        <f>N44/M44</f>
        <v>3850</v>
      </c>
      <c r="P44" s="154">
        <f>P5+P12+P19+P26+P33</f>
        <v>5390</v>
      </c>
      <c r="Q44" s="182">
        <f>P44/M44</f>
        <v>1078</v>
      </c>
      <c r="R44" s="154">
        <f>R5+R12+R19+R26+R33</f>
        <v>24640</v>
      </c>
      <c r="S44" s="183">
        <f t="shared" si="62"/>
        <v>4928</v>
      </c>
      <c r="T44" s="180">
        <f t="shared" ref="T44:U46" si="69">T5+T12+T19+T26+T33</f>
        <v>31</v>
      </c>
      <c r="U44" s="154">
        <f t="shared" si="69"/>
        <v>482900</v>
      </c>
      <c r="V44" s="181">
        <f>U44/T44</f>
        <v>15577.41935483871</v>
      </c>
      <c r="W44" s="154">
        <f>W5+W12+W19+W26+W33</f>
        <v>149710</v>
      </c>
      <c r="X44" s="182">
        <f>W44/T44</f>
        <v>4829.3548387096771</v>
      </c>
      <c r="Y44" s="154">
        <f>Y5+Y12+Y19+Y26+Y33</f>
        <v>632610</v>
      </c>
      <c r="Z44" s="183">
        <f t="shared" si="64"/>
        <v>20406.774193548386</v>
      </c>
      <c r="AA44" s="154"/>
      <c r="AB44" s="154"/>
      <c r="AC44" s="154"/>
      <c r="AD44" s="154"/>
      <c r="AE44" s="154"/>
      <c r="AF44" s="179" t="s">
        <v>54</v>
      </c>
      <c r="AG44" s="180">
        <f t="shared" ref="AG44:AH46" si="70">AG5+AG12+AG19+AG26+AG33</f>
        <v>211</v>
      </c>
      <c r="AH44" s="154">
        <f t="shared" si="70"/>
        <v>297292</v>
      </c>
      <c r="AI44" s="181">
        <f>AH44/AG44</f>
        <v>1408.9668246445497</v>
      </c>
      <c r="AJ44" s="154">
        <f>AJ5+AJ12+AJ19+AJ26+AJ33</f>
        <v>33800</v>
      </c>
      <c r="AK44" s="182">
        <f>AJ44/AG44</f>
        <v>160.18957345971563</v>
      </c>
      <c r="AL44" s="154">
        <f>AL5+AL12+AL19+AL26+AL33</f>
        <v>331092</v>
      </c>
      <c r="AM44" s="183">
        <f t="shared" si="66"/>
        <v>1569.1563981042655</v>
      </c>
      <c r="AN44" s="154"/>
      <c r="AO44" s="156"/>
      <c r="AP44" s="154"/>
      <c r="AQ44" s="156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63"/>
      <c r="BK44" s="163"/>
      <c r="BL44" s="163"/>
    </row>
    <row r="45" spans="1:88" ht="15.75" customHeight="1">
      <c r="A45" s="154"/>
      <c r="B45" s="155"/>
      <c r="C45" s="156"/>
      <c r="D45" s="179" t="s">
        <v>55</v>
      </c>
      <c r="E45" s="180">
        <f t="shared" si="67"/>
        <v>28</v>
      </c>
      <c r="F45" s="154">
        <f t="shared" si="67"/>
        <v>166860</v>
      </c>
      <c r="G45" s="181">
        <f t="shared" ref="G45:G47" si="71">F45/E45</f>
        <v>5959.2857142857147</v>
      </c>
      <c r="H45" s="154">
        <f>H6+H13+H20+H27+H34</f>
        <v>72940</v>
      </c>
      <c r="I45" s="182">
        <f t="shared" si="59"/>
        <v>2605</v>
      </c>
      <c r="J45" s="154">
        <f>J6+J13+J20+J27+J34</f>
        <v>239800</v>
      </c>
      <c r="K45" s="183">
        <f t="shared" si="60"/>
        <v>8564.2857142857138</v>
      </c>
      <c r="L45" s="179" t="s">
        <v>55</v>
      </c>
      <c r="M45" s="180">
        <f t="shared" si="68"/>
        <v>2</v>
      </c>
      <c r="N45" s="154">
        <f t="shared" si="68"/>
        <v>7700</v>
      </c>
      <c r="O45" s="181">
        <f t="shared" ref="O45:O47" si="72">N45/M45</f>
        <v>3850</v>
      </c>
      <c r="P45" s="154">
        <f>P6+P13+P20+P27+P34</f>
        <v>1100</v>
      </c>
      <c r="Q45" s="182">
        <f t="shared" ref="Q45:Q47" si="73">P45/M45</f>
        <v>550</v>
      </c>
      <c r="R45" s="154">
        <f>R6+R13+R20+R27+R34</f>
        <v>8800</v>
      </c>
      <c r="S45" s="183">
        <f t="shared" si="62"/>
        <v>4400</v>
      </c>
      <c r="T45" s="180">
        <f t="shared" si="69"/>
        <v>30</v>
      </c>
      <c r="U45" s="154">
        <f t="shared" si="69"/>
        <v>378440</v>
      </c>
      <c r="V45" s="181">
        <f t="shared" ref="V45:V47" si="74">U45/T45</f>
        <v>12614.666666666666</v>
      </c>
      <c r="W45" s="154">
        <f>W6+W13+W20+W27+W34</f>
        <v>110450</v>
      </c>
      <c r="X45" s="182">
        <f t="shared" ref="X45:X47" si="75">W45/T45</f>
        <v>3681.6666666666665</v>
      </c>
      <c r="Y45" s="154">
        <f>Y6+Y13+Y20+Y27+Y34</f>
        <v>488890</v>
      </c>
      <c r="Z45" s="183">
        <f t="shared" si="64"/>
        <v>16296.333333333334</v>
      </c>
      <c r="AA45" s="154"/>
      <c r="AB45" s="154"/>
      <c r="AC45" s="154"/>
      <c r="AD45" s="154"/>
      <c r="AE45" s="154"/>
      <c r="AF45" s="179" t="s">
        <v>55</v>
      </c>
      <c r="AG45" s="180">
        <f t="shared" si="70"/>
        <v>641</v>
      </c>
      <c r="AH45" s="154">
        <f t="shared" si="70"/>
        <v>635680</v>
      </c>
      <c r="AI45" s="181">
        <f t="shared" ref="AI45:AI47" si="76">AH45/AG45</f>
        <v>991.7004680187207</v>
      </c>
      <c r="AJ45" s="154">
        <f>AJ6+AJ13+AJ20+AJ27+AJ34</f>
        <v>177500</v>
      </c>
      <c r="AK45" s="182">
        <f t="shared" ref="AK45:AK47" si="77">AJ45/AG45</f>
        <v>276.91107644305771</v>
      </c>
      <c r="AL45" s="154">
        <f>AL6+AL13+AL20+AL27+AL34</f>
        <v>813180</v>
      </c>
      <c r="AM45" s="183">
        <f t="shared" si="66"/>
        <v>1268.6115444617785</v>
      </c>
      <c r="AN45" s="154"/>
      <c r="AO45" s="156"/>
      <c r="AP45" s="154"/>
      <c r="AQ45" s="156"/>
      <c r="AR45" s="154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63"/>
      <c r="BK45" s="163"/>
      <c r="BL45" s="163"/>
    </row>
    <row r="46" spans="1:88" ht="15.75" customHeight="1">
      <c r="A46" s="154"/>
      <c r="B46" s="155"/>
      <c r="C46" s="156"/>
      <c r="D46" s="179" t="s">
        <v>56</v>
      </c>
      <c r="E46" s="180">
        <f t="shared" si="67"/>
        <v>78</v>
      </c>
      <c r="F46" s="154">
        <f t="shared" si="67"/>
        <v>443300</v>
      </c>
      <c r="G46" s="181">
        <f t="shared" si="71"/>
        <v>5683.333333333333</v>
      </c>
      <c r="H46" s="154">
        <f>H7+H14+H21+H28+H35</f>
        <v>148610</v>
      </c>
      <c r="I46" s="182">
        <f t="shared" si="59"/>
        <v>1905.2564102564102</v>
      </c>
      <c r="J46" s="154">
        <f>J7+J14+J21+J28+J35</f>
        <v>591910</v>
      </c>
      <c r="K46" s="183">
        <f t="shared" si="60"/>
        <v>7588.5897435897432</v>
      </c>
      <c r="L46" s="179" t="s">
        <v>56</v>
      </c>
      <c r="M46" s="180">
        <f t="shared" si="68"/>
        <v>13</v>
      </c>
      <c r="N46" s="154">
        <f t="shared" si="68"/>
        <v>50050</v>
      </c>
      <c r="O46" s="181">
        <f t="shared" si="72"/>
        <v>3850</v>
      </c>
      <c r="P46" s="154">
        <f>P7+P14+P21+P28+P35</f>
        <v>9350</v>
      </c>
      <c r="Q46" s="182">
        <f t="shared" si="73"/>
        <v>719.23076923076928</v>
      </c>
      <c r="R46" s="154">
        <f>R7+R14+R21+R28+R35</f>
        <v>59400</v>
      </c>
      <c r="S46" s="183">
        <f t="shared" si="62"/>
        <v>4569.2307692307695</v>
      </c>
      <c r="T46" s="180">
        <f t="shared" si="69"/>
        <v>41</v>
      </c>
      <c r="U46" s="154">
        <f t="shared" si="69"/>
        <v>563770</v>
      </c>
      <c r="V46" s="181">
        <f t="shared" si="74"/>
        <v>13750.487804878048</v>
      </c>
      <c r="W46" s="154">
        <f>W7+W14+W21+W28+W35</f>
        <v>299750</v>
      </c>
      <c r="X46" s="182">
        <f t="shared" si="75"/>
        <v>7310.9756097560976</v>
      </c>
      <c r="Y46" s="154">
        <f>Y7+Y14+Y21+Y28+Y35</f>
        <v>863520</v>
      </c>
      <c r="Z46" s="183">
        <f t="shared" si="64"/>
        <v>21061.463414634145</v>
      </c>
      <c r="AA46" s="154"/>
      <c r="AB46" s="154"/>
      <c r="AC46" s="154"/>
      <c r="AD46" s="154"/>
      <c r="AE46" s="154"/>
      <c r="AF46" s="179" t="s">
        <v>56</v>
      </c>
      <c r="AG46" s="180">
        <f t="shared" si="70"/>
        <v>521</v>
      </c>
      <c r="AH46" s="154">
        <f t="shared" si="70"/>
        <v>621110</v>
      </c>
      <c r="AI46" s="181">
        <f t="shared" si="76"/>
        <v>1192.1497120921306</v>
      </c>
      <c r="AJ46" s="154">
        <f>AJ7+AJ14+AJ21+AJ28+AJ35</f>
        <v>109750</v>
      </c>
      <c r="AK46" s="182">
        <f t="shared" si="77"/>
        <v>210.65259117082533</v>
      </c>
      <c r="AL46" s="154">
        <f>AL7+AL14+AL21+AL28+AL35</f>
        <v>730860</v>
      </c>
      <c r="AM46" s="183">
        <f t="shared" si="66"/>
        <v>1402.8023032629558</v>
      </c>
      <c r="AN46" s="154"/>
      <c r="AO46" s="156"/>
      <c r="AP46" s="154"/>
      <c r="AQ46" s="156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63"/>
      <c r="BK46" s="163"/>
      <c r="BL46" s="163"/>
    </row>
    <row r="47" spans="1:88" ht="15.75" customHeight="1" thickBot="1">
      <c r="A47" s="154"/>
      <c r="B47" s="155"/>
      <c r="C47" s="156"/>
      <c r="D47" s="184" t="s">
        <v>57</v>
      </c>
      <c r="E47" s="185">
        <f>E8+E15+E22+E29</f>
        <v>64</v>
      </c>
      <c r="F47" s="353">
        <f>F8+F15+F22+F29</f>
        <v>504400</v>
      </c>
      <c r="G47" s="186">
        <f t="shared" si="71"/>
        <v>7881.25</v>
      </c>
      <c r="H47" s="353">
        <f>H8+H15+H22+H29</f>
        <v>169400</v>
      </c>
      <c r="I47" s="187">
        <f t="shared" si="59"/>
        <v>2646.875</v>
      </c>
      <c r="J47" s="353">
        <f>J8+J15+J22+J29</f>
        <v>673800</v>
      </c>
      <c r="K47" s="188">
        <f>J47/E47</f>
        <v>10528.125</v>
      </c>
      <c r="L47" s="184" t="s">
        <v>57</v>
      </c>
      <c r="M47" s="185">
        <f>M8+M15+M22+M29</f>
        <v>8</v>
      </c>
      <c r="N47" s="353">
        <f>N8+N15+N22+N29</f>
        <v>30800</v>
      </c>
      <c r="O47" s="186">
        <f t="shared" si="72"/>
        <v>3850</v>
      </c>
      <c r="P47" s="353">
        <f>P8+P15+P22+P29</f>
        <v>7700</v>
      </c>
      <c r="Q47" s="187">
        <f t="shared" si="73"/>
        <v>962.5</v>
      </c>
      <c r="R47" s="353">
        <f>R8+R15+R22+R29</f>
        <v>38500</v>
      </c>
      <c r="S47" s="188">
        <f>R47/M47</f>
        <v>4812.5</v>
      </c>
      <c r="T47" s="185">
        <f>T8+T15+T22+T29</f>
        <v>13</v>
      </c>
      <c r="U47" s="353">
        <f>U8+U15+U22+U29</f>
        <v>203520</v>
      </c>
      <c r="V47" s="186">
        <f t="shared" si="74"/>
        <v>15655.384615384615</v>
      </c>
      <c r="W47" s="353">
        <f>W8+W15+W22+W29</f>
        <v>66830</v>
      </c>
      <c r="X47" s="187">
        <f t="shared" si="75"/>
        <v>5140.7692307692305</v>
      </c>
      <c r="Y47" s="353">
        <f>Y8+Y15+Y22+Y29</f>
        <v>270350</v>
      </c>
      <c r="Z47" s="188">
        <f>Y47/T47</f>
        <v>20796.153846153848</v>
      </c>
      <c r="AA47" s="154"/>
      <c r="AB47" s="154"/>
      <c r="AC47" s="154"/>
      <c r="AD47" s="154"/>
      <c r="AE47" s="154"/>
      <c r="AF47" s="184" t="s">
        <v>57</v>
      </c>
      <c r="AG47" s="185">
        <f>AG8+AG15+AG22+AG29</f>
        <v>314</v>
      </c>
      <c r="AH47" s="353">
        <f>AH8+AH15+AH22+AH29</f>
        <v>389900</v>
      </c>
      <c r="AI47" s="186">
        <f t="shared" si="76"/>
        <v>1241.71974522293</v>
      </c>
      <c r="AJ47" s="353">
        <f>AJ8+AJ15+AJ22+AJ29</f>
        <v>59700</v>
      </c>
      <c r="AK47" s="187">
        <f t="shared" si="77"/>
        <v>190.12738853503186</v>
      </c>
      <c r="AL47" s="353">
        <f>AL8+AL15+AL22+AL29</f>
        <v>449600</v>
      </c>
      <c r="AM47" s="188">
        <f>AL47/AG47</f>
        <v>1431.8471337579617</v>
      </c>
      <c r="AN47" s="154"/>
      <c r="AO47" s="156"/>
      <c r="AP47" s="154"/>
      <c r="AQ47" s="156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63"/>
      <c r="BK47" s="163"/>
      <c r="BL47" s="163"/>
    </row>
    <row r="48" spans="1:88" ht="15.75" customHeight="1">
      <c r="A48" s="154"/>
      <c r="B48" s="155"/>
      <c r="C48" s="156"/>
      <c r="D48" s="154"/>
      <c r="E48" s="154"/>
      <c r="F48" s="154"/>
      <c r="G48" s="154"/>
      <c r="H48" s="154"/>
      <c r="I48" s="154"/>
      <c r="J48" s="154"/>
      <c r="K48" s="154"/>
      <c r="L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G48" s="154"/>
      <c r="AH48" s="154"/>
      <c r="AI48" s="154"/>
      <c r="AJ48" s="154"/>
      <c r="AK48" s="154"/>
      <c r="AL48" s="154"/>
      <c r="AM48" s="154"/>
      <c r="AN48" s="154"/>
      <c r="AO48" s="156"/>
      <c r="AP48" s="154"/>
      <c r="AQ48" s="156"/>
      <c r="AR48" s="154"/>
      <c r="AS48" s="154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63"/>
      <c r="BK48" s="163"/>
      <c r="BL48" s="163"/>
    </row>
    <row r="49" spans="1:88" ht="15.75" customHeight="1">
      <c r="A49" s="154"/>
      <c r="B49" s="155"/>
      <c r="C49" s="156"/>
      <c r="D49" s="189" t="s">
        <v>58</v>
      </c>
      <c r="E49" s="190"/>
      <c r="F49" s="158"/>
      <c r="G49" s="191"/>
      <c r="H49" s="158"/>
      <c r="I49" s="158"/>
      <c r="J49" s="161"/>
      <c r="K49" s="170"/>
      <c r="L49" s="163"/>
      <c r="M49" s="192" t="s">
        <v>59</v>
      </c>
      <c r="O49" s="166"/>
      <c r="P49" s="166"/>
      <c r="Q49" s="166"/>
      <c r="R49" s="166"/>
      <c r="S49" s="166"/>
      <c r="T49" s="193" t="s">
        <v>60</v>
      </c>
      <c r="U49" s="157"/>
      <c r="V49" s="158"/>
      <c r="W49" s="158"/>
      <c r="X49" s="158"/>
      <c r="Y49" s="158"/>
      <c r="Z49" s="161"/>
      <c r="AA49" s="170"/>
      <c r="AB49" s="154"/>
      <c r="AC49" s="154"/>
      <c r="AD49" s="154"/>
      <c r="AE49" s="163"/>
      <c r="AF49" s="193" t="s">
        <v>61</v>
      </c>
      <c r="AH49" s="154"/>
      <c r="AI49" s="158"/>
      <c r="AJ49" s="158"/>
      <c r="AK49" s="158"/>
      <c r="AL49" s="158"/>
      <c r="AM49" s="158"/>
      <c r="AN49" s="330"/>
      <c r="AO49" s="330"/>
      <c r="AP49" s="330"/>
      <c r="AQ49" s="330"/>
      <c r="AS49" s="154"/>
      <c r="AT49" s="154"/>
      <c r="AU49" s="154" t="s">
        <v>62</v>
      </c>
      <c r="AW49" s="194">
        <f>AU37/AI38</f>
        <v>292233.39393939392</v>
      </c>
      <c r="AX49" s="154" t="s">
        <v>63</v>
      </c>
      <c r="AY49" s="154"/>
      <c r="AZ49" s="154"/>
      <c r="BA49" s="154"/>
      <c r="BB49" s="163"/>
      <c r="BC49" s="154"/>
      <c r="BD49" s="154"/>
      <c r="BE49" s="154"/>
      <c r="BF49" s="163"/>
      <c r="BG49" s="163"/>
      <c r="BH49" s="163"/>
      <c r="BI49" s="163"/>
    </row>
    <row r="50" spans="1:88" ht="21" customHeight="1">
      <c r="A50" s="154"/>
      <c r="B50" s="155"/>
      <c r="C50" s="195"/>
      <c r="D50" s="196"/>
      <c r="E50" s="17"/>
      <c r="F50" s="17"/>
      <c r="G50" s="17"/>
      <c r="H50" s="17"/>
      <c r="I50" s="17"/>
      <c r="J50" s="17"/>
      <c r="K50" s="305"/>
      <c r="L50" s="197"/>
      <c r="M50" s="198"/>
      <c r="N50" s="198"/>
      <c r="O50" s="198"/>
      <c r="P50" s="198"/>
      <c r="Q50" s="198"/>
      <c r="R50" s="198"/>
      <c r="S50" s="199"/>
      <c r="T50" s="200"/>
      <c r="U50" s="201"/>
      <c r="V50" s="201"/>
      <c r="W50" s="201"/>
      <c r="X50" s="201"/>
      <c r="Y50" s="201"/>
      <c r="Z50" s="202"/>
      <c r="AA50" s="203"/>
      <c r="AB50" s="154"/>
      <c r="AC50" s="154"/>
      <c r="AD50" s="163"/>
      <c r="AE50" s="163"/>
      <c r="AF50" s="333" t="s">
        <v>107</v>
      </c>
      <c r="AG50" s="334"/>
      <c r="AH50" s="334"/>
      <c r="AI50" s="334"/>
      <c r="AJ50" s="334"/>
      <c r="AK50" s="334"/>
      <c r="AL50" s="334"/>
      <c r="AM50" s="335"/>
      <c r="AN50" s="316"/>
      <c r="AO50" s="156"/>
      <c r="AP50" s="316"/>
      <c r="AQ50" s="156"/>
      <c r="AR50" s="203"/>
      <c r="AS50" s="154"/>
      <c r="AT50" s="154"/>
      <c r="AU50" s="154" t="s">
        <v>64</v>
      </c>
      <c r="AV50" s="163">
        <f>AU36+AV36</f>
        <v>9687702</v>
      </c>
      <c r="AW50" s="194">
        <f>AV50/AI38</f>
        <v>322923.40000000002</v>
      </c>
      <c r="AX50" s="154" t="s">
        <v>65</v>
      </c>
      <c r="AY50" s="154"/>
      <c r="AZ50" s="154"/>
      <c r="BA50" s="154"/>
      <c r="BB50" s="154"/>
      <c r="BC50" s="154"/>
      <c r="BD50" s="154"/>
      <c r="BE50" s="154"/>
      <c r="BF50" s="163"/>
      <c r="BG50" s="163"/>
      <c r="BH50" s="163"/>
      <c r="BI50" s="163"/>
    </row>
    <row r="51" spans="1:88" ht="21" customHeight="1">
      <c r="A51" s="154"/>
      <c r="B51" s="155"/>
      <c r="C51" s="195"/>
      <c r="D51" s="306"/>
      <c r="E51" s="307"/>
      <c r="F51" s="307"/>
      <c r="G51" s="307"/>
      <c r="H51" s="307"/>
      <c r="I51" s="307"/>
      <c r="J51" s="307"/>
      <c r="K51" s="308"/>
      <c r="L51" s="207"/>
      <c r="M51" s="208"/>
      <c r="N51" s="208"/>
      <c r="O51" s="208"/>
      <c r="P51" s="208"/>
      <c r="Q51" s="208"/>
      <c r="R51" s="208"/>
      <c r="S51" s="309"/>
      <c r="T51" s="310"/>
      <c r="U51" s="209"/>
      <c r="V51" s="209"/>
      <c r="W51" s="209"/>
      <c r="X51" s="209"/>
      <c r="Y51" s="209"/>
      <c r="Z51" s="311"/>
      <c r="AA51" s="203"/>
      <c r="AB51" s="154"/>
      <c r="AC51" s="154"/>
      <c r="AD51" s="154"/>
      <c r="AE51" s="163"/>
      <c r="AF51" s="336"/>
      <c r="AG51" s="337"/>
      <c r="AH51" s="337"/>
      <c r="AI51" s="337"/>
      <c r="AJ51" s="337"/>
      <c r="AK51" s="337"/>
      <c r="AL51" s="337"/>
      <c r="AM51" s="338"/>
      <c r="AN51" s="316"/>
      <c r="AO51" s="156"/>
      <c r="AP51" s="316"/>
      <c r="AQ51" s="156"/>
      <c r="AR51" s="203"/>
      <c r="AS51" s="154"/>
      <c r="AT51" s="154"/>
      <c r="AU51" s="154" t="s">
        <v>66</v>
      </c>
      <c r="AV51" s="153">
        <f>AU37+AV37</f>
        <v>8807001.8181818184</v>
      </c>
      <c r="AW51" s="194">
        <f>AV51/AI38</f>
        <v>293566.72727272729</v>
      </c>
      <c r="AX51" s="154" t="s">
        <v>63</v>
      </c>
      <c r="AY51" s="154"/>
      <c r="AZ51" s="154"/>
      <c r="BA51" s="154"/>
      <c r="BB51" s="154"/>
      <c r="BC51" s="154"/>
      <c r="BD51" s="154"/>
      <c r="BE51" s="154"/>
      <c r="BF51" s="163"/>
      <c r="BG51" s="163"/>
      <c r="BH51" s="163"/>
      <c r="BI51" s="163"/>
    </row>
    <row r="52" spans="1:88" ht="21" customHeight="1">
      <c r="A52" s="154"/>
      <c r="B52" s="155"/>
      <c r="C52" s="195"/>
      <c r="D52" s="306"/>
      <c r="E52" s="307"/>
      <c r="F52" s="307"/>
      <c r="G52" s="307"/>
      <c r="H52" s="307"/>
      <c r="I52" s="307"/>
      <c r="J52" s="307"/>
      <c r="K52" s="308"/>
      <c r="L52" s="207"/>
      <c r="M52" s="208"/>
      <c r="N52" s="208"/>
      <c r="O52" s="208"/>
      <c r="P52" s="208"/>
      <c r="Q52" s="208"/>
      <c r="R52" s="208"/>
      <c r="S52" s="309"/>
      <c r="T52" s="310"/>
      <c r="U52" s="209"/>
      <c r="V52" s="209"/>
      <c r="W52" s="209"/>
      <c r="X52" s="209"/>
      <c r="Y52" s="209"/>
      <c r="Z52" s="311"/>
      <c r="AA52" s="203"/>
      <c r="AB52" s="154"/>
      <c r="AC52" s="154"/>
      <c r="AD52" s="154"/>
      <c r="AE52" s="163"/>
      <c r="AF52" s="336"/>
      <c r="AG52" s="337"/>
      <c r="AH52" s="337"/>
      <c r="AI52" s="337"/>
      <c r="AJ52" s="337"/>
      <c r="AK52" s="337"/>
      <c r="AL52" s="337"/>
      <c r="AM52" s="338"/>
      <c r="AN52" s="316"/>
      <c r="AO52" s="156"/>
      <c r="AP52" s="316"/>
      <c r="AQ52" s="156"/>
      <c r="AR52" s="203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63"/>
      <c r="BK52" s="163"/>
      <c r="BL52" s="163"/>
    </row>
    <row r="53" spans="1:88" ht="21" customHeight="1">
      <c r="A53" s="154"/>
      <c r="B53" s="155"/>
      <c r="C53" s="195"/>
      <c r="D53" s="306"/>
      <c r="E53" s="307"/>
      <c r="F53" s="307"/>
      <c r="G53" s="307"/>
      <c r="H53" s="307"/>
      <c r="I53" s="307"/>
      <c r="J53" s="307"/>
      <c r="K53" s="308"/>
      <c r="L53" s="207"/>
      <c r="M53" s="208"/>
      <c r="N53" s="208"/>
      <c r="O53" s="208"/>
      <c r="P53" s="208"/>
      <c r="Q53" s="208"/>
      <c r="R53" s="208"/>
      <c r="S53" s="309"/>
      <c r="T53" s="310"/>
      <c r="U53" s="209"/>
      <c r="V53" s="209"/>
      <c r="W53" s="209"/>
      <c r="X53" s="209"/>
      <c r="Y53" s="209"/>
      <c r="Z53" s="311"/>
      <c r="AA53" s="203"/>
      <c r="AB53" s="154"/>
      <c r="AC53" s="154"/>
      <c r="AD53" s="154"/>
      <c r="AE53" s="154"/>
      <c r="AF53" s="336"/>
      <c r="AG53" s="337"/>
      <c r="AH53" s="337"/>
      <c r="AI53" s="337"/>
      <c r="AJ53" s="337"/>
      <c r="AK53" s="337"/>
      <c r="AL53" s="337"/>
      <c r="AM53" s="338"/>
      <c r="AN53" s="316"/>
      <c r="AO53" s="156"/>
      <c r="AP53" s="316"/>
      <c r="AQ53" s="156"/>
      <c r="AR53" s="203"/>
      <c r="AS53" s="154"/>
      <c r="AT53" s="154"/>
      <c r="AU53" s="154"/>
      <c r="AV53" s="163">
        <f>AU37+AV37</f>
        <v>8807001.8181818184</v>
      </c>
      <c r="AW53" s="172" t="s">
        <v>67</v>
      </c>
      <c r="AX53" s="172" t="s">
        <v>68</v>
      </c>
      <c r="AY53" s="172" t="s">
        <v>69</v>
      </c>
      <c r="AZ53" s="154"/>
      <c r="BA53" s="154"/>
      <c r="BB53" s="154"/>
      <c r="BC53" s="154"/>
      <c r="BD53" s="154"/>
      <c r="BE53" s="154"/>
      <c r="BF53" s="163"/>
      <c r="BG53" s="163"/>
      <c r="BH53" s="163"/>
      <c r="BI53" s="163"/>
    </row>
    <row r="54" spans="1:88" ht="21" customHeight="1">
      <c r="A54" s="154"/>
      <c r="B54" s="155"/>
      <c r="C54" s="195"/>
      <c r="D54" s="312"/>
      <c r="E54" s="313"/>
      <c r="F54" s="313"/>
      <c r="G54" s="313"/>
      <c r="H54" s="313"/>
      <c r="I54" s="313"/>
      <c r="J54" s="313"/>
      <c r="K54" s="314"/>
      <c r="L54" s="213"/>
      <c r="M54" s="214"/>
      <c r="N54" s="214"/>
      <c r="O54" s="214"/>
      <c r="P54" s="214"/>
      <c r="Q54" s="214"/>
      <c r="R54" s="214"/>
      <c r="S54" s="215"/>
      <c r="T54" s="216"/>
      <c r="U54" s="217"/>
      <c r="V54" s="217"/>
      <c r="W54" s="217"/>
      <c r="X54" s="217"/>
      <c r="Y54" s="217"/>
      <c r="Z54" s="218"/>
      <c r="AA54" s="203"/>
      <c r="AB54" s="154"/>
      <c r="AC54" s="154"/>
      <c r="AD54" s="154"/>
      <c r="AE54" s="154"/>
      <c r="AF54" s="339"/>
      <c r="AG54" s="340"/>
      <c r="AH54" s="340"/>
      <c r="AI54" s="340"/>
      <c r="AJ54" s="340"/>
      <c r="AK54" s="340"/>
      <c r="AL54" s="340"/>
      <c r="AM54" s="341"/>
      <c r="AN54" s="316"/>
      <c r="AO54" s="156"/>
      <c r="AP54" s="316"/>
      <c r="AQ54" s="156"/>
      <c r="AR54" s="203"/>
      <c r="AS54" s="154"/>
      <c r="AT54" s="108"/>
      <c r="AU54" s="222" t="s">
        <v>70</v>
      </c>
      <c r="AV54" s="153">
        <f>J55+R55+Y55+AL55+AW54</f>
        <v>10867600</v>
      </c>
      <c r="AW54" s="223">
        <f>AX54+AY54</f>
        <v>135000</v>
      </c>
      <c r="AX54" s="108">
        <v>135000</v>
      </c>
      <c r="AY54" s="108"/>
      <c r="AZ54" s="154"/>
      <c r="BA54" s="154"/>
      <c r="BB54" s="154"/>
      <c r="BC54" s="154"/>
      <c r="BD54" s="154"/>
      <c r="BE54" s="154"/>
      <c r="BF54" s="163"/>
      <c r="BG54" s="163"/>
      <c r="BH54" s="163"/>
      <c r="BI54" s="163"/>
    </row>
    <row r="55" spans="1:88" ht="21" customHeight="1">
      <c r="A55" s="154"/>
      <c r="B55" s="155"/>
      <c r="C55" s="156"/>
      <c r="D55" s="154"/>
      <c r="E55" s="154"/>
      <c r="F55" s="154"/>
      <c r="G55" s="154"/>
      <c r="H55" s="224"/>
      <c r="I55" s="225" t="s">
        <v>71</v>
      </c>
      <c r="J55" s="226">
        <v>2000000</v>
      </c>
      <c r="K55" s="227" t="s">
        <v>72</v>
      </c>
      <c r="L55" s="108"/>
      <c r="M55" s="228"/>
      <c r="N55" s="228"/>
      <c r="O55" s="154"/>
      <c r="P55" s="224"/>
      <c r="Q55" s="225" t="s">
        <v>73</v>
      </c>
      <c r="R55" s="226">
        <v>476000</v>
      </c>
      <c r="S55" s="227" t="s">
        <v>72</v>
      </c>
      <c r="T55" s="108"/>
      <c r="U55" s="108"/>
      <c r="V55" s="108"/>
      <c r="W55" s="108"/>
      <c r="X55" s="225" t="s">
        <v>74</v>
      </c>
      <c r="Y55" s="226">
        <v>3384000</v>
      </c>
      <c r="Z55" s="227" t="s">
        <v>72</v>
      </c>
      <c r="AB55" s="108"/>
      <c r="AC55" s="225" t="s">
        <v>84</v>
      </c>
      <c r="AD55" s="226">
        <f>J55+R55+Y55+AW54</f>
        <v>5995000</v>
      </c>
      <c r="AE55" s="227" t="s">
        <v>72</v>
      </c>
      <c r="AF55" s="229"/>
      <c r="AG55" s="108"/>
      <c r="AH55" s="108"/>
      <c r="AI55" s="108"/>
      <c r="AJ55" s="108"/>
      <c r="AK55" s="224" t="s">
        <v>75</v>
      </c>
      <c r="AL55" s="226">
        <v>4872600</v>
      </c>
      <c r="AM55" s="227" t="s">
        <v>72</v>
      </c>
      <c r="AN55" s="227"/>
      <c r="AO55" s="156"/>
      <c r="AP55" s="227"/>
      <c r="AQ55" s="156"/>
      <c r="AS55" s="108"/>
      <c r="AT55" s="108"/>
      <c r="AU55" s="222" t="s">
        <v>76</v>
      </c>
      <c r="AV55" s="153">
        <f>AV54-AU37-AV37</f>
        <v>2060598.1818181816</v>
      </c>
      <c r="AW55" s="153">
        <f>AW54-AV37</f>
        <v>95000</v>
      </c>
      <c r="AX55" s="230">
        <f>AV37/AW54</f>
        <v>0.29629629629629628</v>
      </c>
      <c r="AY55" s="154"/>
      <c r="AZ55" s="154"/>
      <c r="BA55" s="154"/>
      <c r="BB55" s="154"/>
      <c r="BC55" s="163"/>
      <c r="BD55" s="154"/>
      <c r="BE55" s="154"/>
      <c r="BF55" s="163"/>
      <c r="BG55" s="163"/>
      <c r="BH55" s="163"/>
      <c r="BI55" s="163"/>
    </row>
    <row r="56" spans="1:88" ht="21" customHeight="1">
      <c r="A56" s="154"/>
      <c r="B56" s="155"/>
      <c r="C56" s="156"/>
      <c r="D56" s="154"/>
      <c r="E56" s="154"/>
      <c r="F56" s="154"/>
      <c r="G56" s="154"/>
      <c r="H56" s="224"/>
      <c r="I56" s="224" t="s">
        <v>76</v>
      </c>
      <c r="J56" s="153">
        <f>J55-J37</f>
        <v>-277045.45454545459</v>
      </c>
      <c r="K56" s="231">
        <f>B38-G38</f>
        <v>0</v>
      </c>
      <c r="L56" s="108"/>
      <c r="M56" s="228"/>
      <c r="N56" s="228"/>
      <c r="O56" s="154"/>
      <c r="P56" s="224"/>
      <c r="Q56" s="224" t="s">
        <v>76</v>
      </c>
      <c r="R56" s="153">
        <f>R55-R37</f>
        <v>300600</v>
      </c>
      <c r="S56" s="231">
        <f>K56</f>
        <v>0</v>
      </c>
      <c r="T56" s="108"/>
      <c r="U56" s="108"/>
      <c r="V56" s="108"/>
      <c r="W56" s="108"/>
      <c r="X56" s="224" t="s">
        <v>76</v>
      </c>
      <c r="Y56" s="153">
        <f>Y55-Y37</f>
        <v>121354.54545454588</v>
      </c>
      <c r="Z56" s="231">
        <f>C38-W38</f>
        <v>0</v>
      </c>
      <c r="AB56" s="108"/>
      <c r="AC56" s="224" t="s">
        <v>76</v>
      </c>
      <c r="AD56" s="153">
        <f>AD55-AD37</f>
        <v>279909.09090909176</v>
      </c>
      <c r="AE56" s="232">
        <f>Z56</f>
        <v>0</v>
      </c>
      <c r="AF56" s="228"/>
      <c r="AG56" s="108"/>
      <c r="AH56" s="108"/>
      <c r="AI56" s="108"/>
      <c r="AJ56" s="108"/>
      <c r="AK56" s="224" t="s">
        <v>76</v>
      </c>
      <c r="AL56" s="153">
        <f>AL55-AL37</f>
        <v>1820689.0909090913</v>
      </c>
      <c r="AM56" s="233">
        <f>Z56</f>
        <v>0</v>
      </c>
      <c r="AN56" s="108"/>
      <c r="AO56" s="156"/>
      <c r="AP56" s="108"/>
      <c r="AQ56" s="156"/>
      <c r="AS56" s="108"/>
      <c r="AT56" s="234"/>
      <c r="AU56" s="235" t="s">
        <v>77</v>
      </c>
      <c r="AV56" s="236" t="e">
        <f>AV55/Z56</f>
        <v>#DIV/0!</v>
      </c>
      <c r="AW56" s="237">
        <f>(AU37+AV37)/AV54</f>
        <v>0.81039068590873964</v>
      </c>
      <c r="AX56" s="237"/>
      <c r="AY56" s="234"/>
      <c r="AZ56" s="238"/>
      <c r="BA56" s="154"/>
      <c r="BB56" s="154"/>
      <c r="BC56" s="154"/>
      <c r="BD56" s="163"/>
      <c r="BE56" s="163"/>
      <c r="BF56" s="154"/>
      <c r="BG56" s="154"/>
      <c r="BH56" s="154"/>
      <c r="BI56" s="154"/>
      <c r="BJ56" s="154"/>
      <c r="BK56" s="154"/>
      <c r="BL56" s="154"/>
    </row>
    <row r="57" spans="1:88" ht="25.5" customHeight="1">
      <c r="A57" s="238"/>
      <c r="B57" s="239"/>
      <c r="C57" s="240"/>
      <c r="D57" s="238"/>
      <c r="E57" s="238"/>
      <c r="F57" s="238"/>
      <c r="G57" s="238"/>
      <c r="H57" s="241"/>
      <c r="I57" s="235" t="s">
        <v>77</v>
      </c>
      <c r="J57" s="242" t="e">
        <f>J56/K56</f>
        <v>#DIV/0!</v>
      </c>
      <c r="K57" s="243">
        <f>J37/J55</f>
        <v>1.1385227272727272</v>
      </c>
      <c r="L57" s="234"/>
      <c r="M57" s="244"/>
      <c r="N57" s="244"/>
      <c r="O57" s="238"/>
      <c r="P57" s="241"/>
      <c r="Q57" s="235" t="s">
        <v>77</v>
      </c>
      <c r="R57" s="242" t="e">
        <f>R56/S56</f>
        <v>#DIV/0!</v>
      </c>
      <c r="S57" s="243">
        <f>R37/R55</f>
        <v>0.36848739495798322</v>
      </c>
      <c r="T57" s="234"/>
      <c r="U57" s="234"/>
      <c r="V57" s="234"/>
      <c r="W57" s="234"/>
      <c r="X57" s="235" t="s">
        <v>77</v>
      </c>
      <c r="Y57" s="236" t="e">
        <f>Y56/Z56</f>
        <v>#DIV/0!</v>
      </c>
      <c r="Z57" s="243">
        <f>Y37/Y55</f>
        <v>0.96413872770255737</v>
      </c>
      <c r="AB57" s="234"/>
      <c r="AC57" s="235" t="s">
        <v>77</v>
      </c>
      <c r="AD57" s="236" t="e">
        <f>AD56/AE56</f>
        <v>#DIV/0!</v>
      </c>
      <c r="AE57" s="243">
        <f>AD37/AD55</f>
        <v>0.953309576161953</v>
      </c>
      <c r="AF57" s="245"/>
      <c r="AG57" s="234"/>
      <c r="AH57" s="234"/>
      <c r="AI57" s="234"/>
      <c r="AJ57" s="234"/>
      <c r="AK57" s="235" t="s">
        <v>77</v>
      </c>
      <c r="AL57" s="242" t="e">
        <f>AL56/AM56</f>
        <v>#DIV/0!</v>
      </c>
      <c r="AM57" s="243">
        <f>AL37/AL55</f>
        <v>0.62634135966237914</v>
      </c>
      <c r="AN57" s="243"/>
      <c r="AO57" s="240"/>
      <c r="AP57" s="243"/>
      <c r="AQ57" s="240"/>
      <c r="AS57" s="234"/>
      <c r="AT57" s="154"/>
      <c r="AU57" s="154"/>
      <c r="AV57" s="163"/>
      <c r="AW57" s="154"/>
      <c r="AX57" s="154"/>
      <c r="AY57" s="154"/>
      <c r="AZ57" s="154"/>
      <c r="BA57" s="238"/>
      <c r="BB57" s="238"/>
      <c r="BC57" s="238"/>
      <c r="BD57" s="246"/>
      <c r="BE57" s="246"/>
      <c r="BF57" s="238"/>
      <c r="BG57" s="238"/>
      <c r="BH57" s="238"/>
      <c r="BI57" s="238"/>
      <c r="BJ57" s="238"/>
      <c r="BK57" s="238"/>
      <c r="BL57" s="238"/>
    </row>
    <row r="58" spans="1:88" ht="15.75" customHeight="1">
      <c r="A58" s="154"/>
      <c r="B58" s="155"/>
      <c r="C58" s="156"/>
      <c r="D58" s="154"/>
      <c r="E58" s="154"/>
      <c r="F58" s="154"/>
      <c r="G58" s="154"/>
      <c r="H58" s="154"/>
      <c r="I58" s="154"/>
      <c r="J58" s="154"/>
      <c r="K58" s="154"/>
      <c r="L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G58" s="154"/>
      <c r="AH58" s="154"/>
      <c r="AI58" s="154"/>
      <c r="AJ58" s="154"/>
      <c r="AK58" s="154"/>
      <c r="AL58" s="154"/>
      <c r="AM58" s="154"/>
      <c r="AN58" s="154"/>
      <c r="AO58" s="156"/>
      <c r="AP58" s="154"/>
      <c r="AQ58" s="156"/>
      <c r="AR58" s="154"/>
      <c r="AS58" s="154"/>
      <c r="AT58" s="247"/>
      <c r="AU58" s="247"/>
      <c r="AV58" s="247"/>
      <c r="AW58" s="247"/>
      <c r="AX58" s="247"/>
      <c r="AY58" s="247"/>
      <c r="AZ58" s="247"/>
      <c r="BA58" s="154"/>
      <c r="BB58" s="154"/>
      <c r="BC58" s="154"/>
      <c r="BD58" s="163"/>
      <c r="BE58" s="163"/>
      <c r="BF58" s="154"/>
      <c r="BG58" s="154"/>
      <c r="BH58" s="154"/>
      <c r="BI58" s="154"/>
      <c r="BJ58" s="154"/>
      <c r="BK58" s="154"/>
      <c r="BL58" s="154"/>
      <c r="BO58" s="247"/>
      <c r="BP58" s="247"/>
      <c r="BQ58" s="247"/>
      <c r="BR58" s="247"/>
      <c r="BS58" s="247"/>
      <c r="BT58" s="247"/>
      <c r="BU58" s="247"/>
      <c r="BV58" s="247"/>
      <c r="BW58" s="251"/>
      <c r="BX58" s="154"/>
      <c r="BY58" s="154"/>
      <c r="BZ58" s="154"/>
      <c r="CA58" s="154"/>
      <c r="CG58" s="154"/>
    </row>
    <row r="59" spans="1:88" ht="36" customHeight="1">
      <c r="A59" s="247"/>
      <c r="B59" s="248"/>
      <c r="C59" s="249"/>
      <c r="D59" s="247"/>
      <c r="E59" s="247"/>
      <c r="F59" s="247"/>
      <c r="G59" s="247"/>
      <c r="H59" s="247"/>
      <c r="I59" s="247"/>
      <c r="J59" s="247"/>
      <c r="K59" s="247"/>
      <c r="L59" s="247"/>
      <c r="M59" s="250"/>
      <c r="N59" s="250"/>
      <c r="O59" s="250"/>
      <c r="P59" s="250"/>
      <c r="Q59" s="250"/>
      <c r="R59" s="250"/>
      <c r="S59" s="250"/>
      <c r="T59" s="251"/>
      <c r="U59" s="154"/>
      <c r="V59" s="154"/>
      <c r="W59" s="154"/>
      <c r="X59" s="154"/>
      <c r="Y59" s="154"/>
      <c r="Z59" s="251"/>
      <c r="AA59" s="247"/>
      <c r="AB59" s="247"/>
      <c r="AC59" s="247"/>
      <c r="AD59" s="1" t="s">
        <v>78</v>
      </c>
      <c r="AE59" s="247"/>
      <c r="AF59" s="250"/>
      <c r="AG59" s="247"/>
      <c r="AH59" s="247"/>
      <c r="AI59" s="247"/>
      <c r="AJ59" s="247"/>
      <c r="AK59" s="247"/>
      <c r="AL59" s="1" t="s">
        <v>78</v>
      </c>
      <c r="AM59" s="247"/>
      <c r="AN59" s="247"/>
      <c r="AO59" s="249"/>
      <c r="AP59" s="247"/>
      <c r="AQ59" s="249"/>
      <c r="AR59" s="247"/>
      <c r="AS59" s="247"/>
      <c r="AT59" s="1"/>
      <c r="AU59" s="1"/>
      <c r="AV59" s="1"/>
      <c r="AW59" s="1"/>
      <c r="AX59" s="1"/>
      <c r="AY59" s="1"/>
      <c r="AZ59" s="1"/>
      <c r="BA59" s="247"/>
      <c r="BB59" s="247"/>
      <c r="BC59" s="247"/>
      <c r="BD59" s="252"/>
      <c r="BE59" s="252"/>
      <c r="BF59" s="247"/>
      <c r="BG59" s="247"/>
      <c r="BH59" s="247"/>
      <c r="BI59" s="247"/>
      <c r="BJ59" s="247"/>
      <c r="BK59" s="247"/>
      <c r="BL59" s="247"/>
      <c r="BO59" s="1"/>
      <c r="BP59" s="1"/>
      <c r="BQ59" s="1"/>
      <c r="BR59" s="1"/>
      <c r="BS59" s="1"/>
      <c r="BT59" s="1"/>
      <c r="BU59" s="1"/>
      <c r="BV59" s="1"/>
      <c r="BW59" s="256"/>
      <c r="BX59" s="154"/>
      <c r="BY59" s="154"/>
      <c r="BZ59" s="154"/>
      <c r="CA59" s="154"/>
      <c r="CB59" s="154"/>
      <c r="CC59" s="251"/>
      <c r="CD59" s="251"/>
      <c r="CE59" s="154"/>
      <c r="CF59" s="154"/>
      <c r="CG59" s="154"/>
      <c r="CH59" s="154"/>
      <c r="CI59" s="154"/>
      <c r="CJ59" s="251"/>
    </row>
    <row r="60" spans="1:88" ht="36" customHeight="1">
      <c r="A60" s="1"/>
      <c r="B60" s="253"/>
      <c r="C60" s="3"/>
      <c r="D60" s="1"/>
      <c r="E60" s="1"/>
      <c r="F60" s="1"/>
      <c r="G60" s="1"/>
      <c r="H60" s="1"/>
      <c r="I60" s="1"/>
      <c r="J60" s="1"/>
      <c r="K60" s="1"/>
      <c r="L60" s="1"/>
      <c r="M60" s="254"/>
      <c r="N60" s="255"/>
      <c r="O60" s="254"/>
      <c r="P60" s="254"/>
      <c r="Q60" s="254"/>
      <c r="R60" s="254"/>
      <c r="S60" s="254"/>
      <c r="T60" s="256"/>
      <c r="U60" s="154"/>
      <c r="V60" s="154"/>
      <c r="W60" s="154"/>
      <c r="X60" s="154"/>
      <c r="Y60" s="154"/>
      <c r="Z60" s="256"/>
      <c r="AA60" s="256"/>
      <c r="AB60" s="1"/>
      <c r="AC60" s="1"/>
      <c r="AD60" s="257">
        <f>AD61/AD37</f>
        <v>0.11023446696147363</v>
      </c>
      <c r="AE60" s="1"/>
      <c r="AF60" s="254" t="s">
        <v>79</v>
      </c>
      <c r="AG60" s="1"/>
      <c r="AH60" s="258"/>
      <c r="AI60" s="1"/>
      <c r="AJ60" s="1"/>
      <c r="AK60" s="1"/>
      <c r="AL60" s="257">
        <f>AL61/AL37</f>
        <v>0.14908692080252553</v>
      </c>
      <c r="AM60" s="1"/>
      <c r="AN60" s="254" t="s">
        <v>79</v>
      </c>
      <c r="AO60" s="3"/>
      <c r="AP60" s="1"/>
      <c r="AQ60" s="3"/>
      <c r="AR60" s="1"/>
      <c r="AS60" s="1"/>
      <c r="AT60" s="247"/>
      <c r="AU60" s="247"/>
      <c r="AV60" s="247"/>
      <c r="AW60" s="247"/>
      <c r="AX60" s="247"/>
      <c r="AY60" s="247"/>
      <c r="AZ60" s="247"/>
      <c r="BA60" s="1"/>
      <c r="BB60" s="1"/>
      <c r="BC60" s="1"/>
      <c r="BD60" s="259"/>
      <c r="BE60" s="259"/>
      <c r="BF60" s="1"/>
      <c r="BG60" s="1"/>
      <c r="BH60" s="1"/>
      <c r="BI60" s="1"/>
      <c r="BJ60" s="1"/>
      <c r="BK60" s="1"/>
      <c r="BL60" s="1"/>
      <c r="BO60" s="154"/>
      <c r="BP60" s="154"/>
      <c r="BQ60" s="154"/>
      <c r="BR60" s="154"/>
      <c r="BS60" s="154"/>
      <c r="BT60" s="154"/>
      <c r="BU60" s="154"/>
      <c r="BV60" s="154"/>
      <c r="BW60" s="154"/>
      <c r="BX60" s="154"/>
      <c r="BY60" s="154"/>
      <c r="BZ60" s="154"/>
      <c r="CA60" s="154"/>
      <c r="CB60" s="154"/>
      <c r="CC60" s="256"/>
      <c r="CD60" s="256"/>
      <c r="CE60" s="154"/>
      <c r="CF60" s="154"/>
      <c r="CG60" s="154"/>
      <c r="CH60" s="154"/>
      <c r="CI60" s="154"/>
      <c r="CJ60" s="256"/>
    </row>
    <row r="61" spans="1:88" ht="15.75" customHeight="1">
      <c r="A61" s="154"/>
      <c r="B61" s="155"/>
      <c r="C61" s="156"/>
      <c r="D61" s="154"/>
      <c r="E61" s="154"/>
      <c r="F61" s="154"/>
      <c r="G61" s="154"/>
      <c r="H61" s="154"/>
      <c r="I61" s="154"/>
      <c r="J61" s="154"/>
      <c r="K61" s="154"/>
      <c r="L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63">
        <v>630000</v>
      </c>
      <c r="AE61" s="154">
        <v>47.75</v>
      </c>
      <c r="AF61" s="260">
        <f>AD61/AE61</f>
        <v>13193.71727748691</v>
      </c>
      <c r="AG61" s="154"/>
      <c r="AH61" s="154"/>
      <c r="AI61" s="154"/>
      <c r="AJ61" s="154"/>
      <c r="AK61" s="154"/>
      <c r="AL61" s="163">
        <v>455000</v>
      </c>
      <c r="AM61" s="154">
        <v>7.07</v>
      </c>
      <c r="AN61" s="260">
        <f>AL61/AM61</f>
        <v>64356.435643564357</v>
      </c>
      <c r="AO61" s="156"/>
      <c r="AP61" s="154"/>
      <c r="AQ61" s="156"/>
      <c r="AR61" s="154"/>
      <c r="AS61" s="154"/>
      <c r="AT61" s="154"/>
      <c r="AU61" s="154"/>
      <c r="AV61" s="154"/>
      <c r="AW61" s="154"/>
      <c r="AX61" s="154"/>
      <c r="AY61" s="154"/>
      <c r="AZ61" s="154"/>
      <c r="BA61" s="154"/>
      <c r="BB61" s="154"/>
      <c r="BC61" s="154"/>
      <c r="BD61" s="154"/>
      <c r="BE61" s="154"/>
      <c r="BF61" s="154"/>
      <c r="BG61" s="154"/>
      <c r="BH61" s="154"/>
      <c r="BI61" s="154"/>
      <c r="BJ61" s="163"/>
      <c r="BK61" s="163"/>
      <c r="BL61" s="163"/>
      <c r="BO61" s="154"/>
      <c r="BP61" s="154"/>
      <c r="BQ61" s="154"/>
      <c r="BR61" s="154"/>
      <c r="BS61" s="154"/>
      <c r="BT61" s="154"/>
      <c r="BU61" s="154"/>
      <c r="BV61" s="154"/>
      <c r="BW61" s="154"/>
      <c r="BX61" s="154"/>
      <c r="BY61" s="154"/>
      <c r="BZ61" s="154"/>
      <c r="CA61" s="154"/>
      <c r="CB61" s="154"/>
      <c r="CC61" s="154"/>
      <c r="CD61" s="154"/>
      <c r="CE61" s="154"/>
      <c r="CF61" s="154"/>
      <c r="CG61" s="154"/>
      <c r="CH61" s="154"/>
      <c r="CI61" s="154"/>
      <c r="CJ61" s="154"/>
    </row>
    <row r="62" spans="1:88" ht="15.75" customHeight="1">
      <c r="A62" s="154"/>
      <c r="B62" s="155"/>
      <c r="C62" s="156"/>
      <c r="D62" s="154"/>
      <c r="E62" s="154"/>
      <c r="F62" s="154"/>
      <c r="G62" s="154"/>
      <c r="H62" s="154"/>
      <c r="I62" s="154"/>
      <c r="J62" s="154"/>
      <c r="K62" s="154"/>
      <c r="L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261">
        <f>AD37*0.105</f>
        <v>600084.5454545453</v>
      </c>
      <c r="AE62" s="262">
        <v>0.105</v>
      </c>
      <c r="AF62" s="263" t="s">
        <v>80</v>
      </c>
      <c r="AG62" s="154"/>
      <c r="AH62" s="154"/>
      <c r="AI62" s="154"/>
      <c r="AJ62" s="154"/>
      <c r="AK62" s="154"/>
      <c r="AL62" s="261">
        <f>AL37*0.105</f>
        <v>320450.64545454539</v>
      </c>
      <c r="AM62" s="262">
        <v>0.13</v>
      </c>
      <c r="AN62" s="164"/>
      <c r="AO62" s="156"/>
      <c r="AP62" s="154"/>
      <c r="AQ62" s="156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54"/>
      <c r="BD62" s="154"/>
      <c r="BE62" s="154"/>
      <c r="BF62" s="154"/>
      <c r="BG62" s="154"/>
      <c r="BH62" s="154"/>
      <c r="BI62" s="154"/>
      <c r="BJ62" s="163"/>
      <c r="BK62" s="163"/>
      <c r="BL62" s="163"/>
      <c r="BO62" s="154"/>
      <c r="BP62" s="154"/>
      <c r="BQ62" s="154"/>
      <c r="BR62" s="154"/>
      <c r="BS62" s="154"/>
      <c r="BT62" s="154"/>
      <c r="BU62" s="154"/>
      <c r="BV62" s="154"/>
      <c r="BW62" s="154"/>
      <c r="BX62" s="154"/>
      <c r="BY62" s="154"/>
      <c r="BZ62" s="154"/>
      <c r="CA62" s="154"/>
      <c r="CB62" s="154"/>
      <c r="CC62" s="154"/>
      <c r="CD62" s="154"/>
      <c r="CE62" s="154"/>
      <c r="CF62" s="154"/>
      <c r="CG62" s="154"/>
      <c r="CH62" s="154"/>
      <c r="CI62" s="154"/>
      <c r="CJ62" s="154"/>
    </row>
    <row r="63" spans="1:88" ht="15.75" customHeight="1">
      <c r="A63" s="154"/>
      <c r="B63" s="155"/>
      <c r="C63" s="156"/>
      <c r="D63" s="154"/>
      <c r="E63" s="154"/>
      <c r="F63" s="154"/>
      <c r="G63" s="154"/>
      <c r="H63" s="154"/>
      <c r="I63" s="154"/>
      <c r="J63" s="154"/>
      <c r="K63" s="154"/>
      <c r="L63" s="154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63">
        <f>AD61-AD62</f>
        <v>29915.454545454704</v>
      </c>
      <c r="AE63" s="172" t="s">
        <v>81</v>
      </c>
      <c r="AG63" s="154"/>
      <c r="AH63" s="154"/>
      <c r="AI63" s="154"/>
      <c r="AJ63" s="154"/>
      <c r="AK63" s="154"/>
      <c r="AL63" s="163">
        <f>AL61-AL62</f>
        <v>134549.35454545461</v>
      </c>
      <c r="AM63" s="172" t="s">
        <v>81</v>
      </c>
      <c r="AN63" s="164"/>
      <c r="AO63" s="156"/>
      <c r="AP63" s="154"/>
      <c r="AQ63" s="156"/>
      <c r="AR63" s="154"/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54"/>
      <c r="BJ63" s="163"/>
      <c r="BK63" s="163"/>
      <c r="BL63" s="163"/>
      <c r="BO63" s="154"/>
      <c r="BP63" s="154"/>
      <c r="BQ63" s="154"/>
      <c r="BR63" s="154"/>
      <c r="BS63" s="154"/>
      <c r="BT63" s="154"/>
      <c r="BU63" s="154"/>
      <c r="BV63" s="154"/>
      <c r="BW63" s="154"/>
      <c r="BX63" s="154"/>
      <c r="BY63" s="154"/>
      <c r="BZ63" s="154"/>
      <c r="CA63" s="154"/>
      <c r="CB63" s="154"/>
      <c r="CC63" s="154"/>
      <c r="CD63" s="154"/>
      <c r="CE63" s="154"/>
      <c r="CF63" s="154"/>
      <c r="CG63" s="154"/>
      <c r="CH63" s="154"/>
      <c r="CI63" s="154"/>
      <c r="CJ63" s="154"/>
    </row>
    <row r="64" spans="1:88" ht="15.75" customHeight="1">
      <c r="A64" s="154"/>
      <c r="B64" s="155"/>
      <c r="C64" s="156"/>
      <c r="D64" s="154"/>
      <c r="E64" s="154"/>
      <c r="F64" s="154"/>
      <c r="G64" s="154"/>
      <c r="H64" s="154"/>
      <c r="I64" s="154"/>
      <c r="J64" s="154"/>
      <c r="K64" s="154"/>
      <c r="L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78">
        <v>6000000</v>
      </c>
      <c r="AE64" s="154"/>
      <c r="AG64" s="154"/>
      <c r="AH64" s="154"/>
      <c r="AI64" s="154"/>
      <c r="AJ64" s="154"/>
      <c r="AK64" s="154"/>
      <c r="AL64" s="178">
        <v>3500000</v>
      </c>
      <c r="AM64" s="154"/>
      <c r="AN64" s="164"/>
      <c r="AO64" s="156"/>
      <c r="AP64" s="154"/>
      <c r="AQ64" s="156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54"/>
      <c r="BJ64" s="163"/>
      <c r="BK64" s="163"/>
      <c r="BL64" s="163"/>
      <c r="BO64" s="154"/>
      <c r="BP64" s="154"/>
      <c r="BQ64" s="154"/>
      <c r="BR64" s="154"/>
      <c r="BS64" s="154"/>
      <c r="BT64" s="154"/>
      <c r="BU64" s="154"/>
      <c r="BV64" s="154"/>
      <c r="BW64" s="154"/>
      <c r="BX64" s="154"/>
      <c r="BY64" s="154"/>
      <c r="BZ64" s="154"/>
      <c r="CA64" s="154"/>
      <c r="CB64" s="154"/>
      <c r="CC64" s="154"/>
      <c r="CD64" s="154"/>
      <c r="CE64" s="154"/>
      <c r="CF64" s="154"/>
      <c r="CG64" s="154"/>
      <c r="CH64" s="154"/>
      <c r="CI64" s="154"/>
      <c r="CJ64" s="154"/>
    </row>
    <row r="65" spans="1:88" ht="15.75" customHeight="1">
      <c r="A65" s="154"/>
      <c r="B65" s="155"/>
      <c r="C65" s="156"/>
      <c r="D65" s="154"/>
      <c r="E65" s="154"/>
      <c r="F65" s="154"/>
      <c r="G65" s="154"/>
      <c r="H65" s="154"/>
      <c r="I65" s="154"/>
      <c r="J65" s="154"/>
      <c r="K65" s="154"/>
      <c r="L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>
        <f>AD61/AD64</f>
        <v>0.105</v>
      </c>
      <c r="AE65" s="154"/>
      <c r="AG65" s="154"/>
      <c r="AH65" s="154"/>
      <c r="AI65" s="154"/>
      <c r="AJ65" s="154"/>
      <c r="AK65" s="154"/>
      <c r="AL65" s="154">
        <f>AL61/AL64</f>
        <v>0.13</v>
      </c>
      <c r="AM65" s="154"/>
      <c r="AN65" s="164"/>
      <c r="AO65" s="156"/>
      <c r="AP65" s="154"/>
      <c r="AQ65" s="156"/>
      <c r="AR65" s="154"/>
      <c r="AS65" s="154"/>
      <c r="AT65" s="154"/>
      <c r="AU65" s="154"/>
      <c r="AV65" s="154"/>
      <c r="AW65" s="154"/>
      <c r="AX65" s="154"/>
      <c r="AY65" s="154"/>
      <c r="AZ65" s="154"/>
      <c r="BA65" s="154"/>
      <c r="BB65" s="154"/>
      <c r="BC65" s="154"/>
      <c r="BD65" s="154"/>
      <c r="BE65" s="154"/>
      <c r="BF65" s="154"/>
      <c r="BG65" s="154"/>
      <c r="BH65" s="154"/>
      <c r="BI65" s="154"/>
      <c r="BJ65" s="163"/>
      <c r="BK65" s="163"/>
      <c r="BL65" s="163"/>
      <c r="BO65" s="154"/>
      <c r="BP65" s="154"/>
      <c r="BQ65" s="154"/>
      <c r="BR65" s="154"/>
      <c r="BS65" s="154"/>
      <c r="BT65" s="154"/>
      <c r="BU65" s="154"/>
      <c r="BV65" s="154"/>
      <c r="BW65" s="154"/>
      <c r="BX65" s="154"/>
      <c r="BY65" s="154"/>
      <c r="BZ65" s="154"/>
      <c r="CA65" s="154"/>
      <c r="CB65" s="154"/>
      <c r="CC65" s="154"/>
      <c r="CD65" s="154"/>
      <c r="CE65" s="154"/>
      <c r="CF65" s="154"/>
      <c r="CG65" s="154"/>
      <c r="CH65" s="154"/>
      <c r="CI65" s="154"/>
      <c r="CJ65" s="154"/>
    </row>
    <row r="66" spans="1:88" ht="15.75" customHeight="1">
      <c r="A66" s="154"/>
      <c r="B66" s="155"/>
      <c r="C66" s="156"/>
      <c r="D66" s="154"/>
      <c r="E66" s="154"/>
      <c r="F66" s="154"/>
      <c r="G66" s="154"/>
      <c r="H66" s="154"/>
      <c r="I66" s="154"/>
      <c r="J66" s="154"/>
      <c r="K66" s="154"/>
      <c r="L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G66" s="154"/>
      <c r="AI66" s="154"/>
      <c r="AJ66" s="154"/>
      <c r="AK66" s="154"/>
      <c r="AL66" s="154"/>
      <c r="AM66" s="154"/>
      <c r="AN66" s="154"/>
      <c r="AO66" s="156"/>
      <c r="AP66" s="154"/>
      <c r="AQ66" s="156"/>
      <c r="AR66" s="154"/>
      <c r="AS66" s="154"/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63"/>
      <c r="BK66" s="163"/>
      <c r="BL66" s="163"/>
      <c r="BO66" s="154"/>
      <c r="BP66" s="154"/>
      <c r="BQ66" s="154"/>
      <c r="BR66" s="154"/>
      <c r="BS66" s="154"/>
      <c r="BT66" s="154"/>
      <c r="BU66" s="154"/>
      <c r="BV66" s="154"/>
      <c r="BW66" s="154"/>
      <c r="BX66" s="154"/>
      <c r="BY66" s="154"/>
      <c r="BZ66" s="154"/>
      <c r="CA66" s="154"/>
      <c r="CB66" s="154"/>
      <c r="CC66" s="154"/>
      <c r="CD66" s="154"/>
      <c r="CE66" s="154"/>
      <c r="CF66" s="154"/>
      <c r="CG66" s="154"/>
      <c r="CH66" s="154"/>
      <c r="CI66" s="154"/>
      <c r="CJ66" s="154"/>
    </row>
    <row r="67" spans="1:88" ht="15.75" customHeight="1">
      <c r="A67" s="154"/>
      <c r="B67" s="155"/>
      <c r="C67" s="156"/>
      <c r="D67" s="154"/>
      <c r="E67" s="154"/>
      <c r="F67" s="154"/>
      <c r="G67" s="154"/>
      <c r="H67" s="154"/>
      <c r="I67" s="154"/>
      <c r="J67" s="154"/>
      <c r="K67" s="154"/>
      <c r="L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G67" s="154"/>
      <c r="AH67" s="154"/>
      <c r="AI67" s="154"/>
      <c r="AJ67" s="154"/>
      <c r="AK67" s="154"/>
      <c r="AL67" s="154"/>
      <c r="AM67" s="154"/>
      <c r="AN67" s="154"/>
      <c r="AO67" s="156"/>
      <c r="AP67" s="154"/>
      <c r="AQ67" s="156"/>
      <c r="AR67" s="154"/>
      <c r="AS67" s="154"/>
      <c r="AT67" s="154"/>
      <c r="AU67" s="154"/>
      <c r="AV67" s="154"/>
      <c r="AW67" s="154"/>
      <c r="AX67" s="154"/>
      <c r="AY67" s="154"/>
      <c r="AZ67" s="154"/>
      <c r="BA67" s="154"/>
      <c r="BB67" s="154"/>
      <c r="BC67" s="154"/>
      <c r="BD67" s="154"/>
      <c r="BE67" s="154"/>
      <c r="BF67" s="154"/>
      <c r="BG67" s="154"/>
      <c r="BH67" s="154"/>
      <c r="BI67" s="154"/>
      <c r="BJ67" s="163"/>
      <c r="BK67" s="163"/>
      <c r="BL67" s="163"/>
      <c r="BO67" s="154"/>
      <c r="BP67" s="154"/>
      <c r="BQ67" s="154"/>
      <c r="BR67" s="154"/>
      <c r="BS67" s="154"/>
      <c r="BT67" s="154"/>
      <c r="BU67" s="154"/>
      <c r="BV67" s="154"/>
      <c r="BW67" s="154"/>
      <c r="BX67" s="154"/>
      <c r="BY67" s="154"/>
      <c r="BZ67" s="154"/>
      <c r="CA67" s="154"/>
      <c r="CB67" s="154"/>
      <c r="CC67" s="154"/>
      <c r="CD67" s="154"/>
      <c r="CE67" s="154"/>
      <c r="CF67" s="154"/>
      <c r="CG67" s="154"/>
      <c r="CH67" s="154"/>
      <c r="CI67" s="154"/>
      <c r="CJ67" s="154"/>
    </row>
    <row r="68" spans="1:88" ht="15.75" customHeight="1">
      <c r="A68" s="154"/>
      <c r="B68" s="155"/>
      <c r="C68" s="156"/>
      <c r="D68" s="154"/>
      <c r="E68" s="154"/>
      <c r="F68" s="154"/>
      <c r="G68" s="154"/>
      <c r="H68" s="154"/>
      <c r="I68" s="154"/>
      <c r="J68" s="154"/>
      <c r="K68" s="154"/>
      <c r="L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G68" s="154"/>
      <c r="AH68" s="154"/>
      <c r="AI68" s="154"/>
      <c r="AJ68" s="154"/>
      <c r="AK68" s="154"/>
      <c r="AL68" s="154"/>
      <c r="AM68" s="154"/>
      <c r="AN68" s="154"/>
      <c r="AO68" s="156"/>
      <c r="AP68" s="154"/>
      <c r="AQ68" s="156"/>
      <c r="AR68" s="154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63"/>
      <c r="BK68" s="163"/>
      <c r="BL68" s="163"/>
      <c r="BO68" s="154"/>
      <c r="BP68" s="154"/>
      <c r="BQ68" s="154"/>
      <c r="BR68" s="154"/>
      <c r="BS68" s="154"/>
      <c r="BT68" s="154"/>
      <c r="BU68" s="154"/>
      <c r="BV68" s="154"/>
      <c r="BW68" s="154"/>
      <c r="BX68" s="154"/>
      <c r="BY68" s="154"/>
      <c r="BZ68" s="154"/>
      <c r="CA68" s="154"/>
      <c r="CB68" s="154"/>
      <c r="CC68" s="154"/>
      <c r="CD68" s="154"/>
      <c r="CE68" s="154"/>
      <c r="CF68" s="154"/>
      <c r="CG68" s="154"/>
      <c r="CH68" s="154"/>
      <c r="CI68" s="154"/>
      <c r="CJ68" s="154"/>
    </row>
    <row r="69" spans="1:88" ht="15.75" customHeight="1">
      <c r="A69" s="154"/>
      <c r="B69" s="155"/>
      <c r="C69" s="156"/>
      <c r="D69" s="154"/>
      <c r="E69" s="154"/>
      <c r="F69" s="154"/>
      <c r="G69" s="154"/>
      <c r="H69" s="154"/>
      <c r="I69" s="154"/>
      <c r="J69" s="154"/>
      <c r="K69" s="154"/>
      <c r="L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G69" s="154"/>
      <c r="AH69" s="154"/>
      <c r="AI69" s="154"/>
      <c r="AJ69" s="154"/>
      <c r="AK69" s="154"/>
      <c r="AL69" s="154"/>
      <c r="AM69" s="154"/>
      <c r="AN69" s="154"/>
      <c r="AO69" s="156"/>
      <c r="AP69" s="154"/>
      <c r="AQ69" s="156"/>
      <c r="AR69" s="154"/>
      <c r="AS69" s="154"/>
      <c r="AT69" s="154"/>
      <c r="AU69" s="154"/>
      <c r="AV69" s="154"/>
      <c r="AW69" s="154"/>
      <c r="AX69" s="154"/>
      <c r="AY69" s="154"/>
      <c r="AZ69" s="154"/>
      <c r="BA69" s="154"/>
      <c r="BB69" s="154"/>
      <c r="BC69" s="154"/>
      <c r="BD69" s="154"/>
      <c r="BE69" s="154"/>
      <c r="BF69" s="154"/>
      <c r="BG69" s="154"/>
      <c r="BH69" s="154"/>
      <c r="BI69" s="154"/>
      <c r="BJ69" s="163"/>
      <c r="BK69" s="163"/>
      <c r="BL69" s="163"/>
      <c r="BO69" s="154"/>
      <c r="BP69" s="154"/>
      <c r="BQ69" s="154"/>
      <c r="BR69" s="154"/>
      <c r="BS69" s="154"/>
      <c r="BT69" s="154"/>
      <c r="BU69" s="154"/>
      <c r="BV69" s="154"/>
      <c r="BW69" s="154"/>
      <c r="BX69" s="154"/>
      <c r="BY69" s="154"/>
      <c r="BZ69" s="154"/>
      <c r="CA69" s="154"/>
      <c r="CB69" s="154"/>
      <c r="CC69" s="154"/>
      <c r="CD69" s="154"/>
      <c r="CE69" s="154"/>
      <c r="CF69" s="154"/>
      <c r="CG69" s="154"/>
      <c r="CH69" s="154"/>
      <c r="CI69" s="154"/>
      <c r="CJ69" s="154"/>
    </row>
    <row r="70" spans="1:88" ht="15.75" customHeight="1">
      <c r="A70" s="154"/>
      <c r="B70" s="155"/>
      <c r="C70" s="156"/>
      <c r="D70" s="154"/>
      <c r="E70" s="154"/>
      <c r="F70" s="154"/>
      <c r="G70" s="154"/>
      <c r="H70" s="154"/>
      <c r="I70" s="154"/>
      <c r="J70" s="154"/>
      <c r="K70" s="154"/>
      <c r="L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G70" s="154"/>
      <c r="AH70" s="154"/>
      <c r="AI70" s="154"/>
      <c r="AJ70" s="154"/>
      <c r="AK70" s="154"/>
      <c r="AL70" s="154"/>
      <c r="AM70" s="154"/>
      <c r="AN70" s="154"/>
      <c r="AO70" s="156"/>
      <c r="AP70" s="154"/>
      <c r="AQ70" s="156"/>
      <c r="AR70" s="154"/>
      <c r="AS70" s="154"/>
      <c r="AT70" s="154"/>
      <c r="AU70" s="154"/>
      <c r="AV70" s="154"/>
      <c r="AW70" s="154"/>
      <c r="AX70" s="154"/>
      <c r="AY70" s="154"/>
      <c r="AZ70" s="154"/>
      <c r="BA70" s="154"/>
      <c r="BB70" s="154"/>
      <c r="BC70" s="154"/>
      <c r="BD70" s="154"/>
      <c r="BE70" s="154"/>
      <c r="BF70" s="154"/>
      <c r="BG70" s="154"/>
      <c r="BH70" s="154"/>
      <c r="BI70" s="154"/>
      <c r="BJ70" s="163"/>
      <c r="BK70" s="163"/>
      <c r="BL70" s="163"/>
      <c r="BO70" s="154"/>
      <c r="BP70" s="154"/>
      <c r="BQ70" s="154"/>
      <c r="BR70" s="154"/>
      <c r="BS70" s="154"/>
      <c r="BT70" s="154"/>
      <c r="BU70" s="154"/>
      <c r="BV70" s="154"/>
      <c r="BW70" s="154"/>
      <c r="BX70" s="154"/>
      <c r="BY70" s="154"/>
      <c r="BZ70" s="154"/>
      <c r="CA70" s="154"/>
      <c r="CB70" s="154"/>
      <c r="CC70" s="154"/>
      <c r="CD70" s="154"/>
      <c r="CE70" s="154"/>
      <c r="CF70" s="154"/>
      <c r="CG70" s="154"/>
      <c r="CH70" s="154"/>
      <c r="CI70" s="154"/>
      <c r="CJ70" s="154"/>
    </row>
    <row r="71" spans="1:88" ht="15.75" customHeight="1">
      <c r="A71" s="154"/>
      <c r="B71" s="155"/>
      <c r="C71" s="156"/>
      <c r="D71" s="154"/>
      <c r="E71" s="154"/>
      <c r="F71" s="154"/>
      <c r="G71" s="154"/>
      <c r="H71" s="154"/>
      <c r="I71" s="154"/>
      <c r="J71" s="154"/>
      <c r="K71" s="154"/>
      <c r="L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G71" s="154"/>
      <c r="AH71" s="154"/>
      <c r="AI71" s="154"/>
      <c r="AJ71" s="154"/>
      <c r="AK71" s="154"/>
      <c r="AL71" s="154"/>
      <c r="AM71" s="154"/>
      <c r="AN71" s="154"/>
      <c r="AO71" s="156"/>
      <c r="AP71" s="154"/>
      <c r="AQ71" s="156"/>
      <c r="AR71" s="154"/>
      <c r="AS71" s="154"/>
      <c r="AT71" s="154"/>
      <c r="AU71" s="154"/>
      <c r="AV71" s="154"/>
      <c r="AW71" s="154"/>
      <c r="AX71" s="154"/>
      <c r="AY71" s="154"/>
      <c r="AZ71" s="154"/>
      <c r="BA71" s="154"/>
      <c r="BB71" s="154"/>
      <c r="BC71" s="154"/>
      <c r="BD71" s="154"/>
      <c r="BE71" s="154"/>
      <c r="BF71" s="154"/>
      <c r="BG71" s="154"/>
      <c r="BH71" s="154"/>
      <c r="BI71" s="154"/>
      <c r="BJ71" s="163"/>
      <c r="BK71" s="163"/>
      <c r="BL71" s="163"/>
      <c r="BO71" s="154"/>
      <c r="BP71" s="154"/>
      <c r="BQ71" s="154"/>
      <c r="BR71" s="154"/>
      <c r="BS71" s="154"/>
      <c r="BT71" s="154"/>
      <c r="BU71" s="154"/>
      <c r="BV71" s="154"/>
      <c r="BW71" s="154"/>
      <c r="BX71" s="154"/>
      <c r="BY71" s="154"/>
      <c r="BZ71" s="154"/>
      <c r="CA71" s="154"/>
      <c r="CB71" s="154"/>
      <c r="CC71" s="154"/>
      <c r="CD71" s="154"/>
      <c r="CE71" s="154"/>
      <c r="CF71" s="154"/>
      <c r="CG71" s="154"/>
      <c r="CH71" s="154"/>
      <c r="CI71" s="154"/>
      <c r="CJ71" s="154"/>
    </row>
    <row r="72" spans="1:88" ht="15.75" customHeight="1">
      <c r="A72" s="154"/>
      <c r="B72" s="155"/>
      <c r="C72" s="156"/>
      <c r="D72" s="154"/>
      <c r="E72" s="154"/>
      <c r="F72" s="154"/>
      <c r="G72" s="154"/>
      <c r="H72" s="154"/>
      <c r="I72" s="154"/>
      <c r="J72" s="154"/>
      <c r="K72" s="154"/>
      <c r="L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G72" s="154"/>
      <c r="AH72" s="154"/>
      <c r="AI72" s="154"/>
      <c r="AJ72" s="154"/>
      <c r="AK72" s="154"/>
      <c r="AL72" s="154"/>
      <c r="AM72" s="154"/>
      <c r="AN72" s="154"/>
      <c r="AO72" s="156"/>
      <c r="AP72" s="154"/>
      <c r="AQ72" s="156"/>
      <c r="AR72" s="154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63"/>
      <c r="BK72" s="163"/>
      <c r="BL72" s="163"/>
      <c r="BO72" s="154"/>
      <c r="BP72" s="154"/>
      <c r="BQ72" s="154"/>
      <c r="BR72" s="154"/>
      <c r="BS72" s="154"/>
      <c r="BT72" s="154"/>
      <c r="BU72" s="154"/>
      <c r="BV72" s="154"/>
      <c r="BW72" s="154"/>
      <c r="BX72" s="154"/>
      <c r="BY72" s="154"/>
      <c r="BZ72" s="154"/>
      <c r="CA72" s="154"/>
      <c r="CB72" s="154"/>
      <c r="CC72" s="154"/>
      <c r="CD72" s="154"/>
      <c r="CE72" s="154"/>
      <c r="CF72" s="154"/>
      <c r="CG72" s="154"/>
      <c r="CH72" s="154"/>
      <c r="CI72" s="154"/>
      <c r="CJ72" s="154"/>
    </row>
    <row r="73" spans="1:88" ht="15.75" customHeight="1">
      <c r="A73" s="154"/>
      <c r="B73" s="155"/>
      <c r="C73" s="156"/>
      <c r="D73" s="154"/>
      <c r="E73" s="154"/>
      <c r="F73" s="154"/>
      <c r="G73" s="154"/>
      <c r="H73" s="154"/>
      <c r="I73" s="154"/>
      <c r="J73" s="154"/>
      <c r="K73" s="154"/>
      <c r="L73" s="154"/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G73" s="154"/>
      <c r="AH73" s="154"/>
      <c r="AI73" s="154"/>
      <c r="AJ73" s="154"/>
      <c r="AK73" s="154"/>
      <c r="AL73" s="154"/>
      <c r="AM73" s="154"/>
      <c r="AN73" s="154"/>
      <c r="AO73" s="156"/>
      <c r="AP73" s="154"/>
      <c r="AQ73" s="156"/>
      <c r="AR73" s="154"/>
      <c r="AS73" s="154"/>
      <c r="AT73" s="154"/>
      <c r="AU73" s="154"/>
      <c r="AV73" s="154"/>
      <c r="AW73" s="154"/>
      <c r="AX73" s="154"/>
      <c r="AY73" s="154"/>
      <c r="AZ73" s="154"/>
      <c r="BA73" s="154"/>
      <c r="BB73" s="154"/>
      <c r="BC73" s="154"/>
      <c r="BD73" s="154"/>
      <c r="BE73" s="154"/>
      <c r="BF73" s="154"/>
      <c r="BG73" s="154"/>
      <c r="BH73" s="154"/>
      <c r="BI73" s="154"/>
      <c r="BJ73" s="163"/>
      <c r="BK73" s="163"/>
      <c r="BL73" s="163"/>
      <c r="BO73" s="154"/>
      <c r="BP73" s="154"/>
      <c r="BQ73" s="154"/>
      <c r="BR73" s="154"/>
      <c r="BS73" s="154"/>
      <c r="BT73" s="154"/>
      <c r="BU73" s="154"/>
      <c r="BV73" s="154"/>
      <c r="BW73" s="154"/>
      <c r="BX73" s="154"/>
      <c r="BY73" s="154"/>
      <c r="BZ73" s="154"/>
      <c r="CA73" s="154"/>
      <c r="CB73" s="154"/>
      <c r="CC73" s="154"/>
      <c r="CD73" s="154"/>
      <c r="CE73" s="154"/>
      <c r="CF73" s="154"/>
      <c r="CG73" s="154"/>
      <c r="CH73" s="154"/>
      <c r="CI73" s="154"/>
      <c r="CJ73" s="154"/>
    </row>
    <row r="74" spans="1:88" ht="15.75" customHeight="1">
      <c r="A74" s="154"/>
      <c r="B74" s="155"/>
      <c r="C74" s="156"/>
      <c r="D74" s="154"/>
      <c r="E74" s="154"/>
      <c r="F74" s="154"/>
      <c r="G74" s="154"/>
      <c r="H74" s="154"/>
      <c r="I74" s="154"/>
      <c r="J74" s="154"/>
      <c r="K74" s="154"/>
      <c r="L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G74" s="154"/>
      <c r="AH74" s="154"/>
      <c r="AI74" s="154"/>
      <c r="AJ74" s="154"/>
      <c r="AK74" s="154"/>
      <c r="AL74" s="154"/>
      <c r="AM74" s="154"/>
      <c r="AN74" s="154"/>
      <c r="AO74" s="156"/>
      <c r="AP74" s="154"/>
      <c r="AQ74" s="156"/>
      <c r="AR74" s="154"/>
      <c r="AS74" s="154"/>
      <c r="AT74" s="154"/>
      <c r="AU74" s="154"/>
      <c r="AV74" s="154"/>
      <c r="AW74" s="154"/>
      <c r="AX74" s="154"/>
      <c r="AY74" s="154"/>
      <c r="AZ74" s="154"/>
      <c r="BA74" s="154"/>
      <c r="BB74" s="154"/>
      <c r="BC74" s="154"/>
      <c r="BD74" s="154"/>
      <c r="BE74" s="154"/>
      <c r="BF74" s="154"/>
      <c r="BG74" s="154"/>
      <c r="BH74" s="154"/>
      <c r="BI74" s="154"/>
      <c r="BJ74" s="163"/>
      <c r="BK74" s="163"/>
      <c r="BL74" s="163"/>
      <c r="BO74" s="154"/>
      <c r="BP74" s="154"/>
      <c r="BQ74" s="154"/>
      <c r="BR74" s="154"/>
      <c r="BS74" s="154"/>
      <c r="BT74" s="154"/>
      <c r="BU74" s="154"/>
      <c r="BV74" s="154"/>
      <c r="BW74" s="154"/>
      <c r="BX74" s="154"/>
      <c r="BY74" s="154"/>
      <c r="BZ74" s="154"/>
      <c r="CA74" s="154"/>
      <c r="CB74" s="154"/>
      <c r="CC74" s="154"/>
      <c r="CD74" s="154"/>
      <c r="CE74" s="154"/>
      <c r="CF74" s="154"/>
      <c r="CG74" s="154"/>
      <c r="CH74" s="154"/>
      <c r="CI74" s="154"/>
      <c r="CJ74" s="154"/>
    </row>
    <row r="75" spans="1:88" ht="15.75" customHeight="1">
      <c r="A75" s="154"/>
      <c r="B75" s="155"/>
      <c r="C75" s="156"/>
      <c r="D75" s="154"/>
      <c r="E75" s="154"/>
      <c r="F75" s="154"/>
      <c r="G75" s="154"/>
      <c r="H75" s="154"/>
      <c r="I75" s="154"/>
      <c r="J75" s="154"/>
      <c r="K75" s="154"/>
      <c r="L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G75" s="154"/>
      <c r="AH75" s="154"/>
      <c r="AI75" s="154"/>
      <c r="AJ75" s="154"/>
      <c r="AK75" s="154"/>
      <c r="AL75" s="154"/>
      <c r="AM75" s="154"/>
      <c r="AN75" s="154"/>
      <c r="AO75" s="156"/>
      <c r="AP75" s="154"/>
      <c r="AQ75" s="156"/>
      <c r="AR75" s="154"/>
      <c r="AS75" s="154"/>
      <c r="AT75" s="154"/>
      <c r="AU75" s="154"/>
      <c r="AV75" s="154"/>
      <c r="AW75" s="154"/>
      <c r="AX75" s="154"/>
      <c r="AY75" s="154"/>
      <c r="AZ75" s="154"/>
      <c r="BA75" s="154"/>
      <c r="BB75" s="154"/>
      <c r="BC75" s="154"/>
      <c r="BD75" s="154"/>
      <c r="BE75" s="154"/>
      <c r="BF75" s="154"/>
      <c r="BG75" s="154"/>
      <c r="BH75" s="154"/>
      <c r="BI75" s="154"/>
      <c r="BJ75" s="163"/>
      <c r="BK75" s="163"/>
      <c r="BL75" s="163"/>
      <c r="BO75" s="154"/>
      <c r="BP75" s="154"/>
      <c r="BQ75" s="154"/>
      <c r="BR75" s="154"/>
      <c r="BS75" s="154"/>
      <c r="BT75" s="154"/>
      <c r="BU75" s="154"/>
      <c r="BV75" s="154"/>
      <c r="BW75" s="154"/>
      <c r="BX75" s="154"/>
      <c r="BY75" s="154"/>
      <c r="BZ75" s="154"/>
      <c r="CA75" s="154"/>
      <c r="CB75" s="154"/>
      <c r="CC75" s="154"/>
      <c r="CD75" s="154"/>
      <c r="CE75" s="154"/>
      <c r="CF75" s="154"/>
      <c r="CG75" s="154"/>
      <c r="CH75" s="154"/>
      <c r="CI75" s="154"/>
      <c r="CJ75" s="154"/>
    </row>
    <row r="76" spans="1:88" ht="15.75" customHeight="1">
      <c r="A76" s="154"/>
      <c r="B76" s="155"/>
      <c r="C76" s="156"/>
      <c r="D76" s="154"/>
      <c r="E76" s="154"/>
      <c r="F76" s="154"/>
      <c r="G76" s="154"/>
      <c r="H76" s="154"/>
      <c r="I76" s="154"/>
      <c r="J76" s="154"/>
      <c r="K76" s="154"/>
      <c r="L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G76" s="154"/>
      <c r="AH76" s="154"/>
      <c r="AI76" s="154"/>
      <c r="AJ76" s="154"/>
      <c r="AK76" s="154"/>
      <c r="AL76" s="154"/>
      <c r="AM76" s="154"/>
      <c r="AN76" s="154"/>
      <c r="AO76" s="156"/>
      <c r="AP76" s="154"/>
      <c r="AQ76" s="156"/>
      <c r="AR76" s="154"/>
      <c r="AS76" s="154"/>
      <c r="AT76" s="154"/>
      <c r="AU76" s="154"/>
      <c r="AV76" s="154"/>
      <c r="AW76" s="154"/>
      <c r="AX76" s="154"/>
      <c r="AY76" s="154"/>
      <c r="AZ76" s="154"/>
      <c r="BA76" s="154"/>
      <c r="BB76" s="154"/>
      <c r="BC76" s="154"/>
      <c r="BD76" s="154"/>
      <c r="BE76" s="154"/>
      <c r="BF76" s="154"/>
      <c r="BG76" s="154"/>
      <c r="BH76" s="154"/>
      <c r="BI76" s="154"/>
      <c r="BJ76" s="163"/>
      <c r="BK76" s="163"/>
      <c r="BL76" s="163"/>
      <c r="BO76" s="154"/>
      <c r="BP76" s="154"/>
      <c r="BQ76" s="154"/>
      <c r="BR76" s="154"/>
      <c r="BS76" s="154"/>
      <c r="BT76" s="154"/>
      <c r="BU76" s="154"/>
      <c r="BV76" s="154"/>
      <c r="BW76" s="154"/>
      <c r="BX76" s="154"/>
      <c r="BY76" s="154"/>
      <c r="BZ76" s="154"/>
      <c r="CA76" s="154"/>
      <c r="CB76" s="154"/>
      <c r="CC76" s="154"/>
      <c r="CD76" s="154"/>
      <c r="CE76" s="154"/>
      <c r="CF76" s="154"/>
      <c r="CG76" s="154"/>
      <c r="CH76" s="154"/>
      <c r="CI76" s="154"/>
      <c r="CJ76" s="154"/>
    </row>
    <row r="77" spans="1:88" ht="15.75" customHeight="1">
      <c r="A77" s="154"/>
      <c r="B77" s="155"/>
      <c r="C77" s="156"/>
      <c r="D77" s="154"/>
      <c r="E77" s="154"/>
      <c r="F77" s="154"/>
      <c r="G77" s="154"/>
      <c r="H77" s="154"/>
      <c r="I77" s="154"/>
      <c r="J77" s="154"/>
      <c r="K77" s="154"/>
      <c r="L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G77" s="154"/>
      <c r="AH77" s="154"/>
      <c r="AI77" s="154"/>
      <c r="AJ77" s="154"/>
      <c r="AK77" s="154"/>
      <c r="AL77" s="154"/>
      <c r="AM77" s="154"/>
      <c r="AN77" s="154"/>
      <c r="AO77" s="156"/>
      <c r="AP77" s="154"/>
      <c r="AQ77" s="156"/>
      <c r="AR77" s="154"/>
      <c r="AS77" s="154"/>
      <c r="AT77" s="154"/>
      <c r="AU77" s="154"/>
      <c r="AV77" s="154"/>
      <c r="AW77" s="154"/>
      <c r="AX77" s="154"/>
      <c r="AY77" s="154"/>
      <c r="AZ77" s="154"/>
      <c r="BA77" s="154"/>
      <c r="BB77" s="154"/>
      <c r="BC77" s="154"/>
      <c r="BD77" s="154"/>
      <c r="BE77" s="154"/>
      <c r="BF77" s="154"/>
      <c r="BG77" s="154"/>
      <c r="BH77" s="154"/>
      <c r="BI77" s="154"/>
      <c r="BJ77" s="163"/>
      <c r="BK77" s="163"/>
      <c r="BL77" s="163"/>
      <c r="BO77" s="154"/>
      <c r="BP77" s="154"/>
      <c r="BQ77" s="154"/>
      <c r="BR77" s="154"/>
      <c r="BS77" s="154"/>
      <c r="BT77" s="154"/>
      <c r="BU77" s="154"/>
      <c r="BV77" s="154"/>
      <c r="BW77" s="154"/>
      <c r="BX77" s="154"/>
      <c r="BY77" s="154"/>
      <c r="BZ77" s="154"/>
      <c r="CA77" s="154"/>
      <c r="CB77" s="154"/>
      <c r="CC77" s="154"/>
      <c r="CD77" s="154"/>
      <c r="CE77" s="154"/>
      <c r="CF77" s="154"/>
      <c r="CG77" s="154"/>
      <c r="CH77" s="154"/>
      <c r="CI77" s="154"/>
      <c r="CJ77" s="154"/>
    </row>
    <row r="78" spans="1:88" ht="15.75" customHeight="1">
      <c r="A78" s="154"/>
      <c r="B78" s="155"/>
      <c r="C78" s="156"/>
      <c r="D78" s="154"/>
      <c r="E78" s="154"/>
      <c r="F78" s="154"/>
      <c r="G78" s="154"/>
      <c r="H78" s="154"/>
      <c r="I78" s="154"/>
      <c r="J78" s="154"/>
      <c r="K78" s="154"/>
      <c r="L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G78" s="154"/>
      <c r="AH78" s="154"/>
      <c r="AI78" s="154"/>
      <c r="AJ78" s="154"/>
      <c r="AK78" s="154"/>
      <c r="AL78" s="154"/>
      <c r="AM78" s="154"/>
      <c r="AN78" s="154"/>
      <c r="AO78" s="156"/>
      <c r="AP78" s="154"/>
      <c r="AQ78" s="156"/>
      <c r="AR78" s="154"/>
      <c r="AS78" s="154"/>
      <c r="AT78" s="154"/>
      <c r="AU78" s="154"/>
      <c r="AV78" s="154"/>
      <c r="AW78" s="154"/>
      <c r="AX78" s="154"/>
      <c r="AY78" s="154"/>
      <c r="AZ78" s="154"/>
      <c r="BA78" s="154"/>
      <c r="BB78" s="154"/>
      <c r="BC78" s="154"/>
      <c r="BD78" s="154"/>
      <c r="BE78" s="154"/>
      <c r="BF78" s="154"/>
      <c r="BG78" s="154"/>
      <c r="BH78" s="154"/>
      <c r="BI78" s="154"/>
      <c r="BJ78" s="163"/>
      <c r="BK78" s="163"/>
      <c r="BL78" s="163"/>
      <c r="BO78" s="154"/>
      <c r="BP78" s="154"/>
      <c r="BQ78" s="154"/>
      <c r="BR78" s="154"/>
      <c r="BS78" s="154"/>
      <c r="BT78" s="154"/>
      <c r="BU78" s="154"/>
      <c r="BV78" s="154"/>
      <c r="BW78" s="154"/>
      <c r="BX78" s="154"/>
      <c r="BY78" s="154"/>
      <c r="BZ78" s="154"/>
      <c r="CA78" s="154"/>
      <c r="CB78" s="154"/>
      <c r="CC78" s="154"/>
      <c r="CD78" s="154"/>
      <c r="CE78" s="154"/>
      <c r="CF78" s="154"/>
      <c r="CG78" s="154"/>
      <c r="CH78" s="154"/>
      <c r="CI78" s="154"/>
      <c r="CJ78" s="154"/>
    </row>
    <row r="79" spans="1:88" ht="15.75" customHeight="1">
      <c r="A79" s="154"/>
      <c r="B79" s="155"/>
      <c r="C79" s="156"/>
      <c r="D79" s="154"/>
      <c r="E79" s="154"/>
      <c r="F79" s="154"/>
      <c r="G79" s="154"/>
      <c r="H79" s="154"/>
      <c r="I79" s="154"/>
      <c r="J79" s="154"/>
      <c r="K79" s="154"/>
      <c r="L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G79" s="154"/>
      <c r="AH79" s="154"/>
      <c r="AI79" s="154"/>
      <c r="AJ79" s="154"/>
      <c r="AK79" s="154"/>
      <c r="AL79" s="154"/>
      <c r="AM79" s="154"/>
      <c r="AN79" s="154"/>
      <c r="AO79" s="156"/>
      <c r="AP79" s="154"/>
      <c r="AQ79" s="156"/>
      <c r="AR79" s="154"/>
      <c r="AS79" s="154"/>
      <c r="AT79" s="154"/>
      <c r="AU79" s="154"/>
      <c r="AV79" s="154"/>
      <c r="AW79" s="154"/>
      <c r="AX79" s="154"/>
      <c r="AY79" s="154"/>
      <c r="AZ79" s="154"/>
      <c r="BA79" s="154"/>
      <c r="BB79" s="154"/>
      <c r="BC79" s="154"/>
      <c r="BD79" s="154"/>
      <c r="BE79" s="154"/>
      <c r="BF79" s="154"/>
      <c r="BG79" s="154"/>
      <c r="BH79" s="154"/>
      <c r="BI79" s="154"/>
      <c r="BJ79" s="163"/>
      <c r="BK79" s="163"/>
      <c r="BL79" s="163"/>
      <c r="BO79" s="154"/>
      <c r="BP79" s="154"/>
      <c r="BQ79" s="154"/>
      <c r="BR79" s="154"/>
      <c r="BS79" s="154"/>
      <c r="BT79" s="154"/>
      <c r="BU79" s="154"/>
      <c r="BV79" s="154"/>
      <c r="BW79" s="154"/>
      <c r="BX79" s="154"/>
      <c r="BY79" s="154"/>
      <c r="BZ79" s="154"/>
      <c r="CA79" s="154"/>
      <c r="CB79" s="154"/>
      <c r="CC79" s="154"/>
      <c r="CD79" s="154"/>
      <c r="CE79" s="154"/>
      <c r="CF79" s="154"/>
      <c r="CG79" s="154"/>
      <c r="CH79" s="154"/>
      <c r="CI79" s="154"/>
      <c r="CJ79" s="154"/>
    </row>
    <row r="80" spans="1:88" ht="15.75" customHeight="1">
      <c r="A80" s="154"/>
      <c r="B80" s="155"/>
      <c r="C80" s="156"/>
      <c r="D80" s="154"/>
      <c r="E80" s="154"/>
      <c r="F80" s="154"/>
      <c r="G80" s="154"/>
      <c r="H80" s="154"/>
      <c r="I80" s="154"/>
      <c r="J80" s="154"/>
      <c r="K80" s="154"/>
      <c r="L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G80" s="154"/>
      <c r="AH80" s="154"/>
      <c r="AI80" s="154"/>
      <c r="AJ80" s="154"/>
      <c r="AK80" s="154"/>
      <c r="AL80" s="154"/>
      <c r="AM80" s="154"/>
      <c r="AN80" s="154"/>
      <c r="AO80" s="156"/>
      <c r="AP80" s="154"/>
      <c r="AQ80" s="156"/>
      <c r="AR80" s="154"/>
      <c r="AS80" s="154"/>
      <c r="AT80" s="154"/>
      <c r="AU80" s="154"/>
      <c r="AV80" s="154"/>
      <c r="AW80" s="154"/>
      <c r="AX80" s="154"/>
      <c r="AY80" s="154"/>
      <c r="AZ80" s="154"/>
      <c r="BA80" s="154"/>
      <c r="BB80" s="154"/>
      <c r="BC80" s="154"/>
      <c r="BD80" s="154"/>
      <c r="BE80" s="154"/>
      <c r="BF80" s="154"/>
      <c r="BG80" s="154"/>
      <c r="BH80" s="154"/>
      <c r="BI80" s="154"/>
      <c r="BJ80" s="163"/>
      <c r="BK80" s="163"/>
      <c r="BL80" s="163"/>
      <c r="BO80" s="154"/>
      <c r="BP80" s="154"/>
      <c r="BQ80" s="154"/>
      <c r="BR80" s="154"/>
      <c r="BS80" s="154"/>
      <c r="BT80" s="154"/>
      <c r="BU80" s="154"/>
      <c r="BV80" s="154"/>
      <c r="BW80" s="154"/>
      <c r="BX80" s="154"/>
      <c r="BY80" s="154"/>
      <c r="BZ80" s="154"/>
      <c r="CA80" s="154"/>
      <c r="CB80" s="154"/>
      <c r="CC80" s="154"/>
      <c r="CD80" s="154"/>
      <c r="CE80" s="154"/>
      <c r="CF80" s="154"/>
      <c r="CG80" s="154"/>
      <c r="CH80" s="154"/>
      <c r="CI80" s="154"/>
      <c r="CJ80" s="154"/>
    </row>
    <row r="81" spans="1:88" ht="15.75" customHeight="1">
      <c r="A81" s="154"/>
      <c r="B81" s="155"/>
      <c r="C81" s="156"/>
      <c r="D81" s="154"/>
      <c r="E81" s="154"/>
      <c r="F81" s="154"/>
      <c r="G81" s="154"/>
      <c r="H81" s="154"/>
      <c r="I81" s="154"/>
      <c r="J81" s="154"/>
      <c r="K81" s="154"/>
      <c r="L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G81" s="154"/>
      <c r="AH81" s="154"/>
      <c r="AI81" s="154"/>
      <c r="AJ81" s="154"/>
      <c r="AK81" s="154"/>
      <c r="AL81" s="154"/>
      <c r="AM81" s="154"/>
      <c r="AN81" s="154"/>
      <c r="AO81" s="156"/>
      <c r="AP81" s="154"/>
      <c r="AQ81" s="156"/>
      <c r="AR81" s="154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/>
      <c r="BJ81" s="163"/>
      <c r="BK81" s="163"/>
      <c r="BL81" s="163"/>
      <c r="BO81" s="154"/>
      <c r="BP81" s="154"/>
      <c r="BQ81" s="154"/>
      <c r="BR81" s="154"/>
      <c r="BS81" s="154"/>
      <c r="BT81" s="154"/>
      <c r="BU81" s="154"/>
      <c r="BV81" s="154"/>
      <c r="BW81" s="154"/>
      <c r="BX81" s="154"/>
      <c r="BY81" s="154"/>
      <c r="BZ81" s="154"/>
      <c r="CA81" s="154"/>
      <c r="CB81" s="154"/>
      <c r="CC81" s="154"/>
      <c r="CD81" s="154"/>
      <c r="CE81" s="154"/>
      <c r="CF81" s="154"/>
      <c r="CG81" s="154"/>
      <c r="CH81" s="154"/>
      <c r="CI81" s="154"/>
      <c r="CJ81" s="154"/>
    </row>
    <row r="82" spans="1:88" ht="15.75" customHeight="1">
      <c r="A82" s="154"/>
      <c r="B82" s="155"/>
      <c r="C82" s="156"/>
      <c r="D82" s="154"/>
      <c r="E82" s="154"/>
      <c r="F82" s="154"/>
      <c r="G82" s="154"/>
      <c r="H82" s="154"/>
      <c r="I82" s="154"/>
      <c r="J82" s="154"/>
      <c r="K82" s="154"/>
      <c r="L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G82" s="154"/>
      <c r="AH82" s="154"/>
      <c r="AI82" s="154"/>
      <c r="AJ82" s="154"/>
      <c r="AK82" s="154"/>
      <c r="AL82" s="154"/>
      <c r="AM82" s="154"/>
      <c r="AN82" s="154"/>
      <c r="AO82" s="156"/>
      <c r="AP82" s="154"/>
      <c r="AQ82" s="156"/>
      <c r="AR82" s="154"/>
      <c r="AS82" s="154"/>
      <c r="AT82" s="154"/>
      <c r="AU82" s="154"/>
      <c r="AV82" s="154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63"/>
      <c r="BK82" s="163"/>
      <c r="BL82" s="163"/>
      <c r="BO82" s="154"/>
      <c r="BP82" s="154"/>
      <c r="BQ82" s="154"/>
      <c r="BR82" s="154"/>
      <c r="BS82" s="154"/>
      <c r="BT82" s="154"/>
      <c r="BU82" s="154"/>
      <c r="BV82" s="154"/>
      <c r="BW82" s="154"/>
      <c r="BX82" s="154"/>
      <c r="BY82" s="154"/>
      <c r="BZ82" s="154"/>
      <c r="CA82" s="154"/>
      <c r="CB82" s="154"/>
      <c r="CC82" s="154"/>
      <c r="CD82" s="154"/>
      <c r="CE82" s="154"/>
      <c r="CF82" s="154"/>
      <c r="CG82" s="154"/>
      <c r="CH82" s="154"/>
      <c r="CI82" s="154"/>
      <c r="CJ82" s="154"/>
    </row>
    <row r="83" spans="1:88" ht="15.75" customHeight="1">
      <c r="A83" s="154"/>
      <c r="B83" s="155"/>
      <c r="C83" s="156"/>
      <c r="D83" s="154"/>
      <c r="E83" s="154"/>
      <c r="F83" s="154"/>
      <c r="G83" s="154"/>
      <c r="H83" s="154"/>
      <c r="I83" s="154"/>
      <c r="J83" s="154"/>
      <c r="K83" s="154"/>
      <c r="L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G83" s="154"/>
      <c r="AH83" s="154"/>
      <c r="AI83" s="154"/>
      <c r="AJ83" s="154"/>
      <c r="AK83" s="154"/>
      <c r="AL83" s="154"/>
      <c r="AM83" s="154"/>
      <c r="AN83" s="154"/>
      <c r="AO83" s="156"/>
      <c r="AP83" s="154"/>
      <c r="AQ83" s="156"/>
      <c r="AR83" s="154"/>
      <c r="AS83" s="154"/>
      <c r="AT83" s="154"/>
      <c r="AU83" s="154"/>
      <c r="AV83" s="154"/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63"/>
      <c r="BK83" s="163"/>
      <c r="BL83" s="163"/>
      <c r="BO83" s="154"/>
      <c r="BP83" s="154"/>
      <c r="BQ83" s="154"/>
      <c r="BR83" s="154"/>
      <c r="BS83" s="154"/>
      <c r="BT83" s="154"/>
      <c r="BU83" s="154"/>
      <c r="BV83" s="154"/>
      <c r="BW83" s="154"/>
      <c r="BX83" s="154"/>
      <c r="BY83" s="154"/>
      <c r="BZ83" s="154"/>
      <c r="CA83" s="154"/>
      <c r="CB83" s="154"/>
      <c r="CC83" s="154"/>
      <c r="CD83" s="154"/>
      <c r="CE83" s="154"/>
      <c r="CF83" s="154"/>
      <c r="CG83" s="154"/>
      <c r="CH83" s="154"/>
      <c r="CI83" s="154"/>
      <c r="CJ83" s="154"/>
    </row>
    <row r="84" spans="1:88" ht="15.75" customHeight="1">
      <c r="A84" s="154"/>
      <c r="B84" s="155"/>
      <c r="C84" s="156"/>
      <c r="D84" s="154"/>
      <c r="E84" s="154"/>
      <c r="F84" s="154"/>
      <c r="G84" s="154"/>
      <c r="H84" s="154"/>
      <c r="I84" s="154"/>
      <c r="J84" s="154"/>
      <c r="K84" s="154"/>
      <c r="L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G84" s="154"/>
      <c r="AH84" s="154"/>
      <c r="AI84" s="154"/>
      <c r="AJ84" s="154"/>
      <c r="AK84" s="154"/>
      <c r="AL84" s="154"/>
      <c r="AM84" s="154"/>
      <c r="AN84" s="154"/>
      <c r="AO84" s="156"/>
      <c r="AP84" s="154"/>
      <c r="AQ84" s="156"/>
      <c r="AR84" s="154"/>
      <c r="AS84" s="154"/>
      <c r="AT84" s="154"/>
      <c r="AU84" s="154"/>
      <c r="AV84" s="154"/>
      <c r="AW84" s="154"/>
      <c r="AX84" s="154"/>
      <c r="AY84" s="154"/>
      <c r="AZ84" s="154"/>
      <c r="BA84" s="154"/>
      <c r="BB84" s="154"/>
      <c r="BC84" s="154"/>
      <c r="BD84" s="154"/>
      <c r="BE84" s="154"/>
      <c r="BF84" s="154"/>
      <c r="BG84" s="154"/>
      <c r="BH84" s="154"/>
      <c r="BI84" s="154"/>
      <c r="BJ84" s="163"/>
      <c r="BK84" s="163"/>
      <c r="BL84" s="163"/>
      <c r="BO84" s="154"/>
      <c r="BP84" s="154"/>
      <c r="BQ84" s="154"/>
      <c r="BR84" s="154"/>
      <c r="BS84" s="154"/>
      <c r="BT84" s="154"/>
      <c r="BU84" s="154"/>
      <c r="BV84" s="154"/>
      <c r="BW84" s="154"/>
      <c r="BX84" s="154"/>
      <c r="BY84" s="154"/>
      <c r="BZ84" s="154"/>
      <c r="CA84" s="154"/>
      <c r="CB84" s="154"/>
      <c r="CC84" s="154"/>
      <c r="CD84" s="154"/>
      <c r="CE84" s="154"/>
      <c r="CF84" s="154"/>
      <c r="CG84" s="154"/>
      <c r="CH84" s="154"/>
      <c r="CI84" s="154"/>
      <c r="CJ84" s="154"/>
    </row>
    <row r="85" spans="1:88" ht="15.75" customHeight="1">
      <c r="A85" s="154"/>
      <c r="B85" s="155"/>
      <c r="C85" s="156"/>
      <c r="D85" s="154"/>
      <c r="E85" s="154"/>
      <c r="F85" s="154"/>
      <c r="G85" s="154"/>
      <c r="H85" s="154"/>
      <c r="I85" s="154"/>
      <c r="J85" s="154"/>
      <c r="K85" s="154"/>
      <c r="L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G85" s="154"/>
      <c r="AH85" s="154"/>
      <c r="AI85" s="154"/>
      <c r="AJ85" s="154"/>
      <c r="AK85" s="154"/>
      <c r="AL85" s="154"/>
      <c r="AM85" s="154"/>
      <c r="AN85" s="154"/>
      <c r="AO85" s="156"/>
      <c r="AP85" s="154"/>
      <c r="AQ85" s="156"/>
      <c r="AR85" s="154"/>
      <c r="AS85" s="154"/>
      <c r="AT85" s="154"/>
      <c r="AU85" s="154"/>
      <c r="AV85" s="154"/>
      <c r="AW85" s="154"/>
      <c r="AX85" s="154"/>
      <c r="AY85" s="154"/>
      <c r="AZ85" s="154"/>
      <c r="BA85" s="154"/>
      <c r="BB85" s="154"/>
      <c r="BC85" s="154"/>
      <c r="BD85" s="154"/>
      <c r="BE85" s="154"/>
      <c r="BF85" s="154"/>
      <c r="BG85" s="154"/>
      <c r="BH85" s="154"/>
      <c r="BI85" s="154"/>
      <c r="BJ85" s="163"/>
      <c r="BK85" s="163"/>
      <c r="BL85" s="163"/>
      <c r="BO85" s="154"/>
      <c r="BP85" s="154"/>
      <c r="BQ85" s="154"/>
      <c r="BR85" s="154"/>
      <c r="BS85" s="154"/>
      <c r="BT85" s="154"/>
      <c r="BU85" s="154"/>
      <c r="BV85" s="154"/>
      <c r="BW85" s="154"/>
      <c r="BX85" s="154"/>
      <c r="BY85" s="154"/>
      <c r="BZ85" s="154"/>
      <c r="CA85" s="154"/>
      <c r="CB85" s="154"/>
      <c r="CC85" s="154"/>
      <c r="CD85" s="154"/>
      <c r="CE85" s="154"/>
      <c r="CF85" s="154"/>
      <c r="CG85" s="154"/>
      <c r="CH85" s="154"/>
      <c r="CI85" s="154"/>
      <c r="CJ85" s="154"/>
    </row>
    <row r="86" spans="1:88" ht="15.75" customHeight="1">
      <c r="A86" s="154"/>
      <c r="B86" s="155"/>
      <c r="C86" s="156"/>
      <c r="D86" s="154"/>
      <c r="E86" s="154"/>
      <c r="F86" s="154"/>
      <c r="G86" s="154"/>
      <c r="H86" s="154"/>
      <c r="I86" s="154"/>
      <c r="J86" s="154"/>
      <c r="K86" s="154"/>
      <c r="L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G86" s="154"/>
      <c r="AH86" s="154"/>
      <c r="AI86" s="154"/>
      <c r="AJ86" s="154"/>
      <c r="AK86" s="154"/>
      <c r="AL86" s="154"/>
      <c r="AM86" s="154"/>
      <c r="AN86" s="154"/>
      <c r="AO86" s="156"/>
      <c r="AP86" s="154"/>
      <c r="AQ86" s="156"/>
      <c r="AR86" s="154"/>
      <c r="AS86" s="154"/>
      <c r="AT86" s="154"/>
      <c r="AU86" s="154"/>
      <c r="AV86" s="154"/>
      <c r="AW86" s="154"/>
      <c r="AX86" s="154"/>
      <c r="AY86" s="154"/>
      <c r="AZ86" s="154"/>
      <c r="BA86" s="154"/>
      <c r="BB86" s="154"/>
      <c r="BC86" s="154"/>
      <c r="BD86" s="154"/>
      <c r="BE86" s="154"/>
      <c r="BF86" s="154"/>
      <c r="BG86" s="154"/>
      <c r="BH86" s="154"/>
      <c r="BI86" s="154"/>
      <c r="BJ86" s="163"/>
      <c r="BK86" s="163"/>
      <c r="BL86" s="163"/>
      <c r="BO86" s="154"/>
      <c r="BP86" s="154"/>
      <c r="BQ86" s="154"/>
      <c r="BR86" s="154"/>
      <c r="BS86" s="154"/>
      <c r="BT86" s="154"/>
      <c r="BU86" s="154"/>
      <c r="BV86" s="154"/>
      <c r="BW86" s="154"/>
      <c r="BX86" s="154"/>
      <c r="BY86" s="154"/>
      <c r="BZ86" s="154"/>
      <c r="CA86" s="154"/>
      <c r="CB86" s="154"/>
      <c r="CC86" s="154"/>
      <c r="CD86" s="154"/>
      <c r="CE86" s="154"/>
      <c r="CF86" s="154"/>
      <c r="CG86" s="154"/>
      <c r="CH86" s="154"/>
      <c r="CI86" s="154"/>
      <c r="CJ86" s="154"/>
    </row>
    <row r="87" spans="1:88" ht="15.75" customHeight="1">
      <c r="A87" s="154"/>
      <c r="B87" s="155"/>
      <c r="C87" s="156"/>
      <c r="D87" s="154"/>
      <c r="E87" s="154"/>
      <c r="F87" s="154"/>
      <c r="G87" s="154"/>
      <c r="H87" s="154"/>
      <c r="I87" s="154"/>
      <c r="J87" s="154"/>
      <c r="K87" s="154"/>
      <c r="L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G87" s="154"/>
      <c r="AH87" s="154"/>
      <c r="AI87" s="154"/>
      <c r="AJ87" s="154"/>
      <c r="AK87" s="154"/>
      <c r="AL87" s="154"/>
      <c r="AM87" s="154"/>
      <c r="AN87" s="154"/>
      <c r="AO87" s="156"/>
      <c r="AP87" s="154"/>
      <c r="AQ87" s="156"/>
      <c r="AR87" s="154"/>
      <c r="AS87" s="154"/>
      <c r="AT87" s="154"/>
      <c r="AU87" s="154"/>
      <c r="AV87" s="154"/>
      <c r="AW87" s="154"/>
      <c r="AX87" s="154"/>
      <c r="AY87" s="154"/>
      <c r="AZ87" s="154"/>
      <c r="BA87" s="154"/>
      <c r="BB87" s="154"/>
      <c r="BC87" s="154"/>
      <c r="BD87" s="154"/>
      <c r="BE87" s="154"/>
      <c r="BF87" s="154"/>
      <c r="BG87" s="154"/>
      <c r="BH87" s="154"/>
      <c r="BI87" s="154"/>
      <c r="BJ87" s="163"/>
      <c r="BK87" s="163"/>
      <c r="BL87" s="163"/>
      <c r="BO87" s="154"/>
      <c r="BP87" s="154"/>
      <c r="BQ87" s="154"/>
      <c r="BR87" s="154"/>
      <c r="BS87" s="154"/>
      <c r="BT87" s="154"/>
      <c r="BU87" s="154"/>
      <c r="BV87" s="154"/>
      <c r="BW87" s="154"/>
      <c r="BX87" s="154"/>
      <c r="BY87" s="154"/>
      <c r="BZ87" s="154"/>
      <c r="CA87" s="154"/>
      <c r="CB87" s="154"/>
      <c r="CC87" s="154"/>
      <c r="CD87" s="154"/>
      <c r="CE87" s="154"/>
      <c r="CF87" s="154"/>
      <c r="CG87" s="154"/>
      <c r="CH87" s="154"/>
      <c r="CI87" s="154"/>
      <c r="CJ87" s="154"/>
    </row>
    <row r="88" spans="1:88" ht="15.75" customHeight="1">
      <c r="A88" s="154"/>
      <c r="B88" s="155"/>
      <c r="C88" s="156"/>
      <c r="D88" s="154"/>
      <c r="E88" s="154"/>
      <c r="F88" s="154"/>
      <c r="G88" s="154"/>
      <c r="H88" s="154"/>
      <c r="I88" s="154"/>
      <c r="J88" s="154"/>
      <c r="K88" s="154"/>
      <c r="L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G88" s="154"/>
      <c r="AH88" s="154"/>
      <c r="AI88" s="154"/>
      <c r="AJ88" s="154"/>
      <c r="AK88" s="154"/>
      <c r="AL88" s="154"/>
      <c r="AM88" s="154"/>
      <c r="AN88" s="154"/>
      <c r="AO88" s="156"/>
      <c r="AP88" s="154"/>
      <c r="AQ88" s="156"/>
      <c r="AR88" s="154"/>
      <c r="AS88" s="154"/>
      <c r="AT88" s="154"/>
      <c r="AU88" s="154"/>
      <c r="AV88" s="154"/>
      <c r="AW88" s="154"/>
      <c r="AX88" s="154"/>
      <c r="AY88" s="154"/>
      <c r="AZ88" s="154"/>
      <c r="BA88" s="154"/>
      <c r="BB88" s="154"/>
      <c r="BC88" s="154"/>
      <c r="BD88" s="154"/>
      <c r="BE88" s="154"/>
      <c r="BF88" s="154"/>
      <c r="BG88" s="154"/>
      <c r="BH88" s="154"/>
      <c r="BI88" s="154"/>
      <c r="BJ88" s="163"/>
      <c r="BK88" s="163"/>
      <c r="BL88" s="163"/>
      <c r="BO88" s="154"/>
      <c r="BP88" s="154"/>
      <c r="BQ88" s="154"/>
      <c r="BR88" s="154"/>
      <c r="BS88" s="154"/>
      <c r="BT88" s="154"/>
      <c r="BU88" s="154"/>
      <c r="BV88" s="154"/>
      <c r="BW88" s="154"/>
      <c r="BX88" s="154"/>
      <c r="BY88" s="154"/>
      <c r="BZ88" s="154"/>
      <c r="CA88" s="154"/>
      <c r="CB88" s="154"/>
      <c r="CC88" s="154"/>
      <c r="CD88" s="154"/>
      <c r="CE88" s="154"/>
      <c r="CF88" s="154"/>
      <c r="CG88" s="154"/>
      <c r="CH88" s="154"/>
      <c r="CI88" s="154"/>
      <c r="CJ88" s="154"/>
    </row>
    <row r="89" spans="1:88" ht="15.75" customHeight="1">
      <c r="A89" s="154"/>
      <c r="B89" s="155"/>
      <c r="C89" s="156"/>
      <c r="D89" s="154"/>
      <c r="E89" s="154"/>
      <c r="F89" s="154"/>
      <c r="G89" s="154"/>
      <c r="H89" s="154"/>
      <c r="I89" s="154"/>
      <c r="J89" s="154"/>
      <c r="K89" s="154"/>
      <c r="L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G89" s="154"/>
      <c r="AH89" s="154"/>
      <c r="AI89" s="154"/>
      <c r="AJ89" s="154"/>
      <c r="AK89" s="154"/>
      <c r="AL89" s="154"/>
      <c r="AM89" s="154"/>
      <c r="AN89" s="154"/>
      <c r="AO89" s="156"/>
      <c r="AP89" s="154"/>
      <c r="AQ89" s="156"/>
      <c r="AR89" s="154"/>
      <c r="AS89" s="154"/>
      <c r="AT89" s="154"/>
      <c r="AU89" s="154"/>
      <c r="AV89" s="154"/>
      <c r="AW89" s="154"/>
      <c r="AX89" s="154"/>
      <c r="AY89" s="154"/>
      <c r="AZ89" s="154"/>
      <c r="BA89" s="154"/>
      <c r="BB89" s="154"/>
      <c r="BC89" s="154"/>
      <c r="BD89" s="154"/>
      <c r="BE89" s="154"/>
      <c r="BF89" s="154"/>
      <c r="BG89" s="154"/>
      <c r="BH89" s="154"/>
      <c r="BI89" s="154"/>
      <c r="BJ89" s="163"/>
      <c r="BK89" s="163"/>
      <c r="BL89" s="163"/>
      <c r="BO89" s="154"/>
      <c r="BP89" s="154"/>
      <c r="BQ89" s="154"/>
      <c r="BR89" s="154"/>
      <c r="BS89" s="154"/>
      <c r="BT89" s="154"/>
      <c r="BU89" s="154"/>
      <c r="BV89" s="154"/>
      <c r="BW89" s="154"/>
      <c r="BX89" s="154"/>
      <c r="BY89" s="154"/>
      <c r="BZ89" s="154"/>
      <c r="CA89" s="154"/>
      <c r="CB89" s="154"/>
      <c r="CC89" s="154"/>
      <c r="CD89" s="154"/>
      <c r="CE89" s="154"/>
      <c r="CF89" s="154"/>
      <c r="CG89" s="154"/>
      <c r="CH89" s="154"/>
      <c r="CI89" s="154"/>
      <c r="CJ89" s="154"/>
    </row>
    <row r="90" spans="1:88" ht="15.75" customHeight="1">
      <c r="A90" s="154"/>
      <c r="B90" s="155"/>
      <c r="C90" s="156"/>
      <c r="D90" s="154"/>
      <c r="E90" s="154"/>
      <c r="F90" s="154"/>
      <c r="G90" s="154"/>
      <c r="H90" s="154"/>
      <c r="I90" s="154"/>
      <c r="J90" s="154"/>
      <c r="K90" s="154"/>
      <c r="L90" s="154"/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G90" s="154"/>
      <c r="AH90" s="154"/>
      <c r="AI90" s="154"/>
      <c r="AJ90" s="154"/>
      <c r="AK90" s="154"/>
      <c r="AL90" s="154"/>
      <c r="AM90" s="154"/>
      <c r="AN90" s="154"/>
      <c r="AO90" s="156"/>
      <c r="AP90" s="154"/>
      <c r="AQ90" s="156"/>
      <c r="AR90" s="154"/>
      <c r="AS90" s="154"/>
      <c r="AT90" s="154"/>
      <c r="AU90" s="154"/>
      <c r="AV90" s="154"/>
      <c r="AW90" s="154"/>
      <c r="AX90" s="154"/>
      <c r="AY90" s="154"/>
      <c r="AZ90" s="154"/>
      <c r="BA90" s="154"/>
      <c r="BB90" s="154"/>
      <c r="BC90" s="154"/>
      <c r="BD90" s="154"/>
      <c r="BE90" s="154"/>
      <c r="BF90" s="154"/>
      <c r="BG90" s="154"/>
      <c r="BH90" s="154"/>
      <c r="BI90" s="154"/>
      <c r="BJ90" s="163"/>
      <c r="BK90" s="163"/>
      <c r="BL90" s="163"/>
      <c r="BO90" s="154"/>
      <c r="BP90" s="154"/>
      <c r="BQ90" s="154"/>
      <c r="BR90" s="154"/>
      <c r="BS90" s="154"/>
      <c r="BT90" s="154"/>
      <c r="BU90" s="154"/>
      <c r="BV90" s="154"/>
      <c r="BW90" s="154"/>
      <c r="BX90" s="154"/>
      <c r="BY90" s="154"/>
      <c r="BZ90" s="154"/>
      <c r="CA90" s="154"/>
      <c r="CB90" s="154"/>
      <c r="CC90" s="154"/>
      <c r="CD90" s="154"/>
      <c r="CE90" s="154"/>
      <c r="CF90" s="154"/>
      <c r="CG90" s="154"/>
      <c r="CH90" s="154"/>
      <c r="CI90" s="154"/>
      <c r="CJ90" s="154"/>
    </row>
    <row r="91" spans="1:88" ht="15.75" customHeight="1">
      <c r="A91" s="154"/>
      <c r="B91" s="155"/>
      <c r="C91" s="156"/>
      <c r="D91" s="154"/>
      <c r="E91" s="154"/>
      <c r="F91" s="154"/>
      <c r="G91" s="154"/>
      <c r="H91" s="154"/>
      <c r="I91" s="154"/>
      <c r="J91" s="154"/>
      <c r="K91" s="154"/>
      <c r="L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G91" s="154"/>
      <c r="AH91" s="154"/>
      <c r="AI91" s="154"/>
      <c r="AJ91" s="154"/>
      <c r="AK91" s="154"/>
      <c r="AL91" s="154"/>
      <c r="AM91" s="154"/>
      <c r="AN91" s="154"/>
      <c r="AO91" s="156"/>
      <c r="AP91" s="154"/>
      <c r="AQ91" s="156"/>
      <c r="AR91" s="154"/>
      <c r="AS91" s="154"/>
      <c r="AT91" s="154"/>
      <c r="AU91" s="154"/>
      <c r="AV91" s="154"/>
      <c r="AW91" s="154"/>
      <c r="AX91" s="154"/>
      <c r="AY91" s="154"/>
      <c r="AZ91" s="154"/>
      <c r="BA91" s="154"/>
      <c r="BB91" s="154"/>
      <c r="BC91" s="154"/>
      <c r="BD91" s="154"/>
      <c r="BE91" s="154"/>
      <c r="BF91" s="154"/>
      <c r="BG91" s="154"/>
      <c r="BH91" s="154"/>
      <c r="BI91" s="154"/>
      <c r="BJ91" s="163"/>
      <c r="BK91" s="163"/>
      <c r="BL91" s="163"/>
      <c r="BO91" s="154"/>
      <c r="BP91" s="154"/>
      <c r="BQ91" s="154"/>
      <c r="BR91" s="154"/>
      <c r="BS91" s="154"/>
      <c r="BT91" s="154"/>
      <c r="BU91" s="154"/>
      <c r="BV91" s="154"/>
      <c r="BW91" s="154"/>
      <c r="BX91" s="154"/>
      <c r="BY91" s="154"/>
      <c r="BZ91" s="154"/>
      <c r="CA91" s="154"/>
      <c r="CB91" s="154"/>
      <c r="CC91" s="154"/>
      <c r="CD91" s="154"/>
      <c r="CE91" s="154"/>
      <c r="CF91" s="154"/>
      <c r="CG91" s="154"/>
      <c r="CH91" s="154"/>
      <c r="CI91" s="154"/>
      <c r="CJ91" s="154"/>
    </row>
    <row r="92" spans="1:88" ht="15.75" customHeight="1">
      <c r="A92" s="154"/>
      <c r="B92" s="155"/>
      <c r="C92" s="156"/>
      <c r="D92" s="154"/>
      <c r="E92" s="154"/>
      <c r="F92" s="154"/>
      <c r="G92" s="154"/>
      <c r="H92" s="154"/>
      <c r="I92" s="154"/>
      <c r="J92" s="154"/>
      <c r="K92" s="154"/>
      <c r="L92" s="154"/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G92" s="154"/>
      <c r="AH92" s="154"/>
      <c r="AI92" s="154"/>
      <c r="AJ92" s="154"/>
      <c r="AK92" s="154"/>
      <c r="AL92" s="154"/>
      <c r="AM92" s="154"/>
      <c r="AN92" s="154"/>
      <c r="AO92" s="156"/>
      <c r="AP92" s="154"/>
      <c r="AQ92" s="156"/>
      <c r="AR92" s="154"/>
      <c r="AS92" s="154"/>
      <c r="AT92" s="154"/>
      <c r="AU92" s="154"/>
      <c r="AV92" s="154"/>
      <c r="AW92" s="154"/>
      <c r="AX92" s="154"/>
      <c r="AY92" s="154"/>
      <c r="AZ92" s="154"/>
      <c r="BA92" s="154"/>
      <c r="BB92" s="154"/>
      <c r="BC92" s="154"/>
      <c r="BD92" s="154"/>
      <c r="BE92" s="154"/>
      <c r="BF92" s="154"/>
      <c r="BG92" s="154"/>
      <c r="BH92" s="154"/>
      <c r="BI92" s="154"/>
      <c r="BJ92" s="163"/>
      <c r="BK92" s="163"/>
      <c r="BL92" s="163"/>
      <c r="BO92" s="154"/>
      <c r="BP92" s="154"/>
      <c r="BQ92" s="154"/>
      <c r="BR92" s="154"/>
      <c r="BS92" s="154"/>
      <c r="BT92" s="154"/>
      <c r="BU92" s="154"/>
      <c r="BV92" s="154"/>
      <c r="BW92" s="154"/>
      <c r="BX92" s="154"/>
      <c r="BY92" s="154"/>
      <c r="BZ92" s="154"/>
      <c r="CA92" s="154"/>
      <c r="CB92" s="154"/>
      <c r="CC92" s="154"/>
      <c r="CD92" s="154"/>
      <c r="CE92" s="154"/>
      <c r="CF92" s="154"/>
      <c r="CG92" s="154"/>
      <c r="CH92" s="154"/>
      <c r="CI92" s="154"/>
      <c r="CJ92" s="154"/>
    </row>
    <row r="93" spans="1:88" ht="15.75" customHeight="1">
      <c r="A93" s="154"/>
      <c r="B93" s="155"/>
      <c r="C93" s="156"/>
      <c r="D93" s="154"/>
      <c r="E93" s="154"/>
      <c r="F93" s="154"/>
      <c r="G93" s="154"/>
      <c r="H93" s="154"/>
      <c r="I93" s="154"/>
      <c r="J93" s="154"/>
      <c r="K93" s="154"/>
      <c r="L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G93" s="154"/>
      <c r="AH93" s="154"/>
      <c r="AI93" s="154"/>
      <c r="AJ93" s="154"/>
      <c r="AK93" s="154"/>
      <c r="AL93" s="154"/>
      <c r="AM93" s="154"/>
      <c r="AN93" s="154"/>
      <c r="AO93" s="156"/>
      <c r="AP93" s="154"/>
      <c r="AQ93" s="156"/>
      <c r="AR93" s="154"/>
      <c r="AS93" s="154"/>
      <c r="AT93" s="154"/>
      <c r="AU93" s="154"/>
      <c r="AV93" s="154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4"/>
      <c r="BH93" s="154"/>
      <c r="BI93" s="154"/>
      <c r="BJ93" s="163"/>
      <c r="BK93" s="163"/>
      <c r="BL93" s="163"/>
      <c r="BO93" s="154"/>
      <c r="BP93" s="154"/>
      <c r="BQ93" s="154"/>
      <c r="BR93" s="154"/>
      <c r="BS93" s="154"/>
      <c r="BT93" s="154"/>
      <c r="BU93" s="154"/>
      <c r="BV93" s="154"/>
      <c r="BW93" s="154"/>
      <c r="BX93" s="154"/>
      <c r="BY93" s="154"/>
      <c r="BZ93" s="154"/>
      <c r="CA93" s="154"/>
      <c r="CB93" s="154"/>
      <c r="CC93" s="154"/>
      <c r="CD93" s="154"/>
      <c r="CE93" s="154"/>
      <c r="CF93" s="154"/>
      <c r="CG93" s="154"/>
      <c r="CH93" s="154"/>
      <c r="CI93" s="154"/>
      <c r="CJ93" s="154"/>
    </row>
    <row r="94" spans="1:88" ht="15.75" customHeight="1">
      <c r="A94" s="154"/>
      <c r="B94" s="155"/>
      <c r="C94" s="156"/>
      <c r="D94" s="154"/>
      <c r="E94" s="154"/>
      <c r="F94" s="154"/>
      <c r="G94" s="154"/>
      <c r="H94" s="154"/>
      <c r="I94" s="154"/>
      <c r="J94" s="154"/>
      <c r="K94" s="154"/>
      <c r="L94" s="154"/>
      <c r="T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  <c r="AG94" s="154"/>
      <c r="AH94" s="154"/>
      <c r="AI94" s="154"/>
      <c r="AJ94" s="154"/>
      <c r="AK94" s="154"/>
      <c r="AL94" s="154"/>
      <c r="AM94" s="154"/>
      <c r="AN94" s="154"/>
      <c r="AO94" s="156"/>
      <c r="AP94" s="154"/>
      <c r="AQ94" s="156"/>
      <c r="AR94" s="154"/>
      <c r="AS94" s="154"/>
      <c r="AT94" s="154"/>
      <c r="AU94" s="154"/>
      <c r="AV94" s="154"/>
      <c r="AW94" s="154"/>
      <c r="AX94" s="154"/>
      <c r="AY94" s="154"/>
      <c r="AZ94" s="154"/>
      <c r="BA94" s="154"/>
      <c r="BB94" s="154"/>
      <c r="BC94" s="154"/>
      <c r="BD94" s="154"/>
      <c r="BE94" s="154"/>
      <c r="BF94" s="154"/>
      <c r="BG94" s="154"/>
      <c r="BH94" s="154"/>
      <c r="BI94" s="154"/>
      <c r="BJ94" s="163"/>
      <c r="BK94" s="163"/>
      <c r="BL94" s="163"/>
      <c r="BO94" s="154"/>
      <c r="BP94" s="154"/>
      <c r="BQ94" s="154"/>
      <c r="BR94" s="154"/>
      <c r="BS94" s="154"/>
      <c r="BT94" s="154"/>
      <c r="BU94" s="154"/>
      <c r="BV94" s="154"/>
      <c r="BW94" s="154"/>
      <c r="BX94" s="154"/>
      <c r="BY94" s="154"/>
      <c r="BZ94" s="154"/>
      <c r="CA94" s="154"/>
      <c r="CB94" s="154"/>
      <c r="CC94" s="154"/>
      <c r="CD94" s="154"/>
      <c r="CE94" s="154"/>
      <c r="CF94" s="154"/>
      <c r="CG94" s="154"/>
      <c r="CH94" s="154"/>
      <c r="CI94" s="154"/>
      <c r="CJ94" s="154"/>
    </row>
    <row r="95" spans="1:88" ht="15.75" customHeight="1">
      <c r="A95" s="154"/>
      <c r="B95" s="155"/>
      <c r="C95" s="156"/>
      <c r="D95" s="154"/>
      <c r="E95" s="154"/>
      <c r="F95" s="154"/>
      <c r="G95" s="154"/>
      <c r="H95" s="154"/>
      <c r="I95" s="154"/>
      <c r="J95" s="154"/>
      <c r="K95" s="154"/>
      <c r="L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G95" s="154"/>
      <c r="AH95" s="154"/>
      <c r="AI95" s="154"/>
      <c r="AJ95" s="154"/>
      <c r="AK95" s="154"/>
      <c r="AL95" s="154"/>
      <c r="AM95" s="154"/>
      <c r="AN95" s="154"/>
      <c r="AO95" s="156"/>
      <c r="AP95" s="154"/>
      <c r="AQ95" s="156"/>
      <c r="AR95" s="154"/>
      <c r="AS95" s="154"/>
      <c r="AT95" s="154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4"/>
      <c r="BH95" s="154"/>
      <c r="BI95" s="154"/>
      <c r="BJ95" s="163"/>
      <c r="BK95" s="163"/>
      <c r="BL95" s="163"/>
      <c r="BO95" s="154"/>
      <c r="BP95" s="154"/>
      <c r="BQ95" s="154"/>
      <c r="BR95" s="154"/>
      <c r="BS95" s="154"/>
      <c r="BT95" s="154"/>
      <c r="BU95" s="154"/>
      <c r="BV95" s="154"/>
      <c r="BW95" s="154"/>
      <c r="BX95" s="154"/>
      <c r="BY95" s="154"/>
      <c r="BZ95" s="154"/>
      <c r="CA95" s="154"/>
      <c r="CB95" s="154"/>
      <c r="CC95" s="154"/>
      <c r="CD95" s="154"/>
      <c r="CE95" s="154"/>
      <c r="CF95" s="154"/>
      <c r="CG95" s="154"/>
      <c r="CH95" s="154"/>
      <c r="CI95" s="154"/>
      <c r="CJ95" s="154"/>
    </row>
    <row r="96" spans="1:88" ht="15.75" customHeight="1">
      <c r="A96" s="154"/>
      <c r="B96" s="155"/>
      <c r="C96" s="156"/>
      <c r="D96" s="154"/>
      <c r="E96" s="154"/>
      <c r="F96" s="154"/>
      <c r="G96" s="154"/>
      <c r="H96" s="154"/>
      <c r="I96" s="154"/>
      <c r="J96" s="154"/>
      <c r="K96" s="154"/>
      <c r="L96" s="154"/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G96" s="154"/>
      <c r="AH96" s="154"/>
      <c r="AI96" s="154"/>
      <c r="AJ96" s="154"/>
      <c r="AK96" s="154"/>
      <c r="AL96" s="154"/>
      <c r="AM96" s="154"/>
      <c r="AN96" s="154"/>
      <c r="AO96" s="156"/>
      <c r="AP96" s="154"/>
      <c r="AQ96" s="156"/>
      <c r="AR96" s="154"/>
      <c r="AS96" s="154"/>
      <c r="AT96" s="154"/>
      <c r="AU96" s="154"/>
      <c r="AV96" s="154"/>
      <c r="AW96" s="154"/>
      <c r="AX96" s="154"/>
      <c r="AY96" s="154"/>
      <c r="AZ96" s="154"/>
      <c r="BA96" s="154"/>
      <c r="BB96" s="154"/>
      <c r="BC96" s="154"/>
      <c r="BD96" s="154"/>
      <c r="BE96" s="154"/>
      <c r="BF96" s="154"/>
      <c r="BG96" s="154"/>
      <c r="BH96" s="154"/>
      <c r="BI96" s="154"/>
      <c r="BJ96" s="163"/>
      <c r="BK96" s="163"/>
      <c r="BL96" s="163"/>
      <c r="BO96" s="154"/>
      <c r="BP96" s="154"/>
      <c r="BQ96" s="154"/>
      <c r="BR96" s="154"/>
      <c r="BS96" s="154"/>
      <c r="BT96" s="154"/>
      <c r="BU96" s="154"/>
      <c r="BV96" s="154"/>
      <c r="BW96" s="154"/>
      <c r="BX96" s="154"/>
      <c r="BY96" s="154"/>
      <c r="BZ96" s="154"/>
      <c r="CA96" s="154"/>
      <c r="CB96" s="154"/>
      <c r="CC96" s="154"/>
      <c r="CD96" s="154"/>
      <c r="CE96" s="154"/>
      <c r="CF96" s="154"/>
      <c r="CG96" s="154"/>
      <c r="CH96" s="154"/>
      <c r="CI96" s="154"/>
      <c r="CJ96" s="154"/>
    </row>
    <row r="97" spans="1:88" ht="15.75" customHeight="1">
      <c r="A97" s="154"/>
      <c r="B97" s="155"/>
      <c r="C97" s="156"/>
      <c r="D97" s="154"/>
      <c r="E97" s="154"/>
      <c r="F97" s="154"/>
      <c r="G97" s="154"/>
      <c r="H97" s="154"/>
      <c r="I97" s="154"/>
      <c r="J97" s="154"/>
      <c r="K97" s="154"/>
      <c r="L97" s="154"/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G97" s="154"/>
      <c r="AH97" s="154"/>
      <c r="AI97" s="154"/>
      <c r="AJ97" s="154"/>
      <c r="AK97" s="154"/>
      <c r="AL97" s="154"/>
      <c r="AM97" s="154"/>
      <c r="AN97" s="154"/>
      <c r="AO97" s="156"/>
      <c r="AP97" s="154"/>
      <c r="AQ97" s="156"/>
      <c r="AR97" s="154"/>
      <c r="AS97" s="154"/>
      <c r="AT97" s="154"/>
      <c r="AU97" s="154"/>
      <c r="AV97" s="154"/>
      <c r="AW97" s="154"/>
      <c r="AX97" s="154"/>
      <c r="AY97" s="154"/>
      <c r="AZ97" s="154"/>
      <c r="BA97" s="154"/>
      <c r="BB97" s="154"/>
      <c r="BC97" s="154"/>
      <c r="BD97" s="154"/>
      <c r="BE97" s="154"/>
      <c r="BF97" s="154"/>
      <c r="BG97" s="154"/>
      <c r="BH97" s="154"/>
      <c r="BI97" s="154"/>
      <c r="BJ97" s="163"/>
      <c r="BK97" s="163"/>
      <c r="BL97" s="163"/>
      <c r="BO97" s="154"/>
      <c r="BP97" s="154"/>
      <c r="BQ97" s="154"/>
      <c r="BR97" s="154"/>
      <c r="BS97" s="154"/>
      <c r="BT97" s="154"/>
      <c r="BU97" s="154"/>
      <c r="BV97" s="154"/>
      <c r="BW97" s="154"/>
      <c r="BX97" s="154"/>
      <c r="BY97" s="154"/>
      <c r="BZ97" s="154"/>
      <c r="CA97" s="154"/>
      <c r="CB97" s="154"/>
      <c r="CC97" s="154"/>
      <c r="CD97" s="154"/>
      <c r="CE97" s="154"/>
      <c r="CF97" s="154"/>
      <c r="CG97" s="154"/>
      <c r="CH97" s="154"/>
      <c r="CI97" s="154"/>
      <c r="CJ97" s="154"/>
    </row>
    <row r="98" spans="1:88" ht="15.75" customHeight="1">
      <c r="A98" s="154"/>
      <c r="B98" s="155"/>
      <c r="C98" s="156"/>
      <c r="D98" s="154"/>
      <c r="E98" s="154"/>
      <c r="F98" s="154"/>
      <c r="G98" s="154"/>
      <c r="H98" s="154"/>
      <c r="I98" s="154"/>
      <c r="J98" s="154"/>
      <c r="K98" s="154"/>
      <c r="L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G98" s="154"/>
      <c r="AH98" s="154"/>
      <c r="AI98" s="154"/>
      <c r="AJ98" s="154"/>
      <c r="AK98" s="154"/>
      <c r="AL98" s="154"/>
      <c r="AM98" s="154"/>
      <c r="AN98" s="154"/>
      <c r="AO98" s="156"/>
      <c r="AP98" s="154"/>
      <c r="AQ98" s="156"/>
      <c r="AR98" s="154"/>
      <c r="AS98" s="154"/>
      <c r="AT98" s="154"/>
      <c r="AU98" s="154"/>
      <c r="AV98" s="154"/>
      <c r="AW98" s="154"/>
      <c r="AX98" s="154"/>
      <c r="AY98" s="154"/>
      <c r="AZ98" s="154"/>
      <c r="BA98" s="154"/>
      <c r="BB98" s="154"/>
      <c r="BC98" s="154"/>
      <c r="BD98" s="154"/>
      <c r="BE98" s="154"/>
      <c r="BF98" s="154"/>
      <c r="BG98" s="154"/>
      <c r="BH98" s="154"/>
      <c r="BI98" s="154"/>
      <c r="BJ98" s="163"/>
      <c r="BK98" s="163"/>
      <c r="BL98" s="163"/>
      <c r="BO98" s="154"/>
      <c r="BP98" s="154"/>
      <c r="BQ98" s="154"/>
      <c r="BR98" s="154"/>
      <c r="BS98" s="154"/>
      <c r="BT98" s="154"/>
      <c r="BU98" s="154"/>
      <c r="BV98" s="154"/>
      <c r="BW98" s="154"/>
      <c r="BX98" s="154"/>
      <c r="BY98" s="154"/>
      <c r="BZ98" s="154"/>
      <c r="CA98" s="154"/>
      <c r="CB98" s="154"/>
      <c r="CC98" s="154"/>
      <c r="CD98" s="154"/>
      <c r="CE98" s="154"/>
      <c r="CF98" s="154"/>
      <c r="CG98" s="154"/>
      <c r="CH98" s="154"/>
      <c r="CI98" s="154"/>
      <c r="CJ98" s="154"/>
    </row>
    <row r="99" spans="1:88" ht="15.75" customHeight="1">
      <c r="A99" s="154"/>
      <c r="B99" s="155"/>
      <c r="C99" s="156"/>
      <c r="D99" s="154"/>
      <c r="E99" s="154"/>
      <c r="F99" s="154"/>
      <c r="G99" s="154"/>
      <c r="H99" s="154"/>
      <c r="I99" s="154"/>
      <c r="J99" s="154"/>
      <c r="K99" s="154"/>
      <c r="L99" s="154"/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G99" s="154"/>
      <c r="AH99" s="154"/>
      <c r="AI99" s="154"/>
      <c r="AJ99" s="154"/>
      <c r="AK99" s="154"/>
      <c r="AL99" s="154"/>
      <c r="AM99" s="154"/>
      <c r="AN99" s="154"/>
      <c r="AO99" s="156"/>
      <c r="AP99" s="154"/>
      <c r="AQ99" s="156"/>
      <c r="AR99" s="154"/>
      <c r="AS99" s="154"/>
      <c r="AT99" s="154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4"/>
      <c r="BH99" s="154"/>
      <c r="BI99" s="154"/>
      <c r="BJ99" s="163"/>
      <c r="BK99" s="163"/>
      <c r="BL99" s="163"/>
      <c r="BO99" s="154"/>
      <c r="BP99" s="154"/>
      <c r="BQ99" s="154"/>
      <c r="BR99" s="154"/>
      <c r="BS99" s="154"/>
      <c r="BT99" s="154"/>
      <c r="BU99" s="154"/>
      <c r="BV99" s="154"/>
      <c r="BW99" s="154"/>
      <c r="BX99" s="154"/>
      <c r="BY99" s="154"/>
      <c r="BZ99" s="154"/>
      <c r="CA99" s="154"/>
      <c r="CB99" s="154"/>
      <c r="CC99" s="154"/>
      <c r="CD99" s="154"/>
      <c r="CE99" s="154"/>
      <c r="CF99" s="154"/>
      <c r="CG99" s="154"/>
      <c r="CH99" s="154"/>
      <c r="CI99" s="154"/>
      <c r="CJ99" s="154"/>
    </row>
    <row r="100" spans="1:88" ht="15.75" customHeight="1">
      <c r="A100" s="154"/>
      <c r="B100" s="155"/>
      <c r="C100" s="156"/>
      <c r="D100" s="154"/>
      <c r="E100" s="154"/>
      <c r="F100" s="154"/>
      <c r="G100" s="154"/>
      <c r="H100" s="154"/>
      <c r="I100" s="154"/>
      <c r="J100" s="154"/>
      <c r="K100" s="154"/>
      <c r="L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G100" s="154"/>
      <c r="AH100" s="154"/>
      <c r="AI100" s="154"/>
      <c r="AJ100" s="154"/>
      <c r="AK100" s="154"/>
      <c r="AL100" s="154"/>
      <c r="AM100" s="154"/>
      <c r="AN100" s="154"/>
      <c r="AO100" s="156"/>
      <c r="AP100" s="154"/>
      <c r="AQ100" s="156"/>
      <c r="AR100" s="154"/>
      <c r="AS100" s="154"/>
      <c r="AT100" s="154"/>
      <c r="AU100" s="154"/>
      <c r="AV100" s="154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4"/>
      <c r="BH100" s="154"/>
      <c r="BI100" s="154"/>
      <c r="BJ100" s="163"/>
      <c r="BK100" s="163"/>
      <c r="BL100" s="163"/>
      <c r="BO100" s="154"/>
      <c r="BP100" s="154"/>
      <c r="BQ100" s="154"/>
      <c r="BR100" s="154"/>
      <c r="BS100" s="154"/>
      <c r="BT100" s="154"/>
      <c r="BU100" s="154"/>
      <c r="BV100" s="154"/>
      <c r="BW100" s="154"/>
      <c r="BX100" s="154"/>
      <c r="BY100" s="154"/>
      <c r="BZ100" s="154"/>
      <c r="CA100" s="154"/>
      <c r="CB100" s="154"/>
      <c r="CC100" s="154"/>
      <c r="CD100" s="154"/>
      <c r="CE100" s="154"/>
      <c r="CF100" s="154"/>
      <c r="CG100" s="154"/>
      <c r="CH100" s="154"/>
      <c r="CI100" s="154"/>
      <c r="CJ100" s="154"/>
    </row>
    <row r="101" spans="1:88" ht="15.75" customHeight="1">
      <c r="A101" s="154"/>
      <c r="B101" s="155"/>
      <c r="C101" s="156"/>
      <c r="D101" s="154"/>
      <c r="E101" s="154"/>
      <c r="F101" s="154"/>
      <c r="G101" s="154"/>
      <c r="H101" s="154"/>
      <c r="I101" s="154"/>
      <c r="J101" s="154"/>
      <c r="K101" s="154"/>
      <c r="L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G101" s="154"/>
      <c r="AH101" s="154"/>
      <c r="AI101" s="154"/>
      <c r="AJ101" s="154"/>
      <c r="AK101" s="154"/>
      <c r="AL101" s="154"/>
      <c r="AM101" s="154"/>
      <c r="AN101" s="154"/>
      <c r="AO101" s="156"/>
      <c r="AP101" s="154"/>
      <c r="AQ101" s="156"/>
      <c r="AR101" s="154"/>
      <c r="AS101" s="154"/>
      <c r="AT101" s="154"/>
      <c r="AU101" s="154"/>
      <c r="AV101" s="154"/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63"/>
      <c r="BK101" s="163"/>
      <c r="BL101" s="163"/>
      <c r="BO101" s="154"/>
      <c r="BP101" s="154"/>
      <c r="BQ101" s="154"/>
      <c r="BR101" s="154"/>
      <c r="BS101" s="154"/>
      <c r="BT101" s="154"/>
      <c r="BU101" s="154"/>
      <c r="BV101" s="154"/>
      <c r="BW101" s="154"/>
      <c r="BX101" s="154"/>
      <c r="BY101" s="154"/>
      <c r="BZ101" s="154"/>
      <c r="CA101" s="154"/>
      <c r="CB101" s="154"/>
      <c r="CC101" s="154"/>
      <c r="CD101" s="154"/>
      <c r="CE101" s="154"/>
      <c r="CF101" s="154"/>
      <c r="CG101" s="154"/>
      <c r="CH101" s="154"/>
      <c r="CI101" s="154"/>
      <c r="CJ101" s="154"/>
    </row>
    <row r="102" spans="1:88" ht="15.75" customHeight="1">
      <c r="A102" s="154"/>
      <c r="B102" s="155"/>
      <c r="C102" s="156"/>
      <c r="D102" s="154"/>
      <c r="E102" s="154"/>
      <c r="F102" s="154"/>
      <c r="G102" s="154"/>
      <c r="H102" s="154"/>
      <c r="I102" s="154"/>
      <c r="J102" s="154"/>
      <c r="K102" s="154"/>
      <c r="L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G102" s="154"/>
      <c r="AH102" s="154"/>
      <c r="AI102" s="154"/>
      <c r="AJ102" s="154"/>
      <c r="AK102" s="154"/>
      <c r="AL102" s="154"/>
      <c r="AM102" s="154"/>
      <c r="AN102" s="154"/>
      <c r="AO102" s="156"/>
      <c r="AP102" s="154"/>
      <c r="AQ102" s="156"/>
      <c r="AR102" s="154"/>
      <c r="AS102" s="154"/>
      <c r="AT102" s="154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4"/>
      <c r="BE102" s="154"/>
      <c r="BF102" s="154"/>
      <c r="BG102" s="154"/>
      <c r="BH102" s="154"/>
      <c r="BI102" s="154"/>
      <c r="BJ102" s="163"/>
      <c r="BK102" s="163"/>
      <c r="BL102" s="163"/>
      <c r="BO102" s="154"/>
      <c r="BP102" s="154"/>
      <c r="BQ102" s="154"/>
      <c r="BR102" s="154"/>
      <c r="BS102" s="154"/>
      <c r="BT102" s="154"/>
      <c r="BU102" s="154"/>
      <c r="BV102" s="154"/>
      <c r="BW102" s="154"/>
      <c r="BX102" s="154"/>
      <c r="BY102" s="154"/>
      <c r="BZ102" s="154"/>
      <c r="CA102" s="154"/>
      <c r="CB102" s="154"/>
      <c r="CC102" s="154"/>
      <c r="CD102" s="154"/>
      <c r="CE102" s="154"/>
      <c r="CF102" s="154"/>
      <c r="CG102" s="154"/>
      <c r="CH102" s="154"/>
      <c r="CI102" s="154"/>
      <c r="CJ102" s="154"/>
    </row>
    <row r="103" spans="1:88" ht="15.75" customHeight="1">
      <c r="A103" s="154"/>
      <c r="B103" s="155"/>
      <c r="C103" s="156"/>
      <c r="D103" s="154"/>
      <c r="E103" s="154"/>
      <c r="F103" s="154"/>
      <c r="G103" s="154"/>
      <c r="H103" s="154"/>
      <c r="I103" s="154"/>
      <c r="J103" s="154"/>
      <c r="K103" s="154"/>
      <c r="L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G103" s="154"/>
      <c r="AH103" s="154"/>
      <c r="AI103" s="154"/>
      <c r="AJ103" s="154"/>
      <c r="AK103" s="154"/>
      <c r="AL103" s="154"/>
      <c r="AM103" s="154"/>
      <c r="AN103" s="154"/>
      <c r="AO103" s="156"/>
      <c r="AP103" s="154"/>
      <c r="AQ103" s="156"/>
      <c r="AR103" s="154"/>
      <c r="AS103" s="154"/>
      <c r="AT103" s="154"/>
      <c r="AU103" s="154"/>
      <c r="AV103" s="154"/>
      <c r="AW103" s="154"/>
      <c r="AX103" s="154"/>
      <c r="AY103" s="154"/>
      <c r="AZ103" s="154"/>
      <c r="BA103" s="154"/>
      <c r="BB103" s="154"/>
      <c r="BC103" s="154"/>
      <c r="BD103" s="154"/>
      <c r="BE103" s="154"/>
      <c r="BF103" s="154"/>
      <c r="BG103" s="154"/>
      <c r="BH103" s="154"/>
      <c r="BI103" s="154"/>
      <c r="BJ103" s="163"/>
      <c r="BK103" s="163"/>
      <c r="BL103" s="163"/>
      <c r="BO103" s="154"/>
      <c r="BP103" s="154"/>
      <c r="BQ103" s="154"/>
      <c r="BR103" s="154"/>
      <c r="BS103" s="154"/>
      <c r="BT103" s="154"/>
      <c r="BU103" s="154"/>
      <c r="BV103" s="154"/>
      <c r="BW103" s="154"/>
      <c r="BX103" s="154"/>
      <c r="BY103" s="154"/>
      <c r="BZ103" s="154"/>
      <c r="CA103" s="154"/>
      <c r="CB103" s="154"/>
      <c r="CC103" s="154"/>
      <c r="CD103" s="154"/>
      <c r="CE103" s="154"/>
      <c r="CF103" s="154"/>
      <c r="CG103" s="154"/>
      <c r="CH103" s="154"/>
      <c r="CI103" s="154"/>
      <c r="CJ103" s="154"/>
    </row>
    <row r="104" spans="1:88" ht="15.75" customHeight="1">
      <c r="A104" s="154"/>
      <c r="B104" s="155"/>
      <c r="C104" s="156"/>
      <c r="D104" s="154"/>
      <c r="E104" s="154"/>
      <c r="F104" s="154"/>
      <c r="G104" s="154"/>
      <c r="H104" s="154"/>
      <c r="I104" s="154"/>
      <c r="J104" s="154"/>
      <c r="K104" s="154"/>
      <c r="L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G104" s="154"/>
      <c r="AH104" s="154"/>
      <c r="AI104" s="154"/>
      <c r="AJ104" s="154"/>
      <c r="AK104" s="154"/>
      <c r="AL104" s="154"/>
      <c r="AM104" s="154"/>
      <c r="AN104" s="154"/>
      <c r="AO104" s="156"/>
      <c r="AP104" s="154"/>
      <c r="AQ104" s="156"/>
      <c r="AR104" s="154"/>
      <c r="AS104" s="154"/>
      <c r="AT104" s="154"/>
      <c r="AU104" s="154"/>
      <c r="AV104" s="154"/>
      <c r="AW104" s="154"/>
      <c r="AX104" s="154"/>
      <c r="AY104" s="154"/>
      <c r="AZ104" s="154"/>
      <c r="BA104" s="154"/>
      <c r="BB104" s="154"/>
      <c r="BC104" s="154"/>
      <c r="BD104" s="154"/>
      <c r="BE104" s="154"/>
      <c r="BF104" s="154"/>
      <c r="BG104" s="154"/>
      <c r="BH104" s="154"/>
      <c r="BI104" s="154"/>
      <c r="BJ104" s="163"/>
      <c r="BK104" s="163"/>
      <c r="BL104" s="163"/>
      <c r="BO104" s="154"/>
      <c r="BP104" s="154"/>
      <c r="BQ104" s="154"/>
      <c r="BR104" s="154"/>
      <c r="BS104" s="154"/>
      <c r="BT104" s="154"/>
      <c r="BU104" s="154"/>
      <c r="BV104" s="154"/>
      <c r="BW104" s="154"/>
      <c r="BX104" s="154"/>
      <c r="BY104" s="154"/>
      <c r="BZ104" s="154"/>
      <c r="CA104" s="154"/>
      <c r="CB104" s="154"/>
      <c r="CC104" s="154"/>
      <c r="CD104" s="154"/>
      <c r="CE104" s="154"/>
      <c r="CF104" s="154"/>
      <c r="CG104" s="154"/>
      <c r="CH104" s="154"/>
      <c r="CI104" s="154"/>
      <c r="CJ104" s="154"/>
    </row>
    <row r="105" spans="1:88" ht="15.75" customHeight="1">
      <c r="A105" s="154"/>
      <c r="B105" s="155"/>
      <c r="C105" s="156"/>
      <c r="D105" s="154"/>
      <c r="E105" s="154"/>
      <c r="F105" s="154"/>
      <c r="G105" s="154"/>
      <c r="H105" s="154"/>
      <c r="I105" s="154"/>
      <c r="J105" s="154"/>
      <c r="K105" s="154"/>
      <c r="L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G105" s="154"/>
      <c r="AH105" s="154"/>
      <c r="AI105" s="154"/>
      <c r="AJ105" s="154"/>
      <c r="AK105" s="154"/>
      <c r="AL105" s="154"/>
      <c r="AM105" s="154"/>
      <c r="AN105" s="154"/>
      <c r="AO105" s="156"/>
      <c r="AP105" s="154"/>
      <c r="AQ105" s="156"/>
      <c r="AR105" s="154"/>
      <c r="AS105" s="154"/>
      <c r="AT105" s="154"/>
      <c r="AU105" s="154"/>
      <c r="AV105" s="154"/>
      <c r="AW105" s="154"/>
      <c r="AX105" s="154"/>
      <c r="AY105" s="154"/>
      <c r="AZ105" s="154"/>
      <c r="BA105" s="154"/>
      <c r="BB105" s="154"/>
      <c r="BC105" s="154"/>
      <c r="BD105" s="154"/>
      <c r="BE105" s="154"/>
      <c r="BF105" s="154"/>
      <c r="BG105" s="154"/>
      <c r="BH105" s="154"/>
      <c r="BI105" s="154"/>
      <c r="BJ105" s="163"/>
      <c r="BK105" s="163"/>
      <c r="BL105" s="163"/>
      <c r="BO105" s="154"/>
      <c r="BP105" s="154"/>
      <c r="BQ105" s="154"/>
      <c r="BR105" s="154"/>
      <c r="BS105" s="154"/>
      <c r="BT105" s="154"/>
      <c r="BU105" s="154"/>
      <c r="BV105" s="154"/>
      <c r="BW105" s="154"/>
      <c r="BX105" s="154"/>
      <c r="BY105" s="154"/>
      <c r="BZ105" s="154"/>
      <c r="CA105" s="154"/>
      <c r="CB105" s="154"/>
      <c r="CC105" s="154"/>
      <c r="CD105" s="154"/>
      <c r="CE105" s="154"/>
      <c r="CF105" s="154"/>
      <c r="CG105" s="154"/>
      <c r="CH105" s="154"/>
      <c r="CI105" s="154"/>
      <c r="CJ105" s="154"/>
    </row>
    <row r="106" spans="1:88" ht="15.75" customHeight="1">
      <c r="A106" s="154"/>
      <c r="B106" s="155"/>
      <c r="C106" s="156"/>
      <c r="D106" s="154"/>
      <c r="E106" s="154"/>
      <c r="F106" s="154"/>
      <c r="G106" s="154"/>
      <c r="H106" s="154"/>
      <c r="I106" s="154"/>
      <c r="J106" s="154"/>
      <c r="K106" s="154"/>
      <c r="L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G106" s="154"/>
      <c r="AH106" s="154"/>
      <c r="AI106" s="154"/>
      <c r="AJ106" s="154"/>
      <c r="AK106" s="154"/>
      <c r="AL106" s="154"/>
      <c r="AM106" s="154"/>
      <c r="AN106" s="154"/>
      <c r="AO106" s="156"/>
      <c r="AP106" s="154"/>
      <c r="AQ106" s="156"/>
      <c r="AR106" s="154"/>
      <c r="AS106" s="154"/>
      <c r="AT106" s="154"/>
      <c r="AU106" s="154"/>
      <c r="AV106" s="154"/>
      <c r="AW106" s="154"/>
      <c r="AX106" s="154"/>
      <c r="AY106" s="154"/>
      <c r="AZ106" s="154"/>
      <c r="BA106" s="154"/>
      <c r="BB106" s="154"/>
      <c r="BC106" s="154"/>
      <c r="BD106" s="154"/>
      <c r="BE106" s="154"/>
      <c r="BF106" s="154"/>
      <c r="BG106" s="154"/>
      <c r="BH106" s="154"/>
      <c r="BI106" s="154"/>
      <c r="BJ106" s="163"/>
      <c r="BK106" s="163"/>
      <c r="BL106" s="163"/>
      <c r="BO106" s="154"/>
      <c r="BP106" s="154"/>
      <c r="BQ106" s="154"/>
      <c r="BR106" s="154"/>
      <c r="BS106" s="154"/>
      <c r="BT106" s="154"/>
      <c r="BU106" s="154"/>
      <c r="BV106" s="154"/>
      <c r="BW106" s="154"/>
      <c r="BX106" s="154"/>
      <c r="BY106" s="154"/>
      <c r="BZ106" s="154"/>
      <c r="CA106" s="154"/>
      <c r="CB106" s="154"/>
      <c r="CC106" s="154"/>
      <c r="CD106" s="154"/>
      <c r="CE106" s="154"/>
      <c r="CF106" s="154"/>
      <c r="CG106" s="154"/>
      <c r="CH106" s="154"/>
      <c r="CI106" s="154"/>
      <c r="CJ106" s="154"/>
    </row>
    <row r="107" spans="1:88" ht="15.75" customHeight="1">
      <c r="A107" s="154"/>
      <c r="B107" s="155"/>
      <c r="C107" s="156"/>
      <c r="D107" s="154"/>
      <c r="E107" s="154"/>
      <c r="F107" s="154"/>
      <c r="G107" s="154"/>
      <c r="H107" s="154"/>
      <c r="I107" s="154"/>
      <c r="J107" s="154"/>
      <c r="K107" s="154"/>
      <c r="L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G107" s="154"/>
      <c r="AH107" s="154"/>
      <c r="AI107" s="154"/>
      <c r="AJ107" s="154"/>
      <c r="AK107" s="154"/>
      <c r="AL107" s="154"/>
      <c r="AM107" s="154"/>
      <c r="AN107" s="154"/>
      <c r="AO107" s="156"/>
      <c r="AP107" s="154"/>
      <c r="AQ107" s="156"/>
      <c r="AR107" s="154"/>
      <c r="AS107" s="154"/>
      <c r="AT107" s="154"/>
      <c r="AU107" s="154"/>
      <c r="AV107" s="154"/>
      <c r="AW107" s="154"/>
      <c r="AX107" s="154"/>
      <c r="AY107" s="154"/>
      <c r="AZ107" s="154"/>
      <c r="BA107" s="154"/>
      <c r="BB107" s="154"/>
      <c r="BC107" s="154"/>
      <c r="BD107" s="154"/>
      <c r="BE107" s="154"/>
      <c r="BF107" s="154"/>
      <c r="BG107" s="154"/>
      <c r="BH107" s="154"/>
      <c r="BI107" s="154"/>
      <c r="BJ107" s="163"/>
      <c r="BK107" s="163"/>
      <c r="BL107" s="163"/>
      <c r="BO107" s="154"/>
      <c r="BP107" s="154"/>
      <c r="BQ107" s="154"/>
      <c r="BR107" s="154"/>
      <c r="BS107" s="154"/>
      <c r="BT107" s="154"/>
      <c r="BU107" s="154"/>
      <c r="BV107" s="154"/>
      <c r="BW107" s="154"/>
      <c r="BX107" s="154"/>
      <c r="BY107" s="154"/>
      <c r="BZ107" s="154"/>
      <c r="CA107" s="154"/>
      <c r="CB107" s="154"/>
      <c r="CC107" s="154"/>
      <c r="CD107" s="154"/>
      <c r="CE107" s="154"/>
      <c r="CF107" s="154"/>
      <c r="CG107" s="154"/>
      <c r="CH107" s="154"/>
      <c r="CI107" s="154"/>
      <c r="CJ107" s="154"/>
    </row>
    <row r="108" spans="1:88" ht="15.75" customHeight="1">
      <c r="A108" s="154"/>
      <c r="B108" s="155"/>
      <c r="C108" s="156"/>
      <c r="D108" s="154"/>
      <c r="E108" s="154"/>
      <c r="F108" s="154"/>
      <c r="G108" s="154"/>
      <c r="H108" s="154"/>
      <c r="I108" s="154"/>
      <c r="J108" s="154"/>
      <c r="K108" s="154"/>
      <c r="L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G108" s="154"/>
      <c r="AH108" s="154"/>
      <c r="AI108" s="154"/>
      <c r="AJ108" s="154"/>
      <c r="AK108" s="154"/>
      <c r="AL108" s="154"/>
      <c r="AM108" s="154"/>
      <c r="AN108" s="154"/>
      <c r="AO108" s="156"/>
      <c r="AP108" s="154"/>
      <c r="AQ108" s="156"/>
      <c r="AR108" s="154"/>
      <c r="AS108" s="154"/>
      <c r="AT108" s="154"/>
      <c r="AU108" s="154"/>
      <c r="AV108" s="154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63"/>
      <c r="BK108" s="163"/>
      <c r="BL108" s="163"/>
      <c r="BO108" s="154"/>
      <c r="BP108" s="154"/>
      <c r="BQ108" s="154"/>
      <c r="BR108" s="154"/>
      <c r="BS108" s="154"/>
      <c r="BT108" s="154"/>
      <c r="BU108" s="154"/>
      <c r="BV108" s="154"/>
      <c r="BW108" s="154"/>
      <c r="BX108" s="154"/>
      <c r="BY108" s="154"/>
      <c r="BZ108" s="154"/>
      <c r="CA108" s="154"/>
      <c r="CB108" s="154"/>
      <c r="CC108" s="154"/>
      <c r="CD108" s="154"/>
      <c r="CE108" s="154"/>
      <c r="CF108" s="154"/>
      <c r="CG108" s="154"/>
      <c r="CH108" s="154"/>
      <c r="CI108" s="154"/>
      <c r="CJ108" s="154"/>
    </row>
    <row r="109" spans="1:88" ht="15.75" customHeight="1">
      <c r="A109" s="154"/>
      <c r="B109" s="155"/>
      <c r="C109" s="156"/>
      <c r="D109" s="154"/>
      <c r="E109" s="154"/>
      <c r="F109" s="154"/>
      <c r="G109" s="154"/>
      <c r="H109" s="154"/>
      <c r="I109" s="154"/>
      <c r="J109" s="154"/>
      <c r="K109" s="154"/>
      <c r="L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G109" s="154"/>
      <c r="AH109" s="154"/>
      <c r="AI109" s="154"/>
      <c r="AJ109" s="154"/>
      <c r="AK109" s="154"/>
      <c r="AL109" s="154"/>
      <c r="AM109" s="154"/>
      <c r="AN109" s="154"/>
      <c r="AO109" s="156"/>
      <c r="AP109" s="154"/>
      <c r="AQ109" s="156"/>
      <c r="AR109" s="154"/>
      <c r="AS109" s="154"/>
      <c r="AT109" s="154"/>
      <c r="AU109" s="154"/>
      <c r="AV109" s="154"/>
      <c r="AW109" s="154"/>
      <c r="AX109" s="154"/>
      <c r="AY109" s="154"/>
      <c r="AZ109" s="154"/>
      <c r="BA109" s="154"/>
      <c r="BB109" s="154"/>
      <c r="BC109" s="154"/>
      <c r="BD109" s="154"/>
      <c r="BE109" s="154"/>
      <c r="BF109" s="154"/>
      <c r="BG109" s="154"/>
      <c r="BH109" s="154"/>
      <c r="BI109" s="154"/>
      <c r="BJ109" s="163"/>
      <c r="BK109" s="163"/>
      <c r="BL109" s="163"/>
      <c r="BO109" s="154"/>
      <c r="BP109" s="154"/>
      <c r="BQ109" s="154"/>
      <c r="BR109" s="154"/>
      <c r="BS109" s="154"/>
      <c r="BT109" s="154"/>
      <c r="BU109" s="154"/>
      <c r="BV109" s="154"/>
      <c r="BW109" s="154"/>
      <c r="BX109" s="154"/>
      <c r="BY109" s="154"/>
      <c r="BZ109" s="154"/>
      <c r="CA109" s="154"/>
      <c r="CB109" s="154"/>
      <c r="CC109" s="154"/>
      <c r="CD109" s="154"/>
      <c r="CE109" s="154"/>
      <c r="CF109" s="154"/>
      <c r="CG109" s="154"/>
      <c r="CH109" s="154"/>
      <c r="CI109" s="154"/>
      <c r="CJ109" s="154"/>
    </row>
    <row r="110" spans="1:88" ht="15.75" customHeight="1">
      <c r="A110" s="154"/>
      <c r="B110" s="155"/>
      <c r="C110" s="156"/>
      <c r="D110" s="154"/>
      <c r="E110" s="154"/>
      <c r="F110" s="154"/>
      <c r="G110" s="154"/>
      <c r="H110" s="154"/>
      <c r="I110" s="154"/>
      <c r="J110" s="154"/>
      <c r="K110" s="154"/>
      <c r="L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G110" s="154"/>
      <c r="AH110" s="154"/>
      <c r="AI110" s="154"/>
      <c r="AJ110" s="154"/>
      <c r="AK110" s="154"/>
      <c r="AL110" s="154"/>
      <c r="AM110" s="154"/>
      <c r="AN110" s="154"/>
      <c r="AO110" s="156"/>
      <c r="AP110" s="154"/>
      <c r="AQ110" s="156"/>
      <c r="AR110" s="154"/>
      <c r="AS110" s="154"/>
      <c r="AT110" s="154"/>
      <c r="AU110" s="154"/>
      <c r="AV110" s="154"/>
      <c r="AW110" s="154"/>
      <c r="AX110" s="154"/>
      <c r="AY110" s="154"/>
      <c r="AZ110" s="154"/>
      <c r="BA110" s="154"/>
      <c r="BB110" s="154"/>
      <c r="BC110" s="154"/>
      <c r="BD110" s="154"/>
      <c r="BE110" s="154"/>
      <c r="BF110" s="154"/>
      <c r="BG110" s="154"/>
      <c r="BH110" s="154"/>
      <c r="BI110" s="154"/>
      <c r="BJ110" s="163"/>
      <c r="BK110" s="163"/>
      <c r="BL110" s="163"/>
      <c r="BO110" s="154"/>
      <c r="BP110" s="154"/>
      <c r="BQ110" s="154"/>
      <c r="BR110" s="154"/>
      <c r="BS110" s="154"/>
      <c r="BT110" s="154"/>
      <c r="BU110" s="154"/>
      <c r="BV110" s="154"/>
      <c r="BW110" s="154"/>
      <c r="BX110" s="154"/>
      <c r="BY110" s="154"/>
      <c r="BZ110" s="154"/>
      <c r="CA110" s="154"/>
      <c r="CB110" s="154"/>
      <c r="CC110" s="154"/>
      <c r="CD110" s="154"/>
      <c r="CE110" s="154"/>
      <c r="CF110" s="154"/>
      <c r="CG110" s="154"/>
      <c r="CH110" s="154"/>
      <c r="CI110" s="154"/>
      <c r="CJ110" s="154"/>
    </row>
    <row r="111" spans="1:88" ht="15.75" customHeight="1">
      <c r="A111" s="154"/>
      <c r="B111" s="155"/>
      <c r="C111" s="156"/>
      <c r="D111" s="154"/>
      <c r="E111" s="154"/>
      <c r="F111" s="154"/>
      <c r="G111" s="154"/>
      <c r="H111" s="154"/>
      <c r="I111" s="154"/>
      <c r="J111" s="154"/>
      <c r="K111" s="154"/>
      <c r="L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G111" s="154"/>
      <c r="AH111" s="154"/>
      <c r="AI111" s="154"/>
      <c r="AJ111" s="154"/>
      <c r="AK111" s="154"/>
      <c r="AL111" s="154"/>
      <c r="AM111" s="154"/>
      <c r="AN111" s="154"/>
      <c r="AO111" s="156"/>
      <c r="AP111" s="154"/>
      <c r="AQ111" s="156"/>
      <c r="AR111" s="154"/>
      <c r="AS111" s="154"/>
      <c r="AT111" s="154"/>
      <c r="AU111" s="154"/>
      <c r="AV111" s="154"/>
      <c r="AW111" s="154"/>
      <c r="AX111" s="154"/>
      <c r="AY111" s="154"/>
      <c r="AZ111" s="154"/>
      <c r="BA111" s="154"/>
      <c r="BB111" s="154"/>
      <c r="BC111" s="154"/>
      <c r="BD111" s="154"/>
      <c r="BE111" s="154"/>
      <c r="BF111" s="154"/>
      <c r="BG111" s="154"/>
      <c r="BH111" s="154"/>
      <c r="BI111" s="154"/>
      <c r="BJ111" s="163"/>
      <c r="BK111" s="163"/>
      <c r="BL111" s="163"/>
      <c r="BO111" s="154"/>
      <c r="BP111" s="154"/>
      <c r="BQ111" s="154"/>
      <c r="BR111" s="154"/>
      <c r="BS111" s="154"/>
      <c r="BT111" s="154"/>
      <c r="BU111" s="154"/>
      <c r="BV111" s="154"/>
      <c r="BW111" s="154"/>
      <c r="BX111" s="154"/>
      <c r="BY111" s="154"/>
      <c r="BZ111" s="154"/>
      <c r="CA111" s="154"/>
      <c r="CB111" s="154"/>
      <c r="CC111" s="154"/>
      <c r="CD111" s="154"/>
      <c r="CE111" s="154"/>
      <c r="CF111" s="154"/>
      <c r="CG111" s="154"/>
      <c r="CH111" s="154"/>
      <c r="CI111" s="154"/>
      <c r="CJ111" s="154"/>
    </row>
    <row r="112" spans="1:88" ht="15.75" customHeight="1">
      <c r="A112" s="154"/>
      <c r="B112" s="155"/>
      <c r="C112" s="156"/>
      <c r="D112" s="154"/>
      <c r="E112" s="154"/>
      <c r="F112" s="154"/>
      <c r="G112" s="154"/>
      <c r="H112" s="154"/>
      <c r="I112" s="154"/>
      <c r="J112" s="154"/>
      <c r="K112" s="154"/>
      <c r="L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G112" s="154"/>
      <c r="AH112" s="154"/>
      <c r="AI112" s="154"/>
      <c r="AJ112" s="154"/>
      <c r="AK112" s="154"/>
      <c r="AL112" s="154"/>
      <c r="AM112" s="154"/>
      <c r="AN112" s="154"/>
      <c r="AO112" s="156"/>
      <c r="AP112" s="154"/>
      <c r="AQ112" s="156"/>
      <c r="AR112" s="154"/>
      <c r="AS112" s="154"/>
      <c r="AT112" s="154"/>
      <c r="AU112" s="154"/>
      <c r="AV112" s="154"/>
      <c r="AW112" s="154"/>
      <c r="AX112" s="154"/>
      <c r="AY112" s="154"/>
      <c r="AZ112" s="154"/>
      <c r="BA112" s="154"/>
      <c r="BB112" s="154"/>
      <c r="BC112" s="154"/>
      <c r="BD112" s="154"/>
      <c r="BE112" s="154"/>
      <c r="BF112" s="154"/>
      <c r="BG112" s="154"/>
      <c r="BH112" s="154"/>
      <c r="BI112" s="154"/>
      <c r="BJ112" s="163"/>
      <c r="BK112" s="163"/>
      <c r="BL112" s="163"/>
      <c r="BO112" s="154"/>
      <c r="BP112" s="154"/>
      <c r="BQ112" s="154"/>
      <c r="BR112" s="154"/>
      <c r="BS112" s="154"/>
      <c r="BT112" s="154"/>
      <c r="BU112" s="154"/>
      <c r="BV112" s="154"/>
      <c r="BW112" s="154"/>
      <c r="BX112" s="154"/>
      <c r="BY112" s="154"/>
      <c r="BZ112" s="154"/>
      <c r="CA112" s="154"/>
      <c r="CB112" s="154"/>
      <c r="CC112" s="154"/>
      <c r="CD112" s="154"/>
      <c r="CE112" s="154"/>
      <c r="CF112" s="154"/>
      <c r="CG112" s="154"/>
      <c r="CH112" s="154"/>
      <c r="CI112" s="154"/>
      <c r="CJ112" s="154"/>
    </row>
    <row r="113" spans="1:88" ht="15.75" customHeight="1">
      <c r="A113" s="154"/>
      <c r="B113" s="155"/>
      <c r="C113" s="156"/>
      <c r="D113" s="154"/>
      <c r="E113" s="154"/>
      <c r="F113" s="154"/>
      <c r="G113" s="154"/>
      <c r="H113" s="154"/>
      <c r="I113" s="154"/>
      <c r="J113" s="154"/>
      <c r="K113" s="154"/>
      <c r="L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G113" s="154"/>
      <c r="AH113" s="154"/>
      <c r="AI113" s="154"/>
      <c r="AJ113" s="154"/>
      <c r="AK113" s="154"/>
      <c r="AL113" s="154"/>
      <c r="AM113" s="154"/>
      <c r="AN113" s="154"/>
      <c r="AO113" s="156"/>
      <c r="AP113" s="154"/>
      <c r="AQ113" s="156"/>
      <c r="AR113" s="154"/>
      <c r="AS113" s="154"/>
      <c r="AT113" s="154"/>
      <c r="AU113" s="154"/>
      <c r="AV113" s="154"/>
      <c r="AW113" s="154"/>
      <c r="AX113" s="154"/>
      <c r="AY113" s="154"/>
      <c r="AZ113" s="154"/>
      <c r="BA113" s="154"/>
      <c r="BB113" s="154"/>
      <c r="BC113" s="154"/>
      <c r="BD113" s="154"/>
      <c r="BE113" s="154"/>
      <c r="BF113" s="154"/>
      <c r="BG113" s="154"/>
      <c r="BH113" s="154"/>
      <c r="BI113" s="154"/>
      <c r="BJ113" s="163"/>
      <c r="BK113" s="163"/>
      <c r="BL113" s="163"/>
      <c r="BO113" s="154"/>
      <c r="BP113" s="154"/>
      <c r="BQ113" s="154"/>
      <c r="BR113" s="154"/>
      <c r="BS113" s="154"/>
      <c r="BT113" s="154"/>
      <c r="BU113" s="154"/>
      <c r="BV113" s="154"/>
      <c r="BW113" s="154"/>
      <c r="BX113" s="154"/>
      <c r="BY113" s="154"/>
      <c r="BZ113" s="154"/>
      <c r="CA113" s="154"/>
      <c r="CB113" s="154"/>
      <c r="CC113" s="154"/>
      <c r="CD113" s="154"/>
      <c r="CE113" s="154"/>
      <c r="CF113" s="154"/>
      <c r="CG113" s="154"/>
      <c r="CH113" s="154"/>
      <c r="CI113" s="154"/>
      <c r="CJ113" s="154"/>
    </row>
    <row r="114" spans="1:88" ht="15.75" customHeight="1">
      <c r="A114" s="154"/>
      <c r="B114" s="155"/>
      <c r="C114" s="156"/>
      <c r="D114" s="154"/>
      <c r="E114" s="154"/>
      <c r="F114" s="154"/>
      <c r="G114" s="154"/>
      <c r="H114" s="154"/>
      <c r="I114" s="154"/>
      <c r="J114" s="154"/>
      <c r="K114" s="154"/>
      <c r="L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G114" s="154"/>
      <c r="AH114" s="154"/>
      <c r="AI114" s="154"/>
      <c r="AJ114" s="154"/>
      <c r="AK114" s="154"/>
      <c r="AL114" s="154"/>
      <c r="AM114" s="154"/>
      <c r="AN114" s="154"/>
      <c r="AO114" s="156"/>
      <c r="AP114" s="154"/>
      <c r="AQ114" s="156"/>
      <c r="AR114" s="154"/>
      <c r="AS114" s="154"/>
      <c r="AT114" s="154"/>
      <c r="AU114" s="154"/>
      <c r="AV114" s="154"/>
      <c r="AW114" s="154"/>
      <c r="AX114" s="154"/>
      <c r="AY114" s="154"/>
      <c r="AZ114" s="154"/>
      <c r="BA114" s="154"/>
      <c r="BB114" s="154"/>
      <c r="BC114" s="154"/>
      <c r="BD114" s="154"/>
      <c r="BE114" s="154"/>
      <c r="BF114" s="154"/>
      <c r="BG114" s="154"/>
      <c r="BH114" s="154"/>
      <c r="BI114" s="154"/>
      <c r="BJ114" s="163"/>
      <c r="BK114" s="163"/>
      <c r="BL114" s="163"/>
      <c r="BO114" s="154"/>
      <c r="BP114" s="154"/>
      <c r="BQ114" s="154"/>
      <c r="BR114" s="154"/>
      <c r="BS114" s="154"/>
      <c r="BT114" s="154"/>
      <c r="BU114" s="154"/>
      <c r="BV114" s="154"/>
      <c r="BW114" s="154"/>
      <c r="BX114" s="154"/>
      <c r="BY114" s="154"/>
      <c r="BZ114" s="154"/>
      <c r="CA114" s="154"/>
      <c r="CB114" s="154"/>
      <c r="CC114" s="154"/>
      <c r="CD114" s="154"/>
      <c r="CE114" s="154"/>
      <c r="CF114" s="154"/>
      <c r="CG114" s="154"/>
      <c r="CH114" s="154"/>
      <c r="CI114" s="154"/>
      <c r="CJ114" s="154"/>
    </row>
    <row r="115" spans="1:88" ht="15.75" customHeight="1">
      <c r="A115" s="154"/>
      <c r="B115" s="155"/>
      <c r="C115" s="156"/>
      <c r="D115" s="154"/>
      <c r="E115" s="154"/>
      <c r="F115" s="154"/>
      <c r="G115" s="154"/>
      <c r="H115" s="154"/>
      <c r="I115" s="154"/>
      <c r="J115" s="154"/>
      <c r="K115" s="154"/>
      <c r="L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G115" s="154"/>
      <c r="AH115" s="154"/>
      <c r="AI115" s="154"/>
      <c r="AJ115" s="154"/>
      <c r="AK115" s="154"/>
      <c r="AL115" s="154"/>
      <c r="AM115" s="154"/>
      <c r="AN115" s="154"/>
      <c r="AO115" s="156"/>
      <c r="AP115" s="154"/>
      <c r="AQ115" s="156"/>
      <c r="AR115" s="154"/>
      <c r="AS115" s="154"/>
      <c r="AT115" s="154"/>
      <c r="AU115" s="154"/>
      <c r="AV115" s="154"/>
      <c r="AW115" s="154"/>
      <c r="AX115" s="154"/>
      <c r="AY115" s="154"/>
      <c r="AZ115" s="154"/>
      <c r="BA115" s="154"/>
      <c r="BB115" s="154"/>
      <c r="BC115" s="154"/>
      <c r="BD115" s="154"/>
      <c r="BE115" s="154"/>
      <c r="BF115" s="154"/>
      <c r="BG115" s="154"/>
      <c r="BH115" s="154"/>
      <c r="BI115" s="154"/>
      <c r="BJ115" s="163"/>
      <c r="BK115" s="163"/>
      <c r="BL115" s="163"/>
      <c r="BO115" s="154"/>
      <c r="BP115" s="154"/>
      <c r="BQ115" s="154"/>
      <c r="BR115" s="154"/>
      <c r="BS115" s="154"/>
      <c r="BT115" s="154"/>
      <c r="BU115" s="154"/>
      <c r="BV115" s="154"/>
      <c r="BW115" s="154"/>
      <c r="BX115" s="154"/>
      <c r="BY115" s="154"/>
      <c r="BZ115" s="154"/>
      <c r="CA115" s="154"/>
      <c r="CB115" s="154"/>
      <c r="CC115" s="154"/>
      <c r="CD115" s="154"/>
      <c r="CE115" s="154"/>
      <c r="CF115" s="154"/>
      <c r="CG115" s="154"/>
      <c r="CH115" s="154"/>
      <c r="CI115" s="154"/>
      <c r="CJ115" s="154"/>
    </row>
    <row r="116" spans="1:88" ht="15.75" customHeight="1">
      <c r="A116" s="154"/>
      <c r="B116" s="155"/>
      <c r="C116" s="156"/>
      <c r="D116" s="154"/>
      <c r="E116" s="154"/>
      <c r="F116" s="154"/>
      <c r="G116" s="154"/>
      <c r="H116" s="154"/>
      <c r="I116" s="154"/>
      <c r="J116" s="154"/>
      <c r="K116" s="154"/>
      <c r="L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G116" s="154"/>
      <c r="AH116" s="154"/>
      <c r="AI116" s="154"/>
      <c r="AJ116" s="154"/>
      <c r="AK116" s="154"/>
      <c r="AL116" s="154"/>
      <c r="AM116" s="154"/>
      <c r="AN116" s="154"/>
      <c r="AO116" s="156"/>
      <c r="AP116" s="154"/>
      <c r="AQ116" s="156"/>
      <c r="AR116" s="154"/>
      <c r="AS116" s="154"/>
      <c r="AT116" s="154"/>
      <c r="AU116" s="154"/>
      <c r="AV116" s="154"/>
      <c r="AW116" s="154"/>
      <c r="AX116" s="154"/>
      <c r="AY116" s="154"/>
      <c r="AZ116" s="154"/>
      <c r="BA116" s="154"/>
      <c r="BB116" s="154"/>
      <c r="BC116" s="154"/>
      <c r="BD116" s="154"/>
      <c r="BE116" s="154"/>
      <c r="BF116" s="154"/>
      <c r="BG116" s="154"/>
      <c r="BH116" s="154"/>
      <c r="BI116" s="154"/>
      <c r="BJ116" s="163"/>
      <c r="BK116" s="163"/>
      <c r="BL116" s="163"/>
      <c r="BO116" s="154"/>
      <c r="BP116" s="154"/>
      <c r="BQ116" s="154"/>
      <c r="BR116" s="154"/>
      <c r="BS116" s="154"/>
      <c r="BT116" s="154"/>
      <c r="BU116" s="154"/>
      <c r="BV116" s="154"/>
      <c r="BW116" s="154"/>
      <c r="BX116" s="154"/>
      <c r="BY116" s="154"/>
      <c r="BZ116" s="154"/>
      <c r="CA116" s="154"/>
      <c r="CB116" s="154"/>
      <c r="CC116" s="154"/>
      <c r="CD116" s="154"/>
      <c r="CE116" s="154"/>
      <c r="CF116" s="154"/>
      <c r="CG116" s="154"/>
      <c r="CH116" s="154"/>
      <c r="CI116" s="154"/>
      <c r="CJ116" s="154"/>
    </row>
    <row r="117" spans="1:88" ht="15.75" customHeight="1">
      <c r="A117" s="154"/>
      <c r="B117" s="155"/>
      <c r="C117" s="156"/>
      <c r="D117" s="154"/>
      <c r="E117" s="154"/>
      <c r="F117" s="154"/>
      <c r="G117" s="154"/>
      <c r="H117" s="154"/>
      <c r="I117" s="154"/>
      <c r="J117" s="154"/>
      <c r="K117" s="154"/>
      <c r="L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G117" s="154"/>
      <c r="AH117" s="154"/>
      <c r="AI117" s="154"/>
      <c r="AJ117" s="154"/>
      <c r="AK117" s="154"/>
      <c r="AL117" s="154"/>
      <c r="AM117" s="154"/>
      <c r="AN117" s="154"/>
      <c r="AO117" s="156"/>
      <c r="AP117" s="154"/>
      <c r="AQ117" s="156"/>
      <c r="AR117" s="154"/>
      <c r="AS117" s="154"/>
      <c r="AT117" s="154"/>
      <c r="AU117" s="154"/>
      <c r="AV117" s="154"/>
      <c r="AW117" s="154"/>
      <c r="AX117" s="154"/>
      <c r="AY117" s="154"/>
      <c r="AZ117" s="154"/>
      <c r="BA117" s="154"/>
      <c r="BB117" s="154"/>
      <c r="BC117" s="154"/>
      <c r="BD117" s="154"/>
      <c r="BE117" s="154"/>
      <c r="BF117" s="154"/>
      <c r="BG117" s="154"/>
      <c r="BH117" s="154"/>
      <c r="BI117" s="154"/>
      <c r="BJ117" s="163"/>
      <c r="BK117" s="163"/>
      <c r="BL117" s="163"/>
      <c r="BO117" s="154"/>
      <c r="BP117" s="154"/>
      <c r="BQ117" s="154"/>
      <c r="BR117" s="154"/>
      <c r="BS117" s="154"/>
      <c r="BT117" s="154"/>
      <c r="BU117" s="154"/>
      <c r="BV117" s="154"/>
      <c r="BW117" s="154"/>
      <c r="BX117" s="154"/>
      <c r="BY117" s="154"/>
      <c r="BZ117" s="154"/>
      <c r="CA117" s="154"/>
      <c r="CB117" s="154"/>
      <c r="CC117" s="154"/>
      <c r="CD117" s="154"/>
      <c r="CE117" s="154"/>
      <c r="CF117" s="154"/>
      <c r="CG117" s="154"/>
      <c r="CH117" s="154"/>
      <c r="CI117" s="154"/>
      <c r="CJ117" s="154"/>
    </row>
    <row r="118" spans="1:88" ht="15.75" customHeight="1">
      <c r="A118" s="154"/>
      <c r="B118" s="155"/>
      <c r="C118" s="156"/>
      <c r="D118" s="154"/>
      <c r="E118" s="154"/>
      <c r="F118" s="154"/>
      <c r="G118" s="154"/>
      <c r="H118" s="154"/>
      <c r="I118" s="154"/>
      <c r="J118" s="154"/>
      <c r="K118" s="154"/>
      <c r="L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G118" s="154"/>
      <c r="AH118" s="154"/>
      <c r="AI118" s="154"/>
      <c r="AJ118" s="154"/>
      <c r="AK118" s="154"/>
      <c r="AL118" s="154"/>
      <c r="AM118" s="154"/>
      <c r="AN118" s="154"/>
      <c r="AO118" s="156"/>
      <c r="AP118" s="154"/>
      <c r="AQ118" s="156"/>
      <c r="AR118" s="154"/>
      <c r="AS118" s="154"/>
      <c r="AT118" s="154"/>
      <c r="AU118" s="154"/>
      <c r="AV118" s="154"/>
      <c r="AW118" s="154"/>
      <c r="AX118" s="154"/>
      <c r="AY118" s="154"/>
      <c r="AZ118" s="154"/>
      <c r="BA118" s="154"/>
      <c r="BB118" s="154"/>
      <c r="BC118" s="154"/>
      <c r="BD118" s="154"/>
      <c r="BE118" s="154"/>
      <c r="BF118" s="154"/>
      <c r="BG118" s="154"/>
      <c r="BH118" s="154"/>
      <c r="BI118" s="154"/>
      <c r="BJ118" s="163"/>
      <c r="BK118" s="163"/>
      <c r="BL118" s="163"/>
      <c r="BO118" s="154"/>
      <c r="BP118" s="154"/>
      <c r="BQ118" s="154"/>
      <c r="BR118" s="154"/>
      <c r="BS118" s="154"/>
      <c r="BT118" s="154"/>
      <c r="BU118" s="154"/>
      <c r="BV118" s="154"/>
      <c r="BW118" s="154"/>
      <c r="BX118" s="154"/>
      <c r="BY118" s="154"/>
      <c r="BZ118" s="154"/>
      <c r="CA118" s="154"/>
      <c r="CB118" s="154"/>
      <c r="CC118" s="154"/>
      <c r="CD118" s="154"/>
      <c r="CE118" s="154"/>
      <c r="CF118" s="154"/>
      <c r="CG118" s="154"/>
      <c r="CH118" s="154"/>
      <c r="CI118" s="154"/>
      <c r="CJ118" s="154"/>
    </row>
    <row r="119" spans="1:88" ht="15.75" customHeight="1">
      <c r="A119" s="154"/>
      <c r="B119" s="155"/>
      <c r="C119" s="156"/>
      <c r="D119" s="154"/>
      <c r="E119" s="154"/>
      <c r="F119" s="154"/>
      <c r="G119" s="154"/>
      <c r="H119" s="154"/>
      <c r="I119" s="154"/>
      <c r="J119" s="154"/>
      <c r="K119" s="154"/>
      <c r="L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G119" s="154"/>
      <c r="AH119" s="154"/>
      <c r="AI119" s="154"/>
      <c r="AJ119" s="154"/>
      <c r="AK119" s="154"/>
      <c r="AL119" s="154"/>
      <c r="AM119" s="154"/>
      <c r="AN119" s="154"/>
      <c r="AO119" s="156"/>
      <c r="AP119" s="154"/>
      <c r="AQ119" s="156"/>
      <c r="AR119" s="154"/>
      <c r="AS119" s="154"/>
      <c r="AT119" s="154"/>
      <c r="AU119" s="154"/>
      <c r="AV119" s="154"/>
      <c r="AW119" s="154"/>
      <c r="AX119" s="154"/>
      <c r="AY119" s="154"/>
      <c r="AZ119" s="154"/>
      <c r="BA119" s="154"/>
      <c r="BB119" s="154"/>
      <c r="BC119" s="154"/>
      <c r="BD119" s="154"/>
      <c r="BE119" s="154"/>
      <c r="BF119" s="154"/>
      <c r="BG119" s="154"/>
      <c r="BH119" s="154"/>
      <c r="BI119" s="154"/>
      <c r="BJ119" s="163"/>
      <c r="BK119" s="163"/>
      <c r="BL119" s="163"/>
      <c r="BO119" s="154"/>
      <c r="BP119" s="154"/>
      <c r="BQ119" s="154"/>
      <c r="BR119" s="154"/>
      <c r="BS119" s="154"/>
      <c r="BT119" s="154"/>
      <c r="BU119" s="154"/>
      <c r="BV119" s="154"/>
      <c r="BW119" s="154"/>
      <c r="BX119" s="154"/>
      <c r="BY119" s="154"/>
      <c r="BZ119" s="154"/>
      <c r="CA119" s="154"/>
      <c r="CB119" s="154"/>
      <c r="CC119" s="154"/>
      <c r="CD119" s="154"/>
      <c r="CE119" s="154"/>
      <c r="CF119" s="154"/>
      <c r="CG119" s="154"/>
      <c r="CH119" s="154"/>
      <c r="CI119" s="154"/>
      <c r="CJ119" s="154"/>
    </row>
    <row r="120" spans="1:88" ht="15.75" customHeight="1">
      <c r="A120" s="154"/>
      <c r="B120" s="155"/>
      <c r="C120" s="156"/>
      <c r="D120" s="154"/>
      <c r="E120" s="154"/>
      <c r="F120" s="154"/>
      <c r="G120" s="154"/>
      <c r="H120" s="154"/>
      <c r="I120" s="154"/>
      <c r="J120" s="154"/>
      <c r="K120" s="154"/>
      <c r="L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G120" s="154"/>
      <c r="AH120" s="154"/>
      <c r="AI120" s="154"/>
      <c r="AJ120" s="154"/>
      <c r="AK120" s="154"/>
      <c r="AL120" s="154"/>
      <c r="AM120" s="154"/>
      <c r="AN120" s="154"/>
      <c r="AO120" s="156"/>
      <c r="AP120" s="154"/>
      <c r="AQ120" s="156"/>
      <c r="AR120" s="154"/>
      <c r="AS120" s="154"/>
      <c r="AT120" s="154"/>
      <c r="AU120" s="154"/>
      <c r="AV120" s="154"/>
      <c r="AW120" s="154"/>
      <c r="AX120" s="154"/>
      <c r="AY120" s="154"/>
      <c r="AZ120" s="154"/>
      <c r="BA120" s="154"/>
      <c r="BB120" s="154"/>
      <c r="BC120" s="154"/>
      <c r="BD120" s="154"/>
      <c r="BE120" s="154"/>
      <c r="BF120" s="154"/>
      <c r="BG120" s="154"/>
      <c r="BH120" s="154"/>
      <c r="BI120" s="154"/>
      <c r="BJ120" s="163"/>
      <c r="BK120" s="163"/>
      <c r="BL120" s="163"/>
      <c r="BO120" s="154"/>
      <c r="BP120" s="154"/>
      <c r="BQ120" s="154"/>
      <c r="BR120" s="154"/>
      <c r="BS120" s="154"/>
      <c r="BT120" s="154"/>
      <c r="BU120" s="154"/>
      <c r="BV120" s="154"/>
      <c r="BW120" s="154"/>
      <c r="BX120" s="154"/>
      <c r="BY120" s="154"/>
      <c r="BZ120" s="154"/>
      <c r="CA120" s="154"/>
      <c r="CB120" s="154"/>
      <c r="CC120" s="154"/>
      <c r="CD120" s="154"/>
      <c r="CE120" s="154"/>
      <c r="CF120" s="154"/>
      <c r="CG120" s="154"/>
      <c r="CH120" s="154"/>
      <c r="CI120" s="154"/>
      <c r="CJ120" s="154"/>
    </row>
    <row r="121" spans="1:88" ht="15.75" customHeight="1">
      <c r="A121" s="154"/>
      <c r="B121" s="155"/>
      <c r="C121" s="156"/>
      <c r="D121" s="154"/>
      <c r="E121" s="154"/>
      <c r="F121" s="154"/>
      <c r="G121" s="154"/>
      <c r="H121" s="154"/>
      <c r="I121" s="154"/>
      <c r="J121" s="154"/>
      <c r="K121" s="154"/>
      <c r="L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G121" s="154"/>
      <c r="AH121" s="154"/>
      <c r="AI121" s="154"/>
      <c r="AJ121" s="154"/>
      <c r="AK121" s="154"/>
      <c r="AL121" s="154"/>
      <c r="AM121" s="154"/>
      <c r="AN121" s="154"/>
      <c r="AO121" s="156"/>
      <c r="AP121" s="154"/>
      <c r="AQ121" s="156"/>
      <c r="AR121" s="154"/>
      <c r="AS121" s="154"/>
      <c r="AT121" s="154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154"/>
      <c r="BI121" s="154"/>
      <c r="BJ121" s="163"/>
      <c r="BK121" s="163"/>
      <c r="BL121" s="163"/>
      <c r="BO121" s="154"/>
      <c r="BP121" s="154"/>
      <c r="BQ121" s="154"/>
      <c r="BR121" s="154"/>
      <c r="BS121" s="154"/>
      <c r="BT121" s="154"/>
      <c r="BU121" s="154"/>
      <c r="BV121" s="154"/>
      <c r="BW121" s="154"/>
      <c r="BX121" s="154"/>
      <c r="BY121" s="154"/>
      <c r="BZ121" s="154"/>
      <c r="CA121" s="154"/>
      <c r="CB121" s="154"/>
      <c r="CC121" s="154"/>
      <c r="CD121" s="154"/>
      <c r="CE121" s="154"/>
      <c r="CF121" s="154"/>
      <c r="CG121" s="154"/>
      <c r="CH121" s="154"/>
      <c r="CI121" s="154"/>
      <c r="CJ121" s="154"/>
    </row>
    <row r="122" spans="1:88" ht="15.75" customHeight="1">
      <c r="A122" s="154"/>
      <c r="B122" s="155"/>
      <c r="C122" s="156"/>
      <c r="D122" s="154"/>
      <c r="E122" s="154"/>
      <c r="F122" s="154"/>
      <c r="G122" s="154"/>
      <c r="H122" s="154"/>
      <c r="I122" s="154"/>
      <c r="J122" s="154"/>
      <c r="K122" s="154"/>
      <c r="L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G122" s="154"/>
      <c r="AH122" s="154"/>
      <c r="AI122" s="154"/>
      <c r="AJ122" s="154"/>
      <c r="AK122" s="154"/>
      <c r="AL122" s="154"/>
      <c r="AM122" s="154"/>
      <c r="AN122" s="154"/>
      <c r="AO122" s="156"/>
      <c r="AP122" s="154"/>
      <c r="AQ122" s="156"/>
      <c r="AR122" s="154"/>
      <c r="AS122" s="154"/>
      <c r="AT122" s="154"/>
      <c r="AU122" s="154"/>
      <c r="AV122" s="154"/>
      <c r="AW122" s="154"/>
      <c r="AX122" s="154"/>
      <c r="AY122" s="154"/>
      <c r="AZ122" s="154"/>
      <c r="BA122" s="154"/>
      <c r="BB122" s="154"/>
      <c r="BC122" s="154"/>
      <c r="BD122" s="154"/>
      <c r="BE122" s="154"/>
      <c r="BF122" s="154"/>
      <c r="BG122" s="154"/>
      <c r="BH122" s="154"/>
      <c r="BI122" s="154"/>
      <c r="BJ122" s="163"/>
      <c r="BK122" s="163"/>
      <c r="BL122" s="163"/>
      <c r="BO122" s="154"/>
      <c r="BP122" s="154"/>
      <c r="BQ122" s="154"/>
      <c r="BR122" s="154"/>
      <c r="BS122" s="154"/>
      <c r="BT122" s="154"/>
      <c r="BU122" s="154"/>
      <c r="BV122" s="154"/>
      <c r="BW122" s="154"/>
      <c r="BX122" s="154"/>
      <c r="BY122" s="154"/>
      <c r="BZ122" s="154"/>
      <c r="CA122" s="154"/>
      <c r="CB122" s="154"/>
      <c r="CC122" s="154"/>
      <c r="CD122" s="154"/>
      <c r="CE122" s="154"/>
      <c r="CF122" s="154"/>
      <c r="CG122" s="154"/>
      <c r="CH122" s="154"/>
      <c r="CI122" s="154"/>
      <c r="CJ122" s="154"/>
    </row>
    <row r="123" spans="1:88" ht="15.75" customHeight="1">
      <c r="A123" s="154"/>
      <c r="B123" s="155"/>
      <c r="C123" s="156"/>
      <c r="D123" s="154"/>
      <c r="E123" s="154"/>
      <c r="F123" s="154"/>
      <c r="G123" s="154"/>
      <c r="H123" s="154"/>
      <c r="I123" s="154"/>
      <c r="J123" s="154"/>
      <c r="K123" s="154"/>
      <c r="L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G123" s="154"/>
      <c r="AH123" s="154"/>
      <c r="AI123" s="154"/>
      <c r="AJ123" s="154"/>
      <c r="AK123" s="154"/>
      <c r="AL123" s="154"/>
      <c r="AM123" s="154"/>
      <c r="AN123" s="154"/>
      <c r="AO123" s="156"/>
      <c r="AP123" s="154"/>
      <c r="AQ123" s="156"/>
      <c r="AR123" s="154"/>
      <c r="AS123" s="154"/>
      <c r="AT123" s="154"/>
      <c r="AU123" s="154"/>
      <c r="AV123" s="154"/>
      <c r="AW123" s="154"/>
      <c r="AX123" s="154"/>
      <c r="AY123" s="154"/>
      <c r="AZ123" s="154"/>
      <c r="BA123" s="154"/>
      <c r="BB123" s="154"/>
      <c r="BC123" s="154"/>
      <c r="BD123" s="154"/>
      <c r="BE123" s="154"/>
      <c r="BF123" s="154"/>
      <c r="BG123" s="154"/>
      <c r="BH123" s="154"/>
      <c r="BI123" s="154"/>
      <c r="BJ123" s="163"/>
      <c r="BK123" s="163"/>
      <c r="BL123" s="163"/>
      <c r="BO123" s="154"/>
      <c r="BP123" s="154"/>
      <c r="BQ123" s="154"/>
      <c r="BR123" s="154"/>
      <c r="BS123" s="154"/>
      <c r="BT123" s="154"/>
      <c r="BU123" s="154"/>
      <c r="BV123" s="154"/>
      <c r="BW123" s="154"/>
      <c r="BX123" s="154"/>
      <c r="BY123" s="154"/>
      <c r="BZ123" s="154"/>
      <c r="CA123" s="154"/>
      <c r="CB123" s="154"/>
      <c r="CC123" s="154"/>
      <c r="CD123" s="154"/>
      <c r="CE123" s="154"/>
      <c r="CF123" s="154"/>
      <c r="CG123" s="154"/>
      <c r="CH123" s="154"/>
      <c r="CI123" s="154"/>
      <c r="CJ123" s="154"/>
    </row>
    <row r="124" spans="1:88" ht="15.75" customHeight="1">
      <c r="A124" s="154"/>
      <c r="B124" s="155"/>
      <c r="C124" s="156"/>
      <c r="D124" s="154"/>
      <c r="E124" s="154"/>
      <c r="F124" s="154"/>
      <c r="G124" s="154"/>
      <c r="H124" s="154"/>
      <c r="I124" s="154"/>
      <c r="J124" s="154"/>
      <c r="K124" s="154"/>
      <c r="L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G124" s="154"/>
      <c r="AH124" s="154"/>
      <c r="AI124" s="154"/>
      <c r="AJ124" s="154"/>
      <c r="AK124" s="154"/>
      <c r="AL124" s="154"/>
      <c r="AM124" s="154"/>
      <c r="AN124" s="154"/>
      <c r="AO124" s="156"/>
      <c r="AP124" s="154"/>
      <c r="AQ124" s="156"/>
      <c r="AR124" s="154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63"/>
      <c r="BK124" s="163"/>
      <c r="BL124" s="163"/>
      <c r="BO124" s="154"/>
      <c r="BP124" s="154"/>
      <c r="BQ124" s="154"/>
      <c r="BR124" s="154"/>
      <c r="BS124" s="154"/>
      <c r="BT124" s="154"/>
      <c r="BU124" s="154"/>
      <c r="BV124" s="154"/>
      <c r="BW124" s="154"/>
      <c r="BX124" s="154"/>
      <c r="BY124" s="154"/>
      <c r="BZ124" s="154"/>
      <c r="CA124" s="154"/>
      <c r="CB124" s="154"/>
      <c r="CC124" s="154"/>
      <c r="CD124" s="154"/>
      <c r="CE124" s="154"/>
      <c r="CF124" s="154"/>
      <c r="CG124" s="154"/>
      <c r="CH124" s="154"/>
      <c r="CI124" s="154"/>
      <c r="CJ124" s="154"/>
    </row>
    <row r="125" spans="1:88" ht="15.75" customHeight="1">
      <c r="A125" s="154"/>
      <c r="B125" s="155"/>
      <c r="C125" s="156"/>
      <c r="D125" s="154"/>
      <c r="E125" s="154"/>
      <c r="F125" s="154"/>
      <c r="G125" s="154"/>
      <c r="H125" s="154"/>
      <c r="I125" s="154"/>
      <c r="J125" s="154"/>
      <c r="K125" s="154"/>
      <c r="L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G125" s="154"/>
      <c r="AH125" s="154"/>
      <c r="AI125" s="154"/>
      <c r="AJ125" s="154"/>
      <c r="AK125" s="154"/>
      <c r="AL125" s="154"/>
      <c r="AM125" s="154"/>
      <c r="AN125" s="154"/>
      <c r="AO125" s="156"/>
      <c r="AP125" s="154"/>
      <c r="AQ125" s="156"/>
      <c r="AR125" s="154"/>
      <c r="AS125" s="154"/>
      <c r="AT125" s="154"/>
      <c r="AU125" s="154"/>
      <c r="AV125" s="154"/>
      <c r="AW125" s="154"/>
      <c r="AX125" s="154"/>
      <c r="AY125" s="154"/>
      <c r="AZ125" s="154"/>
      <c r="BA125" s="154"/>
      <c r="BB125" s="154"/>
      <c r="BC125" s="154"/>
      <c r="BD125" s="154"/>
      <c r="BE125" s="154"/>
      <c r="BF125" s="154"/>
      <c r="BG125" s="154"/>
      <c r="BH125" s="154"/>
      <c r="BI125" s="154"/>
      <c r="BJ125" s="163"/>
      <c r="BK125" s="163"/>
      <c r="BL125" s="163"/>
      <c r="BO125" s="154"/>
      <c r="BP125" s="154"/>
      <c r="BQ125" s="154"/>
      <c r="BR125" s="154"/>
      <c r="BS125" s="154"/>
      <c r="BT125" s="154"/>
      <c r="BU125" s="154"/>
      <c r="BV125" s="154"/>
      <c r="BW125" s="154"/>
      <c r="BX125" s="154"/>
      <c r="BY125" s="154"/>
      <c r="BZ125" s="154"/>
      <c r="CA125" s="154"/>
      <c r="CB125" s="154"/>
      <c r="CC125" s="154"/>
      <c r="CD125" s="154"/>
      <c r="CE125" s="154"/>
      <c r="CF125" s="154"/>
      <c r="CG125" s="154"/>
      <c r="CH125" s="154"/>
      <c r="CI125" s="154"/>
      <c r="CJ125" s="154"/>
    </row>
    <row r="126" spans="1:88" ht="15.75" customHeight="1">
      <c r="A126" s="154"/>
      <c r="B126" s="155"/>
      <c r="C126" s="156"/>
      <c r="D126" s="154"/>
      <c r="E126" s="154"/>
      <c r="F126" s="154"/>
      <c r="G126" s="154"/>
      <c r="H126" s="154"/>
      <c r="I126" s="154"/>
      <c r="J126" s="154"/>
      <c r="K126" s="154"/>
      <c r="L126" s="154"/>
      <c r="T126" s="154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  <c r="AE126" s="154"/>
      <c r="AG126" s="154"/>
      <c r="AH126" s="154"/>
      <c r="AI126" s="154"/>
      <c r="AJ126" s="154"/>
      <c r="AK126" s="154"/>
      <c r="AL126" s="154"/>
      <c r="AM126" s="154"/>
      <c r="AN126" s="154"/>
      <c r="AO126" s="156"/>
      <c r="AP126" s="154"/>
      <c r="AQ126" s="156"/>
      <c r="AR126" s="154"/>
      <c r="AS126" s="154"/>
      <c r="AT126" s="154"/>
      <c r="AU126" s="154"/>
      <c r="AV126" s="154"/>
      <c r="AW126" s="154"/>
      <c r="AX126" s="154"/>
      <c r="AY126" s="154"/>
      <c r="AZ126" s="154"/>
      <c r="BA126" s="154"/>
      <c r="BB126" s="154"/>
      <c r="BC126" s="154"/>
      <c r="BD126" s="154"/>
      <c r="BE126" s="154"/>
      <c r="BF126" s="154"/>
      <c r="BG126" s="154"/>
      <c r="BH126" s="154"/>
      <c r="BI126" s="154"/>
      <c r="BJ126" s="163"/>
      <c r="BK126" s="163"/>
      <c r="BL126" s="163"/>
      <c r="BO126" s="154"/>
      <c r="BP126" s="154"/>
      <c r="BQ126" s="154"/>
      <c r="BR126" s="154"/>
      <c r="BS126" s="154"/>
      <c r="BT126" s="154"/>
      <c r="BU126" s="154"/>
      <c r="BV126" s="154"/>
      <c r="BW126" s="154"/>
      <c r="BX126" s="154"/>
      <c r="BY126" s="154"/>
      <c r="BZ126" s="154"/>
      <c r="CA126" s="154"/>
      <c r="CB126" s="154"/>
      <c r="CC126" s="154"/>
      <c r="CD126" s="154"/>
      <c r="CE126" s="154"/>
      <c r="CF126" s="154"/>
      <c r="CG126" s="154"/>
      <c r="CH126" s="154"/>
      <c r="CI126" s="154"/>
      <c r="CJ126" s="154"/>
    </row>
    <row r="127" spans="1:88" ht="15.75" customHeight="1">
      <c r="A127" s="154"/>
      <c r="B127" s="155"/>
      <c r="C127" s="156"/>
      <c r="D127" s="154"/>
      <c r="E127" s="154"/>
      <c r="F127" s="154"/>
      <c r="G127" s="154"/>
      <c r="H127" s="154"/>
      <c r="I127" s="154"/>
      <c r="J127" s="154"/>
      <c r="K127" s="154"/>
      <c r="L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G127" s="154"/>
      <c r="AH127" s="154"/>
      <c r="AI127" s="154"/>
      <c r="AJ127" s="154"/>
      <c r="AK127" s="154"/>
      <c r="AL127" s="154"/>
      <c r="AM127" s="154"/>
      <c r="AN127" s="154"/>
      <c r="AO127" s="156"/>
      <c r="AP127" s="154"/>
      <c r="AQ127" s="156"/>
      <c r="AR127" s="154"/>
      <c r="AS127" s="154"/>
      <c r="AT127" s="154"/>
      <c r="AU127" s="154"/>
      <c r="AV127" s="154"/>
      <c r="AW127" s="154"/>
      <c r="AX127" s="154"/>
      <c r="AY127" s="154"/>
      <c r="AZ127" s="154"/>
      <c r="BA127" s="154"/>
      <c r="BB127" s="154"/>
      <c r="BC127" s="154"/>
      <c r="BD127" s="154"/>
      <c r="BE127" s="154"/>
      <c r="BF127" s="154"/>
      <c r="BG127" s="154"/>
      <c r="BH127" s="154"/>
      <c r="BI127" s="154"/>
      <c r="BJ127" s="163"/>
      <c r="BK127" s="163"/>
      <c r="BL127" s="163"/>
      <c r="BO127" s="154"/>
      <c r="BP127" s="154"/>
      <c r="BQ127" s="154"/>
      <c r="BR127" s="154"/>
      <c r="BS127" s="154"/>
      <c r="BT127" s="154"/>
      <c r="BU127" s="154"/>
      <c r="BV127" s="154"/>
      <c r="BW127" s="154"/>
      <c r="BX127" s="154"/>
      <c r="BY127" s="154"/>
      <c r="BZ127" s="154"/>
      <c r="CA127" s="154"/>
      <c r="CB127" s="154"/>
      <c r="CC127" s="154"/>
      <c r="CD127" s="154"/>
      <c r="CE127" s="154"/>
      <c r="CF127" s="154"/>
      <c r="CG127" s="154"/>
      <c r="CH127" s="154"/>
      <c r="CI127" s="154"/>
      <c r="CJ127" s="154"/>
    </row>
    <row r="128" spans="1:88" ht="15.75" customHeight="1">
      <c r="A128" s="154"/>
      <c r="B128" s="155"/>
      <c r="C128" s="156"/>
      <c r="D128" s="154"/>
      <c r="E128" s="154"/>
      <c r="F128" s="154"/>
      <c r="G128" s="154"/>
      <c r="H128" s="154"/>
      <c r="I128" s="154"/>
      <c r="J128" s="154"/>
      <c r="K128" s="154"/>
      <c r="L128" s="154"/>
      <c r="T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  <c r="AE128" s="154"/>
      <c r="AG128" s="154"/>
      <c r="AH128" s="154"/>
      <c r="AI128" s="154"/>
      <c r="AJ128" s="154"/>
      <c r="AK128" s="154"/>
      <c r="AL128" s="154"/>
      <c r="AM128" s="154"/>
      <c r="AN128" s="154"/>
      <c r="AO128" s="156"/>
      <c r="AP128" s="154"/>
      <c r="AQ128" s="156"/>
      <c r="AR128" s="154"/>
      <c r="AS128" s="154"/>
      <c r="AT128" s="154"/>
      <c r="AU128" s="154"/>
      <c r="AV128" s="154"/>
      <c r="AW128" s="154"/>
      <c r="AX128" s="154"/>
      <c r="AY128" s="154"/>
      <c r="AZ128" s="154"/>
      <c r="BA128" s="154"/>
      <c r="BB128" s="154"/>
      <c r="BC128" s="154"/>
      <c r="BD128" s="154"/>
      <c r="BE128" s="154"/>
      <c r="BF128" s="154"/>
      <c r="BG128" s="154"/>
      <c r="BH128" s="154"/>
      <c r="BI128" s="154"/>
      <c r="BJ128" s="163"/>
      <c r="BK128" s="163"/>
      <c r="BL128" s="163"/>
      <c r="BO128" s="154"/>
      <c r="BP128" s="154"/>
      <c r="BQ128" s="154"/>
      <c r="BR128" s="154"/>
      <c r="BS128" s="154"/>
      <c r="BT128" s="154"/>
      <c r="BU128" s="154"/>
      <c r="BV128" s="154"/>
      <c r="BW128" s="154"/>
      <c r="BX128" s="154"/>
      <c r="BY128" s="154"/>
      <c r="BZ128" s="154"/>
      <c r="CA128" s="154"/>
      <c r="CB128" s="154"/>
      <c r="CC128" s="154"/>
      <c r="CD128" s="154"/>
      <c r="CE128" s="154"/>
      <c r="CF128" s="154"/>
      <c r="CG128" s="154"/>
      <c r="CH128" s="154"/>
      <c r="CI128" s="154"/>
      <c r="CJ128" s="154"/>
    </row>
    <row r="129" spans="1:88" ht="15.75" customHeight="1">
      <c r="A129" s="154"/>
      <c r="B129" s="155"/>
      <c r="C129" s="156"/>
      <c r="D129" s="154"/>
      <c r="E129" s="154"/>
      <c r="F129" s="154"/>
      <c r="G129" s="154"/>
      <c r="H129" s="154"/>
      <c r="I129" s="154"/>
      <c r="J129" s="154"/>
      <c r="K129" s="154"/>
      <c r="L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G129" s="154"/>
      <c r="AH129" s="154"/>
      <c r="AI129" s="154"/>
      <c r="AJ129" s="154"/>
      <c r="AK129" s="154"/>
      <c r="AL129" s="154"/>
      <c r="AM129" s="154"/>
      <c r="AN129" s="154"/>
      <c r="AO129" s="156"/>
      <c r="AP129" s="154"/>
      <c r="AQ129" s="156"/>
      <c r="AR129" s="154"/>
      <c r="AS129" s="154"/>
      <c r="AT129" s="154"/>
      <c r="AU129" s="154"/>
      <c r="AV129" s="154"/>
      <c r="AW129" s="154"/>
      <c r="AX129" s="154"/>
      <c r="AY129" s="154"/>
      <c r="AZ129" s="154"/>
      <c r="BA129" s="154"/>
      <c r="BB129" s="154"/>
      <c r="BC129" s="154"/>
      <c r="BD129" s="154"/>
      <c r="BE129" s="154"/>
      <c r="BF129" s="154"/>
      <c r="BG129" s="154"/>
      <c r="BH129" s="154"/>
      <c r="BI129" s="154"/>
      <c r="BJ129" s="163"/>
      <c r="BK129" s="163"/>
      <c r="BL129" s="163"/>
      <c r="BO129" s="154"/>
      <c r="BP129" s="154"/>
      <c r="BQ129" s="154"/>
      <c r="BR129" s="154"/>
      <c r="BS129" s="154"/>
      <c r="BT129" s="154"/>
      <c r="BU129" s="154"/>
      <c r="BV129" s="154"/>
      <c r="BW129" s="154"/>
      <c r="BX129" s="154"/>
      <c r="BY129" s="154"/>
      <c r="BZ129" s="154"/>
      <c r="CA129" s="154"/>
      <c r="CB129" s="154"/>
      <c r="CC129" s="154"/>
      <c r="CD129" s="154"/>
      <c r="CE129" s="154"/>
      <c r="CF129" s="154"/>
      <c r="CG129" s="154"/>
      <c r="CH129" s="154"/>
      <c r="CI129" s="154"/>
      <c r="CJ129" s="154"/>
    </row>
    <row r="130" spans="1:88" ht="15.75" customHeight="1">
      <c r="A130" s="154"/>
      <c r="B130" s="155"/>
      <c r="C130" s="156"/>
      <c r="D130" s="154"/>
      <c r="E130" s="154"/>
      <c r="F130" s="154"/>
      <c r="G130" s="154"/>
      <c r="H130" s="154"/>
      <c r="I130" s="154"/>
      <c r="J130" s="154"/>
      <c r="K130" s="154"/>
      <c r="L130" s="154"/>
      <c r="T130" s="154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  <c r="AE130" s="154"/>
      <c r="AG130" s="154"/>
      <c r="AH130" s="154"/>
      <c r="AI130" s="154"/>
      <c r="AJ130" s="154"/>
      <c r="AK130" s="154"/>
      <c r="AL130" s="154"/>
      <c r="AM130" s="154"/>
      <c r="AN130" s="154"/>
      <c r="AO130" s="156"/>
      <c r="AP130" s="154"/>
      <c r="AQ130" s="156"/>
      <c r="AR130" s="154"/>
      <c r="AS130" s="154"/>
      <c r="AT130" s="154"/>
      <c r="AU130" s="154"/>
      <c r="AV130" s="154"/>
      <c r="AW130" s="154"/>
      <c r="AX130" s="154"/>
      <c r="AY130" s="154"/>
      <c r="AZ130" s="154"/>
      <c r="BA130" s="154"/>
      <c r="BB130" s="154"/>
      <c r="BC130" s="154"/>
      <c r="BD130" s="154"/>
      <c r="BE130" s="154"/>
      <c r="BF130" s="154"/>
      <c r="BG130" s="154"/>
      <c r="BH130" s="154"/>
      <c r="BI130" s="154"/>
      <c r="BJ130" s="163"/>
      <c r="BK130" s="163"/>
      <c r="BL130" s="163"/>
      <c r="BO130" s="154"/>
      <c r="BP130" s="154"/>
      <c r="BQ130" s="154"/>
      <c r="BR130" s="154"/>
      <c r="BS130" s="154"/>
      <c r="BT130" s="154"/>
      <c r="BU130" s="154"/>
      <c r="BV130" s="154"/>
      <c r="BW130" s="154"/>
      <c r="BX130" s="154"/>
      <c r="BY130" s="154"/>
      <c r="BZ130" s="154"/>
      <c r="CA130" s="154"/>
      <c r="CB130" s="154"/>
      <c r="CC130" s="154"/>
      <c r="CD130" s="154"/>
      <c r="CE130" s="154"/>
      <c r="CF130" s="154"/>
      <c r="CG130" s="154"/>
      <c r="CH130" s="154"/>
      <c r="CI130" s="154"/>
      <c r="CJ130" s="154"/>
    </row>
    <row r="131" spans="1:88" ht="15.75" customHeight="1">
      <c r="A131" s="154"/>
      <c r="B131" s="155"/>
      <c r="C131" s="156"/>
      <c r="D131" s="154"/>
      <c r="E131" s="154"/>
      <c r="F131" s="154"/>
      <c r="G131" s="154"/>
      <c r="H131" s="154"/>
      <c r="I131" s="154"/>
      <c r="J131" s="154"/>
      <c r="K131" s="154"/>
      <c r="L131" s="154"/>
      <c r="T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  <c r="AG131" s="154"/>
      <c r="AH131" s="154"/>
      <c r="AI131" s="154"/>
      <c r="AJ131" s="154"/>
      <c r="AK131" s="154"/>
      <c r="AL131" s="154"/>
      <c r="AM131" s="154"/>
      <c r="AN131" s="154"/>
      <c r="AO131" s="156"/>
      <c r="AP131" s="154"/>
      <c r="AQ131" s="156"/>
      <c r="AR131" s="154"/>
      <c r="AS131" s="154"/>
      <c r="AT131" s="154"/>
      <c r="AU131" s="154"/>
      <c r="AV131" s="154"/>
      <c r="AW131" s="154"/>
      <c r="AX131" s="154"/>
      <c r="AY131" s="154"/>
      <c r="AZ131" s="154"/>
      <c r="BA131" s="154"/>
      <c r="BB131" s="154"/>
      <c r="BC131" s="154"/>
      <c r="BD131" s="154"/>
      <c r="BE131" s="154"/>
      <c r="BF131" s="154"/>
      <c r="BG131" s="154"/>
      <c r="BH131" s="154"/>
      <c r="BI131" s="154"/>
      <c r="BJ131" s="163"/>
      <c r="BK131" s="163"/>
      <c r="BL131" s="163"/>
      <c r="BO131" s="154"/>
      <c r="BP131" s="154"/>
      <c r="BQ131" s="154"/>
      <c r="BR131" s="154"/>
      <c r="BS131" s="154"/>
      <c r="BT131" s="154"/>
      <c r="BU131" s="154"/>
      <c r="BV131" s="154"/>
      <c r="BW131" s="154"/>
      <c r="BX131" s="154"/>
      <c r="BY131" s="154"/>
      <c r="BZ131" s="154"/>
      <c r="CA131" s="154"/>
      <c r="CB131" s="154"/>
      <c r="CC131" s="154"/>
      <c r="CD131" s="154"/>
      <c r="CE131" s="154"/>
      <c r="CF131" s="154"/>
      <c r="CG131" s="154"/>
      <c r="CH131" s="154"/>
      <c r="CI131" s="154"/>
      <c r="CJ131" s="154"/>
    </row>
    <row r="132" spans="1:88" ht="15.75" customHeight="1">
      <c r="A132" s="154"/>
      <c r="B132" s="155"/>
      <c r="C132" s="156"/>
      <c r="D132" s="154"/>
      <c r="E132" s="154"/>
      <c r="F132" s="154"/>
      <c r="G132" s="154"/>
      <c r="H132" s="154"/>
      <c r="I132" s="154"/>
      <c r="J132" s="154"/>
      <c r="K132" s="154"/>
      <c r="L132" s="154"/>
      <c r="T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  <c r="AG132" s="154"/>
      <c r="AH132" s="154"/>
      <c r="AI132" s="154"/>
      <c r="AJ132" s="154"/>
      <c r="AK132" s="154"/>
      <c r="AL132" s="154"/>
      <c r="AM132" s="154"/>
      <c r="AN132" s="154"/>
      <c r="AO132" s="156"/>
      <c r="AP132" s="154"/>
      <c r="AQ132" s="156"/>
      <c r="AR132" s="154"/>
      <c r="AS132" s="154"/>
      <c r="AT132" s="154"/>
      <c r="AU132" s="154"/>
      <c r="AV132" s="154"/>
      <c r="AW132" s="154"/>
      <c r="AX132" s="154"/>
      <c r="AY132" s="154"/>
      <c r="AZ132" s="154"/>
      <c r="BA132" s="154"/>
      <c r="BB132" s="154"/>
      <c r="BC132" s="154"/>
      <c r="BD132" s="154"/>
      <c r="BE132" s="154"/>
      <c r="BF132" s="154"/>
      <c r="BG132" s="154"/>
      <c r="BH132" s="154"/>
      <c r="BI132" s="154"/>
      <c r="BJ132" s="163"/>
      <c r="BK132" s="163"/>
      <c r="BL132" s="163"/>
      <c r="BO132" s="154"/>
      <c r="BP132" s="154"/>
      <c r="BQ132" s="154"/>
      <c r="BR132" s="154"/>
      <c r="BS132" s="154"/>
      <c r="BT132" s="154"/>
      <c r="BU132" s="154"/>
      <c r="BV132" s="154"/>
      <c r="BW132" s="154"/>
      <c r="BX132" s="154"/>
      <c r="BY132" s="154"/>
      <c r="BZ132" s="154"/>
      <c r="CA132" s="154"/>
      <c r="CB132" s="154"/>
      <c r="CC132" s="154"/>
      <c r="CD132" s="154"/>
      <c r="CE132" s="154"/>
      <c r="CF132" s="154"/>
      <c r="CG132" s="154"/>
      <c r="CH132" s="154"/>
      <c r="CI132" s="154"/>
      <c r="CJ132" s="154"/>
    </row>
    <row r="133" spans="1:88" ht="15.75" customHeight="1">
      <c r="A133" s="154"/>
      <c r="B133" s="155"/>
      <c r="C133" s="156"/>
      <c r="D133" s="154"/>
      <c r="E133" s="154"/>
      <c r="F133" s="154"/>
      <c r="G133" s="154"/>
      <c r="H133" s="154"/>
      <c r="I133" s="154"/>
      <c r="J133" s="154"/>
      <c r="K133" s="154"/>
      <c r="L133" s="154"/>
      <c r="T133" s="154"/>
      <c r="U133" s="154"/>
      <c r="V133" s="154"/>
      <c r="W133" s="154"/>
      <c r="X133" s="154"/>
      <c r="Y133" s="154"/>
      <c r="Z133" s="154"/>
      <c r="AA133" s="154"/>
      <c r="AB133" s="154"/>
      <c r="AC133" s="154"/>
      <c r="AD133" s="154"/>
      <c r="AE133" s="154"/>
      <c r="AG133" s="154"/>
      <c r="AH133" s="154"/>
      <c r="AI133" s="154"/>
      <c r="AJ133" s="154"/>
      <c r="AK133" s="154"/>
      <c r="AL133" s="154"/>
      <c r="AM133" s="154"/>
      <c r="AN133" s="154"/>
      <c r="AO133" s="156"/>
      <c r="AP133" s="154"/>
      <c r="AQ133" s="156"/>
      <c r="AR133" s="154"/>
      <c r="AS133" s="154"/>
      <c r="AT133" s="154"/>
      <c r="AU133" s="154"/>
      <c r="AV133" s="154"/>
      <c r="AW133" s="154"/>
      <c r="AX133" s="154"/>
      <c r="AY133" s="154"/>
      <c r="AZ133" s="154"/>
      <c r="BA133" s="154"/>
      <c r="BB133" s="154"/>
      <c r="BC133" s="154"/>
      <c r="BD133" s="154"/>
      <c r="BE133" s="154"/>
      <c r="BF133" s="154"/>
      <c r="BG133" s="154"/>
      <c r="BH133" s="154"/>
      <c r="BI133" s="154"/>
      <c r="BJ133" s="163"/>
      <c r="BK133" s="163"/>
      <c r="BL133" s="163"/>
      <c r="BO133" s="154"/>
      <c r="BP133" s="154"/>
      <c r="BQ133" s="154"/>
      <c r="BR133" s="154"/>
      <c r="BS133" s="154"/>
      <c r="BT133" s="154"/>
      <c r="BU133" s="154"/>
      <c r="BV133" s="154"/>
      <c r="BW133" s="154"/>
      <c r="BX133" s="154"/>
      <c r="BY133" s="154"/>
      <c r="BZ133" s="154"/>
      <c r="CA133" s="154"/>
      <c r="CB133" s="154"/>
      <c r="CC133" s="154"/>
      <c r="CD133" s="154"/>
      <c r="CE133" s="154"/>
      <c r="CF133" s="154"/>
      <c r="CG133" s="154"/>
      <c r="CH133" s="154"/>
      <c r="CI133" s="154"/>
      <c r="CJ133" s="154"/>
    </row>
    <row r="134" spans="1:88" ht="15.75" customHeight="1">
      <c r="A134" s="154"/>
      <c r="B134" s="155"/>
      <c r="C134" s="156"/>
      <c r="D134" s="154"/>
      <c r="E134" s="154"/>
      <c r="F134" s="154"/>
      <c r="G134" s="154"/>
      <c r="H134" s="154"/>
      <c r="I134" s="154"/>
      <c r="J134" s="154"/>
      <c r="K134" s="154"/>
      <c r="L134" s="154"/>
      <c r="T134" s="154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  <c r="AE134" s="154"/>
      <c r="AG134" s="154"/>
      <c r="AH134" s="154"/>
      <c r="AI134" s="154"/>
      <c r="AJ134" s="154"/>
      <c r="AK134" s="154"/>
      <c r="AL134" s="154"/>
      <c r="AM134" s="154"/>
      <c r="AN134" s="154"/>
      <c r="AO134" s="156"/>
      <c r="AP134" s="154"/>
      <c r="AQ134" s="156"/>
      <c r="AR134" s="154"/>
      <c r="AS134" s="154"/>
      <c r="AT134" s="154"/>
      <c r="AU134" s="154"/>
      <c r="AV134" s="154"/>
      <c r="AW134" s="154"/>
      <c r="AX134" s="154"/>
      <c r="AY134" s="154"/>
      <c r="AZ134" s="154"/>
      <c r="BA134" s="154"/>
      <c r="BB134" s="154"/>
      <c r="BC134" s="154"/>
      <c r="BD134" s="154"/>
      <c r="BE134" s="154"/>
      <c r="BF134" s="154"/>
      <c r="BG134" s="154"/>
      <c r="BH134" s="154"/>
      <c r="BI134" s="154"/>
      <c r="BJ134" s="163"/>
      <c r="BK134" s="163"/>
      <c r="BL134" s="163"/>
      <c r="BO134" s="154"/>
      <c r="BP134" s="154"/>
      <c r="BQ134" s="154"/>
      <c r="BR134" s="154"/>
      <c r="BS134" s="154"/>
      <c r="BT134" s="154"/>
      <c r="BU134" s="154"/>
      <c r="BV134" s="154"/>
      <c r="BW134" s="154"/>
      <c r="BX134" s="154"/>
      <c r="BY134" s="154"/>
      <c r="BZ134" s="154"/>
      <c r="CA134" s="154"/>
      <c r="CB134" s="154"/>
      <c r="CC134" s="154"/>
      <c r="CD134" s="154"/>
      <c r="CE134" s="154"/>
      <c r="CF134" s="154"/>
      <c r="CG134" s="154"/>
      <c r="CH134" s="154"/>
      <c r="CI134" s="154"/>
      <c r="CJ134" s="154"/>
    </row>
    <row r="135" spans="1:88" ht="15.75" customHeight="1">
      <c r="A135" s="154"/>
      <c r="B135" s="155"/>
      <c r="C135" s="156"/>
      <c r="D135" s="154"/>
      <c r="E135" s="154"/>
      <c r="F135" s="154"/>
      <c r="G135" s="154"/>
      <c r="H135" s="154"/>
      <c r="I135" s="154"/>
      <c r="J135" s="154"/>
      <c r="K135" s="154"/>
      <c r="L135" s="154"/>
      <c r="T135" s="154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54"/>
      <c r="AG135" s="154"/>
      <c r="AH135" s="154"/>
      <c r="AI135" s="154"/>
      <c r="AJ135" s="154"/>
      <c r="AK135" s="154"/>
      <c r="AL135" s="154"/>
      <c r="AM135" s="154"/>
      <c r="AN135" s="154"/>
      <c r="AO135" s="156"/>
      <c r="AP135" s="154"/>
      <c r="AQ135" s="156"/>
      <c r="AR135" s="154"/>
      <c r="AS135" s="154"/>
      <c r="AT135" s="154"/>
      <c r="AU135" s="154"/>
      <c r="AV135" s="154"/>
      <c r="AW135" s="154"/>
      <c r="AX135" s="154"/>
      <c r="AY135" s="154"/>
      <c r="AZ135" s="154"/>
      <c r="BA135" s="154"/>
      <c r="BB135" s="154"/>
      <c r="BC135" s="154"/>
      <c r="BD135" s="154"/>
      <c r="BE135" s="154"/>
      <c r="BF135" s="154"/>
      <c r="BG135" s="154"/>
      <c r="BH135" s="154"/>
      <c r="BI135" s="154"/>
      <c r="BJ135" s="163"/>
      <c r="BK135" s="163"/>
      <c r="BL135" s="163"/>
      <c r="BO135" s="154"/>
      <c r="BP135" s="154"/>
      <c r="BQ135" s="154"/>
      <c r="BR135" s="154"/>
      <c r="BS135" s="154"/>
      <c r="BT135" s="154"/>
      <c r="BU135" s="154"/>
      <c r="BV135" s="154"/>
      <c r="BW135" s="154"/>
      <c r="BX135" s="154"/>
      <c r="BY135" s="154"/>
      <c r="BZ135" s="154"/>
      <c r="CA135" s="154"/>
      <c r="CB135" s="154"/>
      <c r="CC135" s="154"/>
      <c r="CD135" s="154"/>
      <c r="CE135" s="154"/>
      <c r="CF135" s="154"/>
      <c r="CG135" s="154"/>
      <c r="CH135" s="154"/>
      <c r="CI135" s="154"/>
      <c r="CJ135" s="154"/>
    </row>
    <row r="136" spans="1:88" ht="15.75" customHeight="1">
      <c r="A136" s="154"/>
      <c r="B136" s="155"/>
      <c r="C136" s="156"/>
      <c r="D136" s="154"/>
      <c r="E136" s="154"/>
      <c r="F136" s="154"/>
      <c r="G136" s="154"/>
      <c r="H136" s="154"/>
      <c r="I136" s="154"/>
      <c r="J136" s="154"/>
      <c r="K136" s="154"/>
      <c r="L136" s="154"/>
      <c r="T136" s="154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  <c r="AE136" s="154"/>
      <c r="AG136" s="154"/>
      <c r="AH136" s="154"/>
      <c r="AI136" s="154"/>
      <c r="AJ136" s="154"/>
      <c r="AK136" s="154"/>
      <c r="AL136" s="154"/>
      <c r="AM136" s="154"/>
      <c r="AN136" s="154"/>
      <c r="AO136" s="156"/>
      <c r="AP136" s="154"/>
      <c r="AQ136" s="156"/>
      <c r="AR136" s="154"/>
      <c r="AS136" s="154"/>
      <c r="AT136" s="154"/>
      <c r="AU136" s="154"/>
      <c r="AV136" s="154"/>
      <c r="AW136" s="154"/>
      <c r="AX136" s="154"/>
      <c r="AY136" s="154"/>
      <c r="AZ136" s="154"/>
      <c r="BA136" s="154"/>
      <c r="BB136" s="154"/>
      <c r="BC136" s="154"/>
      <c r="BD136" s="154"/>
      <c r="BE136" s="154"/>
      <c r="BF136" s="154"/>
      <c r="BG136" s="154"/>
      <c r="BH136" s="154"/>
      <c r="BI136" s="154"/>
      <c r="BJ136" s="163"/>
      <c r="BK136" s="163"/>
      <c r="BL136" s="163"/>
      <c r="BO136" s="154"/>
      <c r="BP136" s="154"/>
      <c r="BQ136" s="154"/>
      <c r="BR136" s="154"/>
      <c r="BS136" s="154"/>
      <c r="BT136" s="154"/>
      <c r="BU136" s="154"/>
      <c r="BV136" s="154"/>
      <c r="BW136" s="154"/>
      <c r="BX136" s="154"/>
      <c r="BY136" s="154"/>
      <c r="BZ136" s="154"/>
      <c r="CA136" s="154"/>
      <c r="CB136" s="154"/>
      <c r="CC136" s="154"/>
      <c r="CD136" s="154"/>
      <c r="CE136" s="154"/>
      <c r="CF136" s="154"/>
      <c r="CG136" s="154"/>
      <c r="CH136" s="154"/>
      <c r="CI136" s="154"/>
      <c r="CJ136" s="154"/>
    </row>
    <row r="137" spans="1:88" ht="15.75" customHeight="1">
      <c r="A137" s="154"/>
      <c r="B137" s="155"/>
      <c r="C137" s="156"/>
      <c r="D137" s="154"/>
      <c r="E137" s="154"/>
      <c r="F137" s="154"/>
      <c r="G137" s="154"/>
      <c r="H137" s="154"/>
      <c r="I137" s="154"/>
      <c r="J137" s="154"/>
      <c r="K137" s="154"/>
      <c r="L137" s="154"/>
      <c r="T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  <c r="AG137" s="154"/>
      <c r="AH137" s="154"/>
      <c r="AI137" s="154"/>
      <c r="AJ137" s="154"/>
      <c r="AK137" s="154"/>
      <c r="AL137" s="154"/>
      <c r="AM137" s="154"/>
      <c r="AN137" s="154"/>
      <c r="AO137" s="156"/>
      <c r="AP137" s="154"/>
      <c r="AQ137" s="156"/>
      <c r="AR137" s="154"/>
      <c r="AS137" s="154"/>
      <c r="AT137" s="154"/>
      <c r="AU137" s="154"/>
      <c r="AV137" s="154"/>
      <c r="AW137" s="154"/>
      <c r="AX137" s="154"/>
      <c r="AY137" s="154"/>
      <c r="AZ137" s="154"/>
      <c r="BA137" s="154"/>
      <c r="BB137" s="154"/>
      <c r="BC137" s="154"/>
      <c r="BD137" s="154"/>
      <c r="BE137" s="154"/>
      <c r="BF137" s="154"/>
      <c r="BG137" s="154"/>
      <c r="BH137" s="154"/>
      <c r="BI137" s="154"/>
      <c r="BJ137" s="163"/>
      <c r="BK137" s="163"/>
      <c r="BL137" s="163"/>
      <c r="BO137" s="154"/>
      <c r="BP137" s="154"/>
      <c r="BQ137" s="154"/>
      <c r="BR137" s="154"/>
      <c r="BS137" s="154"/>
      <c r="BT137" s="154"/>
      <c r="BU137" s="154"/>
      <c r="BV137" s="154"/>
      <c r="BW137" s="154"/>
      <c r="BX137" s="154"/>
      <c r="BY137" s="154"/>
      <c r="BZ137" s="154"/>
      <c r="CA137" s="154"/>
      <c r="CB137" s="154"/>
      <c r="CC137" s="154"/>
      <c r="CD137" s="154"/>
      <c r="CE137" s="154"/>
      <c r="CF137" s="154"/>
      <c r="CG137" s="154"/>
      <c r="CH137" s="154"/>
      <c r="CI137" s="154"/>
      <c r="CJ137" s="154"/>
    </row>
    <row r="138" spans="1:88" ht="15.75" customHeight="1">
      <c r="A138" s="154"/>
      <c r="B138" s="155"/>
      <c r="C138" s="156"/>
      <c r="D138" s="154"/>
      <c r="E138" s="154"/>
      <c r="F138" s="154"/>
      <c r="G138" s="154"/>
      <c r="H138" s="154"/>
      <c r="I138" s="154"/>
      <c r="J138" s="154"/>
      <c r="K138" s="154"/>
      <c r="L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G138" s="154"/>
      <c r="AH138" s="154"/>
      <c r="AI138" s="154"/>
      <c r="AJ138" s="154"/>
      <c r="AK138" s="154"/>
      <c r="AL138" s="154"/>
      <c r="AM138" s="154"/>
      <c r="AN138" s="154"/>
      <c r="AO138" s="156"/>
      <c r="AP138" s="154"/>
      <c r="AQ138" s="156"/>
      <c r="AR138" s="154"/>
      <c r="AS138" s="154"/>
      <c r="AT138" s="154"/>
      <c r="AU138" s="154"/>
      <c r="AV138" s="154"/>
      <c r="AW138" s="154"/>
      <c r="AX138" s="154"/>
      <c r="AY138" s="154"/>
      <c r="AZ138" s="154"/>
      <c r="BA138" s="154"/>
      <c r="BB138" s="154"/>
      <c r="BC138" s="154"/>
      <c r="BD138" s="154"/>
      <c r="BE138" s="154"/>
      <c r="BF138" s="154"/>
      <c r="BG138" s="154"/>
      <c r="BH138" s="154"/>
      <c r="BI138" s="154"/>
      <c r="BJ138" s="163"/>
      <c r="BK138" s="163"/>
      <c r="BL138" s="163"/>
      <c r="BO138" s="154"/>
      <c r="BP138" s="154"/>
      <c r="BQ138" s="154"/>
      <c r="BR138" s="154"/>
      <c r="BS138" s="154"/>
      <c r="BT138" s="154"/>
      <c r="BU138" s="154"/>
      <c r="BV138" s="154"/>
      <c r="BW138" s="154"/>
      <c r="BX138" s="154"/>
      <c r="BY138" s="154"/>
      <c r="BZ138" s="154"/>
      <c r="CA138" s="154"/>
      <c r="CB138" s="154"/>
      <c r="CC138" s="154"/>
      <c r="CD138" s="154"/>
      <c r="CE138" s="154"/>
      <c r="CF138" s="154"/>
      <c r="CG138" s="154"/>
      <c r="CH138" s="154"/>
      <c r="CI138" s="154"/>
      <c r="CJ138" s="154"/>
    </row>
    <row r="139" spans="1:88" ht="15.75" customHeight="1">
      <c r="A139" s="154"/>
      <c r="B139" s="155"/>
      <c r="C139" s="156"/>
      <c r="D139" s="154"/>
      <c r="E139" s="154"/>
      <c r="F139" s="154"/>
      <c r="G139" s="154"/>
      <c r="H139" s="154"/>
      <c r="I139" s="154"/>
      <c r="J139" s="154"/>
      <c r="K139" s="154"/>
      <c r="L139" s="154"/>
      <c r="T139" s="154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  <c r="AE139" s="154"/>
      <c r="AG139" s="154"/>
      <c r="AH139" s="154"/>
      <c r="AI139" s="154"/>
      <c r="AJ139" s="154"/>
      <c r="AK139" s="154"/>
      <c r="AL139" s="154"/>
      <c r="AM139" s="154"/>
      <c r="AN139" s="154"/>
      <c r="AO139" s="156"/>
      <c r="AP139" s="154"/>
      <c r="AQ139" s="156"/>
      <c r="AR139" s="154"/>
      <c r="AS139" s="154"/>
      <c r="AT139" s="154"/>
      <c r="AU139" s="154"/>
      <c r="AV139" s="154"/>
      <c r="AW139" s="154"/>
      <c r="AX139" s="154"/>
      <c r="AY139" s="154"/>
      <c r="AZ139" s="154"/>
      <c r="BA139" s="154"/>
      <c r="BB139" s="154"/>
      <c r="BC139" s="154"/>
      <c r="BD139" s="154"/>
      <c r="BE139" s="154"/>
      <c r="BF139" s="154"/>
      <c r="BG139" s="154"/>
      <c r="BH139" s="154"/>
      <c r="BI139" s="154"/>
      <c r="BJ139" s="163"/>
      <c r="BK139" s="163"/>
      <c r="BL139" s="163"/>
      <c r="BO139" s="154"/>
      <c r="BP139" s="154"/>
      <c r="BQ139" s="154"/>
      <c r="BR139" s="154"/>
      <c r="BS139" s="154"/>
      <c r="BT139" s="154"/>
      <c r="BU139" s="154"/>
      <c r="BV139" s="154"/>
      <c r="BW139" s="154"/>
      <c r="BX139" s="154"/>
      <c r="BY139" s="154"/>
      <c r="BZ139" s="154"/>
      <c r="CA139" s="154"/>
      <c r="CB139" s="154"/>
      <c r="CC139" s="154"/>
      <c r="CD139" s="154"/>
      <c r="CE139" s="154"/>
      <c r="CF139" s="154"/>
      <c r="CG139" s="154"/>
      <c r="CH139" s="154"/>
      <c r="CI139" s="154"/>
      <c r="CJ139" s="154"/>
    </row>
    <row r="140" spans="1:88" ht="15.75" customHeight="1">
      <c r="A140" s="154"/>
      <c r="B140" s="155"/>
      <c r="C140" s="156"/>
      <c r="D140" s="154"/>
      <c r="E140" s="154"/>
      <c r="F140" s="154"/>
      <c r="G140" s="154"/>
      <c r="H140" s="154"/>
      <c r="I140" s="154"/>
      <c r="J140" s="154"/>
      <c r="K140" s="154"/>
      <c r="L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G140" s="154"/>
      <c r="AH140" s="154"/>
      <c r="AI140" s="154"/>
      <c r="AJ140" s="154"/>
      <c r="AK140" s="154"/>
      <c r="AL140" s="154"/>
      <c r="AM140" s="154"/>
      <c r="AN140" s="154"/>
      <c r="AO140" s="156"/>
      <c r="AP140" s="154"/>
      <c r="AQ140" s="156"/>
      <c r="AR140" s="154"/>
      <c r="AS140" s="154"/>
      <c r="AT140" s="154"/>
      <c r="AU140" s="154"/>
      <c r="AV140" s="154"/>
      <c r="AW140" s="154"/>
      <c r="AX140" s="154"/>
      <c r="AY140" s="154"/>
      <c r="AZ140" s="154"/>
      <c r="BA140" s="154"/>
      <c r="BB140" s="154"/>
      <c r="BC140" s="154"/>
      <c r="BD140" s="154"/>
      <c r="BE140" s="154"/>
      <c r="BF140" s="154"/>
      <c r="BG140" s="154"/>
      <c r="BH140" s="154"/>
      <c r="BI140" s="154"/>
      <c r="BJ140" s="163"/>
      <c r="BK140" s="163"/>
      <c r="BL140" s="163"/>
      <c r="BO140" s="154"/>
      <c r="BP140" s="154"/>
      <c r="BQ140" s="154"/>
      <c r="BR140" s="154"/>
      <c r="BS140" s="154"/>
      <c r="BT140" s="154"/>
      <c r="BU140" s="154"/>
      <c r="BV140" s="154"/>
      <c r="BW140" s="154"/>
      <c r="BX140" s="154"/>
      <c r="BY140" s="154"/>
      <c r="BZ140" s="154"/>
      <c r="CA140" s="154"/>
      <c r="CB140" s="154"/>
      <c r="CC140" s="154"/>
      <c r="CD140" s="154"/>
      <c r="CE140" s="154"/>
      <c r="CF140" s="154"/>
      <c r="CG140" s="154"/>
      <c r="CH140" s="154"/>
      <c r="CI140" s="154"/>
      <c r="CJ140" s="154"/>
    </row>
    <row r="141" spans="1:88" ht="15.75" customHeight="1">
      <c r="A141" s="154"/>
      <c r="B141" s="155"/>
      <c r="C141" s="156"/>
      <c r="D141" s="154"/>
      <c r="E141" s="154"/>
      <c r="F141" s="154"/>
      <c r="G141" s="154"/>
      <c r="H141" s="154"/>
      <c r="I141" s="154"/>
      <c r="J141" s="154"/>
      <c r="K141" s="154"/>
      <c r="L141" s="154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G141" s="154"/>
      <c r="AH141" s="154"/>
      <c r="AI141" s="154"/>
      <c r="AJ141" s="154"/>
      <c r="AK141" s="154"/>
      <c r="AL141" s="154"/>
      <c r="AM141" s="154"/>
      <c r="AN141" s="154"/>
      <c r="AO141" s="156"/>
      <c r="AP141" s="154"/>
      <c r="AQ141" s="156"/>
      <c r="AR141" s="154"/>
      <c r="AS141" s="154"/>
      <c r="AT141" s="154"/>
      <c r="AU141" s="154"/>
      <c r="AV141" s="154"/>
      <c r="AW141" s="154"/>
      <c r="AX141" s="154"/>
      <c r="AY141" s="154"/>
      <c r="AZ141" s="154"/>
      <c r="BA141" s="154"/>
      <c r="BB141" s="154"/>
      <c r="BC141" s="154"/>
      <c r="BD141" s="154"/>
      <c r="BE141" s="154"/>
      <c r="BF141" s="154"/>
      <c r="BG141" s="154"/>
      <c r="BH141" s="154"/>
      <c r="BI141" s="154"/>
      <c r="BJ141" s="163"/>
      <c r="BK141" s="163"/>
      <c r="BL141" s="163"/>
      <c r="BO141" s="154"/>
      <c r="BP141" s="154"/>
      <c r="BQ141" s="154"/>
      <c r="BR141" s="154"/>
      <c r="BS141" s="154"/>
      <c r="BT141" s="154"/>
      <c r="BU141" s="154"/>
      <c r="BV141" s="154"/>
      <c r="BW141" s="154"/>
      <c r="BX141" s="154"/>
      <c r="BY141" s="154"/>
      <c r="BZ141" s="154"/>
      <c r="CA141" s="154"/>
      <c r="CB141" s="154"/>
      <c r="CC141" s="154"/>
      <c r="CD141" s="154"/>
      <c r="CE141" s="154"/>
      <c r="CF141" s="154"/>
      <c r="CG141" s="154"/>
      <c r="CH141" s="154"/>
      <c r="CI141" s="154"/>
      <c r="CJ141" s="154"/>
    </row>
    <row r="142" spans="1:88" ht="15.75" customHeight="1">
      <c r="A142" s="154"/>
      <c r="B142" s="155"/>
      <c r="C142" s="156"/>
      <c r="D142" s="154"/>
      <c r="E142" s="154"/>
      <c r="F142" s="154"/>
      <c r="G142" s="154"/>
      <c r="H142" s="154"/>
      <c r="I142" s="154"/>
      <c r="J142" s="154"/>
      <c r="K142" s="154"/>
      <c r="L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G142" s="154"/>
      <c r="AH142" s="154"/>
      <c r="AI142" s="154"/>
      <c r="AJ142" s="154"/>
      <c r="AK142" s="154"/>
      <c r="AL142" s="154"/>
      <c r="AM142" s="154"/>
      <c r="AN142" s="154"/>
      <c r="AO142" s="156"/>
      <c r="AP142" s="154"/>
      <c r="AQ142" s="156"/>
      <c r="AR142" s="154"/>
      <c r="AS142" s="154"/>
      <c r="AT142" s="154"/>
      <c r="AU142" s="154"/>
      <c r="AV142" s="154"/>
      <c r="AW142" s="154"/>
      <c r="AX142" s="154"/>
      <c r="AY142" s="154"/>
      <c r="AZ142" s="154"/>
      <c r="BA142" s="154"/>
      <c r="BB142" s="154"/>
      <c r="BC142" s="154"/>
      <c r="BD142" s="154"/>
      <c r="BE142" s="154"/>
      <c r="BF142" s="154"/>
      <c r="BG142" s="154"/>
      <c r="BH142" s="154"/>
      <c r="BI142" s="154"/>
      <c r="BJ142" s="163"/>
      <c r="BK142" s="163"/>
      <c r="BL142" s="163"/>
      <c r="BO142" s="154"/>
      <c r="BP142" s="154"/>
      <c r="BQ142" s="154"/>
      <c r="BR142" s="154"/>
      <c r="BS142" s="154"/>
      <c r="BT142" s="154"/>
      <c r="BU142" s="154"/>
      <c r="BV142" s="154"/>
      <c r="BW142" s="154"/>
      <c r="BX142" s="154"/>
      <c r="BY142" s="154"/>
      <c r="BZ142" s="154"/>
      <c r="CA142" s="154"/>
      <c r="CB142" s="154"/>
      <c r="CC142" s="154"/>
      <c r="CD142" s="154"/>
      <c r="CE142" s="154"/>
      <c r="CF142" s="154"/>
      <c r="CG142" s="154"/>
      <c r="CH142" s="154"/>
      <c r="CI142" s="154"/>
      <c r="CJ142" s="154"/>
    </row>
    <row r="143" spans="1:88" ht="15.75" customHeight="1">
      <c r="A143" s="154"/>
      <c r="B143" s="155"/>
      <c r="C143" s="156"/>
      <c r="D143" s="154"/>
      <c r="E143" s="154"/>
      <c r="F143" s="154"/>
      <c r="G143" s="154"/>
      <c r="H143" s="154"/>
      <c r="I143" s="154"/>
      <c r="J143" s="154"/>
      <c r="K143" s="154"/>
      <c r="L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G143" s="154"/>
      <c r="AH143" s="154"/>
      <c r="AI143" s="154"/>
      <c r="AJ143" s="154"/>
      <c r="AK143" s="154"/>
      <c r="AL143" s="154"/>
      <c r="AM143" s="154"/>
      <c r="AN143" s="154"/>
      <c r="AO143" s="156"/>
      <c r="AP143" s="154"/>
      <c r="AQ143" s="156"/>
      <c r="AR143" s="154"/>
      <c r="AS143" s="154"/>
      <c r="AT143" s="154"/>
      <c r="AU143" s="154"/>
      <c r="AV143" s="154"/>
      <c r="AW143" s="154"/>
      <c r="AX143" s="154"/>
      <c r="AY143" s="154"/>
      <c r="AZ143" s="154"/>
      <c r="BA143" s="154"/>
      <c r="BB143" s="154"/>
      <c r="BC143" s="154"/>
      <c r="BD143" s="154"/>
      <c r="BE143" s="154"/>
      <c r="BF143" s="154"/>
      <c r="BG143" s="154"/>
      <c r="BH143" s="154"/>
      <c r="BI143" s="154"/>
      <c r="BJ143" s="163"/>
      <c r="BK143" s="163"/>
      <c r="BL143" s="163"/>
      <c r="BO143" s="154"/>
      <c r="BP143" s="154"/>
      <c r="BQ143" s="154"/>
      <c r="BR143" s="154"/>
      <c r="BS143" s="154"/>
      <c r="BT143" s="154"/>
      <c r="BU143" s="154"/>
      <c r="BV143" s="154"/>
      <c r="BW143" s="154"/>
      <c r="BX143" s="154"/>
      <c r="BY143" s="154"/>
      <c r="BZ143" s="154"/>
      <c r="CA143" s="154"/>
      <c r="CB143" s="154"/>
      <c r="CC143" s="154"/>
      <c r="CD143" s="154"/>
      <c r="CE143" s="154"/>
      <c r="CF143" s="154"/>
      <c r="CG143" s="154"/>
      <c r="CH143" s="154"/>
      <c r="CI143" s="154"/>
      <c r="CJ143" s="154"/>
    </row>
    <row r="144" spans="1:88" ht="15.75" customHeight="1">
      <c r="A144" s="154"/>
      <c r="B144" s="155"/>
      <c r="C144" s="156"/>
      <c r="D144" s="154"/>
      <c r="E144" s="154"/>
      <c r="F144" s="154"/>
      <c r="G144" s="154"/>
      <c r="H144" s="154"/>
      <c r="I144" s="154"/>
      <c r="J144" s="154"/>
      <c r="K144" s="154"/>
      <c r="L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G144" s="154"/>
      <c r="AH144" s="154"/>
      <c r="AI144" s="154"/>
      <c r="AJ144" s="154"/>
      <c r="AK144" s="154"/>
      <c r="AL144" s="154"/>
      <c r="AM144" s="154"/>
      <c r="AN144" s="154"/>
      <c r="AO144" s="156"/>
      <c r="AP144" s="154"/>
      <c r="AQ144" s="156"/>
      <c r="AR144" s="154"/>
      <c r="AS144" s="154"/>
      <c r="AT144" s="154"/>
      <c r="AU144" s="154"/>
      <c r="AV144" s="154"/>
      <c r="AW144" s="154"/>
      <c r="AX144" s="154"/>
      <c r="AY144" s="154"/>
      <c r="AZ144" s="154"/>
      <c r="BA144" s="154"/>
      <c r="BB144" s="154"/>
      <c r="BC144" s="154"/>
      <c r="BD144" s="154"/>
      <c r="BE144" s="154"/>
      <c r="BF144" s="154"/>
      <c r="BG144" s="154"/>
      <c r="BH144" s="154"/>
      <c r="BI144" s="154"/>
      <c r="BJ144" s="163"/>
      <c r="BK144" s="163"/>
      <c r="BL144" s="163"/>
      <c r="BO144" s="154"/>
      <c r="BP144" s="154"/>
      <c r="BQ144" s="154"/>
      <c r="BR144" s="154"/>
      <c r="BS144" s="154"/>
      <c r="BT144" s="154"/>
      <c r="BU144" s="154"/>
      <c r="BV144" s="154"/>
      <c r="BW144" s="154"/>
      <c r="BX144" s="154"/>
      <c r="BY144" s="154"/>
      <c r="BZ144" s="154"/>
      <c r="CA144" s="154"/>
      <c r="CB144" s="154"/>
      <c r="CC144" s="154"/>
      <c r="CD144" s="154"/>
      <c r="CE144" s="154"/>
      <c r="CF144" s="154"/>
      <c r="CG144" s="154"/>
      <c r="CH144" s="154"/>
      <c r="CI144" s="154"/>
      <c r="CJ144" s="154"/>
    </row>
    <row r="145" spans="1:88" ht="15.75" customHeight="1">
      <c r="A145" s="154"/>
      <c r="B145" s="155"/>
      <c r="C145" s="156"/>
      <c r="D145" s="154"/>
      <c r="E145" s="154"/>
      <c r="F145" s="154"/>
      <c r="G145" s="154"/>
      <c r="H145" s="154"/>
      <c r="I145" s="154"/>
      <c r="J145" s="154"/>
      <c r="K145" s="154"/>
      <c r="L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G145" s="154"/>
      <c r="AH145" s="154"/>
      <c r="AI145" s="154"/>
      <c r="AJ145" s="154"/>
      <c r="AK145" s="154"/>
      <c r="AL145" s="154"/>
      <c r="AM145" s="154"/>
      <c r="AN145" s="154"/>
      <c r="AO145" s="156"/>
      <c r="AP145" s="154"/>
      <c r="AQ145" s="156"/>
      <c r="AR145" s="154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154"/>
      <c r="BI145" s="154"/>
      <c r="BJ145" s="163"/>
      <c r="BK145" s="163"/>
      <c r="BL145" s="163"/>
      <c r="BO145" s="154"/>
      <c r="BP145" s="154"/>
      <c r="BQ145" s="154"/>
      <c r="BR145" s="154"/>
      <c r="BS145" s="154"/>
      <c r="BT145" s="154"/>
      <c r="BU145" s="154"/>
      <c r="BV145" s="154"/>
      <c r="BW145" s="154"/>
      <c r="BX145" s="154"/>
      <c r="BY145" s="154"/>
      <c r="BZ145" s="154"/>
      <c r="CA145" s="154"/>
      <c r="CB145" s="154"/>
      <c r="CC145" s="154"/>
      <c r="CD145" s="154"/>
      <c r="CE145" s="154"/>
      <c r="CF145" s="154"/>
      <c r="CG145" s="154"/>
      <c r="CH145" s="154"/>
      <c r="CI145" s="154"/>
      <c r="CJ145" s="154"/>
    </row>
    <row r="146" spans="1:88" ht="15.75" customHeight="1">
      <c r="A146" s="154"/>
      <c r="B146" s="155"/>
      <c r="C146" s="156"/>
      <c r="D146" s="154"/>
      <c r="E146" s="154"/>
      <c r="F146" s="154"/>
      <c r="G146" s="154"/>
      <c r="H146" s="154"/>
      <c r="I146" s="154"/>
      <c r="J146" s="154"/>
      <c r="K146" s="154"/>
      <c r="L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G146" s="154"/>
      <c r="AH146" s="154"/>
      <c r="AI146" s="154"/>
      <c r="AJ146" s="154"/>
      <c r="AK146" s="154"/>
      <c r="AL146" s="154"/>
      <c r="AM146" s="154"/>
      <c r="AN146" s="154"/>
      <c r="AO146" s="156"/>
      <c r="AP146" s="154"/>
      <c r="AQ146" s="156"/>
      <c r="AR146" s="154"/>
      <c r="AS146" s="154"/>
      <c r="AT146" s="154"/>
      <c r="AU146" s="154"/>
      <c r="AV146" s="154"/>
      <c r="AW146" s="154"/>
      <c r="AX146" s="154"/>
      <c r="AY146" s="154"/>
      <c r="AZ146" s="154"/>
      <c r="BA146" s="154"/>
      <c r="BB146" s="154"/>
      <c r="BC146" s="154"/>
      <c r="BD146" s="154"/>
      <c r="BE146" s="154"/>
      <c r="BF146" s="154"/>
      <c r="BG146" s="154"/>
      <c r="BH146" s="154"/>
      <c r="BI146" s="154"/>
      <c r="BJ146" s="163"/>
      <c r="BK146" s="163"/>
      <c r="BL146" s="163"/>
      <c r="BO146" s="154"/>
      <c r="BP146" s="154"/>
      <c r="BQ146" s="154"/>
      <c r="BR146" s="154"/>
      <c r="BS146" s="154"/>
      <c r="BT146" s="154"/>
      <c r="BU146" s="154"/>
      <c r="BV146" s="154"/>
      <c r="BW146" s="154"/>
      <c r="BX146" s="154"/>
      <c r="BY146" s="154"/>
      <c r="BZ146" s="154"/>
      <c r="CA146" s="154"/>
      <c r="CB146" s="154"/>
      <c r="CC146" s="154"/>
      <c r="CD146" s="154"/>
      <c r="CE146" s="154"/>
      <c r="CF146" s="154"/>
      <c r="CG146" s="154"/>
      <c r="CH146" s="154"/>
      <c r="CI146" s="154"/>
      <c r="CJ146" s="154"/>
    </row>
    <row r="147" spans="1:88" ht="15.75" customHeight="1">
      <c r="A147" s="154"/>
      <c r="B147" s="155"/>
      <c r="C147" s="156"/>
      <c r="D147" s="154"/>
      <c r="E147" s="154"/>
      <c r="F147" s="154"/>
      <c r="G147" s="154"/>
      <c r="H147" s="154"/>
      <c r="I147" s="154"/>
      <c r="J147" s="154"/>
      <c r="K147" s="154"/>
      <c r="L147" s="154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G147" s="154"/>
      <c r="AH147" s="154"/>
      <c r="AI147" s="154"/>
      <c r="AJ147" s="154"/>
      <c r="AK147" s="154"/>
      <c r="AL147" s="154"/>
      <c r="AM147" s="154"/>
      <c r="AN147" s="154"/>
      <c r="AO147" s="156"/>
      <c r="AP147" s="154"/>
      <c r="AQ147" s="156"/>
      <c r="AR147" s="154"/>
      <c r="AS147" s="154"/>
      <c r="AT147" s="154"/>
      <c r="AU147" s="154"/>
      <c r="AV147" s="154"/>
      <c r="AW147" s="154"/>
      <c r="AX147" s="154"/>
      <c r="AY147" s="154"/>
      <c r="AZ147" s="154"/>
      <c r="BA147" s="154"/>
      <c r="BB147" s="154"/>
      <c r="BC147" s="154"/>
      <c r="BD147" s="154"/>
      <c r="BE147" s="154"/>
      <c r="BF147" s="154"/>
      <c r="BG147" s="154"/>
      <c r="BH147" s="154"/>
      <c r="BI147" s="154"/>
      <c r="BJ147" s="163"/>
      <c r="BK147" s="163"/>
      <c r="BL147" s="163"/>
      <c r="BO147" s="154"/>
      <c r="BP147" s="154"/>
      <c r="BQ147" s="154"/>
      <c r="BR147" s="154"/>
      <c r="BS147" s="154"/>
      <c r="BT147" s="154"/>
      <c r="BU147" s="154"/>
      <c r="BV147" s="154"/>
      <c r="BW147" s="154"/>
      <c r="BX147" s="154"/>
      <c r="BY147" s="154"/>
      <c r="BZ147" s="154"/>
      <c r="CA147" s="154"/>
      <c r="CB147" s="154"/>
      <c r="CC147" s="154"/>
      <c r="CD147" s="154"/>
      <c r="CE147" s="154"/>
      <c r="CF147" s="154"/>
      <c r="CG147" s="154"/>
      <c r="CH147" s="154"/>
      <c r="CI147" s="154"/>
      <c r="CJ147" s="154"/>
    </row>
    <row r="148" spans="1:88" ht="15.75" customHeight="1">
      <c r="A148" s="154"/>
      <c r="B148" s="155"/>
      <c r="C148" s="156"/>
      <c r="D148" s="154"/>
      <c r="E148" s="154"/>
      <c r="F148" s="154"/>
      <c r="G148" s="154"/>
      <c r="H148" s="154"/>
      <c r="I148" s="154"/>
      <c r="J148" s="154"/>
      <c r="K148" s="154"/>
      <c r="L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G148" s="154"/>
      <c r="AH148" s="154"/>
      <c r="AI148" s="154"/>
      <c r="AJ148" s="154"/>
      <c r="AK148" s="154"/>
      <c r="AL148" s="154"/>
      <c r="AM148" s="154"/>
      <c r="AN148" s="154"/>
      <c r="AO148" s="156"/>
      <c r="AP148" s="154"/>
      <c r="AQ148" s="156"/>
      <c r="AR148" s="154"/>
      <c r="AS148" s="154"/>
      <c r="AT148" s="154"/>
      <c r="AU148" s="154"/>
      <c r="AV148" s="154"/>
      <c r="AW148" s="154"/>
      <c r="AX148" s="154"/>
      <c r="AY148" s="154"/>
      <c r="AZ148" s="154"/>
      <c r="BA148" s="154"/>
      <c r="BB148" s="154"/>
      <c r="BC148" s="154"/>
      <c r="BD148" s="154"/>
      <c r="BE148" s="154"/>
      <c r="BF148" s="154"/>
      <c r="BG148" s="154"/>
      <c r="BH148" s="154"/>
      <c r="BI148" s="154"/>
      <c r="BJ148" s="163"/>
      <c r="BK148" s="163"/>
      <c r="BL148" s="163"/>
      <c r="BO148" s="154"/>
      <c r="BP148" s="154"/>
      <c r="BQ148" s="154"/>
      <c r="BR148" s="154"/>
      <c r="BS148" s="154"/>
      <c r="BT148" s="154"/>
      <c r="BU148" s="154"/>
      <c r="BV148" s="154"/>
      <c r="BW148" s="154"/>
      <c r="BX148" s="154"/>
      <c r="BY148" s="154"/>
      <c r="BZ148" s="154"/>
      <c r="CA148" s="154"/>
      <c r="CB148" s="154"/>
      <c r="CC148" s="154"/>
      <c r="CD148" s="154"/>
      <c r="CE148" s="154"/>
      <c r="CF148" s="154"/>
      <c r="CG148" s="154"/>
      <c r="CH148" s="154"/>
      <c r="CI148" s="154"/>
      <c r="CJ148" s="154"/>
    </row>
    <row r="149" spans="1:88" ht="15.75" customHeight="1">
      <c r="A149" s="154"/>
      <c r="B149" s="155"/>
      <c r="C149" s="156"/>
      <c r="D149" s="154"/>
      <c r="E149" s="154"/>
      <c r="F149" s="154"/>
      <c r="G149" s="154"/>
      <c r="H149" s="154"/>
      <c r="I149" s="154"/>
      <c r="J149" s="154"/>
      <c r="K149" s="154"/>
      <c r="L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G149" s="154"/>
      <c r="AH149" s="154"/>
      <c r="AI149" s="154"/>
      <c r="AJ149" s="154"/>
      <c r="AK149" s="154"/>
      <c r="AL149" s="154"/>
      <c r="AM149" s="154"/>
      <c r="AN149" s="154"/>
      <c r="AO149" s="156"/>
      <c r="AP149" s="154"/>
      <c r="AQ149" s="156"/>
      <c r="AR149" s="154"/>
      <c r="AS149" s="154"/>
      <c r="AT149" s="154"/>
      <c r="AU149" s="154"/>
      <c r="AV149" s="154"/>
      <c r="AW149" s="154"/>
      <c r="AX149" s="154"/>
      <c r="AY149" s="154"/>
      <c r="AZ149" s="154"/>
      <c r="BA149" s="154"/>
      <c r="BB149" s="154"/>
      <c r="BC149" s="154"/>
      <c r="BD149" s="154"/>
      <c r="BE149" s="154"/>
      <c r="BF149" s="154"/>
      <c r="BG149" s="154"/>
      <c r="BH149" s="154"/>
      <c r="BI149" s="154"/>
      <c r="BJ149" s="163"/>
      <c r="BK149" s="163"/>
      <c r="BL149" s="163"/>
      <c r="BO149" s="154"/>
      <c r="BP149" s="154"/>
      <c r="BQ149" s="154"/>
      <c r="BR149" s="154"/>
      <c r="BS149" s="154"/>
      <c r="BT149" s="154"/>
      <c r="BU149" s="154"/>
      <c r="BV149" s="154"/>
      <c r="BW149" s="154"/>
      <c r="BX149" s="154"/>
      <c r="BY149" s="154"/>
      <c r="BZ149" s="154"/>
      <c r="CA149" s="154"/>
      <c r="CB149" s="154"/>
      <c r="CC149" s="154"/>
      <c r="CD149" s="154"/>
      <c r="CE149" s="154"/>
      <c r="CF149" s="154"/>
      <c r="CG149" s="154"/>
      <c r="CH149" s="154"/>
      <c r="CI149" s="154"/>
      <c r="CJ149" s="154"/>
    </row>
    <row r="150" spans="1:88" ht="15.75" customHeight="1">
      <c r="A150" s="154"/>
      <c r="B150" s="155"/>
      <c r="C150" s="156"/>
      <c r="D150" s="154"/>
      <c r="E150" s="154"/>
      <c r="F150" s="154"/>
      <c r="G150" s="154"/>
      <c r="H150" s="154"/>
      <c r="I150" s="154"/>
      <c r="J150" s="154"/>
      <c r="K150" s="154"/>
      <c r="L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G150" s="154"/>
      <c r="AH150" s="154"/>
      <c r="AI150" s="154"/>
      <c r="AJ150" s="154"/>
      <c r="AK150" s="154"/>
      <c r="AL150" s="154"/>
      <c r="AM150" s="154"/>
      <c r="AN150" s="154"/>
      <c r="AO150" s="156"/>
      <c r="AP150" s="154"/>
      <c r="AQ150" s="156"/>
      <c r="AR150" s="154"/>
      <c r="AS150" s="154"/>
      <c r="AT150" s="154"/>
      <c r="AU150" s="154"/>
      <c r="AV150" s="154"/>
      <c r="AW150" s="154"/>
      <c r="AX150" s="154"/>
      <c r="AY150" s="154"/>
      <c r="AZ150" s="154"/>
      <c r="BA150" s="154"/>
      <c r="BB150" s="154"/>
      <c r="BC150" s="154"/>
      <c r="BD150" s="154"/>
      <c r="BE150" s="154"/>
      <c r="BF150" s="154"/>
      <c r="BG150" s="154"/>
      <c r="BH150" s="154"/>
      <c r="BI150" s="154"/>
      <c r="BJ150" s="163"/>
      <c r="BK150" s="163"/>
      <c r="BL150" s="163"/>
      <c r="BO150" s="154"/>
      <c r="BP150" s="154"/>
      <c r="BQ150" s="154"/>
      <c r="BR150" s="154"/>
      <c r="BS150" s="154"/>
      <c r="BT150" s="154"/>
      <c r="BU150" s="154"/>
      <c r="BV150" s="154"/>
      <c r="BW150" s="154"/>
      <c r="BX150" s="154"/>
      <c r="BY150" s="154"/>
      <c r="BZ150" s="154"/>
      <c r="CA150" s="154"/>
      <c r="CB150" s="154"/>
      <c r="CC150" s="154"/>
      <c r="CD150" s="154"/>
      <c r="CE150" s="154"/>
      <c r="CF150" s="154"/>
      <c r="CG150" s="154"/>
      <c r="CH150" s="154"/>
      <c r="CI150" s="154"/>
      <c r="CJ150" s="154"/>
    </row>
    <row r="151" spans="1:88" ht="15.75" customHeight="1">
      <c r="A151" s="154"/>
      <c r="B151" s="155"/>
      <c r="C151" s="156"/>
      <c r="D151" s="154"/>
      <c r="E151" s="154"/>
      <c r="F151" s="154"/>
      <c r="G151" s="154"/>
      <c r="H151" s="154"/>
      <c r="I151" s="154"/>
      <c r="J151" s="154"/>
      <c r="K151" s="154"/>
      <c r="L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G151" s="154"/>
      <c r="AH151" s="154"/>
      <c r="AI151" s="154"/>
      <c r="AJ151" s="154"/>
      <c r="AK151" s="154"/>
      <c r="AL151" s="154"/>
      <c r="AM151" s="154"/>
      <c r="AN151" s="154"/>
      <c r="AO151" s="156"/>
      <c r="AP151" s="154"/>
      <c r="AQ151" s="156"/>
      <c r="AR151" s="154"/>
      <c r="AS151" s="154"/>
      <c r="AT151" s="154"/>
      <c r="AU151" s="154"/>
      <c r="AV151" s="154"/>
      <c r="AW151" s="154"/>
      <c r="AX151" s="154"/>
      <c r="AY151" s="154"/>
      <c r="AZ151" s="154"/>
      <c r="BA151" s="154"/>
      <c r="BB151" s="154"/>
      <c r="BC151" s="154"/>
      <c r="BD151" s="154"/>
      <c r="BE151" s="154"/>
      <c r="BF151" s="154"/>
      <c r="BG151" s="154"/>
      <c r="BH151" s="154"/>
      <c r="BI151" s="154"/>
      <c r="BJ151" s="163"/>
      <c r="BK151" s="163"/>
      <c r="BL151" s="163"/>
      <c r="BO151" s="154"/>
      <c r="BP151" s="154"/>
      <c r="BQ151" s="154"/>
      <c r="BR151" s="154"/>
      <c r="BS151" s="154"/>
      <c r="BT151" s="154"/>
      <c r="BU151" s="154"/>
      <c r="BV151" s="154"/>
      <c r="BW151" s="154"/>
      <c r="BX151" s="154"/>
      <c r="BY151" s="154"/>
      <c r="BZ151" s="154"/>
      <c r="CA151" s="154"/>
      <c r="CB151" s="154"/>
      <c r="CC151" s="154"/>
      <c r="CD151" s="154"/>
      <c r="CE151" s="154"/>
      <c r="CF151" s="154"/>
      <c r="CG151" s="154"/>
      <c r="CH151" s="154"/>
      <c r="CI151" s="154"/>
      <c r="CJ151" s="154"/>
    </row>
    <row r="152" spans="1:88" ht="15.75" customHeight="1">
      <c r="A152" s="154"/>
      <c r="B152" s="155"/>
      <c r="C152" s="156"/>
      <c r="D152" s="154"/>
      <c r="E152" s="154"/>
      <c r="F152" s="154"/>
      <c r="G152" s="154"/>
      <c r="H152" s="154"/>
      <c r="I152" s="154"/>
      <c r="J152" s="154"/>
      <c r="K152" s="154"/>
      <c r="L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G152" s="154"/>
      <c r="AH152" s="154"/>
      <c r="AI152" s="154"/>
      <c r="AJ152" s="154"/>
      <c r="AK152" s="154"/>
      <c r="AL152" s="154"/>
      <c r="AM152" s="154"/>
      <c r="AN152" s="154"/>
      <c r="AO152" s="156"/>
      <c r="AP152" s="154"/>
      <c r="AQ152" s="156"/>
      <c r="AR152" s="154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4"/>
      <c r="BE152" s="154"/>
      <c r="BF152" s="154"/>
      <c r="BG152" s="154"/>
      <c r="BH152" s="154"/>
      <c r="BI152" s="154"/>
      <c r="BJ152" s="163"/>
      <c r="BK152" s="163"/>
      <c r="BL152" s="163"/>
      <c r="BO152" s="154"/>
      <c r="BP152" s="154"/>
      <c r="BQ152" s="154"/>
      <c r="BR152" s="154"/>
      <c r="BS152" s="154"/>
      <c r="BT152" s="154"/>
      <c r="BU152" s="154"/>
      <c r="BV152" s="154"/>
      <c r="BW152" s="154"/>
      <c r="BX152" s="154"/>
      <c r="BY152" s="154"/>
      <c r="BZ152" s="154"/>
      <c r="CA152" s="154"/>
      <c r="CB152" s="154"/>
      <c r="CC152" s="154"/>
      <c r="CD152" s="154"/>
      <c r="CE152" s="154"/>
      <c r="CF152" s="154"/>
      <c r="CG152" s="154"/>
      <c r="CH152" s="154"/>
      <c r="CI152" s="154"/>
      <c r="CJ152" s="154"/>
    </row>
    <row r="153" spans="1:88" ht="15.75" customHeight="1">
      <c r="A153" s="154"/>
      <c r="B153" s="155"/>
      <c r="C153" s="156"/>
      <c r="D153" s="154"/>
      <c r="E153" s="154"/>
      <c r="F153" s="154"/>
      <c r="G153" s="154"/>
      <c r="H153" s="154"/>
      <c r="I153" s="154"/>
      <c r="J153" s="154"/>
      <c r="K153" s="154"/>
      <c r="L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G153" s="154"/>
      <c r="AH153" s="154"/>
      <c r="AI153" s="154"/>
      <c r="AJ153" s="154"/>
      <c r="AK153" s="154"/>
      <c r="AL153" s="154"/>
      <c r="AM153" s="154"/>
      <c r="AN153" s="154"/>
      <c r="AO153" s="156"/>
      <c r="AP153" s="154"/>
      <c r="AQ153" s="156"/>
      <c r="AR153" s="154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154"/>
      <c r="BI153" s="154"/>
      <c r="BJ153" s="163"/>
      <c r="BK153" s="163"/>
      <c r="BL153" s="163"/>
      <c r="BO153" s="154"/>
      <c r="BP153" s="154"/>
      <c r="BQ153" s="154"/>
      <c r="BR153" s="154"/>
      <c r="BS153" s="154"/>
      <c r="BT153" s="154"/>
      <c r="BU153" s="154"/>
      <c r="BV153" s="154"/>
      <c r="BW153" s="154"/>
      <c r="BX153" s="154"/>
      <c r="BY153" s="154"/>
      <c r="BZ153" s="154"/>
      <c r="CA153" s="154"/>
      <c r="CB153" s="154"/>
      <c r="CC153" s="154"/>
      <c r="CD153" s="154"/>
      <c r="CE153" s="154"/>
      <c r="CF153" s="154"/>
      <c r="CG153" s="154"/>
      <c r="CH153" s="154"/>
      <c r="CI153" s="154"/>
      <c r="CJ153" s="154"/>
    </row>
    <row r="154" spans="1:88" ht="15.75" customHeight="1">
      <c r="A154" s="154"/>
      <c r="B154" s="155"/>
      <c r="C154" s="156"/>
      <c r="D154" s="154"/>
      <c r="E154" s="154"/>
      <c r="F154" s="154"/>
      <c r="G154" s="154"/>
      <c r="H154" s="154"/>
      <c r="I154" s="154"/>
      <c r="J154" s="154"/>
      <c r="K154" s="154"/>
      <c r="L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G154" s="154"/>
      <c r="AH154" s="154"/>
      <c r="AI154" s="154"/>
      <c r="AJ154" s="154"/>
      <c r="AK154" s="154"/>
      <c r="AL154" s="154"/>
      <c r="AM154" s="154"/>
      <c r="AN154" s="154"/>
      <c r="AO154" s="156"/>
      <c r="AP154" s="154"/>
      <c r="AQ154" s="156"/>
      <c r="AR154" s="154"/>
      <c r="AS154" s="154"/>
      <c r="AT154" s="154"/>
      <c r="AU154" s="154"/>
      <c r="AV154" s="154"/>
      <c r="AW154" s="154"/>
      <c r="AX154" s="154"/>
      <c r="AY154" s="154"/>
      <c r="AZ154" s="154"/>
      <c r="BA154" s="154"/>
      <c r="BB154" s="154"/>
      <c r="BC154" s="154"/>
      <c r="BD154" s="154"/>
      <c r="BE154" s="154"/>
      <c r="BF154" s="154"/>
      <c r="BG154" s="154"/>
      <c r="BH154" s="154"/>
      <c r="BI154" s="154"/>
      <c r="BJ154" s="163"/>
      <c r="BK154" s="163"/>
      <c r="BL154" s="163"/>
      <c r="BO154" s="154"/>
      <c r="BP154" s="154"/>
      <c r="BQ154" s="154"/>
      <c r="BR154" s="154"/>
      <c r="BS154" s="154"/>
      <c r="BT154" s="154"/>
      <c r="BU154" s="154"/>
      <c r="BV154" s="154"/>
      <c r="BW154" s="154"/>
      <c r="BX154" s="154"/>
      <c r="BY154" s="154"/>
      <c r="BZ154" s="154"/>
      <c r="CA154" s="154"/>
      <c r="CB154" s="154"/>
      <c r="CC154" s="154"/>
      <c r="CD154" s="154"/>
      <c r="CE154" s="154"/>
      <c r="CF154" s="154"/>
      <c r="CG154" s="154"/>
      <c r="CH154" s="154"/>
      <c r="CI154" s="154"/>
      <c r="CJ154" s="154"/>
    </row>
    <row r="155" spans="1:88" ht="15.75" customHeight="1">
      <c r="A155" s="154"/>
      <c r="B155" s="155"/>
      <c r="C155" s="156"/>
      <c r="D155" s="154"/>
      <c r="E155" s="154"/>
      <c r="F155" s="154"/>
      <c r="G155" s="154"/>
      <c r="H155" s="154"/>
      <c r="I155" s="154"/>
      <c r="J155" s="154"/>
      <c r="K155" s="154"/>
      <c r="L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G155" s="154"/>
      <c r="AH155" s="154"/>
      <c r="AI155" s="154"/>
      <c r="AJ155" s="154"/>
      <c r="AK155" s="154"/>
      <c r="AL155" s="154"/>
      <c r="AM155" s="154"/>
      <c r="AN155" s="154"/>
      <c r="AO155" s="156"/>
      <c r="AP155" s="154"/>
      <c r="AQ155" s="156"/>
      <c r="AR155" s="154"/>
      <c r="AS155" s="154"/>
      <c r="AT155" s="154"/>
      <c r="AU155" s="154"/>
      <c r="AV155" s="154"/>
      <c r="AW155" s="154"/>
      <c r="AX155" s="154"/>
      <c r="AY155" s="154"/>
      <c r="AZ155" s="154"/>
      <c r="BA155" s="154"/>
      <c r="BB155" s="154"/>
      <c r="BC155" s="154"/>
      <c r="BD155" s="154"/>
      <c r="BE155" s="154"/>
      <c r="BF155" s="154"/>
      <c r="BG155" s="154"/>
      <c r="BH155" s="154"/>
      <c r="BI155" s="154"/>
      <c r="BJ155" s="163"/>
      <c r="BK155" s="163"/>
      <c r="BL155" s="163"/>
      <c r="BO155" s="154"/>
      <c r="BP155" s="154"/>
      <c r="BQ155" s="154"/>
      <c r="BR155" s="154"/>
      <c r="BS155" s="154"/>
      <c r="BT155" s="154"/>
      <c r="BU155" s="154"/>
      <c r="BV155" s="154"/>
      <c r="BW155" s="154"/>
      <c r="BX155" s="154"/>
      <c r="BY155" s="154"/>
      <c r="BZ155" s="154"/>
      <c r="CA155" s="154"/>
      <c r="CB155" s="154"/>
      <c r="CC155" s="154"/>
      <c r="CD155" s="154"/>
      <c r="CE155" s="154"/>
      <c r="CF155" s="154"/>
      <c r="CG155" s="154"/>
      <c r="CH155" s="154"/>
      <c r="CI155" s="154"/>
      <c r="CJ155" s="154"/>
    </row>
    <row r="156" spans="1:88" ht="15.75" customHeight="1">
      <c r="A156" s="154"/>
      <c r="B156" s="155"/>
      <c r="C156" s="156"/>
      <c r="D156" s="154"/>
      <c r="E156" s="154"/>
      <c r="F156" s="154"/>
      <c r="G156" s="154"/>
      <c r="H156" s="154"/>
      <c r="I156" s="154"/>
      <c r="J156" s="154"/>
      <c r="K156" s="154"/>
      <c r="L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G156" s="154"/>
      <c r="AH156" s="154"/>
      <c r="AI156" s="154"/>
      <c r="AJ156" s="154"/>
      <c r="AK156" s="154"/>
      <c r="AL156" s="154"/>
      <c r="AM156" s="154"/>
      <c r="AN156" s="154"/>
      <c r="AO156" s="156"/>
      <c r="AP156" s="154"/>
      <c r="AQ156" s="156"/>
      <c r="AR156" s="154"/>
      <c r="AS156" s="154"/>
      <c r="AT156" s="154"/>
      <c r="AU156" s="154"/>
      <c r="AV156" s="154"/>
      <c r="AW156" s="154"/>
      <c r="AX156" s="154"/>
      <c r="AY156" s="154"/>
      <c r="AZ156" s="154"/>
      <c r="BA156" s="154"/>
      <c r="BB156" s="154"/>
      <c r="BC156" s="154"/>
      <c r="BD156" s="154"/>
      <c r="BE156" s="154"/>
      <c r="BF156" s="154"/>
      <c r="BG156" s="154"/>
      <c r="BH156" s="154"/>
      <c r="BI156" s="154"/>
      <c r="BJ156" s="163"/>
      <c r="BK156" s="163"/>
      <c r="BL156" s="163"/>
      <c r="BO156" s="154"/>
      <c r="BP156" s="154"/>
      <c r="BQ156" s="154"/>
      <c r="BR156" s="154"/>
      <c r="BS156" s="154"/>
      <c r="BT156" s="154"/>
      <c r="BU156" s="154"/>
      <c r="BV156" s="154"/>
      <c r="BW156" s="154"/>
      <c r="BX156" s="154"/>
      <c r="BY156" s="154"/>
      <c r="BZ156" s="154"/>
      <c r="CA156" s="154"/>
      <c r="CB156" s="154"/>
      <c r="CC156" s="154"/>
      <c r="CD156" s="154"/>
      <c r="CE156" s="154"/>
      <c r="CF156" s="154"/>
      <c r="CG156" s="154"/>
      <c r="CH156" s="154"/>
      <c r="CI156" s="154"/>
      <c r="CJ156" s="154"/>
    </row>
    <row r="157" spans="1:88" ht="15.75" customHeight="1">
      <c r="A157" s="154"/>
      <c r="B157" s="155"/>
      <c r="C157" s="156"/>
      <c r="D157" s="154"/>
      <c r="E157" s="154"/>
      <c r="F157" s="154"/>
      <c r="G157" s="154"/>
      <c r="H157" s="154"/>
      <c r="I157" s="154"/>
      <c r="J157" s="154"/>
      <c r="K157" s="154"/>
      <c r="L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G157" s="154"/>
      <c r="AH157" s="154"/>
      <c r="AI157" s="154"/>
      <c r="AJ157" s="154"/>
      <c r="AK157" s="154"/>
      <c r="AL157" s="154"/>
      <c r="AM157" s="154"/>
      <c r="AN157" s="154"/>
      <c r="AO157" s="156"/>
      <c r="AP157" s="154"/>
      <c r="AQ157" s="156"/>
      <c r="AR157" s="154"/>
      <c r="AS157" s="154"/>
      <c r="AT157" s="154"/>
      <c r="AU157" s="154"/>
      <c r="AV157" s="154"/>
      <c r="AW157" s="154"/>
      <c r="AX157" s="154"/>
      <c r="AY157" s="154"/>
      <c r="AZ157" s="154"/>
      <c r="BA157" s="154"/>
      <c r="BB157" s="154"/>
      <c r="BC157" s="154"/>
      <c r="BD157" s="154"/>
      <c r="BE157" s="154"/>
      <c r="BF157" s="154"/>
      <c r="BG157" s="154"/>
      <c r="BH157" s="154"/>
      <c r="BI157" s="154"/>
      <c r="BJ157" s="163"/>
      <c r="BK157" s="163"/>
      <c r="BL157" s="163"/>
      <c r="BO157" s="154"/>
      <c r="BP157" s="154"/>
      <c r="BQ157" s="154"/>
      <c r="BR157" s="154"/>
      <c r="BS157" s="154"/>
      <c r="BT157" s="154"/>
      <c r="BU157" s="154"/>
      <c r="BV157" s="154"/>
      <c r="BW157" s="154"/>
      <c r="BX157" s="154"/>
      <c r="BY157" s="154"/>
      <c r="BZ157" s="154"/>
      <c r="CA157" s="154"/>
      <c r="CB157" s="154"/>
      <c r="CC157" s="154"/>
      <c r="CD157" s="154"/>
      <c r="CE157" s="154"/>
      <c r="CF157" s="154"/>
      <c r="CG157" s="154"/>
      <c r="CH157" s="154"/>
      <c r="CI157" s="154"/>
      <c r="CJ157" s="154"/>
    </row>
    <row r="158" spans="1:88" ht="15.75" customHeight="1">
      <c r="A158" s="154"/>
      <c r="B158" s="155"/>
      <c r="C158" s="156"/>
      <c r="D158" s="154"/>
      <c r="E158" s="154"/>
      <c r="F158" s="154"/>
      <c r="G158" s="154"/>
      <c r="H158" s="154"/>
      <c r="I158" s="154"/>
      <c r="J158" s="154"/>
      <c r="K158" s="154"/>
      <c r="L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G158" s="154"/>
      <c r="AH158" s="154"/>
      <c r="AI158" s="154"/>
      <c r="AJ158" s="154"/>
      <c r="AK158" s="154"/>
      <c r="AL158" s="154"/>
      <c r="AM158" s="154"/>
      <c r="AN158" s="154"/>
      <c r="AO158" s="156"/>
      <c r="AP158" s="154"/>
      <c r="AQ158" s="156"/>
      <c r="AR158" s="154"/>
      <c r="AS158" s="154"/>
      <c r="AT158" s="154"/>
      <c r="AU158" s="154"/>
      <c r="AV158" s="154"/>
      <c r="AW158" s="154"/>
      <c r="AX158" s="154"/>
      <c r="AY158" s="154"/>
      <c r="AZ158" s="154"/>
      <c r="BA158" s="154"/>
      <c r="BB158" s="154"/>
      <c r="BC158" s="154"/>
      <c r="BD158" s="154"/>
      <c r="BE158" s="154"/>
      <c r="BF158" s="154"/>
      <c r="BG158" s="154"/>
      <c r="BH158" s="154"/>
      <c r="BI158" s="154"/>
      <c r="BJ158" s="163"/>
      <c r="BK158" s="163"/>
      <c r="BL158" s="163"/>
      <c r="BO158" s="154"/>
      <c r="BP158" s="154"/>
      <c r="BQ158" s="154"/>
      <c r="BR158" s="154"/>
      <c r="BS158" s="154"/>
      <c r="BT158" s="154"/>
      <c r="BU158" s="154"/>
      <c r="BV158" s="154"/>
      <c r="BW158" s="154"/>
      <c r="BX158" s="154"/>
      <c r="BY158" s="154"/>
      <c r="BZ158" s="154"/>
      <c r="CA158" s="154"/>
      <c r="CB158" s="154"/>
      <c r="CC158" s="154"/>
      <c r="CD158" s="154"/>
      <c r="CE158" s="154"/>
      <c r="CF158" s="154"/>
      <c r="CG158" s="154"/>
      <c r="CH158" s="154"/>
      <c r="CI158" s="154"/>
      <c r="CJ158" s="154"/>
    </row>
    <row r="159" spans="1:88" ht="15.75" customHeight="1">
      <c r="A159" s="154"/>
      <c r="B159" s="155"/>
      <c r="C159" s="156"/>
      <c r="D159" s="154"/>
      <c r="E159" s="154"/>
      <c r="F159" s="154"/>
      <c r="G159" s="154"/>
      <c r="H159" s="154"/>
      <c r="I159" s="154"/>
      <c r="J159" s="154"/>
      <c r="K159" s="154"/>
      <c r="L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G159" s="154"/>
      <c r="AH159" s="154"/>
      <c r="AI159" s="154"/>
      <c r="AJ159" s="154"/>
      <c r="AK159" s="154"/>
      <c r="AL159" s="154"/>
      <c r="AM159" s="154"/>
      <c r="AN159" s="154"/>
      <c r="AO159" s="156"/>
      <c r="AP159" s="154"/>
      <c r="AQ159" s="156"/>
      <c r="AR159" s="154"/>
      <c r="AS159" s="154"/>
      <c r="AT159" s="154"/>
      <c r="AU159" s="154"/>
      <c r="AV159" s="154"/>
      <c r="AW159" s="154"/>
      <c r="AX159" s="154"/>
      <c r="AY159" s="154"/>
      <c r="AZ159" s="154"/>
      <c r="BA159" s="154"/>
      <c r="BB159" s="154"/>
      <c r="BC159" s="154"/>
      <c r="BD159" s="154"/>
      <c r="BE159" s="154"/>
      <c r="BF159" s="154"/>
      <c r="BG159" s="154"/>
      <c r="BH159" s="154"/>
      <c r="BI159" s="154"/>
      <c r="BJ159" s="163"/>
      <c r="BK159" s="163"/>
      <c r="BL159" s="163"/>
      <c r="BO159" s="154"/>
      <c r="BP159" s="154"/>
      <c r="BQ159" s="154"/>
      <c r="BR159" s="154"/>
      <c r="BS159" s="154"/>
      <c r="BT159" s="154"/>
      <c r="BU159" s="154"/>
      <c r="BV159" s="154"/>
      <c r="BW159" s="154"/>
      <c r="BX159" s="154"/>
      <c r="BY159" s="154"/>
      <c r="BZ159" s="154"/>
      <c r="CA159" s="154"/>
      <c r="CB159" s="154"/>
      <c r="CC159" s="154"/>
      <c r="CD159" s="154"/>
      <c r="CE159" s="154"/>
      <c r="CF159" s="154"/>
      <c r="CG159" s="154"/>
      <c r="CH159" s="154"/>
      <c r="CI159" s="154"/>
      <c r="CJ159" s="154"/>
    </row>
    <row r="160" spans="1:88" ht="15.75" customHeight="1">
      <c r="A160" s="154"/>
      <c r="B160" s="155"/>
      <c r="C160" s="156"/>
      <c r="D160" s="154"/>
      <c r="E160" s="154"/>
      <c r="F160" s="154"/>
      <c r="G160" s="154"/>
      <c r="H160" s="154"/>
      <c r="I160" s="154"/>
      <c r="J160" s="154"/>
      <c r="K160" s="154"/>
      <c r="L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G160" s="154"/>
      <c r="AH160" s="154"/>
      <c r="AI160" s="154"/>
      <c r="AJ160" s="154"/>
      <c r="AK160" s="154"/>
      <c r="AL160" s="154"/>
      <c r="AM160" s="154"/>
      <c r="AN160" s="154"/>
      <c r="AO160" s="156"/>
      <c r="AP160" s="154"/>
      <c r="AQ160" s="156"/>
      <c r="AR160" s="154"/>
      <c r="AS160" s="154"/>
      <c r="AT160" s="154"/>
      <c r="AU160" s="154"/>
      <c r="AV160" s="154"/>
      <c r="AW160" s="154"/>
      <c r="AX160" s="154"/>
      <c r="AY160" s="154"/>
      <c r="AZ160" s="154"/>
      <c r="BA160" s="154"/>
      <c r="BB160" s="154"/>
      <c r="BC160" s="154"/>
      <c r="BD160" s="154"/>
      <c r="BE160" s="154"/>
      <c r="BF160" s="154"/>
      <c r="BG160" s="154"/>
      <c r="BH160" s="154"/>
      <c r="BI160" s="154"/>
      <c r="BJ160" s="163"/>
      <c r="BK160" s="163"/>
      <c r="BL160" s="163"/>
      <c r="BO160" s="154"/>
      <c r="BP160" s="154"/>
      <c r="BQ160" s="154"/>
      <c r="BR160" s="154"/>
      <c r="BS160" s="154"/>
      <c r="BT160" s="154"/>
      <c r="BU160" s="154"/>
      <c r="BV160" s="154"/>
      <c r="BW160" s="154"/>
      <c r="BX160" s="154"/>
      <c r="BY160" s="154"/>
      <c r="BZ160" s="154"/>
      <c r="CA160" s="154"/>
      <c r="CB160" s="154"/>
      <c r="CC160" s="154"/>
      <c r="CD160" s="154"/>
      <c r="CE160" s="154"/>
      <c r="CF160" s="154"/>
      <c r="CG160" s="154"/>
      <c r="CH160" s="154"/>
      <c r="CI160" s="154"/>
      <c r="CJ160" s="154"/>
    </row>
    <row r="161" spans="1:88" ht="15.75" customHeight="1">
      <c r="A161" s="154"/>
      <c r="B161" s="155"/>
      <c r="C161" s="156"/>
      <c r="D161" s="154"/>
      <c r="E161" s="154"/>
      <c r="F161" s="154"/>
      <c r="G161" s="154"/>
      <c r="H161" s="154"/>
      <c r="I161" s="154"/>
      <c r="J161" s="154"/>
      <c r="K161" s="154"/>
      <c r="L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G161" s="154"/>
      <c r="AH161" s="154"/>
      <c r="AI161" s="154"/>
      <c r="AJ161" s="154"/>
      <c r="AK161" s="154"/>
      <c r="AL161" s="154"/>
      <c r="AM161" s="154"/>
      <c r="AN161" s="154"/>
      <c r="AO161" s="156"/>
      <c r="AP161" s="154"/>
      <c r="AQ161" s="156"/>
      <c r="AR161" s="154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54"/>
      <c r="BI161" s="154"/>
      <c r="BJ161" s="163"/>
      <c r="BK161" s="163"/>
      <c r="BL161" s="163"/>
      <c r="BO161" s="154"/>
      <c r="BP161" s="154"/>
      <c r="BQ161" s="154"/>
      <c r="BR161" s="154"/>
      <c r="BS161" s="154"/>
      <c r="BT161" s="154"/>
      <c r="BU161" s="154"/>
      <c r="BV161" s="154"/>
      <c r="BW161" s="154"/>
      <c r="BX161" s="154"/>
      <c r="BY161" s="154"/>
      <c r="BZ161" s="154"/>
      <c r="CA161" s="154"/>
      <c r="CB161" s="154"/>
      <c r="CC161" s="154"/>
      <c r="CD161" s="154"/>
      <c r="CE161" s="154"/>
      <c r="CF161" s="154"/>
      <c r="CG161" s="154"/>
      <c r="CH161" s="154"/>
      <c r="CI161" s="154"/>
      <c r="CJ161" s="154"/>
    </row>
    <row r="162" spans="1:88" ht="15.75" customHeight="1">
      <c r="A162" s="154"/>
      <c r="B162" s="155"/>
      <c r="C162" s="156"/>
      <c r="D162" s="154"/>
      <c r="E162" s="154"/>
      <c r="F162" s="154"/>
      <c r="G162" s="154"/>
      <c r="H162" s="154"/>
      <c r="I162" s="154"/>
      <c r="J162" s="154"/>
      <c r="K162" s="154"/>
      <c r="L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G162" s="154"/>
      <c r="AH162" s="154"/>
      <c r="AI162" s="154"/>
      <c r="AJ162" s="154"/>
      <c r="AK162" s="154"/>
      <c r="AL162" s="154"/>
      <c r="AM162" s="154"/>
      <c r="AN162" s="154"/>
      <c r="AO162" s="156"/>
      <c r="AP162" s="154"/>
      <c r="AQ162" s="156"/>
      <c r="AR162" s="154"/>
      <c r="AS162" s="154"/>
      <c r="AT162" s="154"/>
      <c r="AU162" s="154"/>
      <c r="AV162" s="154"/>
      <c r="AW162" s="154"/>
      <c r="AX162" s="154"/>
      <c r="AY162" s="154"/>
      <c r="AZ162" s="154"/>
      <c r="BA162" s="154"/>
      <c r="BB162" s="154"/>
      <c r="BC162" s="154"/>
      <c r="BD162" s="154"/>
      <c r="BE162" s="154"/>
      <c r="BF162" s="154"/>
      <c r="BG162" s="154"/>
      <c r="BH162" s="154"/>
      <c r="BI162" s="154"/>
      <c r="BJ162" s="163"/>
      <c r="BK162" s="163"/>
      <c r="BL162" s="163"/>
      <c r="BO162" s="154"/>
      <c r="BP162" s="154"/>
      <c r="BQ162" s="154"/>
      <c r="BR162" s="154"/>
      <c r="BS162" s="154"/>
      <c r="BT162" s="154"/>
      <c r="BU162" s="154"/>
      <c r="BV162" s="154"/>
      <c r="BW162" s="154"/>
      <c r="BX162" s="154"/>
      <c r="BY162" s="154"/>
      <c r="BZ162" s="154"/>
      <c r="CA162" s="154"/>
      <c r="CB162" s="154"/>
      <c r="CC162" s="154"/>
      <c r="CD162" s="154"/>
      <c r="CE162" s="154"/>
      <c r="CF162" s="154"/>
      <c r="CG162" s="154"/>
      <c r="CH162" s="154"/>
      <c r="CI162" s="154"/>
      <c r="CJ162" s="154"/>
    </row>
    <row r="163" spans="1:88" ht="15.75" customHeight="1">
      <c r="A163" s="154"/>
      <c r="B163" s="155"/>
      <c r="C163" s="156"/>
      <c r="D163" s="154"/>
      <c r="E163" s="154"/>
      <c r="F163" s="154"/>
      <c r="G163" s="154"/>
      <c r="H163" s="154"/>
      <c r="I163" s="154"/>
      <c r="J163" s="154"/>
      <c r="K163" s="154"/>
      <c r="L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G163" s="154"/>
      <c r="AH163" s="154"/>
      <c r="AI163" s="154"/>
      <c r="AJ163" s="154"/>
      <c r="AK163" s="154"/>
      <c r="AL163" s="154"/>
      <c r="AM163" s="154"/>
      <c r="AN163" s="154"/>
      <c r="AO163" s="156"/>
      <c r="AP163" s="154"/>
      <c r="AQ163" s="156"/>
      <c r="AR163" s="154"/>
      <c r="AS163" s="154"/>
      <c r="AT163" s="154"/>
      <c r="AU163" s="154"/>
      <c r="AV163" s="154"/>
      <c r="AW163" s="154"/>
      <c r="AX163" s="154"/>
      <c r="AY163" s="154"/>
      <c r="AZ163" s="154"/>
      <c r="BA163" s="154"/>
      <c r="BB163" s="154"/>
      <c r="BC163" s="154"/>
      <c r="BD163" s="154"/>
      <c r="BE163" s="154"/>
      <c r="BF163" s="154"/>
      <c r="BG163" s="154"/>
      <c r="BH163" s="154"/>
      <c r="BI163" s="154"/>
      <c r="BJ163" s="163"/>
      <c r="BK163" s="163"/>
      <c r="BL163" s="163"/>
      <c r="BO163" s="154"/>
      <c r="BP163" s="154"/>
      <c r="BQ163" s="154"/>
      <c r="BR163" s="154"/>
      <c r="BS163" s="154"/>
      <c r="BT163" s="154"/>
      <c r="BU163" s="154"/>
      <c r="BV163" s="154"/>
      <c r="BW163" s="154"/>
      <c r="BX163" s="154"/>
      <c r="BY163" s="154"/>
      <c r="BZ163" s="154"/>
      <c r="CA163" s="154"/>
      <c r="CB163" s="154"/>
      <c r="CC163" s="154"/>
      <c r="CD163" s="154"/>
      <c r="CE163" s="154"/>
      <c r="CF163" s="154"/>
      <c r="CG163" s="154"/>
      <c r="CH163" s="154"/>
      <c r="CI163" s="154"/>
      <c r="CJ163" s="154"/>
    </row>
    <row r="164" spans="1:88" ht="15.75" customHeight="1">
      <c r="A164" s="154"/>
      <c r="B164" s="155"/>
      <c r="C164" s="156"/>
      <c r="D164" s="154"/>
      <c r="E164" s="154"/>
      <c r="F164" s="154"/>
      <c r="G164" s="154"/>
      <c r="H164" s="154"/>
      <c r="I164" s="154"/>
      <c r="J164" s="154"/>
      <c r="K164" s="154"/>
      <c r="L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G164" s="154"/>
      <c r="AH164" s="154"/>
      <c r="AI164" s="154"/>
      <c r="AJ164" s="154"/>
      <c r="AK164" s="154"/>
      <c r="AL164" s="154"/>
      <c r="AM164" s="154"/>
      <c r="AN164" s="154"/>
      <c r="AO164" s="156"/>
      <c r="AP164" s="154"/>
      <c r="AQ164" s="156"/>
      <c r="AR164" s="154"/>
      <c r="AS164" s="154"/>
      <c r="AT164" s="154"/>
      <c r="AU164" s="154"/>
      <c r="AV164" s="154"/>
      <c r="AW164" s="154"/>
      <c r="AX164" s="154"/>
      <c r="AY164" s="154"/>
      <c r="AZ164" s="154"/>
      <c r="BA164" s="154"/>
      <c r="BB164" s="154"/>
      <c r="BC164" s="154"/>
      <c r="BD164" s="154"/>
      <c r="BE164" s="154"/>
      <c r="BF164" s="154"/>
      <c r="BG164" s="154"/>
      <c r="BH164" s="154"/>
      <c r="BI164" s="154"/>
      <c r="BJ164" s="163"/>
      <c r="BK164" s="163"/>
      <c r="BL164" s="163"/>
      <c r="BO164" s="154"/>
      <c r="BP164" s="154"/>
      <c r="BQ164" s="154"/>
      <c r="BR164" s="154"/>
      <c r="BS164" s="154"/>
      <c r="BT164" s="154"/>
      <c r="BU164" s="154"/>
      <c r="BV164" s="154"/>
      <c r="BW164" s="154"/>
      <c r="BX164" s="154"/>
      <c r="BY164" s="154"/>
      <c r="BZ164" s="154"/>
      <c r="CA164" s="154"/>
      <c r="CB164" s="154"/>
      <c r="CC164" s="154"/>
      <c r="CD164" s="154"/>
      <c r="CE164" s="154"/>
      <c r="CF164" s="154"/>
      <c r="CG164" s="154"/>
      <c r="CH164" s="154"/>
      <c r="CI164" s="154"/>
      <c r="CJ164" s="154"/>
    </row>
    <row r="165" spans="1:88" ht="15.75" customHeight="1">
      <c r="A165" s="154"/>
      <c r="B165" s="155"/>
      <c r="C165" s="156"/>
      <c r="D165" s="154"/>
      <c r="E165" s="154"/>
      <c r="F165" s="154"/>
      <c r="G165" s="154"/>
      <c r="H165" s="154"/>
      <c r="I165" s="154"/>
      <c r="J165" s="154"/>
      <c r="K165" s="154"/>
      <c r="L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G165" s="154"/>
      <c r="AH165" s="154"/>
      <c r="AI165" s="154"/>
      <c r="AJ165" s="154"/>
      <c r="AK165" s="154"/>
      <c r="AL165" s="154"/>
      <c r="AM165" s="154"/>
      <c r="AN165" s="154"/>
      <c r="AO165" s="156"/>
      <c r="AP165" s="154"/>
      <c r="AQ165" s="156"/>
      <c r="AR165" s="154"/>
      <c r="AS165" s="154"/>
      <c r="AT165" s="154"/>
      <c r="AU165" s="154"/>
      <c r="AV165" s="154"/>
      <c r="AW165" s="154"/>
      <c r="AX165" s="154"/>
      <c r="AY165" s="154"/>
      <c r="AZ165" s="154"/>
      <c r="BA165" s="154"/>
      <c r="BB165" s="154"/>
      <c r="BC165" s="154"/>
      <c r="BD165" s="154"/>
      <c r="BE165" s="154"/>
      <c r="BF165" s="154"/>
      <c r="BG165" s="154"/>
      <c r="BH165" s="154"/>
      <c r="BI165" s="154"/>
      <c r="BJ165" s="163"/>
      <c r="BK165" s="163"/>
      <c r="BL165" s="163"/>
      <c r="BO165" s="154"/>
      <c r="BP165" s="154"/>
      <c r="BQ165" s="154"/>
      <c r="BR165" s="154"/>
      <c r="BS165" s="154"/>
      <c r="BT165" s="154"/>
      <c r="BU165" s="154"/>
      <c r="BV165" s="154"/>
      <c r="BW165" s="154"/>
      <c r="BX165" s="154"/>
      <c r="BY165" s="154"/>
      <c r="BZ165" s="154"/>
      <c r="CA165" s="154"/>
      <c r="CB165" s="154"/>
      <c r="CC165" s="154"/>
      <c r="CD165" s="154"/>
      <c r="CE165" s="154"/>
      <c r="CF165" s="154"/>
      <c r="CG165" s="154"/>
      <c r="CH165" s="154"/>
      <c r="CI165" s="154"/>
      <c r="CJ165" s="154"/>
    </row>
    <row r="166" spans="1:88" ht="15.75" customHeight="1">
      <c r="A166" s="154"/>
      <c r="B166" s="155"/>
      <c r="C166" s="156"/>
      <c r="D166" s="154"/>
      <c r="E166" s="154"/>
      <c r="F166" s="154"/>
      <c r="G166" s="154"/>
      <c r="H166" s="154"/>
      <c r="I166" s="154"/>
      <c r="J166" s="154"/>
      <c r="K166" s="154"/>
      <c r="L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G166" s="154"/>
      <c r="AH166" s="154"/>
      <c r="AI166" s="154"/>
      <c r="AJ166" s="154"/>
      <c r="AK166" s="154"/>
      <c r="AL166" s="154"/>
      <c r="AM166" s="154"/>
      <c r="AN166" s="154"/>
      <c r="AO166" s="156"/>
      <c r="AP166" s="154"/>
      <c r="AQ166" s="156"/>
      <c r="AR166" s="154"/>
      <c r="AS166" s="154"/>
      <c r="AT166" s="154"/>
      <c r="AU166" s="154"/>
      <c r="AV166" s="154"/>
      <c r="AW166" s="154"/>
      <c r="AX166" s="154"/>
      <c r="AY166" s="154"/>
      <c r="AZ166" s="154"/>
      <c r="BA166" s="154"/>
      <c r="BB166" s="154"/>
      <c r="BC166" s="154"/>
      <c r="BD166" s="154"/>
      <c r="BE166" s="154"/>
      <c r="BF166" s="154"/>
      <c r="BG166" s="154"/>
      <c r="BH166" s="154"/>
      <c r="BI166" s="154"/>
      <c r="BJ166" s="163"/>
      <c r="BK166" s="163"/>
      <c r="BL166" s="163"/>
      <c r="BO166" s="154"/>
      <c r="BP166" s="154"/>
      <c r="BQ166" s="154"/>
      <c r="BR166" s="154"/>
      <c r="BS166" s="154"/>
      <c r="BT166" s="154"/>
      <c r="BU166" s="154"/>
      <c r="BV166" s="154"/>
      <c r="BW166" s="154"/>
      <c r="BX166" s="154"/>
      <c r="BY166" s="154"/>
      <c r="BZ166" s="154"/>
      <c r="CA166" s="154"/>
      <c r="CB166" s="154"/>
      <c r="CC166" s="154"/>
      <c r="CD166" s="154"/>
      <c r="CE166" s="154"/>
      <c r="CF166" s="154"/>
      <c r="CG166" s="154"/>
      <c r="CH166" s="154"/>
      <c r="CI166" s="154"/>
      <c r="CJ166" s="154"/>
    </row>
    <row r="167" spans="1:88" ht="15.75" customHeight="1">
      <c r="A167" s="154"/>
      <c r="B167" s="155"/>
      <c r="C167" s="156"/>
      <c r="D167" s="154"/>
      <c r="E167" s="154"/>
      <c r="F167" s="154"/>
      <c r="G167" s="154"/>
      <c r="H167" s="154"/>
      <c r="I167" s="154"/>
      <c r="J167" s="154"/>
      <c r="K167" s="154"/>
      <c r="L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G167" s="154"/>
      <c r="AH167" s="154"/>
      <c r="AI167" s="154"/>
      <c r="AJ167" s="154"/>
      <c r="AK167" s="154"/>
      <c r="AL167" s="154"/>
      <c r="AM167" s="154"/>
      <c r="AN167" s="154"/>
      <c r="AO167" s="156"/>
      <c r="AP167" s="154"/>
      <c r="AQ167" s="156"/>
      <c r="AR167" s="154"/>
      <c r="AS167" s="154"/>
      <c r="AT167" s="154"/>
      <c r="AU167" s="154"/>
      <c r="AV167" s="154"/>
      <c r="AW167" s="154"/>
      <c r="AX167" s="154"/>
      <c r="AY167" s="154"/>
      <c r="AZ167" s="154"/>
      <c r="BA167" s="154"/>
      <c r="BB167" s="154"/>
      <c r="BC167" s="154"/>
      <c r="BD167" s="154"/>
      <c r="BE167" s="154"/>
      <c r="BF167" s="154"/>
      <c r="BG167" s="154"/>
      <c r="BH167" s="154"/>
      <c r="BI167" s="154"/>
      <c r="BJ167" s="163"/>
      <c r="BK167" s="163"/>
      <c r="BL167" s="163"/>
      <c r="BO167" s="154"/>
      <c r="BP167" s="154"/>
      <c r="BQ167" s="154"/>
      <c r="BR167" s="154"/>
      <c r="BS167" s="154"/>
      <c r="BT167" s="154"/>
      <c r="BU167" s="154"/>
      <c r="BV167" s="154"/>
      <c r="BW167" s="154"/>
      <c r="BX167" s="154"/>
      <c r="BY167" s="154"/>
      <c r="BZ167" s="154"/>
      <c r="CA167" s="154"/>
      <c r="CB167" s="154"/>
      <c r="CC167" s="154"/>
      <c r="CD167" s="154"/>
      <c r="CE167" s="154"/>
      <c r="CF167" s="154"/>
      <c r="CG167" s="154"/>
      <c r="CH167" s="154"/>
      <c r="CI167" s="154"/>
      <c r="CJ167" s="154"/>
    </row>
    <row r="168" spans="1:88" ht="15.75" customHeight="1">
      <c r="A168" s="154"/>
      <c r="B168" s="155"/>
      <c r="C168" s="156"/>
      <c r="D168" s="154"/>
      <c r="E168" s="154"/>
      <c r="F168" s="154"/>
      <c r="G168" s="154"/>
      <c r="H168" s="154"/>
      <c r="I168" s="154"/>
      <c r="J168" s="154"/>
      <c r="K168" s="154"/>
      <c r="L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G168" s="154"/>
      <c r="AH168" s="154"/>
      <c r="AI168" s="154"/>
      <c r="AJ168" s="154"/>
      <c r="AK168" s="154"/>
      <c r="AL168" s="154"/>
      <c r="AM168" s="154"/>
      <c r="AN168" s="154"/>
      <c r="AO168" s="156"/>
      <c r="AP168" s="154"/>
      <c r="AQ168" s="156"/>
      <c r="AR168" s="154"/>
      <c r="AS168" s="154"/>
      <c r="AT168" s="154"/>
      <c r="AU168" s="154"/>
      <c r="AV168" s="154"/>
      <c r="AW168" s="154"/>
      <c r="AX168" s="154"/>
      <c r="AY168" s="154"/>
      <c r="AZ168" s="154"/>
      <c r="BA168" s="154"/>
      <c r="BB168" s="154"/>
      <c r="BC168" s="154"/>
      <c r="BD168" s="154"/>
      <c r="BE168" s="154"/>
      <c r="BF168" s="154"/>
      <c r="BG168" s="154"/>
      <c r="BH168" s="154"/>
      <c r="BI168" s="154"/>
      <c r="BJ168" s="163"/>
      <c r="BK168" s="163"/>
      <c r="BL168" s="163"/>
      <c r="BO168" s="154"/>
      <c r="BP168" s="154"/>
      <c r="BQ168" s="154"/>
      <c r="BR168" s="154"/>
      <c r="BS168" s="154"/>
      <c r="BT168" s="154"/>
      <c r="BU168" s="154"/>
      <c r="BV168" s="154"/>
      <c r="BW168" s="154"/>
      <c r="BX168" s="154"/>
      <c r="BY168" s="154"/>
      <c r="BZ168" s="154"/>
      <c r="CA168" s="154"/>
      <c r="CB168" s="154"/>
      <c r="CC168" s="154"/>
      <c r="CD168" s="154"/>
      <c r="CE168" s="154"/>
      <c r="CF168" s="154"/>
      <c r="CG168" s="154"/>
      <c r="CH168" s="154"/>
      <c r="CI168" s="154"/>
      <c r="CJ168" s="154"/>
    </row>
    <row r="169" spans="1:88" ht="15.75" customHeight="1">
      <c r="A169" s="154"/>
      <c r="B169" s="155"/>
      <c r="C169" s="156"/>
      <c r="D169" s="154"/>
      <c r="E169" s="154"/>
      <c r="F169" s="154"/>
      <c r="G169" s="154"/>
      <c r="H169" s="154"/>
      <c r="I169" s="154"/>
      <c r="J169" s="154"/>
      <c r="K169" s="154"/>
      <c r="L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G169" s="154"/>
      <c r="AH169" s="154"/>
      <c r="AI169" s="154"/>
      <c r="AJ169" s="154"/>
      <c r="AK169" s="154"/>
      <c r="AL169" s="154"/>
      <c r="AM169" s="154"/>
      <c r="AN169" s="154"/>
      <c r="AO169" s="156"/>
      <c r="AP169" s="154"/>
      <c r="AQ169" s="156"/>
      <c r="AR169" s="154"/>
      <c r="AS169" s="154"/>
      <c r="AT169" s="154"/>
      <c r="AU169" s="154"/>
      <c r="AV169" s="154"/>
      <c r="AW169" s="154"/>
      <c r="AX169" s="154"/>
      <c r="AY169" s="154"/>
      <c r="AZ169" s="154"/>
      <c r="BA169" s="154"/>
      <c r="BB169" s="154"/>
      <c r="BC169" s="154"/>
      <c r="BD169" s="154"/>
      <c r="BE169" s="154"/>
      <c r="BF169" s="154"/>
      <c r="BG169" s="154"/>
      <c r="BH169" s="154"/>
      <c r="BI169" s="154"/>
      <c r="BJ169" s="163"/>
      <c r="BK169" s="163"/>
      <c r="BL169" s="163"/>
      <c r="BO169" s="154"/>
      <c r="BP169" s="154"/>
      <c r="BQ169" s="154"/>
      <c r="BR169" s="154"/>
      <c r="BS169" s="154"/>
      <c r="BT169" s="154"/>
      <c r="BU169" s="154"/>
      <c r="BV169" s="154"/>
      <c r="BW169" s="154"/>
      <c r="BX169" s="154"/>
      <c r="BY169" s="154"/>
      <c r="BZ169" s="154"/>
      <c r="CA169" s="154"/>
      <c r="CB169" s="154"/>
      <c r="CC169" s="154"/>
      <c r="CD169" s="154"/>
      <c r="CE169" s="154"/>
      <c r="CF169" s="154"/>
      <c r="CG169" s="154"/>
      <c r="CH169" s="154"/>
      <c r="CI169" s="154"/>
      <c r="CJ169" s="154"/>
    </row>
    <row r="170" spans="1:88" ht="15.75" customHeight="1">
      <c r="A170" s="154"/>
      <c r="B170" s="155"/>
      <c r="C170" s="156"/>
      <c r="D170" s="154"/>
      <c r="E170" s="154"/>
      <c r="F170" s="154"/>
      <c r="G170" s="154"/>
      <c r="H170" s="154"/>
      <c r="I170" s="154"/>
      <c r="J170" s="154"/>
      <c r="K170" s="154"/>
      <c r="L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G170" s="154"/>
      <c r="AH170" s="154"/>
      <c r="AI170" s="154"/>
      <c r="AJ170" s="154"/>
      <c r="AK170" s="154"/>
      <c r="AL170" s="154"/>
      <c r="AM170" s="154"/>
      <c r="AN170" s="154"/>
      <c r="AO170" s="156"/>
      <c r="AP170" s="154"/>
      <c r="AQ170" s="156"/>
      <c r="AR170" s="154"/>
      <c r="AS170" s="154"/>
      <c r="AT170" s="154"/>
      <c r="AU170" s="154"/>
      <c r="AV170" s="154"/>
      <c r="AW170" s="154"/>
      <c r="AX170" s="154"/>
      <c r="AY170" s="154"/>
      <c r="AZ170" s="154"/>
      <c r="BA170" s="154"/>
      <c r="BB170" s="154"/>
      <c r="BC170" s="154"/>
      <c r="BD170" s="154"/>
      <c r="BE170" s="154"/>
      <c r="BF170" s="154"/>
      <c r="BG170" s="154"/>
      <c r="BH170" s="154"/>
      <c r="BI170" s="154"/>
      <c r="BJ170" s="163"/>
      <c r="BK170" s="163"/>
      <c r="BL170" s="163"/>
      <c r="BO170" s="154"/>
      <c r="BP170" s="154"/>
      <c r="BQ170" s="154"/>
      <c r="BR170" s="154"/>
      <c r="BS170" s="154"/>
      <c r="BT170" s="154"/>
      <c r="BU170" s="154"/>
      <c r="BV170" s="154"/>
      <c r="BW170" s="154"/>
      <c r="BX170" s="154"/>
      <c r="BY170" s="154"/>
      <c r="BZ170" s="154"/>
      <c r="CA170" s="154"/>
      <c r="CB170" s="154"/>
      <c r="CC170" s="154"/>
      <c r="CD170" s="154"/>
      <c r="CE170" s="154"/>
      <c r="CF170" s="154"/>
      <c r="CG170" s="154"/>
      <c r="CH170" s="154"/>
      <c r="CI170" s="154"/>
      <c r="CJ170" s="154"/>
    </row>
    <row r="171" spans="1:88" ht="15.75" customHeight="1">
      <c r="A171" s="154"/>
      <c r="B171" s="155"/>
      <c r="C171" s="156"/>
      <c r="D171" s="154"/>
      <c r="E171" s="154"/>
      <c r="F171" s="154"/>
      <c r="G171" s="154"/>
      <c r="H171" s="154"/>
      <c r="I171" s="154"/>
      <c r="J171" s="154"/>
      <c r="K171" s="154"/>
      <c r="L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G171" s="154"/>
      <c r="AH171" s="154"/>
      <c r="AI171" s="154"/>
      <c r="AJ171" s="154"/>
      <c r="AK171" s="154"/>
      <c r="AL171" s="154"/>
      <c r="AM171" s="154"/>
      <c r="AN171" s="154"/>
      <c r="AO171" s="156"/>
      <c r="AP171" s="154"/>
      <c r="AQ171" s="156"/>
      <c r="AR171" s="154"/>
      <c r="AS171" s="154"/>
      <c r="AT171" s="154"/>
      <c r="AU171" s="154"/>
      <c r="AV171" s="154"/>
      <c r="AW171" s="154"/>
      <c r="AX171" s="154"/>
      <c r="AY171" s="154"/>
      <c r="AZ171" s="154"/>
      <c r="BA171" s="154"/>
      <c r="BB171" s="154"/>
      <c r="BC171" s="154"/>
      <c r="BD171" s="154"/>
      <c r="BE171" s="154"/>
      <c r="BF171" s="154"/>
      <c r="BG171" s="154"/>
      <c r="BH171" s="154"/>
      <c r="BI171" s="154"/>
      <c r="BJ171" s="163"/>
      <c r="BK171" s="163"/>
      <c r="BL171" s="163"/>
      <c r="BO171" s="154"/>
      <c r="BP171" s="154"/>
      <c r="BQ171" s="154"/>
      <c r="BR171" s="154"/>
      <c r="BS171" s="154"/>
      <c r="BT171" s="154"/>
      <c r="BU171" s="154"/>
      <c r="BV171" s="154"/>
      <c r="BW171" s="154"/>
      <c r="BX171" s="154"/>
      <c r="BY171" s="154"/>
      <c r="BZ171" s="154"/>
      <c r="CA171" s="154"/>
      <c r="CB171" s="154"/>
      <c r="CC171" s="154"/>
      <c r="CD171" s="154"/>
      <c r="CE171" s="154"/>
      <c r="CF171" s="154"/>
      <c r="CG171" s="154"/>
      <c r="CH171" s="154"/>
      <c r="CI171" s="154"/>
      <c r="CJ171" s="154"/>
    </row>
    <row r="172" spans="1:88" ht="15.75" customHeight="1">
      <c r="A172" s="154"/>
      <c r="B172" s="155"/>
      <c r="C172" s="156"/>
      <c r="D172" s="154"/>
      <c r="E172" s="154"/>
      <c r="F172" s="154"/>
      <c r="G172" s="154"/>
      <c r="H172" s="154"/>
      <c r="I172" s="154"/>
      <c r="J172" s="154"/>
      <c r="K172" s="154"/>
      <c r="L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G172" s="154"/>
      <c r="AH172" s="154"/>
      <c r="AI172" s="154"/>
      <c r="AJ172" s="154"/>
      <c r="AK172" s="154"/>
      <c r="AL172" s="154"/>
      <c r="AM172" s="154"/>
      <c r="AN172" s="154"/>
      <c r="AO172" s="156"/>
      <c r="AP172" s="154"/>
      <c r="AQ172" s="156"/>
      <c r="AR172" s="154"/>
      <c r="AS172" s="154"/>
      <c r="AT172" s="154"/>
      <c r="AU172" s="154"/>
      <c r="AV172" s="154"/>
      <c r="AW172" s="154"/>
      <c r="AX172" s="154"/>
      <c r="AY172" s="154"/>
      <c r="AZ172" s="154"/>
      <c r="BA172" s="154"/>
      <c r="BB172" s="154"/>
      <c r="BC172" s="154"/>
      <c r="BD172" s="154"/>
      <c r="BE172" s="154"/>
      <c r="BF172" s="154"/>
      <c r="BG172" s="154"/>
      <c r="BH172" s="154"/>
      <c r="BI172" s="154"/>
      <c r="BJ172" s="163"/>
      <c r="BK172" s="163"/>
      <c r="BL172" s="163"/>
      <c r="BO172" s="154"/>
      <c r="BP172" s="154"/>
      <c r="BQ172" s="154"/>
      <c r="BR172" s="154"/>
      <c r="BS172" s="154"/>
      <c r="BT172" s="154"/>
      <c r="BU172" s="154"/>
      <c r="BV172" s="154"/>
      <c r="BW172" s="154"/>
      <c r="BX172" s="154"/>
      <c r="BY172" s="154"/>
      <c r="BZ172" s="154"/>
      <c r="CA172" s="154"/>
      <c r="CB172" s="154"/>
      <c r="CC172" s="154"/>
      <c r="CD172" s="154"/>
      <c r="CE172" s="154"/>
      <c r="CF172" s="154"/>
      <c r="CG172" s="154"/>
      <c r="CH172" s="154"/>
      <c r="CI172" s="154"/>
      <c r="CJ172" s="154"/>
    </row>
    <row r="173" spans="1:88" ht="15.75" customHeight="1">
      <c r="A173" s="154"/>
      <c r="B173" s="155"/>
      <c r="C173" s="156"/>
      <c r="D173" s="154"/>
      <c r="E173" s="154"/>
      <c r="F173" s="154"/>
      <c r="G173" s="154"/>
      <c r="H173" s="154"/>
      <c r="I173" s="154"/>
      <c r="J173" s="154"/>
      <c r="K173" s="154"/>
      <c r="L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G173" s="154"/>
      <c r="AH173" s="154"/>
      <c r="AI173" s="154"/>
      <c r="AJ173" s="154"/>
      <c r="AK173" s="154"/>
      <c r="AL173" s="154"/>
      <c r="AM173" s="154"/>
      <c r="AN173" s="154"/>
      <c r="AO173" s="156"/>
      <c r="AP173" s="154"/>
      <c r="AQ173" s="156"/>
      <c r="AR173" s="154"/>
      <c r="AS173" s="154"/>
      <c r="AT173" s="154"/>
      <c r="AU173" s="154"/>
      <c r="AV173" s="154"/>
      <c r="AW173" s="154"/>
      <c r="AX173" s="154"/>
      <c r="AY173" s="154"/>
      <c r="AZ173" s="154"/>
      <c r="BA173" s="154"/>
      <c r="BB173" s="154"/>
      <c r="BC173" s="154"/>
      <c r="BD173" s="154"/>
      <c r="BE173" s="154"/>
      <c r="BF173" s="154"/>
      <c r="BG173" s="154"/>
      <c r="BH173" s="154"/>
      <c r="BI173" s="154"/>
      <c r="BJ173" s="163"/>
      <c r="BK173" s="163"/>
      <c r="BL173" s="163"/>
      <c r="BO173" s="154"/>
      <c r="BP173" s="154"/>
      <c r="BQ173" s="154"/>
      <c r="BR173" s="154"/>
      <c r="BS173" s="154"/>
      <c r="BT173" s="154"/>
      <c r="BU173" s="154"/>
      <c r="BV173" s="154"/>
      <c r="BW173" s="154"/>
      <c r="BX173" s="154"/>
      <c r="BY173" s="154"/>
      <c r="BZ173" s="154"/>
      <c r="CA173" s="154"/>
      <c r="CB173" s="154"/>
      <c r="CC173" s="154"/>
      <c r="CD173" s="154"/>
      <c r="CE173" s="154"/>
      <c r="CF173" s="154"/>
      <c r="CG173" s="154"/>
      <c r="CH173" s="154"/>
      <c r="CI173" s="154"/>
      <c r="CJ173" s="154"/>
    </row>
    <row r="174" spans="1:88" ht="15.75" customHeight="1">
      <c r="A174" s="154"/>
      <c r="B174" s="155"/>
      <c r="C174" s="156"/>
      <c r="D174" s="154"/>
      <c r="E174" s="154"/>
      <c r="F174" s="154"/>
      <c r="G174" s="154"/>
      <c r="H174" s="154"/>
      <c r="I174" s="154"/>
      <c r="J174" s="154"/>
      <c r="K174" s="154"/>
      <c r="L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G174" s="154"/>
      <c r="AH174" s="154"/>
      <c r="AI174" s="154"/>
      <c r="AJ174" s="154"/>
      <c r="AK174" s="154"/>
      <c r="AL174" s="154"/>
      <c r="AM174" s="154"/>
      <c r="AN174" s="154"/>
      <c r="AO174" s="156"/>
      <c r="AP174" s="154"/>
      <c r="AQ174" s="156"/>
      <c r="AR174" s="154"/>
      <c r="AS174" s="154"/>
      <c r="AT174" s="154"/>
      <c r="AU174" s="154"/>
      <c r="AV174" s="154"/>
      <c r="AW174" s="154"/>
      <c r="AX174" s="154"/>
      <c r="AY174" s="154"/>
      <c r="AZ174" s="154"/>
      <c r="BA174" s="154"/>
      <c r="BB174" s="154"/>
      <c r="BC174" s="154"/>
      <c r="BD174" s="154"/>
      <c r="BE174" s="154"/>
      <c r="BF174" s="154"/>
      <c r="BG174" s="154"/>
      <c r="BH174" s="154"/>
      <c r="BI174" s="154"/>
      <c r="BJ174" s="163"/>
      <c r="BK174" s="163"/>
      <c r="BL174" s="163"/>
      <c r="BO174" s="154"/>
      <c r="BP174" s="154"/>
      <c r="BQ174" s="154"/>
      <c r="BR174" s="154"/>
      <c r="BS174" s="154"/>
      <c r="BT174" s="154"/>
      <c r="BU174" s="154"/>
      <c r="BV174" s="154"/>
      <c r="BW174" s="154"/>
      <c r="BX174" s="154"/>
      <c r="BY174" s="154"/>
      <c r="BZ174" s="154"/>
      <c r="CA174" s="154"/>
      <c r="CB174" s="154"/>
      <c r="CC174" s="154"/>
      <c r="CD174" s="154"/>
      <c r="CE174" s="154"/>
      <c r="CF174" s="154"/>
      <c r="CG174" s="154"/>
      <c r="CH174" s="154"/>
      <c r="CI174" s="154"/>
      <c r="CJ174" s="154"/>
    </row>
    <row r="175" spans="1:88" ht="15.75" customHeight="1">
      <c r="A175" s="154"/>
      <c r="B175" s="155"/>
      <c r="C175" s="156"/>
      <c r="D175" s="154"/>
      <c r="E175" s="154"/>
      <c r="F175" s="154"/>
      <c r="G175" s="154"/>
      <c r="H175" s="154"/>
      <c r="I175" s="154"/>
      <c r="J175" s="154"/>
      <c r="K175" s="154"/>
      <c r="L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G175" s="154"/>
      <c r="AH175" s="154"/>
      <c r="AI175" s="154"/>
      <c r="AJ175" s="154"/>
      <c r="AK175" s="154"/>
      <c r="AL175" s="154"/>
      <c r="AM175" s="154"/>
      <c r="AN175" s="154"/>
      <c r="AO175" s="156"/>
      <c r="AP175" s="154"/>
      <c r="AQ175" s="156"/>
      <c r="AR175" s="154"/>
      <c r="AS175" s="154"/>
      <c r="AT175" s="154"/>
      <c r="AU175" s="154"/>
      <c r="AV175" s="154"/>
      <c r="AW175" s="154"/>
      <c r="AX175" s="154"/>
      <c r="AY175" s="154"/>
      <c r="AZ175" s="154"/>
      <c r="BA175" s="154"/>
      <c r="BB175" s="154"/>
      <c r="BC175" s="154"/>
      <c r="BD175" s="154"/>
      <c r="BE175" s="154"/>
      <c r="BF175" s="154"/>
      <c r="BG175" s="154"/>
      <c r="BH175" s="154"/>
      <c r="BI175" s="154"/>
      <c r="BJ175" s="163"/>
      <c r="BK175" s="163"/>
      <c r="BL175" s="163"/>
      <c r="BO175" s="154"/>
      <c r="BP175" s="154"/>
      <c r="BQ175" s="154"/>
      <c r="BR175" s="154"/>
      <c r="BS175" s="154"/>
      <c r="BT175" s="154"/>
      <c r="BU175" s="154"/>
      <c r="BV175" s="154"/>
      <c r="BW175" s="154"/>
      <c r="BX175" s="154"/>
      <c r="BY175" s="154"/>
      <c r="BZ175" s="154"/>
      <c r="CA175" s="154"/>
      <c r="CB175" s="154"/>
      <c r="CC175" s="154"/>
      <c r="CD175" s="154"/>
      <c r="CE175" s="154"/>
      <c r="CF175" s="154"/>
      <c r="CG175" s="154"/>
      <c r="CH175" s="154"/>
      <c r="CI175" s="154"/>
      <c r="CJ175" s="154"/>
    </row>
    <row r="176" spans="1:88" ht="15.75" customHeight="1">
      <c r="A176" s="154"/>
      <c r="B176" s="155"/>
      <c r="C176" s="156"/>
      <c r="D176" s="154"/>
      <c r="E176" s="154"/>
      <c r="F176" s="154"/>
      <c r="G176" s="154"/>
      <c r="H176" s="154"/>
      <c r="I176" s="154"/>
      <c r="J176" s="154"/>
      <c r="K176" s="154"/>
      <c r="L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G176" s="154"/>
      <c r="AH176" s="154"/>
      <c r="AI176" s="154"/>
      <c r="AJ176" s="154"/>
      <c r="AK176" s="154"/>
      <c r="AL176" s="154"/>
      <c r="AM176" s="154"/>
      <c r="AN176" s="154"/>
      <c r="AO176" s="156"/>
      <c r="AP176" s="154"/>
      <c r="AQ176" s="156"/>
      <c r="AR176" s="154"/>
      <c r="AS176" s="154"/>
      <c r="AT176" s="154"/>
      <c r="AU176" s="154"/>
      <c r="AV176" s="154"/>
      <c r="AW176" s="154"/>
      <c r="AX176" s="154"/>
      <c r="AY176" s="154"/>
      <c r="AZ176" s="154"/>
      <c r="BA176" s="154"/>
      <c r="BB176" s="154"/>
      <c r="BC176" s="154"/>
      <c r="BD176" s="154"/>
      <c r="BE176" s="154"/>
      <c r="BF176" s="154"/>
      <c r="BG176" s="154"/>
      <c r="BH176" s="154"/>
      <c r="BI176" s="154"/>
      <c r="BJ176" s="163"/>
      <c r="BK176" s="163"/>
      <c r="BL176" s="163"/>
      <c r="BO176" s="154"/>
      <c r="BP176" s="154"/>
      <c r="BQ176" s="154"/>
      <c r="BR176" s="154"/>
      <c r="BS176" s="154"/>
      <c r="BT176" s="154"/>
      <c r="BU176" s="154"/>
      <c r="BV176" s="154"/>
      <c r="BW176" s="154"/>
      <c r="BX176" s="154"/>
      <c r="BY176" s="154"/>
      <c r="BZ176" s="154"/>
      <c r="CA176" s="154"/>
      <c r="CB176" s="154"/>
      <c r="CC176" s="154"/>
      <c r="CD176" s="154"/>
      <c r="CE176" s="154"/>
      <c r="CF176" s="154"/>
      <c r="CG176" s="154"/>
      <c r="CH176" s="154"/>
      <c r="CI176" s="154"/>
      <c r="CJ176" s="154"/>
    </row>
    <row r="177" spans="1:88" ht="15.75" customHeight="1">
      <c r="A177" s="154"/>
      <c r="B177" s="155"/>
      <c r="C177" s="156"/>
      <c r="D177" s="154"/>
      <c r="E177" s="154"/>
      <c r="F177" s="154"/>
      <c r="G177" s="154"/>
      <c r="H177" s="154"/>
      <c r="I177" s="154"/>
      <c r="J177" s="154"/>
      <c r="K177" s="154"/>
      <c r="L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G177" s="154"/>
      <c r="AH177" s="154"/>
      <c r="AI177" s="154"/>
      <c r="AJ177" s="154"/>
      <c r="AK177" s="154"/>
      <c r="AL177" s="154"/>
      <c r="AM177" s="154"/>
      <c r="AN177" s="154"/>
      <c r="AO177" s="156"/>
      <c r="AP177" s="154"/>
      <c r="AQ177" s="156"/>
      <c r="AR177" s="154"/>
      <c r="AS177" s="154"/>
      <c r="AT177" s="154"/>
      <c r="AU177" s="154"/>
      <c r="AV177" s="154"/>
      <c r="AW177" s="154"/>
      <c r="AX177" s="154"/>
      <c r="AY177" s="154"/>
      <c r="AZ177" s="154"/>
      <c r="BA177" s="154"/>
      <c r="BB177" s="154"/>
      <c r="BC177" s="154"/>
      <c r="BD177" s="154"/>
      <c r="BE177" s="154"/>
      <c r="BF177" s="154"/>
      <c r="BG177" s="154"/>
      <c r="BH177" s="154"/>
      <c r="BI177" s="154"/>
      <c r="BJ177" s="163"/>
      <c r="BK177" s="163"/>
      <c r="BL177" s="163"/>
      <c r="BO177" s="154"/>
      <c r="BP177" s="154"/>
      <c r="BQ177" s="154"/>
      <c r="BR177" s="154"/>
      <c r="BS177" s="154"/>
      <c r="BT177" s="154"/>
      <c r="BU177" s="154"/>
      <c r="BV177" s="154"/>
      <c r="BW177" s="154"/>
      <c r="BX177" s="154"/>
      <c r="BY177" s="154"/>
      <c r="BZ177" s="154"/>
      <c r="CA177" s="154"/>
      <c r="CB177" s="154"/>
      <c r="CC177" s="154"/>
      <c r="CD177" s="154"/>
      <c r="CE177" s="154"/>
      <c r="CF177" s="154"/>
      <c r="CG177" s="154"/>
      <c r="CH177" s="154"/>
      <c r="CI177" s="154"/>
      <c r="CJ177" s="154"/>
    </row>
    <row r="178" spans="1:88" ht="15.75" customHeight="1">
      <c r="A178" s="154"/>
      <c r="B178" s="155"/>
      <c r="C178" s="156"/>
      <c r="D178" s="154"/>
      <c r="E178" s="154"/>
      <c r="F178" s="154"/>
      <c r="G178" s="154"/>
      <c r="H178" s="154"/>
      <c r="I178" s="154"/>
      <c r="J178" s="154"/>
      <c r="K178" s="154"/>
      <c r="L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G178" s="154"/>
      <c r="AH178" s="154"/>
      <c r="AI178" s="154"/>
      <c r="AJ178" s="154"/>
      <c r="AK178" s="154"/>
      <c r="AL178" s="154"/>
      <c r="AM178" s="154"/>
      <c r="AN178" s="154"/>
      <c r="AO178" s="156"/>
      <c r="AP178" s="154"/>
      <c r="AQ178" s="156"/>
      <c r="AR178" s="154"/>
      <c r="AS178" s="154"/>
      <c r="AT178" s="154"/>
      <c r="AU178" s="154"/>
      <c r="AV178" s="154"/>
      <c r="AW178" s="154"/>
      <c r="AX178" s="154"/>
      <c r="AY178" s="154"/>
      <c r="AZ178" s="154"/>
      <c r="BA178" s="154"/>
      <c r="BB178" s="154"/>
      <c r="BC178" s="154"/>
      <c r="BD178" s="154"/>
      <c r="BE178" s="154"/>
      <c r="BF178" s="154"/>
      <c r="BG178" s="154"/>
      <c r="BH178" s="154"/>
      <c r="BI178" s="154"/>
      <c r="BJ178" s="163"/>
      <c r="BK178" s="163"/>
      <c r="BL178" s="163"/>
      <c r="BO178" s="154"/>
      <c r="BP178" s="154"/>
      <c r="BQ178" s="154"/>
      <c r="BR178" s="154"/>
      <c r="BS178" s="154"/>
      <c r="BT178" s="154"/>
      <c r="BU178" s="154"/>
      <c r="BV178" s="154"/>
      <c r="BW178" s="154"/>
      <c r="BX178" s="154"/>
      <c r="BY178" s="154"/>
      <c r="BZ178" s="154"/>
      <c r="CA178" s="154"/>
      <c r="CB178" s="154"/>
      <c r="CC178" s="154"/>
      <c r="CD178" s="154"/>
      <c r="CE178" s="154"/>
      <c r="CF178" s="154"/>
      <c r="CG178" s="154"/>
      <c r="CH178" s="154"/>
      <c r="CI178" s="154"/>
      <c r="CJ178" s="154"/>
    </row>
    <row r="179" spans="1:88" ht="15.75" customHeight="1">
      <c r="A179" s="154"/>
      <c r="B179" s="155"/>
      <c r="C179" s="156"/>
      <c r="D179" s="154"/>
      <c r="E179" s="154"/>
      <c r="F179" s="154"/>
      <c r="G179" s="154"/>
      <c r="H179" s="154"/>
      <c r="I179" s="154"/>
      <c r="J179" s="154"/>
      <c r="K179" s="154"/>
      <c r="L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G179" s="154"/>
      <c r="AH179" s="154"/>
      <c r="AI179" s="154"/>
      <c r="AJ179" s="154"/>
      <c r="AK179" s="154"/>
      <c r="AL179" s="154"/>
      <c r="AM179" s="154"/>
      <c r="AN179" s="154"/>
      <c r="AO179" s="156"/>
      <c r="AP179" s="154"/>
      <c r="AQ179" s="156"/>
      <c r="AR179" s="154"/>
      <c r="AS179" s="154"/>
      <c r="AT179" s="154"/>
      <c r="AU179" s="154"/>
      <c r="AV179" s="154"/>
      <c r="AW179" s="154"/>
      <c r="AX179" s="154"/>
      <c r="AY179" s="154"/>
      <c r="AZ179" s="154"/>
      <c r="BA179" s="154"/>
      <c r="BB179" s="154"/>
      <c r="BC179" s="154"/>
      <c r="BD179" s="154"/>
      <c r="BE179" s="154"/>
      <c r="BF179" s="154"/>
      <c r="BG179" s="154"/>
      <c r="BH179" s="154"/>
      <c r="BI179" s="154"/>
      <c r="BJ179" s="163"/>
      <c r="BK179" s="163"/>
      <c r="BL179" s="163"/>
      <c r="BO179" s="154"/>
      <c r="BP179" s="154"/>
      <c r="BQ179" s="154"/>
      <c r="BR179" s="154"/>
      <c r="BS179" s="154"/>
      <c r="BT179" s="154"/>
      <c r="BU179" s="154"/>
      <c r="BV179" s="154"/>
      <c r="BW179" s="154"/>
      <c r="BX179" s="154"/>
      <c r="BY179" s="154"/>
      <c r="BZ179" s="154"/>
      <c r="CA179" s="154"/>
      <c r="CB179" s="154"/>
      <c r="CC179" s="154"/>
      <c r="CD179" s="154"/>
      <c r="CE179" s="154"/>
      <c r="CF179" s="154"/>
      <c r="CG179" s="154"/>
      <c r="CH179" s="154"/>
      <c r="CI179" s="154"/>
      <c r="CJ179" s="154"/>
    </row>
    <row r="180" spans="1:88" ht="15.75" customHeight="1">
      <c r="A180" s="154"/>
      <c r="B180" s="155"/>
      <c r="C180" s="156"/>
      <c r="D180" s="154"/>
      <c r="E180" s="154"/>
      <c r="F180" s="154"/>
      <c r="G180" s="154"/>
      <c r="H180" s="154"/>
      <c r="I180" s="154"/>
      <c r="J180" s="154"/>
      <c r="K180" s="154"/>
      <c r="L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G180" s="154"/>
      <c r="AH180" s="154"/>
      <c r="AI180" s="154"/>
      <c r="AJ180" s="154"/>
      <c r="AK180" s="154"/>
      <c r="AL180" s="154"/>
      <c r="AM180" s="154"/>
      <c r="AN180" s="154"/>
      <c r="AO180" s="156"/>
      <c r="AP180" s="154"/>
      <c r="AQ180" s="156"/>
      <c r="AR180" s="154"/>
      <c r="AS180" s="154"/>
      <c r="AT180" s="154"/>
      <c r="AU180" s="154"/>
      <c r="AV180" s="154"/>
      <c r="AW180" s="154"/>
      <c r="AX180" s="154"/>
      <c r="AY180" s="154"/>
      <c r="AZ180" s="154"/>
      <c r="BA180" s="154"/>
      <c r="BB180" s="154"/>
      <c r="BC180" s="154"/>
      <c r="BD180" s="154"/>
      <c r="BE180" s="154"/>
      <c r="BF180" s="154"/>
      <c r="BG180" s="154"/>
      <c r="BH180" s="154"/>
      <c r="BI180" s="154"/>
      <c r="BJ180" s="163"/>
      <c r="BK180" s="163"/>
      <c r="BL180" s="163"/>
      <c r="BO180" s="154"/>
      <c r="BP180" s="154"/>
      <c r="BQ180" s="154"/>
      <c r="BR180" s="154"/>
      <c r="BS180" s="154"/>
      <c r="BT180" s="154"/>
      <c r="BU180" s="154"/>
      <c r="BV180" s="154"/>
      <c r="BW180" s="154"/>
      <c r="BX180" s="154"/>
      <c r="BY180" s="154"/>
      <c r="BZ180" s="154"/>
      <c r="CA180" s="154"/>
      <c r="CB180" s="154"/>
      <c r="CC180" s="154"/>
      <c r="CD180" s="154"/>
      <c r="CE180" s="154"/>
      <c r="CF180" s="154"/>
      <c r="CG180" s="154"/>
      <c r="CH180" s="154"/>
      <c r="CI180" s="154"/>
      <c r="CJ180" s="154"/>
    </row>
    <row r="181" spans="1:88" ht="15.75" customHeight="1">
      <c r="A181" s="154"/>
      <c r="B181" s="155"/>
      <c r="C181" s="156"/>
      <c r="D181" s="154"/>
      <c r="E181" s="154"/>
      <c r="F181" s="154"/>
      <c r="G181" s="154"/>
      <c r="H181" s="154"/>
      <c r="I181" s="154"/>
      <c r="J181" s="154"/>
      <c r="K181" s="154"/>
      <c r="L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G181" s="154"/>
      <c r="AH181" s="154"/>
      <c r="AI181" s="154"/>
      <c r="AJ181" s="154"/>
      <c r="AK181" s="154"/>
      <c r="AL181" s="154"/>
      <c r="AM181" s="154"/>
      <c r="AN181" s="154"/>
      <c r="AO181" s="156"/>
      <c r="AP181" s="154"/>
      <c r="AQ181" s="156"/>
      <c r="AR181" s="154"/>
      <c r="AS181" s="154"/>
      <c r="AT181" s="154"/>
      <c r="AU181" s="154"/>
      <c r="AV181" s="154"/>
      <c r="AW181" s="154"/>
      <c r="AX181" s="154"/>
      <c r="AY181" s="154"/>
      <c r="AZ181" s="154"/>
      <c r="BA181" s="154"/>
      <c r="BB181" s="154"/>
      <c r="BC181" s="154"/>
      <c r="BD181" s="154"/>
      <c r="BE181" s="154"/>
      <c r="BF181" s="154"/>
      <c r="BG181" s="154"/>
      <c r="BH181" s="154"/>
      <c r="BI181" s="154"/>
      <c r="BJ181" s="163"/>
      <c r="BK181" s="163"/>
      <c r="BL181" s="163"/>
      <c r="BO181" s="154"/>
      <c r="BP181" s="154"/>
      <c r="BQ181" s="154"/>
      <c r="BR181" s="154"/>
      <c r="BS181" s="154"/>
      <c r="BT181" s="154"/>
      <c r="BU181" s="154"/>
      <c r="BV181" s="154"/>
      <c r="BW181" s="154"/>
      <c r="BX181" s="154"/>
      <c r="BY181" s="154"/>
      <c r="BZ181" s="154"/>
      <c r="CA181" s="154"/>
      <c r="CB181" s="154"/>
      <c r="CC181" s="154"/>
      <c r="CD181" s="154"/>
      <c r="CE181" s="154"/>
      <c r="CF181" s="154"/>
      <c r="CG181" s="154"/>
      <c r="CH181" s="154"/>
      <c r="CI181" s="154"/>
      <c r="CJ181" s="154"/>
    </row>
    <row r="182" spans="1:88" ht="15.75" customHeight="1">
      <c r="A182" s="154"/>
      <c r="B182" s="155"/>
      <c r="C182" s="156"/>
      <c r="D182" s="154"/>
      <c r="E182" s="154"/>
      <c r="F182" s="154"/>
      <c r="G182" s="154"/>
      <c r="H182" s="154"/>
      <c r="I182" s="154"/>
      <c r="J182" s="154"/>
      <c r="K182" s="154"/>
      <c r="L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G182" s="154"/>
      <c r="AH182" s="154"/>
      <c r="AI182" s="154"/>
      <c r="AJ182" s="154"/>
      <c r="AK182" s="154"/>
      <c r="AL182" s="154"/>
      <c r="AM182" s="154"/>
      <c r="AN182" s="154"/>
      <c r="AO182" s="156"/>
      <c r="AP182" s="154"/>
      <c r="AQ182" s="156"/>
      <c r="AR182" s="154"/>
      <c r="AS182" s="154"/>
      <c r="AT182" s="154"/>
      <c r="AU182" s="154"/>
      <c r="AV182" s="154"/>
      <c r="AW182" s="154"/>
      <c r="AX182" s="154"/>
      <c r="AY182" s="154"/>
      <c r="AZ182" s="154"/>
      <c r="BA182" s="154"/>
      <c r="BB182" s="154"/>
      <c r="BC182" s="154"/>
      <c r="BD182" s="154"/>
      <c r="BE182" s="154"/>
      <c r="BF182" s="154"/>
      <c r="BG182" s="154"/>
      <c r="BH182" s="154"/>
      <c r="BI182" s="154"/>
      <c r="BJ182" s="163"/>
      <c r="BK182" s="163"/>
      <c r="BL182" s="163"/>
      <c r="BO182" s="154"/>
      <c r="BP182" s="154"/>
      <c r="BQ182" s="154"/>
      <c r="BR182" s="154"/>
      <c r="BS182" s="154"/>
      <c r="BT182" s="154"/>
      <c r="BU182" s="154"/>
      <c r="BV182" s="154"/>
      <c r="BW182" s="154"/>
      <c r="BX182" s="154"/>
      <c r="BY182" s="154"/>
      <c r="BZ182" s="154"/>
      <c r="CA182" s="154"/>
      <c r="CB182" s="154"/>
      <c r="CC182" s="154"/>
      <c r="CD182" s="154"/>
      <c r="CE182" s="154"/>
      <c r="CF182" s="154"/>
      <c r="CG182" s="154"/>
      <c r="CH182" s="154"/>
      <c r="CI182" s="154"/>
      <c r="CJ182" s="154"/>
    </row>
    <row r="183" spans="1:88" ht="15.75" customHeight="1">
      <c r="A183" s="154"/>
      <c r="B183" s="155"/>
      <c r="C183" s="156"/>
      <c r="D183" s="154"/>
      <c r="E183" s="154"/>
      <c r="F183" s="154"/>
      <c r="G183" s="154"/>
      <c r="H183" s="154"/>
      <c r="I183" s="154"/>
      <c r="J183" s="154"/>
      <c r="K183" s="154"/>
      <c r="L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G183" s="154"/>
      <c r="AH183" s="154"/>
      <c r="AI183" s="154"/>
      <c r="AJ183" s="154"/>
      <c r="AK183" s="154"/>
      <c r="AL183" s="154"/>
      <c r="AM183" s="154"/>
      <c r="AN183" s="154"/>
      <c r="AO183" s="156"/>
      <c r="AP183" s="154"/>
      <c r="AQ183" s="156"/>
      <c r="AR183" s="154"/>
      <c r="AS183" s="154"/>
      <c r="AT183" s="154"/>
      <c r="AU183" s="154"/>
      <c r="AV183" s="154"/>
      <c r="AW183" s="154"/>
      <c r="AX183" s="154"/>
      <c r="AY183" s="154"/>
      <c r="AZ183" s="154"/>
      <c r="BA183" s="154"/>
      <c r="BB183" s="154"/>
      <c r="BC183" s="154"/>
      <c r="BD183" s="154"/>
      <c r="BE183" s="154"/>
      <c r="BF183" s="154"/>
      <c r="BG183" s="154"/>
      <c r="BH183" s="154"/>
      <c r="BI183" s="154"/>
      <c r="BJ183" s="163"/>
      <c r="BK183" s="163"/>
      <c r="BL183" s="163"/>
      <c r="BO183" s="154"/>
      <c r="BP183" s="154"/>
      <c r="BQ183" s="154"/>
      <c r="BR183" s="154"/>
      <c r="BS183" s="154"/>
      <c r="BT183" s="154"/>
      <c r="BU183" s="154"/>
      <c r="BV183" s="154"/>
      <c r="BW183" s="154"/>
      <c r="BX183" s="154"/>
      <c r="BY183" s="154"/>
      <c r="BZ183" s="154"/>
      <c r="CA183" s="154"/>
      <c r="CB183" s="154"/>
      <c r="CC183" s="154"/>
      <c r="CD183" s="154"/>
      <c r="CE183" s="154"/>
      <c r="CF183" s="154"/>
      <c r="CG183" s="154"/>
      <c r="CH183" s="154"/>
      <c r="CI183" s="154"/>
      <c r="CJ183" s="154"/>
    </row>
    <row r="184" spans="1:88" ht="15.75" customHeight="1">
      <c r="A184" s="154"/>
      <c r="B184" s="155"/>
      <c r="C184" s="156"/>
      <c r="D184" s="154"/>
      <c r="E184" s="154"/>
      <c r="F184" s="154"/>
      <c r="G184" s="154"/>
      <c r="H184" s="154"/>
      <c r="I184" s="154"/>
      <c r="J184" s="154"/>
      <c r="K184" s="154"/>
      <c r="L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G184" s="154"/>
      <c r="AH184" s="154"/>
      <c r="AI184" s="154"/>
      <c r="AJ184" s="154"/>
      <c r="AK184" s="154"/>
      <c r="AL184" s="154"/>
      <c r="AM184" s="154"/>
      <c r="AN184" s="154"/>
      <c r="AO184" s="156"/>
      <c r="AP184" s="154"/>
      <c r="AQ184" s="156"/>
      <c r="AR184" s="154"/>
      <c r="AS184" s="154"/>
      <c r="AT184" s="154"/>
      <c r="AU184" s="154"/>
      <c r="AV184" s="154"/>
      <c r="AW184" s="154"/>
      <c r="AX184" s="154"/>
      <c r="AY184" s="154"/>
      <c r="AZ184" s="154"/>
      <c r="BA184" s="154"/>
      <c r="BB184" s="154"/>
      <c r="BC184" s="154"/>
      <c r="BD184" s="154"/>
      <c r="BE184" s="154"/>
      <c r="BF184" s="154"/>
      <c r="BG184" s="154"/>
      <c r="BH184" s="154"/>
      <c r="BI184" s="154"/>
      <c r="BJ184" s="163"/>
      <c r="BK184" s="163"/>
      <c r="BL184" s="163"/>
      <c r="BO184" s="154"/>
      <c r="BP184" s="154"/>
      <c r="BQ184" s="154"/>
      <c r="BR184" s="154"/>
      <c r="BS184" s="154"/>
      <c r="BT184" s="154"/>
      <c r="BU184" s="154"/>
      <c r="BV184" s="154"/>
      <c r="BW184" s="154"/>
      <c r="BX184" s="154"/>
      <c r="BY184" s="154"/>
      <c r="BZ184" s="154"/>
      <c r="CA184" s="154"/>
      <c r="CB184" s="154"/>
      <c r="CC184" s="154"/>
      <c r="CD184" s="154"/>
      <c r="CE184" s="154"/>
      <c r="CF184" s="154"/>
      <c r="CG184" s="154"/>
      <c r="CH184" s="154"/>
      <c r="CI184" s="154"/>
      <c r="CJ184" s="154"/>
    </row>
    <row r="185" spans="1:88" ht="15.75" customHeight="1">
      <c r="A185" s="154"/>
      <c r="B185" s="155"/>
      <c r="C185" s="156"/>
      <c r="D185" s="154"/>
      <c r="E185" s="154"/>
      <c r="F185" s="154"/>
      <c r="G185" s="154"/>
      <c r="H185" s="154"/>
      <c r="I185" s="154"/>
      <c r="J185" s="154"/>
      <c r="K185" s="154"/>
      <c r="L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G185" s="154"/>
      <c r="AH185" s="154"/>
      <c r="AI185" s="154"/>
      <c r="AJ185" s="154"/>
      <c r="AK185" s="154"/>
      <c r="AL185" s="154"/>
      <c r="AM185" s="154"/>
      <c r="AN185" s="154"/>
      <c r="AO185" s="156"/>
      <c r="AP185" s="154"/>
      <c r="AQ185" s="156"/>
      <c r="AR185" s="154"/>
      <c r="AS185" s="154"/>
      <c r="AT185" s="154"/>
      <c r="AU185" s="154"/>
      <c r="AV185" s="154"/>
      <c r="AW185" s="154"/>
      <c r="AX185" s="154"/>
      <c r="AY185" s="154"/>
      <c r="AZ185" s="154"/>
      <c r="BA185" s="154"/>
      <c r="BB185" s="154"/>
      <c r="BC185" s="154"/>
      <c r="BD185" s="154"/>
      <c r="BE185" s="154"/>
      <c r="BF185" s="154"/>
      <c r="BG185" s="154"/>
      <c r="BH185" s="154"/>
      <c r="BI185" s="154"/>
      <c r="BJ185" s="163"/>
      <c r="BK185" s="163"/>
      <c r="BL185" s="163"/>
      <c r="BO185" s="154"/>
      <c r="BP185" s="154"/>
      <c r="BQ185" s="154"/>
      <c r="BR185" s="154"/>
      <c r="BS185" s="154"/>
      <c r="BT185" s="154"/>
      <c r="BU185" s="154"/>
      <c r="BV185" s="154"/>
      <c r="BW185" s="154"/>
      <c r="BX185" s="154"/>
      <c r="BY185" s="154"/>
      <c r="BZ185" s="154"/>
      <c r="CA185" s="154"/>
      <c r="CB185" s="154"/>
      <c r="CC185" s="154"/>
      <c r="CD185" s="154"/>
      <c r="CE185" s="154"/>
      <c r="CF185" s="154"/>
      <c r="CG185" s="154"/>
      <c r="CH185" s="154"/>
      <c r="CI185" s="154"/>
      <c r="CJ185" s="154"/>
    </row>
    <row r="186" spans="1:88" ht="15.75" customHeight="1">
      <c r="A186" s="154"/>
      <c r="B186" s="155"/>
      <c r="C186" s="156"/>
      <c r="D186" s="154"/>
      <c r="E186" s="154"/>
      <c r="F186" s="154"/>
      <c r="G186" s="154"/>
      <c r="H186" s="154"/>
      <c r="I186" s="154"/>
      <c r="J186" s="154"/>
      <c r="K186" s="154"/>
      <c r="L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G186" s="154"/>
      <c r="AH186" s="154"/>
      <c r="AI186" s="154"/>
      <c r="AJ186" s="154"/>
      <c r="AK186" s="154"/>
      <c r="AL186" s="154"/>
      <c r="AM186" s="154"/>
      <c r="AN186" s="154"/>
      <c r="AO186" s="156"/>
      <c r="AP186" s="154"/>
      <c r="AQ186" s="156"/>
      <c r="AR186" s="154"/>
      <c r="AS186" s="154"/>
      <c r="AT186" s="154"/>
      <c r="AU186" s="154"/>
      <c r="AV186" s="154"/>
      <c r="AW186" s="154"/>
      <c r="AX186" s="154"/>
      <c r="AY186" s="154"/>
      <c r="AZ186" s="154"/>
      <c r="BA186" s="154"/>
      <c r="BB186" s="154"/>
      <c r="BC186" s="154"/>
      <c r="BD186" s="154"/>
      <c r="BE186" s="154"/>
      <c r="BF186" s="154"/>
      <c r="BG186" s="154"/>
      <c r="BH186" s="154"/>
      <c r="BI186" s="154"/>
      <c r="BJ186" s="163"/>
      <c r="BK186" s="163"/>
      <c r="BL186" s="163"/>
      <c r="BO186" s="154"/>
      <c r="BP186" s="154"/>
      <c r="BQ186" s="154"/>
      <c r="BR186" s="154"/>
      <c r="BS186" s="154"/>
      <c r="BT186" s="154"/>
      <c r="BU186" s="154"/>
      <c r="BV186" s="154"/>
      <c r="BW186" s="154"/>
      <c r="BX186" s="154"/>
      <c r="BY186" s="154"/>
      <c r="BZ186" s="154"/>
      <c r="CA186" s="154"/>
      <c r="CB186" s="154"/>
      <c r="CC186" s="154"/>
      <c r="CD186" s="154"/>
      <c r="CE186" s="154"/>
      <c r="CF186" s="154"/>
      <c r="CG186" s="154"/>
      <c r="CH186" s="154"/>
      <c r="CI186" s="154"/>
      <c r="CJ186" s="154"/>
    </row>
    <row r="187" spans="1:88" ht="15.75" customHeight="1">
      <c r="A187" s="154"/>
      <c r="B187" s="155"/>
      <c r="C187" s="156"/>
      <c r="D187" s="154"/>
      <c r="E187" s="154"/>
      <c r="F187" s="154"/>
      <c r="G187" s="154"/>
      <c r="H187" s="154"/>
      <c r="I187" s="154"/>
      <c r="J187" s="154"/>
      <c r="K187" s="154"/>
      <c r="L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G187" s="154"/>
      <c r="AH187" s="154"/>
      <c r="AI187" s="154"/>
      <c r="AJ187" s="154"/>
      <c r="AK187" s="154"/>
      <c r="AL187" s="154"/>
      <c r="AM187" s="154"/>
      <c r="AN187" s="154"/>
      <c r="AO187" s="156"/>
      <c r="AP187" s="154"/>
      <c r="AQ187" s="156"/>
      <c r="AR187" s="154"/>
      <c r="AS187" s="154"/>
      <c r="AT187" s="154"/>
      <c r="AU187" s="154"/>
      <c r="AV187" s="154"/>
      <c r="AW187" s="154"/>
      <c r="AX187" s="154"/>
      <c r="AY187" s="154"/>
      <c r="AZ187" s="154"/>
      <c r="BA187" s="154"/>
      <c r="BB187" s="154"/>
      <c r="BC187" s="154"/>
      <c r="BD187" s="154"/>
      <c r="BE187" s="154"/>
      <c r="BF187" s="154"/>
      <c r="BG187" s="154"/>
      <c r="BH187" s="154"/>
      <c r="BI187" s="154"/>
      <c r="BJ187" s="163"/>
      <c r="BK187" s="163"/>
      <c r="BL187" s="163"/>
      <c r="BO187" s="154"/>
      <c r="BP187" s="154"/>
      <c r="BQ187" s="154"/>
      <c r="BR187" s="154"/>
      <c r="BS187" s="154"/>
      <c r="BT187" s="154"/>
      <c r="BU187" s="154"/>
      <c r="BV187" s="154"/>
      <c r="BW187" s="154"/>
      <c r="BX187" s="154"/>
      <c r="BY187" s="154"/>
      <c r="BZ187" s="154"/>
      <c r="CA187" s="154"/>
      <c r="CB187" s="154"/>
      <c r="CC187" s="154"/>
      <c r="CD187" s="154"/>
      <c r="CE187" s="154"/>
      <c r="CF187" s="154"/>
      <c r="CG187" s="154"/>
      <c r="CH187" s="154"/>
      <c r="CI187" s="154"/>
      <c r="CJ187" s="154"/>
    </row>
    <row r="188" spans="1:88" ht="15.75" customHeight="1">
      <c r="A188" s="154"/>
      <c r="B188" s="155"/>
      <c r="C188" s="156"/>
      <c r="D188" s="154"/>
      <c r="E188" s="154"/>
      <c r="F188" s="154"/>
      <c r="G188" s="154"/>
      <c r="H188" s="154"/>
      <c r="I188" s="154"/>
      <c r="J188" s="154"/>
      <c r="K188" s="154"/>
      <c r="L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G188" s="154"/>
      <c r="AH188" s="154"/>
      <c r="AI188" s="154"/>
      <c r="AJ188" s="154"/>
      <c r="AK188" s="154"/>
      <c r="AL188" s="154"/>
      <c r="AM188" s="154"/>
      <c r="AN188" s="154"/>
      <c r="AO188" s="156"/>
      <c r="AP188" s="154"/>
      <c r="AQ188" s="156"/>
      <c r="AR188" s="154"/>
      <c r="AS188" s="154"/>
      <c r="AT188" s="154"/>
      <c r="AU188" s="154"/>
      <c r="AV188" s="154"/>
      <c r="AW188" s="154"/>
      <c r="AX188" s="154"/>
      <c r="AY188" s="154"/>
      <c r="AZ188" s="154"/>
      <c r="BA188" s="154"/>
      <c r="BB188" s="154"/>
      <c r="BC188" s="154"/>
      <c r="BD188" s="154"/>
      <c r="BE188" s="154"/>
      <c r="BF188" s="154"/>
      <c r="BG188" s="154"/>
      <c r="BH188" s="154"/>
      <c r="BI188" s="154"/>
      <c r="BJ188" s="163"/>
      <c r="BK188" s="163"/>
      <c r="BL188" s="163"/>
      <c r="BO188" s="154"/>
      <c r="BP188" s="154"/>
      <c r="BQ188" s="154"/>
      <c r="BR188" s="154"/>
      <c r="BS188" s="154"/>
      <c r="BT188" s="154"/>
      <c r="BU188" s="154"/>
      <c r="BV188" s="154"/>
      <c r="BW188" s="154"/>
      <c r="BX188" s="154"/>
      <c r="BY188" s="154"/>
      <c r="BZ188" s="154"/>
      <c r="CA188" s="154"/>
      <c r="CB188" s="154"/>
      <c r="CC188" s="154"/>
      <c r="CD188" s="154"/>
      <c r="CE188" s="154"/>
      <c r="CF188" s="154"/>
      <c r="CG188" s="154"/>
      <c r="CH188" s="154"/>
      <c r="CI188" s="154"/>
      <c r="CJ188" s="154"/>
    </row>
    <row r="189" spans="1:88" ht="15.75" customHeight="1">
      <c r="A189" s="154"/>
      <c r="B189" s="155"/>
      <c r="C189" s="156"/>
      <c r="D189" s="154"/>
      <c r="E189" s="154"/>
      <c r="F189" s="154"/>
      <c r="G189" s="154"/>
      <c r="H189" s="154"/>
      <c r="I189" s="154"/>
      <c r="J189" s="154"/>
      <c r="K189" s="154"/>
      <c r="L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G189" s="154"/>
      <c r="AH189" s="154"/>
      <c r="AI189" s="154"/>
      <c r="AJ189" s="154"/>
      <c r="AK189" s="154"/>
      <c r="AL189" s="154"/>
      <c r="AM189" s="154"/>
      <c r="AN189" s="154"/>
      <c r="AO189" s="156"/>
      <c r="AP189" s="154"/>
      <c r="AQ189" s="156"/>
      <c r="AR189" s="154"/>
      <c r="AS189" s="154"/>
      <c r="AT189" s="154"/>
      <c r="AU189" s="154"/>
      <c r="AV189" s="154"/>
      <c r="AW189" s="154"/>
      <c r="AX189" s="154"/>
      <c r="AY189" s="154"/>
      <c r="AZ189" s="154"/>
      <c r="BA189" s="154"/>
      <c r="BB189" s="154"/>
      <c r="BC189" s="154"/>
      <c r="BD189" s="154"/>
      <c r="BE189" s="154"/>
      <c r="BF189" s="154"/>
      <c r="BG189" s="154"/>
      <c r="BH189" s="154"/>
      <c r="BI189" s="154"/>
      <c r="BJ189" s="163"/>
      <c r="BK189" s="163"/>
      <c r="BL189" s="163"/>
      <c r="BO189" s="154"/>
      <c r="BP189" s="154"/>
      <c r="BQ189" s="154"/>
      <c r="BR189" s="154"/>
      <c r="BS189" s="154"/>
      <c r="BT189" s="154"/>
      <c r="BU189" s="154"/>
      <c r="BV189" s="154"/>
      <c r="BW189" s="154"/>
      <c r="BX189" s="154"/>
      <c r="BY189" s="154"/>
      <c r="BZ189" s="154"/>
      <c r="CA189" s="154"/>
      <c r="CB189" s="154"/>
      <c r="CC189" s="154"/>
      <c r="CD189" s="154"/>
      <c r="CE189" s="154"/>
      <c r="CF189" s="154"/>
      <c r="CG189" s="154"/>
      <c r="CH189" s="154"/>
      <c r="CI189" s="154"/>
      <c r="CJ189" s="154"/>
    </row>
    <row r="190" spans="1:88" ht="15.75" customHeight="1">
      <c r="A190" s="154"/>
      <c r="B190" s="155"/>
      <c r="C190" s="156"/>
      <c r="D190" s="154"/>
      <c r="E190" s="154"/>
      <c r="F190" s="154"/>
      <c r="G190" s="154"/>
      <c r="H190" s="154"/>
      <c r="I190" s="154"/>
      <c r="J190" s="154"/>
      <c r="K190" s="154"/>
      <c r="L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G190" s="154"/>
      <c r="AH190" s="154"/>
      <c r="AI190" s="154"/>
      <c r="AJ190" s="154"/>
      <c r="AK190" s="154"/>
      <c r="AL190" s="154"/>
      <c r="AM190" s="154"/>
      <c r="AN190" s="154"/>
      <c r="AO190" s="156"/>
      <c r="AP190" s="154"/>
      <c r="AQ190" s="156"/>
      <c r="AR190" s="154"/>
      <c r="AS190" s="154"/>
      <c r="AT190" s="154"/>
      <c r="AU190" s="154"/>
      <c r="AV190" s="154"/>
      <c r="AW190" s="154"/>
      <c r="AX190" s="154"/>
      <c r="AY190" s="154"/>
      <c r="AZ190" s="154"/>
      <c r="BA190" s="154"/>
      <c r="BB190" s="154"/>
      <c r="BC190" s="154"/>
      <c r="BD190" s="154"/>
      <c r="BE190" s="154"/>
      <c r="BF190" s="154"/>
      <c r="BG190" s="154"/>
      <c r="BH190" s="154"/>
      <c r="BI190" s="154"/>
      <c r="BJ190" s="163"/>
      <c r="BK190" s="163"/>
      <c r="BL190" s="163"/>
      <c r="BO190" s="154"/>
      <c r="BP190" s="154"/>
      <c r="BQ190" s="154"/>
      <c r="BR190" s="154"/>
      <c r="BS190" s="154"/>
      <c r="BT190" s="154"/>
      <c r="BU190" s="154"/>
      <c r="BV190" s="154"/>
      <c r="BW190" s="154"/>
      <c r="BX190" s="154"/>
      <c r="BY190" s="154"/>
      <c r="BZ190" s="154"/>
      <c r="CA190" s="154"/>
      <c r="CB190" s="154"/>
      <c r="CC190" s="154"/>
      <c r="CD190" s="154"/>
      <c r="CE190" s="154"/>
      <c r="CF190" s="154"/>
      <c r="CG190" s="154"/>
      <c r="CH190" s="154"/>
      <c r="CI190" s="154"/>
      <c r="CJ190" s="154"/>
    </row>
    <row r="191" spans="1:88" ht="15.75" customHeight="1">
      <c r="A191" s="154"/>
      <c r="B191" s="155"/>
      <c r="C191" s="156"/>
      <c r="D191" s="154"/>
      <c r="E191" s="154"/>
      <c r="F191" s="154"/>
      <c r="G191" s="154"/>
      <c r="H191" s="154"/>
      <c r="I191" s="154"/>
      <c r="J191" s="154"/>
      <c r="K191" s="154"/>
      <c r="L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G191" s="154"/>
      <c r="AH191" s="154"/>
      <c r="AI191" s="154"/>
      <c r="AJ191" s="154"/>
      <c r="AK191" s="154"/>
      <c r="AL191" s="154"/>
      <c r="AM191" s="154"/>
      <c r="AN191" s="154"/>
      <c r="AO191" s="156"/>
      <c r="AP191" s="154"/>
      <c r="AQ191" s="156"/>
      <c r="AR191" s="154"/>
      <c r="AS191" s="154"/>
      <c r="AT191" s="154"/>
      <c r="AU191" s="154"/>
      <c r="AV191" s="154"/>
      <c r="AW191" s="154"/>
      <c r="AX191" s="154"/>
      <c r="AY191" s="154"/>
      <c r="AZ191" s="154"/>
      <c r="BA191" s="154"/>
      <c r="BB191" s="154"/>
      <c r="BC191" s="154"/>
      <c r="BD191" s="154"/>
      <c r="BE191" s="154"/>
      <c r="BF191" s="154"/>
      <c r="BG191" s="154"/>
      <c r="BH191" s="154"/>
      <c r="BI191" s="154"/>
      <c r="BJ191" s="163"/>
      <c r="BK191" s="163"/>
      <c r="BL191" s="163"/>
      <c r="BO191" s="154"/>
      <c r="BP191" s="154"/>
      <c r="BQ191" s="154"/>
      <c r="BR191" s="154"/>
      <c r="BS191" s="154"/>
      <c r="BT191" s="154"/>
      <c r="BU191" s="154"/>
      <c r="BV191" s="154"/>
      <c r="BW191" s="154"/>
      <c r="BX191" s="154"/>
      <c r="BY191" s="154"/>
      <c r="BZ191" s="154"/>
      <c r="CA191" s="154"/>
      <c r="CB191" s="154"/>
      <c r="CC191" s="154"/>
      <c r="CD191" s="154"/>
      <c r="CE191" s="154"/>
      <c r="CF191" s="154"/>
      <c r="CG191" s="154"/>
      <c r="CH191" s="154"/>
      <c r="CI191" s="154"/>
      <c r="CJ191" s="154"/>
    </row>
    <row r="192" spans="1:88" ht="15.75" customHeight="1">
      <c r="A192" s="154"/>
      <c r="B192" s="155"/>
      <c r="C192" s="156"/>
      <c r="D192" s="154"/>
      <c r="E192" s="154"/>
      <c r="F192" s="154"/>
      <c r="G192" s="154"/>
      <c r="H192" s="154"/>
      <c r="I192" s="154"/>
      <c r="J192" s="154"/>
      <c r="K192" s="154"/>
      <c r="L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G192" s="154"/>
      <c r="AH192" s="154"/>
      <c r="AI192" s="154"/>
      <c r="AJ192" s="154"/>
      <c r="AK192" s="154"/>
      <c r="AL192" s="154"/>
      <c r="AM192" s="154"/>
      <c r="AN192" s="154"/>
      <c r="AO192" s="156"/>
      <c r="AP192" s="154"/>
      <c r="AQ192" s="156"/>
      <c r="AR192" s="154"/>
      <c r="AS192" s="154"/>
      <c r="AT192" s="154"/>
      <c r="AU192" s="154"/>
      <c r="AV192" s="154"/>
      <c r="AW192" s="154"/>
      <c r="AX192" s="154"/>
      <c r="AY192" s="154"/>
      <c r="AZ192" s="154"/>
      <c r="BA192" s="154"/>
      <c r="BB192" s="154"/>
      <c r="BC192" s="154"/>
      <c r="BD192" s="154"/>
      <c r="BE192" s="154"/>
      <c r="BF192" s="154"/>
      <c r="BG192" s="154"/>
      <c r="BH192" s="154"/>
      <c r="BI192" s="154"/>
      <c r="BJ192" s="163"/>
      <c r="BK192" s="163"/>
      <c r="BL192" s="163"/>
      <c r="BO192" s="154"/>
      <c r="BP192" s="154"/>
      <c r="BQ192" s="154"/>
      <c r="BR192" s="154"/>
      <c r="BS192" s="154"/>
      <c r="BT192" s="154"/>
      <c r="BU192" s="154"/>
      <c r="BV192" s="154"/>
      <c r="BW192" s="154"/>
      <c r="BX192" s="154"/>
      <c r="BY192" s="154"/>
      <c r="BZ192" s="154"/>
      <c r="CA192" s="154"/>
      <c r="CB192" s="154"/>
      <c r="CC192" s="154"/>
      <c r="CD192" s="154"/>
      <c r="CE192" s="154"/>
      <c r="CF192" s="154"/>
      <c r="CG192" s="154"/>
      <c r="CH192" s="154"/>
      <c r="CI192" s="154"/>
      <c r="CJ192" s="154"/>
    </row>
    <row r="193" spans="1:88" ht="15.75" customHeight="1">
      <c r="A193" s="154"/>
      <c r="B193" s="155"/>
      <c r="C193" s="156"/>
      <c r="D193" s="154"/>
      <c r="E193" s="154"/>
      <c r="F193" s="154"/>
      <c r="G193" s="154"/>
      <c r="H193" s="154"/>
      <c r="I193" s="154"/>
      <c r="J193" s="154"/>
      <c r="K193" s="154"/>
      <c r="L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G193" s="154"/>
      <c r="AH193" s="154"/>
      <c r="AI193" s="154"/>
      <c r="AJ193" s="154"/>
      <c r="AK193" s="154"/>
      <c r="AL193" s="154"/>
      <c r="AM193" s="154"/>
      <c r="AN193" s="154"/>
      <c r="AO193" s="156"/>
      <c r="AP193" s="154"/>
      <c r="AQ193" s="156"/>
      <c r="AR193" s="154"/>
      <c r="AS193" s="154"/>
      <c r="AT193" s="154"/>
      <c r="AU193" s="154"/>
      <c r="AV193" s="154"/>
      <c r="AW193" s="154"/>
      <c r="AX193" s="154"/>
      <c r="AY193" s="154"/>
      <c r="AZ193" s="154"/>
      <c r="BA193" s="154"/>
      <c r="BB193" s="154"/>
      <c r="BC193" s="154"/>
      <c r="BD193" s="154"/>
      <c r="BE193" s="154"/>
      <c r="BF193" s="154"/>
      <c r="BG193" s="154"/>
      <c r="BH193" s="154"/>
      <c r="BI193" s="154"/>
      <c r="BJ193" s="163"/>
      <c r="BK193" s="163"/>
      <c r="BL193" s="163"/>
      <c r="BO193" s="154"/>
      <c r="BP193" s="154"/>
      <c r="BQ193" s="154"/>
      <c r="BR193" s="154"/>
      <c r="BS193" s="154"/>
      <c r="BT193" s="154"/>
      <c r="BU193" s="154"/>
      <c r="BV193" s="154"/>
      <c r="BW193" s="154"/>
      <c r="BX193" s="154"/>
      <c r="BY193" s="154"/>
      <c r="BZ193" s="154"/>
      <c r="CA193" s="154"/>
      <c r="CB193" s="154"/>
      <c r="CC193" s="154"/>
      <c r="CD193" s="154"/>
      <c r="CE193" s="154"/>
      <c r="CF193" s="154"/>
      <c r="CG193" s="154"/>
      <c r="CH193" s="154"/>
      <c r="CI193" s="154"/>
      <c r="CJ193" s="154"/>
    </row>
    <row r="194" spans="1:88" ht="15.75" customHeight="1">
      <c r="A194" s="154"/>
      <c r="B194" s="155"/>
      <c r="C194" s="156"/>
      <c r="D194" s="154"/>
      <c r="E194" s="154"/>
      <c r="F194" s="154"/>
      <c r="G194" s="154"/>
      <c r="H194" s="154"/>
      <c r="I194" s="154"/>
      <c r="J194" s="154"/>
      <c r="K194" s="154"/>
      <c r="L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G194" s="154"/>
      <c r="AH194" s="154"/>
      <c r="AI194" s="154"/>
      <c r="AJ194" s="154"/>
      <c r="AK194" s="154"/>
      <c r="AL194" s="154"/>
      <c r="AM194" s="154"/>
      <c r="AN194" s="154"/>
      <c r="AO194" s="156"/>
      <c r="AP194" s="154"/>
      <c r="AQ194" s="156"/>
      <c r="AR194" s="154"/>
      <c r="AS194" s="154"/>
      <c r="AT194" s="154"/>
      <c r="AU194" s="154"/>
      <c r="AV194" s="154"/>
      <c r="AW194" s="154"/>
      <c r="AX194" s="154"/>
      <c r="AY194" s="154"/>
      <c r="AZ194" s="154"/>
      <c r="BA194" s="154"/>
      <c r="BB194" s="154"/>
      <c r="BC194" s="154"/>
      <c r="BD194" s="154"/>
      <c r="BE194" s="154"/>
      <c r="BF194" s="154"/>
      <c r="BG194" s="154"/>
      <c r="BH194" s="154"/>
      <c r="BI194" s="154"/>
      <c r="BJ194" s="163"/>
      <c r="BK194" s="163"/>
      <c r="BL194" s="163"/>
      <c r="BO194" s="154"/>
      <c r="BP194" s="154"/>
      <c r="BQ194" s="154"/>
      <c r="BR194" s="154"/>
      <c r="BS194" s="154"/>
      <c r="BT194" s="154"/>
      <c r="BU194" s="154"/>
      <c r="BV194" s="154"/>
      <c r="BW194" s="154"/>
      <c r="BX194" s="154"/>
      <c r="BY194" s="154"/>
      <c r="BZ194" s="154"/>
      <c r="CA194" s="154"/>
      <c r="CB194" s="154"/>
      <c r="CC194" s="154"/>
      <c r="CD194" s="154"/>
      <c r="CE194" s="154"/>
      <c r="CF194" s="154"/>
      <c r="CG194" s="154"/>
      <c r="CH194" s="154"/>
      <c r="CI194" s="154"/>
      <c r="CJ194" s="154"/>
    </row>
    <row r="195" spans="1:88" ht="15.75" customHeight="1">
      <c r="A195" s="154"/>
      <c r="B195" s="155"/>
      <c r="C195" s="156"/>
      <c r="D195" s="154"/>
      <c r="E195" s="154"/>
      <c r="F195" s="154"/>
      <c r="G195" s="154"/>
      <c r="H195" s="154"/>
      <c r="I195" s="154"/>
      <c r="J195" s="154"/>
      <c r="K195" s="154"/>
      <c r="L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G195" s="154"/>
      <c r="AH195" s="154"/>
      <c r="AI195" s="154"/>
      <c r="AJ195" s="154"/>
      <c r="AK195" s="154"/>
      <c r="AL195" s="154"/>
      <c r="AM195" s="154"/>
      <c r="AN195" s="154"/>
      <c r="AO195" s="156"/>
      <c r="AP195" s="154"/>
      <c r="AQ195" s="156"/>
      <c r="AR195" s="154"/>
      <c r="AS195" s="154"/>
      <c r="AT195" s="154"/>
      <c r="AU195" s="154"/>
      <c r="AV195" s="154"/>
      <c r="AW195" s="154"/>
      <c r="AX195" s="154"/>
      <c r="AY195" s="154"/>
      <c r="AZ195" s="154"/>
      <c r="BA195" s="154"/>
      <c r="BB195" s="154"/>
      <c r="BC195" s="154"/>
      <c r="BD195" s="154"/>
      <c r="BE195" s="154"/>
      <c r="BF195" s="154"/>
      <c r="BG195" s="154"/>
      <c r="BH195" s="154"/>
      <c r="BI195" s="154"/>
      <c r="BJ195" s="163"/>
      <c r="BK195" s="163"/>
      <c r="BL195" s="163"/>
      <c r="BO195" s="154"/>
      <c r="BP195" s="154"/>
      <c r="BQ195" s="154"/>
      <c r="BR195" s="154"/>
      <c r="BS195" s="154"/>
      <c r="BT195" s="154"/>
      <c r="BU195" s="154"/>
      <c r="BV195" s="154"/>
      <c r="BW195" s="154"/>
      <c r="BX195" s="154"/>
      <c r="BY195" s="154"/>
      <c r="BZ195" s="154"/>
      <c r="CA195" s="154"/>
      <c r="CB195" s="154"/>
      <c r="CC195" s="154"/>
      <c r="CD195" s="154"/>
      <c r="CE195" s="154"/>
      <c r="CF195" s="154"/>
      <c r="CG195" s="154"/>
      <c r="CH195" s="154"/>
      <c r="CI195" s="154"/>
      <c r="CJ195" s="154"/>
    </row>
    <row r="196" spans="1:88" ht="15.75" customHeight="1">
      <c r="A196" s="154"/>
      <c r="B196" s="155"/>
      <c r="C196" s="156"/>
      <c r="D196" s="154"/>
      <c r="E196" s="154"/>
      <c r="F196" s="154"/>
      <c r="G196" s="154"/>
      <c r="H196" s="154"/>
      <c r="I196" s="154"/>
      <c r="J196" s="154"/>
      <c r="K196" s="154"/>
      <c r="L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G196" s="154"/>
      <c r="AH196" s="154"/>
      <c r="AI196" s="154"/>
      <c r="AJ196" s="154"/>
      <c r="AK196" s="154"/>
      <c r="AL196" s="154"/>
      <c r="AM196" s="154"/>
      <c r="AN196" s="154"/>
      <c r="AO196" s="156"/>
      <c r="AP196" s="154"/>
      <c r="AQ196" s="156"/>
      <c r="AR196" s="154"/>
      <c r="AS196" s="154"/>
      <c r="AT196" s="154"/>
      <c r="AU196" s="154"/>
      <c r="AV196" s="154"/>
      <c r="AW196" s="154"/>
      <c r="AX196" s="154"/>
      <c r="AY196" s="154"/>
      <c r="AZ196" s="154"/>
      <c r="BA196" s="154"/>
      <c r="BB196" s="154"/>
      <c r="BC196" s="154"/>
      <c r="BD196" s="154"/>
      <c r="BE196" s="154"/>
      <c r="BF196" s="154"/>
      <c r="BG196" s="154"/>
      <c r="BH196" s="154"/>
      <c r="BI196" s="154"/>
      <c r="BJ196" s="163"/>
      <c r="BK196" s="163"/>
      <c r="BL196" s="163"/>
      <c r="BO196" s="154"/>
      <c r="BP196" s="154"/>
      <c r="BQ196" s="154"/>
      <c r="BR196" s="154"/>
      <c r="BS196" s="154"/>
      <c r="BT196" s="154"/>
      <c r="BU196" s="154"/>
      <c r="BV196" s="154"/>
      <c r="BW196" s="154"/>
      <c r="BX196" s="154"/>
      <c r="BY196" s="154"/>
      <c r="BZ196" s="154"/>
      <c r="CA196" s="154"/>
      <c r="CB196" s="154"/>
      <c r="CC196" s="154"/>
      <c r="CD196" s="154"/>
      <c r="CE196" s="154"/>
      <c r="CF196" s="154"/>
      <c r="CG196" s="154"/>
      <c r="CH196" s="154"/>
      <c r="CI196" s="154"/>
      <c r="CJ196" s="154"/>
    </row>
    <row r="197" spans="1:88" ht="15.75" customHeight="1">
      <c r="A197" s="154"/>
      <c r="B197" s="155"/>
      <c r="C197" s="156"/>
      <c r="D197" s="154"/>
      <c r="E197" s="154"/>
      <c r="F197" s="154"/>
      <c r="G197" s="154"/>
      <c r="H197" s="154"/>
      <c r="I197" s="154"/>
      <c r="J197" s="154"/>
      <c r="K197" s="154"/>
      <c r="L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G197" s="154"/>
      <c r="AH197" s="154"/>
      <c r="AI197" s="154"/>
      <c r="AJ197" s="154"/>
      <c r="AK197" s="154"/>
      <c r="AL197" s="154"/>
      <c r="AM197" s="154"/>
      <c r="AN197" s="154"/>
      <c r="AO197" s="156"/>
      <c r="AP197" s="154"/>
      <c r="AQ197" s="156"/>
      <c r="AR197" s="154"/>
      <c r="AS197" s="154"/>
      <c r="AT197" s="154"/>
      <c r="AU197" s="154"/>
      <c r="AV197" s="154"/>
      <c r="AW197" s="154"/>
      <c r="AX197" s="154"/>
      <c r="AY197" s="154"/>
      <c r="AZ197" s="154"/>
      <c r="BA197" s="154"/>
      <c r="BB197" s="154"/>
      <c r="BC197" s="154"/>
      <c r="BD197" s="154"/>
      <c r="BE197" s="154"/>
      <c r="BF197" s="154"/>
      <c r="BG197" s="154"/>
      <c r="BH197" s="154"/>
      <c r="BI197" s="154"/>
      <c r="BJ197" s="163"/>
      <c r="BK197" s="163"/>
      <c r="BL197" s="163"/>
      <c r="BO197" s="154"/>
      <c r="BP197" s="154"/>
      <c r="BQ197" s="154"/>
      <c r="BR197" s="154"/>
      <c r="BS197" s="154"/>
      <c r="BT197" s="154"/>
      <c r="BU197" s="154"/>
      <c r="BV197" s="154"/>
      <c r="BW197" s="154"/>
      <c r="BX197" s="154"/>
      <c r="BY197" s="154"/>
      <c r="BZ197" s="154"/>
      <c r="CA197" s="154"/>
      <c r="CB197" s="154"/>
      <c r="CC197" s="154"/>
      <c r="CD197" s="154"/>
      <c r="CE197" s="154"/>
      <c r="CF197" s="154"/>
      <c r="CG197" s="154"/>
      <c r="CH197" s="154"/>
      <c r="CI197" s="154"/>
      <c r="CJ197" s="154"/>
    </row>
    <row r="198" spans="1:88" ht="15.75" customHeight="1">
      <c r="A198" s="154"/>
      <c r="B198" s="155"/>
      <c r="C198" s="156"/>
      <c r="D198" s="154"/>
      <c r="E198" s="154"/>
      <c r="F198" s="154"/>
      <c r="G198" s="154"/>
      <c r="H198" s="154"/>
      <c r="I198" s="154"/>
      <c r="J198" s="154"/>
      <c r="K198" s="154"/>
      <c r="L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G198" s="154"/>
      <c r="AH198" s="154"/>
      <c r="AI198" s="154"/>
      <c r="AJ198" s="154"/>
      <c r="AK198" s="154"/>
      <c r="AL198" s="154"/>
      <c r="AM198" s="154"/>
      <c r="AN198" s="154"/>
      <c r="AO198" s="156"/>
      <c r="AP198" s="154"/>
      <c r="AQ198" s="156"/>
      <c r="AR198" s="154"/>
      <c r="AS198" s="154"/>
      <c r="AT198" s="154"/>
      <c r="AU198" s="154"/>
      <c r="AV198" s="154"/>
      <c r="AW198" s="154"/>
      <c r="AX198" s="154"/>
      <c r="AY198" s="154"/>
      <c r="AZ198" s="154"/>
      <c r="BA198" s="154"/>
      <c r="BB198" s="154"/>
      <c r="BC198" s="154"/>
      <c r="BD198" s="154"/>
      <c r="BE198" s="154"/>
      <c r="BF198" s="154"/>
      <c r="BG198" s="154"/>
      <c r="BH198" s="154"/>
      <c r="BI198" s="154"/>
      <c r="BJ198" s="163"/>
      <c r="BK198" s="163"/>
      <c r="BL198" s="163"/>
      <c r="BO198" s="154"/>
      <c r="BP198" s="154"/>
      <c r="BQ198" s="154"/>
      <c r="BR198" s="154"/>
      <c r="BS198" s="154"/>
      <c r="BT198" s="154"/>
      <c r="BU198" s="154"/>
      <c r="BV198" s="154"/>
      <c r="BW198" s="154"/>
      <c r="BX198" s="154"/>
      <c r="BY198" s="154"/>
      <c r="BZ198" s="154"/>
      <c r="CA198" s="154"/>
      <c r="CB198" s="154"/>
      <c r="CC198" s="154"/>
      <c r="CD198" s="154"/>
      <c r="CE198" s="154"/>
      <c r="CF198" s="154"/>
      <c r="CG198" s="154"/>
      <c r="CH198" s="154"/>
      <c r="CI198" s="154"/>
      <c r="CJ198" s="154"/>
    </row>
    <row r="199" spans="1:88" ht="15.75" customHeight="1">
      <c r="A199" s="154"/>
      <c r="B199" s="155"/>
      <c r="C199" s="156"/>
      <c r="D199" s="154"/>
      <c r="E199" s="154"/>
      <c r="F199" s="154"/>
      <c r="G199" s="154"/>
      <c r="H199" s="154"/>
      <c r="I199" s="154"/>
      <c r="J199" s="154"/>
      <c r="K199" s="154"/>
      <c r="L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G199" s="154"/>
      <c r="AH199" s="154"/>
      <c r="AI199" s="154"/>
      <c r="AJ199" s="154"/>
      <c r="AK199" s="154"/>
      <c r="AL199" s="154"/>
      <c r="AM199" s="154"/>
      <c r="AN199" s="154"/>
      <c r="AO199" s="156"/>
      <c r="AP199" s="154"/>
      <c r="AQ199" s="156"/>
      <c r="AR199" s="154"/>
      <c r="AS199" s="154"/>
      <c r="AT199" s="154"/>
      <c r="AU199" s="154"/>
      <c r="AV199" s="154"/>
      <c r="AW199" s="154"/>
      <c r="AX199" s="154"/>
      <c r="AY199" s="154"/>
      <c r="AZ199" s="154"/>
      <c r="BA199" s="154"/>
      <c r="BB199" s="154"/>
      <c r="BC199" s="154"/>
      <c r="BD199" s="154"/>
      <c r="BE199" s="154"/>
      <c r="BF199" s="154"/>
      <c r="BG199" s="154"/>
      <c r="BH199" s="154"/>
      <c r="BI199" s="154"/>
      <c r="BJ199" s="163"/>
      <c r="BK199" s="163"/>
      <c r="BL199" s="163"/>
      <c r="BO199" s="154"/>
      <c r="BP199" s="154"/>
      <c r="BQ199" s="154"/>
      <c r="BR199" s="154"/>
      <c r="BS199" s="154"/>
      <c r="BT199" s="154"/>
      <c r="BU199" s="154"/>
      <c r="BV199" s="154"/>
      <c r="BW199" s="154"/>
      <c r="BX199" s="154"/>
      <c r="BY199" s="154"/>
      <c r="BZ199" s="154"/>
      <c r="CA199" s="154"/>
      <c r="CB199" s="154"/>
      <c r="CC199" s="154"/>
      <c r="CD199" s="154"/>
      <c r="CE199" s="154"/>
      <c r="CF199" s="154"/>
      <c r="CG199" s="154"/>
      <c r="CH199" s="154"/>
      <c r="CI199" s="154"/>
      <c r="CJ199" s="154"/>
    </row>
    <row r="200" spans="1:88" ht="15.75" customHeight="1">
      <c r="A200" s="154"/>
      <c r="B200" s="155"/>
      <c r="C200" s="156"/>
      <c r="D200" s="154"/>
      <c r="E200" s="154"/>
      <c r="F200" s="154"/>
      <c r="G200" s="154"/>
      <c r="H200" s="154"/>
      <c r="I200" s="154"/>
      <c r="J200" s="154"/>
      <c r="K200" s="154"/>
      <c r="L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G200" s="154"/>
      <c r="AH200" s="154"/>
      <c r="AI200" s="154"/>
      <c r="AJ200" s="154"/>
      <c r="AK200" s="154"/>
      <c r="AL200" s="154"/>
      <c r="AM200" s="154"/>
      <c r="AN200" s="154"/>
      <c r="AO200" s="156"/>
      <c r="AP200" s="154"/>
      <c r="AQ200" s="156"/>
      <c r="AR200" s="154"/>
      <c r="AS200" s="154"/>
      <c r="AT200" s="154"/>
      <c r="AU200" s="154"/>
      <c r="AV200" s="154"/>
      <c r="AW200" s="154"/>
      <c r="AX200" s="154"/>
      <c r="AY200" s="154"/>
      <c r="AZ200" s="154"/>
      <c r="BA200" s="154"/>
      <c r="BB200" s="154"/>
      <c r="BC200" s="154"/>
      <c r="BD200" s="154"/>
      <c r="BE200" s="154"/>
      <c r="BF200" s="154"/>
      <c r="BG200" s="154"/>
      <c r="BH200" s="154"/>
      <c r="BI200" s="154"/>
      <c r="BJ200" s="163"/>
      <c r="BK200" s="163"/>
      <c r="BL200" s="163"/>
      <c r="BO200" s="154"/>
      <c r="BP200" s="154"/>
      <c r="BQ200" s="154"/>
      <c r="BR200" s="154"/>
      <c r="BS200" s="154"/>
      <c r="BT200" s="154"/>
      <c r="BU200" s="154"/>
      <c r="BV200" s="154"/>
      <c r="BW200" s="154"/>
      <c r="BX200" s="154"/>
      <c r="BY200" s="154"/>
      <c r="BZ200" s="154"/>
      <c r="CA200" s="154"/>
      <c r="CB200" s="154"/>
      <c r="CC200" s="154"/>
      <c r="CD200" s="154"/>
      <c r="CE200" s="154"/>
      <c r="CF200" s="154"/>
      <c r="CG200" s="154"/>
      <c r="CH200" s="154"/>
      <c r="CI200" s="154"/>
      <c r="CJ200" s="154"/>
    </row>
    <row r="201" spans="1:88" ht="15.75" customHeight="1">
      <c r="A201" s="154"/>
      <c r="B201" s="155"/>
      <c r="C201" s="156"/>
      <c r="D201" s="154"/>
      <c r="E201" s="154"/>
      <c r="F201" s="154"/>
      <c r="G201" s="154"/>
      <c r="H201" s="154"/>
      <c r="I201" s="154"/>
      <c r="J201" s="154"/>
      <c r="K201" s="154"/>
      <c r="L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G201" s="154"/>
      <c r="AH201" s="154"/>
      <c r="AI201" s="154"/>
      <c r="AJ201" s="154"/>
      <c r="AK201" s="154"/>
      <c r="AL201" s="154"/>
      <c r="AM201" s="154"/>
      <c r="AN201" s="154"/>
      <c r="AO201" s="156"/>
      <c r="AP201" s="154"/>
      <c r="AQ201" s="156"/>
      <c r="AR201" s="154"/>
      <c r="AS201" s="154"/>
      <c r="AT201" s="154"/>
      <c r="AU201" s="154"/>
      <c r="AV201" s="154"/>
      <c r="AW201" s="154"/>
      <c r="AX201" s="154"/>
      <c r="AY201" s="154"/>
      <c r="AZ201" s="154"/>
      <c r="BA201" s="154"/>
      <c r="BB201" s="154"/>
      <c r="BC201" s="154"/>
      <c r="BD201" s="154"/>
      <c r="BE201" s="154"/>
      <c r="BF201" s="154"/>
      <c r="BG201" s="154"/>
      <c r="BH201" s="154"/>
      <c r="BI201" s="154"/>
      <c r="BJ201" s="163"/>
      <c r="BK201" s="163"/>
      <c r="BL201" s="163"/>
      <c r="BO201" s="154"/>
      <c r="BP201" s="154"/>
      <c r="BQ201" s="154"/>
      <c r="BR201" s="154"/>
      <c r="BS201" s="154"/>
      <c r="BT201" s="154"/>
      <c r="BU201" s="154"/>
      <c r="BV201" s="154"/>
      <c r="BW201" s="154"/>
      <c r="BX201" s="154"/>
      <c r="BY201" s="154"/>
      <c r="BZ201" s="154"/>
      <c r="CA201" s="154"/>
      <c r="CB201" s="154"/>
      <c r="CC201" s="154"/>
      <c r="CD201" s="154"/>
      <c r="CE201" s="154"/>
      <c r="CF201" s="154"/>
      <c r="CG201" s="154"/>
      <c r="CH201" s="154"/>
      <c r="CI201" s="154"/>
      <c r="CJ201" s="154"/>
    </row>
    <row r="202" spans="1:88" ht="15.75" customHeight="1">
      <c r="A202" s="154"/>
      <c r="B202" s="155"/>
      <c r="C202" s="156"/>
      <c r="D202" s="154"/>
      <c r="E202" s="154"/>
      <c r="F202" s="154"/>
      <c r="G202" s="154"/>
      <c r="H202" s="154"/>
      <c r="I202" s="154"/>
      <c r="J202" s="154"/>
      <c r="K202" s="154"/>
      <c r="L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G202" s="154"/>
      <c r="AH202" s="154"/>
      <c r="AI202" s="154"/>
      <c r="AJ202" s="154"/>
      <c r="AK202" s="154"/>
      <c r="AL202" s="154"/>
      <c r="AM202" s="154"/>
      <c r="AN202" s="154"/>
      <c r="AO202" s="156"/>
      <c r="AP202" s="154"/>
      <c r="AQ202" s="156"/>
      <c r="AR202" s="154"/>
      <c r="AS202" s="154"/>
      <c r="AT202" s="154"/>
      <c r="AU202" s="154"/>
      <c r="AV202" s="154"/>
      <c r="AW202" s="154"/>
      <c r="AX202" s="154"/>
      <c r="AY202" s="154"/>
      <c r="AZ202" s="154"/>
      <c r="BA202" s="154"/>
      <c r="BB202" s="154"/>
      <c r="BC202" s="154"/>
      <c r="BD202" s="154"/>
      <c r="BE202" s="154"/>
      <c r="BF202" s="154"/>
      <c r="BG202" s="154"/>
      <c r="BH202" s="154"/>
      <c r="BI202" s="154"/>
      <c r="BJ202" s="163"/>
      <c r="BK202" s="163"/>
      <c r="BL202" s="163"/>
      <c r="BO202" s="154"/>
      <c r="BP202" s="154"/>
      <c r="BQ202" s="154"/>
      <c r="BR202" s="154"/>
      <c r="BS202" s="154"/>
      <c r="BT202" s="154"/>
      <c r="BU202" s="154"/>
      <c r="BV202" s="154"/>
      <c r="BW202" s="154"/>
      <c r="BX202" s="154"/>
      <c r="BY202" s="154"/>
      <c r="BZ202" s="154"/>
      <c r="CA202" s="154"/>
      <c r="CB202" s="154"/>
      <c r="CC202" s="154"/>
      <c r="CD202" s="154"/>
      <c r="CE202" s="154"/>
      <c r="CF202" s="154"/>
      <c r="CG202" s="154"/>
      <c r="CH202" s="154"/>
      <c r="CI202" s="154"/>
      <c r="CJ202" s="154"/>
    </row>
    <row r="203" spans="1:88" ht="15.75" customHeight="1">
      <c r="A203" s="154"/>
      <c r="B203" s="155"/>
      <c r="C203" s="156"/>
      <c r="D203" s="154"/>
      <c r="E203" s="154"/>
      <c r="F203" s="154"/>
      <c r="G203" s="154"/>
      <c r="H203" s="154"/>
      <c r="I203" s="154"/>
      <c r="J203" s="154"/>
      <c r="K203" s="154"/>
      <c r="L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G203" s="154"/>
      <c r="AH203" s="154"/>
      <c r="AI203" s="154"/>
      <c r="AJ203" s="154"/>
      <c r="AK203" s="154"/>
      <c r="AL203" s="154"/>
      <c r="AM203" s="154"/>
      <c r="AN203" s="154"/>
      <c r="AO203" s="156"/>
      <c r="AP203" s="154"/>
      <c r="AQ203" s="156"/>
      <c r="AR203" s="154"/>
      <c r="AS203" s="154"/>
      <c r="AT203" s="154"/>
      <c r="AU203" s="154"/>
      <c r="AV203" s="154"/>
      <c r="AW203" s="154"/>
      <c r="AX203" s="154"/>
      <c r="AY203" s="154"/>
      <c r="AZ203" s="154"/>
      <c r="BA203" s="154"/>
      <c r="BB203" s="154"/>
      <c r="BC203" s="154"/>
      <c r="BD203" s="154"/>
      <c r="BE203" s="154"/>
      <c r="BF203" s="154"/>
      <c r="BG203" s="154"/>
      <c r="BH203" s="154"/>
      <c r="BI203" s="154"/>
      <c r="BJ203" s="163"/>
      <c r="BK203" s="163"/>
      <c r="BL203" s="163"/>
      <c r="BO203" s="154"/>
      <c r="BP203" s="154"/>
      <c r="BQ203" s="154"/>
      <c r="BR203" s="154"/>
      <c r="BS203" s="154"/>
      <c r="BT203" s="154"/>
      <c r="BU203" s="154"/>
      <c r="BV203" s="154"/>
      <c r="BW203" s="154"/>
      <c r="BX203" s="154"/>
      <c r="BY203" s="154"/>
      <c r="BZ203" s="154"/>
      <c r="CA203" s="154"/>
      <c r="CB203" s="154"/>
      <c r="CC203" s="154"/>
      <c r="CD203" s="154"/>
      <c r="CE203" s="154"/>
      <c r="CF203" s="154"/>
      <c r="CG203" s="154"/>
      <c r="CH203" s="154"/>
      <c r="CI203" s="154"/>
      <c r="CJ203" s="154"/>
    </row>
    <row r="204" spans="1:88" ht="15.75" customHeight="1">
      <c r="A204" s="154"/>
      <c r="B204" s="155"/>
      <c r="C204" s="156"/>
      <c r="D204" s="154"/>
      <c r="E204" s="154"/>
      <c r="F204" s="154"/>
      <c r="G204" s="154"/>
      <c r="H204" s="154"/>
      <c r="I204" s="154"/>
      <c r="J204" s="154"/>
      <c r="K204" s="154"/>
      <c r="L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G204" s="154"/>
      <c r="AH204" s="154"/>
      <c r="AI204" s="154"/>
      <c r="AJ204" s="154"/>
      <c r="AK204" s="154"/>
      <c r="AL204" s="154"/>
      <c r="AM204" s="154"/>
      <c r="AN204" s="154"/>
      <c r="AO204" s="156"/>
      <c r="AP204" s="154"/>
      <c r="AQ204" s="156"/>
      <c r="AR204" s="154"/>
      <c r="AS204" s="154"/>
      <c r="AT204" s="154"/>
      <c r="AU204" s="154"/>
      <c r="AV204" s="154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/>
      <c r="BJ204" s="163"/>
      <c r="BK204" s="163"/>
      <c r="BL204" s="163"/>
      <c r="BO204" s="154"/>
      <c r="BP204" s="154"/>
      <c r="BQ204" s="154"/>
      <c r="BR204" s="154"/>
      <c r="BS204" s="154"/>
      <c r="BT204" s="154"/>
      <c r="BU204" s="154"/>
      <c r="BV204" s="154"/>
      <c r="BW204" s="154"/>
      <c r="BX204" s="154"/>
      <c r="BY204" s="154"/>
      <c r="BZ204" s="154"/>
      <c r="CA204" s="154"/>
      <c r="CB204" s="154"/>
      <c r="CC204" s="154"/>
      <c r="CD204" s="154"/>
      <c r="CE204" s="154"/>
      <c r="CF204" s="154"/>
      <c r="CG204" s="154"/>
      <c r="CH204" s="154"/>
      <c r="CI204" s="154"/>
      <c r="CJ204" s="154"/>
    </row>
    <row r="205" spans="1:88" ht="15.75" customHeight="1">
      <c r="A205" s="154"/>
      <c r="B205" s="155"/>
      <c r="C205" s="156"/>
      <c r="D205" s="154"/>
      <c r="E205" s="154"/>
      <c r="F205" s="154"/>
      <c r="G205" s="154"/>
      <c r="H205" s="154"/>
      <c r="I205" s="154"/>
      <c r="J205" s="154"/>
      <c r="K205" s="154"/>
      <c r="L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G205" s="154"/>
      <c r="AH205" s="154"/>
      <c r="AI205" s="154"/>
      <c r="AJ205" s="154"/>
      <c r="AK205" s="154"/>
      <c r="AL205" s="154"/>
      <c r="AM205" s="154"/>
      <c r="AN205" s="154"/>
      <c r="AO205" s="156"/>
      <c r="AP205" s="154"/>
      <c r="AQ205" s="156"/>
      <c r="AR205" s="154"/>
      <c r="AS205" s="154"/>
      <c r="AT205" s="154"/>
      <c r="AU205" s="154"/>
      <c r="AV205" s="154"/>
      <c r="AW205" s="154"/>
      <c r="AX205" s="154"/>
      <c r="AY205" s="154"/>
      <c r="AZ205" s="154"/>
      <c r="BA205" s="154"/>
      <c r="BB205" s="154"/>
      <c r="BC205" s="154"/>
      <c r="BD205" s="154"/>
      <c r="BE205" s="154"/>
      <c r="BF205" s="154"/>
      <c r="BG205" s="154"/>
      <c r="BH205" s="154"/>
      <c r="BI205" s="154"/>
      <c r="BJ205" s="163"/>
      <c r="BK205" s="163"/>
      <c r="BL205" s="163"/>
      <c r="BO205" s="154"/>
      <c r="BP205" s="154"/>
      <c r="BQ205" s="154"/>
      <c r="BR205" s="154"/>
      <c r="BS205" s="154"/>
      <c r="BT205" s="154"/>
      <c r="BU205" s="154"/>
      <c r="BV205" s="154"/>
      <c r="BW205" s="154"/>
      <c r="BX205" s="154"/>
      <c r="BY205" s="154"/>
      <c r="BZ205" s="154"/>
      <c r="CA205" s="154"/>
      <c r="CB205" s="154"/>
      <c r="CC205" s="154"/>
      <c r="CD205" s="154"/>
      <c r="CE205" s="154"/>
      <c r="CF205" s="154"/>
      <c r="CG205" s="154"/>
      <c r="CH205" s="154"/>
      <c r="CI205" s="154"/>
      <c r="CJ205" s="154"/>
    </row>
    <row r="206" spans="1:88" ht="15.75" customHeight="1">
      <c r="A206" s="154"/>
      <c r="B206" s="155"/>
      <c r="C206" s="156"/>
      <c r="D206" s="154"/>
      <c r="E206" s="154"/>
      <c r="F206" s="154"/>
      <c r="G206" s="154"/>
      <c r="H206" s="154"/>
      <c r="I206" s="154"/>
      <c r="J206" s="154"/>
      <c r="K206" s="154"/>
      <c r="L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G206" s="154"/>
      <c r="AH206" s="154"/>
      <c r="AI206" s="154"/>
      <c r="AJ206" s="154"/>
      <c r="AK206" s="154"/>
      <c r="AL206" s="154"/>
      <c r="AM206" s="154"/>
      <c r="AN206" s="154"/>
      <c r="AO206" s="156"/>
      <c r="AP206" s="154"/>
      <c r="AQ206" s="156"/>
      <c r="AR206" s="154"/>
      <c r="AS206" s="154"/>
      <c r="AT206" s="154"/>
      <c r="AU206" s="154"/>
      <c r="AV206" s="154"/>
      <c r="AW206" s="154"/>
      <c r="AX206" s="154"/>
      <c r="AY206" s="154"/>
      <c r="AZ206" s="154"/>
      <c r="BA206" s="154"/>
      <c r="BB206" s="154"/>
      <c r="BC206" s="154"/>
      <c r="BD206" s="154"/>
      <c r="BE206" s="154"/>
      <c r="BF206" s="154"/>
      <c r="BG206" s="154"/>
      <c r="BH206" s="154"/>
      <c r="BI206" s="154"/>
      <c r="BJ206" s="163"/>
      <c r="BK206" s="163"/>
      <c r="BL206" s="163"/>
      <c r="BO206" s="154"/>
      <c r="BP206" s="154"/>
      <c r="BQ206" s="154"/>
      <c r="BR206" s="154"/>
      <c r="BS206" s="154"/>
      <c r="BT206" s="154"/>
      <c r="BU206" s="154"/>
      <c r="BV206" s="154"/>
      <c r="BW206" s="154"/>
      <c r="BX206" s="154"/>
      <c r="BY206" s="154"/>
      <c r="BZ206" s="154"/>
      <c r="CA206" s="154"/>
      <c r="CB206" s="154"/>
      <c r="CC206" s="154"/>
      <c r="CD206" s="154"/>
      <c r="CE206" s="154"/>
      <c r="CF206" s="154"/>
      <c r="CG206" s="154"/>
      <c r="CH206" s="154"/>
      <c r="CI206" s="154"/>
      <c r="CJ206" s="154"/>
    </row>
    <row r="207" spans="1:88" ht="15.75" customHeight="1">
      <c r="A207" s="154"/>
      <c r="B207" s="155"/>
      <c r="C207" s="156"/>
      <c r="D207" s="154"/>
      <c r="E207" s="154"/>
      <c r="F207" s="154"/>
      <c r="G207" s="154"/>
      <c r="H207" s="154"/>
      <c r="I207" s="154"/>
      <c r="J207" s="154"/>
      <c r="K207" s="154"/>
      <c r="L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G207" s="154"/>
      <c r="AH207" s="154"/>
      <c r="AI207" s="154"/>
      <c r="AJ207" s="154"/>
      <c r="AK207" s="154"/>
      <c r="AL207" s="154"/>
      <c r="AM207" s="154"/>
      <c r="AN207" s="154"/>
      <c r="AO207" s="156"/>
      <c r="AP207" s="154"/>
      <c r="AQ207" s="156"/>
      <c r="AR207" s="154"/>
      <c r="AS207" s="154"/>
      <c r="AT207" s="154"/>
      <c r="AU207" s="154"/>
      <c r="AV207" s="154"/>
      <c r="AW207" s="154"/>
      <c r="AX207" s="154"/>
      <c r="AY207" s="154"/>
      <c r="AZ207" s="154"/>
      <c r="BA207" s="154"/>
      <c r="BB207" s="154"/>
      <c r="BC207" s="154"/>
      <c r="BD207" s="154"/>
      <c r="BE207" s="154"/>
      <c r="BF207" s="154"/>
      <c r="BG207" s="154"/>
      <c r="BH207" s="154"/>
      <c r="BI207" s="154"/>
      <c r="BJ207" s="163"/>
      <c r="BK207" s="163"/>
      <c r="BL207" s="163"/>
      <c r="BO207" s="154"/>
      <c r="BP207" s="154"/>
      <c r="BQ207" s="154"/>
      <c r="BR207" s="154"/>
      <c r="BS207" s="154"/>
      <c r="BT207" s="154"/>
      <c r="BU207" s="154"/>
      <c r="BV207" s="154"/>
      <c r="BW207" s="154"/>
      <c r="BX207" s="154"/>
      <c r="BY207" s="154"/>
      <c r="BZ207" s="154"/>
      <c r="CA207" s="154"/>
      <c r="CB207" s="154"/>
      <c r="CC207" s="154"/>
      <c r="CD207" s="154"/>
      <c r="CE207" s="154"/>
      <c r="CF207" s="154"/>
      <c r="CG207" s="154"/>
      <c r="CH207" s="154"/>
      <c r="CI207" s="154"/>
      <c r="CJ207" s="154"/>
    </row>
    <row r="208" spans="1:88" ht="15.75" customHeight="1">
      <c r="A208" s="154"/>
      <c r="B208" s="155"/>
      <c r="C208" s="156"/>
      <c r="D208" s="154"/>
      <c r="E208" s="154"/>
      <c r="F208" s="154"/>
      <c r="G208" s="154"/>
      <c r="H208" s="154"/>
      <c r="I208" s="154"/>
      <c r="J208" s="154"/>
      <c r="K208" s="154"/>
      <c r="L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G208" s="154"/>
      <c r="AH208" s="154"/>
      <c r="AI208" s="154"/>
      <c r="AJ208" s="154"/>
      <c r="AK208" s="154"/>
      <c r="AL208" s="154"/>
      <c r="AM208" s="154"/>
      <c r="AN208" s="154"/>
      <c r="AO208" s="156"/>
      <c r="AP208" s="154"/>
      <c r="AQ208" s="156"/>
      <c r="AR208" s="154"/>
      <c r="AS208" s="154"/>
      <c r="AT208" s="154"/>
      <c r="AU208" s="154"/>
      <c r="AV208" s="154"/>
      <c r="AW208" s="154"/>
      <c r="AX208" s="154"/>
      <c r="AY208" s="154"/>
      <c r="AZ208" s="154"/>
      <c r="BA208" s="154"/>
      <c r="BB208" s="154"/>
      <c r="BC208" s="154"/>
      <c r="BD208" s="154"/>
      <c r="BE208" s="154"/>
      <c r="BF208" s="154"/>
      <c r="BG208" s="154"/>
      <c r="BH208" s="154"/>
      <c r="BI208" s="154"/>
      <c r="BJ208" s="163"/>
      <c r="BK208" s="163"/>
      <c r="BL208" s="163"/>
      <c r="BO208" s="154"/>
      <c r="BP208" s="154"/>
      <c r="BQ208" s="154"/>
      <c r="BR208" s="154"/>
      <c r="BS208" s="154"/>
      <c r="BT208" s="154"/>
      <c r="BU208" s="154"/>
      <c r="BV208" s="154"/>
      <c r="BW208" s="154"/>
      <c r="BX208" s="154"/>
      <c r="BY208" s="154"/>
      <c r="BZ208" s="154"/>
      <c r="CA208" s="154"/>
      <c r="CB208" s="154"/>
      <c r="CC208" s="154"/>
      <c r="CD208" s="154"/>
      <c r="CE208" s="154"/>
      <c r="CF208" s="154"/>
      <c r="CG208" s="154"/>
      <c r="CH208" s="154"/>
      <c r="CI208" s="154"/>
      <c r="CJ208" s="154"/>
    </row>
    <row r="209" spans="1:88" ht="15.75" customHeight="1">
      <c r="A209" s="154"/>
      <c r="B209" s="155"/>
      <c r="C209" s="156"/>
      <c r="D209" s="154"/>
      <c r="E209" s="154"/>
      <c r="F209" s="154"/>
      <c r="G209" s="154"/>
      <c r="H209" s="154"/>
      <c r="I209" s="154"/>
      <c r="J209" s="154"/>
      <c r="K209" s="154"/>
      <c r="L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G209" s="154"/>
      <c r="AH209" s="154"/>
      <c r="AI209" s="154"/>
      <c r="AJ209" s="154"/>
      <c r="AK209" s="154"/>
      <c r="AL209" s="154"/>
      <c r="AM209" s="154"/>
      <c r="AN209" s="154"/>
      <c r="AO209" s="156"/>
      <c r="AP209" s="154"/>
      <c r="AQ209" s="156"/>
      <c r="AR209" s="154"/>
      <c r="AS209" s="154"/>
      <c r="AT209" s="154"/>
      <c r="AU209" s="154"/>
      <c r="AV209" s="154"/>
      <c r="AW209" s="154"/>
      <c r="AX209" s="154"/>
      <c r="AY209" s="154"/>
      <c r="AZ209" s="154"/>
      <c r="BA209" s="154"/>
      <c r="BB209" s="154"/>
      <c r="BC209" s="154"/>
      <c r="BD209" s="154"/>
      <c r="BE209" s="154"/>
      <c r="BF209" s="154"/>
      <c r="BG209" s="154"/>
      <c r="BH209" s="154"/>
      <c r="BI209" s="154"/>
      <c r="BJ209" s="163"/>
      <c r="BK209" s="163"/>
      <c r="BL209" s="163"/>
      <c r="BO209" s="154"/>
      <c r="BP209" s="154"/>
      <c r="BQ209" s="154"/>
      <c r="BR209" s="154"/>
      <c r="BS209" s="154"/>
      <c r="BT209" s="154"/>
      <c r="BU209" s="154"/>
      <c r="BV209" s="154"/>
      <c r="BW209" s="154"/>
      <c r="BX209" s="154"/>
      <c r="BY209" s="154"/>
      <c r="BZ209" s="154"/>
      <c r="CA209" s="154"/>
      <c r="CB209" s="154"/>
      <c r="CC209" s="154"/>
      <c r="CD209" s="154"/>
      <c r="CE209" s="154"/>
      <c r="CF209" s="154"/>
      <c r="CG209" s="154"/>
      <c r="CH209" s="154"/>
      <c r="CI209" s="154"/>
      <c r="CJ209" s="154"/>
    </row>
    <row r="210" spans="1:88" ht="15.75" customHeight="1">
      <c r="A210" s="154"/>
      <c r="B210" s="155"/>
      <c r="C210" s="156"/>
      <c r="D210" s="154"/>
      <c r="E210" s="154"/>
      <c r="F210" s="154"/>
      <c r="G210" s="154"/>
      <c r="H210" s="154"/>
      <c r="I210" s="154"/>
      <c r="J210" s="154"/>
      <c r="K210" s="154"/>
      <c r="L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G210" s="154"/>
      <c r="AH210" s="154"/>
      <c r="AI210" s="154"/>
      <c r="AJ210" s="154"/>
      <c r="AK210" s="154"/>
      <c r="AL210" s="154"/>
      <c r="AM210" s="154"/>
      <c r="AN210" s="154"/>
      <c r="AO210" s="156"/>
      <c r="AP210" s="154"/>
      <c r="AQ210" s="156"/>
      <c r="AR210" s="154"/>
      <c r="AS210" s="154"/>
      <c r="AT210" s="154"/>
      <c r="AU210" s="154"/>
      <c r="AV210" s="154"/>
      <c r="AW210" s="154"/>
      <c r="AX210" s="154"/>
      <c r="AY210" s="154"/>
      <c r="AZ210" s="154"/>
      <c r="BA210" s="154"/>
      <c r="BB210" s="154"/>
      <c r="BC210" s="154"/>
      <c r="BD210" s="154"/>
      <c r="BE210" s="154"/>
      <c r="BF210" s="154"/>
      <c r="BG210" s="154"/>
      <c r="BH210" s="154"/>
      <c r="BI210" s="154"/>
      <c r="BJ210" s="163"/>
      <c r="BK210" s="163"/>
      <c r="BL210" s="163"/>
      <c r="BO210" s="154"/>
      <c r="BP210" s="154"/>
      <c r="BQ210" s="154"/>
      <c r="BR210" s="154"/>
      <c r="BS210" s="154"/>
      <c r="BT210" s="154"/>
      <c r="BU210" s="154"/>
      <c r="BV210" s="154"/>
      <c r="BW210" s="154"/>
      <c r="BX210" s="154"/>
      <c r="BY210" s="154"/>
      <c r="BZ210" s="154"/>
      <c r="CA210" s="154"/>
      <c r="CB210" s="154"/>
      <c r="CC210" s="154"/>
      <c r="CD210" s="154"/>
      <c r="CE210" s="154"/>
      <c r="CF210" s="154"/>
      <c r="CG210" s="154"/>
      <c r="CH210" s="154"/>
      <c r="CI210" s="154"/>
      <c r="CJ210" s="154"/>
    </row>
    <row r="211" spans="1:88" ht="15.75" customHeight="1">
      <c r="A211" s="154"/>
      <c r="B211" s="155"/>
      <c r="C211" s="156"/>
      <c r="D211" s="154"/>
      <c r="E211" s="154"/>
      <c r="F211" s="154"/>
      <c r="G211" s="154"/>
      <c r="H211" s="154"/>
      <c r="I211" s="154"/>
      <c r="J211" s="154"/>
      <c r="K211" s="154"/>
      <c r="L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G211" s="154"/>
      <c r="AH211" s="154"/>
      <c r="AI211" s="154"/>
      <c r="AJ211" s="154"/>
      <c r="AK211" s="154"/>
      <c r="AL211" s="154"/>
      <c r="AM211" s="154"/>
      <c r="AN211" s="154"/>
      <c r="AO211" s="156"/>
      <c r="AP211" s="154"/>
      <c r="AQ211" s="156"/>
      <c r="AR211" s="154"/>
      <c r="AS211" s="154"/>
      <c r="AT211" s="154"/>
      <c r="AU211" s="154"/>
      <c r="AV211" s="154"/>
      <c r="AW211" s="154"/>
      <c r="AX211" s="154"/>
      <c r="AY211" s="154"/>
      <c r="AZ211" s="154"/>
      <c r="BA211" s="154"/>
      <c r="BB211" s="154"/>
      <c r="BC211" s="154"/>
      <c r="BD211" s="154"/>
      <c r="BE211" s="154"/>
      <c r="BF211" s="154"/>
      <c r="BG211" s="154"/>
      <c r="BH211" s="154"/>
      <c r="BI211" s="154"/>
      <c r="BJ211" s="163"/>
      <c r="BK211" s="163"/>
      <c r="BL211" s="163"/>
      <c r="BO211" s="154"/>
      <c r="BP211" s="154"/>
      <c r="BQ211" s="154"/>
      <c r="BR211" s="154"/>
      <c r="BS211" s="154"/>
      <c r="BT211" s="154"/>
      <c r="BU211" s="154"/>
      <c r="BV211" s="154"/>
      <c r="BW211" s="154"/>
      <c r="BX211" s="154"/>
      <c r="BY211" s="154"/>
      <c r="BZ211" s="154"/>
      <c r="CA211" s="154"/>
      <c r="CB211" s="154"/>
      <c r="CC211" s="154"/>
      <c r="CD211" s="154"/>
      <c r="CE211" s="154"/>
      <c r="CF211" s="154"/>
      <c r="CG211" s="154"/>
      <c r="CH211" s="154"/>
      <c r="CI211" s="154"/>
      <c r="CJ211" s="154"/>
    </row>
    <row r="212" spans="1:88" ht="15.75" customHeight="1">
      <c r="A212" s="154"/>
      <c r="B212" s="155"/>
      <c r="C212" s="156"/>
      <c r="D212" s="154"/>
      <c r="E212" s="154"/>
      <c r="F212" s="154"/>
      <c r="G212" s="154"/>
      <c r="H212" s="154"/>
      <c r="I212" s="154"/>
      <c r="J212" s="154"/>
      <c r="K212" s="154"/>
      <c r="L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G212" s="154"/>
      <c r="AH212" s="154"/>
      <c r="AI212" s="154"/>
      <c r="AJ212" s="154"/>
      <c r="AK212" s="154"/>
      <c r="AL212" s="154"/>
      <c r="AM212" s="154"/>
      <c r="AN212" s="154"/>
      <c r="AO212" s="156"/>
      <c r="AP212" s="154"/>
      <c r="AQ212" s="156"/>
      <c r="AR212" s="154"/>
      <c r="AS212" s="154"/>
      <c r="AT212" s="154"/>
      <c r="AU212" s="154"/>
      <c r="AV212" s="154"/>
      <c r="AW212" s="154"/>
      <c r="AX212" s="154"/>
      <c r="AY212" s="154"/>
      <c r="AZ212" s="154"/>
      <c r="BA212" s="154"/>
      <c r="BB212" s="154"/>
      <c r="BC212" s="154"/>
      <c r="BD212" s="154"/>
      <c r="BE212" s="154"/>
      <c r="BF212" s="154"/>
      <c r="BG212" s="154"/>
      <c r="BH212" s="154"/>
      <c r="BI212" s="154"/>
      <c r="BJ212" s="163"/>
      <c r="BK212" s="163"/>
      <c r="BL212" s="163"/>
      <c r="BO212" s="154"/>
      <c r="BP212" s="154"/>
      <c r="BQ212" s="154"/>
      <c r="BR212" s="154"/>
      <c r="BS212" s="154"/>
      <c r="BT212" s="154"/>
      <c r="BU212" s="154"/>
      <c r="BV212" s="154"/>
      <c r="BW212" s="154"/>
      <c r="BX212" s="154"/>
      <c r="BY212" s="154"/>
      <c r="BZ212" s="154"/>
      <c r="CA212" s="154"/>
      <c r="CB212" s="154"/>
      <c r="CC212" s="154"/>
      <c r="CD212" s="154"/>
      <c r="CE212" s="154"/>
      <c r="CF212" s="154"/>
      <c r="CG212" s="154"/>
      <c r="CH212" s="154"/>
      <c r="CI212" s="154"/>
      <c r="CJ212" s="154"/>
    </row>
    <row r="213" spans="1:88" ht="15.75" customHeight="1">
      <c r="A213" s="154"/>
      <c r="B213" s="155"/>
      <c r="C213" s="156"/>
      <c r="D213" s="154"/>
      <c r="E213" s="154"/>
      <c r="F213" s="154"/>
      <c r="G213" s="154"/>
      <c r="H213" s="154"/>
      <c r="I213" s="154"/>
      <c r="J213" s="154"/>
      <c r="K213" s="154"/>
      <c r="L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G213" s="154"/>
      <c r="AH213" s="154"/>
      <c r="AI213" s="154"/>
      <c r="AJ213" s="154"/>
      <c r="AK213" s="154"/>
      <c r="AL213" s="154"/>
      <c r="AM213" s="154"/>
      <c r="AN213" s="154"/>
      <c r="AO213" s="156"/>
      <c r="AP213" s="154"/>
      <c r="AQ213" s="156"/>
      <c r="AR213" s="154"/>
      <c r="AS213" s="154"/>
      <c r="AT213" s="154"/>
      <c r="AU213" s="154"/>
      <c r="AV213" s="154"/>
      <c r="AW213" s="154"/>
      <c r="AX213" s="154"/>
      <c r="AY213" s="154"/>
      <c r="AZ213" s="154"/>
      <c r="BA213" s="154"/>
      <c r="BB213" s="154"/>
      <c r="BC213" s="154"/>
      <c r="BD213" s="154"/>
      <c r="BE213" s="154"/>
      <c r="BF213" s="154"/>
      <c r="BG213" s="154"/>
      <c r="BH213" s="154"/>
      <c r="BI213" s="154"/>
      <c r="BJ213" s="163"/>
      <c r="BK213" s="163"/>
      <c r="BL213" s="163"/>
      <c r="BO213" s="154"/>
      <c r="BP213" s="154"/>
      <c r="BQ213" s="154"/>
      <c r="BR213" s="154"/>
      <c r="BS213" s="154"/>
      <c r="BT213" s="154"/>
      <c r="BU213" s="154"/>
      <c r="BV213" s="154"/>
      <c r="BW213" s="154"/>
      <c r="BX213" s="154"/>
      <c r="BY213" s="154"/>
      <c r="BZ213" s="154"/>
      <c r="CA213" s="154"/>
      <c r="CB213" s="154"/>
      <c r="CC213" s="154"/>
      <c r="CD213" s="154"/>
      <c r="CE213" s="154"/>
      <c r="CF213" s="154"/>
      <c r="CG213" s="154"/>
      <c r="CH213" s="154"/>
      <c r="CI213" s="154"/>
      <c r="CJ213" s="154"/>
    </row>
    <row r="214" spans="1:88" ht="15.75" customHeight="1">
      <c r="A214" s="154"/>
      <c r="B214" s="155"/>
      <c r="C214" s="156"/>
      <c r="D214" s="154"/>
      <c r="E214" s="154"/>
      <c r="F214" s="154"/>
      <c r="G214" s="154"/>
      <c r="H214" s="154"/>
      <c r="I214" s="154"/>
      <c r="J214" s="154"/>
      <c r="K214" s="154"/>
      <c r="L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G214" s="154"/>
      <c r="AH214" s="154"/>
      <c r="AI214" s="154"/>
      <c r="AJ214" s="154"/>
      <c r="AK214" s="154"/>
      <c r="AL214" s="154"/>
      <c r="AM214" s="154"/>
      <c r="AN214" s="154"/>
      <c r="AO214" s="156"/>
      <c r="AP214" s="154"/>
      <c r="AQ214" s="156"/>
      <c r="AR214" s="154"/>
      <c r="AS214" s="154"/>
      <c r="AT214" s="154"/>
      <c r="AU214" s="154"/>
      <c r="AV214" s="154"/>
      <c r="AW214" s="154"/>
      <c r="AX214" s="154"/>
      <c r="AY214" s="154"/>
      <c r="AZ214" s="154"/>
      <c r="BA214" s="154"/>
      <c r="BB214" s="154"/>
      <c r="BC214" s="154"/>
      <c r="BD214" s="154"/>
      <c r="BE214" s="154"/>
      <c r="BF214" s="154"/>
      <c r="BG214" s="154"/>
      <c r="BH214" s="154"/>
      <c r="BI214" s="154"/>
      <c r="BJ214" s="163"/>
      <c r="BK214" s="163"/>
      <c r="BL214" s="163"/>
      <c r="BO214" s="154"/>
      <c r="BP214" s="154"/>
      <c r="BQ214" s="154"/>
      <c r="BR214" s="154"/>
      <c r="BS214" s="154"/>
      <c r="BT214" s="154"/>
      <c r="BU214" s="154"/>
      <c r="BV214" s="154"/>
      <c r="BW214" s="154"/>
      <c r="BX214" s="154"/>
      <c r="BY214" s="154"/>
      <c r="BZ214" s="154"/>
      <c r="CA214" s="154"/>
      <c r="CB214" s="154"/>
      <c r="CC214" s="154"/>
      <c r="CD214" s="154"/>
      <c r="CE214" s="154"/>
      <c r="CF214" s="154"/>
      <c r="CG214" s="154"/>
      <c r="CH214" s="154"/>
      <c r="CI214" s="154"/>
      <c r="CJ214" s="154"/>
    </row>
    <row r="215" spans="1:88" ht="15.75" customHeight="1">
      <c r="A215" s="154"/>
      <c r="B215" s="155"/>
      <c r="C215" s="156"/>
      <c r="D215" s="154"/>
      <c r="E215" s="154"/>
      <c r="F215" s="154"/>
      <c r="G215" s="154"/>
      <c r="H215" s="154"/>
      <c r="I215" s="154"/>
      <c r="J215" s="154"/>
      <c r="K215" s="154"/>
      <c r="L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G215" s="154"/>
      <c r="AH215" s="154"/>
      <c r="AI215" s="154"/>
      <c r="AJ215" s="154"/>
      <c r="AK215" s="154"/>
      <c r="AL215" s="154"/>
      <c r="AM215" s="154"/>
      <c r="AN215" s="154"/>
      <c r="AO215" s="156"/>
      <c r="AP215" s="154"/>
      <c r="AQ215" s="156"/>
      <c r="AR215" s="154"/>
      <c r="AS215" s="154"/>
      <c r="AT215" s="154"/>
      <c r="AU215" s="154"/>
      <c r="AV215" s="154"/>
      <c r="AW215" s="154"/>
      <c r="AX215" s="154"/>
      <c r="AY215" s="154"/>
      <c r="AZ215" s="154"/>
      <c r="BA215" s="154"/>
      <c r="BB215" s="154"/>
      <c r="BC215" s="154"/>
      <c r="BD215" s="154"/>
      <c r="BE215" s="154"/>
      <c r="BF215" s="154"/>
      <c r="BG215" s="154"/>
      <c r="BH215" s="154"/>
      <c r="BI215" s="154"/>
      <c r="BJ215" s="163"/>
      <c r="BK215" s="163"/>
      <c r="BL215" s="163"/>
      <c r="BO215" s="154"/>
      <c r="BP215" s="154"/>
      <c r="BQ215" s="154"/>
      <c r="BR215" s="154"/>
      <c r="BS215" s="154"/>
      <c r="BT215" s="154"/>
      <c r="BU215" s="154"/>
      <c r="BV215" s="154"/>
      <c r="BW215" s="154"/>
      <c r="BX215" s="154"/>
      <c r="BY215" s="154"/>
      <c r="BZ215" s="154"/>
      <c r="CA215" s="154"/>
      <c r="CB215" s="154"/>
      <c r="CC215" s="154"/>
      <c r="CD215" s="154"/>
      <c r="CE215" s="154"/>
      <c r="CF215" s="154"/>
      <c r="CG215" s="154"/>
      <c r="CH215" s="154"/>
      <c r="CI215" s="154"/>
      <c r="CJ215" s="154"/>
    </row>
    <row r="216" spans="1:88" ht="15.75" customHeight="1">
      <c r="A216" s="154"/>
      <c r="B216" s="155"/>
      <c r="C216" s="156"/>
      <c r="D216" s="154"/>
      <c r="E216" s="154"/>
      <c r="F216" s="154"/>
      <c r="G216" s="154"/>
      <c r="H216" s="154"/>
      <c r="I216" s="154"/>
      <c r="J216" s="154"/>
      <c r="K216" s="154"/>
      <c r="L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G216" s="154"/>
      <c r="AH216" s="154"/>
      <c r="AI216" s="154"/>
      <c r="AJ216" s="154"/>
      <c r="AK216" s="154"/>
      <c r="AL216" s="154"/>
      <c r="AM216" s="154"/>
      <c r="AN216" s="154"/>
      <c r="AO216" s="156"/>
      <c r="AP216" s="154"/>
      <c r="AQ216" s="156"/>
      <c r="AR216" s="154"/>
      <c r="AS216" s="154"/>
      <c r="AT216" s="154"/>
      <c r="AU216" s="154"/>
      <c r="AV216" s="154"/>
      <c r="AW216" s="154"/>
      <c r="AX216" s="154"/>
      <c r="AY216" s="154"/>
      <c r="AZ216" s="154"/>
      <c r="BA216" s="154"/>
      <c r="BB216" s="154"/>
      <c r="BC216" s="154"/>
      <c r="BD216" s="154"/>
      <c r="BE216" s="154"/>
      <c r="BF216" s="154"/>
      <c r="BG216" s="154"/>
      <c r="BH216" s="154"/>
      <c r="BI216" s="154"/>
      <c r="BJ216" s="163"/>
      <c r="BK216" s="163"/>
      <c r="BL216" s="163"/>
      <c r="BO216" s="154"/>
      <c r="BP216" s="154"/>
      <c r="BQ216" s="154"/>
      <c r="BR216" s="154"/>
      <c r="BS216" s="154"/>
      <c r="BT216" s="154"/>
      <c r="BU216" s="154"/>
      <c r="BV216" s="154"/>
      <c r="BW216" s="154"/>
      <c r="BX216" s="154"/>
      <c r="BY216" s="154"/>
      <c r="BZ216" s="154"/>
      <c r="CA216" s="154"/>
      <c r="CB216" s="154"/>
      <c r="CC216" s="154"/>
      <c r="CD216" s="154"/>
      <c r="CE216" s="154"/>
      <c r="CF216" s="154"/>
      <c r="CG216" s="154"/>
      <c r="CH216" s="154"/>
      <c r="CI216" s="154"/>
      <c r="CJ216" s="154"/>
    </row>
    <row r="217" spans="1:88" ht="15.75" customHeight="1">
      <c r="A217" s="154"/>
      <c r="B217" s="155"/>
      <c r="C217" s="156"/>
      <c r="D217" s="154"/>
      <c r="E217" s="154"/>
      <c r="F217" s="154"/>
      <c r="G217" s="154"/>
      <c r="H217" s="154"/>
      <c r="I217" s="154"/>
      <c r="J217" s="154"/>
      <c r="K217" s="154"/>
      <c r="L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G217" s="154"/>
      <c r="AH217" s="154"/>
      <c r="AI217" s="154"/>
      <c r="AJ217" s="154"/>
      <c r="AK217" s="154"/>
      <c r="AL217" s="154"/>
      <c r="AM217" s="154"/>
      <c r="AN217" s="154"/>
      <c r="AO217" s="156"/>
      <c r="AP217" s="154"/>
      <c r="AQ217" s="156"/>
      <c r="AR217" s="154"/>
      <c r="AS217" s="154"/>
      <c r="AT217" s="154"/>
      <c r="AU217" s="154"/>
      <c r="AV217" s="154"/>
      <c r="AW217" s="154"/>
      <c r="AX217" s="154"/>
      <c r="AY217" s="154"/>
      <c r="AZ217" s="154"/>
      <c r="BA217" s="154"/>
      <c r="BB217" s="154"/>
      <c r="BC217" s="154"/>
      <c r="BD217" s="154"/>
      <c r="BE217" s="154"/>
      <c r="BF217" s="154"/>
      <c r="BG217" s="154"/>
      <c r="BH217" s="154"/>
      <c r="BI217" s="154"/>
      <c r="BJ217" s="163"/>
      <c r="BK217" s="163"/>
      <c r="BL217" s="163"/>
      <c r="BO217" s="154"/>
      <c r="BP217" s="154"/>
      <c r="BQ217" s="154"/>
      <c r="BR217" s="154"/>
      <c r="BS217" s="154"/>
      <c r="BT217" s="154"/>
      <c r="BU217" s="154"/>
      <c r="BV217" s="154"/>
      <c r="BW217" s="154"/>
      <c r="BX217" s="154"/>
      <c r="BY217" s="154"/>
      <c r="BZ217" s="154"/>
      <c r="CA217" s="154"/>
      <c r="CB217" s="154"/>
      <c r="CC217" s="154"/>
      <c r="CD217" s="154"/>
      <c r="CE217" s="154"/>
      <c r="CF217" s="154"/>
      <c r="CG217" s="154"/>
      <c r="CH217" s="154"/>
      <c r="CI217" s="154"/>
      <c r="CJ217" s="154"/>
    </row>
    <row r="218" spans="1:88" ht="15.75" customHeight="1">
      <c r="A218" s="154"/>
      <c r="B218" s="155"/>
      <c r="C218" s="156"/>
      <c r="D218" s="154"/>
      <c r="E218" s="154"/>
      <c r="F218" s="154"/>
      <c r="G218" s="154"/>
      <c r="H218" s="154"/>
      <c r="I218" s="154"/>
      <c r="J218" s="154"/>
      <c r="K218" s="154"/>
      <c r="L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G218" s="154"/>
      <c r="AH218" s="154"/>
      <c r="AI218" s="154"/>
      <c r="AJ218" s="154"/>
      <c r="AK218" s="154"/>
      <c r="AL218" s="154"/>
      <c r="AM218" s="154"/>
      <c r="AN218" s="154"/>
      <c r="AO218" s="156"/>
      <c r="AP218" s="154"/>
      <c r="AQ218" s="156"/>
      <c r="AR218" s="154"/>
      <c r="AS218" s="154"/>
      <c r="AT218" s="154"/>
      <c r="AU218" s="154"/>
      <c r="AV218" s="154"/>
      <c r="AW218" s="154"/>
      <c r="AX218" s="154"/>
      <c r="AY218" s="154"/>
      <c r="AZ218" s="154"/>
      <c r="BA218" s="154"/>
      <c r="BB218" s="154"/>
      <c r="BC218" s="154"/>
      <c r="BD218" s="154"/>
      <c r="BE218" s="154"/>
      <c r="BF218" s="154"/>
      <c r="BG218" s="154"/>
      <c r="BH218" s="154"/>
      <c r="BI218" s="154"/>
      <c r="BJ218" s="163"/>
      <c r="BK218" s="163"/>
      <c r="BL218" s="163"/>
      <c r="BO218" s="154"/>
      <c r="BP218" s="154"/>
      <c r="BQ218" s="154"/>
      <c r="BR218" s="154"/>
      <c r="BS218" s="154"/>
      <c r="BT218" s="154"/>
      <c r="BU218" s="154"/>
      <c r="BV218" s="154"/>
      <c r="BW218" s="154"/>
      <c r="BX218" s="154"/>
      <c r="BY218" s="154"/>
      <c r="BZ218" s="154"/>
      <c r="CA218" s="154"/>
      <c r="CB218" s="154"/>
      <c r="CC218" s="154"/>
      <c r="CD218" s="154"/>
      <c r="CE218" s="154"/>
      <c r="CF218" s="154"/>
      <c r="CG218" s="154"/>
      <c r="CH218" s="154"/>
      <c r="CI218" s="154"/>
      <c r="CJ218" s="154"/>
    </row>
    <row r="219" spans="1:88" ht="15.75" customHeight="1">
      <c r="A219" s="154"/>
      <c r="B219" s="155"/>
      <c r="C219" s="156"/>
      <c r="D219" s="154"/>
      <c r="E219" s="154"/>
      <c r="F219" s="154"/>
      <c r="G219" s="154"/>
      <c r="H219" s="154"/>
      <c r="I219" s="154"/>
      <c r="J219" s="154"/>
      <c r="K219" s="154"/>
      <c r="L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G219" s="154"/>
      <c r="AH219" s="154"/>
      <c r="AI219" s="154"/>
      <c r="AJ219" s="154"/>
      <c r="AK219" s="154"/>
      <c r="AL219" s="154"/>
      <c r="AM219" s="154"/>
      <c r="AN219" s="154"/>
      <c r="AO219" s="156"/>
      <c r="AP219" s="154"/>
      <c r="AQ219" s="156"/>
      <c r="AR219" s="154"/>
      <c r="AS219" s="154"/>
      <c r="AT219" s="154"/>
      <c r="AU219" s="154"/>
      <c r="AV219" s="154"/>
      <c r="AW219" s="154"/>
      <c r="AX219" s="154"/>
      <c r="AY219" s="154"/>
      <c r="AZ219" s="154"/>
      <c r="BA219" s="154"/>
      <c r="BB219" s="154"/>
      <c r="BC219" s="154"/>
      <c r="BD219" s="154"/>
      <c r="BE219" s="154"/>
      <c r="BF219" s="154"/>
      <c r="BG219" s="154"/>
      <c r="BH219" s="154"/>
      <c r="BI219" s="154"/>
      <c r="BJ219" s="163"/>
      <c r="BK219" s="163"/>
      <c r="BL219" s="163"/>
      <c r="BO219" s="154"/>
      <c r="BP219" s="154"/>
      <c r="BQ219" s="154"/>
      <c r="BR219" s="154"/>
      <c r="BS219" s="154"/>
      <c r="BT219" s="154"/>
      <c r="BU219" s="154"/>
      <c r="BV219" s="154"/>
      <c r="BW219" s="154"/>
      <c r="BX219" s="154"/>
      <c r="BY219" s="154"/>
      <c r="BZ219" s="154"/>
      <c r="CA219" s="154"/>
      <c r="CB219" s="154"/>
      <c r="CC219" s="154"/>
      <c r="CD219" s="154"/>
      <c r="CE219" s="154"/>
      <c r="CF219" s="154"/>
      <c r="CG219" s="154"/>
      <c r="CH219" s="154"/>
      <c r="CI219" s="154"/>
      <c r="CJ219" s="154"/>
    </row>
    <row r="220" spans="1:88" ht="15.75" customHeight="1">
      <c r="A220" s="154"/>
      <c r="B220" s="155"/>
      <c r="C220" s="156"/>
      <c r="D220" s="154"/>
      <c r="E220" s="154"/>
      <c r="F220" s="154"/>
      <c r="G220" s="154"/>
      <c r="H220" s="154"/>
      <c r="I220" s="154"/>
      <c r="J220" s="154"/>
      <c r="K220" s="154"/>
      <c r="L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G220" s="154"/>
      <c r="AH220" s="154"/>
      <c r="AI220" s="154"/>
      <c r="AJ220" s="154"/>
      <c r="AK220" s="154"/>
      <c r="AL220" s="154"/>
      <c r="AM220" s="154"/>
      <c r="AN220" s="154"/>
      <c r="AO220" s="156"/>
      <c r="AP220" s="154"/>
      <c r="AQ220" s="156"/>
      <c r="AR220" s="154"/>
      <c r="AS220" s="154"/>
      <c r="AT220" s="154"/>
      <c r="AU220" s="154"/>
      <c r="AV220" s="154"/>
      <c r="AW220" s="154"/>
      <c r="AX220" s="154"/>
      <c r="AY220" s="154"/>
      <c r="AZ220" s="154"/>
      <c r="BA220" s="154"/>
      <c r="BB220" s="154"/>
      <c r="BC220" s="154"/>
      <c r="BD220" s="154"/>
      <c r="BE220" s="154"/>
      <c r="BF220" s="154"/>
      <c r="BG220" s="154"/>
      <c r="BH220" s="154"/>
      <c r="BI220" s="154"/>
      <c r="BJ220" s="163"/>
      <c r="BK220" s="163"/>
      <c r="BL220" s="163"/>
      <c r="BO220" s="154"/>
      <c r="BP220" s="154"/>
      <c r="BQ220" s="154"/>
      <c r="BR220" s="154"/>
      <c r="BS220" s="154"/>
      <c r="BT220" s="154"/>
      <c r="BU220" s="154"/>
      <c r="BV220" s="154"/>
      <c r="BW220" s="154"/>
      <c r="BX220" s="154"/>
      <c r="BY220" s="154"/>
      <c r="BZ220" s="154"/>
      <c r="CA220" s="154"/>
      <c r="CB220" s="154"/>
      <c r="CC220" s="154"/>
      <c r="CD220" s="154"/>
      <c r="CE220" s="154"/>
      <c r="CF220" s="154"/>
      <c r="CG220" s="154"/>
      <c r="CH220" s="154"/>
      <c r="CI220" s="154"/>
      <c r="CJ220" s="154"/>
    </row>
    <row r="221" spans="1:88" ht="15.75" customHeight="1">
      <c r="A221" s="154"/>
      <c r="B221" s="155"/>
      <c r="C221" s="156"/>
      <c r="D221" s="154"/>
      <c r="E221" s="154"/>
      <c r="F221" s="154"/>
      <c r="G221" s="154"/>
      <c r="H221" s="154"/>
      <c r="I221" s="154"/>
      <c r="J221" s="154"/>
      <c r="K221" s="154"/>
      <c r="L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G221" s="154"/>
      <c r="AH221" s="154"/>
      <c r="AI221" s="154"/>
      <c r="AJ221" s="154"/>
      <c r="AK221" s="154"/>
      <c r="AL221" s="154"/>
      <c r="AM221" s="154"/>
      <c r="AN221" s="154"/>
      <c r="AO221" s="156"/>
      <c r="AP221" s="154"/>
      <c r="AQ221" s="156"/>
      <c r="AR221" s="154"/>
      <c r="AS221" s="154"/>
      <c r="AT221" s="154"/>
      <c r="AU221" s="154"/>
      <c r="AV221" s="154"/>
      <c r="AW221" s="154"/>
      <c r="AX221" s="154"/>
      <c r="AY221" s="154"/>
      <c r="AZ221" s="154"/>
      <c r="BA221" s="154"/>
      <c r="BB221" s="154"/>
      <c r="BC221" s="154"/>
      <c r="BD221" s="154"/>
      <c r="BE221" s="154"/>
      <c r="BF221" s="154"/>
      <c r="BG221" s="154"/>
      <c r="BH221" s="154"/>
      <c r="BI221" s="154"/>
      <c r="BJ221" s="163"/>
      <c r="BK221" s="163"/>
      <c r="BL221" s="163"/>
      <c r="BO221" s="154"/>
      <c r="BP221" s="154"/>
      <c r="BQ221" s="154"/>
      <c r="BR221" s="154"/>
      <c r="BS221" s="154"/>
      <c r="BT221" s="154"/>
      <c r="BU221" s="154"/>
      <c r="BV221" s="154"/>
      <c r="BW221" s="154"/>
      <c r="BX221" s="154"/>
      <c r="BY221" s="154"/>
      <c r="BZ221" s="154"/>
      <c r="CA221" s="154"/>
      <c r="CB221" s="154"/>
      <c r="CC221" s="154"/>
      <c r="CD221" s="154"/>
      <c r="CE221" s="154"/>
      <c r="CF221" s="154"/>
      <c r="CG221" s="154"/>
      <c r="CH221" s="154"/>
      <c r="CI221" s="154"/>
      <c r="CJ221" s="154"/>
    </row>
    <row r="222" spans="1:88" ht="15.75" customHeight="1">
      <c r="A222" s="154"/>
      <c r="B222" s="155"/>
      <c r="C222" s="156"/>
      <c r="D222" s="154"/>
      <c r="E222" s="154"/>
      <c r="F222" s="154"/>
      <c r="G222" s="154"/>
      <c r="H222" s="154"/>
      <c r="I222" s="154"/>
      <c r="J222" s="154"/>
      <c r="K222" s="154"/>
      <c r="L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G222" s="154"/>
      <c r="AH222" s="154"/>
      <c r="AI222" s="154"/>
      <c r="AJ222" s="154"/>
      <c r="AK222" s="154"/>
      <c r="AL222" s="154"/>
      <c r="AM222" s="154"/>
      <c r="AN222" s="154"/>
      <c r="AO222" s="156"/>
      <c r="AP222" s="154"/>
      <c r="AQ222" s="156"/>
      <c r="AR222" s="154"/>
      <c r="AS222" s="154"/>
      <c r="AT222" s="154"/>
      <c r="AU222" s="154"/>
      <c r="AV222" s="154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/>
      <c r="BG222" s="154"/>
      <c r="BH222" s="154"/>
      <c r="BI222" s="154"/>
      <c r="BJ222" s="163"/>
      <c r="BK222" s="163"/>
      <c r="BL222" s="163"/>
      <c r="BO222" s="154"/>
      <c r="BP222" s="154"/>
      <c r="BQ222" s="154"/>
      <c r="BR222" s="154"/>
      <c r="BS222" s="154"/>
      <c r="BT222" s="154"/>
      <c r="BU222" s="154"/>
      <c r="BV222" s="154"/>
      <c r="BW222" s="154"/>
      <c r="BX222" s="154"/>
      <c r="BY222" s="154"/>
      <c r="BZ222" s="154"/>
      <c r="CA222" s="154"/>
      <c r="CB222" s="154"/>
      <c r="CC222" s="154"/>
      <c r="CD222" s="154"/>
      <c r="CE222" s="154"/>
      <c r="CF222" s="154"/>
      <c r="CG222" s="154"/>
      <c r="CH222" s="154"/>
      <c r="CI222" s="154"/>
      <c r="CJ222" s="154"/>
    </row>
    <row r="223" spans="1:88" ht="15.75" customHeight="1">
      <c r="A223" s="154"/>
      <c r="B223" s="155"/>
      <c r="C223" s="156"/>
      <c r="D223" s="154"/>
      <c r="E223" s="154"/>
      <c r="F223" s="154"/>
      <c r="G223" s="154"/>
      <c r="H223" s="154"/>
      <c r="I223" s="154"/>
      <c r="J223" s="154"/>
      <c r="K223" s="154"/>
      <c r="L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G223" s="154"/>
      <c r="AH223" s="154"/>
      <c r="AI223" s="154"/>
      <c r="AJ223" s="154"/>
      <c r="AK223" s="154"/>
      <c r="AL223" s="154"/>
      <c r="AM223" s="154"/>
      <c r="AN223" s="154"/>
      <c r="AO223" s="156"/>
      <c r="AP223" s="154"/>
      <c r="AQ223" s="156"/>
      <c r="AR223" s="154"/>
      <c r="AS223" s="154"/>
      <c r="AT223" s="154"/>
      <c r="AU223" s="154"/>
      <c r="AV223" s="154"/>
      <c r="AW223" s="154"/>
      <c r="AX223" s="154"/>
      <c r="AY223" s="154"/>
      <c r="AZ223" s="154"/>
      <c r="BA223" s="154"/>
      <c r="BB223" s="154"/>
      <c r="BC223" s="154"/>
      <c r="BD223" s="154"/>
      <c r="BE223" s="154"/>
      <c r="BF223" s="154"/>
      <c r="BG223" s="154"/>
      <c r="BH223" s="154"/>
      <c r="BI223" s="154"/>
      <c r="BJ223" s="163"/>
      <c r="BK223" s="163"/>
      <c r="BL223" s="163"/>
      <c r="BO223" s="154"/>
      <c r="BP223" s="154"/>
      <c r="BQ223" s="154"/>
      <c r="BR223" s="154"/>
      <c r="BS223" s="154"/>
      <c r="BT223" s="154"/>
      <c r="BU223" s="154"/>
      <c r="BV223" s="154"/>
      <c r="BW223" s="154"/>
      <c r="BX223" s="154"/>
      <c r="BY223" s="154"/>
      <c r="BZ223" s="154"/>
      <c r="CA223" s="154"/>
      <c r="CB223" s="154"/>
      <c r="CC223" s="154"/>
      <c r="CD223" s="154"/>
      <c r="CE223" s="154"/>
      <c r="CF223" s="154"/>
      <c r="CG223" s="154"/>
      <c r="CH223" s="154"/>
      <c r="CI223" s="154"/>
      <c r="CJ223" s="154"/>
    </row>
    <row r="224" spans="1:88" ht="15.75" customHeight="1">
      <c r="A224" s="154"/>
      <c r="B224" s="155"/>
      <c r="C224" s="156"/>
      <c r="D224" s="154"/>
      <c r="E224" s="154"/>
      <c r="F224" s="154"/>
      <c r="G224" s="154"/>
      <c r="H224" s="154"/>
      <c r="I224" s="154"/>
      <c r="J224" s="154"/>
      <c r="K224" s="154"/>
      <c r="L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G224" s="154"/>
      <c r="AH224" s="154"/>
      <c r="AI224" s="154"/>
      <c r="AJ224" s="154"/>
      <c r="AK224" s="154"/>
      <c r="AL224" s="154"/>
      <c r="AM224" s="154"/>
      <c r="AN224" s="154"/>
      <c r="AO224" s="156"/>
      <c r="AP224" s="154"/>
      <c r="AQ224" s="156"/>
      <c r="AR224" s="154"/>
      <c r="AS224" s="154"/>
      <c r="AT224" s="154"/>
      <c r="AU224" s="154"/>
      <c r="AV224" s="154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  <c r="BI224" s="154"/>
      <c r="BJ224" s="163"/>
      <c r="BK224" s="163"/>
      <c r="BL224" s="163"/>
      <c r="BO224" s="154"/>
      <c r="BP224" s="154"/>
      <c r="BQ224" s="154"/>
      <c r="BR224" s="154"/>
      <c r="BS224" s="154"/>
      <c r="BT224" s="154"/>
      <c r="BU224" s="154"/>
      <c r="BV224" s="154"/>
      <c r="BW224" s="154"/>
      <c r="BX224" s="154"/>
      <c r="BY224" s="154"/>
      <c r="BZ224" s="154"/>
      <c r="CA224" s="154"/>
      <c r="CB224" s="154"/>
      <c r="CC224" s="154"/>
      <c r="CD224" s="154"/>
      <c r="CE224" s="154"/>
      <c r="CF224" s="154"/>
      <c r="CG224" s="154"/>
      <c r="CH224" s="154"/>
      <c r="CI224" s="154"/>
      <c r="CJ224" s="154"/>
    </row>
    <row r="225" spans="1:88" ht="15.75" customHeight="1">
      <c r="A225" s="154"/>
      <c r="B225" s="155"/>
      <c r="C225" s="156"/>
      <c r="D225" s="154"/>
      <c r="E225" s="154"/>
      <c r="F225" s="154"/>
      <c r="G225" s="154"/>
      <c r="H225" s="154"/>
      <c r="I225" s="154"/>
      <c r="J225" s="154"/>
      <c r="K225" s="154"/>
      <c r="L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G225" s="154"/>
      <c r="AH225" s="154"/>
      <c r="AI225" s="154"/>
      <c r="AJ225" s="154"/>
      <c r="AK225" s="154"/>
      <c r="AL225" s="154"/>
      <c r="AM225" s="154"/>
      <c r="AN225" s="154"/>
      <c r="AO225" s="156"/>
      <c r="AP225" s="154"/>
      <c r="AQ225" s="156"/>
      <c r="AR225" s="154"/>
      <c r="AS225" s="154"/>
      <c r="AT225" s="154"/>
      <c r="AU225" s="154"/>
      <c r="AV225" s="154"/>
      <c r="AW225" s="154"/>
      <c r="AX225" s="154"/>
      <c r="AY225" s="154"/>
      <c r="AZ225" s="154"/>
      <c r="BA225" s="154"/>
      <c r="BB225" s="154"/>
      <c r="BC225" s="154"/>
      <c r="BD225" s="154"/>
      <c r="BE225" s="154"/>
      <c r="BF225" s="154"/>
      <c r="BG225" s="154"/>
      <c r="BH225" s="154"/>
      <c r="BI225" s="154"/>
      <c r="BJ225" s="163"/>
      <c r="BK225" s="163"/>
      <c r="BL225" s="163"/>
      <c r="BO225" s="154"/>
      <c r="BP225" s="154"/>
      <c r="BQ225" s="154"/>
      <c r="BR225" s="154"/>
      <c r="BS225" s="154"/>
      <c r="BT225" s="154"/>
      <c r="BU225" s="154"/>
      <c r="BV225" s="154"/>
      <c r="BW225" s="154"/>
      <c r="BX225" s="154"/>
      <c r="BY225" s="154"/>
      <c r="BZ225" s="154"/>
      <c r="CA225" s="154"/>
      <c r="CB225" s="154"/>
      <c r="CC225" s="154"/>
      <c r="CD225" s="154"/>
      <c r="CE225" s="154"/>
      <c r="CF225" s="154"/>
      <c r="CG225" s="154"/>
      <c r="CH225" s="154"/>
      <c r="CI225" s="154"/>
      <c r="CJ225" s="154"/>
    </row>
    <row r="226" spans="1:88" ht="15.75" customHeight="1">
      <c r="A226" s="154"/>
      <c r="B226" s="155"/>
      <c r="C226" s="156"/>
      <c r="D226" s="154"/>
      <c r="E226" s="154"/>
      <c r="F226" s="154"/>
      <c r="G226" s="154"/>
      <c r="H226" s="154"/>
      <c r="I226" s="154"/>
      <c r="J226" s="154"/>
      <c r="K226" s="154"/>
      <c r="L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G226" s="154"/>
      <c r="AH226" s="154"/>
      <c r="AI226" s="154"/>
      <c r="AJ226" s="154"/>
      <c r="AK226" s="154"/>
      <c r="AL226" s="154"/>
      <c r="AM226" s="154"/>
      <c r="AN226" s="154"/>
      <c r="AO226" s="156"/>
      <c r="AP226" s="154"/>
      <c r="AQ226" s="156"/>
      <c r="AR226" s="154"/>
      <c r="AS226" s="154"/>
      <c r="AT226" s="154"/>
      <c r="AU226" s="154"/>
      <c r="AV226" s="154"/>
      <c r="AW226" s="154"/>
      <c r="AX226" s="154"/>
      <c r="AY226" s="154"/>
      <c r="AZ226" s="154"/>
      <c r="BA226" s="154"/>
      <c r="BB226" s="154"/>
      <c r="BC226" s="154"/>
      <c r="BD226" s="154"/>
      <c r="BE226" s="154"/>
      <c r="BF226" s="154"/>
      <c r="BG226" s="154"/>
      <c r="BH226" s="154"/>
      <c r="BI226" s="154"/>
      <c r="BJ226" s="163"/>
      <c r="BK226" s="163"/>
      <c r="BL226" s="163"/>
      <c r="BO226" s="154"/>
      <c r="BP226" s="154"/>
      <c r="BQ226" s="154"/>
      <c r="BR226" s="154"/>
      <c r="BS226" s="154"/>
      <c r="BT226" s="154"/>
      <c r="BU226" s="154"/>
      <c r="BV226" s="154"/>
      <c r="BW226" s="154"/>
      <c r="BX226" s="154"/>
      <c r="BY226" s="154"/>
      <c r="BZ226" s="154"/>
      <c r="CA226" s="154"/>
      <c r="CB226" s="154"/>
      <c r="CC226" s="154"/>
      <c r="CD226" s="154"/>
      <c r="CE226" s="154"/>
      <c r="CF226" s="154"/>
      <c r="CG226" s="154"/>
      <c r="CH226" s="154"/>
      <c r="CI226" s="154"/>
      <c r="CJ226" s="154"/>
    </row>
    <row r="227" spans="1:88" ht="15.75" customHeight="1">
      <c r="A227" s="154"/>
      <c r="B227" s="155"/>
      <c r="C227" s="156"/>
      <c r="D227" s="154"/>
      <c r="E227" s="154"/>
      <c r="F227" s="154"/>
      <c r="G227" s="154"/>
      <c r="H227" s="154"/>
      <c r="I227" s="154"/>
      <c r="J227" s="154"/>
      <c r="K227" s="154"/>
      <c r="L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G227" s="154"/>
      <c r="AH227" s="154"/>
      <c r="AI227" s="154"/>
      <c r="AJ227" s="154"/>
      <c r="AK227" s="154"/>
      <c r="AL227" s="154"/>
      <c r="AM227" s="154"/>
      <c r="AN227" s="154"/>
      <c r="AO227" s="156"/>
      <c r="AP227" s="154"/>
      <c r="AQ227" s="156"/>
      <c r="AR227" s="154"/>
      <c r="AS227" s="154"/>
      <c r="AT227" s="154"/>
      <c r="AU227" s="154"/>
      <c r="AV227" s="154"/>
      <c r="AW227" s="154"/>
      <c r="AX227" s="154"/>
      <c r="AY227" s="154"/>
      <c r="AZ227" s="154"/>
      <c r="BA227" s="154"/>
      <c r="BB227" s="154"/>
      <c r="BC227" s="154"/>
      <c r="BD227" s="154"/>
      <c r="BE227" s="154"/>
      <c r="BF227" s="154"/>
      <c r="BG227" s="154"/>
      <c r="BH227" s="154"/>
      <c r="BI227" s="154"/>
      <c r="BJ227" s="163"/>
      <c r="BK227" s="163"/>
      <c r="BL227" s="163"/>
      <c r="BO227" s="154"/>
      <c r="BP227" s="154"/>
      <c r="BQ227" s="154"/>
      <c r="BR227" s="154"/>
      <c r="BS227" s="154"/>
      <c r="BT227" s="154"/>
      <c r="BU227" s="154"/>
      <c r="BV227" s="154"/>
      <c r="BW227" s="154"/>
      <c r="BX227" s="154"/>
      <c r="BY227" s="154"/>
      <c r="BZ227" s="154"/>
      <c r="CA227" s="154"/>
      <c r="CB227" s="154"/>
      <c r="CC227" s="154"/>
      <c r="CD227" s="154"/>
      <c r="CE227" s="154"/>
      <c r="CF227" s="154"/>
      <c r="CG227" s="154"/>
      <c r="CH227" s="154"/>
      <c r="CI227" s="154"/>
      <c r="CJ227" s="154"/>
    </row>
    <row r="228" spans="1:88" ht="15.75" customHeight="1">
      <c r="A228" s="154"/>
      <c r="B228" s="155"/>
      <c r="C228" s="156"/>
      <c r="D228" s="154"/>
      <c r="E228" s="154"/>
      <c r="F228" s="154"/>
      <c r="G228" s="154"/>
      <c r="H228" s="154"/>
      <c r="I228" s="154"/>
      <c r="J228" s="154"/>
      <c r="K228" s="154"/>
      <c r="L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G228" s="154"/>
      <c r="AH228" s="154"/>
      <c r="AI228" s="154"/>
      <c r="AJ228" s="154"/>
      <c r="AK228" s="154"/>
      <c r="AL228" s="154"/>
      <c r="AM228" s="154"/>
      <c r="AN228" s="154"/>
      <c r="AO228" s="156"/>
      <c r="AP228" s="154"/>
      <c r="AQ228" s="156"/>
      <c r="AR228" s="154"/>
      <c r="AS228" s="154"/>
      <c r="AT228" s="154"/>
      <c r="AU228" s="154"/>
      <c r="AV228" s="154"/>
      <c r="AW228" s="154"/>
      <c r="AX228" s="154"/>
      <c r="AY228" s="154"/>
      <c r="AZ228" s="154"/>
      <c r="BA228" s="154"/>
      <c r="BB228" s="154"/>
      <c r="BC228" s="154"/>
      <c r="BD228" s="154"/>
      <c r="BE228" s="154"/>
      <c r="BF228" s="154"/>
      <c r="BG228" s="154"/>
      <c r="BH228" s="154"/>
      <c r="BI228" s="154"/>
      <c r="BJ228" s="163"/>
      <c r="BK228" s="163"/>
      <c r="BL228" s="163"/>
      <c r="BO228" s="154"/>
      <c r="BP228" s="154"/>
      <c r="BQ228" s="154"/>
      <c r="BR228" s="154"/>
      <c r="BS228" s="154"/>
      <c r="BT228" s="154"/>
      <c r="BU228" s="154"/>
      <c r="BV228" s="154"/>
      <c r="BW228" s="154"/>
      <c r="BX228" s="154"/>
      <c r="BY228" s="154"/>
      <c r="BZ228" s="154"/>
      <c r="CA228" s="154"/>
      <c r="CB228" s="154"/>
      <c r="CC228" s="154"/>
      <c r="CD228" s="154"/>
      <c r="CE228" s="154"/>
      <c r="CF228" s="154"/>
      <c r="CG228" s="154"/>
      <c r="CH228" s="154"/>
      <c r="CI228" s="154"/>
      <c r="CJ228" s="154"/>
    </row>
    <row r="229" spans="1:88" ht="15.75" customHeight="1">
      <c r="A229" s="154"/>
      <c r="B229" s="155"/>
      <c r="C229" s="156"/>
      <c r="D229" s="154"/>
      <c r="E229" s="154"/>
      <c r="F229" s="154"/>
      <c r="G229" s="154"/>
      <c r="H229" s="154"/>
      <c r="I229" s="154"/>
      <c r="J229" s="154"/>
      <c r="K229" s="154"/>
      <c r="L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G229" s="154"/>
      <c r="AH229" s="154"/>
      <c r="AI229" s="154"/>
      <c r="AJ229" s="154"/>
      <c r="AK229" s="154"/>
      <c r="AL229" s="154"/>
      <c r="AM229" s="154"/>
      <c r="AN229" s="154"/>
      <c r="AO229" s="156"/>
      <c r="AP229" s="154"/>
      <c r="AQ229" s="156"/>
      <c r="AR229" s="154"/>
      <c r="AS229" s="154"/>
      <c r="AT229" s="154"/>
      <c r="AU229" s="154"/>
      <c r="AV229" s="154"/>
      <c r="AW229" s="154"/>
      <c r="AX229" s="154"/>
      <c r="AY229" s="154"/>
      <c r="AZ229" s="154"/>
      <c r="BA229" s="154"/>
      <c r="BB229" s="154"/>
      <c r="BC229" s="154"/>
      <c r="BD229" s="154"/>
      <c r="BE229" s="154"/>
      <c r="BF229" s="154"/>
      <c r="BG229" s="154"/>
      <c r="BH229" s="154"/>
      <c r="BI229" s="154"/>
      <c r="BJ229" s="163"/>
      <c r="BK229" s="163"/>
      <c r="BL229" s="163"/>
      <c r="BO229" s="154"/>
      <c r="BP229" s="154"/>
      <c r="BQ229" s="154"/>
      <c r="BR229" s="154"/>
      <c r="BS229" s="154"/>
      <c r="BT229" s="154"/>
      <c r="BU229" s="154"/>
      <c r="BV229" s="154"/>
      <c r="BW229" s="154"/>
      <c r="BX229" s="154"/>
      <c r="BY229" s="154"/>
      <c r="BZ229" s="154"/>
      <c r="CA229" s="154"/>
      <c r="CB229" s="154"/>
      <c r="CC229" s="154"/>
      <c r="CD229" s="154"/>
      <c r="CE229" s="154"/>
      <c r="CF229" s="154"/>
      <c r="CG229" s="154"/>
      <c r="CH229" s="154"/>
      <c r="CI229" s="154"/>
      <c r="CJ229" s="154"/>
    </row>
    <row r="230" spans="1:88" ht="15.75" customHeight="1">
      <c r="A230" s="154"/>
      <c r="B230" s="155"/>
      <c r="C230" s="156"/>
      <c r="D230" s="154"/>
      <c r="E230" s="154"/>
      <c r="F230" s="154"/>
      <c r="G230" s="154"/>
      <c r="H230" s="154"/>
      <c r="I230" s="154"/>
      <c r="J230" s="154"/>
      <c r="K230" s="154"/>
      <c r="L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G230" s="154"/>
      <c r="AH230" s="154"/>
      <c r="AI230" s="154"/>
      <c r="AJ230" s="154"/>
      <c r="AK230" s="154"/>
      <c r="AL230" s="154"/>
      <c r="AM230" s="154"/>
      <c r="AN230" s="154"/>
      <c r="AO230" s="156"/>
      <c r="AP230" s="154"/>
      <c r="AQ230" s="156"/>
      <c r="AR230" s="154"/>
      <c r="AS230" s="154"/>
      <c r="AT230" s="154"/>
      <c r="AU230" s="154"/>
      <c r="AV230" s="154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/>
      <c r="BG230" s="154"/>
      <c r="BH230" s="154"/>
      <c r="BI230" s="154"/>
      <c r="BJ230" s="163"/>
      <c r="BK230" s="163"/>
      <c r="BL230" s="163"/>
      <c r="BO230" s="154"/>
      <c r="BP230" s="154"/>
      <c r="BQ230" s="154"/>
      <c r="BR230" s="154"/>
      <c r="BS230" s="154"/>
      <c r="BT230" s="154"/>
      <c r="BU230" s="154"/>
      <c r="BV230" s="154"/>
      <c r="BW230" s="154"/>
      <c r="BX230" s="154"/>
      <c r="BY230" s="154"/>
      <c r="BZ230" s="154"/>
      <c r="CA230" s="154"/>
      <c r="CB230" s="154"/>
      <c r="CC230" s="154"/>
      <c r="CD230" s="154"/>
      <c r="CE230" s="154"/>
      <c r="CF230" s="154"/>
      <c r="CG230" s="154"/>
      <c r="CH230" s="154"/>
      <c r="CI230" s="154"/>
      <c r="CJ230" s="154"/>
    </row>
    <row r="231" spans="1:88" ht="15.75" customHeight="1">
      <c r="A231" s="154"/>
      <c r="B231" s="155"/>
      <c r="C231" s="156"/>
      <c r="D231" s="154"/>
      <c r="E231" s="154"/>
      <c r="F231" s="154"/>
      <c r="G231" s="154"/>
      <c r="H231" s="154"/>
      <c r="I231" s="154"/>
      <c r="J231" s="154"/>
      <c r="K231" s="154"/>
      <c r="L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G231" s="154"/>
      <c r="AH231" s="154"/>
      <c r="AI231" s="154"/>
      <c r="AJ231" s="154"/>
      <c r="AK231" s="154"/>
      <c r="AL231" s="154"/>
      <c r="AM231" s="154"/>
      <c r="AN231" s="154"/>
      <c r="AO231" s="156"/>
      <c r="AP231" s="154"/>
      <c r="AQ231" s="156"/>
      <c r="AR231" s="154"/>
      <c r="AS231" s="154"/>
      <c r="AT231" s="154"/>
      <c r="AU231" s="154"/>
      <c r="AV231" s="154"/>
      <c r="AW231" s="154"/>
      <c r="AX231" s="154"/>
      <c r="AY231" s="154"/>
      <c r="AZ231" s="154"/>
      <c r="BA231" s="154"/>
      <c r="BB231" s="154"/>
      <c r="BC231" s="154"/>
      <c r="BD231" s="154"/>
      <c r="BE231" s="154"/>
      <c r="BF231" s="154"/>
      <c r="BG231" s="154"/>
      <c r="BH231" s="154"/>
      <c r="BI231" s="154"/>
      <c r="BJ231" s="163"/>
      <c r="BK231" s="163"/>
      <c r="BL231" s="163"/>
      <c r="BO231" s="154"/>
      <c r="BP231" s="154"/>
      <c r="BQ231" s="154"/>
      <c r="BR231" s="154"/>
      <c r="BS231" s="154"/>
      <c r="BT231" s="154"/>
      <c r="BU231" s="154"/>
      <c r="BV231" s="154"/>
      <c r="BW231" s="154"/>
      <c r="BX231" s="154"/>
      <c r="BY231" s="154"/>
      <c r="BZ231" s="154"/>
      <c r="CA231" s="154"/>
      <c r="CB231" s="154"/>
      <c r="CC231" s="154"/>
      <c r="CD231" s="154"/>
      <c r="CE231" s="154"/>
      <c r="CF231" s="154"/>
      <c r="CG231" s="154"/>
      <c r="CH231" s="154"/>
      <c r="CI231" s="154"/>
      <c r="CJ231" s="154"/>
    </row>
    <row r="232" spans="1:88" ht="15.75" customHeight="1">
      <c r="A232" s="154"/>
      <c r="B232" s="155"/>
      <c r="C232" s="156"/>
      <c r="D232" s="154"/>
      <c r="E232" s="154"/>
      <c r="F232" s="154"/>
      <c r="G232" s="154"/>
      <c r="H232" s="154"/>
      <c r="I232" s="154"/>
      <c r="J232" s="154"/>
      <c r="K232" s="154"/>
      <c r="L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G232" s="154"/>
      <c r="AH232" s="154"/>
      <c r="AI232" s="154"/>
      <c r="AJ232" s="154"/>
      <c r="AK232" s="154"/>
      <c r="AL232" s="154"/>
      <c r="AM232" s="154"/>
      <c r="AN232" s="154"/>
      <c r="AO232" s="156"/>
      <c r="AP232" s="154"/>
      <c r="AQ232" s="156"/>
      <c r="AR232" s="154"/>
      <c r="AS232" s="154"/>
      <c r="AT232" s="154"/>
      <c r="AU232" s="154"/>
      <c r="AV232" s="154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  <c r="BI232" s="154"/>
      <c r="BJ232" s="163"/>
      <c r="BK232" s="163"/>
      <c r="BL232" s="163"/>
      <c r="BO232" s="154"/>
      <c r="BP232" s="154"/>
      <c r="BQ232" s="154"/>
      <c r="BR232" s="154"/>
      <c r="BS232" s="154"/>
      <c r="BT232" s="154"/>
      <c r="BU232" s="154"/>
      <c r="BV232" s="154"/>
      <c r="BW232" s="154"/>
      <c r="BX232" s="154"/>
      <c r="BY232" s="154"/>
      <c r="BZ232" s="154"/>
      <c r="CA232" s="154"/>
      <c r="CB232" s="154"/>
      <c r="CC232" s="154"/>
      <c r="CD232" s="154"/>
      <c r="CE232" s="154"/>
      <c r="CF232" s="154"/>
      <c r="CG232" s="154"/>
      <c r="CH232" s="154"/>
      <c r="CI232" s="154"/>
      <c r="CJ232" s="154"/>
    </row>
    <row r="233" spans="1:88" ht="15.75" customHeight="1">
      <c r="A233" s="154"/>
      <c r="B233" s="155"/>
      <c r="C233" s="156"/>
      <c r="D233" s="154"/>
      <c r="E233" s="154"/>
      <c r="F233" s="154"/>
      <c r="G233" s="154"/>
      <c r="H233" s="154"/>
      <c r="I233" s="154"/>
      <c r="J233" s="154"/>
      <c r="K233" s="154"/>
      <c r="L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G233" s="154"/>
      <c r="AH233" s="154"/>
      <c r="AI233" s="154"/>
      <c r="AJ233" s="154"/>
      <c r="AK233" s="154"/>
      <c r="AL233" s="154"/>
      <c r="AM233" s="154"/>
      <c r="AN233" s="154"/>
      <c r="AO233" s="156"/>
      <c r="AP233" s="154"/>
      <c r="AQ233" s="156"/>
      <c r="AR233" s="154"/>
      <c r="AS233" s="154"/>
      <c r="AT233" s="154"/>
      <c r="AU233" s="154"/>
      <c r="AV233" s="154"/>
      <c r="AW233" s="154"/>
      <c r="AX233" s="154"/>
      <c r="AY233" s="154"/>
      <c r="AZ233" s="154"/>
      <c r="BA233" s="154"/>
      <c r="BB233" s="154"/>
      <c r="BC233" s="154"/>
      <c r="BD233" s="154"/>
      <c r="BE233" s="154"/>
      <c r="BF233" s="154"/>
      <c r="BG233" s="154"/>
      <c r="BH233" s="154"/>
      <c r="BI233" s="154"/>
      <c r="BJ233" s="163"/>
      <c r="BK233" s="163"/>
      <c r="BL233" s="163"/>
      <c r="BO233" s="154"/>
      <c r="BP233" s="154"/>
      <c r="BQ233" s="154"/>
      <c r="BR233" s="154"/>
      <c r="BS233" s="154"/>
      <c r="BT233" s="154"/>
      <c r="BU233" s="154"/>
      <c r="BV233" s="154"/>
      <c r="BW233" s="154"/>
      <c r="BX233" s="154"/>
      <c r="BY233" s="154"/>
      <c r="BZ233" s="154"/>
      <c r="CA233" s="154"/>
      <c r="CB233" s="154"/>
      <c r="CC233" s="154"/>
      <c r="CD233" s="154"/>
      <c r="CE233" s="154"/>
      <c r="CF233" s="154"/>
      <c r="CG233" s="154"/>
      <c r="CH233" s="154"/>
      <c r="CI233" s="154"/>
      <c r="CJ233" s="154"/>
    </row>
    <row r="234" spans="1:88" ht="15.75" customHeight="1">
      <c r="A234" s="154"/>
      <c r="B234" s="155"/>
      <c r="C234" s="156"/>
      <c r="D234" s="154"/>
      <c r="E234" s="154"/>
      <c r="F234" s="154"/>
      <c r="G234" s="154"/>
      <c r="H234" s="154"/>
      <c r="I234" s="154"/>
      <c r="J234" s="154"/>
      <c r="K234" s="154"/>
      <c r="L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G234" s="154"/>
      <c r="AH234" s="154"/>
      <c r="AI234" s="154"/>
      <c r="AJ234" s="154"/>
      <c r="AK234" s="154"/>
      <c r="AL234" s="154"/>
      <c r="AM234" s="154"/>
      <c r="AN234" s="154"/>
      <c r="AO234" s="156"/>
      <c r="AP234" s="154"/>
      <c r="AQ234" s="156"/>
      <c r="AR234" s="154"/>
      <c r="AS234" s="154"/>
      <c r="AT234" s="154"/>
      <c r="AU234" s="154"/>
      <c r="AV234" s="154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  <c r="BI234" s="154"/>
      <c r="BJ234" s="163"/>
      <c r="BK234" s="163"/>
      <c r="BL234" s="163"/>
      <c r="BO234" s="154"/>
      <c r="BP234" s="154"/>
      <c r="BQ234" s="154"/>
      <c r="BR234" s="154"/>
      <c r="BS234" s="154"/>
      <c r="BT234" s="154"/>
      <c r="BU234" s="154"/>
      <c r="BV234" s="154"/>
      <c r="BW234" s="154"/>
      <c r="BX234" s="154"/>
      <c r="BY234" s="154"/>
      <c r="BZ234" s="154"/>
      <c r="CA234" s="154"/>
      <c r="CB234" s="154"/>
      <c r="CC234" s="154"/>
      <c r="CD234" s="154"/>
      <c r="CE234" s="154"/>
      <c r="CF234" s="154"/>
      <c r="CG234" s="154"/>
      <c r="CH234" s="154"/>
      <c r="CI234" s="154"/>
      <c r="CJ234" s="154"/>
    </row>
    <row r="235" spans="1:88" ht="15.75" customHeight="1">
      <c r="A235" s="154"/>
      <c r="B235" s="155"/>
      <c r="C235" s="156"/>
      <c r="D235" s="154"/>
      <c r="E235" s="154"/>
      <c r="F235" s="154"/>
      <c r="G235" s="154"/>
      <c r="H235" s="154"/>
      <c r="I235" s="154"/>
      <c r="J235" s="154"/>
      <c r="K235" s="154"/>
      <c r="L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G235" s="154"/>
      <c r="AH235" s="154"/>
      <c r="AI235" s="154"/>
      <c r="AJ235" s="154"/>
      <c r="AK235" s="154"/>
      <c r="AL235" s="154"/>
      <c r="AM235" s="154"/>
      <c r="AN235" s="154"/>
      <c r="AO235" s="156"/>
      <c r="AP235" s="154"/>
      <c r="AQ235" s="156"/>
      <c r="AR235" s="154"/>
      <c r="AS235" s="154"/>
      <c r="AT235" s="154"/>
      <c r="AU235" s="154"/>
      <c r="AV235" s="154"/>
      <c r="AW235" s="154"/>
      <c r="AX235" s="154"/>
      <c r="AY235" s="154"/>
      <c r="AZ235" s="154"/>
      <c r="BA235" s="154"/>
      <c r="BB235" s="154"/>
      <c r="BC235" s="154"/>
      <c r="BD235" s="154"/>
      <c r="BE235" s="154"/>
      <c r="BF235" s="154"/>
      <c r="BG235" s="154"/>
      <c r="BH235" s="154"/>
      <c r="BI235" s="154"/>
      <c r="BJ235" s="163"/>
      <c r="BK235" s="163"/>
      <c r="BL235" s="163"/>
      <c r="BO235" s="154"/>
      <c r="BP235" s="154"/>
      <c r="BQ235" s="154"/>
      <c r="BR235" s="154"/>
      <c r="BS235" s="154"/>
      <c r="BT235" s="154"/>
      <c r="BU235" s="154"/>
      <c r="BV235" s="154"/>
      <c r="BW235" s="154"/>
      <c r="BX235" s="154"/>
      <c r="BY235" s="154"/>
      <c r="BZ235" s="154"/>
      <c r="CA235" s="154"/>
      <c r="CB235" s="154"/>
      <c r="CC235" s="154"/>
      <c r="CD235" s="154"/>
      <c r="CE235" s="154"/>
      <c r="CF235" s="154"/>
      <c r="CG235" s="154"/>
      <c r="CH235" s="154"/>
      <c r="CI235" s="154"/>
      <c r="CJ235" s="154"/>
    </row>
    <row r="236" spans="1:88" ht="15.75" customHeight="1">
      <c r="A236" s="154"/>
      <c r="B236" s="155"/>
      <c r="C236" s="156"/>
      <c r="D236" s="154"/>
      <c r="E236" s="154"/>
      <c r="F236" s="154"/>
      <c r="G236" s="154"/>
      <c r="H236" s="154"/>
      <c r="I236" s="154"/>
      <c r="J236" s="154"/>
      <c r="K236" s="154"/>
      <c r="L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G236" s="154"/>
      <c r="AH236" s="154"/>
      <c r="AI236" s="154"/>
      <c r="AJ236" s="154"/>
      <c r="AK236" s="154"/>
      <c r="AL236" s="154"/>
      <c r="AM236" s="154"/>
      <c r="AN236" s="154"/>
      <c r="AO236" s="156"/>
      <c r="AP236" s="154"/>
      <c r="AQ236" s="156"/>
      <c r="AR236" s="154"/>
      <c r="AS236" s="154"/>
      <c r="AT236" s="154"/>
      <c r="AU236" s="154"/>
      <c r="AV236" s="154"/>
      <c r="AW236" s="154"/>
      <c r="AX236" s="154"/>
      <c r="AY236" s="154"/>
      <c r="AZ236" s="154"/>
      <c r="BA236" s="154"/>
      <c r="BB236" s="154"/>
      <c r="BC236" s="154"/>
      <c r="BD236" s="154"/>
      <c r="BE236" s="154"/>
      <c r="BF236" s="154"/>
      <c r="BG236" s="154"/>
      <c r="BH236" s="154"/>
      <c r="BI236" s="154"/>
      <c r="BJ236" s="163"/>
      <c r="BK236" s="163"/>
      <c r="BL236" s="163"/>
      <c r="BO236" s="154"/>
      <c r="BP236" s="154"/>
      <c r="BQ236" s="154"/>
      <c r="BR236" s="154"/>
      <c r="BS236" s="154"/>
      <c r="BT236" s="154"/>
      <c r="BU236" s="154"/>
      <c r="BV236" s="154"/>
      <c r="BW236" s="154"/>
      <c r="BX236" s="154"/>
      <c r="BY236" s="154"/>
      <c r="BZ236" s="154"/>
      <c r="CA236" s="154"/>
      <c r="CB236" s="154"/>
      <c r="CC236" s="154"/>
      <c r="CD236" s="154"/>
      <c r="CE236" s="154"/>
      <c r="CF236" s="154"/>
      <c r="CG236" s="154"/>
      <c r="CH236" s="154"/>
      <c r="CI236" s="154"/>
      <c r="CJ236" s="154"/>
    </row>
    <row r="237" spans="1:88" ht="15.75" customHeight="1">
      <c r="A237" s="154"/>
      <c r="B237" s="155"/>
      <c r="C237" s="156"/>
      <c r="D237" s="154"/>
      <c r="E237" s="154"/>
      <c r="F237" s="154"/>
      <c r="G237" s="154"/>
      <c r="H237" s="154"/>
      <c r="I237" s="154"/>
      <c r="J237" s="154"/>
      <c r="K237" s="154"/>
      <c r="L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G237" s="154"/>
      <c r="AH237" s="154"/>
      <c r="AI237" s="154"/>
      <c r="AJ237" s="154"/>
      <c r="AK237" s="154"/>
      <c r="AL237" s="154"/>
      <c r="AM237" s="154"/>
      <c r="AN237" s="154"/>
      <c r="AO237" s="156"/>
      <c r="AP237" s="154"/>
      <c r="AQ237" s="156"/>
      <c r="AR237" s="154"/>
      <c r="AS237" s="154"/>
      <c r="AT237" s="154"/>
      <c r="AU237" s="154"/>
      <c r="AV237" s="154"/>
      <c r="AW237" s="154"/>
      <c r="AX237" s="154"/>
      <c r="AY237" s="154"/>
      <c r="AZ237" s="154"/>
      <c r="BA237" s="154"/>
      <c r="BB237" s="154"/>
      <c r="BC237" s="154"/>
      <c r="BD237" s="154"/>
      <c r="BE237" s="154"/>
      <c r="BF237" s="154"/>
      <c r="BG237" s="154"/>
      <c r="BH237" s="154"/>
      <c r="BI237" s="154"/>
      <c r="BJ237" s="163"/>
      <c r="BK237" s="163"/>
      <c r="BL237" s="163"/>
      <c r="BO237" s="154"/>
      <c r="BP237" s="154"/>
      <c r="BQ237" s="154"/>
      <c r="BR237" s="154"/>
      <c r="BS237" s="154"/>
      <c r="BT237" s="154"/>
      <c r="BU237" s="154"/>
      <c r="BV237" s="154"/>
      <c r="BW237" s="154"/>
      <c r="BX237" s="154"/>
      <c r="BY237" s="154"/>
      <c r="BZ237" s="154"/>
      <c r="CA237" s="154"/>
      <c r="CB237" s="154"/>
      <c r="CC237" s="154"/>
      <c r="CD237" s="154"/>
      <c r="CE237" s="154"/>
      <c r="CF237" s="154"/>
      <c r="CG237" s="154"/>
      <c r="CH237" s="154"/>
      <c r="CI237" s="154"/>
      <c r="CJ237" s="154"/>
    </row>
    <row r="238" spans="1:88" ht="15.75" customHeight="1">
      <c r="A238" s="154"/>
      <c r="B238" s="155"/>
      <c r="C238" s="156"/>
      <c r="D238" s="154"/>
      <c r="E238" s="154"/>
      <c r="F238" s="154"/>
      <c r="G238" s="154"/>
      <c r="H238" s="154"/>
      <c r="I238" s="154"/>
      <c r="J238" s="154"/>
      <c r="K238" s="154"/>
      <c r="L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G238" s="154"/>
      <c r="AH238" s="154"/>
      <c r="AI238" s="154"/>
      <c r="AJ238" s="154"/>
      <c r="AK238" s="154"/>
      <c r="AL238" s="154"/>
      <c r="AM238" s="154"/>
      <c r="AN238" s="154"/>
      <c r="AO238" s="156"/>
      <c r="AP238" s="154"/>
      <c r="AQ238" s="156"/>
      <c r="AR238" s="154"/>
      <c r="AS238" s="154"/>
      <c r="AT238" s="154"/>
      <c r="AU238" s="154"/>
      <c r="AV238" s="154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  <c r="BI238" s="154"/>
      <c r="BJ238" s="163"/>
      <c r="BK238" s="163"/>
      <c r="BL238" s="163"/>
      <c r="BO238" s="154"/>
      <c r="BP238" s="154"/>
      <c r="BQ238" s="154"/>
      <c r="BR238" s="154"/>
      <c r="BS238" s="154"/>
      <c r="BT238" s="154"/>
      <c r="BU238" s="154"/>
      <c r="BV238" s="154"/>
      <c r="BW238" s="154"/>
      <c r="BX238" s="154"/>
      <c r="BY238" s="154"/>
      <c r="BZ238" s="154"/>
      <c r="CA238" s="154"/>
      <c r="CB238" s="154"/>
      <c r="CC238" s="154"/>
      <c r="CD238" s="154"/>
      <c r="CE238" s="154"/>
      <c r="CF238" s="154"/>
      <c r="CG238" s="154"/>
      <c r="CH238" s="154"/>
      <c r="CI238" s="154"/>
      <c r="CJ238" s="154"/>
    </row>
    <row r="239" spans="1:88" ht="15.75" customHeight="1">
      <c r="A239" s="154"/>
      <c r="B239" s="155"/>
      <c r="C239" s="156"/>
      <c r="D239" s="154"/>
      <c r="E239" s="154"/>
      <c r="F239" s="154"/>
      <c r="G239" s="154"/>
      <c r="H239" s="154"/>
      <c r="I239" s="154"/>
      <c r="J239" s="154"/>
      <c r="K239" s="154"/>
      <c r="L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G239" s="154"/>
      <c r="AH239" s="154"/>
      <c r="AI239" s="154"/>
      <c r="AJ239" s="154"/>
      <c r="AK239" s="154"/>
      <c r="AL239" s="154"/>
      <c r="AM239" s="154"/>
      <c r="AN239" s="154"/>
      <c r="AO239" s="156"/>
      <c r="AP239" s="154"/>
      <c r="AQ239" s="156"/>
      <c r="AR239" s="154"/>
      <c r="AS239" s="154"/>
      <c r="AT239" s="154"/>
      <c r="AU239" s="154"/>
      <c r="AV239" s="154"/>
      <c r="AW239" s="154"/>
      <c r="AX239" s="154"/>
      <c r="AY239" s="154"/>
      <c r="AZ239" s="154"/>
      <c r="BA239" s="154"/>
      <c r="BB239" s="154"/>
      <c r="BC239" s="154"/>
      <c r="BD239" s="154"/>
      <c r="BE239" s="154"/>
      <c r="BF239" s="154"/>
      <c r="BG239" s="154"/>
      <c r="BH239" s="154"/>
      <c r="BI239" s="154"/>
      <c r="BJ239" s="163"/>
      <c r="BK239" s="163"/>
      <c r="BL239" s="163"/>
      <c r="BO239" s="154"/>
      <c r="BP239" s="154"/>
      <c r="BQ239" s="154"/>
      <c r="BR239" s="154"/>
      <c r="BS239" s="154"/>
      <c r="BT239" s="154"/>
      <c r="BU239" s="154"/>
      <c r="BV239" s="154"/>
      <c r="BW239" s="154"/>
      <c r="BX239" s="154"/>
      <c r="BY239" s="154"/>
      <c r="BZ239" s="154"/>
      <c r="CA239" s="154"/>
      <c r="CB239" s="154"/>
      <c r="CC239" s="154"/>
      <c r="CD239" s="154"/>
      <c r="CE239" s="154"/>
      <c r="CF239" s="154"/>
      <c r="CG239" s="154"/>
      <c r="CH239" s="154"/>
      <c r="CI239" s="154"/>
      <c r="CJ239" s="154"/>
    </row>
    <row r="240" spans="1:88" ht="15.75" customHeight="1">
      <c r="A240" s="154"/>
      <c r="B240" s="155"/>
      <c r="C240" s="156"/>
      <c r="D240" s="154"/>
      <c r="E240" s="154"/>
      <c r="F240" s="154"/>
      <c r="G240" s="154"/>
      <c r="H240" s="154"/>
      <c r="I240" s="154"/>
      <c r="J240" s="154"/>
      <c r="K240" s="154"/>
      <c r="L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G240" s="154"/>
      <c r="AH240" s="154"/>
      <c r="AI240" s="154"/>
      <c r="AJ240" s="154"/>
      <c r="AK240" s="154"/>
      <c r="AL240" s="154"/>
      <c r="AM240" s="154"/>
      <c r="AN240" s="154"/>
      <c r="AO240" s="156"/>
      <c r="AP240" s="154"/>
      <c r="AQ240" s="156"/>
      <c r="AR240" s="154"/>
      <c r="AS240" s="154"/>
      <c r="AT240" s="154"/>
      <c r="AU240" s="154"/>
      <c r="AV240" s="154"/>
      <c r="AW240" s="154"/>
      <c r="AX240" s="154"/>
      <c r="AY240" s="154"/>
      <c r="AZ240" s="154"/>
      <c r="BA240" s="154"/>
      <c r="BB240" s="154"/>
      <c r="BC240" s="154"/>
      <c r="BD240" s="154"/>
      <c r="BE240" s="154"/>
      <c r="BF240" s="154"/>
      <c r="BG240" s="154"/>
      <c r="BH240" s="154"/>
      <c r="BI240" s="154"/>
      <c r="BJ240" s="163"/>
      <c r="BK240" s="163"/>
      <c r="BL240" s="163"/>
      <c r="BO240" s="154"/>
      <c r="BP240" s="154"/>
      <c r="BQ240" s="154"/>
      <c r="BR240" s="154"/>
      <c r="BS240" s="154"/>
      <c r="BT240" s="154"/>
      <c r="BU240" s="154"/>
      <c r="BV240" s="154"/>
      <c r="BW240" s="154"/>
      <c r="BX240" s="154"/>
      <c r="BY240" s="154"/>
      <c r="BZ240" s="154"/>
      <c r="CA240" s="154"/>
      <c r="CB240" s="154"/>
      <c r="CC240" s="154"/>
      <c r="CD240" s="154"/>
      <c r="CE240" s="154"/>
      <c r="CF240" s="154"/>
      <c r="CG240" s="154"/>
      <c r="CH240" s="154"/>
      <c r="CI240" s="154"/>
      <c r="CJ240" s="154"/>
    </row>
    <row r="241" spans="1:88" ht="15.75" customHeight="1">
      <c r="A241" s="154"/>
      <c r="B241" s="155"/>
      <c r="C241" s="156"/>
      <c r="D241" s="154"/>
      <c r="E241" s="154"/>
      <c r="F241" s="154"/>
      <c r="G241" s="154"/>
      <c r="H241" s="154"/>
      <c r="I241" s="154"/>
      <c r="J241" s="154"/>
      <c r="K241" s="154"/>
      <c r="L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G241" s="154"/>
      <c r="AH241" s="154"/>
      <c r="AI241" s="154"/>
      <c r="AJ241" s="154"/>
      <c r="AK241" s="154"/>
      <c r="AL241" s="154"/>
      <c r="AM241" s="154"/>
      <c r="AN241" s="154"/>
      <c r="AO241" s="156"/>
      <c r="AP241" s="154"/>
      <c r="AQ241" s="156"/>
      <c r="AR241" s="154"/>
      <c r="AS241" s="154"/>
      <c r="AT241" s="154"/>
      <c r="AU241" s="154"/>
      <c r="AV241" s="154"/>
      <c r="AW241" s="154"/>
      <c r="AX241" s="154"/>
      <c r="AY241" s="154"/>
      <c r="AZ241" s="154"/>
      <c r="BA241" s="154"/>
      <c r="BB241" s="154"/>
      <c r="BC241" s="154"/>
      <c r="BD241" s="154"/>
      <c r="BE241" s="154"/>
      <c r="BF241" s="154"/>
      <c r="BG241" s="154"/>
      <c r="BH241" s="154"/>
      <c r="BI241" s="154"/>
      <c r="BJ241" s="163"/>
      <c r="BK241" s="163"/>
      <c r="BL241" s="163"/>
      <c r="BO241" s="154"/>
      <c r="BP241" s="154"/>
      <c r="BQ241" s="154"/>
      <c r="BR241" s="154"/>
      <c r="BS241" s="154"/>
      <c r="BT241" s="154"/>
      <c r="BU241" s="154"/>
      <c r="BV241" s="154"/>
      <c r="BW241" s="154"/>
      <c r="BX241" s="154"/>
      <c r="BY241" s="154"/>
      <c r="BZ241" s="154"/>
      <c r="CA241" s="154"/>
      <c r="CB241" s="154"/>
      <c r="CC241" s="154"/>
      <c r="CD241" s="154"/>
      <c r="CE241" s="154"/>
      <c r="CF241" s="154"/>
      <c r="CG241" s="154"/>
      <c r="CH241" s="154"/>
      <c r="CI241" s="154"/>
      <c r="CJ241" s="154"/>
    </row>
    <row r="242" spans="1:88" ht="15.75" customHeight="1">
      <c r="A242" s="154"/>
      <c r="B242" s="155"/>
      <c r="C242" s="156"/>
      <c r="D242" s="154"/>
      <c r="E242" s="154"/>
      <c r="F242" s="154"/>
      <c r="G242" s="154"/>
      <c r="H242" s="154"/>
      <c r="I242" s="154"/>
      <c r="J242" s="154"/>
      <c r="K242" s="154"/>
      <c r="L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G242" s="154"/>
      <c r="AH242" s="154"/>
      <c r="AI242" s="154"/>
      <c r="AJ242" s="154"/>
      <c r="AK242" s="154"/>
      <c r="AL242" s="154"/>
      <c r="AM242" s="154"/>
      <c r="AN242" s="154"/>
      <c r="AO242" s="156"/>
      <c r="AP242" s="154"/>
      <c r="AQ242" s="156"/>
      <c r="AR242" s="154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  <c r="BI242" s="154"/>
      <c r="BJ242" s="163"/>
      <c r="BK242" s="163"/>
      <c r="BL242" s="163"/>
      <c r="BO242" s="154"/>
      <c r="BP242" s="154"/>
      <c r="BQ242" s="154"/>
      <c r="BR242" s="154"/>
      <c r="BS242" s="154"/>
      <c r="BT242" s="154"/>
      <c r="BU242" s="154"/>
      <c r="BV242" s="154"/>
      <c r="BW242" s="154"/>
      <c r="BX242" s="154"/>
      <c r="BY242" s="154"/>
      <c r="BZ242" s="154"/>
      <c r="CA242" s="154"/>
      <c r="CB242" s="154"/>
      <c r="CC242" s="154"/>
      <c r="CD242" s="154"/>
      <c r="CE242" s="154"/>
      <c r="CF242" s="154"/>
      <c r="CG242" s="154"/>
      <c r="CH242" s="154"/>
      <c r="CI242" s="154"/>
      <c r="CJ242" s="154"/>
    </row>
    <row r="243" spans="1:88" ht="15.75" customHeight="1">
      <c r="A243" s="154"/>
      <c r="B243" s="155"/>
      <c r="C243" s="156"/>
      <c r="D243" s="154"/>
      <c r="E243" s="154"/>
      <c r="F243" s="154"/>
      <c r="G243" s="154"/>
      <c r="H243" s="154"/>
      <c r="I243" s="154"/>
      <c r="J243" s="154"/>
      <c r="K243" s="154"/>
      <c r="L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G243" s="154"/>
      <c r="AH243" s="154"/>
      <c r="AI243" s="154"/>
      <c r="AJ243" s="154"/>
      <c r="AK243" s="154"/>
      <c r="AL243" s="154"/>
      <c r="AM243" s="154"/>
      <c r="AN243" s="154"/>
      <c r="AO243" s="156"/>
      <c r="AP243" s="154"/>
      <c r="AQ243" s="156"/>
      <c r="AR243" s="154"/>
      <c r="AS243" s="154"/>
      <c r="AT243" s="154"/>
      <c r="AU243" s="154"/>
      <c r="AV243" s="154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/>
      <c r="BG243" s="154"/>
      <c r="BH243" s="154"/>
      <c r="BI243" s="154"/>
      <c r="BJ243" s="163"/>
      <c r="BK243" s="163"/>
      <c r="BL243" s="163"/>
      <c r="BO243" s="154"/>
      <c r="BP243" s="154"/>
      <c r="BQ243" s="154"/>
      <c r="BR243" s="154"/>
      <c r="BS243" s="154"/>
      <c r="BT243" s="154"/>
      <c r="BU243" s="154"/>
      <c r="BV243" s="154"/>
      <c r="BW243" s="154"/>
      <c r="BX243" s="154"/>
      <c r="BY243" s="154"/>
      <c r="BZ243" s="154"/>
      <c r="CA243" s="154"/>
      <c r="CB243" s="154"/>
      <c r="CC243" s="154"/>
      <c r="CD243" s="154"/>
      <c r="CE243" s="154"/>
      <c r="CF243" s="154"/>
      <c r="CG243" s="154"/>
      <c r="CH243" s="154"/>
      <c r="CI243" s="154"/>
      <c r="CJ243" s="154"/>
    </row>
    <row r="244" spans="1:88" ht="15.75" customHeight="1">
      <c r="A244" s="154"/>
      <c r="B244" s="155"/>
      <c r="C244" s="156"/>
      <c r="D244" s="154"/>
      <c r="E244" s="154"/>
      <c r="F244" s="154"/>
      <c r="G244" s="154"/>
      <c r="H244" s="154"/>
      <c r="I244" s="154"/>
      <c r="J244" s="154"/>
      <c r="K244" s="154"/>
      <c r="L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G244" s="154"/>
      <c r="AH244" s="154"/>
      <c r="AI244" s="154"/>
      <c r="AJ244" s="154"/>
      <c r="AK244" s="154"/>
      <c r="AL244" s="154"/>
      <c r="AM244" s="154"/>
      <c r="AN244" s="154"/>
      <c r="AO244" s="156"/>
      <c r="AP244" s="154"/>
      <c r="AQ244" s="156"/>
      <c r="AR244" s="154"/>
      <c r="AS244" s="154"/>
      <c r="AT244" s="154"/>
      <c r="AU244" s="154"/>
      <c r="AV244" s="154"/>
      <c r="AW244" s="154"/>
      <c r="AX244" s="154"/>
      <c r="AY244" s="154"/>
      <c r="AZ244" s="154"/>
      <c r="BA244" s="154"/>
      <c r="BB244" s="154"/>
      <c r="BC244" s="154"/>
      <c r="BD244" s="154"/>
      <c r="BE244" s="154"/>
      <c r="BF244" s="154"/>
      <c r="BG244" s="154"/>
      <c r="BH244" s="154"/>
      <c r="BI244" s="154"/>
      <c r="BJ244" s="163"/>
      <c r="BK244" s="163"/>
      <c r="BL244" s="163"/>
      <c r="BO244" s="154"/>
      <c r="BP244" s="154"/>
      <c r="BQ244" s="154"/>
      <c r="BR244" s="154"/>
      <c r="BS244" s="154"/>
      <c r="BT244" s="154"/>
      <c r="BU244" s="154"/>
      <c r="BV244" s="154"/>
      <c r="BW244" s="154"/>
      <c r="BX244" s="154"/>
      <c r="BY244" s="154"/>
      <c r="BZ244" s="154"/>
      <c r="CA244" s="154"/>
      <c r="CB244" s="154"/>
      <c r="CC244" s="154"/>
      <c r="CD244" s="154"/>
      <c r="CE244" s="154"/>
      <c r="CF244" s="154"/>
      <c r="CG244" s="154"/>
      <c r="CH244" s="154"/>
      <c r="CI244" s="154"/>
      <c r="CJ244" s="154"/>
    </row>
    <row r="245" spans="1:88" ht="15.75" customHeight="1">
      <c r="A245" s="154"/>
      <c r="B245" s="155"/>
      <c r="C245" s="156"/>
      <c r="D245" s="154"/>
      <c r="E245" s="154"/>
      <c r="F245" s="154"/>
      <c r="G245" s="154"/>
      <c r="H245" s="154"/>
      <c r="I245" s="154"/>
      <c r="J245" s="154"/>
      <c r="K245" s="154"/>
      <c r="L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G245" s="154"/>
      <c r="AH245" s="154"/>
      <c r="AI245" s="154"/>
      <c r="AJ245" s="154"/>
      <c r="AK245" s="154"/>
      <c r="AL245" s="154"/>
      <c r="AM245" s="154"/>
      <c r="AN245" s="154"/>
      <c r="AO245" s="156"/>
      <c r="AP245" s="154"/>
      <c r="AQ245" s="156"/>
      <c r="AR245" s="154"/>
      <c r="AS245" s="154"/>
      <c r="AT245" s="154"/>
      <c r="AU245" s="154"/>
      <c r="AV245" s="154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  <c r="BI245" s="154"/>
      <c r="BJ245" s="163"/>
      <c r="BK245" s="163"/>
      <c r="BL245" s="163"/>
      <c r="BO245" s="154"/>
      <c r="BP245" s="154"/>
      <c r="BQ245" s="154"/>
      <c r="BR245" s="154"/>
      <c r="BS245" s="154"/>
      <c r="BT245" s="154"/>
      <c r="BU245" s="154"/>
      <c r="BV245" s="154"/>
      <c r="BW245" s="154"/>
      <c r="BX245" s="154"/>
      <c r="BY245" s="154"/>
      <c r="BZ245" s="154"/>
      <c r="CA245" s="154"/>
      <c r="CB245" s="154"/>
      <c r="CC245" s="154"/>
      <c r="CD245" s="154"/>
      <c r="CE245" s="154"/>
      <c r="CF245" s="154"/>
      <c r="CG245" s="154"/>
      <c r="CH245" s="154"/>
      <c r="CI245" s="154"/>
      <c r="CJ245" s="154"/>
    </row>
    <row r="246" spans="1:88" ht="15.75" customHeight="1">
      <c r="A246" s="154"/>
      <c r="B246" s="155"/>
      <c r="C246" s="156"/>
      <c r="D246" s="154"/>
      <c r="E246" s="154"/>
      <c r="F246" s="154"/>
      <c r="G246" s="154"/>
      <c r="H246" s="154"/>
      <c r="I246" s="154"/>
      <c r="J246" s="154"/>
      <c r="K246" s="154"/>
      <c r="L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G246" s="154"/>
      <c r="AH246" s="154"/>
      <c r="AI246" s="154"/>
      <c r="AJ246" s="154"/>
      <c r="AK246" s="154"/>
      <c r="AL246" s="154"/>
      <c r="AM246" s="154"/>
      <c r="AN246" s="154"/>
      <c r="AO246" s="156"/>
      <c r="AP246" s="154"/>
      <c r="AQ246" s="156"/>
      <c r="AR246" s="154"/>
      <c r="AS246" s="154"/>
      <c r="AT246" s="154"/>
      <c r="AU246" s="154"/>
      <c r="AV246" s="154"/>
      <c r="AW246" s="154"/>
      <c r="AX246" s="154"/>
      <c r="AY246" s="154"/>
      <c r="AZ246" s="154"/>
      <c r="BA246" s="154"/>
      <c r="BB246" s="154"/>
      <c r="BC246" s="154"/>
      <c r="BD246" s="154"/>
      <c r="BE246" s="154"/>
      <c r="BF246" s="154"/>
      <c r="BG246" s="154"/>
      <c r="BH246" s="154"/>
      <c r="BI246" s="154"/>
      <c r="BJ246" s="163"/>
      <c r="BK246" s="163"/>
      <c r="BL246" s="163"/>
      <c r="BO246" s="154"/>
      <c r="BP246" s="154"/>
      <c r="BQ246" s="154"/>
      <c r="BR246" s="154"/>
      <c r="BS246" s="154"/>
      <c r="BT246" s="154"/>
      <c r="BU246" s="154"/>
      <c r="BV246" s="154"/>
      <c r="BW246" s="154"/>
      <c r="BX246" s="154"/>
      <c r="BY246" s="154"/>
      <c r="BZ246" s="154"/>
      <c r="CA246" s="154"/>
      <c r="CB246" s="154"/>
      <c r="CC246" s="154"/>
      <c r="CD246" s="154"/>
      <c r="CE246" s="154"/>
      <c r="CF246" s="154"/>
      <c r="CG246" s="154"/>
      <c r="CH246" s="154"/>
      <c r="CI246" s="154"/>
      <c r="CJ246" s="154"/>
    </row>
    <row r="247" spans="1:88" ht="15.75" customHeight="1">
      <c r="A247" s="154"/>
      <c r="B247" s="155"/>
      <c r="C247" s="156"/>
      <c r="D247" s="154"/>
      <c r="E247" s="154"/>
      <c r="F247" s="154"/>
      <c r="G247" s="154"/>
      <c r="H247" s="154"/>
      <c r="I247" s="154"/>
      <c r="J247" s="154"/>
      <c r="K247" s="154"/>
      <c r="L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G247" s="154"/>
      <c r="AH247" s="154"/>
      <c r="AI247" s="154"/>
      <c r="AJ247" s="154"/>
      <c r="AK247" s="154"/>
      <c r="AL247" s="154"/>
      <c r="AM247" s="154"/>
      <c r="AN247" s="154"/>
      <c r="AO247" s="156"/>
      <c r="AP247" s="154"/>
      <c r="AQ247" s="156"/>
      <c r="AR247" s="154"/>
      <c r="AS247" s="154"/>
      <c r="AT247" s="154"/>
      <c r="AU247" s="154"/>
      <c r="AV247" s="154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  <c r="BI247" s="154"/>
      <c r="BJ247" s="163"/>
      <c r="BK247" s="163"/>
      <c r="BL247" s="163"/>
      <c r="CB247" s="154"/>
      <c r="CC247" s="154"/>
      <c r="CD247" s="154"/>
      <c r="CE247" s="154"/>
      <c r="CF247" s="154"/>
      <c r="CH247" s="154"/>
      <c r="CI247" s="154"/>
      <c r="CJ247" s="154"/>
    </row>
    <row r="248" spans="1:88" ht="15.75" customHeight="1"/>
    <row r="249" spans="1:88" ht="15.75" customHeight="1"/>
    <row r="250" spans="1:88" ht="15.75" customHeight="1"/>
    <row r="251" spans="1:88" ht="15.75" customHeight="1"/>
    <row r="252" spans="1:88" ht="15.75" customHeight="1"/>
    <row r="253" spans="1:88" ht="15.75" customHeight="1"/>
    <row r="254" spans="1:88" ht="15.75" customHeight="1"/>
    <row r="255" spans="1:88" ht="15.75" customHeight="1"/>
    <row r="256" spans="1:8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N4:AO4"/>
    <mergeCell ref="AP4:AQ4"/>
    <mergeCell ref="AN38:AO38"/>
    <mergeCell ref="AP38:AQ38"/>
    <mergeCell ref="AN49:AO49"/>
    <mergeCell ref="AP49:AQ49"/>
    <mergeCell ref="BO3:BV3"/>
    <mergeCell ref="BW3:CC3"/>
    <mergeCell ref="CD3:CJ3"/>
    <mergeCell ref="AF3:AO3"/>
    <mergeCell ref="AR3:AV3"/>
    <mergeCell ref="AW3:BD3"/>
    <mergeCell ref="AN39:AO39"/>
    <mergeCell ref="D50:K54"/>
    <mergeCell ref="L50:S54"/>
    <mergeCell ref="T50:Z54"/>
    <mergeCell ref="AF50:AM54"/>
    <mergeCell ref="B3:B4"/>
    <mergeCell ref="D3:K3"/>
    <mergeCell ref="L3:S3"/>
    <mergeCell ref="T3:Z3"/>
    <mergeCell ref="AA3:AE3"/>
  </mergeCells>
  <phoneticPr fontId="3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B8EA-58E9-6D4F-9C49-0F67EB0BD639}">
  <dimension ref="A1:BO1000"/>
  <sheetViews>
    <sheetView tabSelected="1" workbookViewId="0">
      <selection sqref="A1:XFD1048576"/>
    </sheetView>
  </sheetViews>
  <sheetFormatPr baseColWidth="10" defaultColWidth="12.28515625" defaultRowHeight="17"/>
  <cols>
    <col min="1" max="2" width="11.140625" style="7" customWidth="1"/>
    <col min="3" max="3" width="11.5703125" style="264" customWidth="1"/>
    <col min="4" max="4" width="4.140625" style="7" customWidth="1"/>
    <col min="5" max="5" width="6.7109375" style="7" customWidth="1"/>
    <col min="6" max="11" width="9.28515625" style="7" customWidth="1"/>
    <col min="12" max="12" width="4.140625" style="7" customWidth="1"/>
    <col min="13" max="13" width="6.7109375" style="164" customWidth="1"/>
    <col min="14" max="19" width="9.28515625" style="164" customWidth="1"/>
    <col min="20" max="20" width="4.140625" style="164" customWidth="1"/>
    <col min="21" max="21" width="6.7109375" style="7" customWidth="1"/>
    <col min="22" max="27" width="9.28515625" style="7" customWidth="1"/>
    <col min="28" max="28" width="6.7109375" style="7" customWidth="1"/>
    <col min="29" max="32" width="9.28515625" style="7" customWidth="1"/>
    <col min="33" max="33" width="5.85546875" style="164" customWidth="1"/>
    <col min="34" max="34" width="6.7109375" style="7" customWidth="1"/>
    <col min="35" max="40" width="9.28515625" style="7" customWidth="1"/>
    <col min="41" max="41" width="4.140625" style="7" customWidth="1"/>
    <col min="42" max="42" width="4.140625" style="264" customWidth="1"/>
    <col min="43" max="43" width="4.140625" style="7" customWidth="1"/>
    <col min="44" max="44" width="4.140625" style="264" customWidth="1"/>
    <col min="45" max="49" width="9.28515625" style="7" customWidth="1"/>
    <col min="50" max="58" width="11" style="7" customWidth="1"/>
    <col min="59" max="60" width="11.140625" style="7" customWidth="1"/>
    <col min="61" max="62" width="9.28515625" style="7" customWidth="1"/>
    <col min="63" max="66" width="11.140625" style="7" customWidth="1"/>
    <col min="67" max="16384" width="12.28515625" style="7"/>
  </cols>
  <sheetData>
    <row r="1" spans="1:67" ht="13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/>
      <c r="AH1" s="4"/>
      <c r="AI1" s="4"/>
      <c r="AJ1" s="4"/>
      <c r="AK1" s="4"/>
      <c r="AL1" s="4"/>
      <c r="AM1" s="4"/>
      <c r="AN1" s="4"/>
      <c r="AO1" s="4"/>
      <c r="AP1" s="3"/>
      <c r="AQ1" s="4"/>
      <c r="AR1" s="3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6"/>
      <c r="BI1" s="6"/>
      <c r="BJ1" s="6"/>
      <c r="BK1" s="6"/>
    </row>
    <row r="2" spans="1:67" ht="13.5" customHeight="1">
      <c r="A2" s="8">
        <v>2026</v>
      </c>
      <c r="B2" s="9">
        <v>2</v>
      </c>
      <c r="C2" s="10"/>
      <c r="D2" s="11"/>
      <c r="E2" s="11"/>
      <c r="F2" s="11"/>
      <c r="G2" s="11"/>
      <c r="H2" s="11"/>
      <c r="I2" s="11"/>
      <c r="J2" s="11"/>
      <c r="K2" s="11"/>
      <c r="L2" s="4"/>
      <c r="M2" s="12"/>
      <c r="N2" s="12"/>
      <c r="O2" s="12"/>
      <c r="P2" s="12"/>
      <c r="Q2" s="12"/>
      <c r="R2" s="12"/>
      <c r="S2" s="5"/>
      <c r="T2" s="5"/>
      <c r="U2" s="11"/>
      <c r="V2" s="11"/>
      <c r="W2" s="11"/>
      <c r="X2" s="11"/>
      <c r="Y2" s="11"/>
      <c r="Z2" s="11"/>
      <c r="AA2" s="4"/>
      <c r="AB2" s="4"/>
      <c r="AC2" s="4"/>
      <c r="AD2" s="4"/>
      <c r="AE2" s="4"/>
      <c r="AF2" s="4"/>
      <c r="AG2" s="5"/>
      <c r="AH2" s="11"/>
      <c r="AI2" s="11"/>
      <c r="AJ2" s="11"/>
      <c r="AK2" s="11"/>
      <c r="AL2" s="11"/>
      <c r="AM2" s="11"/>
      <c r="AN2" s="4"/>
      <c r="AO2" s="4"/>
      <c r="AP2" s="10"/>
      <c r="AQ2" s="4"/>
      <c r="AR2" s="10"/>
      <c r="AS2" s="4"/>
      <c r="AT2" s="4"/>
      <c r="AU2" s="4"/>
      <c r="AV2" s="4"/>
      <c r="AW2" s="4"/>
      <c r="AX2" s="4" t="s">
        <v>1</v>
      </c>
      <c r="AY2" s="4"/>
      <c r="AZ2" s="4"/>
      <c r="BA2" s="4"/>
      <c r="BB2" s="4"/>
      <c r="BC2" s="4"/>
      <c r="BD2" s="4"/>
      <c r="BE2" s="4"/>
      <c r="BF2" s="4"/>
      <c r="BG2" s="4"/>
      <c r="BH2" s="6"/>
      <c r="BI2" s="6"/>
      <c r="BJ2" s="6"/>
      <c r="BK2" s="6"/>
    </row>
    <row r="3" spans="1:67" ht="33" customHeight="1">
      <c r="A3" s="13"/>
      <c r="B3" s="14" t="s">
        <v>2</v>
      </c>
      <c r="C3" s="15"/>
      <c r="D3" s="16" t="s">
        <v>3</v>
      </c>
      <c r="E3" s="17"/>
      <c r="F3" s="17"/>
      <c r="G3" s="17"/>
      <c r="H3" s="17"/>
      <c r="I3" s="17"/>
      <c r="J3" s="17"/>
      <c r="K3" s="17"/>
      <c r="L3" s="18" t="s">
        <v>4</v>
      </c>
      <c r="M3" s="18"/>
      <c r="N3" s="18"/>
      <c r="O3" s="18"/>
      <c r="P3" s="18"/>
      <c r="Q3" s="18"/>
      <c r="R3" s="18"/>
      <c r="S3" s="18"/>
      <c r="T3" s="354"/>
      <c r="U3" s="355" t="s">
        <v>5</v>
      </c>
      <c r="V3" s="355"/>
      <c r="W3" s="355"/>
      <c r="X3" s="355"/>
      <c r="Y3" s="355"/>
      <c r="Z3" s="355"/>
      <c r="AA3" s="355"/>
      <c r="AB3" s="22" t="s">
        <v>6</v>
      </c>
      <c r="AC3" s="23"/>
      <c r="AD3" s="23"/>
      <c r="AE3" s="23"/>
      <c r="AF3" s="24"/>
      <c r="AG3" s="356" t="s">
        <v>7</v>
      </c>
      <c r="AH3" s="357"/>
      <c r="AI3" s="357"/>
      <c r="AJ3" s="357"/>
      <c r="AK3" s="357"/>
      <c r="AL3" s="357"/>
      <c r="AM3" s="357"/>
      <c r="AN3" s="357"/>
      <c r="AO3" s="357"/>
      <c r="AP3" s="357"/>
      <c r="AQ3" s="357"/>
      <c r="AR3" s="357"/>
      <c r="AS3" s="22" t="s">
        <v>8</v>
      </c>
      <c r="AT3" s="23"/>
      <c r="AU3" s="23"/>
      <c r="AV3" s="23"/>
      <c r="AW3" s="25"/>
      <c r="AX3" s="26" t="s">
        <v>9</v>
      </c>
      <c r="AY3" s="27"/>
      <c r="AZ3" s="27"/>
      <c r="BA3" s="27"/>
      <c r="BB3" s="27"/>
      <c r="BC3" s="27"/>
      <c r="BD3" s="27"/>
      <c r="BE3" s="27"/>
      <c r="BF3" s="28"/>
      <c r="BG3" s="203"/>
      <c r="BH3" s="4"/>
      <c r="BI3" s="342"/>
      <c r="BJ3" s="342"/>
      <c r="BK3" s="342"/>
      <c r="BM3" s="264" t="s">
        <v>108</v>
      </c>
      <c r="BN3" s="81" t="s">
        <v>87</v>
      </c>
    </row>
    <row r="4" spans="1:67" ht="53.25" customHeight="1" thickBot="1">
      <c r="A4" s="13"/>
      <c r="B4" s="29"/>
      <c r="C4" s="30"/>
      <c r="D4" s="358" t="s">
        <v>10</v>
      </c>
      <c r="E4" s="32" t="s">
        <v>11</v>
      </c>
      <c r="F4" s="33" t="s">
        <v>12</v>
      </c>
      <c r="G4" s="31" t="s">
        <v>13</v>
      </c>
      <c r="H4" s="33" t="s">
        <v>14</v>
      </c>
      <c r="I4" s="34" t="s">
        <v>15</v>
      </c>
      <c r="J4" s="32" t="s">
        <v>16</v>
      </c>
      <c r="K4" s="33" t="s">
        <v>17</v>
      </c>
      <c r="L4" s="359" t="s">
        <v>18</v>
      </c>
      <c r="M4" s="360" t="s">
        <v>11</v>
      </c>
      <c r="N4" s="361" t="s">
        <v>19</v>
      </c>
      <c r="O4" s="362" t="s">
        <v>20</v>
      </c>
      <c r="P4" s="361" t="s">
        <v>21</v>
      </c>
      <c r="Q4" s="363" t="s">
        <v>22</v>
      </c>
      <c r="R4" s="364" t="s">
        <v>23</v>
      </c>
      <c r="S4" s="365" t="s">
        <v>17</v>
      </c>
      <c r="T4" s="366" t="s">
        <v>18</v>
      </c>
      <c r="U4" s="42" t="s">
        <v>11</v>
      </c>
      <c r="V4" s="33" t="s">
        <v>12</v>
      </c>
      <c r="W4" s="31" t="s">
        <v>13</v>
      </c>
      <c r="X4" s="33" t="s">
        <v>14</v>
      </c>
      <c r="Y4" s="34" t="s">
        <v>15</v>
      </c>
      <c r="Z4" s="367" t="s">
        <v>16</v>
      </c>
      <c r="AA4" s="43" t="s">
        <v>17</v>
      </c>
      <c r="AB4" s="44" t="s">
        <v>24</v>
      </c>
      <c r="AC4" s="45" t="s">
        <v>19</v>
      </c>
      <c r="AD4" s="45" t="s">
        <v>21</v>
      </c>
      <c r="AE4" s="46" t="s">
        <v>25</v>
      </c>
      <c r="AF4" s="365" t="s">
        <v>17</v>
      </c>
      <c r="AG4" s="368" t="s">
        <v>18</v>
      </c>
      <c r="AH4" s="369" t="s">
        <v>11</v>
      </c>
      <c r="AI4" s="33" t="s">
        <v>19</v>
      </c>
      <c r="AJ4" s="31" t="s">
        <v>20</v>
      </c>
      <c r="AK4" s="33" t="s">
        <v>21</v>
      </c>
      <c r="AL4" s="34" t="s">
        <v>22</v>
      </c>
      <c r="AM4" s="370" t="s">
        <v>23</v>
      </c>
      <c r="AN4" s="34" t="s">
        <v>17</v>
      </c>
      <c r="AO4" s="343" t="s">
        <v>83</v>
      </c>
      <c r="AP4" s="344"/>
      <c r="AQ4" s="345" t="s">
        <v>85</v>
      </c>
      <c r="AR4" s="346"/>
      <c r="AS4" s="44" t="s">
        <v>24</v>
      </c>
      <c r="AT4" s="45" t="s">
        <v>19</v>
      </c>
      <c r="AU4" s="45" t="s">
        <v>21</v>
      </c>
      <c r="AV4" s="46" t="s">
        <v>25</v>
      </c>
      <c r="AW4" s="45" t="s">
        <v>109</v>
      </c>
      <c r="AX4" s="33" t="s">
        <v>27</v>
      </c>
      <c r="AY4" s="33" t="s">
        <v>28</v>
      </c>
      <c r="AZ4" s="33" t="s">
        <v>29</v>
      </c>
      <c r="BA4" s="33" t="s">
        <v>30</v>
      </c>
      <c r="BB4" s="33" t="s">
        <v>31</v>
      </c>
      <c r="BC4" s="33" t="s">
        <v>32</v>
      </c>
      <c r="BD4" s="33" t="s">
        <v>33</v>
      </c>
      <c r="BE4" s="33" t="s">
        <v>110</v>
      </c>
      <c r="BF4" s="49" t="s">
        <v>89</v>
      </c>
      <c r="BG4" s="6" t="s">
        <v>90</v>
      </c>
      <c r="BH4" s="4"/>
      <c r="BI4" s="4" t="s">
        <v>91</v>
      </c>
      <c r="BJ4" s="4" t="s">
        <v>92</v>
      </c>
      <c r="BK4" s="4" t="s">
        <v>93</v>
      </c>
      <c r="BL4" s="347" t="s">
        <v>94</v>
      </c>
      <c r="BM4" s="6" t="s">
        <v>95</v>
      </c>
      <c r="BN4" s="348" t="s">
        <v>96</v>
      </c>
      <c r="BO4" s="347" t="s">
        <v>97</v>
      </c>
    </row>
    <row r="5" spans="1:67" s="81" customFormat="1" ht="13.5" customHeight="1" thickTop="1">
      <c r="A5" s="50"/>
      <c r="B5" s="282">
        <f>DATE($A$2,$B$2,1)</f>
        <v>46054</v>
      </c>
      <c r="C5" s="51"/>
      <c r="D5" s="371">
        <v>2</v>
      </c>
      <c r="E5" s="53">
        <v>2</v>
      </c>
      <c r="F5" s="67">
        <v>14300</v>
      </c>
      <c r="G5" s="55">
        <f t="shared" ref="G5:G35" si="0">ROUNDDOWN(F5/1.1,0)/E5</f>
        <v>6500</v>
      </c>
      <c r="H5" s="67">
        <v>11330</v>
      </c>
      <c r="I5" s="56">
        <f t="shared" ref="I5:I35" si="1">ROUNDDOWN(H5/1.1,0)/E5</f>
        <v>5150</v>
      </c>
      <c r="J5" s="57">
        <f t="shared" ref="J5:J35" si="2">F5+H5</f>
        <v>25630</v>
      </c>
      <c r="K5" s="58">
        <f t="shared" ref="K5:K35" si="3">IF(E5="","",J5/E5)</f>
        <v>12815</v>
      </c>
      <c r="L5" s="59">
        <v>1</v>
      </c>
      <c r="M5" s="372">
        <v>2</v>
      </c>
      <c r="N5" s="373">
        <v>7700</v>
      </c>
      <c r="O5" s="62">
        <f t="shared" ref="O5:O36" si="4">N5/M5</f>
        <v>3850</v>
      </c>
      <c r="P5" s="373">
        <v>1100</v>
      </c>
      <c r="Q5" s="63">
        <f t="shared" ref="Q5:Q36" si="5">P5/M5</f>
        <v>550</v>
      </c>
      <c r="R5" s="374">
        <f t="shared" ref="R5" si="6">N5+P5</f>
        <v>8800</v>
      </c>
      <c r="S5" s="65">
        <f t="shared" ref="S5:S35" si="7">IF(M5="","",R5/M5)</f>
        <v>4400</v>
      </c>
      <c r="T5" s="375"/>
      <c r="U5" s="66">
        <f>AX5-M5-E5</f>
        <v>8</v>
      </c>
      <c r="V5" s="67">
        <f>AY5-(F5+N5)</f>
        <v>104800</v>
      </c>
      <c r="W5" s="55">
        <f t="shared" ref="W5:W35" si="8">ROUNDDOWN(V5/1.1,0)/U5</f>
        <v>11909</v>
      </c>
      <c r="X5" s="67">
        <f>AZ5-H5-P5</f>
        <v>29150</v>
      </c>
      <c r="Y5" s="56">
        <f t="shared" ref="Y5:Y35" si="9">ROUNDDOWN(X5/1.1,0)/U5</f>
        <v>3312.5</v>
      </c>
      <c r="Z5" s="285">
        <f>V5+X5</f>
        <v>133950</v>
      </c>
      <c r="AA5" s="69">
        <f t="shared" ref="AA5:AA35" si="10">IF(U5="","",Z5/U5)</f>
        <v>16743.75</v>
      </c>
      <c r="AB5" s="70">
        <f t="shared" ref="AB5:AC20" si="11">E5+U5+M5</f>
        <v>12</v>
      </c>
      <c r="AC5" s="67">
        <f t="shared" si="11"/>
        <v>126800</v>
      </c>
      <c r="AD5" s="67">
        <f>H5+X5+P5</f>
        <v>41580</v>
      </c>
      <c r="AE5" s="71">
        <f t="shared" ref="AE5" si="12">J5+Z5</f>
        <v>159580</v>
      </c>
      <c r="AF5" s="67">
        <f>IF(AB5="","",AE5/AB5)</f>
        <v>13298.333333333334</v>
      </c>
      <c r="AG5" s="376">
        <v>73</v>
      </c>
      <c r="AH5" s="377">
        <v>75</v>
      </c>
      <c r="AI5" s="54">
        <f>95150+500</f>
        <v>95650</v>
      </c>
      <c r="AJ5" s="55">
        <f t="shared" ref="AJ5:AJ35" si="13">AI5/AH5</f>
        <v>1275.3333333333333</v>
      </c>
      <c r="AK5" s="54">
        <v>12800</v>
      </c>
      <c r="AL5" s="56">
        <f t="shared" ref="AL5:AL35" si="14">AK5/AH5</f>
        <v>170.66666666666666</v>
      </c>
      <c r="AM5" s="378">
        <f>AI5+AK5</f>
        <v>108450</v>
      </c>
      <c r="AN5" s="75">
        <f t="shared" ref="AN5:AN35" si="15">IF(AH5="","",AM5/AH5)</f>
        <v>1446</v>
      </c>
      <c r="AO5" s="321">
        <v>0</v>
      </c>
      <c r="AP5" s="322">
        <v>0</v>
      </c>
      <c r="AQ5" s="321">
        <v>0</v>
      </c>
      <c r="AR5" s="322">
        <v>0</v>
      </c>
      <c r="AS5" s="70">
        <f>SUM(E5,U5,M5)</f>
        <v>12</v>
      </c>
      <c r="AT5" s="67">
        <f>AC5+AI5</f>
        <v>222450</v>
      </c>
      <c r="AU5" s="67">
        <f t="shared" ref="AU5:AU35" si="16">AD5+AK5</f>
        <v>54380</v>
      </c>
      <c r="AV5" s="76">
        <f>AE5+AM5</f>
        <v>268030</v>
      </c>
      <c r="AW5" s="67">
        <f>BA5+BB5+BC5</f>
        <v>2200</v>
      </c>
      <c r="AX5" s="67">
        <v>12</v>
      </c>
      <c r="AY5" s="67">
        <v>126800</v>
      </c>
      <c r="AZ5" s="67">
        <f>8800+32780</f>
        <v>41580</v>
      </c>
      <c r="BA5" s="77">
        <v>2200</v>
      </c>
      <c r="BB5" s="77"/>
      <c r="BC5" s="77"/>
      <c r="BD5" s="77"/>
      <c r="BE5" s="379"/>
      <c r="BF5" s="67">
        <f>SUM(AY5:BC5)</f>
        <v>170580</v>
      </c>
      <c r="BG5" s="79">
        <f>BD5+BF5</f>
        <v>170580</v>
      </c>
      <c r="BH5" s="50">
        <v>1</v>
      </c>
      <c r="BI5" s="50"/>
      <c r="BJ5" s="50"/>
      <c r="BK5" s="79">
        <f>BF5-BI5-BJ5</f>
        <v>170580</v>
      </c>
      <c r="BM5" s="80">
        <f>BG5-BI5-BJ5</f>
        <v>170580</v>
      </c>
      <c r="BN5" s="349">
        <f>BF5+AM5-BI5-BJ5</f>
        <v>279030</v>
      </c>
    </row>
    <row r="6" spans="1:67" ht="13.5" customHeight="1">
      <c r="A6" s="50"/>
      <c r="B6" s="320">
        <f t="shared" ref="B6:B32" si="17">B5+1</f>
        <v>46055</v>
      </c>
      <c r="C6" s="82"/>
      <c r="D6" s="371">
        <v>3</v>
      </c>
      <c r="E6" s="53">
        <v>6</v>
      </c>
      <c r="F6" s="67">
        <v>33000</v>
      </c>
      <c r="G6" s="55">
        <f t="shared" si="0"/>
        <v>5000</v>
      </c>
      <c r="H6" s="67">
        <f>2860+12540</f>
        <v>15400</v>
      </c>
      <c r="I6" s="56">
        <f t="shared" si="1"/>
        <v>2333.3333333333335</v>
      </c>
      <c r="J6" s="57">
        <f t="shared" si="2"/>
        <v>48400</v>
      </c>
      <c r="K6" s="58">
        <f t="shared" si="3"/>
        <v>8066.666666666667</v>
      </c>
      <c r="L6" s="83"/>
      <c r="M6" s="380"/>
      <c r="N6" s="381"/>
      <c r="O6" s="86" t="e">
        <f t="shared" si="4"/>
        <v>#DIV/0!</v>
      </c>
      <c r="P6" s="381"/>
      <c r="Q6" s="87" t="e">
        <f t="shared" si="5"/>
        <v>#DIV/0!</v>
      </c>
      <c r="R6" s="382">
        <f>N6+P6</f>
        <v>0</v>
      </c>
      <c r="S6" s="89" t="str">
        <f t="shared" si="7"/>
        <v/>
      </c>
      <c r="T6" s="383"/>
      <c r="U6" s="66">
        <f t="shared" ref="U6:U35" si="18">AX6-M6-E6</f>
        <v>6</v>
      </c>
      <c r="V6" s="67">
        <f t="shared" ref="V6:V35" si="19">AY6-(F6+N6)</f>
        <v>85800</v>
      </c>
      <c r="W6" s="55">
        <f t="shared" si="8"/>
        <v>13000</v>
      </c>
      <c r="X6" s="67">
        <f t="shared" ref="X6:X35" si="20">AZ6-H6-P6</f>
        <v>13530</v>
      </c>
      <c r="Y6" s="56">
        <f t="shared" si="9"/>
        <v>2050</v>
      </c>
      <c r="Z6" s="384">
        <f t="shared" ref="Z6:Z35" si="21">V6+X6</f>
        <v>99330</v>
      </c>
      <c r="AA6" s="69">
        <f t="shared" si="10"/>
        <v>16555</v>
      </c>
      <c r="AB6" s="70">
        <f t="shared" si="11"/>
        <v>12</v>
      </c>
      <c r="AC6" s="67">
        <f t="shared" si="11"/>
        <v>118800</v>
      </c>
      <c r="AD6" s="67">
        <f t="shared" ref="AD6:AD35" si="22">H6+X6+P6</f>
        <v>28930</v>
      </c>
      <c r="AE6" s="71">
        <f>J6+Z6+R6</f>
        <v>147730</v>
      </c>
      <c r="AF6" s="67">
        <f t="shared" ref="AF6:AF35" si="23">IF(AB6="","",AE6/AB6)</f>
        <v>12310.833333333334</v>
      </c>
      <c r="AG6" s="376">
        <v>56</v>
      </c>
      <c r="AH6" s="377">
        <v>61</v>
      </c>
      <c r="AI6" s="54">
        <f>74800+1850</f>
        <v>76650</v>
      </c>
      <c r="AJ6" s="55">
        <f t="shared" si="13"/>
        <v>1256.5573770491803</v>
      </c>
      <c r="AK6" s="54">
        <v>6100</v>
      </c>
      <c r="AL6" s="56">
        <f t="shared" si="14"/>
        <v>100</v>
      </c>
      <c r="AM6" s="385">
        <f t="shared" ref="AM6:AM35" si="24">AI6+AK6</f>
        <v>82750</v>
      </c>
      <c r="AN6" s="75">
        <f t="shared" si="15"/>
        <v>1356.5573770491803</v>
      </c>
      <c r="AO6" s="324">
        <v>0</v>
      </c>
      <c r="AP6" s="322">
        <v>0</v>
      </c>
      <c r="AQ6" s="324">
        <v>0</v>
      </c>
      <c r="AR6" s="322">
        <v>0</v>
      </c>
      <c r="AS6" s="70">
        <f t="shared" ref="AS6:AS35" si="25">SUM(E6,U6)</f>
        <v>12</v>
      </c>
      <c r="AT6" s="67">
        <f t="shared" ref="AT6:AT35" si="26">AC6+AI6</f>
        <v>195450</v>
      </c>
      <c r="AU6" s="67">
        <f t="shared" si="16"/>
        <v>35030</v>
      </c>
      <c r="AV6" s="76">
        <f t="shared" ref="AV6:AV35" si="27">AE6+AM6</f>
        <v>230480</v>
      </c>
      <c r="AW6" s="67">
        <f>BA6+BB6+BC6</f>
        <v>0</v>
      </c>
      <c r="AX6" s="92">
        <v>12</v>
      </c>
      <c r="AY6" s="92">
        <v>118800</v>
      </c>
      <c r="AZ6" s="92">
        <f>9570+19360</f>
        <v>28930</v>
      </c>
      <c r="BA6" s="93"/>
      <c r="BB6" s="93"/>
      <c r="BC6" s="93"/>
      <c r="BD6" s="93"/>
      <c r="BE6" s="386"/>
      <c r="BF6" s="92">
        <f t="shared" ref="BF6:BF31" si="28">SUM(AY6:BC6)</f>
        <v>147730</v>
      </c>
      <c r="BG6" s="79">
        <f t="shared" ref="BG6:BG35" si="29">BD6+BF6</f>
        <v>147730</v>
      </c>
      <c r="BH6" s="50">
        <v>2</v>
      </c>
      <c r="BI6" s="50"/>
      <c r="BJ6" s="50"/>
      <c r="BK6" s="79">
        <f t="shared" ref="BK6:BK35" si="30">BF6-BI6-BJ6</f>
        <v>147730</v>
      </c>
      <c r="BM6" s="80">
        <f t="shared" ref="BM6:BM35" si="31">BG6-BI6-BJ6</f>
        <v>147730</v>
      </c>
      <c r="BN6" s="349">
        <f>BF6+AM6-BI6-BJ6</f>
        <v>230480</v>
      </c>
    </row>
    <row r="7" spans="1:67" ht="13.5" customHeight="1">
      <c r="A7" s="50"/>
      <c r="B7" s="320">
        <f t="shared" si="17"/>
        <v>46056</v>
      </c>
      <c r="C7" s="82"/>
      <c r="D7" s="371">
        <v>2</v>
      </c>
      <c r="E7" s="53">
        <v>4</v>
      </c>
      <c r="F7" s="67">
        <v>17600</v>
      </c>
      <c r="G7" s="55">
        <f t="shared" si="0"/>
        <v>4000</v>
      </c>
      <c r="H7" s="67">
        <v>3740</v>
      </c>
      <c r="I7" s="56">
        <f t="shared" si="1"/>
        <v>850</v>
      </c>
      <c r="J7" s="57">
        <f t="shared" si="2"/>
        <v>21340</v>
      </c>
      <c r="K7" s="58">
        <f t="shared" si="3"/>
        <v>5335</v>
      </c>
      <c r="L7" s="83"/>
      <c r="M7" s="380"/>
      <c r="N7" s="381"/>
      <c r="O7" s="86" t="e">
        <f t="shared" si="4"/>
        <v>#DIV/0!</v>
      </c>
      <c r="P7" s="381"/>
      <c r="Q7" s="87" t="e">
        <f t="shared" si="5"/>
        <v>#DIV/0!</v>
      </c>
      <c r="R7" s="382">
        <f t="shared" ref="R7:R35" si="32">N7+P7</f>
        <v>0</v>
      </c>
      <c r="S7" s="89" t="str">
        <f t="shared" si="7"/>
        <v/>
      </c>
      <c r="T7" s="383"/>
      <c r="U7" s="66">
        <f t="shared" si="18"/>
        <v>0</v>
      </c>
      <c r="V7" s="67">
        <f t="shared" si="19"/>
        <v>0</v>
      </c>
      <c r="W7" s="55" t="e">
        <f t="shared" si="8"/>
        <v>#DIV/0!</v>
      </c>
      <c r="X7" s="67">
        <f t="shared" si="20"/>
        <v>0</v>
      </c>
      <c r="Y7" s="56" t="e">
        <f t="shared" si="9"/>
        <v>#DIV/0!</v>
      </c>
      <c r="Z7" s="384">
        <f t="shared" si="21"/>
        <v>0</v>
      </c>
      <c r="AA7" s="69" t="e">
        <f t="shared" si="10"/>
        <v>#DIV/0!</v>
      </c>
      <c r="AB7" s="70">
        <f t="shared" si="11"/>
        <v>4</v>
      </c>
      <c r="AC7" s="67">
        <f t="shared" si="11"/>
        <v>17600</v>
      </c>
      <c r="AD7" s="67">
        <f t="shared" si="22"/>
        <v>3740</v>
      </c>
      <c r="AE7" s="71">
        <f t="shared" ref="AE7:AE34" si="33">J7+Z7+R7</f>
        <v>21340</v>
      </c>
      <c r="AF7" s="67">
        <f t="shared" si="23"/>
        <v>5335</v>
      </c>
      <c r="AG7" s="376">
        <v>62</v>
      </c>
      <c r="AH7" s="377">
        <v>67</v>
      </c>
      <c r="AI7" s="54">
        <f>86200+1550</f>
        <v>87750</v>
      </c>
      <c r="AJ7" s="55">
        <f t="shared" si="13"/>
        <v>1309.7014925373135</v>
      </c>
      <c r="AK7" s="54">
        <v>12400</v>
      </c>
      <c r="AL7" s="56">
        <f t="shared" si="14"/>
        <v>185.07462686567163</v>
      </c>
      <c r="AM7" s="385">
        <f t="shared" si="24"/>
        <v>100150</v>
      </c>
      <c r="AN7" s="75">
        <f t="shared" si="15"/>
        <v>1494.7761194029852</v>
      </c>
      <c r="AO7" s="324">
        <v>0</v>
      </c>
      <c r="AP7" s="322">
        <v>0</v>
      </c>
      <c r="AQ7" s="324">
        <v>0</v>
      </c>
      <c r="AR7" s="322">
        <v>0</v>
      </c>
      <c r="AS7" s="70">
        <f t="shared" si="25"/>
        <v>4</v>
      </c>
      <c r="AT7" s="67">
        <f t="shared" si="26"/>
        <v>105350</v>
      </c>
      <c r="AU7" s="67">
        <f t="shared" si="16"/>
        <v>16140</v>
      </c>
      <c r="AV7" s="76">
        <f t="shared" si="27"/>
        <v>121490</v>
      </c>
      <c r="AW7" s="67">
        <f t="shared" ref="AW7:AW35" si="34">BA7+BB7+BC7</f>
        <v>0</v>
      </c>
      <c r="AX7" s="92">
        <v>4</v>
      </c>
      <c r="AY7" s="92">
        <v>17600</v>
      </c>
      <c r="AZ7" s="92">
        <v>3740</v>
      </c>
      <c r="BA7" s="93"/>
      <c r="BB7" s="93"/>
      <c r="BC7" s="93"/>
      <c r="BD7" s="93"/>
      <c r="BE7" s="386"/>
      <c r="BF7" s="92">
        <f t="shared" si="28"/>
        <v>21340</v>
      </c>
      <c r="BG7" s="79">
        <f t="shared" si="29"/>
        <v>21340</v>
      </c>
      <c r="BH7" s="50">
        <v>3</v>
      </c>
      <c r="BI7" s="50"/>
      <c r="BJ7" s="50"/>
      <c r="BK7" s="79">
        <f t="shared" si="30"/>
        <v>21340</v>
      </c>
      <c r="BM7" s="80">
        <f t="shared" si="31"/>
        <v>21340</v>
      </c>
      <c r="BN7" s="349">
        <f t="shared" ref="BN7:BN35" si="35">BF7+AM7-BI7-BJ7</f>
        <v>121490</v>
      </c>
    </row>
    <row r="8" spans="1:67" ht="13.5" customHeight="1">
      <c r="A8" s="50"/>
      <c r="B8" s="320">
        <f t="shared" si="17"/>
        <v>46057</v>
      </c>
      <c r="C8" s="82" t="s">
        <v>111</v>
      </c>
      <c r="D8" s="371">
        <v>2</v>
      </c>
      <c r="E8" s="53">
        <v>4</v>
      </c>
      <c r="F8" s="67">
        <v>22000</v>
      </c>
      <c r="G8" s="55">
        <f t="shared" si="0"/>
        <v>5000</v>
      </c>
      <c r="H8" s="67">
        <v>6160</v>
      </c>
      <c r="I8" s="56">
        <f t="shared" si="1"/>
        <v>1400</v>
      </c>
      <c r="J8" s="57">
        <f t="shared" si="2"/>
        <v>28160</v>
      </c>
      <c r="K8" s="58">
        <f t="shared" si="3"/>
        <v>7040</v>
      </c>
      <c r="L8" s="83"/>
      <c r="M8" s="380"/>
      <c r="N8" s="381"/>
      <c r="O8" s="86" t="e">
        <f t="shared" si="4"/>
        <v>#DIV/0!</v>
      </c>
      <c r="P8" s="381"/>
      <c r="Q8" s="87" t="e">
        <f t="shared" si="5"/>
        <v>#DIV/0!</v>
      </c>
      <c r="R8" s="382">
        <f t="shared" si="32"/>
        <v>0</v>
      </c>
      <c r="S8" s="89" t="str">
        <f t="shared" si="7"/>
        <v/>
      </c>
      <c r="T8" s="383"/>
      <c r="U8" s="66">
        <f t="shared" si="18"/>
        <v>2</v>
      </c>
      <c r="V8" s="67">
        <f t="shared" si="19"/>
        <v>19800</v>
      </c>
      <c r="W8" s="55">
        <f t="shared" si="8"/>
        <v>9000</v>
      </c>
      <c r="X8" s="67">
        <f t="shared" si="20"/>
        <v>13200</v>
      </c>
      <c r="Y8" s="56">
        <f t="shared" si="9"/>
        <v>6000</v>
      </c>
      <c r="Z8" s="384">
        <f t="shared" si="21"/>
        <v>33000</v>
      </c>
      <c r="AA8" s="69">
        <f t="shared" si="10"/>
        <v>16500</v>
      </c>
      <c r="AB8" s="70">
        <f t="shared" si="11"/>
        <v>6</v>
      </c>
      <c r="AC8" s="67">
        <f t="shared" si="11"/>
        <v>41800</v>
      </c>
      <c r="AD8" s="67">
        <f t="shared" si="22"/>
        <v>19360</v>
      </c>
      <c r="AE8" s="71">
        <f t="shared" si="33"/>
        <v>61160</v>
      </c>
      <c r="AF8" s="67">
        <f t="shared" si="23"/>
        <v>10193.333333333334</v>
      </c>
      <c r="AG8" s="376">
        <v>102</v>
      </c>
      <c r="AH8" s="377">
        <v>106</v>
      </c>
      <c r="AI8" s="54">
        <f>148250+1600</f>
        <v>149850</v>
      </c>
      <c r="AJ8" s="55">
        <f t="shared" si="13"/>
        <v>1413.6792452830189</v>
      </c>
      <c r="AK8" s="54">
        <v>16500</v>
      </c>
      <c r="AL8" s="56">
        <f t="shared" si="14"/>
        <v>155.66037735849056</v>
      </c>
      <c r="AM8" s="385">
        <f t="shared" si="24"/>
        <v>166350</v>
      </c>
      <c r="AN8" s="75">
        <f t="shared" si="15"/>
        <v>1569.3396226415093</v>
      </c>
      <c r="AO8" s="324">
        <v>0</v>
      </c>
      <c r="AP8" s="322">
        <v>0</v>
      </c>
      <c r="AQ8" s="324">
        <v>0</v>
      </c>
      <c r="AR8" s="322">
        <v>0</v>
      </c>
      <c r="AS8" s="70">
        <f t="shared" si="25"/>
        <v>6</v>
      </c>
      <c r="AT8" s="67">
        <f t="shared" si="26"/>
        <v>191650</v>
      </c>
      <c r="AU8" s="67">
        <f t="shared" si="16"/>
        <v>35860</v>
      </c>
      <c r="AV8" s="96">
        <f t="shared" si="27"/>
        <v>227510</v>
      </c>
      <c r="AW8" s="67">
        <f t="shared" si="34"/>
        <v>0</v>
      </c>
      <c r="AX8" s="92">
        <v>6</v>
      </c>
      <c r="AY8" s="92">
        <v>41800</v>
      </c>
      <c r="AZ8" s="92">
        <f>6160+13200</f>
        <v>19360</v>
      </c>
      <c r="BA8" s="93"/>
      <c r="BB8" s="93"/>
      <c r="BC8" s="93"/>
      <c r="BD8" s="93"/>
      <c r="BE8" s="386"/>
      <c r="BF8" s="92">
        <f t="shared" si="28"/>
        <v>61160</v>
      </c>
      <c r="BG8" s="79">
        <f t="shared" si="29"/>
        <v>61160</v>
      </c>
      <c r="BH8" s="50">
        <v>4</v>
      </c>
      <c r="BI8" s="50"/>
      <c r="BJ8" s="50"/>
      <c r="BK8" s="79">
        <f t="shared" si="30"/>
        <v>61160</v>
      </c>
      <c r="BM8" s="80">
        <f t="shared" si="31"/>
        <v>61160</v>
      </c>
      <c r="BN8" s="349">
        <f t="shared" si="35"/>
        <v>227510</v>
      </c>
    </row>
    <row r="9" spans="1:67" ht="13.5" customHeight="1">
      <c r="A9" s="50"/>
      <c r="B9" s="320">
        <f t="shared" si="17"/>
        <v>46058</v>
      </c>
      <c r="C9" s="82" t="s">
        <v>112</v>
      </c>
      <c r="D9" s="371">
        <v>1</v>
      </c>
      <c r="E9" s="53">
        <v>2</v>
      </c>
      <c r="F9" s="67">
        <v>17600</v>
      </c>
      <c r="G9" s="55">
        <f t="shared" si="0"/>
        <v>8000</v>
      </c>
      <c r="H9" s="67">
        <v>2970</v>
      </c>
      <c r="I9" s="56">
        <f t="shared" si="1"/>
        <v>1350</v>
      </c>
      <c r="J9" s="57">
        <f t="shared" si="2"/>
        <v>20570</v>
      </c>
      <c r="K9" s="58">
        <f t="shared" si="3"/>
        <v>10285</v>
      </c>
      <c r="L9" s="83"/>
      <c r="M9" s="380"/>
      <c r="N9" s="381"/>
      <c r="O9" s="86" t="e">
        <f t="shared" si="4"/>
        <v>#DIV/0!</v>
      </c>
      <c r="P9" s="381"/>
      <c r="Q9" s="87" t="e">
        <f t="shared" si="5"/>
        <v>#DIV/0!</v>
      </c>
      <c r="R9" s="382">
        <f t="shared" si="32"/>
        <v>0</v>
      </c>
      <c r="S9" s="89" t="str">
        <f t="shared" si="7"/>
        <v/>
      </c>
      <c r="T9" s="383"/>
      <c r="U9" s="66">
        <f t="shared" si="18"/>
        <v>5</v>
      </c>
      <c r="V9" s="67">
        <f t="shared" si="19"/>
        <v>72600</v>
      </c>
      <c r="W9" s="55">
        <f t="shared" si="8"/>
        <v>13200</v>
      </c>
      <c r="X9" s="67">
        <f t="shared" si="20"/>
        <v>24880</v>
      </c>
      <c r="Y9" s="56">
        <f t="shared" si="9"/>
        <v>4523.6000000000004</v>
      </c>
      <c r="Z9" s="384">
        <f t="shared" si="21"/>
        <v>97480</v>
      </c>
      <c r="AA9" s="69">
        <f t="shared" si="10"/>
        <v>19496</v>
      </c>
      <c r="AB9" s="70">
        <f t="shared" si="11"/>
        <v>7</v>
      </c>
      <c r="AC9" s="67">
        <f t="shared" si="11"/>
        <v>90200</v>
      </c>
      <c r="AD9" s="67">
        <f t="shared" si="22"/>
        <v>27850</v>
      </c>
      <c r="AE9" s="71">
        <f t="shared" si="33"/>
        <v>118050</v>
      </c>
      <c r="AF9" s="67">
        <f t="shared" si="23"/>
        <v>16864.285714285714</v>
      </c>
      <c r="AG9" s="376">
        <v>89</v>
      </c>
      <c r="AH9" s="377">
        <v>92</v>
      </c>
      <c r="AI9" s="54">
        <f>132650+100</f>
        <v>132750</v>
      </c>
      <c r="AJ9" s="55">
        <f t="shared" si="13"/>
        <v>1442.9347826086957</v>
      </c>
      <c r="AK9" s="54">
        <v>20700</v>
      </c>
      <c r="AL9" s="56">
        <f t="shared" si="14"/>
        <v>225</v>
      </c>
      <c r="AM9" s="385">
        <f t="shared" si="24"/>
        <v>153450</v>
      </c>
      <c r="AN9" s="75">
        <f t="shared" si="15"/>
        <v>1667.9347826086957</v>
      </c>
      <c r="AO9" s="324">
        <v>0</v>
      </c>
      <c r="AP9" s="322">
        <v>0</v>
      </c>
      <c r="AQ9" s="324">
        <v>0</v>
      </c>
      <c r="AR9" s="322">
        <v>0</v>
      </c>
      <c r="AS9" s="70">
        <f t="shared" si="25"/>
        <v>7</v>
      </c>
      <c r="AT9" s="67">
        <f t="shared" si="26"/>
        <v>222950</v>
      </c>
      <c r="AU9" s="67">
        <f t="shared" si="16"/>
        <v>48550</v>
      </c>
      <c r="AV9" s="76">
        <f t="shared" si="27"/>
        <v>271500</v>
      </c>
      <c r="AW9" s="67">
        <f t="shared" si="34"/>
        <v>0</v>
      </c>
      <c r="AX9" s="92">
        <v>7</v>
      </c>
      <c r="AY9" s="92">
        <v>90200</v>
      </c>
      <c r="AZ9" s="92">
        <f>2970+24880</f>
        <v>27850</v>
      </c>
      <c r="BA9" s="93"/>
      <c r="BB9" s="93"/>
      <c r="BC9" s="93"/>
      <c r="BD9" s="93"/>
      <c r="BE9" s="386" t="s">
        <v>113</v>
      </c>
      <c r="BF9" s="92">
        <f>SUM(AY9:BC9)</f>
        <v>118050</v>
      </c>
      <c r="BG9" s="79">
        <f>BD9+BF9</f>
        <v>118050</v>
      </c>
      <c r="BH9" s="50">
        <v>5</v>
      </c>
      <c r="BI9" s="50"/>
      <c r="BJ9" s="50"/>
      <c r="BK9" s="79">
        <f t="shared" si="30"/>
        <v>118050</v>
      </c>
      <c r="BM9" s="80">
        <f t="shared" si="31"/>
        <v>118050</v>
      </c>
      <c r="BN9" s="349">
        <f t="shared" si="35"/>
        <v>271500</v>
      </c>
    </row>
    <row r="10" spans="1:67" ht="13.5" customHeight="1">
      <c r="A10" s="50"/>
      <c r="B10" s="320">
        <f t="shared" si="17"/>
        <v>46059</v>
      </c>
      <c r="C10" s="82" t="s">
        <v>114</v>
      </c>
      <c r="D10" s="371">
        <v>2</v>
      </c>
      <c r="E10" s="53">
        <v>6</v>
      </c>
      <c r="F10" s="67">
        <v>39600</v>
      </c>
      <c r="G10" s="55">
        <f t="shared" si="0"/>
        <v>6000</v>
      </c>
      <c r="H10" s="67">
        <f>2970+1320</f>
        <v>4290</v>
      </c>
      <c r="I10" s="56">
        <f t="shared" si="1"/>
        <v>650</v>
      </c>
      <c r="J10" s="57">
        <f t="shared" si="2"/>
        <v>43890</v>
      </c>
      <c r="K10" s="58">
        <f t="shared" si="3"/>
        <v>7315</v>
      </c>
      <c r="L10" s="83"/>
      <c r="M10" s="380"/>
      <c r="N10" s="381"/>
      <c r="O10" s="86" t="e">
        <f t="shared" si="4"/>
        <v>#DIV/0!</v>
      </c>
      <c r="P10" s="381"/>
      <c r="Q10" s="87" t="e">
        <f t="shared" si="5"/>
        <v>#DIV/0!</v>
      </c>
      <c r="R10" s="382">
        <f t="shared" si="32"/>
        <v>0</v>
      </c>
      <c r="S10" s="89" t="str">
        <f t="shared" si="7"/>
        <v/>
      </c>
      <c r="T10" s="383"/>
      <c r="U10" s="66">
        <f t="shared" si="18"/>
        <v>6</v>
      </c>
      <c r="V10" s="67">
        <f t="shared" si="19"/>
        <v>72600</v>
      </c>
      <c r="W10" s="55">
        <f t="shared" si="8"/>
        <v>11000</v>
      </c>
      <c r="X10" s="67">
        <f t="shared" si="20"/>
        <v>52470</v>
      </c>
      <c r="Y10" s="56">
        <f t="shared" si="9"/>
        <v>7950</v>
      </c>
      <c r="Z10" s="384">
        <f t="shared" si="21"/>
        <v>125070</v>
      </c>
      <c r="AA10" s="69">
        <f t="shared" si="10"/>
        <v>20845</v>
      </c>
      <c r="AB10" s="70">
        <f t="shared" si="11"/>
        <v>12</v>
      </c>
      <c r="AC10" s="67">
        <f t="shared" si="11"/>
        <v>112200</v>
      </c>
      <c r="AD10" s="67">
        <f t="shared" si="22"/>
        <v>56760</v>
      </c>
      <c r="AE10" s="71">
        <f t="shared" si="33"/>
        <v>168960</v>
      </c>
      <c r="AF10" s="67">
        <f t="shared" si="23"/>
        <v>14080</v>
      </c>
      <c r="AG10" s="376">
        <v>122</v>
      </c>
      <c r="AH10" s="377">
        <v>123</v>
      </c>
      <c r="AI10" s="54">
        <f>118510+4550</f>
        <v>123060</v>
      </c>
      <c r="AJ10" s="55">
        <f t="shared" si="13"/>
        <v>1000.4878048780488</v>
      </c>
      <c r="AK10" s="54">
        <v>32800</v>
      </c>
      <c r="AL10" s="56">
        <f t="shared" si="14"/>
        <v>266.66666666666669</v>
      </c>
      <c r="AM10" s="385">
        <f t="shared" si="24"/>
        <v>155860</v>
      </c>
      <c r="AN10" s="75">
        <f t="shared" si="15"/>
        <v>1267.1544715447155</v>
      </c>
      <c r="AO10" s="324">
        <v>0</v>
      </c>
      <c r="AP10" s="322">
        <v>0</v>
      </c>
      <c r="AQ10" s="324">
        <v>0</v>
      </c>
      <c r="AR10" s="322">
        <v>0</v>
      </c>
      <c r="AS10" s="97">
        <f t="shared" si="25"/>
        <v>12</v>
      </c>
      <c r="AT10" s="67">
        <f t="shared" si="26"/>
        <v>235260</v>
      </c>
      <c r="AU10" s="67">
        <f t="shared" si="16"/>
        <v>89560</v>
      </c>
      <c r="AV10" s="76">
        <f t="shared" si="27"/>
        <v>324820</v>
      </c>
      <c r="AW10" s="67">
        <f t="shared" si="34"/>
        <v>0</v>
      </c>
      <c r="AX10" s="92">
        <v>12</v>
      </c>
      <c r="AY10" s="92">
        <v>112200</v>
      </c>
      <c r="AZ10" s="92">
        <f>7480+49280</f>
        <v>56760</v>
      </c>
      <c r="BA10" s="93"/>
      <c r="BB10" s="93"/>
      <c r="BC10" s="93"/>
      <c r="BD10" s="93"/>
      <c r="BE10" s="386"/>
      <c r="BF10" s="92">
        <f>SUM(AY10:BC10)</f>
        <v>168960</v>
      </c>
      <c r="BG10" s="79">
        <f t="shared" si="29"/>
        <v>168960</v>
      </c>
      <c r="BH10" s="50">
        <v>6</v>
      </c>
      <c r="BI10" s="50"/>
      <c r="BJ10" s="50"/>
      <c r="BK10" s="79">
        <f t="shared" si="30"/>
        <v>168960</v>
      </c>
      <c r="BM10" s="80">
        <f t="shared" si="31"/>
        <v>168960</v>
      </c>
      <c r="BN10" s="349">
        <f t="shared" si="35"/>
        <v>324820</v>
      </c>
    </row>
    <row r="11" spans="1:67" ht="13.5" customHeight="1">
      <c r="A11" s="50"/>
      <c r="B11" s="323">
        <f t="shared" si="17"/>
        <v>46060</v>
      </c>
      <c r="C11" s="82"/>
      <c r="D11" s="371">
        <v>2</v>
      </c>
      <c r="E11" s="53">
        <v>4</v>
      </c>
      <c r="F11" s="67">
        <v>21000</v>
      </c>
      <c r="G11" s="55">
        <f t="shared" si="0"/>
        <v>4772.5</v>
      </c>
      <c r="H11" s="67">
        <f>1000+11000</f>
        <v>12000</v>
      </c>
      <c r="I11" s="56">
        <f t="shared" si="1"/>
        <v>2727.25</v>
      </c>
      <c r="J11" s="57">
        <f t="shared" si="2"/>
        <v>33000</v>
      </c>
      <c r="K11" s="58">
        <f t="shared" si="3"/>
        <v>8250</v>
      </c>
      <c r="L11" s="83"/>
      <c r="M11" s="380"/>
      <c r="N11" s="381"/>
      <c r="O11" s="86" t="e">
        <f t="shared" si="4"/>
        <v>#DIV/0!</v>
      </c>
      <c r="P11" s="381"/>
      <c r="Q11" s="87" t="e">
        <f t="shared" si="5"/>
        <v>#DIV/0!</v>
      </c>
      <c r="R11" s="382">
        <f t="shared" si="32"/>
        <v>0</v>
      </c>
      <c r="S11" s="89" t="str">
        <f t="shared" si="7"/>
        <v/>
      </c>
      <c r="T11" s="383"/>
      <c r="U11" s="66">
        <f t="shared" si="18"/>
        <v>9</v>
      </c>
      <c r="V11" s="67">
        <f t="shared" si="19"/>
        <v>134000</v>
      </c>
      <c r="W11" s="55">
        <f t="shared" si="8"/>
        <v>13535.333333333334</v>
      </c>
      <c r="X11" s="67">
        <f t="shared" si="20"/>
        <v>25580</v>
      </c>
      <c r="Y11" s="56">
        <f t="shared" si="9"/>
        <v>2583.7777777777778</v>
      </c>
      <c r="Z11" s="384">
        <f t="shared" si="21"/>
        <v>159580</v>
      </c>
      <c r="AA11" s="69">
        <f t="shared" si="10"/>
        <v>17731.111111111109</v>
      </c>
      <c r="AB11" s="70">
        <f t="shared" si="11"/>
        <v>13</v>
      </c>
      <c r="AC11" s="67">
        <f t="shared" si="11"/>
        <v>155000</v>
      </c>
      <c r="AD11" s="67">
        <f t="shared" si="22"/>
        <v>37580</v>
      </c>
      <c r="AE11" s="71">
        <f t="shared" si="33"/>
        <v>192580</v>
      </c>
      <c r="AF11" s="67">
        <f t="shared" si="23"/>
        <v>14813.846153846154</v>
      </c>
      <c r="AG11" s="376">
        <v>115</v>
      </c>
      <c r="AH11" s="377">
        <v>129</v>
      </c>
      <c r="AI11" s="54">
        <f>157050+3500</f>
        <v>160550</v>
      </c>
      <c r="AJ11" s="55">
        <f t="shared" si="13"/>
        <v>1244.5736434108528</v>
      </c>
      <c r="AK11" s="54">
        <v>25900</v>
      </c>
      <c r="AL11" s="56">
        <f t="shared" si="14"/>
        <v>200.77519379844961</v>
      </c>
      <c r="AM11" s="385">
        <f t="shared" si="24"/>
        <v>186450</v>
      </c>
      <c r="AN11" s="75">
        <f t="shared" si="15"/>
        <v>1445.3488372093022</v>
      </c>
      <c r="AO11" s="324">
        <v>1</v>
      </c>
      <c r="AP11" s="322">
        <v>2</v>
      </c>
      <c r="AQ11" s="324">
        <v>0</v>
      </c>
      <c r="AR11" s="322">
        <v>0</v>
      </c>
      <c r="AS11" s="97">
        <f t="shared" si="25"/>
        <v>13</v>
      </c>
      <c r="AT11" s="67">
        <f t="shared" si="26"/>
        <v>315550</v>
      </c>
      <c r="AU11" s="67">
        <f t="shared" si="16"/>
        <v>63480</v>
      </c>
      <c r="AV11" s="76">
        <f t="shared" si="27"/>
        <v>379030</v>
      </c>
      <c r="AW11" s="67">
        <f t="shared" si="34"/>
        <v>0</v>
      </c>
      <c r="AX11" s="92">
        <v>13</v>
      </c>
      <c r="AY11" s="92">
        <v>155000</v>
      </c>
      <c r="AZ11" s="92">
        <f>6170+31410</f>
        <v>37580</v>
      </c>
      <c r="BA11" s="93"/>
      <c r="BB11" s="93"/>
      <c r="BC11" s="93"/>
      <c r="BD11" s="93">
        <v>3300</v>
      </c>
      <c r="BE11" s="386"/>
      <c r="BF11" s="92">
        <f t="shared" si="28"/>
        <v>192580</v>
      </c>
      <c r="BG11" s="79">
        <f t="shared" si="29"/>
        <v>195880</v>
      </c>
      <c r="BH11" s="50">
        <v>7</v>
      </c>
      <c r="BI11" s="50"/>
      <c r="BJ11" s="50"/>
      <c r="BK11" s="79">
        <f t="shared" si="30"/>
        <v>192580</v>
      </c>
      <c r="BM11" s="80">
        <f t="shared" si="31"/>
        <v>195880</v>
      </c>
      <c r="BN11" s="349">
        <f t="shared" si="35"/>
        <v>379030</v>
      </c>
    </row>
    <row r="12" spans="1:67" ht="13.5" customHeight="1">
      <c r="A12" s="50"/>
      <c r="B12" s="95">
        <f t="shared" si="17"/>
        <v>46061</v>
      </c>
      <c r="C12" s="82" t="s">
        <v>115</v>
      </c>
      <c r="D12" s="371">
        <v>4</v>
      </c>
      <c r="E12" s="53">
        <v>9</v>
      </c>
      <c r="F12" s="67">
        <v>63900</v>
      </c>
      <c r="G12" s="55">
        <f t="shared" si="0"/>
        <v>6454.4444444444443</v>
      </c>
      <c r="H12" s="67">
        <f>8920+2200</f>
        <v>11120</v>
      </c>
      <c r="I12" s="56">
        <f t="shared" si="1"/>
        <v>1123.2222222222222</v>
      </c>
      <c r="J12" s="57">
        <f t="shared" si="2"/>
        <v>75020</v>
      </c>
      <c r="K12" s="58">
        <f t="shared" si="3"/>
        <v>8335.5555555555547</v>
      </c>
      <c r="L12" s="83">
        <v>1</v>
      </c>
      <c r="M12" s="380">
        <v>2</v>
      </c>
      <c r="N12" s="381">
        <v>7700</v>
      </c>
      <c r="O12" s="86">
        <f t="shared" si="4"/>
        <v>3850</v>
      </c>
      <c r="P12" s="381">
        <v>3300</v>
      </c>
      <c r="Q12" s="87">
        <f t="shared" si="5"/>
        <v>1650</v>
      </c>
      <c r="R12" s="382">
        <f t="shared" si="32"/>
        <v>11000</v>
      </c>
      <c r="S12" s="89">
        <f t="shared" si="7"/>
        <v>5500</v>
      </c>
      <c r="T12" s="383"/>
      <c r="U12" s="66">
        <f t="shared" si="18"/>
        <v>0</v>
      </c>
      <c r="V12" s="67">
        <f t="shared" si="19"/>
        <v>0</v>
      </c>
      <c r="W12" s="55" t="e">
        <f t="shared" si="8"/>
        <v>#DIV/0!</v>
      </c>
      <c r="X12" s="67">
        <f t="shared" si="20"/>
        <v>0</v>
      </c>
      <c r="Y12" s="98" t="e">
        <f t="shared" si="9"/>
        <v>#DIV/0!</v>
      </c>
      <c r="Z12" s="384">
        <f t="shared" si="21"/>
        <v>0</v>
      </c>
      <c r="AA12" s="69" t="e">
        <f t="shared" si="10"/>
        <v>#DIV/0!</v>
      </c>
      <c r="AB12" s="70">
        <f t="shared" si="11"/>
        <v>11</v>
      </c>
      <c r="AC12" s="67">
        <f t="shared" si="11"/>
        <v>71600</v>
      </c>
      <c r="AD12" s="67">
        <f t="shared" si="22"/>
        <v>14420</v>
      </c>
      <c r="AE12" s="71">
        <f t="shared" si="33"/>
        <v>86020</v>
      </c>
      <c r="AF12" s="67">
        <f t="shared" si="23"/>
        <v>7820</v>
      </c>
      <c r="AG12" s="376">
        <v>108</v>
      </c>
      <c r="AH12" s="377">
        <v>110</v>
      </c>
      <c r="AI12" s="54">
        <f>144000+11850</f>
        <v>155850</v>
      </c>
      <c r="AJ12" s="55">
        <f t="shared" si="13"/>
        <v>1416.8181818181818</v>
      </c>
      <c r="AK12" s="54">
        <v>18400</v>
      </c>
      <c r="AL12" s="56">
        <f t="shared" si="14"/>
        <v>167.27272727272728</v>
      </c>
      <c r="AM12" s="385">
        <f t="shared" si="24"/>
        <v>174250</v>
      </c>
      <c r="AN12" s="75">
        <f t="shared" si="15"/>
        <v>1584.090909090909</v>
      </c>
      <c r="AO12" s="324">
        <v>1</v>
      </c>
      <c r="AP12" s="322">
        <v>5</v>
      </c>
      <c r="AQ12" s="324">
        <v>1</v>
      </c>
      <c r="AR12" s="322">
        <v>2</v>
      </c>
      <c r="AS12" s="97">
        <f t="shared" si="25"/>
        <v>9</v>
      </c>
      <c r="AT12" s="67">
        <f t="shared" si="26"/>
        <v>227450</v>
      </c>
      <c r="AU12" s="67">
        <f t="shared" si="16"/>
        <v>32820</v>
      </c>
      <c r="AV12" s="76">
        <f t="shared" si="27"/>
        <v>260270</v>
      </c>
      <c r="AW12" s="67">
        <f t="shared" si="34"/>
        <v>2200</v>
      </c>
      <c r="AX12" s="92">
        <v>11</v>
      </c>
      <c r="AY12" s="92">
        <v>71600</v>
      </c>
      <c r="AZ12" s="92">
        <f>11120+3300</f>
        <v>14420</v>
      </c>
      <c r="BA12" s="93">
        <v>2200</v>
      </c>
      <c r="BB12" s="93"/>
      <c r="BC12" s="93"/>
      <c r="BD12" s="93"/>
      <c r="BE12" s="386"/>
      <c r="BF12" s="92">
        <f t="shared" si="28"/>
        <v>88220</v>
      </c>
      <c r="BG12" s="79">
        <f t="shared" si="29"/>
        <v>88220</v>
      </c>
      <c r="BH12" s="50">
        <v>8</v>
      </c>
      <c r="BI12" s="50">
        <v>1100</v>
      </c>
      <c r="BJ12" s="50"/>
      <c r="BK12" s="79">
        <f t="shared" si="30"/>
        <v>87120</v>
      </c>
      <c r="BM12" s="80">
        <f t="shared" si="31"/>
        <v>87120</v>
      </c>
      <c r="BN12" s="349">
        <f t="shared" si="35"/>
        <v>261370</v>
      </c>
      <c r="BO12" s="7" t="s">
        <v>116</v>
      </c>
    </row>
    <row r="13" spans="1:67" ht="13.5" customHeight="1">
      <c r="A13" s="50"/>
      <c r="B13" s="320">
        <f t="shared" si="17"/>
        <v>46062</v>
      </c>
      <c r="C13" s="82"/>
      <c r="D13" s="371">
        <v>6</v>
      </c>
      <c r="E13" s="53">
        <v>9</v>
      </c>
      <c r="F13" s="67">
        <v>48400</v>
      </c>
      <c r="G13" s="55">
        <f t="shared" si="0"/>
        <v>4888.8888888888887</v>
      </c>
      <c r="H13" s="67">
        <f>5830+4950</f>
        <v>10780</v>
      </c>
      <c r="I13" s="56">
        <f t="shared" si="1"/>
        <v>1088.8888888888889</v>
      </c>
      <c r="J13" s="57">
        <f t="shared" si="2"/>
        <v>59180</v>
      </c>
      <c r="K13" s="58">
        <f t="shared" si="3"/>
        <v>6575.5555555555557</v>
      </c>
      <c r="L13" s="83"/>
      <c r="M13" s="380"/>
      <c r="N13" s="381"/>
      <c r="O13" s="86" t="e">
        <f t="shared" si="4"/>
        <v>#DIV/0!</v>
      </c>
      <c r="P13" s="381"/>
      <c r="Q13" s="87" t="e">
        <f t="shared" si="5"/>
        <v>#DIV/0!</v>
      </c>
      <c r="R13" s="382">
        <f t="shared" si="32"/>
        <v>0</v>
      </c>
      <c r="S13" s="89" t="str">
        <f t="shared" si="7"/>
        <v/>
      </c>
      <c r="T13" s="383"/>
      <c r="U13" s="66">
        <f t="shared" si="18"/>
        <v>4</v>
      </c>
      <c r="V13" s="67">
        <f t="shared" si="19"/>
        <v>44000</v>
      </c>
      <c r="W13" s="55">
        <f t="shared" si="8"/>
        <v>10000</v>
      </c>
      <c r="X13" s="67">
        <f t="shared" si="20"/>
        <v>23650</v>
      </c>
      <c r="Y13" s="56">
        <f t="shared" si="9"/>
        <v>5375</v>
      </c>
      <c r="Z13" s="384">
        <f t="shared" si="21"/>
        <v>67650</v>
      </c>
      <c r="AA13" s="69">
        <f t="shared" si="10"/>
        <v>16912.5</v>
      </c>
      <c r="AB13" s="70">
        <f t="shared" si="11"/>
        <v>13</v>
      </c>
      <c r="AC13" s="67">
        <f t="shared" si="11"/>
        <v>92400</v>
      </c>
      <c r="AD13" s="67">
        <f t="shared" si="22"/>
        <v>34430</v>
      </c>
      <c r="AE13" s="71">
        <f t="shared" si="33"/>
        <v>126830</v>
      </c>
      <c r="AF13" s="67">
        <f t="shared" si="23"/>
        <v>9756.1538461538457</v>
      </c>
      <c r="AG13" s="376">
        <v>69</v>
      </c>
      <c r="AH13" s="377">
        <v>70</v>
      </c>
      <c r="AI13" s="54">
        <f>96500+3100</f>
        <v>99600</v>
      </c>
      <c r="AJ13" s="55">
        <f t="shared" si="13"/>
        <v>1422.8571428571429</v>
      </c>
      <c r="AK13" s="54">
        <v>10700</v>
      </c>
      <c r="AL13" s="56">
        <f t="shared" si="14"/>
        <v>152.85714285714286</v>
      </c>
      <c r="AM13" s="385">
        <f t="shared" si="24"/>
        <v>110300</v>
      </c>
      <c r="AN13" s="75">
        <f t="shared" si="15"/>
        <v>1575.7142857142858</v>
      </c>
      <c r="AO13" s="324">
        <v>1</v>
      </c>
      <c r="AP13" s="325">
        <v>1</v>
      </c>
      <c r="AQ13" s="324">
        <v>0</v>
      </c>
      <c r="AR13" s="325">
        <v>0</v>
      </c>
      <c r="AS13" s="97">
        <f t="shared" si="25"/>
        <v>13</v>
      </c>
      <c r="AT13" s="67">
        <f t="shared" si="26"/>
        <v>192000</v>
      </c>
      <c r="AU13" s="67">
        <f t="shared" si="16"/>
        <v>45130</v>
      </c>
      <c r="AV13" s="76">
        <f t="shared" si="27"/>
        <v>237130</v>
      </c>
      <c r="AW13" s="67">
        <f t="shared" si="34"/>
        <v>0</v>
      </c>
      <c r="AX13" s="92">
        <v>13</v>
      </c>
      <c r="AY13" s="92">
        <v>92400</v>
      </c>
      <c r="AZ13" s="92">
        <f>6710+27720</f>
        <v>34430</v>
      </c>
      <c r="BA13" s="93"/>
      <c r="BB13" s="93"/>
      <c r="BC13" s="93"/>
      <c r="BD13" s="93">
        <v>6600</v>
      </c>
      <c r="BE13" s="386"/>
      <c r="BF13" s="92">
        <f t="shared" si="28"/>
        <v>126830</v>
      </c>
      <c r="BG13" s="79">
        <f t="shared" si="29"/>
        <v>133430</v>
      </c>
      <c r="BH13" s="50">
        <v>9</v>
      </c>
      <c r="BI13" s="50"/>
      <c r="BJ13" s="50"/>
      <c r="BK13" s="79">
        <f t="shared" si="30"/>
        <v>126830</v>
      </c>
      <c r="BM13" s="80">
        <f t="shared" si="31"/>
        <v>133430</v>
      </c>
      <c r="BN13" s="349">
        <f t="shared" si="35"/>
        <v>237130</v>
      </c>
    </row>
    <row r="14" spans="1:67" ht="13.5" customHeight="1">
      <c r="A14" s="50"/>
      <c r="B14" s="320">
        <f t="shared" si="17"/>
        <v>46063</v>
      </c>
      <c r="C14" s="82"/>
      <c r="D14" s="371">
        <v>4</v>
      </c>
      <c r="E14" s="53">
        <v>7</v>
      </c>
      <c r="F14" s="67">
        <f>23100+11000</f>
        <v>34100</v>
      </c>
      <c r="G14" s="55">
        <f t="shared" si="0"/>
        <v>4428.5714285714284</v>
      </c>
      <c r="H14" s="67">
        <f>13200+1870+2200</f>
        <v>17270</v>
      </c>
      <c r="I14" s="56">
        <f t="shared" si="1"/>
        <v>2242.8571428571427</v>
      </c>
      <c r="J14" s="57">
        <f t="shared" si="2"/>
        <v>51370</v>
      </c>
      <c r="K14" s="58">
        <f t="shared" si="3"/>
        <v>7338.5714285714284</v>
      </c>
      <c r="L14" s="83"/>
      <c r="M14" s="380"/>
      <c r="N14" s="381"/>
      <c r="O14" s="86" t="e">
        <f t="shared" si="4"/>
        <v>#DIV/0!</v>
      </c>
      <c r="P14" s="381"/>
      <c r="Q14" s="87" t="e">
        <f t="shared" si="5"/>
        <v>#DIV/0!</v>
      </c>
      <c r="R14" s="382">
        <f t="shared" si="32"/>
        <v>0</v>
      </c>
      <c r="S14" s="89" t="str">
        <f t="shared" si="7"/>
        <v/>
      </c>
      <c r="T14" s="383"/>
      <c r="U14" s="66">
        <f t="shared" si="18"/>
        <v>8</v>
      </c>
      <c r="V14" s="67">
        <f t="shared" si="19"/>
        <v>76900</v>
      </c>
      <c r="W14" s="55">
        <f t="shared" si="8"/>
        <v>8738.625</v>
      </c>
      <c r="X14" s="67">
        <f t="shared" si="20"/>
        <v>17160</v>
      </c>
      <c r="Y14" s="56">
        <f t="shared" si="9"/>
        <v>1950</v>
      </c>
      <c r="Z14" s="384">
        <f t="shared" si="21"/>
        <v>94060</v>
      </c>
      <c r="AA14" s="69">
        <f t="shared" si="10"/>
        <v>11757.5</v>
      </c>
      <c r="AB14" s="70">
        <f t="shared" si="11"/>
        <v>15</v>
      </c>
      <c r="AC14" s="67">
        <f t="shared" si="11"/>
        <v>111000</v>
      </c>
      <c r="AD14" s="67">
        <f t="shared" si="22"/>
        <v>34430</v>
      </c>
      <c r="AE14" s="71">
        <f t="shared" si="33"/>
        <v>145430</v>
      </c>
      <c r="AF14" s="67">
        <f t="shared" si="23"/>
        <v>9695.3333333333339</v>
      </c>
      <c r="AG14" s="376">
        <v>89</v>
      </c>
      <c r="AH14" s="377">
        <v>92</v>
      </c>
      <c r="AI14" s="54">
        <f>114680+10950</f>
        <v>125630</v>
      </c>
      <c r="AJ14" s="55">
        <f t="shared" si="13"/>
        <v>1365.5434782608695</v>
      </c>
      <c r="AK14" s="54">
        <v>25300</v>
      </c>
      <c r="AL14" s="56">
        <f t="shared" si="14"/>
        <v>275</v>
      </c>
      <c r="AM14" s="385">
        <f t="shared" si="24"/>
        <v>150930</v>
      </c>
      <c r="AN14" s="75">
        <f t="shared" si="15"/>
        <v>1640.5434782608695</v>
      </c>
      <c r="AO14" s="324">
        <v>0</v>
      </c>
      <c r="AP14" s="325">
        <v>0</v>
      </c>
      <c r="AQ14" s="324">
        <v>0</v>
      </c>
      <c r="AR14" s="325">
        <v>0</v>
      </c>
      <c r="AS14" s="97">
        <f t="shared" si="25"/>
        <v>15</v>
      </c>
      <c r="AT14" s="67">
        <f t="shared" si="26"/>
        <v>236630</v>
      </c>
      <c r="AU14" s="67">
        <f t="shared" si="16"/>
        <v>59730</v>
      </c>
      <c r="AV14" s="96">
        <f t="shared" si="27"/>
        <v>296360</v>
      </c>
      <c r="AW14" s="67">
        <f t="shared" si="34"/>
        <v>0</v>
      </c>
      <c r="AX14" s="92">
        <v>15</v>
      </c>
      <c r="AY14" s="92">
        <v>111000</v>
      </c>
      <c r="AZ14" s="92">
        <f>21230+13200</f>
        <v>34430</v>
      </c>
      <c r="BA14" s="93"/>
      <c r="BB14" s="93"/>
      <c r="BC14" s="93"/>
      <c r="BD14" s="93"/>
      <c r="BE14" s="386"/>
      <c r="BF14" s="92">
        <f t="shared" si="28"/>
        <v>145430</v>
      </c>
      <c r="BG14" s="79">
        <f t="shared" si="29"/>
        <v>145430</v>
      </c>
      <c r="BH14" s="50">
        <v>10</v>
      </c>
      <c r="BI14" s="50"/>
      <c r="BJ14" s="50"/>
      <c r="BK14" s="79">
        <f t="shared" si="30"/>
        <v>145430</v>
      </c>
      <c r="BM14" s="80">
        <f t="shared" si="31"/>
        <v>145430</v>
      </c>
      <c r="BN14" s="349">
        <f t="shared" si="35"/>
        <v>296360</v>
      </c>
    </row>
    <row r="15" spans="1:67" ht="13.5" customHeight="1">
      <c r="A15" s="50"/>
      <c r="B15" s="95">
        <f>B14+1</f>
        <v>46064</v>
      </c>
      <c r="C15" s="82"/>
      <c r="D15" s="371"/>
      <c r="E15" s="53"/>
      <c r="F15" s="67"/>
      <c r="G15" s="55" t="e">
        <f t="shared" si="0"/>
        <v>#DIV/0!</v>
      </c>
      <c r="H15" s="67"/>
      <c r="I15" s="56" t="e">
        <f t="shared" si="1"/>
        <v>#DIV/0!</v>
      </c>
      <c r="J15" s="57">
        <f t="shared" si="2"/>
        <v>0</v>
      </c>
      <c r="K15" s="58" t="str">
        <f t="shared" si="3"/>
        <v/>
      </c>
      <c r="L15" s="83"/>
      <c r="M15" s="380"/>
      <c r="N15" s="381"/>
      <c r="O15" s="86" t="e">
        <f t="shared" si="4"/>
        <v>#DIV/0!</v>
      </c>
      <c r="P15" s="381"/>
      <c r="Q15" s="87" t="e">
        <f t="shared" si="5"/>
        <v>#DIV/0!</v>
      </c>
      <c r="R15" s="382">
        <f t="shared" si="32"/>
        <v>0</v>
      </c>
      <c r="S15" s="89" t="str">
        <f t="shared" si="7"/>
        <v/>
      </c>
      <c r="T15" s="383"/>
      <c r="U15" s="66">
        <f t="shared" si="18"/>
        <v>0</v>
      </c>
      <c r="V15" s="67">
        <f t="shared" si="19"/>
        <v>0</v>
      </c>
      <c r="W15" s="55" t="e">
        <f t="shared" si="8"/>
        <v>#DIV/0!</v>
      </c>
      <c r="X15" s="67">
        <f t="shared" si="20"/>
        <v>0</v>
      </c>
      <c r="Y15" s="56" t="e">
        <f t="shared" si="9"/>
        <v>#DIV/0!</v>
      </c>
      <c r="Z15" s="384">
        <f t="shared" si="21"/>
        <v>0</v>
      </c>
      <c r="AA15" s="69" t="e">
        <f t="shared" si="10"/>
        <v>#DIV/0!</v>
      </c>
      <c r="AB15" s="70">
        <f t="shared" si="11"/>
        <v>0</v>
      </c>
      <c r="AC15" s="67">
        <f t="shared" si="11"/>
        <v>0</v>
      </c>
      <c r="AD15" s="67">
        <f t="shared" si="22"/>
        <v>0</v>
      </c>
      <c r="AE15" s="71">
        <f t="shared" si="33"/>
        <v>0</v>
      </c>
      <c r="AF15" s="67" t="e">
        <f t="shared" si="23"/>
        <v>#DIV/0!</v>
      </c>
      <c r="AG15" s="376"/>
      <c r="AH15" s="377"/>
      <c r="AI15" s="54"/>
      <c r="AJ15" s="55" t="e">
        <f t="shared" si="13"/>
        <v>#DIV/0!</v>
      </c>
      <c r="AK15" s="54"/>
      <c r="AL15" s="56" t="e">
        <f t="shared" si="14"/>
        <v>#DIV/0!</v>
      </c>
      <c r="AM15" s="385">
        <f t="shared" si="24"/>
        <v>0</v>
      </c>
      <c r="AN15" s="75" t="str">
        <f t="shared" si="15"/>
        <v/>
      </c>
      <c r="AO15" s="324"/>
      <c r="AP15" s="325"/>
      <c r="AQ15" s="324"/>
      <c r="AR15" s="325"/>
      <c r="AS15" s="97">
        <f t="shared" si="25"/>
        <v>0</v>
      </c>
      <c r="AT15" s="67">
        <f t="shared" si="26"/>
        <v>0</v>
      </c>
      <c r="AU15" s="67">
        <f t="shared" si="16"/>
        <v>0</v>
      </c>
      <c r="AV15" s="76">
        <f t="shared" si="27"/>
        <v>0</v>
      </c>
      <c r="AW15" s="67">
        <f t="shared" si="34"/>
        <v>0</v>
      </c>
      <c r="AX15" s="92"/>
      <c r="AY15" s="92"/>
      <c r="AZ15" s="92"/>
      <c r="BA15" s="93"/>
      <c r="BB15" s="93"/>
      <c r="BC15" s="93"/>
      <c r="BD15" s="93"/>
      <c r="BE15" s="386"/>
      <c r="BF15" s="92">
        <f t="shared" si="28"/>
        <v>0</v>
      </c>
      <c r="BG15" s="79">
        <f t="shared" si="29"/>
        <v>0</v>
      </c>
      <c r="BH15" s="50">
        <v>11</v>
      </c>
      <c r="BI15" s="50"/>
      <c r="BJ15" s="50"/>
      <c r="BK15" s="79">
        <f t="shared" si="30"/>
        <v>0</v>
      </c>
      <c r="BM15" s="80">
        <f t="shared" si="31"/>
        <v>0</v>
      </c>
      <c r="BN15" s="349">
        <f t="shared" si="35"/>
        <v>0</v>
      </c>
    </row>
    <row r="16" spans="1:67" ht="13.5" customHeight="1">
      <c r="A16" s="50"/>
      <c r="B16" s="320">
        <f t="shared" si="17"/>
        <v>46065</v>
      </c>
      <c r="C16" s="82"/>
      <c r="D16" s="371"/>
      <c r="E16" s="53"/>
      <c r="F16" s="67"/>
      <c r="G16" s="55" t="e">
        <f t="shared" si="0"/>
        <v>#DIV/0!</v>
      </c>
      <c r="H16" s="67"/>
      <c r="I16" s="56" t="e">
        <f t="shared" si="1"/>
        <v>#DIV/0!</v>
      </c>
      <c r="J16" s="57">
        <f t="shared" si="2"/>
        <v>0</v>
      </c>
      <c r="K16" s="58" t="str">
        <f t="shared" si="3"/>
        <v/>
      </c>
      <c r="L16" s="83"/>
      <c r="M16" s="380"/>
      <c r="N16" s="381"/>
      <c r="O16" s="86" t="e">
        <f t="shared" si="4"/>
        <v>#DIV/0!</v>
      </c>
      <c r="P16" s="381"/>
      <c r="Q16" s="87" t="e">
        <f t="shared" si="5"/>
        <v>#DIV/0!</v>
      </c>
      <c r="R16" s="382">
        <f t="shared" si="32"/>
        <v>0</v>
      </c>
      <c r="S16" s="89" t="str">
        <f t="shared" si="7"/>
        <v/>
      </c>
      <c r="T16" s="383"/>
      <c r="U16" s="66">
        <f t="shared" si="18"/>
        <v>0</v>
      </c>
      <c r="V16" s="67">
        <f t="shared" si="19"/>
        <v>0</v>
      </c>
      <c r="W16" s="55" t="e">
        <f t="shared" si="8"/>
        <v>#DIV/0!</v>
      </c>
      <c r="X16" s="67">
        <f t="shared" si="20"/>
        <v>0</v>
      </c>
      <c r="Y16" s="56" t="e">
        <f t="shared" si="9"/>
        <v>#DIV/0!</v>
      </c>
      <c r="Z16" s="384">
        <f t="shared" si="21"/>
        <v>0</v>
      </c>
      <c r="AA16" s="69" t="e">
        <f t="shared" si="10"/>
        <v>#DIV/0!</v>
      </c>
      <c r="AB16" s="70">
        <f t="shared" si="11"/>
        <v>0</v>
      </c>
      <c r="AC16" s="67">
        <f t="shared" si="11"/>
        <v>0</v>
      </c>
      <c r="AD16" s="67">
        <f t="shared" si="22"/>
        <v>0</v>
      </c>
      <c r="AE16" s="71">
        <f t="shared" si="33"/>
        <v>0</v>
      </c>
      <c r="AF16" s="67" t="e">
        <f t="shared" si="23"/>
        <v>#DIV/0!</v>
      </c>
      <c r="AG16" s="376"/>
      <c r="AH16" s="377"/>
      <c r="AI16" s="54"/>
      <c r="AJ16" s="55" t="e">
        <f t="shared" si="13"/>
        <v>#DIV/0!</v>
      </c>
      <c r="AK16" s="54"/>
      <c r="AL16" s="56" t="e">
        <f t="shared" si="14"/>
        <v>#DIV/0!</v>
      </c>
      <c r="AM16" s="385">
        <f t="shared" si="24"/>
        <v>0</v>
      </c>
      <c r="AN16" s="75" t="str">
        <f t="shared" si="15"/>
        <v/>
      </c>
      <c r="AO16" s="324"/>
      <c r="AP16" s="325"/>
      <c r="AQ16" s="324"/>
      <c r="AR16" s="325"/>
      <c r="AS16" s="97">
        <f t="shared" si="25"/>
        <v>0</v>
      </c>
      <c r="AT16" s="67">
        <f t="shared" si="26"/>
        <v>0</v>
      </c>
      <c r="AU16" s="67">
        <f t="shared" si="16"/>
        <v>0</v>
      </c>
      <c r="AV16" s="76">
        <f t="shared" si="27"/>
        <v>0</v>
      </c>
      <c r="AW16" s="67">
        <f t="shared" si="34"/>
        <v>0</v>
      </c>
      <c r="AX16" s="92"/>
      <c r="AY16" s="92"/>
      <c r="AZ16" s="92"/>
      <c r="BA16" s="93"/>
      <c r="BB16" s="93"/>
      <c r="BC16" s="93"/>
      <c r="BD16" s="93"/>
      <c r="BE16" s="386"/>
      <c r="BF16" s="92">
        <f t="shared" si="28"/>
        <v>0</v>
      </c>
      <c r="BG16" s="79">
        <f t="shared" si="29"/>
        <v>0</v>
      </c>
      <c r="BH16" s="50">
        <v>12</v>
      </c>
      <c r="BI16" s="50"/>
      <c r="BJ16" s="50"/>
      <c r="BK16" s="79">
        <f t="shared" si="30"/>
        <v>0</v>
      </c>
      <c r="BM16" s="80">
        <f t="shared" si="31"/>
        <v>0</v>
      </c>
      <c r="BN16" s="349">
        <f t="shared" si="35"/>
        <v>0</v>
      </c>
    </row>
    <row r="17" spans="1:66" ht="13.5" customHeight="1">
      <c r="A17" s="50"/>
      <c r="B17" s="320">
        <f t="shared" si="17"/>
        <v>46066</v>
      </c>
      <c r="C17" s="82"/>
      <c r="D17" s="371"/>
      <c r="E17" s="53"/>
      <c r="F17" s="67"/>
      <c r="G17" s="55" t="e">
        <f t="shared" si="0"/>
        <v>#DIV/0!</v>
      </c>
      <c r="H17" s="67"/>
      <c r="I17" s="56" t="e">
        <f t="shared" si="1"/>
        <v>#DIV/0!</v>
      </c>
      <c r="J17" s="57">
        <f t="shared" si="2"/>
        <v>0</v>
      </c>
      <c r="K17" s="58" t="str">
        <f t="shared" si="3"/>
        <v/>
      </c>
      <c r="L17" s="83"/>
      <c r="M17" s="380"/>
      <c r="N17" s="381"/>
      <c r="O17" s="86" t="e">
        <f t="shared" si="4"/>
        <v>#DIV/0!</v>
      </c>
      <c r="P17" s="373"/>
      <c r="Q17" s="87" t="e">
        <f t="shared" si="5"/>
        <v>#DIV/0!</v>
      </c>
      <c r="R17" s="382">
        <f t="shared" si="32"/>
        <v>0</v>
      </c>
      <c r="S17" s="89" t="str">
        <f t="shared" si="7"/>
        <v/>
      </c>
      <c r="T17" s="383"/>
      <c r="U17" s="66">
        <f t="shared" si="18"/>
        <v>0</v>
      </c>
      <c r="V17" s="67">
        <f t="shared" si="19"/>
        <v>0</v>
      </c>
      <c r="W17" s="55" t="e">
        <f t="shared" si="8"/>
        <v>#DIV/0!</v>
      </c>
      <c r="X17" s="67">
        <f t="shared" si="20"/>
        <v>0</v>
      </c>
      <c r="Y17" s="56" t="e">
        <f t="shared" si="9"/>
        <v>#DIV/0!</v>
      </c>
      <c r="Z17" s="384">
        <f t="shared" si="21"/>
        <v>0</v>
      </c>
      <c r="AA17" s="69" t="e">
        <f t="shared" si="10"/>
        <v>#DIV/0!</v>
      </c>
      <c r="AB17" s="70">
        <f t="shared" si="11"/>
        <v>0</v>
      </c>
      <c r="AC17" s="67">
        <f t="shared" si="11"/>
        <v>0</v>
      </c>
      <c r="AD17" s="67">
        <f t="shared" si="22"/>
        <v>0</v>
      </c>
      <c r="AE17" s="71">
        <f t="shared" si="33"/>
        <v>0</v>
      </c>
      <c r="AF17" s="67" t="e">
        <f t="shared" si="23"/>
        <v>#DIV/0!</v>
      </c>
      <c r="AG17" s="376"/>
      <c r="AH17" s="377"/>
      <c r="AI17" s="54"/>
      <c r="AJ17" s="55" t="e">
        <f t="shared" si="13"/>
        <v>#DIV/0!</v>
      </c>
      <c r="AK17" s="54"/>
      <c r="AL17" s="56" t="e">
        <f t="shared" si="14"/>
        <v>#DIV/0!</v>
      </c>
      <c r="AM17" s="385">
        <f t="shared" si="24"/>
        <v>0</v>
      </c>
      <c r="AN17" s="75" t="str">
        <f t="shared" si="15"/>
        <v/>
      </c>
      <c r="AO17" s="324"/>
      <c r="AP17" s="325"/>
      <c r="AQ17" s="324"/>
      <c r="AR17" s="325"/>
      <c r="AS17" s="97">
        <f t="shared" si="25"/>
        <v>0</v>
      </c>
      <c r="AT17" s="67">
        <f t="shared" si="26"/>
        <v>0</v>
      </c>
      <c r="AU17" s="67">
        <f t="shared" si="16"/>
        <v>0</v>
      </c>
      <c r="AV17" s="76">
        <f t="shared" si="27"/>
        <v>0</v>
      </c>
      <c r="AW17" s="67">
        <f t="shared" si="34"/>
        <v>0</v>
      </c>
      <c r="AX17" s="92"/>
      <c r="AY17" s="92"/>
      <c r="AZ17" s="92"/>
      <c r="BA17" s="93"/>
      <c r="BB17" s="93"/>
      <c r="BC17" s="93"/>
      <c r="BD17" s="93"/>
      <c r="BE17" s="386"/>
      <c r="BF17" s="92">
        <f t="shared" si="28"/>
        <v>0</v>
      </c>
      <c r="BG17" s="79">
        <f t="shared" si="29"/>
        <v>0</v>
      </c>
      <c r="BH17" s="50">
        <v>13</v>
      </c>
      <c r="BI17" s="50"/>
      <c r="BJ17" s="50"/>
      <c r="BK17" s="79">
        <f t="shared" si="30"/>
        <v>0</v>
      </c>
      <c r="BM17" s="80">
        <f t="shared" si="31"/>
        <v>0</v>
      </c>
      <c r="BN17" s="349">
        <f t="shared" si="35"/>
        <v>0</v>
      </c>
    </row>
    <row r="18" spans="1:66" ht="13.5" customHeight="1">
      <c r="A18" s="50"/>
      <c r="B18" s="323">
        <f t="shared" si="17"/>
        <v>46067</v>
      </c>
      <c r="C18" s="82"/>
      <c r="D18" s="371"/>
      <c r="E18" s="53"/>
      <c r="F18" s="67"/>
      <c r="G18" s="55" t="e">
        <f t="shared" si="0"/>
        <v>#DIV/0!</v>
      </c>
      <c r="H18" s="67"/>
      <c r="I18" s="56" t="e">
        <f t="shared" si="1"/>
        <v>#DIV/0!</v>
      </c>
      <c r="J18" s="57">
        <f t="shared" si="2"/>
        <v>0</v>
      </c>
      <c r="K18" s="58" t="str">
        <f t="shared" si="3"/>
        <v/>
      </c>
      <c r="L18" s="83"/>
      <c r="M18" s="380"/>
      <c r="N18" s="381"/>
      <c r="O18" s="86" t="e">
        <f t="shared" si="4"/>
        <v>#DIV/0!</v>
      </c>
      <c r="P18" s="381"/>
      <c r="Q18" s="87" t="e">
        <f t="shared" si="5"/>
        <v>#DIV/0!</v>
      </c>
      <c r="R18" s="382">
        <f t="shared" si="32"/>
        <v>0</v>
      </c>
      <c r="S18" s="89" t="str">
        <f t="shared" si="7"/>
        <v/>
      </c>
      <c r="T18" s="383"/>
      <c r="U18" s="66">
        <f t="shared" si="18"/>
        <v>0</v>
      </c>
      <c r="V18" s="67">
        <f t="shared" si="19"/>
        <v>0</v>
      </c>
      <c r="W18" s="55" t="e">
        <f t="shared" si="8"/>
        <v>#DIV/0!</v>
      </c>
      <c r="X18" s="67">
        <f t="shared" si="20"/>
        <v>0</v>
      </c>
      <c r="Y18" s="56" t="e">
        <f t="shared" si="9"/>
        <v>#DIV/0!</v>
      </c>
      <c r="Z18" s="384">
        <f t="shared" si="21"/>
        <v>0</v>
      </c>
      <c r="AA18" s="69" t="e">
        <f t="shared" si="10"/>
        <v>#DIV/0!</v>
      </c>
      <c r="AB18" s="70">
        <f t="shared" si="11"/>
        <v>0</v>
      </c>
      <c r="AC18" s="67">
        <f t="shared" si="11"/>
        <v>0</v>
      </c>
      <c r="AD18" s="67">
        <f t="shared" si="22"/>
        <v>0</v>
      </c>
      <c r="AE18" s="71">
        <f t="shared" si="33"/>
        <v>0</v>
      </c>
      <c r="AF18" s="67" t="e">
        <f t="shared" si="23"/>
        <v>#DIV/0!</v>
      </c>
      <c r="AG18" s="376"/>
      <c r="AH18" s="377"/>
      <c r="AI18" s="54"/>
      <c r="AJ18" s="55" t="e">
        <f t="shared" si="13"/>
        <v>#DIV/0!</v>
      </c>
      <c r="AK18" s="54"/>
      <c r="AL18" s="56" t="e">
        <f t="shared" si="14"/>
        <v>#DIV/0!</v>
      </c>
      <c r="AM18" s="385">
        <f t="shared" si="24"/>
        <v>0</v>
      </c>
      <c r="AN18" s="75" t="str">
        <f t="shared" si="15"/>
        <v/>
      </c>
      <c r="AO18" s="324"/>
      <c r="AP18" s="325"/>
      <c r="AQ18" s="324"/>
      <c r="AR18" s="325"/>
      <c r="AS18" s="97">
        <f t="shared" si="25"/>
        <v>0</v>
      </c>
      <c r="AT18" s="67">
        <f t="shared" si="26"/>
        <v>0</v>
      </c>
      <c r="AU18" s="67">
        <f t="shared" si="16"/>
        <v>0</v>
      </c>
      <c r="AV18" s="76">
        <f t="shared" si="27"/>
        <v>0</v>
      </c>
      <c r="AW18" s="67">
        <f t="shared" si="34"/>
        <v>0</v>
      </c>
      <c r="AX18" s="92"/>
      <c r="AY18" s="92"/>
      <c r="AZ18" s="92"/>
      <c r="BA18" s="93"/>
      <c r="BB18" s="93"/>
      <c r="BC18" s="93"/>
      <c r="BD18" s="93"/>
      <c r="BE18" s="386"/>
      <c r="BF18" s="92">
        <f>SUM(AY18:BC18)</f>
        <v>0</v>
      </c>
      <c r="BG18" s="79">
        <f t="shared" si="29"/>
        <v>0</v>
      </c>
      <c r="BH18" s="50">
        <v>14</v>
      </c>
      <c r="BI18" s="50"/>
      <c r="BJ18" s="50"/>
      <c r="BK18" s="79">
        <f t="shared" si="30"/>
        <v>0</v>
      </c>
      <c r="BM18" s="80">
        <f t="shared" si="31"/>
        <v>0</v>
      </c>
      <c r="BN18" s="349">
        <f t="shared" si="35"/>
        <v>0</v>
      </c>
    </row>
    <row r="19" spans="1:66" ht="13.5" customHeight="1">
      <c r="A19" s="50"/>
      <c r="B19" s="95">
        <f t="shared" si="17"/>
        <v>46068</v>
      </c>
      <c r="C19" s="82"/>
      <c r="D19" s="371"/>
      <c r="E19" s="53"/>
      <c r="F19" s="67"/>
      <c r="G19" s="55" t="e">
        <f t="shared" si="0"/>
        <v>#DIV/0!</v>
      </c>
      <c r="H19" s="67"/>
      <c r="I19" s="56" t="e">
        <f t="shared" si="1"/>
        <v>#DIV/0!</v>
      </c>
      <c r="J19" s="57">
        <f t="shared" si="2"/>
        <v>0</v>
      </c>
      <c r="K19" s="58" t="str">
        <f t="shared" si="3"/>
        <v/>
      </c>
      <c r="L19" s="83"/>
      <c r="M19" s="380"/>
      <c r="N19" s="381"/>
      <c r="O19" s="86" t="e">
        <f t="shared" si="4"/>
        <v>#DIV/0!</v>
      </c>
      <c r="P19" s="381"/>
      <c r="Q19" s="87" t="e">
        <f t="shared" si="5"/>
        <v>#DIV/0!</v>
      </c>
      <c r="R19" s="382">
        <f t="shared" si="32"/>
        <v>0</v>
      </c>
      <c r="S19" s="89" t="str">
        <f t="shared" si="7"/>
        <v/>
      </c>
      <c r="T19" s="383"/>
      <c r="U19" s="66">
        <f t="shared" si="18"/>
        <v>0</v>
      </c>
      <c r="V19" s="67">
        <f t="shared" si="19"/>
        <v>0</v>
      </c>
      <c r="W19" s="55" t="e">
        <f t="shared" si="8"/>
        <v>#DIV/0!</v>
      </c>
      <c r="X19" s="67">
        <f t="shared" si="20"/>
        <v>0</v>
      </c>
      <c r="Y19" s="98" t="e">
        <f t="shared" si="9"/>
        <v>#DIV/0!</v>
      </c>
      <c r="Z19" s="384">
        <f t="shared" si="21"/>
        <v>0</v>
      </c>
      <c r="AA19" s="69" t="e">
        <f t="shared" si="10"/>
        <v>#DIV/0!</v>
      </c>
      <c r="AB19" s="70">
        <f t="shared" si="11"/>
        <v>0</v>
      </c>
      <c r="AC19" s="67">
        <f t="shared" si="11"/>
        <v>0</v>
      </c>
      <c r="AD19" s="67">
        <f t="shared" si="22"/>
        <v>0</v>
      </c>
      <c r="AE19" s="71">
        <f t="shared" si="33"/>
        <v>0</v>
      </c>
      <c r="AF19" s="67" t="e">
        <f t="shared" si="23"/>
        <v>#DIV/0!</v>
      </c>
      <c r="AG19" s="376"/>
      <c r="AH19" s="377"/>
      <c r="AI19" s="54"/>
      <c r="AJ19" s="55" t="e">
        <f t="shared" si="13"/>
        <v>#DIV/0!</v>
      </c>
      <c r="AK19" s="54"/>
      <c r="AL19" s="56" t="e">
        <f t="shared" si="14"/>
        <v>#DIV/0!</v>
      </c>
      <c r="AM19" s="385">
        <f t="shared" si="24"/>
        <v>0</v>
      </c>
      <c r="AN19" s="75" t="str">
        <f t="shared" si="15"/>
        <v/>
      </c>
      <c r="AO19" s="324"/>
      <c r="AP19" s="325"/>
      <c r="AQ19" s="324"/>
      <c r="AR19" s="325"/>
      <c r="AS19" s="97">
        <f t="shared" si="25"/>
        <v>0</v>
      </c>
      <c r="AT19" s="67">
        <f t="shared" si="26"/>
        <v>0</v>
      </c>
      <c r="AU19" s="67">
        <f t="shared" si="16"/>
        <v>0</v>
      </c>
      <c r="AV19" s="76">
        <f t="shared" si="27"/>
        <v>0</v>
      </c>
      <c r="AW19" s="67">
        <f t="shared" si="34"/>
        <v>0</v>
      </c>
      <c r="AX19" s="92"/>
      <c r="AY19" s="92"/>
      <c r="AZ19" s="92"/>
      <c r="BA19" s="93"/>
      <c r="BB19" s="93"/>
      <c r="BC19" s="93"/>
      <c r="BD19" s="93"/>
      <c r="BE19" s="386"/>
      <c r="BF19" s="92">
        <f t="shared" si="28"/>
        <v>0</v>
      </c>
      <c r="BG19" s="79">
        <f t="shared" si="29"/>
        <v>0</v>
      </c>
      <c r="BH19" s="50">
        <v>15</v>
      </c>
      <c r="BI19" s="50"/>
      <c r="BJ19" s="50"/>
      <c r="BK19" s="79">
        <f t="shared" si="30"/>
        <v>0</v>
      </c>
      <c r="BM19" s="80">
        <f t="shared" si="31"/>
        <v>0</v>
      </c>
      <c r="BN19" s="349">
        <f t="shared" si="35"/>
        <v>0</v>
      </c>
    </row>
    <row r="20" spans="1:66" ht="13.5" customHeight="1">
      <c r="A20" s="50"/>
      <c r="B20" s="320">
        <f t="shared" si="17"/>
        <v>46069</v>
      </c>
      <c r="C20" s="82"/>
      <c r="D20" s="371"/>
      <c r="E20" s="53"/>
      <c r="F20" s="67"/>
      <c r="G20" s="55" t="e">
        <f t="shared" si="0"/>
        <v>#DIV/0!</v>
      </c>
      <c r="H20" s="67"/>
      <c r="I20" s="55" t="e">
        <f t="shared" si="1"/>
        <v>#DIV/0!</v>
      </c>
      <c r="J20" s="57">
        <f t="shared" si="2"/>
        <v>0</v>
      </c>
      <c r="K20" s="58" t="str">
        <f t="shared" si="3"/>
        <v/>
      </c>
      <c r="L20" s="83"/>
      <c r="M20" s="380"/>
      <c r="N20" s="381"/>
      <c r="O20" s="86" t="e">
        <f t="shared" si="4"/>
        <v>#DIV/0!</v>
      </c>
      <c r="P20" s="381"/>
      <c r="Q20" s="87" t="e">
        <f t="shared" si="5"/>
        <v>#DIV/0!</v>
      </c>
      <c r="R20" s="382">
        <f t="shared" si="32"/>
        <v>0</v>
      </c>
      <c r="S20" s="89" t="str">
        <f t="shared" si="7"/>
        <v/>
      </c>
      <c r="T20" s="383"/>
      <c r="U20" s="66">
        <f t="shared" si="18"/>
        <v>0</v>
      </c>
      <c r="V20" s="67">
        <f t="shared" si="19"/>
        <v>0</v>
      </c>
      <c r="W20" s="55" t="e">
        <f t="shared" si="8"/>
        <v>#DIV/0!</v>
      </c>
      <c r="X20" s="67">
        <f t="shared" si="20"/>
        <v>0</v>
      </c>
      <c r="Y20" s="98" t="e">
        <f t="shared" si="9"/>
        <v>#DIV/0!</v>
      </c>
      <c r="Z20" s="384">
        <f t="shared" si="21"/>
        <v>0</v>
      </c>
      <c r="AA20" s="69" t="e">
        <f t="shared" si="10"/>
        <v>#DIV/0!</v>
      </c>
      <c r="AB20" s="70">
        <f t="shared" si="11"/>
        <v>0</v>
      </c>
      <c r="AC20" s="67">
        <f t="shared" si="11"/>
        <v>0</v>
      </c>
      <c r="AD20" s="67">
        <f t="shared" si="22"/>
        <v>0</v>
      </c>
      <c r="AE20" s="71">
        <f t="shared" si="33"/>
        <v>0</v>
      </c>
      <c r="AF20" s="67" t="e">
        <f t="shared" si="23"/>
        <v>#DIV/0!</v>
      </c>
      <c r="AG20" s="376"/>
      <c r="AH20" s="377"/>
      <c r="AI20" s="54"/>
      <c r="AJ20" s="55" t="e">
        <f t="shared" si="13"/>
        <v>#DIV/0!</v>
      </c>
      <c r="AK20" s="54"/>
      <c r="AL20" s="56" t="e">
        <f t="shared" si="14"/>
        <v>#DIV/0!</v>
      </c>
      <c r="AM20" s="385">
        <f t="shared" si="24"/>
        <v>0</v>
      </c>
      <c r="AN20" s="75" t="str">
        <f t="shared" si="15"/>
        <v/>
      </c>
      <c r="AO20" s="324"/>
      <c r="AP20" s="325"/>
      <c r="AQ20" s="324"/>
      <c r="AR20" s="325"/>
      <c r="AS20" s="97">
        <f t="shared" si="25"/>
        <v>0</v>
      </c>
      <c r="AT20" s="92">
        <f t="shared" si="26"/>
        <v>0</v>
      </c>
      <c r="AU20" s="92">
        <f t="shared" si="16"/>
        <v>0</v>
      </c>
      <c r="AV20" s="76">
        <f t="shared" si="27"/>
        <v>0</v>
      </c>
      <c r="AW20" s="67">
        <f t="shared" si="34"/>
        <v>0</v>
      </c>
      <c r="AX20" s="92"/>
      <c r="AY20" s="92"/>
      <c r="AZ20" s="92"/>
      <c r="BA20" s="93"/>
      <c r="BB20" s="93"/>
      <c r="BC20" s="93"/>
      <c r="BD20" s="93"/>
      <c r="BE20" s="386"/>
      <c r="BF20" s="92">
        <f t="shared" si="28"/>
        <v>0</v>
      </c>
      <c r="BG20" s="79">
        <f t="shared" si="29"/>
        <v>0</v>
      </c>
      <c r="BH20" s="50">
        <v>16</v>
      </c>
      <c r="BI20" s="50"/>
      <c r="BJ20" s="50"/>
      <c r="BK20" s="79">
        <f t="shared" si="30"/>
        <v>0</v>
      </c>
      <c r="BM20" s="80">
        <f t="shared" si="31"/>
        <v>0</v>
      </c>
      <c r="BN20" s="349">
        <f t="shared" si="35"/>
        <v>0</v>
      </c>
    </row>
    <row r="21" spans="1:66" ht="15.75" customHeight="1">
      <c r="A21" s="50"/>
      <c r="B21" s="320">
        <f t="shared" si="17"/>
        <v>46070</v>
      </c>
      <c r="C21" s="82"/>
      <c r="D21" s="371"/>
      <c r="E21" s="53"/>
      <c r="F21" s="67"/>
      <c r="G21" s="55" t="e">
        <f t="shared" si="0"/>
        <v>#DIV/0!</v>
      </c>
      <c r="H21" s="67"/>
      <c r="I21" s="55" t="e">
        <f t="shared" si="1"/>
        <v>#DIV/0!</v>
      </c>
      <c r="J21" s="57">
        <f t="shared" si="2"/>
        <v>0</v>
      </c>
      <c r="K21" s="58" t="str">
        <f t="shared" si="3"/>
        <v/>
      </c>
      <c r="L21" s="83"/>
      <c r="M21" s="380"/>
      <c r="N21" s="381"/>
      <c r="O21" s="86" t="e">
        <f t="shared" si="4"/>
        <v>#DIV/0!</v>
      </c>
      <c r="P21" s="381"/>
      <c r="Q21" s="87" t="e">
        <f t="shared" si="5"/>
        <v>#DIV/0!</v>
      </c>
      <c r="R21" s="382">
        <f t="shared" si="32"/>
        <v>0</v>
      </c>
      <c r="S21" s="89" t="str">
        <f t="shared" si="7"/>
        <v/>
      </c>
      <c r="T21" s="383"/>
      <c r="U21" s="66">
        <f t="shared" si="18"/>
        <v>0</v>
      </c>
      <c r="V21" s="67">
        <f t="shared" si="19"/>
        <v>0</v>
      </c>
      <c r="W21" s="55" t="e">
        <f t="shared" si="8"/>
        <v>#DIV/0!</v>
      </c>
      <c r="X21" s="67">
        <f t="shared" si="20"/>
        <v>0</v>
      </c>
      <c r="Y21" s="98" t="e">
        <f t="shared" si="9"/>
        <v>#DIV/0!</v>
      </c>
      <c r="Z21" s="384">
        <f>V21+X21</f>
        <v>0</v>
      </c>
      <c r="AA21" s="69" t="e">
        <f t="shared" si="10"/>
        <v>#DIV/0!</v>
      </c>
      <c r="AB21" s="70">
        <f t="shared" ref="AB21:AC36" si="36">E21+U21+M21</f>
        <v>0</v>
      </c>
      <c r="AC21" s="67">
        <f t="shared" si="36"/>
        <v>0</v>
      </c>
      <c r="AD21" s="67">
        <f t="shared" si="22"/>
        <v>0</v>
      </c>
      <c r="AE21" s="71">
        <f t="shared" si="33"/>
        <v>0</v>
      </c>
      <c r="AF21" s="67" t="e">
        <f t="shared" si="23"/>
        <v>#DIV/0!</v>
      </c>
      <c r="AG21" s="376"/>
      <c r="AH21" s="377"/>
      <c r="AI21" s="54"/>
      <c r="AJ21" s="55" t="e">
        <f t="shared" si="13"/>
        <v>#DIV/0!</v>
      </c>
      <c r="AK21" s="54"/>
      <c r="AL21" s="56" t="e">
        <f t="shared" si="14"/>
        <v>#DIV/0!</v>
      </c>
      <c r="AM21" s="385">
        <f t="shared" si="24"/>
        <v>0</v>
      </c>
      <c r="AN21" s="75" t="str">
        <f t="shared" si="15"/>
        <v/>
      </c>
      <c r="AO21" s="324"/>
      <c r="AP21" s="325"/>
      <c r="AQ21" s="324"/>
      <c r="AR21" s="325"/>
      <c r="AS21" s="97">
        <f t="shared" si="25"/>
        <v>0</v>
      </c>
      <c r="AT21" s="92">
        <f t="shared" si="26"/>
        <v>0</v>
      </c>
      <c r="AU21" s="92">
        <f t="shared" si="16"/>
        <v>0</v>
      </c>
      <c r="AV21" s="76">
        <f t="shared" si="27"/>
        <v>0</v>
      </c>
      <c r="AW21" s="67">
        <f>BA21+BB21+BC21</f>
        <v>0</v>
      </c>
      <c r="AX21" s="92"/>
      <c r="AY21" s="92"/>
      <c r="AZ21" s="92"/>
      <c r="BA21" s="93"/>
      <c r="BB21" s="93"/>
      <c r="BC21" s="93"/>
      <c r="BD21" s="93"/>
      <c r="BE21" s="386"/>
      <c r="BF21" s="92">
        <f t="shared" si="28"/>
        <v>0</v>
      </c>
      <c r="BG21" s="79">
        <f t="shared" si="29"/>
        <v>0</v>
      </c>
      <c r="BH21" s="50">
        <v>17</v>
      </c>
      <c r="BI21" s="50"/>
      <c r="BJ21" s="50"/>
      <c r="BK21" s="79">
        <f t="shared" si="30"/>
        <v>0</v>
      </c>
      <c r="BM21" s="80">
        <f t="shared" si="31"/>
        <v>0</v>
      </c>
      <c r="BN21" s="349">
        <f t="shared" si="35"/>
        <v>0</v>
      </c>
    </row>
    <row r="22" spans="1:66" ht="15.75" customHeight="1">
      <c r="A22" s="50"/>
      <c r="B22" s="320">
        <f t="shared" si="17"/>
        <v>46071</v>
      </c>
      <c r="C22" s="82"/>
      <c r="D22" s="371"/>
      <c r="E22" s="53"/>
      <c r="F22" s="67"/>
      <c r="G22" s="55" t="e">
        <f t="shared" si="0"/>
        <v>#DIV/0!</v>
      </c>
      <c r="H22" s="67"/>
      <c r="I22" s="55" t="e">
        <f t="shared" si="1"/>
        <v>#DIV/0!</v>
      </c>
      <c r="J22" s="57">
        <f t="shared" si="2"/>
        <v>0</v>
      </c>
      <c r="K22" s="58" t="str">
        <f t="shared" si="3"/>
        <v/>
      </c>
      <c r="L22" s="83"/>
      <c r="M22" s="380"/>
      <c r="N22" s="381"/>
      <c r="O22" s="86" t="e">
        <f t="shared" si="4"/>
        <v>#DIV/0!</v>
      </c>
      <c r="P22" s="381"/>
      <c r="Q22" s="87" t="e">
        <f t="shared" si="5"/>
        <v>#DIV/0!</v>
      </c>
      <c r="R22" s="382">
        <f t="shared" si="32"/>
        <v>0</v>
      </c>
      <c r="S22" s="89" t="str">
        <f t="shared" si="7"/>
        <v/>
      </c>
      <c r="T22" s="383"/>
      <c r="U22" s="66">
        <f t="shared" si="18"/>
        <v>0</v>
      </c>
      <c r="V22" s="67">
        <f t="shared" si="19"/>
        <v>0</v>
      </c>
      <c r="W22" s="55" t="e">
        <f t="shared" si="8"/>
        <v>#DIV/0!</v>
      </c>
      <c r="X22" s="67">
        <f t="shared" si="20"/>
        <v>0</v>
      </c>
      <c r="Y22" s="98" t="e">
        <f t="shared" si="9"/>
        <v>#DIV/0!</v>
      </c>
      <c r="Z22" s="384">
        <f t="shared" si="21"/>
        <v>0</v>
      </c>
      <c r="AA22" s="69" t="e">
        <f t="shared" si="10"/>
        <v>#DIV/0!</v>
      </c>
      <c r="AB22" s="70">
        <f t="shared" si="36"/>
        <v>0</v>
      </c>
      <c r="AC22" s="67">
        <f t="shared" si="36"/>
        <v>0</v>
      </c>
      <c r="AD22" s="67">
        <f t="shared" si="22"/>
        <v>0</v>
      </c>
      <c r="AE22" s="71">
        <f t="shared" si="33"/>
        <v>0</v>
      </c>
      <c r="AF22" s="67" t="e">
        <f t="shared" si="23"/>
        <v>#DIV/0!</v>
      </c>
      <c r="AG22" s="376"/>
      <c r="AH22" s="377"/>
      <c r="AI22" s="54"/>
      <c r="AJ22" s="55" t="e">
        <f t="shared" si="13"/>
        <v>#DIV/0!</v>
      </c>
      <c r="AK22" s="54"/>
      <c r="AL22" s="56" t="e">
        <f t="shared" si="14"/>
        <v>#DIV/0!</v>
      </c>
      <c r="AM22" s="385">
        <f t="shared" si="24"/>
        <v>0</v>
      </c>
      <c r="AN22" s="75" t="str">
        <f t="shared" si="15"/>
        <v/>
      </c>
      <c r="AO22" s="324"/>
      <c r="AP22" s="325"/>
      <c r="AQ22" s="324"/>
      <c r="AR22" s="325"/>
      <c r="AS22" s="97">
        <f t="shared" si="25"/>
        <v>0</v>
      </c>
      <c r="AT22" s="92">
        <f t="shared" si="26"/>
        <v>0</v>
      </c>
      <c r="AU22" s="92">
        <f t="shared" si="16"/>
        <v>0</v>
      </c>
      <c r="AV22" s="76">
        <f t="shared" si="27"/>
        <v>0</v>
      </c>
      <c r="AW22" s="67">
        <f t="shared" si="34"/>
        <v>0</v>
      </c>
      <c r="AX22" s="92"/>
      <c r="AY22" s="92"/>
      <c r="AZ22" s="92"/>
      <c r="BA22" s="93"/>
      <c r="BB22" s="93"/>
      <c r="BC22" s="93"/>
      <c r="BD22" s="93"/>
      <c r="BE22" s="386"/>
      <c r="BF22" s="92">
        <f t="shared" si="28"/>
        <v>0</v>
      </c>
      <c r="BG22" s="79">
        <f t="shared" si="29"/>
        <v>0</v>
      </c>
      <c r="BH22" s="50">
        <v>18</v>
      </c>
      <c r="BI22" s="50"/>
      <c r="BJ22" s="50"/>
      <c r="BK22" s="79">
        <f t="shared" si="30"/>
        <v>0</v>
      </c>
      <c r="BM22" s="80">
        <f t="shared" si="31"/>
        <v>0</v>
      </c>
      <c r="BN22" s="349">
        <f t="shared" si="35"/>
        <v>0</v>
      </c>
    </row>
    <row r="23" spans="1:66" ht="15.75" customHeight="1">
      <c r="A23" s="50"/>
      <c r="B23" s="320">
        <f t="shared" si="17"/>
        <v>46072</v>
      </c>
      <c r="C23" s="82"/>
      <c r="D23" s="371"/>
      <c r="E23" s="53"/>
      <c r="F23" s="67"/>
      <c r="G23" s="55" t="e">
        <f t="shared" si="0"/>
        <v>#DIV/0!</v>
      </c>
      <c r="H23" s="67"/>
      <c r="I23" s="55" t="e">
        <f t="shared" si="1"/>
        <v>#DIV/0!</v>
      </c>
      <c r="J23" s="57">
        <f t="shared" si="2"/>
        <v>0</v>
      </c>
      <c r="K23" s="58" t="str">
        <f t="shared" si="3"/>
        <v/>
      </c>
      <c r="L23" s="83"/>
      <c r="M23" s="380"/>
      <c r="N23" s="381"/>
      <c r="O23" s="86" t="e">
        <f t="shared" si="4"/>
        <v>#DIV/0!</v>
      </c>
      <c r="P23" s="381"/>
      <c r="Q23" s="87" t="e">
        <f t="shared" si="5"/>
        <v>#DIV/0!</v>
      </c>
      <c r="R23" s="382">
        <f t="shared" si="32"/>
        <v>0</v>
      </c>
      <c r="S23" s="89" t="str">
        <f t="shared" si="7"/>
        <v/>
      </c>
      <c r="T23" s="383"/>
      <c r="U23" s="66">
        <f t="shared" si="18"/>
        <v>0</v>
      </c>
      <c r="V23" s="67">
        <f t="shared" si="19"/>
        <v>0</v>
      </c>
      <c r="W23" s="55" t="e">
        <f t="shared" si="8"/>
        <v>#DIV/0!</v>
      </c>
      <c r="X23" s="67">
        <f t="shared" si="20"/>
        <v>0</v>
      </c>
      <c r="Y23" s="98" t="e">
        <f t="shared" si="9"/>
        <v>#DIV/0!</v>
      </c>
      <c r="Z23" s="384">
        <f t="shared" si="21"/>
        <v>0</v>
      </c>
      <c r="AA23" s="69" t="e">
        <f t="shared" si="10"/>
        <v>#DIV/0!</v>
      </c>
      <c r="AB23" s="70">
        <f t="shared" si="36"/>
        <v>0</v>
      </c>
      <c r="AC23" s="67">
        <f t="shared" si="36"/>
        <v>0</v>
      </c>
      <c r="AD23" s="67">
        <f t="shared" si="22"/>
        <v>0</v>
      </c>
      <c r="AE23" s="71">
        <f t="shared" si="33"/>
        <v>0</v>
      </c>
      <c r="AF23" s="67" t="e">
        <f t="shared" si="23"/>
        <v>#DIV/0!</v>
      </c>
      <c r="AG23" s="376"/>
      <c r="AH23" s="377"/>
      <c r="AI23" s="54"/>
      <c r="AJ23" s="55" t="e">
        <f t="shared" si="13"/>
        <v>#DIV/0!</v>
      </c>
      <c r="AK23" s="54"/>
      <c r="AL23" s="56" t="e">
        <f t="shared" si="14"/>
        <v>#DIV/0!</v>
      </c>
      <c r="AM23" s="385">
        <f t="shared" si="24"/>
        <v>0</v>
      </c>
      <c r="AN23" s="75" t="str">
        <f t="shared" si="15"/>
        <v/>
      </c>
      <c r="AO23" s="324"/>
      <c r="AP23" s="325"/>
      <c r="AQ23" s="324"/>
      <c r="AR23" s="325"/>
      <c r="AS23" s="97">
        <f t="shared" si="25"/>
        <v>0</v>
      </c>
      <c r="AT23" s="92">
        <f t="shared" si="26"/>
        <v>0</v>
      </c>
      <c r="AU23" s="92">
        <f t="shared" si="16"/>
        <v>0</v>
      </c>
      <c r="AV23" s="76">
        <f t="shared" si="27"/>
        <v>0</v>
      </c>
      <c r="AW23" s="67">
        <f t="shared" si="34"/>
        <v>0</v>
      </c>
      <c r="AX23" s="92"/>
      <c r="AY23" s="92"/>
      <c r="AZ23" s="92"/>
      <c r="BA23" s="93"/>
      <c r="BB23" s="93"/>
      <c r="BC23" s="93"/>
      <c r="BD23" s="93"/>
      <c r="BE23" s="386"/>
      <c r="BF23" s="92">
        <f t="shared" si="28"/>
        <v>0</v>
      </c>
      <c r="BG23" s="79">
        <f t="shared" si="29"/>
        <v>0</v>
      </c>
      <c r="BH23" s="50">
        <v>19</v>
      </c>
      <c r="BI23" s="50"/>
      <c r="BJ23" s="50"/>
      <c r="BK23" s="79">
        <f t="shared" si="30"/>
        <v>0</v>
      </c>
      <c r="BM23" s="80">
        <f t="shared" si="31"/>
        <v>0</v>
      </c>
      <c r="BN23" s="349">
        <f t="shared" si="35"/>
        <v>0</v>
      </c>
    </row>
    <row r="24" spans="1:66" ht="15.75" customHeight="1">
      <c r="A24" s="50"/>
      <c r="B24" s="320">
        <f t="shared" si="17"/>
        <v>46073</v>
      </c>
      <c r="C24" s="82"/>
      <c r="D24" s="371"/>
      <c r="E24" s="53"/>
      <c r="F24" s="67"/>
      <c r="G24" s="55" t="e">
        <f t="shared" si="0"/>
        <v>#DIV/0!</v>
      </c>
      <c r="H24" s="67"/>
      <c r="I24" s="55" t="e">
        <f t="shared" si="1"/>
        <v>#DIV/0!</v>
      </c>
      <c r="J24" s="57">
        <f t="shared" si="2"/>
        <v>0</v>
      </c>
      <c r="K24" s="58" t="str">
        <f t="shared" si="3"/>
        <v/>
      </c>
      <c r="L24" s="83"/>
      <c r="M24" s="380"/>
      <c r="N24" s="381"/>
      <c r="O24" s="86" t="e">
        <f t="shared" si="4"/>
        <v>#DIV/0!</v>
      </c>
      <c r="P24" s="381"/>
      <c r="Q24" s="87" t="e">
        <f t="shared" si="5"/>
        <v>#DIV/0!</v>
      </c>
      <c r="R24" s="382">
        <f t="shared" si="32"/>
        <v>0</v>
      </c>
      <c r="S24" s="89" t="str">
        <f t="shared" si="7"/>
        <v/>
      </c>
      <c r="T24" s="383"/>
      <c r="U24" s="66">
        <f t="shared" si="18"/>
        <v>0</v>
      </c>
      <c r="V24" s="67">
        <f t="shared" si="19"/>
        <v>0</v>
      </c>
      <c r="W24" s="55" t="e">
        <f t="shared" si="8"/>
        <v>#DIV/0!</v>
      </c>
      <c r="X24" s="67">
        <f t="shared" si="20"/>
        <v>0</v>
      </c>
      <c r="Y24" s="98" t="e">
        <f t="shared" si="9"/>
        <v>#DIV/0!</v>
      </c>
      <c r="Z24" s="384">
        <f t="shared" si="21"/>
        <v>0</v>
      </c>
      <c r="AA24" s="69" t="e">
        <f t="shared" si="10"/>
        <v>#DIV/0!</v>
      </c>
      <c r="AB24" s="70">
        <f t="shared" si="36"/>
        <v>0</v>
      </c>
      <c r="AC24" s="67">
        <f t="shared" si="36"/>
        <v>0</v>
      </c>
      <c r="AD24" s="67">
        <f t="shared" si="22"/>
        <v>0</v>
      </c>
      <c r="AE24" s="71">
        <f t="shared" si="33"/>
        <v>0</v>
      </c>
      <c r="AF24" s="67" t="e">
        <f t="shared" si="23"/>
        <v>#DIV/0!</v>
      </c>
      <c r="AG24" s="376"/>
      <c r="AH24" s="377"/>
      <c r="AI24" s="54"/>
      <c r="AJ24" s="55" t="e">
        <f t="shared" si="13"/>
        <v>#DIV/0!</v>
      </c>
      <c r="AK24" s="54"/>
      <c r="AL24" s="56" t="e">
        <f t="shared" si="14"/>
        <v>#DIV/0!</v>
      </c>
      <c r="AM24" s="385">
        <f t="shared" si="24"/>
        <v>0</v>
      </c>
      <c r="AN24" s="75" t="str">
        <f t="shared" si="15"/>
        <v/>
      </c>
      <c r="AO24" s="324"/>
      <c r="AP24" s="325"/>
      <c r="AQ24" s="324"/>
      <c r="AR24" s="325"/>
      <c r="AS24" s="97">
        <f t="shared" si="25"/>
        <v>0</v>
      </c>
      <c r="AT24" s="92">
        <f t="shared" si="26"/>
        <v>0</v>
      </c>
      <c r="AU24" s="92">
        <f t="shared" si="16"/>
        <v>0</v>
      </c>
      <c r="AV24" s="76">
        <f t="shared" si="27"/>
        <v>0</v>
      </c>
      <c r="AW24" s="67">
        <f t="shared" si="34"/>
        <v>0</v>
      </c>
      <c r="AX24" s="92"/>
      <c r="AY24" s="92"/>
      <c r="AZ24" s="92"/>
      <c r="BA24" s="93"/>
      <c r="BB24" s="93"/>
      <c r="BC24" s="93"/>
      <c r="BD24" s="93"/>
      <c r="BE24" s="386"/>
      <c r="BF24" s="92">
        <f t="shared" si="28"/>
        <v>0</v>
      </c>
      <c r="BG24" s="79">
        <f t="shared" si="29"/>
        <v>0</v>
      </c>
      <c r="BH24" s="50">
        <v>20</v>
      </c>
      <c r="BI24" s="50"/>
      <c r="BJ24" s="50"/>
      <c r="BK24" s="79">
        <f t="shared" si="30"/>
        <v>0</v>
      </c>
      <c r="BM24" s="80">
        <f t="shared" si="31"/>
        <v>0</v>
      </c>
      <c r="BN24" s="349">
        <f t="shared" si="35"/>
        <v>0</v>
      </c>
    </row>
    <row r="25" spans="1:66" ht="15.75" customHeight="1">
      <c r="A25" s="50"/>
      <c r="B25" s="323">
        <f t="shared" si="17"/>
        <v>46074</v>
      </c>
      <c r="C25" s="82"/>
      <c r="D25" s="371"/>
      <c r="E25" s="53"/>
      <c r="F25" s="67"/>
      <c r="G25" s="55" t="e">
        <f t="shared" si="0"/>
        <v>#DIV/0!</v>
      </c>
      <c r="H25" s="67"/>
      <c r="I25" s="55" t="e">
        <f t="shared" si="1"/>
        <v>#DIV/0!</v>
      </c>
      <c r="J25" s="57">
        <f t="shared" si="2"/>
        <v>0</v>
      </c>
      <c r="K25" s="58" t="str">
        <f t="shared" si="3"/>
        <v/>
      </c>
      <c r="L25" s="83"/>
      <c r="M25" s="380"/>
      <c r="N25" s="381"/>
      <c r="O25" s="86" t="e">
        <f t="shared" si="4"/>
        <v>#DIV/0!</v>
      </c>
      <c r="P25" s="381"/>
      <c r="Q25" s="87" t="e">
        <f t="shared" si="5"/>
        <v>#DIV/0!</v>
      </c>
      <c r="R25" s="382">
        <f t="shared" si="32"/>
        <v>0</v>
      </c>
      <c r="S25" s="89" t="str">
        <f t="shared" si="7"/>
        <v/>
      </c>
      <c r="T25" s="383"/>
      <c r="U25" s="66">
        <f t="shared" si="18"/>
        <v>0</v>
      </c>
      <c r="V25" s="67">
        <f t="shared" si="19"/>
        <v>0</v>
      </c>
      <c r="W25" s="55" t="e">
        <f t="shared" si="8"/>
        <v>#DIV/0!</v>
      </c>
      <c r="X25" s="67">
        <f t="shared" si="20"/>
        <v>0</v>
      </c>
      <c r="Y25" s="98" t="e">
        <f t="shared" si="9"/>
        <v>#DIV/0!</v>
      </c>
      <c r="Z25" s="384">
        <f t="shared" si="21"/>
        <v>0</v>
      </c>
      <c r="AA25" s="69" t="e">
        <f t="shared" si="10"/>
        <v>#DIV/0!</v>
      </c>
      <c r="AB25" s="70">
        <f t="shared" si="36"/>
        <v>0</v>
      </c>
      <c r="AC25" s="67">
        <f t="shared" si="36"/>
        <v>0</v>
      </c>
      <c r="AD25" s="67">
        <f t="shared" si="22"/>
        <v>0</v>
      </c>
      <c r="AE25" s="71">
        <f t="shared" si="33"/>
        <v>0</v>
      </c>
      <c r="AF25" s="67" t="e">
        <f t="shared" si="23"/>
        <v>#DIV/0!</v>
      </c>
      <c r="AG25" s="376"/>
      <c r="AH25" s="377"/>
      <c r="AI25" s="54"/>
      <c r="AJ25" s="55" t="e">
        <f t="shared" si="13"/>
        <v>#DIV/0!</v>
      </c>
      <c r="AK25" s="54"/>
      <c r="AL25" s="56" t="e">
        <f t="shared" si="14"/>
        <v>#DIV/0!</v>
      </c>
      <c r="AM25" s="385">
        <f t="shared" si="24"/>
        <v>0</v>
      </c>
      <c r="AN25" s="75" t="str">
        <f t="shared" si="15"/>
        <v/>
      </c>
      <c r="AO25" s="324"/>
      <c r="AP25" s="325"/>
      <c r="AQ25" s="324"/>
      <c r="AR25" s="325"/>
      <c r="AS25" s="97">
        <f t="shared" si="25"/>
        <v>0</v>
      </c>
      <c r="AT25" s="92">
        <f t="shared" si="26"/>
        <v>0</v>
      </c>
      <c r="AU25" s="92">
        <f t="shared" si="16"/>
        <v>0</v>
      </c>
      <c r="AV25" s="76">
        <f t="shared" si="27"/>
        <v>0</v>
      </c>
      <c r="AW25" s="67">
        <f t="shared" si="34"/>
        <v>0</v>
      </c>
      <c r="AX25" s="92"/>
      <c r="AY25" s="92"/>
      <c r="AZ25" s="92"/>
      <c r="BA25" s="93"/>
      <c r="BB25" s="93"/>
      <c r="BC25" s="93"/>
      <c r="BD25" s="93"/>
      <c r="BE25" s="386"/>
      <c r="BF25" s="92">
        <f>SUM(AY25:BC25)</f>
        <v>0</v>
      </c>
      <c r="BG25" s="79">
        <f t="shared" si="29"/>
        <v>0</v>
      </c>
      <c r="BH25" s="50">
        <v>21</v>
      </c>
      <c r="BI25" s="50"/>
      <c r="BJ25" s="50"/>
      <c r="BK25" s="79">
        <f t="shared" si="30"/>
        <v>0</v>
      </c>
      <c r="BM25" s="80">
        <f t="shared" si="31"/>
        <v>0</v>
      </c>
      <c r="BN25" s="349">
        <f t="shared" si="35"/>
        <v>0</v>
      </c>
    </row>
    <row r="26" spans="1:66" ht="15.75" customHeight="1">
      <c r="A26" s="50"/>
      <c r="B26" s="95">
        <f t="shared" si="17"/>
        <v>46075</v>
      </c>
      <c r="C26" s="82"/>
      <c r="D26" s="371"/>
      <c r="E26" s="53"/>
      <c r="F26" s="67"/>
      <c r="G26" s="55" t="e">
        <f t="shared" si="0"/>
        <v>#DIV/0!</v>
      </c>
      <c r="H26" s="67"/>
      <c r="I26" s="55" t="e">
        <f t="shared" si="1"/>
        <v>#DIV/0!</v>
      </c>
      <c r="J26" s="57">
        <f t="shared" si="2"/>
        <v>0</v>
      </c>
      <c r="K26" s="58" t="str">
        <f t="shared" si="3"/>
        <v/>
      </c>
      <c r="L26" s="83"/>
      <c r="M26" s="380"/>
      <c r="N26" s="381"/>
      <c r="O26" s="86" t="e">
        <f t="shared" si="4"/>
        <v>#DIV/0!</v>
      </c>
      <c r="P26" s="381"/>
      <c r="Q26" s="87" t="e">
        <f t="shared" si="5"/>
        <v>#DIV/0!</v>
      </c>
      <c r="R26" s="382">
        <f t="shared" si="32"/>
        <v>0</v>
      </c>
      <c r="S26" s="89" t="str">
        <f t="shared" si="7"/>
        <v/>
      </c>
      <c r="T26" s="383"/>
      <c r="U26" s="66">
        <f t="shared" si="18"/>
        <v>0</v>
      </c>
      <c r="V26" s="67">
        <f t="shared" si="19"/>
        <v>0</v>
      </c>
      <c r="W26" s="55" t="e">
        <f t="shared" si="8"/>
        <v>#DIV/0!</v>
      </c>
      <c r="X26" s="67">
        <f t="shared" si="20"/>
        <v>0</v>
      </c>
      <c r="Y26" s="98" t="e">
        <f t="shared" si="9"/>
        <v>#DIV/0!</v>
      </c>
      <c r="Z26" s="384">
        <f t="shared" si="21"/>
        <v>0</v>
      </c>
      <c r="AA26" s="69" t="e">
        <f t="shared" si="10"/>
        <v>#DIV/0!</v>
      </c>
      <c r="AB26" s="70">
        <f t="shared" si="36"/>
        <v>0</v>
      </c>
      <c r="AC26" s="67">
        <f t="shared" si="36"/>
        <v>0</v>
      </c>
      <c r="AD26" s="67">
        <f t="shared" si="22"/>
        <v>0</v>
      </c>
      <c r="AE26" s="71">
        <f t="shared" si="33"/>
        <v>0</v>
      </c>
      <c r="AF26" s="67" t="e">
        <f t="shared" si="23"/>
        <v>#DIV/0!</v>
      </c>
      <c r="AG26" s="376"/>
      <c r="AH26" s="377"/>
      <c r="AI26" s="54"/>
      <c r="AJ26" s="55" t="e">
        <f t="shared" si="13"/>
        <v>#DIV/0!</v>
      </c>
      <c r="AK26" s="54"/>
      <c r="AL26" s="56" t="e">
        <f t="shared" si="14"/>
        <v>#DIV/0!</v>
      </c>
      <c r="AM26" s="385">
        <f t="shared" si="24"/>
        <v>0</v>
      </c>
      <c r="AN26" s="75" t="str">
        <f t="shared" si="15"/>
        <v/>
      </c>
      <c r="AO26" s="324"/>
      <c r="AP26" s="325"/>
      <c r="AQ26" s="324"/>
      <c r="AR26" s="325"/>
      <c r="AS26" s="97">
        <f t="shared" si="25"/>
        <v>0</v>
      </c>
      <c r="AT26" s="92">
        <f t="shared" si="26"/>
        <v>0</v>
      </c>
      <c r="AU26" s="92">
        <f t="shared" si="16"/>
        <v>0</v>
      </c>
      <c r="AV26" s="76">
        <f t="shared" si="27"/>
        <v>0</v>
      </c>
      <c r="AW26" s="67">
        <f t="shared" si="34"/>
        <v>0</v>
      </c>
      <c r="AX26" s="92"/>
      <c r="AY26" s="92"/>
      <c r="AZ26" s="92"/>
      <c r="BA26" s="93"/>
      <c r="BB26" s="93"/>
      <c r="BC26" s="93"/>
      <c r="BD26" s="93"/>
      <c r="BE26" s="386"/>
      <c r="BF26" s="92">
        <f t="shared" si="28"/>
        <v>0</v>
      </c>
      <c r="BG26" s="79">
        <f t="shared" si="29"/>
        <v>0</v>
      </c>
      <c r="BH26" s="50">
        <v>22</v>
      </c>
      <c r="BI26" s="50"/>
      <c r="BJ26" s="50"/>
      <c r="BK26" s="79">
        <f t="shared" si="30"/>
        <v>0</v>
      </c>
      <c r="BM26" s="80">
        <f t="shared" si="31"/>
        <v>0</v>
      </c>
      <c r="BN26" s="349">
        <f t="shared" si="35"/>
        <v>0</v>
      </c>
    </row>
    <row r="27" spans="1:66" ht="15.75" customHeight="1">
      <c r="A27" s="50"/>
      <c r="B27" s="95">
        <f t="shared" si="17"/>
        <v>46076</v>
      </c>
      <c r="C27" s="82"/>
      <c r="D27" s="371"/>
      <c r="E27" s="53"/>
      <c r="F27" s="67"/>
      <c r="G27" s="55" t="e">
        <f t="shared" si="0"/>
        <v>#DIV/0!</v>
      </c>
      <c r="H27" s="67"/>
      <c r="I27" s="55" t="e">
        <f t="shared" si="1"/>
        <v>#DIV/0!</v>
      </c>
      <c r="J27" s="57">
        <f t="shared" si="2"/>
        <v>0</v>
      </c>
      <c r="K27" s="58" t="str">
        <f t="shared" si="3"/>
        <v/>
      </c>
      <c r="L27" s="83"/>
      <c r="M27" s="380"/>
      <c r="N27" s="381"/>
      <c r="O27" s="86" t="e">
        <f t="shared" si="4"/>
        <v>#DIV/0!</v>
      </c>
      <c r="P27" s="381"/>
      <c r="Q27" s="87" t="e">
        <f t="shared" si="5"/>
        <v>#DIV/0!</v>
      </c>
      <c r="R27" s="382">
        <f t="shared" si="32"/>
        <v>0</v>
      </c>
      <c r="S27" s="89" t="str">
        <f t="shared" si="7"/>
        <v/>
      </c>
      <c r="T27" s="383"/>
      <c r="U27" s="66">
        <f t="shared" si="18"/>
        <v>0</v>
      </c>
      <c r="V27" s="67">
        <f t="shared" si="19"/>
        <v>0</v>
      </c>
      <c r="W27" s="55" t="e">
        <f t="shared" si="8"/>
        <v>#DIV/0!</v>
      </c>
      <c r="X27" s="67">
        <f t="shared" si="20"/>
        <v>0</v>
      </c>
      <c r="Y27" s="56" t="e">
        <f t="shared" si="9"/>
        <v>#DIV/0!</v>
      </c>
      <c r="Z27" s="384">
        <f t="shared" si="21"/>
        <v>0</v>
      </c>
      <c r="AA27" s="69" t="e">
        <f t="shared" si="10"/>
        <v>#DIV/0!</v>
      </c>
      <c r="AB27" s="70">
        <f t="shared" si="36"/>
        <v>0</v>
      </c>
      <c r="AC27" s="67">
        <f t="shared" si="36"/>
        <v>0</v>
      </c>
      <c r="AD27" s="67">
        <f t="shared" si="22"/>
        <v>0</v>
      </c>
      <c r="AE27" s="71">
        <f t="shared" si="33"/>
        <v>0</v>
      </c>
      <c r="AF27" s="67" t="e">
        <f t="shared" si="23"/>
        <v>#DIV/0!</v>
      </c>
      <c r="AG27" s="376"/>
      <c r="AH27" s="377"/>
      <c r="AI27" s="54"/>
      <c r="AJ27" s="55" t="e">
        <f t="shared" si="13"/>
        <v>#DIV/0!</v>
      </c>
      <c r="AK27" s="54"/>
      <c r="AL27" s="56" t="e">
        <f t="shared" si="14"/>
        <v>#DIV/0!</v>
      </c>
      <c r="AM27" s="385">
        <f t="shared" si="24"/>
        <v>0</v>
      </c>
      <c r="AN27" s="75" t="str">
        <f t="shared" si="15"/>
        <v/>
      </c>
      <c r="AO27" s="324"/>
      <c r="AP27" s="325"/>
      <c r="AQ27" s="324"/>
      <c r="AR27" s="325"/>
      <c r="AS27" s="97">
        <f t="shared" si="25"/>
        <v>0</v>
      </c>
      <c r="AT27" s="92">
        <f t="shared" si="26"/>
        <v>0</v>
      </c>
      <c r="AU27" s="92">
        <f t="shared" si="16"/>
        <v>0</v>
      </c>
      <c r="AV27" s="76">
        <f t="shared" si="27"/>
        <v>0</v>
      </c>
      <c r="AW27" s="67">
        <f t="shared" si="34"/>
        <v>0</v>
      </c>
      <c r="AX27" s="92"/>
      <c r="AY27" s="92"/>
      <c r="AZ27" s="92"/>
      <c r="BA27" s="93"/>
      <c r="BB27" s="93"/>
      <c r="BC27" s="93"/>
      <c r="BD27" s="93"/>
      <c r="BE27" s="386"/>
      <c r="BF27" s="92">
        <f t="shared" si="28"/>
        <v>0</v>
      </c>
      <c r="BG27" s="79">
        <f t="shared" si="29"/>
        <v>0</v>
      </c>
      <c r="BH27" s="50">
        <v>23</v>
      </c>
      <c r="BI27" s="50"/>
      <c r="BJ27" s="50"/>
      <c r="BK27" s="79">
        <f t="shared" si="30"/>
        <v>0</v>
      </c>
      <c r="BM27" s="80">
        <f t="shared" si="31"/>
        <v>0</v>
      </c>
      <c r="BN27" s="349">
        <f t="shared" si="35"/>
        <v>0</v>
      </c>
    </row>
    <row r="28" spans="1:66" ht="15.75" customHeight="1">
      <c r="A28" s="50"/>
      <c r="B28" s="320">
        <f t="shared" si="17"/>
        <v>46077</v>
      </c>
      <c r="C28" s="82"/>
      <c r="D28" s="371"/>
      <c r="E28" s="53"/>
      <c r="F28" s="67"/>
      <c r="G28" s="55" t="e">
        <f t="shared" si="0"/>
        <v>#DIV/0!</v>
      </c>
      <c r="H28" s="67"/>
      <c r="I28" s="55" t="e">
        <f t="shared" si="1"/>
        <v>#DIV/0!</v>
      </c>
      <c r="J28" s="57">
        <f t="shared" si="2"/>
        <v>0</v>
      </c>
      <c r="K28" s="58" t="str">
        <f t="shared" si="3"/>
        <v/>
      </c>
      <c r="L28" s="83"/>
      <c r="M28" s="380"/>
      <c r="N28" s="381"/>
      <c r="O28" s="86" t="e">
        <f t="shared" si="4"/>
        <v>#DIV/0!</v>
      </c>
      <c r="P28" s="381"/>
      <c r="Q28" s="87" t="e">
        <f t="shared" si="5"/>
        <v>#DIV/0!</v>
      </c>
      <c r="R28" s="382">
        <f t="shared" si="32"/>
        <v>0</v>
      </c>
      <c r="S28" s="89" t="str">
        <f t="shared" si="7"/>
        <v/>
      </c>
      <c r="T28" s="383"/>
      <c r="U28" s="66">
        <f t="shared" si="18"/>
        <v>0</v>
      </c>
      <c r="V28" s="67">
        <f t="shared" si="19"/>
        <v>0</v>
      </c>
      <c r="W28" s="55" t="e">
        <f t="shared" si="8"/>
        <v>#DIV/0!</v>
      </c>
      <c r="X28" s="67">
        <f t="shared" si="20"/>
        <v>0</v>
      </c>
      <c r="Y28" s="56" t="e">
        <f t="shared" si="9"/>
        <v>#DIV/0!</v>
      </c>
      <c r="Z28" s="384">
        <f t="shared" si="21"/>
        <v>0</v>
      </c>
      <c r="AA28" s="69" t="e">
        <f t="shared" si="10"/>
        <v>#DIV/0!</v>
      </c>
      <c r="AB28" s="70">
        <f t="shared" si="36"/>
        <v>0</v>
      </c>
      <c r="AC28" s="67">
        <f t="shared" si="36"/>
        <v>0</v>
      </c>
      <c r="AD28" s="67">
        <f t="shared" si="22"/>
        <v>0</v>
      </c>
      <c r="AE28" s="71">
        <f t="shared" si="33"/>
        <v>0</v>
      </c>
      <c r="AF28" s="67" t="e">
        <f t="shared" si="23"/>
        <v>#DIV/0!</v>
      </c>
      <c r="AG28" s="376"/>
      <c r="AH28" s="377"/>
      <c r="AI28" s="54"/>
      <c r="AJ28" s="55" t="e">
        <f t="shared" si="13"/>
        <v>#DIV/0!</v>
      </c>
      <c r="AK28" s="54"/>
      <c r="AL28" s="56" t="e">
        <f t="shared" si="14"/>
        <v>#DIV/0!</v>
      </c>
      <c r="AM28" s="385">
        <f t="shared" si="24"/>
        <v>0</v>
      </c>
      <c r="AN28" s="75" t="str">
        <f t="shared" si="15"/>
        <v/>
      </c>
      <c r="AO28" s="324"/>
      <c r="AP28" s="325"/>
      <c r="AQ28" s="324"/>
      <c r="AR28" s="325"/>
      <c r="AS28" s="97">
        <f t="shared" si="25"/>
        <v>0</v>
      </c>
      <c r="AT28" s="92">
        <f t="shared" si="26"/>
        <v>0</v>
      </c>
      <c r="AU28" s="92">
        <f t="shared" si="16"/>
        <v>0</v>
      </c>
      <c r="AV28" s="76">
        <f t="shared" si="27"/>
        <v>0</v>
      </c>
      <c r="AW28" s="67">
        <f t="shared" si="34"/>
        <v>0</v>
      </c>
      <c r="AX28" s="92"/>
      <c r="AY28" s="92"/>
      <c r="AZ28" s="92"/>
      <c r="BA28" s="93"/>
      <c r="BB28" s="93"/>
      <c r="BC28" s="93"/>
      <c r="BD28" s="93"/>
      <c r="BE28" s="386"/>
      <c r="BF28" s="92">
        <f t="shared" si="28"/>
        <v>0</v>
      </c>
      <c r="BG28" s="79">
        <f t="shared" si="29"/>
        <v>0</v>
      </c>
      <c r="BH28" s="50">
        <v>24</v>
      </c>
      <c r="BI28" s="50"/>
      <c r="BJ28" s="50"/>
      <c r="BK28" s="79">
        <f t="shared" si="30"/>
        <v>0</v>
      </c>
      <c r="BM28" s="80">
        <f t="shared" si="31"/>
        <v>0</v>
      </c>
      <c r="BN28" s="349">
        <f t="shared" si="35"/>
        <v>0</v>
      </c>
    </row>
    <row r="29" spans="1:66" ht="15.75" customHeight="1">
      <c r="A29" s="50"/>
      <c r="B29" s="320">
        <f t="shared" si="17"/>
        <v>46078</v>
      </c>
      <c r="C29" s="82"/>
      <c r="D29" s="371"/>
      <c r="E29" s="53"/>
      <c r="F29" s="67"/>
      <c r="G29" s="55" t="e">
        <f t="shared" si="0"/>
        <v>#DIV/0!</v>
      </c>
      <c r="H29" s="67"/>
      <c r="I29" s="55" t="e">
        <f t="shared" si="1"/>
        <v>#DIV/0!</v>
      </c>
      <c r="J29" s="57">
        <f t="shared" si="2"/>
        <v>0</v>
      </c>
      <c r="K29" s="58" t="str">
        <f t="shared" si="3"/>
        <v/>
      </c>
      <c r="L29" s="83"/>
      <c r="M29" s="380"/>
      <c r="N29" s="381"/>
      <c r="O29" s="86" t="e">
        <f t="shared" si="4"/>
        <v>#DIV/0!</v>
      </c>
      <c r="P29" s="381"/>
      <c r="Q29" s="87" t="e">
        <f t="shared" si="5"/>
        <v>#DIV/0!</v>
      </c>
      <c r="R29" s="382">
        <f t="shared" si="32"/>
        <v>0</v>
      </c>
      <c r="S29" s="89" t="str">
        <f t="shared" si="7"/>
        <v/>
      </c>
      <c r="T29" s="383"/>
      <c r="U29" s="66">
        <f t="shared" si="18"/>
        <v>0</v>
      </c>
      <c r="V29" s="67">
        <f>AY29-(F29+N29)</f>
        <v>0</v>
      </c>
      <c r="W29" s="55" t="e">
        <f t="shared" si="8"/>
        <v>#DIV/0!</v>
      </c>
      <c r="X29" s="67">
        <f t="shared" si="20"/>
        <v>0</v>
      </c>
      <c r="Y29" s="56" t="e">
        <f t="shared" si="9"/>
        <v>#DIV/0!</v>
      </c>
      <c r="Z29" s="384">
        <f t="shared" si="21"/>
        <v>0</v>
      </c>
      <c r="AA29" s="69" t="e">
        <f t="shared" si="10"/>
        <v>#DIV/0!</v>
      </c>
      <c r="AB29" s="70">
        <f t="shared" si="36"/>
        <v>0</v>
      </c>
      <c r="AC29" s="67">
        <f t="shared" si="36"/>
        <v>0</v>
      </c>
      <c r="AD29" s="67">
        <f t="shared" si="22"/>
        <v>0</v>
      </c>
      <c r="AE29" s="71">
        <f>J29+Z29+R29</f>
        <v>0</v>
      </c>
      <c r="AF29" s="67" t="e">
        <f t="shared" si="23"/>
        <v>#DIV/0!</v>
      </c>
      <c r="AG29" s="376"/>
      <c r="AH29" s="377"/>
      <c r="AI29" s="54"/>
      <c r="AJ29" s="55" t="e">
        <f t="shared" si="13"/>
        <v>#DIV/0!</v>
      </c>
      <c r="AK29" s="54"/>
      <c r="AL29" s="56" t="e">
        <f t="shared" si="14"/>
        <v>#DIV/0!</v>
      </c>
      <c r="AM29" s="385">
        <f t="shared" si="24"/>
        <v>0</v>
      </c>
      <c r="AN29" s="75" t="str">
        <f t="shared" si="15"/>
        <v/>
      </c>
      <c r="AO29" s="324"/>
      <c r="AP29" s="325"/>
      <c r="AQ29" s="324"/>
      <c r="AR29" s="325"/>
      <c r="AS29" s="97">
        <f t="shared" si="25"/>
        <v>0</v>
      </c>
      <c r="AT29" s="92">
        <f t="shared" si="26"/>
        <v>0</v>
      </c>
      <c r="AU29" s="92">
        <f t="shared" si="16"/>
        <v>0</v>
      </c>
      <c r="AV29" s="76">
        <f t="shared" si="27"/>
        <v>0</v>
      </c>
      <c r="AW29" s="67">
        <f t="shared" si="34"/>
        <v>0</v>
      </c>
      <c r="AX29" s="92"/>
      <c r="AY29" s="92"/>
      <c r="AZ29" s="92"/>
      <c r="BA29" s="93"/>
      <c r="BB29" s="93"/>
      <c r="BC29" s="93"/>
      <c r="BD29" s="93"/>
      <c r="BE29" s="386"/>
      <c r="BF29" s="92">
        <f t="shared" si="28"/>
        <v>0</v>
      </c>
      <c r="BG29" s="79">
        <f t="shared" si="29"/>
        <v>0</v>
      </c>
      <c r="BH29" s="50">
        <v>25</v>
      </c>
      <c r="BI29" s="50"/>
      <c r="BJ29" s="50"/>
      <c r="BK29" s="79">
        <f t="shared" si="30"/>
        <v>0</v>
      </c>
      <c r="BM29" s="80">
        <f t="shared" si="31"/>
        <v>0</v>
      </c>
      <c r="BN29" s="349">
        <f t="shared" si="35"/>
        <v>0</v>
      </c>
    </row>
    <row r="30" spans="1:66" ht="15.75" customHeight="1">
      <c r="A30" s="50"/>
      <c r="B30" s="320">
        <f t="shared" si="17"/>
        <v>46079</v>
      </c>
      <c r="C30" s="82"/>
      <c r="D30" s="371"/>
      <c r="E30" s="53"/>
      <c r="F30" s="67"/>
      <c r="G30" s="55" t="e">
        <f>ROUNDDOWN(F30/1.1,0)/E30</f>
        <v>#DIV/0!</v>
      </c>
      <c r="H30" s="67"/>
      <c r="I30" s="55" t="e">
        <f t="shared" si="1"/>
        <v>#DIV/0!</v>
      </c>
      <c r="J30" s="57">
        <f t="shared" si="2"/>
        <v>0</v>
      </c>
      <c r="K30" s="58" t="str">
        <f>IF(E30="","",J30/E30)</f>
        <v/>
      </c>
      <c r="L30" s="83"/>
      <c r="M30" s="380"/>
      <c r="N30" s="381"/>
      <c r="O30" s="86" t="e">
        <f t="shared" si="4"/>
        <v>#DIV/0!</v>
      </c>
      <c r="P30" s="381"/>
      <c r="Q30" s="87" t="e">
        <f t="shared" si="5"/>
        <v>#DIV/0!</v>
      </c>
      <c r="R30" s="382">
        <f t="shared" si="32"/>
        <v>0</v>
      </c>
      <c r="S30" s="89" t="str">
        <f t="shared" si="7"/>
        <v/>
      </c>
      <c r="T30" s="383"/>
      <c r="U30" s="66">
        <f t="shared" si="18"/>
        <v>0</v>
      </c>
      <c r="V30" s="67">
        <f t="shared" si="19"/>
        <v>0</v>
      </c>
      <c r="W30" s="55" t="e">
        <f t="shared" si="8"/>
        <v>#DIV/0!</v>
      </c>
      <c r="X30" s="67">
        <f t="shared" si="20"/>
        <v>0</v>
      </c>
      <c r="Y30" s="55" t="e">
        <f t="shared" si="9"/>
        <v>#DIV/0!</v>
      </c>
      <c r="Z30" s="384">
        <f t="shared" si="21"/>
        <v>0</v>
      </c>
      <c r="AA30" s="69" t="e">
        <f t="shared" si="10"/>
        <v>#DIV/0!</v>
      </c>
      <c r="AB30" s="70">
        <f t="shared" si="36"/>
        <v>0</v>
      </c>
      <c r="AC30" s="67">
        <f t="shared" si="36"/>
        <v>0</v>
      </c>
      <c r="AD30" s="67">
        <f t="shared" si="22"/>
        <v>0</v>
      </c>
      <c r="AE30" s="71">
        <f t="shared" si="33"/>
        <v>0</v>
      </c>
      <c r="AF30" s="67" t="e">
        <f t="shared" si="23"/>
        <v>#DIV/0!</v>
      </c>
      <c r="AG30" s="376"/>
      <c r="AH30" s="377"/>
      <c r="AI30" s="54"/>
      <c r="AJ30" s="55" t="e">
        <f t="shared" si="13"/>
        <v>#DIV/0!</v>
      </c>
      <c r="AK30" s="54"/>
      <c r="AL30" s="56" t="e">
        <f t="shared" si="14"/>
        <v>#DIV/0!</v>
      </c>
      <c r="AM30" s="385">
        <f t="shared" si="24"/>
        <v>0</v>
      </c>
      <c r="AN30" s="75" t="str">
        <f t="shared" si="15"/>
        <v/>
      </c>
      <c r="AO30" s="324"/>
      <c r="AP30" s="325"/>
      <c r="AQ30" s="324"/>
      <c r="AR30" s="325"/>
      <c r="AS30" s="97">
        <f t="shared" si="25"/>
        <v>0</v>
      </c>
      <c r="AT30" s="92">
        <f t="shared" si="26"/>
        <v>0</v>
      </c>
      <c r="AU30" s="92">
        <f t="shared" si="16"/>
        <v>0</v>
      </c>
      <c r="AV30" s="76">
        <f t="shared" si="27"/>
        <v>0</v>
      </c>
      <c r="AW30" s="67">
        <f t="shared" si="34"/>
        <v>0</v>
      </c>
      <c r="AX30" s="92"/>
      <c r="AY30" s="92"/>
      <c r="AZ30" s="92"/>
      <c r="BA30" s="93"/>
      <c r="BB30" s="93"/>
      <c r="BC30" s="93"/>
      <c r="BD30" s="93"/>
      <c r="BE30" s="386"/>
      <c r="BF30" s="92">
        <f t="shared" si="28"/>
        <v>0</v>
      </c>
      <c r="BG30" s="79">
        <f t="shared" si="29"/>
        <v>0</v>
      </c>
      <c r="BH30" s="50">
        <v>26</v>
      </c>
      <c r="BI30" s="50"/>
      <c r="BJ30" s="50"/>
      <c r="BK30" s="79">
        <f t="shared" si="30"/>
        <v>0</v>
      </c>
      <c r="BM30" s="80">
        <f t="shared" si="31"/>
        <v>0</v>
      </c>
      <c r="BN30" s="349">
        <f t="shared" si="35"/>
        <v>0</v>
      </c>
    </row>
    <row r="31" spans="1:66" ht="15.75" customHeight="1">
      <c r="A31" s="50"/>
      <c r="B31" s="320">
        <f t="shared" si="17"/>
        <v>46080</v>
      </c>
      <c r="C31" s="82"/>
      <c r="D31" s="371"/>
      <c r="E31" s="53"/>
      <c r="F31" s="67"/>
      <c r="G31" s="55" t="e">
        <f>ROUNDDOWN(F31/1.1,0)/E31</f>
        <v>#DIV/0!</v>
      </c>
      <c r="H31" s="67"/>
      <c r="I31" s="55" t="e">
        <f t="shared" si="1"/>
        <v>#DIV/0!</v>
      </c>
      <c r="J31" s="57">
        <f t="shared" si="2"/>
        <v>0</v>
      </c>
      <c r="K31" s="58" t="str">
        <f>IF(E31="","",J31/E31)</f>
        <v/>
      </c>
      <c r="L31" s="83"/>
      <c r="M31" s="380"/>
      <c r="N31" s="381"/>
      <c r="O31" s="86" t="e">
        <f t="shared" si="4"/>
        <v>#DIV/0!</v>
      </c>
      <c r="P31" s="381"/>
      <c r="Q31" s="87" t="e">
        <f t="shared" si="5"/>
        <v>#DIV/0!</v>
      </c>
      <c r="R31" s="382">
        <f t="shared" si="32"/>
        <v>0</v>
      </c>
      <c r="S31" s="89" t="str">
        <f t="shared" si="7"/>
        <v/>
      </c>
      <c r="T31" s="383"/>
      <c r="U31" s="66">
        <f t="shared" si="18"/>
        <v>0</v>
      </c>
      <c r="V31" s="67">
        <f>AY31-(F31+N31)</f>
        <v>0</v>
      </c>
      <c r="W31" s="55" t="e">
        <f t="shared" si="8"/>
        <v>#DIV/0!</v>
      </c>
      <c r="X31" s="67">
        <f t="shared" si="20"/>
        <v>0</v>
      </c>
      <c r="Y31" s="55" t="e">
        <f t="shared" si="9"/>
        <v>#DIV/0!</v>
      </c>
      <c r="Z31" s="384">
        <f t="shared" si="21"/>
        <v>0</v>
      </c>
      <c r="AA31" s="69" t="e">
        <f t="shared" si="10"/>
        <v>#DIV/0!</v>
      </c>
      <c r="AB31" s="70">
        <f t="shared" si="36"/>
        <v>0</v>
      </c>
      <c r="AC31" s="67">
        <f t="shared" si="36"/>
        <v>0</v>
      </c>
      <c r="AD31" s="67">
        <f t="shared" si="22"/>
        <v>0</v>
      </c>
      <c r="AE31" s="71">
        <f t="shared" si="33"/>
        <v>0</v>
      </c>
      <c r="AF31" s="67" t="e">
        <f t="shared" si="23"/>
        <v>#DIV/0!</v>
      </c>
      <c r="AG31" s="376"/>
      <c r="AH31" s="377"/>
      <c r="AI31" s="54"/>
      <c r="AJ31" s="55" t="e">
        <f t="shared" si="13"/>
        <v>#DIV/0!</v>
      </c>
      <c r="AK31" s="54"/>
      <c r="AL31" s="56" t="e">
        <f t="shared" si="14"/>
        <v>#DIV/0!</v>
      </c>
      <c r="AM31" s="385">
        <f t="shared" si="24"/>
        <v>0</v>
      </c>
      <c r="AN31" s="75" t="str">
        <f t="shared" si="15"/>
        <v/>
      </c>
      <c r="AO31" s="324"/>
      <c r="AP31" s="325"/>
      <c r="AQ31" s="324"/>
      <c r="AR31" s="325"/>
      <c r="AS31" s="97">
        <f t="shared" si="25"/>
        <v>0</v>
      </c>
      <c r="AT31" s="92">
        <f t="shared" si="26"/>
        <v>0</v>
      </c>
      <c r="AU31" s="92">
        <f t="shared" si="16"/>
        <v>0</v>
      </c>
      <c r="AV31" s="76">
        <f t="shared" si="27"/>
        <v>0</v>
      </c>
      <c r="AW31" s="67">
        <f t="shared" si="34"/>
        <v>0</v>
      </c>
      <c r="AX31" s="92"/>
      <c r="AY31" s="92"/>
      <c r="AZ31" s="92"/>
      <c r="BA31" s="93"/>
      <c r="BB31" s="93"/>
      <c r="BC31" s="93"/>
      <c r="BD31" s="93"/>
      <c r="BE31" s="386"/>
      <c r="BF31" s="92">
        <f t="shared" si="28"/>
        <v>0</v>
      </c>
      <c r="BG31" s="79">
        <f t="shared" si="29"/>
        <v>0</v>
      </c>
      <c r="BH31" s="50">
        <v>27</v>
      </c>
      <c r="BI31" s="50"/>
      <c r="BJ31" s="50"/>
      <c r="BK31" s="79">
        <f t="shared" si="30"/>
        <v>0</v>
      </c>
      <c r="BM31" s="80">
        <f t="shared" si="31"/>
        <v>0</v>
      </c>
      <c r="BN31" s="349">
        <f t="shared" si="35"/>
        <v>0</v>
      </c>
    </row>
    <row r="32" spans="1:66" ht="15.75" customHeight="1">
      <c r="A32" s="50"/>
      <c r="B32" s="323">
        <f t="shared" si="17"/>
        <v>46081</v>
      </c>
      <c r="C32" s="82"/>
      <c r="D32" s="371"/>
      <c r="E32" s="53"/>
      <c r="F32" s="67"/>
      <c r="G32" s="55" t="e">
        <f>ROUNDDOWN(F32/1.1,0)/E32</f>
        <v>#DIV/0!</v>
      </c>
      <c r="H32" s="67"/>
      <c r="I32" s="55" t="e">
        <f t="shared" si="1"/>
        <v>#DIV/0!</v>
      </c>
      <c r="J32" s="57">
        <f>F32+H32</f>
        <v>0</v>
      </c>
      <c r="K32" s="58" t="str">
        <f>IF(E32="","",J32/E32)</f>
        <v/>
      </c>
      <c r="L32" s="83"/>
      <c r="M32" s="380"/>
      <c r="N32" s="381"/>
      <c r="O32" s="86" t="e">
        <f t="shared" si="4"/>
        <v>#DIV/0!</v>
      </c>
      <c r="P32" s="381"/>
      <c r="Q32" s="87" t="e">
        <f t="shared" si="5"/>
        <v>#DIV/0!</v>
      </c>
      <c r="R32" s="382">
        <f t="shared" si="32"/>
        <v>0</v>
      </c>
      <c r="S32" s="89" t="str">
        <f t="shared" si="7"/>
        <v/>
      </c>
      <c r="T32" s="383"/>
      <c r="U32" s="66">
        <f t="shared" si="18"/>
        <v>0</v>
      </c>
      <c r="V32" s="67">
        <f t="shared" si="19"/>
        <v>0</v>
      </c>
      <c r="W32" s="55" t="e">
        <f>ROUNDDOWN(V32/1.1,0)/U32</f>
        <v>#DIV/0!</v>
      </c>
      <c r="X32" s="67">
        <f t="shared" si="20"/>
        <v>0</v>
      </c>
      <c r="Y32" s="55" t="e">
        <f>ROUNDDOWN(X32/1.1,0)/U32</f>
        <v>#DIV/0!</v>
      </c>
      <c r="Z32" s="384">
        <f>V32+X32</f>
        <v>0</v>
      </c>
      <c r="AA32" s="69" t="e">
        <f>IF(U32="","",Z32/U32)</f>
        <v>#DIV/0!</v>
      </c>
      <c r="AB32" s="70">
        <f t="shared" si="36"/>
        <v>0</v>
      </c>
      <c r="AC32" s="67">
        <f t="shared" si="36"/>
        <v>0</v>
      </c>
      <c r="AD32" s="67">
        <f t="shared" si="22"/>
        <v>0</v>
      </c>
      <c r="AE32" s="71">
        <f t="shared" si="33"/>
        <v>0</v>
      </c>
      <c r="AF32" s="67" t="e">
        <f>IF(AB32="","",AE32/AB32)</f>
        <v>#DIV/0!</v>
      </c>
      <c r="AG32" s="376"/>
      <c r="AH32" s="377"/>
      <c r="AI32" s="54"/>
      <c r="AJ32" s="55" t="e">
        <f>AI32/AH32</f>
        <v>#DIV/0!</v>
      </c>
      <c r="AK32" s="54"/>
      <c r="AL32" s="56" t="e">
        <f>AK32/AH32</f>
        <v>#DIV/0!</v>
      </c>
      <c r="AM32" s="385">
        <f>AI32+AK32</f>
        <v>0</v>
      </c>
      <c r="AN32" s="75" t="str">
        <f>IF(AH32="","",AM32/AH32)</f>
        <v/>
      </c>
      <c r="AO32" s="324"/>
      <c r="AP32" s="325"/>
      <c r="AQ32" s="324"/>
      <c r="AR32" s="325"/>
      <c r="AS32" s="97">
        <f t="shared" si="25"/>
        <v>0</v>
      </c>
      <c r="AT32" s="92">
        <f t="shared" si="26"/>
        <v>0</v>
      </c>
      <c r="AU32" s="92">
        <f t="shared" si="16"/>
        <v>0</v>
      </c>
      <c r="AV32" s="76">
        <f t="shared" si="27"/>
        <v>0</v>
      </c>
      <c r="AW32" s="67">
        <f>BA32+BB32+BC32</f>
        <v>0</v>
      </c>
      <c r="AX32" s="92"/>
      <c r="AY32" s="92"/>
      <c r="AZ32" s="92"/>
      <c r="BA32" s="93"/>
      <c r="BB32" s="93"/>
      <c r="BC32" s="93"/>
      <c r="BD32" s="93"/>
      <c r="BE32" s="386"/>
      <c r="BF32" s="92">
        <f>SUM(AY32:BC32)</f>
        <v>0</v>
      </c>
      <c r="BG32" s="79">
        <f t="shared" si="29"/>
        <v>0</v>
      </c>
      <c r="BH32" s="50">
        <v>28</v>
      </c>
      <c r="BI32" s="50"/>
      <c r="BJ32" s="50"/>
      <c r="BK32" s="79">
        <f t="shared" si="30"/>
        <v>0</v>
      </c>
      <c r="BM32" s="80">
        <f t="shared" si="31"/>
        <v>0</v>
      </c>
      <c r="BN32" s="349">
        <f t="shared" si="35"/>
        <v>0</v>
      </c>
    </row>
    <row r="33" spans="1:66" ht="15.75" customHeight="1">
      <c r="A33" s="50"/>
      <c r="B33" s="320"/>
      <c r="C33" s="82"/>
      <c r="D33" s="371"/>
      <c r="E33" s="53"/>
      <c r="F33" s="67"/>
      <c r="G33" s="55" t="e">
        <f>ROUNDDOWN(F33/1.1,0)/E33</f>
        <v>#DIV/0!</v>
      </c>
      <c r="H33" s="67"/>
      <c r="I33" s="55" t="e">
        <f t="shared" si="1"/>
        <v>#DIV/0!</v>
      </c>
      <c r="J33" s="57">
        <f>F33+H33</f>
        <v>0</v>
      </c>
      <c r="K33" s="58" t="str">
        <f>IF(E33="","",J33/E33)</f>
        <v/>
      </c>
      <c r="L33" s="83"/>
      <c r="M33" s="380"/>
      <c r="N33" s="381"/>
      <c r="O33" s="86" t="e">
        <f t="shared" si="4"/>
        <v>#DIV/0!</v>
      </c>
      <c r="P33" s="381"/>
      <c r="Q33" s="87" t="e">
        <f t="shared" si="5"/>
        <v>#DIV/0!</v>
      </c>
      <c r="R33" s="382">
        <f t="shared" si="32"/>
        <v>0</v>
      </c>
      <c r="S33" s="89" t="str">
        <f t="shared" si="7"/>
        <v/>
      </c>
      <c r="T33" s="383"/>
      <c r="U33" s="66">
        <f t="shared" si="18"/>
        <v>0</v>
      </c>
      <c r="V33" s="67">
        <f t="shared" si="19"/>
        <v>0</v>
      </c>
      <c r="W33" s="55" t="e">
        <f>ROUNDDOWN(V33/1.1,0)/U33</f>
        <v>#DIV/0!</v>
      </c>
      <c r="X33" s="67">
        <f t="shared" si="20"/>
        <v>0</v>
      </c>
      <c r="Y33" s="55" t="e">
        <f>ROUNDDOWN(X33/1.1,0)/U33</f>
        <v>#DIV/0!</v>
      </c>
      <c r="Z33" s="384">
        <f>V33+X33</f>
        <v>0</v>
      </c>
      <c r="AA33" s="69" t="e">
        <f>IF(U33="","",Z33/U33)</f>
        <v>#DIV/0!</v>
      </c>
      <c r="AB33" s="70">
        <f t="shared" si="36"/>
        <v>0</v>
      </c>
      <c r="AC33" s="67">
        <f t="shared" si="36"/>
        <v>0</v>
      </c>
      <c r="AD33" s="67">
        <f t="shared" si="22"/>
        <v>0</v>
      </c>
      <c r="AE33" s="71">
        <f t="shared" si="33"/>
        <v>0</v>
      </c>
      <c r="AF33" s="67" t="e">
        <f>IF(AB33="","",AE33/AB33)</f>
        <v>#DIV/0!</v>
      </c>
      <c r="AG33" s="376"/>
      <c r="AH33" s="377"/>
      <c r="AI33" s="54"/>
      <c r="AJ33" s="55" t="e">
        <f>AI33/AH33</f>
        <v>#DIV/0!</v>
      </c>
      <c r="AK33" s="54"/>
      <c r="AL33" s="56" t="e">
        <f>AK33/AH33</f>
        <v>#DIV/0!</v>
      </c>
      <c r="AM33" s="385">
        <f>AI33+AK33</f>
        <v>0</v>
      </c>
      <c r="AN33" s="75" t="str">
        <f>IF(AH33="","",AM33/AH33)</f>
        <v/>
      </c>
      <c r="AO33" s="324"/>
      <c r="AP33" s="325"/>
      <c r="AQ33" s="324"/>
      <c r="AR33" s="325"/>
      <c r="AS33" s="97">
        <f t="shared" si="25"/>
        <v>0</v>
      </c>
      <c r="AT33" s="92">
        <f t="shared" si="26"/>
        <v>0</v>
      </c>
      <c r="AU33" s="92">
        <f t="shared" si="16"/>
        <v>0</v>
      </c>
      <c r="AV33" s="76">
        <f t="shared" si="27"/>
        <v>0</v>
      </c>
      <c r="AW33" s="67">
        <f>BA33+BB33+BC33</f>
        <v>0</v>
      </c>
      <c r="AX33" s="92"/>
      <c r="AY33" s="92"/>
      <c r="AZ33" s="92"/>
      <c r="BA33" s="93"/>
      <c r="BB33" s="93"/>
      <c r="BC33" s="93"/>
      <c r="BD33" s="93"/>
      <c r="BE33" s="386"/>
      <c r="BF33" s="92">
        <f>SUM(AY33:BC33)</f>
        <v>0</v>
      </c>
      <c r="BG33" s="79">
        <f t="shared" si="29"/>
        <v>0</v>
      </c>
      <c r="BH33" s="50">
        <v>29</v>
      </c>
      <c r="BI33" s="50"/>
      <c r="BJ33" s="50"/>
      <c r="BK33" s="79">
        <f t="shared" si="30"/>
        <v>0</v>
      </c>
      <c r="BM33" s="80">
        <f t="shared" si="31"/>
        <v>0</v>
      </c>
      <c r="BN33" s="349">
        <f t="shared" si="35"/>
        <v>0</v>
      </c>
    </row>
    <row r="34" spans="1:66" ht="15.75" customHeight="1">
      <c r="A34" s="50"/>
      <c r="B34" s="320"/>
      <c r="C34" s="82"/>
      <c r="D34" s="371"/>
      <c r="E34" s="53"/>
      <c r="F34" s="67"/>
      <c r="G34" s="55" t="e">
        <f>ROUNDDOWN(F34/1.1,0)/E34</f>
        <v>#DIV/0!</v>
      </c>
      <c r="H34" s="67"/>
      <c r="I34" s="55" t="e">
        <f t="shared" si="1"/>
        <v>#DIV/0!</v>
      </c>
      <c r="J34" s="57">
        <f>F34+H34</f>
        <v>0</v>
      </c>
      <c r="K34" s="58" t="str">
        <f>IF(E34="","",J34/E34)</f>
        <v/>
      </c>
      <c r="L34" s="99"/>
      <c r="M34" s="387"/>
      <c r="N34" s="388"/>
      <c r="O34" s="86" t="e">
        <f t="shared" si="4"/>
        <v>#DIV/0!</v>
      </c>
      <c r="P34" s="388"/>
      <c r="Q34" s="87" t="e">
        <f t="shared" si="5"/>
        <v>#DIV/0!</v>
      </c>
      <c r="R34" s="382">
        <f t="shared" si="32"/>
        <v>0</v>
      </c>
      <c r="S34" s="89" t="str">
        <f t="shared" si="7"/>
        <v/>
      </c>
      <c r="T34" s="383"/>
      <c r="U34" s="66">
        <f t="shared" si="18"/>
        <v>0</v>
      </c>
      <c r="V34" s="67">
        <f t="shared" si="19"/>
        <v>0</v>
      </c>
      <c r="W34" s="55" t="e">
        <f>ROUNDDOWN(V34/1.1,0)/U34</f>
        <v>#DIV/0!</v>
      </c>
      <c r="X34" s="67">
        <f t="shared" si="20"/>
        <v>0</v>
      </c>
      <c r="Y34" s="55" t="e">
        <f>ROUNDDOWN(X34/1.1,0)/U34</f>
        <v>#DIV/0!</v>
      </c>
      <c r="Z34" s="384">
        <f>V34+X34</f>
        <v>0</v>
      </c>
      <c r="AA34" s="69" t="e">
        <f>IF(U34="","",Z34/U34)</f>
        <v>#DIV/0!</v>
      </c>
      <c r="AB34" s="70">
        <f t="shared" si="36"/>
        <v>0</v>
      </c>
      <c r="AC34" s="67">
        <f t="shared" si="36"/>
        <v>0</v>
      </c>
      <c r="AD34" s="67">
        <f t="shared" si="22"/>
        <v>0</v>
      </c>
      <c r="AE34" s="71">
        <f t="shared" si="33"/>
        <v>0</v>
      </c>
      <c r="AF34" s="67" t="e">
        <f>IF(AB34="","",AE34/AB34)</f>
        <v>#DIV/0!</v>
      </c>
      <c r="AG34" s="376"/>
      <c r="AH34" s="377"/>
      <c r="AI34" s="54"/>
      <c r="AJ34" s="55" t="e">
        <f>AI34/AH34</f>
        <v>#DIV/0!</v>
      </c>
      <c r="AK34" s="54"/>
      <c r="AL34" s="56" t="e">
        <f>AK34/AH34</f>
        <v>#DIV/0!</v>
      </c>
      <c r="AM34" s="385">
        <f>AI34+AK34</f>
        <v>0</v>
      </c>
      <c r="AN34" s="75" t="str">
        <f>IF(AH34="","",AM34/AH34)</f>
        <v/>
      </c>
      <c r="AO34" s="324"/>
      <c r="AP34" s="325"/>
      <c r="AQ34" s="324"/>
      <c r="AR34" s="325"/>
      <c r="AS34" s="97">
        <f t="shared" si="25"/>
        <v>0</v>
      </c>
      <c r="AT34" s="92">
        <f t="shared" si="26"/>
        <v>0</v>
      </c>
      <c r="AU34" s="92">
        <f t="shared" si="16"/>
        <v>0</v>
      </c>
      <c r="AV34" s="76">
        <f t="shared" si="27"/>
        <v>0</v>
      </c>
      <c r="AW34" s="67">
        <f>BA34+BB34+BC34</f>
        <v>0</v>
      </c>
      <c r="AX34" s="92"/>
      <c r="AY34" s="92"/>
      <c r="AZ34" s="92"/>
      <c r="BA34" s="93"/>
      <c r="BB34" s="93"/>
      <c r="BC34" s="93"/>
      <c r="BD34" s="93"/>
      <c r="BE34" s="386"/>
      <c r="BF34" s="92">
        <f>SUM(AY34:BC34)</f>
        <v>0</v>
      </c>
      <c r="BG34" s="79">
        <f t="shared" si="29"/>
        <v>0</v>
      </c>
      <c r="BH34" s="50">
        <v>30</v>
      </c>
      <c r="BI34" s="50"/>
      <c r="BJ34" s="50"/>
      <c r="BK34" s="79">
        <f t="shared" si="30"/>
        <v>0</v>
      </c>
      <c r="BM34" s="80">
        <f t="shared" si="31"/>
        <v>0</v>
      </c>
      <c r="BN34" s="349">
        <f t="shared" si="35"/>
        <v>0</v>
      </c>
    </row>
    <row r="35" spans="1:66" ht="15.75" customHeight="1" thickBot="1">
      <c r="A35" s="50"/>
      <c r="B35" s="332"/>
      <c r="C35" s="82"/>
      <c r="D35" s="371"/>
      <c r="E35" s="53"/>
      <c r="F35" s="67"/>
      <c r="G35" s="55" t="e">
        <f t="shared" si="0"/>
        <v>#DIV/0!</v>
      </c>
      <c r="H35" s="67"/>
      <c r="I35" s="55" t="e">
        <f t="shared" si="1"/>
        <v>#DIV/0!</v>
      </c>
      <c r="J35" s="57">
        <f t="shared" si="2"/>
        <v>0</v>
      </c>
      <c r="K35" s="58" t="str">
        <f t="shared" si="3"/>
        <v/>
      </c>
      <c r="L35" s="102"/>
      <c r="M35" s="389"/>
      <c r="N35" s="390"/>
      <c r="O35" s="105" t="e">
        <f t="shared" si="4"/>
        <v>#DIV/0!</v>
      </c>
      <c r="P35" s="390"/>
      <c r="Q35" s="106" t="e">
        <f t="shared" si="5"/>
        <v>#DIV/0!</v>
      </c>
      <c r="R35" s="391">
        <f t="shared" si="32"/>
        <v>0</v>
      </c>
      <c r="S35" s="89" t="str">
        <f t="shared" si="7"/>
        <v/>
      </c>
      <c r="T35" s="392"/>
      <c r="U35" s="66">
        <f t="shared" si="18"/>
        <v>0</v>
      </c>
      <c r="V35" s="67">
        <f t="shared" si="19"/>
        <v>0</v>
      </c>
      <c r="W35" s="55" t="e">
        <f t="shared" si="8"/>
        <v>#DIV/0!</v>
      </c>
      <c r="X35" s="67">
        <f t="shared" si="20"/>
        <v>0</v>
      </c>
      <c r="Y35" s="55" t="e">
        <f t="shared" si="9"/>
        <v>#DIV/0!</v>
      </c>
      <c r="Z35" s="384">
        <f t="shared" si="21"/>
        <v>0</v>
      </c>
      <c r="AA35" s="69" t="e">
        <f t="shared" si="10"/>
        <v>#DIV/0!</v>
      </c>
      <c r="AB35" s="70">
        <f t="shared" si="36"/>
        <v>0</v>
      </c>
      <c r="AC35" s="67">
        <f t="shared" si="36"/>
        <v>0</v>
      </c>
      <c r="AD35" s="67">
        <f t="shared" si="22"/>
        <v>0</v>
      </c>
      <c r="AE35" s="71">
        <f>J35+Z35+R35</f>
        <v>0</v>
      </c>
      <c r="AF35" s="67" t="e">
        <f t="shared" si="23"/>
        <v>#DIV/0!</v>
      </c>
      <c r="AG35" s="376"/>
      <c r="AH35" s="377"/>
      <c r="AI35" s="54"/>
      <c r="AJ35" s="55" t="e">
        <f t="shared" si="13"/>
        <v>#DIV/0!</v>
      </c>
      <c r="AK35" s="54"/>
      <c r="AL35" s="56" t="e">
        <f t="shared" si="14"/>
        <v>#DIV/0!</v>
      </c>
      <c r="AM35" s="385">
        <f t="shared" si="24"/>
        <v>0</v>
      </c>
      <c r="AN35" s="75" t="str">
        <f t="shared" si="15"/>
        <v/>
      </c>
      <c r="AO35" s="326"/>
      <c r="AP35" s="325"/>
      <c r="AQ35" s="326"/>
      <c r="AR35" s="325"/>
      <c r="AS35" s="97">
        <f t="shared" si="25"/>
        <v>0</v>
      </c>
      <c r="AT35" s="92">
        <f t="shared" si="26"/>
        <v>0</v>
      </c>
      <c r="AU35" s="92">
        <f t="shared" si="16"/>
        <v>0</v>
      </c>
      <c r="AV35" s="76">
        <f t="shared" si="27"/>
        <v>0</v>
      </c>
      <c r="AW35" s="67">
        <f t="shared" si="34"/>
        <v>0</v>
      </c>
      <c r="AX35" s="92"/>
      <c r="AY35" s="92"/>
      <c r="AZ35" s="92"/>
      <c r="BA35" s="93"/>
      <c r="BB35" s="93"/>
      <c r="BC35" s="93"/>
      <c r="BD35" s="93"/>
      <c r="BE35" s="386"/>
      <c r="BF35" s="92">
        <f>SUM(AY35:BC35)</f>
        <v>0</v>
      </c>
      <c r="BG35" s="79">
        <f t="shared" si="29"/>
        <v>0</v>
      </c>
      <c r="BH35" s="50">
        <v>31</v>
      </c>
      <c r="BI35" s="50"/>
      <c r="BJ35" s="50"/>
      <c r="BK35" s="79">
        <f t="shared" si="30"/>
        <v>0</v>
      </c>
      <c r="BM35" s="80">
        <f t="shared" si="31"/>
        <v>0</v>
      </c>
      <c r="BN35" s="349">
        <f t="shared" si="35"/>
        <v>0</v>
      </c>
    </row>
    <row r="36" spans="1:66" ht="15.75" customHeight="1" thickTop="1" thickBot="1">
      <c r="A36" s="108"/>
      <c r="B36" s="109" t="s">
        <v>23</v>
      </c>
      <c r="C36" s="110">
        <f>SUM(C5:C35)</f>
        <v>0</v>
      </c>
      <c r="D36" s="111">
        <f>SUM(D5:D35)</f>
        <v>28</v>
      </c>
      <c r="E36" s="112">
        <f>SUM(E5:E35)</f>
        <v>53</v>
      </c>
      <c r="F36" s="113">
        <f>SUM(F5:F35)</f>
        <v>311500</v>
      </c>
      <c r="G36" s="114">
        <f>F36/E36</f>
        <v>5877.3584905660373</v>
      </c>
      <c r="H36" s="115">
        <f>SUM(H5:H35)</f>
        <v>95060</v>
      </c>
      <c r="I36" s="116">
        <f>H36/E36</f>
        <v>1793.5849056603774</v>
      </c>
      <c r="J36" s="393">
        <f>SUM(J5:J35)</f>
        <v>406560</v>
      </c>
      <c r="K36" s="118">
        <f>J36/E36</f>
        <v>7670.9433962264147</v>
      </c>
      <c r="L36" s="119">
        <f t="shared" ref="L36:N36" si="37">SUM(L5:L35)</f>
        <v>2</v>
      </c>
      <c r="M36" s="120">
        <f t="shared" si="37"/>
        <v>4</v>
      </c>
      <c r="N36" s="121">
        <f t="shared" si="37"/>
        <v>15400</v>
      </c>
      <c r="O36" s="121">
        <f t="shared" si="4"/>
        <v>3850</v>
      </c>
      <c r="P36" s="122">
        <f>SUM(P5:P35)</f>
        <v>4400</v>
      </c>
      <c r="Q36" s="123">
        <f t="shared" si="5"/>
        <v>1100</v>
      </c>
      <c r="R36" s="394">
        <f>SUM(R5:R35)</f>
        <v>19800</v>
      </c>
      <c r="S36" s="125">
        <f>R36/M36</f>
        <v>4950</v>
      </c>
      <c r="T36" s="395"/>
      <c r="U36" s="112">
        <f>SUM(U5:U35)</f>
        <v>48</v>
      </c>
      <c r="V36" s="113">
        <f>SUM(V5:V35)</f>
        <v>610500</v>
      </c>
      <c r="W36" s="114">
        <f>V36/U36</f>
        <v>12718.75</v>
      </c>
      <c r="X36" s="126">
        <f>SUM(X5:X35)</f>
        <v>199620</v>
      </c>
      <c r="Y36" s="116">
        <f>X36/U36</f>
        <v>4158.75</v>
      </c>
      <c r="Z36" s="396">
        <f>SUM(Z5:Z35)</f>
        <v>810120</v>
      </c>
      <c r="AA36" s="128">
        <f>Z36/U36</f>
        <v>16877.5</v>
      </c>
      <c r="AB36" s="112">
        <f>SUM(AB5:AB35)</f>
        <v>105</v>
      </c>
      <c r="AC36" s="129">
        <f>SUM(AC5:AC35)</f>
        <v>937400</v>
      </c>
      <c r="AD36" s="126">
        <f>SUM(AD5:AD35)</f>
        <v>299080</v>
      </c>
      <c r="AE36" s="397">
        <f>SUM(AE5:AE35)</f>
        <v>1227680</v>
      </c>
      <c r="AF36" s="131">
        <f>AE36/AB36</f>
        <v>11692.190476190477</v>
      </c>
      <c r="AG36" s="111">
        <f>SUM(AG5:AG35)</f>
        <v>885</v>
      </c>
      <c r="AH36" s="112">
        <f>SUM(AH5:AH35)</f>
        <v>925</v>
      </c>
      <c r="AI36" s="132">
        <f>SUM(AI5:AI35)</f>
        <v>1207340</v>
      </c>
      <c r="AJ36" s="114"/>
      <c r="AK36" s="115">
        <f>SUM(AK5:AK35)</f>
        <v>181600</v>
      </c>
      <c r="AL36" s="116"/>
      <c r="AM36" s="398">
        <f>SUM(AM5:AM35)</f>
        <v>1388940</v>
      </c>
      <c r="AN36" s="327">
        <f>AM36/AH36</f>
        <v>1501.5567567567568</v>
      </c>
      <c r="AO36" s="111">
        <f>SUM(AO5:AO35)</f>
        <v>3</v>
      </c>
      <c r="AP36" s="328">
        <f>SUM(AP5:AP35)</f>
        <v>8</v>
      </c>
      <c r="AQ36" s="111">
        <f>SUM(AQ5:AQ35)</f>
        <v>1</v>
      </c>
      <c r="AR36" s="328">
        <f>SUM(AR5:AR35)</f>
        <v>2</v>
      </c>
      <c r="AS36" s="112">
        <f t="shared" ref="AS36:BD36" si="38">SUM(AS5:AS35)</f>
        <v>103</v>
      </c>
      <c r="AT36" s="129">
        <f t="shared" si="38"/>
        <v>2144740</v>
      </c>
      <c r="AU36" s="126">
        <f t="shared" si="38"/>
        <v>480680</v>
      </c>
      <c r="AV36" s="396">
        <f t="shared" si="38"/>
        <v>2616620</v>
      </c>
      <c r="AW36" s="115">
        <f t="shared" si="38"/>
        <v>4400</v>
      </c>
      <c r="AX36" s="134">
        <f t="shared" si="38"/>
        <v>105</v>
      </c>
      <c r="AY36" s="134">
        <f t="shared" si="38"/>
        <v>937400</v>
      </c>
      <c r="AZ36" s="134">
        <f t="shared" si="38"/>
        <v>299080</v>
      </c>
      <c r="BA36" s="134">
        <f t="shared" si="38"/>
        <v>4400</v>
      </c>
      <c r="BB36" s="134">
        <f t="shared" si="38"/>
        <v>0</v>
      </c>
      <c r="BC36" s="134">
        <f t="shared" si="38"/>
        <v>0</v>
      </c>
      <c r="BD36" s="134">
        <f t="shared" si="38"/>
        <v>9900</v>
      </c>
      <c r="BE36" s="399"/>
      <c r="BF36" s="134">
        <f>SUM(BF5:BF35)</f>
        <v>1240880</v>
      </c>
      <c r="BG36" s="153">
        <f>SUM(BG5:BG35)</f>
        <v>1250780</v>
      </c>
      <c r="BH36" s="108"/>
      <c r="BI36" s="350">
        <f>SUM(BI5:BI35)</f>
        <v>1100</v>
      </c>
      <c r="BJ36" s="350">
        <f>SUM(BJ5:BJ35)</f>
        <v>0</v>
      </c>
      <c r="BK36" s="135">
        <f>SUM(BK5:BK35)</f>
        <v>1239780</v>
      </c>
      <c r="BM36" s="135">
        <f>SUM(BM5:BM35)</f>
        <v>1249680</v>
      </c>
      <c r="BN36" s="135">
        <f>SUM(BN5:BN35)</f>
        <v>2628720</v>
      </c>
    </row>
    <row r="37" spans="1:66" ht="15.75" customHeight="1" thickTop="1">
      <c r="A37" s="108"/>
      <c r="B37" s="351" t="s">
        <v>105</v>
      </c>
      <c r="C37" s="352" t="s">
        <v>106</v>
      </c>
      <c r="D37" s="108"/>
      <c r="E37" s="137" t="s">
        <v>34</v>
      </c>
      <c r="F37" s="138">
        <f>F36/1.1</f>
        <v>283181.81818181818</v>
      </c>
      <c r="G37" s="400">
        <f>F37/E36</f>
        <v>5343.0531732418522</v>
      </c>
      <c r="H37" s="140">
        <f>H36/1.1</f>
        <v>86418.181818181809</v>
      </c>
      <c r="I37" s="400">
        <f>H37/E36</f>
        <v>1630.5317324185246</v>
      </c>
      <c r="J37" s="401">
        <f>J36/1.1</f>
        <v>369599.99999999994</v>
      </c>
      <c r="K37" s="141">
        <f>G37+I37</f>
        <v>6973.5849056603765</v>
      </c>
      <c r="L37" s="142"/>
      <c r="M37" s="143" t="s">
        <v>86</v>
      </c>
      <c r="N37" s="144">
        <f>N36/1.1</f>
        <v>13999.999999999998</v>
      </c>
      <c r="O37" s="145">
        <f>N37/M36</f>
        <v>3499.9999999999995</v>
      </c>
      <c r="P37" s="145">
        <f>P36/1.1</f>
        <v>3999.9999999999995</v>
      </c>
      <c r="Q37" s="145">
        <f>P37/M36</f>
        <v>999.99999999999989</v>
      </c>
      <c r="R37" s="402">
        <f>R36/1.1</f>
        <v>18000</v>
      </c>
      <c r="S37" s="403">
        <f>R37/M36</f>
        <v>4500</v>
      </c>
      <c r="T37" s="404"/>
      <c r="U37" s="137" t="s">
        <v>34</v>
      </c>
      <c r="V37" s="138">
        <f>V36/1.1</f>
        <v>555000</v>
      </c>
      <c r="W37" s="400">
        <f>V37/U36</f>
        <v>11562.5</v>
      </c>
      <c r="X37" s="138">
        <f>X36/1.1</f>
        <v>181472.72727272726</v>
      </c>
      <c r="Y37" s="400">
        <f>X37/U36</f>
        <v>3780.681818181818</v>
      </c>
      <c r="Z37" s="405">
        <f>Z36/1.1</f>
        <v>736472.72727272718</v>
      </c>
      <c r="AA37" s="152">
        <f>Z37/U36</f>
        <v>15343.181818181816</v>
      </c>
      <c r="AB37" s="137" t="s">
        <v>34</v>
      </c>
      <c r="AC37" s="138">
        <f>AC36/1.1</f>
        <v>852181.81818181812</v>
      </c>
      <c r="AD37" s="138">
        <f>AD36/1.1</f>
        <v>271890.90909090906</v>
      </c>
      <c r="AE37" s="406">
        <f>AE36/1.1</f>
        <v>1116072.7272727273</v>
      </c>
      <c r="AF37" s="131">
        <f>AE37/AB36</f>
        <v>10629.264069264069</v>
      </c>
      <c r="AG37" s="150"/>
      <c r="AH37" s="137" t="s">
        <v>34</v>
      </c>
      <c r="AI37" s="138">
        <f>AI36/1.1</f>
        <v>1097581.8181818181</v>
      </c>
      <c r="AJ37" s="140">
        <f>AI37/AH36</f>
        <v>1186.5749385749384</v>
      </c>
      <c r="AK37" s="140">
        <f>AK36/1.1</f>
        <v>165090.90909090909</v>
      </c>
      <c r="AL37" s="140">
        <f>AK37/AH36</f>
        <v>178.47665847665849</v>
      </c>
      <c r="AM37" s="405">
        <f>AM36/1.1</f>
        <v>1262672.7272727271</v>
      </c>
      <c r="AN37" s="151">
        <f>AM37/AH36</f>
        <v>1365.0515970515969</v>
      </c>
      <c r="AO37" s="151"/>
      <c r="AP37" s="136"/>
      <c r="AQ37" s="151"/>
      <c r="AR37" s="136"/>
      <c r="AS37" s="137" t="s">
        <v>34</v>
      </c>
      <c r="AT37" s="152">
        <f>AT36/1.1</f>
        <v>1949763.6363636362</v>
      </c>
      <c r="AU37" s="138">
        <f>AU36/1.1</f>
        <v>436981.81818181812</v>
      </c>
      <c r="AV37" s="405">
        <f>AV36/1.1</f>
        <v>2378745.4545454541</v>
      </c>
      <c r="AW37" s="140">
        <f>AW36/1.1</f>
        <v>3999.9999999999995</v>
      </c>
      <c r="AX37" s="108"/>
      <c r="AY37" s="108"/>
      <c r="AZ37" s="108"/>
      <c r="BA37" s="108"/>
      <c r="BB37" s="153"/>
      <c r="BC37" s="108"/>
      <c r="BD37" s="108"/>
      <c r="BE37" s="108"/>
      <c r="BF37" s="153">
        <f>BF36/1.1</f>
        <v>1128072.7272727273</v>
      </c>
      <c r="BG37" s="153">
        <f>BG36/1.1</f>
        <v>1137072.7272727273</v>
      </c>
      <c r="BH37" s="108"/>
      <c r="BI37" s="163">
        <f>BI36/1.1</f>
        <v>999.99999999999989</v>
      </c>
      <c r="BJ37" s="163">
        <f>BJ36/1.1</f>
        <v>0</v>
      </c>
      <c r="BK37" s="163">
        <f>BK36/1.1</f>
        <v>1127072.7272727273</v>
      </c>
      <c r="BM37" s="163">
        <f>BM36/1.1</f>
        <v>1136072.7272727273</v>
      </c>
      <c r="BN37" s="163">
        <f>BN36/1.1</f>
        <v>2389745.4545454541</v>
      </c>
    </row>
    <row r="38" spans="1:66" ht="15.75" customHeight="1">
      <c r="A38" s="154"/>
      <c r="B38" s="155">
        <v>28</v>
      </c>
      <c r="C38" s="156">
        <v>28</v>
      </c>
      <c r="D38" s="154"/>
      <c r="E38" s="157" t="s">
        <v>35</v>
      </c>
      <c r="F38" s="158">
        <f>E36/G38</f>
        <v>5.8888888888888893</v>
      </c>
      <c r="G38" s="407">
        <v>9</v>
      </c>
      <c r="H38" s="160" t="s">
        <v>36</v>
      </c>
      <c r="I38" s="158"/>
      <c r="J38" s="161" t="s">
        <v>37</v>
      </c>
      <c r="K38" s="162">
        <f>J37/G38</f>
        <v>41066.666666666657</v>
      </c>
      <c r="L38" s="163"/>
      <c r="O38" s="165">
        <f>G38</f>
        <v>9</v>
      </c>
      <c r="P38" s="160" t="s">
        <v>36</v>
      </c>
      <c r="Q38" s="166"/>
      <c r="R38" s="161" t="s">
        <v>37</v>
      </c>
      <c r="S38" s="162">
        <f>R37/O38</f>
        <v>2000</v>
      </c>
      <c r="T38" s="162"/>
      <c r="U38" s="154"/>
      <c r="V38" s="157" t="s">
        <v>35</v>
      </c>
      <c r="W38" s="158">
        <f>U36/X38</f>
        <v>5.333333333333333</v>
      </c>
      <c r="X38" s="408">
        <f>G38</f>
        <v>9</v>
      </c>
      <c r="Y38" s="160" t="s">
        <v>36</v>
      </c>
      <c r="Z38" s="161" t="s">
        <v>37</v>
      </c>
      <c r="AA38" s="167">
        <f>Z37/X38</f>
        <v>81830.303030303025</v>
      </c>
      <c r="AC38" s="159">
        <f>G38</f>
        <v>9</v>
      </c>
      <c r="AD38" s="154"/>
      <c r="AE38" s="161" t="s">
        <v>37</v>
      </c>
      <c r="AF38" s="167">
        <f>AE37/AC38</f>
        <v>124008.08080808081</v>
      </c>
      <c r="AG38" s="168"/>
      <c r="AH38" s="154"/>
      <c r="AI38" s="154"/>
      <c r="AJ38" s="409">
        <f>G38</f>
        <v>9</v>
      </c>
      <c r="AK38" s="160" t="s">
        <v>36</v>
      </c>
      <c r="AL38" s="158"/>
      <c r="AM38" s="158"/>
      <c r="AN38" s="161" t="s">
        <v>37</v>
      </c>
      <c r="AO38" s="329">
        <f>AM37/AJ38</f>
        <v>140296.96969696967</v>
      </c>
      <c r="AP38" s="329"/>
      <c r="AQ38" s="329"/>
      <c r="AR38" s="329"/>
      <c r="AT38" s="154"/>
      <c r="AU38" s="154"/>
      <c r="AV38" s="154" t="s">
        <v>38</v>
      </c>
      <c r="AW38" s="163"/>
      <c r="AX38" s="163">
        <f>AV37/AY38</f>
        <v>2313.9547223204809</v>
      </c>
      <c r="AY38" s="171">
        <f>AS36+AH36</f>
        <v>1028</v>
      </c>
      <c r="AZ38" s="154" t="s">
        <v>39</v>
      </c>
      <c r="BA38" s="154"/>
      <c r="BB38" s="154"/>
      <c r="BC38" s="163"/>
      <c r="BD38" s="154"/>
      <c r="BE38" s="154"/>
      <c r="BF38" s="154"/>
      <c r="BG38" s="154"/>
      <c r="BH38" s="163"/>
      <c r="BI38" s="163"/>
      <c r="BJ38" s="163"/>
      <c r="BK38" s="163"/>
    </row>
    <row r="39" spans="1:66" ht="15.75" customHeight="1" thickBot="1">
      <c r="A39" s="154"/>
      <c r="B39" s="155"/>
      <c r="C39" s="156"/>
      <c r="D39" s="154" t="s">
        <v>40</v>
      </c>
      <c r="E39" s="154"/>
      <c r="F39" s="154"/>
      <c r="G39" s="154"/>
      <c r="H39" s="154"/>
      <c r="I39" s="154"/>
      <c r="J39" s="154"/>
      <c r="K39" s="154"/>
      <c r="L39" s="154" t="s">
        <v>41</v>
      </c>
      <c r="U39" s="154" t="s">
        <v>42</v>
      </c>
      <c r="V39" s="154"/>
      <c r="W39" s="154"/>
      <c r="X39" s="154"/>
      <c r="Y39" s="154"/>
      <c r="Z39" s="154"/>
      <c r="AA39" s="154"/>
      <c r="AB39" s="154"/>
      <c r="AC39" s="154"/>
      <c r="AD39" s="154"/>
      <c r="AE39" s="163"/>
      <c r="AF39" s="172"/>
      <c r="AG39" s="164" t="s">
        <v>43</v>
      </c>
      <c r="AH39" s="154"/>
      <c r="AI39" s="154"/>
      <c r="AJ39" s="154"/>
      <c r="AK39" s="154"/>
      <c r="AL39" s="154"/>
      <c r="AM39" s="158"/>
      <c r="AN39" s="158"/>
      <c r="AO39" s="173">
        <f>AH36/AJ38</f>
        <v>102.77777777777777</v>
      </c>
      <c r="AP39" s="173"/>
      <c r="AQ39" s="154"/>
      <c r="AR39" s="156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4"/>
      <c r="BI39" s="154"/>
      <c r="BJ39" s="154"/>
      <c r="BK39" s="154"/>
      <c r="BL39" s="163"/>
      <c r="BM39" s="163"/>
      <c r="BN39" s="163"/>
    </row>
    <row r="40" spans="1:66" ht="15.75" customHeight="1">
      <c r="A40" s="154"/>
      <c r="B40" s="155"/>
      <c r="C40" s="156"/>
      <c r="D40" s="174"/>
      <c r="E40" s="175" t="s">
        <v>44</v>
      </c>
      <c r="F40" s="175" t="s">
        <v>45</v>
      </c>
      <c r="G40" s="175" t="s">
        <v>46</v>
      </c>
      <c r="H40" s="175" t="s">
        <v>47</v>
      </c>
      <c r="I40" s="176" t="s">
        <v>48</v>
      </c>
      <c r="J40" s="175" t="s">
        <v>49</v>
      </c>
      <c r="K40" s="177" t="s">
        <v>50</v>
      </c>
      <c r="L40" s="174"/>
      <c r="M40" s="175" t="s">
        <v>44</v>
      </c>
      <c r="N40" s="175" t="s">
        <v>45</v>
      </c>
      <c r="O40" s="175" t="s">
        <v>46</v>
      </c>
      <c r="P40" s="175" t="s">
        <v>47</v>
      </c>
      <c r="Q40" s="176" t="s">
        <v>48</v>
      </c>
      <c r="R40" s="175" t="s">
        <v>49</v>
      </c>
      <c r="S40" s="177" t="s">
        <v>50</v>
      </c>
      <c r="T40" s="175"/>
      <c r="U40" s="175" t="s">
        <v>44</v>
      </c>
      <c r="V40" s="175" t="s">
        <v>45</v>
      </c>
      <c r="W40" s="175" t="s">
        <v>46</v>
      </c>
      <c r="X40" s="175" t="s">
        <v>47</v>
      </c>
      <c r="Y40" s="176" t="s">
        <v>48</v>
      </c>
      <c r="Z40" s="175" t="s">
        <v>49</v>
      </c>
      <c r="AA40" s="177" t="s">
        <v>50</v>
      </c>
      <c r="AB40" s="154"/>
      <c r="AC40" s="154"/>
      <c r="AD40" s="154"/>
      <c r="AE40" s="178"/>
      <c r="AF40" s="154"/>
      <c r="AG40" s="174"/>
      <c r="AH40" s="175" t="s">
        <v>44</v>
      </c>
      <c r="AI40" s="175" t="s">
        <v>45</v>
      </c>
      <c r="AJ40" s="175" t="s">
        <v>46</v>
      </c>
      <c r="AK40" s="175" t="s">
        <v>47</v>
      </c>
      <c r="AL40" s="176" t="s">
        <v>48</v>
      </c>
      <c r="AM40" s="175" t="s">
        <v>49</v>
      </c>
      <c r="AN40" s="177" t="s">
        <v>50</v>
      </c>
      <c r="AO40" s="164"/>
      <c r="AP40" s="156"/>
      <c r="AQ40" s="154"/>
      <c r="AR40" s="156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63"/>
      <c r="BM40" s="163"/>
      <c r="BN40" s="163"/>
    </row>
    <row r="41" spans="1:66" ht="15.75" customHeight="1">
      <c r="A41" s="154"/>
      <c r="B41" s="155"/>
      <c r="C41" s="156"/>
      <c r="D41" s="179" t="s">
        <v>51</v>
      </c>
      <c r="E41" s="180">
        <f t="shared" ref="E41:F46" si="39">E6+E13+E20+E27</f>
        <v>15</v>
      </c>
      <c r="F41" s="154">
        <f t="shared" si="39"/>
        <v>81400</v>
      </c>
      <c r="G41" s="181">
        <f>F41/E41</f>
        <v>5426.666666666667</v>
      </c>
      <c r="H41" s="154">
        <f t="shared" ref="H41:H46" si="40">H6+H13+H20+H27</f>
        <v>26180</v>
      </c>
      <c r="I41" s="182">
        <f>H41/E41</f>
        <v>1745.3333333333333</v>
      </c>
      <c r="J41" s="154">
        <f t="shared" ref="J41:J46" si="41">J6+J13+J20+J27</f>
        <v>107580</v>
      </c>
      <c r="K41" s="183">
        <f>J41/E41</f>
        <v>7172</v>
      </c>
      <c r="L41" s="179" t="s">
        <v>51</v>
      </c>
      <c r="M41" s="180">
        <f t="shared" ref="M41:N46" si="42">M6+M13+M20+M27</f>
        <v>0</v>
      </c>
      <c r="N41" s="154">
        <f t="shared" si="42"/>
        <v>0</v>
      </c>
      <c r="O41" s="181" t="e">
        <f>N41/M41</f>
        <v>#DIV/0!</v>
      </c>
      <c r="P41" s="154">
        <f t="shared" ref="P41:P46" si="43">P6+P13+P20+P27</f>
        <v>0</v>
      </c>
      <c r="Q41" s="182" t="e">
        <f>P41/M41</f>
        <v>#DIV/0!</v>
      </c>
      <c r="R41" s="154">
        <f t="shared" ref="R41:R46" si="44">R6+R13+R20+R27</f>
        <v>0</v>
      </c>
      <c r="S41" s="183" t="e">
        <f>R41/M41</f>
        <v>#DIV/0!</v>
      </c>
      <c r="T41" s="179" t="s">
        <v>51</v>
      </c>
      <c r="U41" s="180">
        <f t="shared" ref="U41:V46" si="45">U6+U13+U20+U27</f>
        <v>10</v>
      </c>
      <c r="V41" s="154">
        <f t="shared" si="45"/>
        <v>129800</v>
      </c>
      <c r="W41" s="181">
        <f>V41/U41</f>
        <v>12980</v>
      </c>
      <c r="X41" s="154">
        <f t="shared" ref="X41:X46" si="46">X6+X13+X20+X27</f>
        <v>37180</v>
      </c>
      <c r="Y41" s="182">
        <f>X41/U41</f>
        <v>3718</v>
      </c>
      <c r="Z41" s="154">
        <f t="shared" ref="Z41:Z46" si="47">Z6+Z13+Z20+Z27</f>
        <v>166980</v>
      </c>
      <c r="AA41" s="183">
        <f>Z41/U41</f>
        <v>16698</v>
      </c>
      <c r="AB41" s="154"/>
      <c r="AC41" s="154"/>
      <c r="AD41" s="154"/>
      <c r="AE41" s="154"/>
      <c r="AF41" s="154"/>
      <c r="AG41" s="179" t="s">
        <v>51</v>
      </c>
      <c r="AH41" s="180">
        <f t="shared" ref="AH41:AI46" si="48">AH6+AH13+AH20+AH27</f>
        <v>131</v>
      </c>
      <c r="AI41" s="154">
        <f t="shared" si="48"/>
        <v>176250</v>
      </c>
      <c r="AJ41" s="181">
        <f>AI41/AH41</f>
        <v>1345.4198473282443</v>
      </c>
      <c r="AK41" s="154">
        <f t="shared" ref="AK41:AK46" si="49">AK6+AK13+AK20+AK27</f>
        <v>16800</v>
      </c>
      <c r="AL41" s="182">
        <f>AK41/AH41</f>
        <v>128.24427480916032</v>
      </c>
      <c r="AM41" s="154">
        <f t="shared" ref="AM41:AM46" si="50">AM6+AM13+AM20+AM27</f>
        <v>193050</v>
      </c>
      <c r="AN41" s="183">
        <f>AM41/AH41</f>
        <v>1473.6641221374045</v>
      </c>
      <c r="AO41" s="164"/>
      <c r="AP41" s="156"/>
      <c r="AQ41" s="154"/>
      <c r="AR41" s="156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4"/>
      <c r="BK41" s="154"/>
      <c r="BL41" s="163"/>
      <c r="BM41" s="163"/>
      <c r="BN41" s="163"/>
    </row>
    <row r="42" spans="1:66" ht="15.75" customHeight="1">
      <c r="A42" s="154"/>
      <c r="B42" s="155"/>
      <c r="C42" s="156"/>
      <c r="D42" s="179" t="s">
        <v>52</v>
      </c>
      <c r="E42" s="180">
        <f t="shared" si="39"/>
        <v>11</v>
      </c>
      <c r="F42" s="154">
        <f t="shared" si="39"/>
        <v>51700</v>
      </c>
      <c r="G42" s="181">
        <f>F42/E42</f>
        <v>4700</v>
      </c>
      <c r="H42" s="154">
        <f t="shared" si="40"/>
        <v>21010</v>
      </c>
      <c r="I42" s="182">
        <f t="shared" ref="I42:I47" si="51">H42/E42</f>
        <v>1910</v>
      </c>
      <c r="J42" s="154">
        <f t="shared" si="41"/>
        <v>72710</v>
      </c>
      <c r="K42" s="183">
        <f t="shared" ref="K42:K46" si="52">J42/E42</f>
        <v>6610</v>
      </c>
      <c r="L42" s="179" t="s">
        <v>52</v>
      </c>
      <c r="M42" s="180">
        <f t="shared" si="42"/>
        <v>0</v>
      </c>
      <c r="N42" s="154">
        <f t="shared" si="42"/>
        <v>0</v>
      </c>
      <c r="O42" s="181" t="e">
        <f>N42/M42</f>
        <v>#DIV/0!</v>
      </c>
      <c r="P42" s="154">
        <f t="shared" si="43"/>
        <v>0</v>
      </c>
      <c r="Q42" s="182" t="e">
        <f t="shared" ref="Q42:Q43" si="53">P42/M42</f>
        <v>#DIV/0!</v>
      </c>
      <c r="R42" s="154">
        <f t="shared" si="44"/>
        <v>0</v>
      </c>
      <c r="S42" s="183" t="e">
        <f t="shared" ref="S42:S46" si="54">R42/M42</f>
        <v>#DIV/0!</v>
      </c>
      <c r="T42" s="179" t="s">
        <v>52</v>
      </c>
      <c r="U42" s="180">
        <f t="shared" si="45"/>
        <v>8</v>
      </c>
      <c r="V42" s="154">
        <f t="shared" si="45"/>
        <v>76900</v>
      </c>
      <c r="W42" s="181">
        <f>V42/U42</f>
        <v>9612.5</v>
      </c>
      <c r="X42" s="154">
        <f t="shared" si="46"/>
        <v>17160</v>
      </c>
      <c r="Y42" s="182">
        <f t="shared" ref="Y42:Y43" si="55">X42/U42</f>
        <v>2145</v>
      </c>
      <c r="Z42" s="154">
        <f t="shared" si="47"/>
        <v>94060</v>
      </c>
      <c r="AA42" s="183">
        <f t="shared" ref="AA42:AA46" si="56">Z42/U42</f>
        <v>11757.5</v>
      </c>
      <c r="AB42" s="154"/>
      <c r="AC42" s="154"/>
      <c r="AD42" s="154"/>
      <c r="AE42" s="154"/>
      <c r="AF42" s="154"/>
      <c r="AG42" s="179" t="s">
        <v>52</v>
      </c>
      <c r="AH42" s="180">
        <f t="shared" si="48"/>
        <v>159</v>
      </c>
      <c r="AI42" s="154">
        <f t="shared" si="48"/>
        <v>213380</v>
      </c>
      <c r="AJ42" s="181">
        <f>AI42/AH42</f>
        <v>1342.0125786163521</v>
      </c>
      <c r="AK42" s="154">
        <f t="shared" si="49"/>
        <v>37700</v>
      </c>
      <c r="AL42" s="182">
        <f t="shared" ref="AL42:AL43" si="57">AK42/AH42</f>
        <v>237.1069182389937</v>
      </c>
      <c r="AM42" s="154">
        <f t="shared" si="50"/>
        <v>251080</v>
      </c>
      <c r="AN42" s="183">
        <f t="shared" ref="AN42:AN46" si="58">AM42/AH42</f>
        <v>1579.1194968553459</v>
      </c>
      <c r="AO42" s="154"/>
      <c r="AP42" s="156"/>
      <c r="AQ42" s="154"/>
      <c r="AR42" s="156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/>
      <c r="BC42" s="154"/>
      <c r="BD42" s="154"/>
      <c r="BE42" s="154"/>
      <c r="BF42" s="154"/>
      <c r="BG42" s="154"/>
      <c r="BH42" s="154"/>
      <c r="BI42" s="154"/>
      <c r="BJ42" s="154"/>
      <c r="BK42" s="154"/>
      <c r="BL42" s="163"/>
      <c r="BM42" s="163"/>
      <c r="BN42" s="163"/>
    </row>
    <row r="43" spans="1:66" ht="15.75" customHeight="1">
      <c r="A43" s="154"/>
      <c r="B43" s="155"/>
      <c r="C43" s="156"/>
      <c r="D43" s="179" t="s">
        <v>53</v>
      </c>
      <c r="E43" s="180">
        <f t="shared" si="39"/>
        <v>4</v>
      </c>
      <c r="F43" s="154">
        <f t="shared" si="39"/>
        <v>22000</v>
      </c>
      <c r="G43" s="181">
        <f>F43/E43</f>
        <v>5500</v>
      </c>
      <c r="H43" s="154">
        <f t="shared" si="40"/>
        <v>6160</v>
      </c>
      <c r="I43" s="182">
        <f t="shared" si="51"/>
        <v>1540</v>
      </c>
      <c r="J43" s="154">
        <f t="shared" si="41"/>
        <v>28160</v>
      </c>
      <c r="K43" s="183">
        <f t="shared" si="52"/>
        <v>7040</v>
      </c>
      <c r="L43" s="179" t="s">
        <v>53</v>
      </c>
      <c r="M43" s="180">
        <f t="shared" si="42"/>
        <v>0</v>
      </c>
      <c r="N43" s="154">
        <f t="shared" si="42"/>
        <v>0</v>
      </c>
      <c r="O43" s="181" t="e">
        <f>N43/M43</f>
        <v>#DIV/0!</v>
      </c>
      <c r="P43" s="154">
        <f t="shared" si="43"/>
        <v>0</v>
      </c>
      <c r="Q43" s="182" t="e">
        <f t="shared" si="53"/>
        <v>#DIV/0!</v>
      </c>
      <c r="R43" s="154">
        <f t="shared" si="44"/>
        <v>0</v>
      </c>
      <c r="S43" s="183" t="e">
        <f t="shared" si="54"/>
        <v>#DIV/0!</v>
      </c>
      <c r="T43" s="179" t="s">
        <v>53</v>
      </c>
      <c r="U43" s="180">
        <f t="shared" si="45"/>
        <v>2</v>
      </c>
      <c r="V43" s="154">
        <f t="shared" si="45"/>
        <v>19800</v>
      </c>
      <c r="W43" s="181">
        <f>V43/U43</f>
        <v>9900</v>
      </c>
      <c r="X43" s="154">
        <f t="shared" si="46"/>
        <v>13200</v>
      </c>
      <c r="Y43" s="182">
        <f t="shared" si="55"/>
        <v>6600</v>
      </c>
      <c r="Z43" s="154">
        <f t="shared" si="47"/>
        <v>33000</v>
      </c>
      <c r="AA43" s="183">
        <f t="shared" si="56"/>
        <v>16500</v>
      </c>
      <c r="AB43" s="154"/>
      <c r="AC43" s="154"/>
      <c r="AD43" s="154"/>
      <c r="AE43" s="154"/>
      <c r="AF43" s="154"/>
      <c r="AG43" s="179" t="s">
        <v>53</v>
      </c>
      <c r="AH43" s="180">
        <f t="shared" si="48"/>
        <v>106</v>
      </c>
      <c r="AI43" s="154">
        <f t="shared" si="48"/>
        <v>149850</v>
      </c>
      <c r="AJ43" s="181">
        <f>AI43/AH43</f>
        <v>1413.6792452830189</v>
      </c>
      <c r="AK43" s="154">
        <f t="shared" si="49"/>
        <v>16500</v>
      </c>
      <c r="AL43" s="182">
        <f t="shared" si="57"/>
        <v>155.66037735849056</v>
      </c>
      <c r="AM43" s="154">
        <f t="shared" si="50"/>
        <v>166350</v>
      </c>
      <c r="AN43" s="183">
        <f t="shared" si="58"/>
        <v>1569.3396226415093</v>
      </c>
      <c r="AO43" s="154"/>
      <c r="AP43" s="156"/>
      <c r="AQ43" s="154"/>
      <c r="AR43" s="156"/>
      <c r="AS43" s="154"/>
      <c r="AT43" s="154"/>
      <c r="AU43" s="154"/>
      <c r="AV43" s="154"/>
      <c r="AW43" s="154"/>
      <c r="AX43" s="154"/>
      <c r="AY43" s="154"/>
      <c r="AZ43" s="154"/>
      <c r="BA43" s="154"/>
      <c r="BB43" s="154"/>
      <c r="BC43" s="154"/>
      <c r="BD43" s="154"/>
      <c r="BE43" s="154"/>
      <c r="BF43" s="154"/>
      <c r="BG43" s="154"/>
      <c r="BH43" s="154"/>
      <c r="BI43" s="154"/>
      <c r="BJ43" s="154"/>
      <c r="BK43" s="154"/>
      <c r="BL43" s="163"/>
      <c r="BM43" s="163"/>
      <c r="BN43" s="163"/>
    </row>
    <row r="44" spans="1:66" ht="15.75" customHeight="1">
      <c r="A44" s="154"/>
      <c r="B44" s="155"/>
      <c r="C44" s="156"/>
      <c r="D44" s="179" t="s">
        <v>54</v>
      </c>
      <c r="E44" s="180">
        <f t="shared" si="39"/>
        <v>2</v>
      </c>
      <c r="F44" s="154">
        <f t="shared" si="39"/>
        <v>17600</v>
      </c>
      <c r="G44" s="181">
        <f>F44/E44</f>
        <v>8800</v>
      </c>
      <c r="H44" s="154">
        <f t="shared" si="40"/>
        <v>2970</v>
      </c>
      <c r="I44" s="182">
        <f>H44/E44</f>
        <v>1485</v>
      </c>
      <c r="J44" s="154">
        <f t="shared" si="41"/>
        <v>20570</v>
      </c>
      <c r="K44" s="183">
        <f t="shared" si="52"/>
        <v>10285</v>
      </c>
      <c r="L44" s="179" t="s">
        <v>54</v>
      </c>
      <c r="M44" s="180">
        <f t="shared" si="42"/>
        <v>0</v>
      </c>
      <c r="N44" s="154">
        <f t="shared" si="42"/>
        <v>0</v>
      </c>
      <c r="O44" s="181" t="e">
        <f>N44/M44</f>
        <v>#DIV/0!</v>
      </c>
      <c r="P44" s="154">
        <f t="shared" si="43"/>
        <v>0</v>
      </c>
      <c r="Q44" s="182" t="e">
        <f>P44/M44</f>
        <v>#DIV/0!</v>
      </c>
      <c r="R44" s="154">
        <f t="shared" si="44"/>
        <v>0</v>
      </c>
      <c r="S44" s="183" t="e">
        <f t="shared" si="54"/>
        <v>#DIV/0!</v>
      </c>
      <c r="T44" s="179" t="s">
        <v>54</v>
      </c>
      <c r="U44" s="180">
        <f t="shared" si="45"/>
        <v>5</v>
      </c>
      <c r="V44" s="154">
        <f t="shared" si="45"/>
        <v>72600</v>
      </c>
      <c r="W44" s="181">
        <f>V44/U44</f>
        <v>14520</v>
      </c>
      <c r="X44" s="154">
        <f t="shared" si="46"/>
        <v>24880</v>
      </c>
      <c r="Y44" s="182">
        <f>X44/U44</f>
        <v>4976</v>
      </c>
      <c r="Z44" s="154">
        <f t="shared" si="47"/>
        <v>97480</v>
      </c>
      <c r="AA44" s="183">
        <f t="shared" si="56"/>
        <v>19496</v>
      </c>
      <c r="AB44" s="154"/>
      <c r="AC44" s="154"/>
      <c r="AD44" s="154"/>
      <c r="AE44" s="154"/>
      <c r="AF44" s="154"/>
      <c r="AG44" s="179" t="s">
        <v>54</v>
      </c>
      <c r="AH44" s="180">
        <f t="shared" si="48"/>
        <v>92</v>
      </c>
      <c r="AI44" s="154">
        <f t="shared" si="48"/>
        <v>132750</v>
      </c>
      <c r="AJ44" s="181">
        <f>AI44/AH44</f>
        <v>1442.9347826086957</v>
      </c>
      <c r="AK44" s="154">
        <f t="shared" si="49"/>
        <v>20700</v>
      </c>
      <c r="AL44" s="182">
        <f>AK44/AH44</f>
        <v>225</v>
      </c>
      <c r="AM44" s="154">
        <f t="shared" si="50"/>
        <v>153450</v>
      </c>
      <c r="AN44" s="183">
        <f t="shared" si="58"/>
        <v>1667.9347826086957</v>
      </c>
      <c r="AO44" s="154"/>
      <c r="AP44" s="156"/>
      <c r="AQ44" s="154"/>
      <c r="AR44" s="156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63"/>
      <c r="BM44" s="163"/>
      <c r="BN44" s="163"/>
    </row>
    <row r="45" spans="1:66" ht="15.75" customHeight="1">
      <c r="A45" s="154"/>
      <c r="B45" s="155"/>
      <c r="C45" s="156"/>
      <c r="D45" s="179" t="s">
        <v>55</v>
      </c>
      <c r="E45" s="180">
        <f t="shared" si="39"/>
        <v>6</v>
      </c>
      <c r="F45" s="154">
        <f t="shared" si="39"/>
        <v>39600</v>
      </c>
      <c r="G45" s="181">
        <f t="shared" ref="G45:G47" si="59">F45/E45</f>
        <v>6600</v>
      </c>
      <c r="H45" s="154">
        <f t="shared" si="40"/>
        <v>4290</v>
      </c>
      <c r="I45" s="182">
        <f t="shared" si="51"/>
        <v>715</v>
      </c>
      <c r="J45" s="154">
        <f t="shared" si="41"/>
        <v>43890</v>
      </c>
      <c r="K45" s="183">
        <f t="shared" si="52"/>
        <v>7315</v>
      </c>
      <c r="L45" s="179" t="s">
        <v>55</v>
      </c>
      <c r="M45" s="180">
        <f t="shared" si="42"/>
        <v>0</v>
      </c>
      <c r="N45" s="154">
        <f t="shared" si="42"/>
        <v>0</v>
      </c>
      <c r="O45" s="181" t="e">
        <f t="shared" ref="O45:O47" si="60">N45/M45</f>
        <v>#DIV/0!</v>
      </c>
      <c r="P45" s="154">
        <f t="shared" si="43"/>
        <v>0</v>
      </c>
      <c r="Q45" s="182" t="e">
        <f t="shared" ref="Q45:Q47" si="61">P45/M45</f>
        <v>#DIV/0!</v>
      </c>
      <c r="R45" s="154">
        <f t="shared" si="44"/>
        <v>0</v>
      </c>
      <c r="S45" s="183" t="e">
        <f t="shared" si="54"/>
        <v>#DIV/0!</v>
      </c>
      <c r="T45" s="179" t="s">
        <v>55</v>
      </c>
      <c r="U45" s="180">
        <f t="shared" si="45"/>
        <v>6</v>
      </c>
      <c r="V45" s="154">
        <f t="shared" si="45"/>
        <v>72600</v>
      </c>
      <c r="W45" s="181">
        <f t="shared" ref="W45:W47" si="62">V45/U45</f>
        <v>12100</v>
      </c>
      <c r="X45" s="154">
        <f t="shared" si="46"/>
        <v>52470</v>
      </c>
      <c r="Y45" s="182">
        <f t="shared" ref="Y45:Y47" si="63">X45/U45</f>
        <v>8745</v>
      </c>
      <c r="Z45" s="154">
        <f t="shared" si="47"/>
        <v>125070</v>
      </c>
      <c r="AA45" s="183">
        <f t="shared" si="56"/>
        <v>20845</v>
      </c>
      <c r="AB45" s="154"/>
      <c r="AC45" s="154"/>
      <c r="AD45" s="154"/>
      <c r="AE45" s="154"/>
      <c r="AF45" s="154"/>
      <c r="AG45" s="179" t="s">
        <v>55</v>
      </c>
      <c r="AH45" s="180">
        <f t="shared" si="48"/>
        <v>123</v>
      </c>
      <c r="AI45" s="154">
        <f t="shared" si="48"/>
        <v>123060</v>
      </c>
      <c r="AJ45" s="181">
        <f t="shared" ref="AJ45:AJ47" si="64">AI45/AH45</f>
        <v>1000.4878048780488</v>
      </c>
      <c r="AK45" s="154">
        <f t="shared" si="49"/>
        <v>32800</v>
      </c>
      <c r="AL45" s="182">
        <f t="shared" ref="AL45:AL47" si="65">AK45/AH45</f>
        <v>266.66666666666669</v>
      </c>
      <c r="AM45" s="154">
        <f t="shared" si="50"/>
        <v>155860</v>
      </c>
      <c r="AN45" s="183">
        <f t="shared" si="58"/>
        <v>1267.1544715447155</v>
      </c>
      <c r="AO45" s="154"/>
      <c r="AP45" s="156"/>
      <c r="AQ45" s="154"/>
      <c r="AR45" s="156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63"/>
      <c r="BM45" s="163"/>
      <c r="BN45" s="163"/>
    </row>
    <row r="46" spans="1:66" ht="15.75" customHeight="1">
      <c r="A46" s="154"/>
      <c r="B46" s="155"/>
      <c r="C46" s="156"/>
      <c r="D46" s="410" t="s">
        <v>56</v>
      </c>
      <c r="E46" s="180">
        <f t="shared" si="39"/>
        <v>4</v>
      </c>
      <c r="F46" s="154">
        <f t="shared" si="39"/>
        <v>21000</v>
      </c>
      <c r="G46" s="181">
        <f t="shared" si="59"/>
        <v>5250</v>
      </c>
      <c r="H46" s="154">
        <f t="shared" si="40"/>
        <v>12000</v>
      </c>
      <c r="I46" s="182">
        <f t="shared" si="51"/>
        <v>3000</v>
      </c>
      <c r="J46" s="154">
        <f t="shared" si="41"/>
        <v>33000</v>
      </c>
      <c r="K46" s="183">
        <f t="shared" si="52"/>
        <v>8250</v>
      </c>
      <c r="L46" s="410" t="s">
        <v>56</v>
      </c>
      <c r="M46" s="180">
        <f t="shared" si="42"/>
        <v>0</v>
      </c>
      <c r="N46" s="154">
        <f t="shared" si="42"/>
        <v>0</v>
      </c>
      <c r="O46" s="181" t="e">
        <f t="shared" si="60"/>
        <v>#DIV/0!</v>
      </c>
      <c r="P46" s="154">
        <f t="shared" si="43"/>
        <v>0</v>
      </c>
      <c r="Q46" s="182" t="e">
        <f t="shared" si="61"/>
        <v>#DIV/0!</v>
      </c>
      <c r="R46" s="154">
        <f t="shared" si="44"/>
        <v>0</v>
      </c>
      <c r="S46" s="183" t="e">
        <f t="shared" si="54"/>
        <v>#DIV/0!</v>
      </c>
      <c r="T46" s="410" t="s">
        <v>56</v>
      </c>
      <c r="U46" s="180">
        <f t="shared" si="45"/>
        <v>9</v>
      </c>
      <c r="V46" s="154">
        <f t="shared" si="45"/>
        <v>134000</v>
      </c>
      <c r="W46" s="181">
        <f t="shared" si="62"/>
        <v>14888.888888888889</v>
      </c>
      <c r="X46" s="154">
        <f t="shared" si="46"/>
        <v>25580</v>
      </c>
      <c r="Y46" s="182">
        <f t="shared" si="63"/>
        <v>2842.2222222222222</v>
      </c>
      <c r="Z46" s="154">
        <f t="shared" si="47"/>
        <v>159580</v>
      </c>
      <c r="AA46" s="183">
        <f t="shared" si="56"/>
        <v>17731.111111111109</v>
      </c>
      <c r="AB46" s="154"/>
      <c r="AC46" s="154"/>
      <c r="AD46" s="154"/>
      <c r="AE46" s="154"/>
      <c r="AF46" s="154"/>
      <c r="AG46" s="410" t="s">
        <v>56</v>
      </c>
      <c r="AH46" s="180">
        <f t="shared" si="48"/>
        <v>129</v>
      </c>
      <c r="AI46" s="154">
        <f t="shared" si="48"/>
        <v>160550</v>
      </c>
      <c r="AJ46" s="181">
        <f t="shared" si="64"/>
        <v>1244.5736434108528</v>
      </c>
      <c r="AK46" s="154">
        <f t="shared" si="49"/>
        <v>25900</v>
      </c>
      <c r="AL46" s="182">
        <f t="shared" si="65"/>
        <v>200.77519379844961</v>
      </c>
      <c r="AM46" s="154">
        <f t="shared" si="50"/>
        <v>186450</v>
      </c>
      <c r="AN46" s="183">
        <f t="shared" si="58"/>
        <v>1445.3488372093022</v>
      </c>
      <c r="AO46" s="154"/>
      <c r="AP46" s="156"/>
      <c r="AQ46" s="154"/>
      <c r="AR46" s="156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63"/>
      <c r="BM46" s="163"/>
      <c r="BN46" s="163"/>
    </row>
    <row r="47" spans="1:66" ht="15.75" customHeight="1" thickBot="1">
      <c r="A47" s="154"/>
      <c r="B47" s="155"/>
      <c r="C47" s="156"/>
      <c r="D47" s="411" t="s">
        <v>57</v>
      </c>
      <c r="E47" s="185">
        <f>E5+E12+E19+E26</f>
        <v>11</v>
      </c>
      <c r="F47" s="353">
        <f>F5+F12+F19+F26</f>
        <v>78200</v>
      </c>
      <c r="G47" s="186">
        <f t="shared" si="59"/>
        <v>7109.090909090909</v>
      </c>
      <c r="H47" s="353">
        <f>H5+H12+H19+H26</f>
        <v>22450</v>
      </c>
      <c r="I47" s="187">
        <f t="shared" si="51"/>
        <v>2040.909090909091</v>
      </c>
      <c r="J47" s="353">
        <f>J5+J12+J19+J26</f>
        <v>100650</v>
      </c>
      <c r="K47" s="188">
        <f>J47/E47</f>
        <v>9150</v>
      </c>
      <c r="L47" s="411" t="s">
        <v>57</v>
      </c>
      <c r="M47" s="185">
        <f>M5+M12+M19+M26</f>
        <v>4</v>
      </c>
      <c r="N47" s="353">
        <f>N5+N12+N19+N26</f>
        <v>15400</v>
      </c>
      <c r="O47" s="186">
        <f t="shared" si="60"/>
        <v>3850</v>
      </c>
      <c r="P47" s="353">
        <f>P5+P12+P19+P26</f>
        <v>4400</v>
      </c>
      <c r="Q47" s="187">
        <f t="shared" si="61"/>
        <v>1100</v>
      </c>
      <c r="R47" s="353">
        <f>R5+R12+R19+R26</f>
        <v>19800</v>
      </c>
      <c r="S47" s="188">
        <f>R47/M47</f>
        <v>4950</v>
      </c>
      <c r="T47" s="411" t="s">
        <v>57</v>
      </c>
      <c r="U47" s="185">
        <f>U5+U12+U19+U26</f>
        <v>8</v>
      </c>
      <c r="V47" s="353">
        <f>V5+V12+V19+V26</f>
        <v>104800</v>
      </c>
      <c r="W47" s="186">
        <f t="shared" si="62"/>
        <v>13100</v>
      </c>
      <c r="X47" s="353">
        <f>X5+X12+X19+X26</f>
        <v>29150</v>
      </c>
      <c r="Y47" s="187">
        <f t="shared" si="63"/>
        <v>3643.75</v>
      </c>
      <c r="Z47" s="353">
        <f>Z5+Z12+Z19+Z26</f>
        <v>133950</v>
      </c>
      <c r="AA47" s="188">
        <f>Z47/U47</f>
        <v>16743.75</v>
      </c>
      <c r="AB47" s="154"/>
      <c r="AC47" s="154"/>
      <c r="AD47" s="154"/>
      <c r="AE47" s="154"/>
      <c r="AF47" s="154"/>
      <c r="AG47" s="411" t="s">
        <v>57</v>
      </c>
      <c r="AH47" s="185">
        <f>AH5+AH12+AH19+AH26</f>
        <v>185</v>
      </c>
      <c r="AI47" s="353">
        <f>AI5+AI12+AI19+AI26</f>
        <v>251500</v>
      </c>
      <c r="AJ47" s="186">
        <f t="shared" si="64"/>
        <v>1359.4594594594594</v>
      </c>
      <c r="AK47" s="353">
        <f>AK5+AK12+AK19+AK26</f>
        <v>31200</v>
      </c>
      <c r="AL47" s="187">
        <f t="shared" si="65"/>
        <v>168.64864864864865</v>
      </c>
      <c r="AM47" s="353">
        <f>AM5+AM12+AM19+AM26</f>
        <v>282700</v>
      </c>
      <c r="AN47" s="188">
        <f>AM47/AH47</f>
        <v>1528.1081081081081</v>
      </c>
      <c r="AO47" s="154"/>
      <c r="AP47" s="156"/>
      <c r="AQ47" s="154"/>
      <c r="AR47" s="156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63"/>
      <c r="BM47" s="163"/>
      <c r="BN47" s="163"/>
    </row>
    <row r="48" spans="1:66" ht="15.75" customHeight="1">
      <c r="A48" s="154"/>
      <c r="B48" s="155"/>
      <c r="C48" s="156"/>
      <c r="D48" s="154"/>
      <c r="E48" s="154"/>
      <c r="F48" s="154"/>
      <c r="G48" s="154"/>
      <c r="H48" s="154"/>
      <c r="I48" s="154"/>
      <c r="J48" s="154"/>
      <c r="K48" s="154"/>
      <c r="L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H48" s="154"/>
      <c r="AI48" s="154"/>
      <c r="AJ48" s="154"/>
      <c r="AK48" s="154"/>
      <c r="AL48" s="154"/>
      <c r="AM48" s="154"/>
      <c r="AN48" s="154"/>
      <c r="AO48" s="154"/>
      <c r="AP48" s="156"/>
      <c r="AQ48" s="154"/>
      <c r="AR48" s="156"/>
      <c r="AS48" s="154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63"/>
      <c r="BM48" s="163"/>
      <c r="BN48" s="163"/>
    </row>
    <row r="49" spans="1:66" ht="15.75" customHeight="1">
      <c r="A49" s="154"/>
      <c r="B49" s="155"/>
      <c r="C49" s="156"/>
      <c r="D49" s="189" t="s">
        <v>58</v>
      </c>
      <c r="E49" s="190"/>
      <c r="F49" s="158"/>
      <c r="G49" s="191"/>
      <c r="H49" s="158"/>
      <c r="I49" s="158"/>
      <c r="J49" s="161"/>
      <c r="K49" s="170"/>
      <c r="L49" s="163"/>
      <c r="M49" s="192" t="s">
        <v>59</v>
      </c>
      <c r="O49" s="166"/>
      <c r="P49" s="166"/>
      <c r="Q49" s="166"/>
      <c r="R49" s="166"/>
      <c r="S49" s="166"/>
      <c r="T49" s="166"/>
      <c r="U49" s="193" t="s">
        <v>60</v>
      </c>
      <c r="V49" s="157"/>
      <c r="W49" s="158"/>
      <c r="X49" s="158"/>
      <c r="Y49" s="158"/>
      <c r="Z49" s="158"/>
      <c r="AA49" s="161"/>
      <c r="AB49" s="170"/>
      <c r="AC49" s="154"/>
      <c r="AD49" s="154"/>
      <c r="AE49" s="154"/>
      <c r="AF49" s="163"/>
      <c r="AG49" s="193" t="s">
        <v>61</v>
      </c>
      <c r="AI49" s="154"/>
      <c r="AJ49" s="158"/>
      <c r="AK49" s="158"/>
      <c r="AL49" s="158"/>
      <c r="AM49" s="158"/>
      <c r="AN49" s="158"/>
      <c r="AO49" s="330"/>
      <c r="AP49" s="330"/>
      <c r="AQ49" s="330"/>
      <c r="AR49" s="330"/>
      <c r="AT49" s="154"/>
      <c r="AU49" s="154"/>
      <c r="AV49" s="154" t="s">
        <v>62</v>
      </c>
      <c r="AX49" s="194">
        <f>AV37/AJ38</f>
        <v>264305.05050505046</v>
      </c>
      <c r="AY49" s="154" t="s">
        <v>63</v>
      </c>
      <c r="AZ49" s="154"/>
      <c r="BA49" s="154"/>
      <c r="BB49" s="154"/>
      <c r="BC49" s="163"/>
      <c r="BD49" s="154"/>
      <c r="BE49" s="154"/>
      <c r="BF49" s="154"/>
      <c r="BG49" s="154"/>
      <c r="BH49" s="163"/>
      <c r="BI49" s="163"/>
      <c r="BJ49" s="163"/>
      <c r="BK49" s="163"/>
    </row>
    <row r="50" spans="1:66" ht="21" customHeight="1">
      <c r="A50" s="154"/>
      <c r="B50" s="155"/>
      <c r="C50" s="195"/>
      <c r="D50" s="196"/>
      <c r="E50" s="17"/>
      <c r="F50" s="17"/>
      <c r="G50" s="17"/>
      <c r="H50" s="17"/>
      <c r="I50" s="17"/>
      <c r="J50" s="17"/>
      <c r="K50" s="305"/>
      <c r="L50" s="197"/>
      <c r="M50" s="198"/>
      <c r="N50" s="198"/>
      <c r="O50" s="198"/>
      <c r="P50" s="198"/>
      <c r="Q50" s="198"/>
      <c r="R50" s="198"/>
      <c r="S50" s="199"/>
      <c r="T50" s="315"/>
      <c r="U50" s="200"/>
      <c r="V50" s="201"/>
      <c r="W50" s="201"/>
      <c r="X50" s="201"/>
      <c r="Y50" s="201"/>
      <c r="Z50" s="201"/>
      <c r="AA50" s="202"/>
      <c r="AB50" s="203"/>
      <c r="AC50" s="154"/>
      <c r="AD50" s="154"/>
      <c r="AE50" s="163"/>
      <c r="AF50" s="163"/>
      <c r="AG50" s="204"/>
      <c r="AH50" s="205"/>
      <c r="AI50" s="205"/>
      <c r="AJ50" s="205"/>
      <c r="AK50" s="205"/>
      <c r="AL50" s="205"/>
      <c r="AM50" s="205"/>
      <c r="AN50" s="206"/>
      <c r="AO50" s="316"/>
      <c r="AP50" s="156"/>
      <c r="AQ50" s="316"/>
      <c r="AR50" s="156"/>
      <c r="AS50" s="203"/>
      <c r="AT50" s="154"/>
      <c r="AU50" s="154"/>
      <c r="AV50" s="154" t="s">
        <v>64</v>
      </c>
      <c r="AW50" s="163">
        <f>AV36+AW36</f>
        <v>2621020</v>
      </c>
      <c r="AX50" s="194">
        <f>AW50/AJ38</f>
        <v>291224.44444444444</v>
      </c>
      <c r="AY50" s="154" t="s">
        <v>65</v>
      </c>
      <c r="AZ50" s="154"/>
      <c r="BA50" s="154"/>
      <c r="BB50" s="154"/>
      <c r="BC50" s="154"/>
      <c r="BD50" s="154"/>
      <c r="BE50" s="154"/>
      <c r="BF50" s="154"/>
      <c r="BG50" s="154"/>
      <c r="BH50" s="163"/>
      <c r="BI50" s="163"/>
      <c r="BJ50" s="163"/>
      <c r="BK50" s="163"/>
    </row>
    <row r="51" spans="1:66" ht="21" customHeight="1">
      <c r="A51" s="154"/>
      <c r="B51" s="155"/>
      <c r="C51" s="195"/>
      <c r="D51" s="306"/>
      <c r="E51" s="307"/>
      <c r="F51" s="307"/>
      <c r="G51" s="307"/>
      <c r="H51" s="307"/>
      <c r="I51" s="307"/>
      <c r="J51" s="307"/>
      <c r="K51" s="308"/>
      <c r="L51" s="207"/>
      <c r="M51" s="208"/>
      <c r="N51" s="208"/>
      <c r="O51" s="208"/>
      <c r="P51" s="208"/>
      <c r="Q51" s="208"/>
      <c r="R51" s="208"/>
      <c r="S51" s="309"/>
      <c r="T51" s="172"/>
      <c r="U51" s="310"/>
      <c r="V51" s="209"/>
      <c r="W51" s="209"/>
      <c r="X51" s="209"/>
      <c r="Y51" s="209"/>
      <c r="Z51" s="209"/>
      <c r="AA51" s="311"/>
      <c r="AB51" s="203"/>
      <c r="AC51" s="154"/>
      <c r="AD51" s="154"/>
      <c r="AE51" s="154"/>
      <c r="AF51" s="163"/>
      <c r="AG51" s="210"/>
      <c r="AH51" s="211"/>
      <c r="AI51" s="211"/>
      <c r="AJ51" s="211"/>
      <c r="AK51" s="211"/>
      <c r="AL51" s="211"/>
      <c r="AM51" s="211"/>
      <c r="AN51" s="212"/>
      <c r="AO51" s="316"/>
      <c r="AP51" s="156"/>
      <c r="AQ51" s="316"/>
      <c r="AR51" s="156"/>
      <c r="AS51" s="203"/>
      <c r="AT51" s="154"/>
      <c r="AU51" s="154"/>
      <c r="AV51" s="154" t="s">
        <v>66</v>
      </c>
      <c r="AW51" s="153">
        <f>AV37+AW37</f>
        <v>2382745.4545454541</v>
      </c>
      <c r="AX51" s="194">
        <f>AW51/AJ38</f>
        <v>264749.4949494949</v>
      </c>
      <c r="AY51" s="154" t="s">
        <v>63</v>
      </c>
      <c r="AZ51" s="154"/>
      <c r="BA51" s="154"/>
      <c r="BB51" s="154"/>
      <c r="BC51" s="154"/>
      <c r="BD51" s="154"/>
      <c r="BE51" s="154"/>
      <c r="BF51" s="154"/>
      <c r="BG51" s="154"/>
      <c r="BH51" s="163"/>
      <c r="BI51" s="163"/>
      <c r="BJ51" s="163"/>
      <c r="BK51" s="163"/>
    </row>
    <row r="52" spans="1:66" ht="21" customHeight="1">
      <c r="A52" s="154"/>
      <c r="B52" s="155"/>
      <c r="C52" s="195"/>
      <c r="D52" s="306"/>
      <c r="E52" s="307"/>
      <c r="F52" s="307"/>
      <c r="G52" s="307"/>
      <c r="H52" s="307"/>
      <c r="I52" s="307"/>
      <c r="J52" s="307"/>
      <c r="K52" s="308"/>
      <c r="L52" s="207"/>
      <c r="M52" s="208"/>
      <c r="N52" s="208"/>
      <c r="O52" s="208"/>
      <c r="P52" s="208"/>
      <c r="Q52" s="208"/>
      <c r="R52" s="208"/>
      <c r="S52" s="309"/>
      <c r="T52" s="172"/>
      <c r="U52" s="310"/>
      <c r="V52" s="209"/>
      <c r="W52" s="209"/>
      <c r="X52" s="209"/>
      <c r="Y52" s="209"/>
      <c r="Z52" s="209"/>
      <c r="AA52" s="311"/>
      <c r="AB52" s="203"/>
      <c r="AC52" s="154"/>
      <c r="AD52" s="154"/>
      <c r="AE52" s="154"/>
      <c r="AF52" s="163"/>
      <c r="AG52" s="210"/>
      <c r="AH52" s="211"/>
      <c r="AI52" s="211"/>
      <c r="AJ52" s="211"/>
      <c r="AK52" s="211"/>
      <c r="AL52" s="211"/>
      <c r="AM52" s="211"/>
      <c r="AN52" s="212"/>
      <c r="AO52" s="316"/>
      <c r="AP52" s="156"/>
      <c r="AQ52" s="316"/>
      <c r="AR52" s="156"/>
      <c r="AS52" s="203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63"/>
      <c r="BM52" s="163"/>
      <c r="BN52" s="163"/>
    </row>
    <row r="53" spans="1:66" ht="21" customHeight="1">
      <c r="A53" s="154"/>
      <c r="B53" s="155"/>
      <c r="C53" s="195"/>
      <c r="D53" s="306"/>
      <c r="E53" s="307"/>
      <c r="F53" s="307"/>
      <c r="G53" s="307"/>
      <c r="H53" s="307"/>
      <c r="I53" s="307"/>
      <c r="J53" s="307"/>
      <c r="K53" s="308"/>
      <c r="L53" s="207"/>
      <c r="M53" s="208"/>
      <c r="N53" s="208"/>
      <c r="O53" s="208"/>
      <c r="P53" s="208"/>
      <c r="Q53" s="208"/>
      <c r="R53" s="208"/>
      <c r="S53" s="309"/>
      <c r="T53" s="172"/>
      <c r="U53" s="310"/>
      <c r="V53" s="209"/>
      <c r="W53" s="209"/>
      <c r="X53" s="209"/>
      <c r="Y53" s="209"/>
      <c r="Z53" s="209"/>
      <c r="AA53" s="311"/>
      <c r="AB53" s="203"/>
      <c r="AC53" s="154"/>
      <c r="AD53" s="154"/>
      <c r="AE53" s="154"/>
      <c r="AF53" s="154"/>
      <c r="AG53" s="210"/>
      <c r="AH53" s="211"/>
      <c r="AI53" s="211"/>
      <c r="AJ53" s="211"/>
      <c r="AK53" s="211"/>
      <c r="AL53" s="211"/>
      <c r="AM53" s="211"/>
      <c r="AN53" s="212"/>
      <c r="AO53" s="316"/>
      <c r="AP53" s="156"/>
      <c r="AQ53" s="316"/>
      <c r="AR53" s="156"/>
      <c r="AS53" s="203"/>
      <c r="AT53" s="154"/>
      <c r="AU53" s="154"/>
      <c r="AV53" s="154"/>
      <c r="AW53" s="163">
        <f>AV37+AW37</f>
        <v>2382745.4545454541</v>
      </c>
      <c r="AX53" s="172" t="s">
        <v>67</v>
      </c>
      <c r="AY53" s="172" t="s">
        <v>68</v>
      </c>
      <c r="AZ53" s="172" t="s">
        <v>69</v>
      </c>
      <c r="BA53" s="154"/>
      <c r="BB53" s="154"/>
      <c r="BC53" s="154"/>
      <c r="BD53" s="154"/>
      <c r="BE53" s="154"/>
      <c r="BF53" s="154"/>
      <c r="BG53" s="154"/>
      <c r="BH53" s="163"/>
      <c r="BI53" s="163"/>
      <c r="BJ53" s="163"/>
      <c r="BK53" s="163"/>
    </row>
    <row r="54" spans="1:66" ht="21" customHeight="1">
      <c r="A54" s="154"/>
      <c r="B54" s="155"/>
      <c r="C54" s="195"/>
      <c r="D54" s="312"/>
      <c r="E54" s="313"/>
      <c r="F54" s="313"/>
      <c r="G54" s="313"/>
      <c r="H54" s="313"/>
      <c r="I54" s="313"/>
      <c r="J54" s="313"/>
      <c r="K54" s="314"/>
      <c r="L54" s="213"/>
      <c r="M54" s="214"/>
      <c r="N54" s="214"/>
      <c r="O54" s="214"/>
      <c r="P54" s="214"/>
      <c r="Q54" s="214"/>
      <c r="R54" s="214"/>
      <c r="S54" s="215"/>
      <c r="T54" s="317"/>
      <c r="U54" s="216"/>
      <c r="V54" s="217"/>
      <c r="W54" s="217"/>
      <c r="X54" s="217"/>
      <c r="Y54" s="217"/>
      <c r="Z54" s="217"/>
      <c r="AA54" s="218"/>
      <c r="AB54" s="203"/>
      <c r="AC54" s="154"/>
      <c r="AD54" s="154"/>
      <c r="AE54" s="154"/>
      <c r="AF54" s="154"/>
      <c r="AG54" s="219"/>
      <c r="AH54" s="220"/>
      <c r="AI54" s="220"/>
      <c r="AJ54" s="220"/>
      <c r="AK54" s="220"/>
      <c r="AL54" s="220"/>
      <c r="AM54" s="220"/>
      <c r="AN54" s="221"/>
      <c r="AO54" s="316"/>
      <c r="AP54" s="156"/>
      <c r="AQ54" s="316"/>
      <c r="AR54" s="156"/>
      <c r="AS54" s="203"/>
      <c r="AT54" s="154"/>
      <c r="AU54" s="108"/>
      <c r="AV54" s="222" t="s">
        <v>70</v>
      </c>
      <c r="AW54" s="153">
        <f>J55+R55+Z55+AM55+AX54</f>
        <v>13372500</v>
      </c>
      <c r="AX54" s="223">
        <v>150000</v>
      </c>
      <c r="AY54" s="108">
        <v>135000</v>
      </c>
      <c r="AZ54" s="108"/>
      <c r="BA54" s="154"/>
      <c r="BB54" s="154"/>
      <c r="BC54" s="154"/>
      <c r="BD54" s="154"/>
      <c r="BE54" s="154"/>
      <c r="BF54" s="154"/>
      <c r="BG54" s="154"/>
      <c r="BH54" s="163"/>
      <c r="BI54" s="163"/>
      <c r="BJ54" s="163"/>
      <c r="BK54" s="163"/>
    </row>
    <row r="55" spans="1:66" ht="21" customHeight="1">
      <c r="A55" s="154"/>
      <c r="B55" s="155"/>
      <c r="C55" s="156"/>
      <c r="D55" s="154"/>
      <c r="E55" s="154"/>
      <c r="F55" s="154"/>
      <c r="G55" s="154"/>
      <c r="H55" s="224"/>
      <c r="I55" s="225" t="s">
        <v>71</v>
      </c>
      <c r="J55" s="226">
        <v>2475000</v>
      </c>
      <c r="K55" s="227" t="s">
        <v>72</v>
      </c>
      <c r="L55" s="108"/>
      <c r="M55" s="228"/>
      <c r="N55" s="228"/>
      <c r="O55" s="154"/>
      <c r="P55" s="224"/>
      <c r="Q55" s="225" t="s">
        <v>73</v>
      </c>
      <c r="R55" s="226">
        <v>525000</v>
      </c>
      <c r="S55" s="227" t="s">
        <v>72</v>
      </c>
      <c r="T55" s="227"/>
      <c r="U55" s="108"/>
      <c r="V55" s="108"/>
      <c r="W55" s="108"/>
      <c r="X55" s="108"/>
      <c r="Y55" s="225" t="s">
        <v>74</v>
      </c>
      <c r="Z55" s="226">
        <v>4230000</v>
      </c>
      <c r="AA55" s="227" t="s">
        <v>72</v>
      </c>
      <c r="AC55" s="108"/>
      <c r="AD55" s="225" t="s">
        <v>84</v>
      </c>
      <c r="AE55" s="226">
        <f>J55+R55+Z55+AX54</f>
        <v>7380000</v>
      </c>
      <c r="AF55" s="227" t="s">
        <v>72</v>
      </c>
      <c r="AG55" s="229"/>
      <c r="AH55" s="108"/>
      <c r="AI55" s="108"/>
      <c r="AJ55" s="108"/>
      <c r="AK55" s="108"/>
      <c r="AL55" s="224" t="s">
        <v>75</v>
      </c>
      <c r="AM55" s="226">
        <v>5992500</v>
      </c>
      <c r="AN55" s="227" t="s">
        <v>72</v>
      </c>
      <c r="AO55" s="227"/>
      <c r="AP55" s="156"/>
      <c r="AQ55" s="227"/>
      <c r="AR55" s="156"/>
      <c r="AT55" s="108"/>
      <c r="AU55" s="108"/>
      <c r="AV55" s="222" t="s">
        <v>76</v>
      </c>
      <c r="AW55" s="153">
        <f>AW54-AV37-AW37</f>
        <v>10989754.545454547</v>
      </c>
      <c r="AX55" s="153">
        <f>AX54-AW37</f>
        <v>146000</v>
      </c>
      <c r="AY55" s="230">
        <f>AW37/AX54</f>
        <v>2.6666666666666665E-2</v>
      </c>
      <c r="AZ55" s="154"/>
      <c r="BA55" s="154"/>
      <c r="BB55" s="154"/>
      <c r="BC55" s="154"/>
      <c r="BD55" s="163"/>
      <c r="BE55" s="163"/>
      <c r="BF55" s="154"/>
      <c r="BG55" s="154"/>
      <c r="BH55" s="163"/>
      <c r="BI55" s="163"/>
      <c r="BJ55" s="163"/>
      <c r="BK55" s="163"/>
    </row>
    <row r="56" spans="1:66" ht="21" customHeight="1">
      <c r="A56" s="154"/>
      <c r="B56" s="155"/>
      <c r="C56" s="156"/>
      <c r="D56" s="154"/>
      <c r="E56" s="154"/>
      <c r="F56" s="154"/>
      <c r="G56" s="154"/>
      <c r="H56" s="224"/>
      <c r="I56" s="224" t="s">
        <v>76</v>
      </c>
      <c r="J56" s="153">
        <f>J55-J37</f>
        <v>2105400</v>
      </c>
      <c r="K56" s="412">
        <f>B38-G38</f>
        <v>19</v>
      </c>
      <c r="L56" s="108"/>
      <c r="M56" s="228"/>
      <c r="N56" s="228"/>
      <c r="O56" s="154"/>
      <c r="P56" s="224"/>
      <c r="Q56" s="224" t="s">
        <v>76</v>
      </c>
      <c r="R56" s="153">
        <f>R55-R37</f>
        <v>507000</v>
      </c>
      <c r="S56" s="412">
        <f>K56</f>
        <v>19</v>
      </c>
      <c r="T56" s="413"/>
      <c r="U56" s="108"/>
      <c r="V56" s="108"/>
      <c r="W56" s="108"/>
      <c r="X56" s="108"/>
      <c r="Y56" s="224" t="s">
        <v>76</v>
      </c>
      <c r="Z56" s="153">
        <f>Z55-Z37</f>
        <v>3493527.2727272729</v>
      </c>
      <c r="AA56" s="412">
        <f>C38-X38</f>
        <v>19</v>
      </c>
      <c r="AC56" s="108"/>
      <c r="AD56" s="224" t="s">
        <v>76</v>
      </c>
      <c r="AE56" s="153">
        <f>AE55-AE37</f>
        <v>6263927.2727272725</v>
      </c>
      <c r="AF56" s="414">
        <f>AA56</f>
        <v>19</v>
      </c>
      <c r="AG56" s="228"/>
      <c r="AH56" s="108"/>
      <c r="AI56" s="108"/>
      <c r="AJ56" s="108"/>
      <c r="AK56" s="108"/>
      <c r="AL56" s="224" t="s">
        <v>76</v>
      </c>
      <c r="AM56" s="153">
        <f>AM55-AM37</f>
        <v>4729827.2727272734</v>
      </c>
      <c r="AN56" s="233">
        <f>AA56</f>
        <v>19</v>
      </c>
      <c r="AO56" s="108"/>
      <c r="AP56" s="156"/>
      <c r="AQ56" s="108"/>
      <c r="AR56" s="156"/>
      <c r="AT56" s="108"/>
      <c r="AU56" s="234"/>
      <c r="AV56" s="235" t="s">
        <v>77</v>
      </c>
      <c r="AW56" s="236">
        <f>AW55/AA56</f>
        <v>578408.13397129194</v>
      </c>
      <c r="AX56" s="237">
        <f>(AV37+AW37)/AW54</f>
        <v>0.17818249800302519</v>
      </c>
      <c r="AY56" s="237"/>
      <c r="AZ56" s="234"/>
      <c r="BA56" s="238"/>
      <c r="BB56" s="154"/>
      <c r="BC56" s="154"/>
      <c r="BD56" s="154"/>
      <c r="BE56" s="154"/>
      <c r="BF56" s="163"/>
      <c r="BG56" s="163"/>
      <c r="BH56" s="154"/>
      <c r="BI56" s="154"/>
      <c r="BJ56" s="154"/>
      <c r="BK56" s="154"/>
      <c r="BL56" s="154"/>
      <c r="BM56" s="154"/>
      <c r="BN56" s="154"/>
    </row>
    <row r="57" spans="1:66" ht="25.5" customHeight="1">
      <c r="A57" s="238"/>
      <c r="B57" s="239"/>
      <c r="C57" s="240"/>
      <c r="D57" s="238"/>
      <c r="E57" s="238"/>
      <c r="F57" s="238"/>
      <c r="G57" s="238"/>
      <c r="H57" s="241"/>
      <c r="I57" s="235" t="s">
        <v>77</v>
      </c>
      <c r="J57" s="242">
        <f>J56/K56</f>
        <v>110810.52631578948</v>
      </c>
      <c r="K57" s="243">
        <f>J37/J55</f>
        <v>0.14933333333333332</v>
      </c>
      <c r="L57" s="234"/>
      <c r="M57" s="244"/>
      <c r="N57" s="244"/>
      <c r="O57" s="238"/>
      <c r="P57" s="241"/>
      <c r="Q57" s="235" t="s">
        <v>77</v>
      </c>
      <c r="R57" s="242">
        <f>R56/S56</f>
        <v>26684.21052631579</v>
      </c>
      <c r="S57" s="243">
        <f>R37/R55</f>
        <v>3.4285714285714287E-2</v>
      </c>
      <c r="T57" s="243"/>
      <c r="U57" s="234"/>
      <c r="V57" s="234"/>
      <c r="W57" s="234"/>
      <c r="X57" s="234"/>
      <c r="Y57" s="235" t="s">
        <v>77</v>
      </c>
      <c r="Z57" s="236">
        <f>Z56/AA56</f>
        <v>183869.85645933016</v>
      </c>
      <c r="AA57" s="243">
        <f>Z37/Z55</f>
        <v>0.17410702772404898</v>
      </c>
      <c r="AC57" s="234"/>
      <c r="AD57" s="235" t="s">
        <v>77</v>
      </c>
      <c r="AE57" s="236">
        <f>AE56/AF56</f>
        <v>329680.38277511962</v>
      </c>
      <c r="AF57" s="243">
        <f>AE37/AE55</f>
        <v>0.15122936683912294</v>
      </c>
      <c r="AG57" s="245"/>
      <c r="AH57" s="234"/>
      <c r="AI57" s="234"/>
      <c r="AJ57" s="234"/>
      <c r="AK57" s="234"/>
      <c r="AL57" s="235" t="s">
        <v>77</v>
      </c>
      <c r="AM57" s="242">
        <f>AM56/AN56</f>
        <v>248938.27751196176</v>
      </c>
      <c r="AN57" s="243">
        <f>AM37/AM55</f>
        <v>0.21070884059619976</v>
      </c>
      <c r="AO57" s="243"/>
      <c r="AP57" s="240"/>
      <c r="AQ57" s="243"/>
      <c r="AR57" s="240"/>
      <c r="AT57" s="234"/>
      <c r="AU57" s="154"/>
      <c r="AV57" s="154"/>
      <c r="AW57" s="163"/>
      <c r="AX57" s="154"/>
      <c r="AY57" s="154"/>
      <c r="AZ57" s="154"/>
      <c r="BA57" s="154"/>
      <c r="BB57" s="238"/>
      <c r="BC57" s="238"/>
      <c r="BD57" s="238"/>
      <c r="BE57" s="238"/>
      <c r="BF57" s="246"/>
      <c r="BG57" s="246"/>
      <c r="BH57" s="238"/>
      <c r="BI57" s="238"/>
      <c r="BJ57" s="238"/>
      <c r="BK57" s="238"/>
      <c r="BL57" s="238"/>
      <c r="BM57" s="238"/>
      <c r="BN57" s="238"/>
    </row>
    <row r="58" spans="1:66" ht="15.75" customHeight="1">
      <c r="A58" s="154"/>
      <c r="B58" s="155"/>
      <c r="C58" s="156"/>
      <c r="D58" s="154"/>
      <c r="E58" s="154"/>
      <c r="F58" s="154"/>
      <c r="G58" s="154"/>
      <c r="H58" s="154"/>
      <c r="I58" s="154"/>
      <c r="J58" s="154"/>
      <c r="K58" s="154"/>
      <c r="L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H58" s="154"/>
      <c r="AI58" s="154"/>
      <c r="AJ58" s="154"/>
      <c r="AK58" s="154"/>
      <c r="AL58" s="154"/>
      <c r="AM58" s="154"/>
      <c r="AN58" s="154"/>
      <c r="AO58" s="154"/>
      <c r="AP58" s="156"/>
      <c r="AQ58" s="154"/>
      <c r="AR58" s="156"/>
      <c r="AS58" s="154"/>
      <c r="AT58" s="154"/>
      <c r="AU58" s="247"/>
      <c r="AV58" s="247"/>
      <c r="AW58" s="247"/>
      <c r="AX58" s="247"/>
      <c r="AY58" s="247"/>
      <c r="AZ58" s="247"/>
      <c r="BA58" s="247"/>
      <c r="BB58" s="154"/>
      <c r="BC58" s="154"/>
      <c r="BD58" s="154"/>
      <c r="BE58" s="154"/>
      <c r="BF58" s="163"/>
      <c r="BG58" s="163"/>
      <c r="BH58" s="154"/>
      <c r="BI58" s="154"/>
      <c r="BJ58" s="154"/>
      <c r="BK58" s="154"/>
      <c r="BL58" s="154"/>
      <c r="BM58" s="154"/>
      <c r="BN58" s="154"/>
    </row>
    <row r="59" spans="1:66" ht="36" customHeight="1">
      <c r="A59" s="247"/>
      <c r="B59" s="248"/>
      <c r="C59" s="249"/>
      <c r="D59" s="247"/>
      <c r="E59" s="247"/>
      <c r="F59" s="247"/>
      <c r="G59" s="247"/>
      <c r="H59" s="247"/>
      <c r="I59" s="247"/>
      <c r="J59" s="247"/>
      <c r="K59" s="247"/>
      <c r="L59" s="247"/>
      <c r="M59" s="250"/>
      <c r="N59" s="250"/>
      <c r="O59" s="250"/>
      <c r="P59" s="250"/>
      <c r="Q59" s="250"/>
      <c r="R59" s="250"/>
      <c r="S59" s="250"/>
      <c r="T59" s="250"/>
      <c r="U59" s="251"/>
      <c r="V59" s="154"/>
      <c r="W59" s="154"/>
      <c r="X59" s="154"/>
      <c r="Y59" s="154"/>
      <c r="Z59" s="154"/>
      <c r="AA59" s="251"/>
      <c r="AB59" s="247"/>
      <c r="AC59" s="247"/>
      <c r="AD59" s="247"/>
      <c r="AE59" s="1" t="s">
        <v>78</v>
      </c>
      <c r="AF59" s="247"/>
      <c r="AG59" s="250"/>
      <c r="AH59" s="247"/>
      <c r="AI59" s="247"/>
      <c r="AJ59" s="247"/>
      <c r="AK59" s="247"/>
      <c r="AL59" s="247"/>
      <c r="AM59" s="1" t="s">
        <v>78</v>
      </c>
      <c r="AN59" s="247"/>
      <c r="AO59" s="247"/>
      <c r="AP59" s="249"/>
      <c r="AQ59" s="247"/>
      <c r="AR59" s="249"/>
      <c r="AS59" s="247"/>
      <c r="AT59" s="247"/>
      <c r="AU59" s="1"/>
      <c r="AV59" s="1"/>
      <c r="AW59" s="1"/>
      <c r="AX59" s="1"/>
      <c r="AY59" s="1"/>
      <c r="AZ59" s="1"/>
      <c r="BA59" s="1"/>
      <c r="BB59" s="247"/>
      <c r="BC59" s="247"/>
      <c r="BD59" s="247"/>
      <c r="BE59" s="247"/>
      <c r="BF59" s="252"/>
      <c r="BG59" s="252"/>
      <c r="BH59" s="247"/>
      <c r="BI59" s="247"/>
      <c r="BJ59" s="247"/>
      <c r="BK59" s="247"/>
      <c r="BL59" s="247"/>
      <c r="BM59" s="247"/>
      <c r="BN59" s="247"/>
    </row>
    <row r="60" spans="1:66" ht="36" customHeight="1">
      <c r="A60" s="1"/>
      <c r="B60" s="253"/>
      <c r="C60" s="3"/>
      <c r="D60" s="1"/>
      <c r="E60" s="1"/>
      <c r="F60" s="1"/>
      <c r="G60" s="1"/>
      <c r="H60" s="1"/>
      <c r="I60" s="1"/>
      <c r="J60" s="1"/>
      <c r="K60" s="1"/>
      <c r="L60" s="1"/>
      <c r="M60" s="254"/>
      <c r="N60" s="255"/>
      <c r="O60" s="254"/>
      <c r="P60" s="254"/>
      <c r="Q60" s="254"/>
      <c r="R60" s="254"/>
      <c r="S60" s="254"/>
      <c r="T60" s="254"/>
      <c r="U60" s="256"/>
      <c r="V60" s="154"/>
      <c r="W60" s="154"/>
      <c r="X60" s="154"/>
      <c r="Y60" s="154"/>
      <c r="Z60" s="154"/>
      <c r="AA60" s="256"/>
      <c r="AB60" s="256"/>
      <c r="AC60" s="1"/>
      <c r="AD60" s="1"/>
      <c r="AE60" s="257">
        <f>AE61/AE37</f>
        <v>0.56447934315130976</v>
      </c>
      <c r="AF60" s="1"/>
      <c r="AG60" s="254" t="s">
        <v>79</v>
      </c>
      <c r="AH60" s="1"/>
      <c r="AI60" s="258"/>
      <c r="AJ60" s="1"/>
      <c r="AK60" s="1"/>
      <c r="AL60" s="1"/>
      <c r="AM60" s="257">
        <f>AM61/AM37</f>
        <v>0.36034673923999605</v>
      </c>
      <c r="AN60" s="1"/>
      <c r="AO60" s="254" t="s">
        <v>79</v>
      </c>
      <c r="AP60" s="3"/>
      <c r="AQ60" s="1"/>
      <c r="AR60" s="3"/>
      <c r="AS60" s="1"/>
      <c r="AT60" s="1"/>
      <c r="AU60" s="247"/>
      <c r="AV60" s="247"/>
      <c r="AW60" s="247"/>
      <c r="AX60" s="247"/>
      <c r="AY60" s="247"/>
      <c r="AZ60" s="247"/>
      <c r="BA60" s="247"/>
      <c r="BB60" s="1"/>
      <c r="BC60" s="1"/>
      <c r="BD60" s="1"/>
      <c r="BE60" s="1"/>
      <c r="BF60" s="259"/>
      <c r="BG60" s="259"/>
      <c r="BH60" s="1"/>
      <c r="BI60" s="1"/>
      <c r="BJ60" s="1"/>
      <c r="BK60" s="1"/>
      <c r="BL60" s="1"/>
      <c r="BM60" s="1"/>
      <c r="BN60" s="1"/>
    </row>
    <row r="61" spans="1:66" ht="15.75" customHeight="1">
      <c r="A61" s="154"/>
      <c r="B61" s="155"/>
      <c r="C61" s="156"/>
      <c r="D61" s="154"/>
      <c r="E61" s="154"/>
      <c r="F61" s="154"/>
      <c r="G61" s="154"/>
      <c r="H61" s="154"/>
      <c r="I61" s="154"/>
      <c r="J61" s="154"/>
      <c r="K61" s="154"/>
      <c r="L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63">
        <v>630000</v>
      </c>
      <c r="AF61" s="154">
        <v>47.75</v>
      </c>
      <c r="AG61" s="260">
        <f>AE61/AF61</f>
        <v>13193.71727748691</v>
      </c>
      <c r="AH61" s="154"/>
      <c r="AI61" s="154"/>
      <c r="AJ61" s="154"/>
      <c r="AK61" s="154"/>
      <c r="AL61" s="154"/>
      <c r="AM61" s="163">
        <v>455000</v>
      </c>
      <c r="AN61" s="154">
        <v>7.07</v>
      </c>
      <c r="AO61" s="260">
        <f>AM61/AN61</f>
        <v>64356.435643564357</v>
      </c>
      <c r="AP61" s="156"/>
      <c r="AQ61" s="154"/>
      <c r="AR61" s="156"/>
      <c r="AS61" s="154"/>
      <c r="AT61" s="154"/>
      <c r="AU61" s="154"/>
      <c r="AV61" s="154"/>
      <c r="AW61" s="154"/>
      <c r="AX61" s="154"/>
      <c r="AY61" s="154"/>
      <c r="AZ61" s="154"/>
      <c r="BA61" s="154"/>
      <c r="BB61" s="154"/>
      <c r="BC61" s="154"/>
      <c r="BD61" s="154"/>
      <c r="BE61" s="154"/>
      <c r="BF61" s="154"/>
      <c r="BG61" s="154"/>
      <c r="BH61" s="154"/>
      <c r="BI61" s="154"/>
      <c r="BJ61" s="154"/>
      <c r="BK61" s="154"/>
      <c r="BL61" s="163"/>
      <c r="BM61" s="163"/>
      <c r="BN61" s="163"/>
    </row>
    <row r="62" spans="1:66" ht="15.75" customHeight="1">
      <c r="A62" s="154"/>
      <c r="B62" s="155"/>
      <c r="C62" s="156"/>
      <c r="D62" s="154"/>
      <c r="E62" s="154"/>
      <c r="F62" s="154"/>
      <c r="G62" s="154"/>
      <c r="H62" s="154"/>
      <c r="I62" s="154"/>
      <c r="J62" s="154"/>
      <c r="K62" s="154"/>
      <c r="L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261">
        <f>AE37*0.105</f>
        <v>117187.63636363637</v>
      </c>
      <c r="AF62" s="262">
        <v>0.105</v>
      </c>
      <c r="AG62" s="263" t="s">
        <v>80</v>
      </c>
      <c r="AH62" s="154"/>
      <c r="AI62" s="154"/>
      <c r="AJ62" s="154"/>
      <c r="AK62" s="154"/>
      <c r="AL62" s="154"/>
      <c r="AM62" s="261">
        <f>AM37*0.105</f>
        <v>132580.63636363632</v>
      </c>
      <c r="AN62" s="262">
        <v>0.13</v>
      </c>
      <c r="AO62" s="164"/>
      <c r="AP62" s="156"/>
      <c r="AQ62" s="154"/>
      <c r="AR62" s="156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54"/>
      <c r="BD62" s="154"/>
      <c r="BE62" s="154"/>
      <c r="BF62" s="154"/>
      <c r="BG62" s="154"/>
      <c r="BH62" s="154"/>
      <c r="BI62" s="154"/>
      <c r="BJ62" s="154"/>
      <c r="BK62" s="154"/>
      <c r="BL62" s="163"/>
      <c r="BM62" s="163"/>
      <c r="BN62" s="163"/>
    </row>
    <row r="63" spans="1:66" ht="15.75" customHeight="1">
      <c r="A63" s="154"/>
      <c r="B63" s="155"/>
      <c r="C63" s="156"/>
      <c r="D63" s="154"/>
      <c r="E63" s="154"/>
      <c r="F63" s="154"/>
      <c r="G63" s="154"/>
      <c r="H63" s="154"/>
      <c r="I63" s="154"/>
      <c r="J63" s="154"/>
      <c r="K63" s="154"/>
      <c r="L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54"/>
      <c r="AE63" s="163">
        <f>AE61-AE62</f>
        <v>512812.36363636365</v>
      </c>
      <c r="AF63" s="172" t="s">
        <v>81</v>
      </c>
      <c r="AH63" s="154"/>
      <c r="AI63" s="154"/>
      <c r="AJ63" s="154"/>
      <c r="AK63" s="154"/>
      <c r="AL63" s="154"/>
      <c r="AM63" s="163">
        <f>AM61-AM62</f>
        <v>322419.36363636365</v>
      </c>
      <c r="AN63" s="172" t="s">
        <v>81</v>
      </c>
      <c r="AO63" s="164"/>
      <c r="AP63" s="156"/>
      <c r="AQ63" s="154"/>
      <c r="AR63" s="156"/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54"/>
      <c r="BJ63" s="154"/>
      <c r="BK63" s="154"/>
      <c r="BL63" s="163"/>
      <c r="BM63" s="163"/>
      <c r="BN63" s="163"/>
    </row>
    <row r="64" spans="1:66" ht="15.75" customHeight="1">
      <c r="A64" s="154"/>
      <c r="B64" s="155"/>
      <c r="C64" s="156"/>
      <c r="D64" s="154"/>
      <c r="E64" s="154"/>
      <c r="F64" s="154"/>
      <c r="G64" s="154"/>
      <c r="H64" s="154"/>
      <c r="I64" s="154"/>
      <c r="J64" s="154"/>
      <c r="K64" s="154"/>
      <c r="L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78">
        <v>6000000</v>
      </c>
      <c r="AF64" s="154"/>
      <c r="AH64" s="154"/>
      <c r="AI64" s="154"/>
      <c r="AJ64" s="154"/>
      <c r="AK64" s="154"/>
      <c r="AL64" s="154"/>
      <c r="AM64" s="178">
        <v>3500000</v>
      </c>
      <c r="AN64" s="154"/>
      <c r="AO64" s="164"/>
      <c r="AP64" s="156"/>
      <c r="AQ64" s="154"/>
      <c r="AR64" s="156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54"/>
      <c r="BJ64" s="154"/>
      <c r="BK64" s="154"/>
      <c r="BL64" s="163"/>
      <c r="BM64" s="163"/>
      <c r="BN64" s="163"/>
    </row>
    <row r="65" spans="1:66" ht="15.75" customHeight="1">
      <c r="A65" s="154"/>
      <c r="B65" s="155"/>
      <c r="C65" s="156"/>
      <c r="D65" s="154"/>
      <c r="E65" s="154"/>
      <c r="F65" s="154"/>
      <c r="G65" s="154"/>
      <c r="H65" s="154"/>
      <c r="I65" s="154"/>
      <c r="J65" s="154"/>
      <c r="K65" s="154"/>
      <c r="L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>
        <f>AE61/AE64</f>
        <v>0.105</v>
      </c>
      <c r="AF65" s="154"/>
      <c r="AH65" s="154"/>
      <c r="AI65" s="154"/>
      <c r="AJ65" s="154"/>
      <c r="AK65" s="154"/>
      <c r="AL65" s="154"/>
      <c r="AM65" s="154">
        <f>AM61/AM64</f>
        <v>0.13</v>
      </c>
      <c r="AN65" s="154"/>
      <c r="AO65" s="164"/>
      <c r="AP65" s="156"/>
      <c r="AQ65" s="154"/>
      <c r="AR65" s="156"/>
      <c r="AS65" s="154"/>
      <c r="AT65" s="154"/>
      <c r="AU65" s="154"/>
      <c r="AV65" s="154"/>
      <c r="AW65" s="154"/>
      <c r="AX65" s="154"/>
      <c r="AY65" s="154"/>
      <c r="AZ65" s="154"/>
      <c r="BA65" s="154"/>
      <c r="BB65" s="154"/>
      <c r="BC65" s="154"/>
      <c r="BD65" s="154"/>
      <c r="BE65" s="154"/>
      <c r="BF65" s="154"/>
      <c r="BG65" s="154"/>
      <c r="BH65" s="154"/>
      <c r="BI65" s="154"/>
      <c r="BJ65" s="154"/>
      <c r="BK65" s="154"/>
      <c r="BL65" s="163"/>
      <c r="BM65" s="163"/>
      <c r="BN65" s="163"/>
    </row>
    <row r="66" spans="1:66" ht="15.75" customHeight="1">
      <c r="A66" s="154"/>
      <c r="B66" s="155"/>
      <c r="C66" s="156"/>
      <c r="D66" s="154"/>
      <c r="E66" s="154"/>
      <c r="F66" s="154"/>
      <c r="G66" s="154"/>
      <c r="H66" s="154"/>
      <c r="I66" s="154"/>
      <c r="J66" s="154"/>
      <c r="K66" s="154"/>
      <c r="L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H66" s="154"/>
      <c r="AJ66" s="154"/>
      <c r="AK66" s="154"/>
      <c r="AL66" s="154"/>
      <c r="AM66" s="154"/>
      <c r="AN66" s="154"/>
      <c r="AO66" s="154"/>
      <c r="AP66" s="156"/>
      <c r="AQ66" s="154"/>
      <c r="AR66" s="156"/>
      <c r="AS66" s="154"/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63"/>
      <c r="BM66" s="163"/>
      <c r="BN66" s="163"/>
    </row>
    <row r="67" spans="1:66" ht="15.75" customHeight="1">
      <c r="A67" s="154"/>
      <c r="B67" s="155"/>
      <c r="C67" s="156"/>
      <c r="D67" s="154"/>
      <c r="E67" s="154"/>
      <c r="F67" s="154"/>
      <c r="G67" s="154"/>
      <c r="H67" s="154"/>
      <c r="I67" s="154"/>
      <c r="J67" s="154"/>
      <c r="K67" s="154"/>
      <c r="L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H67" s="154"/>
      <c r="AI67" s="154"/>
      <c r="AJ67" s="154"/>
      <c r="AK67" s="154"/>
      <c r="AL67" s="154"/>
      <c r="AM67" s="154"/>
      <c r="AN67" s="154"/>
      <c r="AO67" s="154"/>
      <c r="AP67" s="156"/>
      <c r="AQ67" s="154"/>
      <c r="AR67" s="156"/>
      <c r="AS67" s="154"/>
      <c r="AT67" s="154"/>
      <c r="AU67" s="154"/>
      <c r="AV67" s="154"/>
      <c r="AW67" s="154"/>
      <c r="AX67" s="154"/>
      <c r="AY67" s="154"/>
      <c r="AZ67" s="154"/>
      <c r="BA67" s="154"/>
      <c r="BB67" s="154"/>
      <c r="BC67" s="154"/>
      <c r="BD67" s="154"/>
      <c r="BE67" s="154"/>
      <c r="BF67" s="154"/>
      <c r="BG67" s="154"/>
      <c r="BH67" s="154"/>
      <c r="BI67" s="154"/>
      <c r="BJ67" s="154"/>
      <c r="BK67" s="154"/>
      <c r="BL67" s="163"/>
      <c r="BM67" s="163"/>
      <c r="BN67" s="163"/>
    </row>
    <row r="68" spans="1:66" ht="15.75" customHeight="1">
      <c r="A68" s="154"/>
      <c r="B68" s="155"/>
      <c r="C68" s="156"/>
      <c r="D68" s="154"/>
      <c r="E68" s="154"/>
      <c r="F68" s="154"/>
      <c r="G68" s="154"/>
      <c r="H68" s="154"/>
      <c r="I68" s="154"/>
      <c r="J68" s="154"/>
      <c r="K68" s="154"/>
      <c r="L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H68" s="154"/>
      <c r="AI68" s="154"/>
      <c r="AJ68" s="154"/>
      <c r="AK68" s="154"/>
      <c r="AL68" s="154"/>
      <c r="AM68" s="154"/>
      <c r="AN68" s="154"/>
      <c r="AO68" s="154"/>
      <c r="AP68" s="156"/>
      <c r="AQ68" s="154"/>
      <c r="AR68" s="156"/>
      <c r="AS68" s="154"/>
      <c r="AT68" s="154"/>
      <c r="AU68" s="154"/>
      <c r="AV68" s="154"/>
      <c r="AW68" s="154"/>
      <c r="AX68" s="154"/>
      <c r="AY68" s="154"/>
      <c r="AZ68" s="154"/>
      <c r="BA68" s="154"/>
      <c r="BB68" s="154"/>
      <c r="BC68" s="154"/>
      <c r="BD68" s="154"/>
      <c r="BE68" s="154"/>
      <c r="BF68" s="154"/>
      <c r="BG68" s="154"/>
      <c r="BH68" s="154"/>
      <c r="BI68" s="154"/>
      <c r="BJ68" s="154"/>
      <c r="BK68" s="154"/>
      <c r="BL68" s="163"/>
      <c r="BM68" s="163"/>
      <c r="BN68" s="163"/>
    </row>
    <row r="69" spans="1:66" ht="15.75" customHeight="1">
      <c r="A69" s="154"/>
      <c r="B69" s="155"/>
      <c r="C69" s="156"/>
      <c r="D69" s="154"/>
      <c r="E69" s="154"/>
      <c r="F69" s="154"/>
      <c r="G69" s="154"/>
      <c r="H69" s="154"/>
      <c r="I69" s="154"/>
      <c r="J69" s="154"/>
      <c r="K69" s="154"/>
      <c r="L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H69" s="154"/>
      <c r="AI69" s="154"/>
      <c r="AJ69" s="154"/>
      <c r="AK69" s="154"/>
      <c r="AL69" s="154"/>
      <c r="AM69" s="154"/>
      <c r="AN69" s="154"/>
      <c r="AO69" s="154"/>
      <c r="AP69" s="156"/>
      <c r="AQ69" s="154"/>
      <c r="AR69" s="156"/>
      <c r="AS69" s="154"/>
      <c r="AT69" s="154"/>
      <c r="AU69" s="154"/>
      <c r="AV69" s="154"/>
      <c r="AW69" s="154"/>
      <c r="AX69" s="154"/>
      <c r="AY69" s="154"/>
      <c r="AZ69" s="154"/>
      <c r="BA69" s="154"/>
      <c r="BB69" s="154"/>
      <c r="BC69" s="154"/>
      <c r="BD69" s="154"/>
      <c r="BE69" s="154"/>
      <c r="BF69" s="154"/>
      <c r="BG69" s="154"/>
      <c r="BH69" s="154"/>
      <c r="BI69" s="154"/>
      <c r="BJ69" s="154"/>
      <c r="BK69" s="154"/>
      <c r="BL69" s="163"/>
      <c r="BM69" s="163"/>
      <c r="BN69" s="163"/>
    </row>
    <row r="70" spans="1:66" ht="15.75" customHeight="1">
      <c r="A70" s="154"/>
      <c r="B70" s="155"/>
      <c r="C70" s="156"/>
      <c r="D70" s="154"/>
      <c r="E70" s="154"/>
      <c r="F70" s="154"/>
      <c r="G70" s="154"/>
      <c r="H70" s="154"/>
      <c r="I70" s="154"/>
      <c r="J70" s="154"/>
      <c r="K70" s="154"/>
      <c r="L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H70" s="154"/>
      <c r="AI70" s="154"/>
      <c r="AJ70" s="154"/>
      <c r="AK70" s="154"/>
      <c r="AL70" s="154"/>
      <c r="AM70" s="154"/>
      <c r="AN70" s="154"/>
      <c r="AO70" s="154"/>
      <c r="AP70" s="156"/>
      <c r="AQ70" s="154"/>
      <c r="AR70" s="156"/>
      <c r="AS70" s="154"/>
      <c r="AT70" s="154"/>
      <c r="AU70" s="154"/>
      <c r="AV70" s="154"/>
      <c r="AW70" s="154"/>
      <c r="AX70" s="154"/>
      <c r="AY70" s="154"/>
      <c r="AZ70" s="154"/>
      <c r="BA70" s="154"/>
      <c r="BB70" s="154"/>
      <c r="BC70" s="154"/>
      <c r="BD70" s="154"/>
      <c r="BE70" s="154"/>
      <c r="BF70" s="154"/>
      <c r="BG70" s="154"/>
      <c r="BH70" s="154"/>
      <c r="BI70" s="154"/>
      <c r="BJ70" s="154"/>
      <c r="BK70" s="154"/>
      <c r="BL70" s="163"/>
      <c r="BM70" s="163"/>
      <c r="BN70" s="163"/>
    </row>
    <row r="71" spans="1:66" ht="15.75" customHeight="1">
      <c r="A71" s="154"/>
      <c r="B71" s="155"/>
      <c r="C71" s="156"/>
      <c r="D71" s="154"/>
      <c r="E71" s="154"/>
      <c r="F71" s="154"/>
      <c r="G71" s="154"/>
      <c r="H71" s="154"/>
      <c r="I71" s="154"/>
      <c r="J71" s="154"/>
      <c r="K71" s="154"/>
      <c r="L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H71" s="154"/>
      <c r="AI71" s="154"/>
      <c r="AJ71" s="154"/>
      <c r="AK71" s="154"/>
      <c r="AL71" s="154"/>
      <c r="AM71" s="154"/>
      <c r="AN71" s="154"/>
      <c r="AO71" s="154"/>
      <c r="AP71" s="156"/>
      <c r="AQ71" s="154"/>
      <c r="AR71" s="156"/>
      <c r="AS71" s="154"/>
      <c r="AT71" s="154"/>
      <c r="AU71" s="154"/>
      <c r="AV71" s="154"/>
      <c r="AW71" s="154"/>
      <c r="AX71" s="154"/>
      <c r="AY71" s="154"/>
      <c r="AZ71" s="154"/>
      <c r="BA71" s="154"/>
      <c r="BB71" s="154"/>
      <c r="BC71" s="154"/>
      <c r="BD71" s="154"/>
      <c r="BE71" s="154"/>
      <c r="BF71" s="154"/>
      <c r="BG71" s="154"/>
      <c r="BH71" s="154"/>
      <c r="BI71" s="154"/>
      <c r="BJ71" s="154"/>
      <c r="BK71" s="154"/>
      <c r="BL71" s="163"/>
      <c r="BM71" s="163"/>
      <c r="BN71" s="163"/>
    </row>
    <row r="72" spans="1:66" ht="15.75" customHeight="1">
      <c r="A72" s="154"/>
      <c r="B72" s="155"/>
      <c r="C72" s="156"/>
      <c r="D72" s="154"/>
      <c r="E72" s="154"/>
      <c r="F72" s="154"/>
      <c r="G72" s="154"/>
      <c r="H72" s="154"/>
      <c r="I72" s="154"/>
      <c r="J72" s="154"/>
      <c r="K72" s="154"/>
      <c r="L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H72" s="154"/>
      <c r="AI72" s="154"/>
      <c r="AJ72" s="154"/>
      <c r="AK72" s="154"/>
      <c r="AL72" s="154"/>
      <c r="AM72" s="154"/>
      <c r="AN72" s="154"/>
      <c r="AO72" s="154"/>
      <c r="AP72" s="156"/>
      <c r="AQ72" s="154"/>
      <c r="AR72" s="156"/>
      <c r="AS72" s="154"/>
      <c r="AT72" s="154"/>
      <c r="AU72" s="154"/>
      <c r="AV72" s="154"/>
      <c r="AW72" s="154"/>
      <c r="AX72" s="154"/>
      <c r="AY72" s="154"/>
      <c r="AZ72" s="154"/>
      <c r="BA72" s="154"/>
      <c r="BB72" s="154"/>
      <c r="BC72" s="154"/>
      <c r="BD72" s="154"/>
      <c r="BE72" s="154"/>
      <c r="BF72" s="154"/>
      <c r="BG72" s="154"/>
      <c r="BH72" s="154"/>
      <c r="BI72" s="154"/>
      <c r="BJ72" s="154"/>
      <c r="BK72" s="154"/>
      <c r="BL72" s="163"/>
      <c r="BM72" s="163"/>
      <c r="BN72" s="163"/>
    </row>
    <row r="73" spans="1:66" ht="15.75" customHeight="1">
      <c r="A73" s="154"/>
      <c r="B73" s="155"/>
      <c r="C73" s="156"/>
      <c r="D73" s="154"/>
      <c r="E73" s="154"/>
      <c r="F73" s="154"/>
      <c r="G73" s="154"/>
      <c r="H73" s="154"/>
      <c r="I73" s="154"/>
      <c r="J73" s="154"/>
      <c r="K73" s="154"/>
      <c r="L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H73" s="154"/>
      <c r="AI73" s="154"/>
      <c r="AJ73" s="154"/>
      <c r="AK73" s="154"/>
      <c r="AL73" s="154"/>
      <c r="AM73" s="154"/>
      <c r="AN73" s="154"/>
      <c r="AO73" s="154"/>
      <c r="AP73" s="156"/>
      <c r="AQ73" s="154"/>
      <c r="AR73" s="156"/>
      <c r="AS73" s="154"/>
      <c r="AT73" s="154"/>
      <c r="AU73" s="154"/>
      <c r="AV73" s="154"/>
      <c r="AW73" s="154"/>
      <c r="AX73" s="154"/>
      <c r="AY73" s="154"/>
      <c r="AZ73" s="154"/>
      <c r="BA73" s="154"/>
      <c r="BB73" s="154"/>
      <c r="BC73" s="154"/>
      <c r="BD73" s="154"/>
      <c r="BE73" s="154"/>
      <c r="BF73" s="154"/>
      <c r="BG73" s="154"/>
      <c r="BH73" s="154"/>
      <c r="BI73" s="154"/>
      <c r="BJ73" s="154"/>
      <c r="BK73" s="154"/>
      <c r="BL73" s="163"/>
      <c r="BM73" s="163"/>
      <c r="BN73" s="163"/>
    </row>
    <row r="74" spans="1:66" ht="15.75" customHeight="1">
      <c r="A74" s="154"/>
      <c r="B74" s="155"/>
      <c r="C74" s="156"/>
      <c r="D74" s="154"/>
      <c r="E74" s="154"/>
      <c r="F74" s="154"/>
      <c r="G74" s="154"/>
      <c r="H74" s="154"/>
      <c r="I74" s="154"/>
      <c r="J74" s="154"/>
      <c r="K74" s="154"/>
      <c r="L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H74" s="154"/>
      <c r="AI74" s="154"/>
      <c r="AJ74" s="154"/>
      <c r="AK74" s="154"/>
      <c r="AL74" s="154"/>
      <c r="AM74" s="154"/>
      <c r="AN74" s="154"/>
      <c r="AO74" s="154"/>
      <c r="AP74" s="156"/>
      <c r="AQ74" s="154"/>
      <c r="AR74" s="156"/>
      <c r="AS74" s="154"/>
      <c r="AT74" s="154"/>
      <c r="AU74" s="154"/>
      <c r="AV74" s="154"/>
      <c r="AW74" s="154"/>
      <c r="AX74" s="154"/>
      <c r="AY74" s="154"/>
      <c r="AZ74" s="154"/>
      <c r="BA74" s="154"/>
      <c r="BB74" s="154"/>
      <c r="BC74" s="154"/>
      <c r="BD74" s="154"/>
      <c r="BE74" s="154"/>
      <c r="BF74" s="154"/>
      <c r="BG74" s="154"/>
      <c r="BH74" s="154"/>
      <c r="BI74" s="154"/>
      <c r="BJ74" s="154"/>
      <c r="BK74" s="154"/>
      <c r="BL74" s="163"/>
      <c r="BM74" s="163"/>
      <c r="BN74" s="163"/>
    </row>
    <row r="75" spans="1:66" ht="15.75" customHeight="1">
      <c r="A75" s="154"/>
      <c r="B75" s="155"/>
      <c r="C75" s="156"/>
      <c r="D75" s="154"/>
      <c r="E75" s="154"/>
      <c r="F75" s="154"/>
      <c r="G75" s="154"/>
      <c r="H75" s="154"/>
      <c r="I75" s="154"/>
      <c r="J75" s="154"/>
      <c r="K75" s="154"/>
      <c r="L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H75" s="154"/>
      <c r="AI75" s="154"/>
      <c r="AJ75" s="154"/>
      <c r="AK75" s="154"/>
      <c r="AL75" s="154"/>
      <c r="AM75" s="154"/>
      <c r="AN75" s="154"/>
      <c r="AO75" s="154"/>
      <c r="AP75" s="156"/>
      <c r="AQ75" s="154"/>
      <c r="AR75" s="156"/>
      <c r="AS75" s="154"/>
      <c r="AT75" s="154"/>
      <c r="AU75" s="154"/>
      <c r="AV75" s="154"/>
      <c r="AW75" s="154"/>
      <c r="AX75" s="154"/>
      <c r="AY75" s="154"/>
      <c r="AZ75" s="154"/>
      <c r="BA75" s="154"/>
      <c r="BB75" s="154"/>
      <c r="BC75" s="154"/>
      <c r="BD75" s="154"/>
      <c r="BE75" s="154"/>
      <c r="BF75" s="154"/>
      <c r="BG75" s="154"/>
      <c r="BH75" s="154"/>
      <c r="BI75" s="154"/>
      <c r="BJ75" s="154"/>
      <c r="BK75" s="154"/>
      <c r="BL75" s="163"/>
      <c r="BM75" s="163"/>
      <c r="BN75" s="163"/>
    </row>
    <row r="76" spans="1:66" ht="15.75" customHeight="1">
      <c r="A76" s="154"/>
      <c r="B76" s="155"/>
      <c r="C76" s="156"/>
      <c r="D76" s="154"/>
      <c r="E76" s="154"/>
      <c r="F76" s="154"/>
      <c r="G76" s="154"/>
      <c r="H76" s="154"/>
      <c r="I76" s="154"/>
      <c r="J76" s="154"/>
      <c r="K76" s="154"/>
      <c r="L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H76" s="154"/>
      <c r="AI76" s="154"/>
      <c r="AJ76" s="154"/>
      <c r="AK76" s="154"/>
      <c r="AL76" s="154"/>
      <c r="AM76" s="154"/>
      <c r="AN76" s="154"/>
      <c r="AO76" s="154"/>
      <c r="AP76" s="156"/>
      <c r="AQ76" s="154"/>
      <c r="AR76" s="156"/>
      <c r="AS76" s="154"/>
      <c r="AT76" s="154"/>
      <c r="AU76" s="154"/>
      <c r="AV76" s="154"/>
      <c r="AW76" s="154"/>
      <c r="AX76" s="154"/>
      <c r="AY76" s="154"/>
      <c r="AZ76" s="154"/>
      <c r="BA76" s="154"/>
      <c r="BB76" s="154"/>
      <c r="BC76" s="154"/>
      <c r="BD76" s="154"/>
      <c r="BE76" s="154"/>
      <c r="BF76" s="154"/>
      <c r="BG76" s="154"/>
      <c r="BH76" s="154"/>
      <c r="BI76" s="154"/>
      <c r="BJ76" s="154"/>
      <c r="BK76" s="154"/>
      <c r="BL76" s="163"/>
      <c r="BM76" s="163"/>
      <c r="BN76" s="163"/>
    </row>
    <row r="77" spans="1:66" ht="15.75" customHeight="1">
      <c r="A77" s="154"/>
      <c r="B77" s="155"/>
      <c r="C77" s="156"/>
      <c r="D77" s="154"/>
      <c r="E77" s="154"/>
      <c r="F77" s="154"/>
      <c r="G77" s="154"/>
      <c r="H77" s="154"/>
      <c r="I77" s="154"/>
      <c r="J77" s="154"/>
      <c r="K77" s="154"/>
      <c r="L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H77" s="154"/>
      <c r="AI77" s="154"/>
      <c r="AJ77" s="154"/>
      <c r="AK77" s="154"/>
      <c r="AL77" s="154"/>
      <c r="AM77" s="154"/>
      <c r="AN77" s="154"/>
      <c r="AO77" s="154"/>
      <c r="AP77" s="156"/>
      <c r="AQ77" s="154"/>
      <c r="AR77" s="156"/>
      <c r="AS77" s="154"/>
      <c r="AT77" s="154"/>
      <c r="AU77" s="154"/>
      <c r="AV77" s="154"/>
      <c r="AW77" s="154"/>
      <c r="AX77" s="154"/>
      <c r="AY77" s="154"/>
      <c r="AZ77" s="154"/>
      <c r="BA77" s="154"/>
      <c r="BB77" s="154"/>
      <c r="BC77" s="154"/>
      <c r="BD77" s="154"/>
      <c r="BE77" s="154"/>
      <c r="BF77" s="154"/>
      <c r="BG77" s="154"/>
      <c r="BH77" s="154"/>
      <c r="BI77" s="154"/>
      <c r="BJ77" s="154"/>
      <c r="BK77" s="154"/>
      <c r="BL77" s="163"/>
      <c r="BM77" s="163"/>
      <c r="BN77" s="163"/>
    </row>
    <row r="78" spans="1:66" ht="15.75" customHeight="1">
      <c r="A78" s="154"/>
      <c r="B78" s="155"/>
      <c r="C78" s="156"/>
      <c r="D78" s="154"/>
      <c r="E78" s="154"/>
      <c r="F78" s="154"/>
      <c r="G78" s="154"/>
      <c r="H78" s="154"/>
      <c r="I78" s="154"/>
      <c r="J78" s="154"/>
      <c r="K78" s="154"/>
      <c r="L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H78" s="154"/>
      <c r="AI78" s="154"/>
      <c r="AJ78" s="154"/>
      <c r="AK78" s="154"/>
      <c r="AL78" s="154"/>
      <c r="AM78" s="154"/>
      <c r="AN78" s="154"/>
      <c r="AO78" s="154"/>
      <c r="AP78" s="156"/>
      <c r="AQ78" s="154"/>
      <c r="AR78" s="156"/>
      <c r="AS78" s="154"/>
      <c r="AT78" s="154"/>
      <c r="AU78" s="154"/>
      <c r="AV78" s="154"/>
      <c r="AW78" s="154"/>
      <c r="AX78" s="154"/>
      <c r="AY78" s="154"/>
      <c r="AZ78" s="154"/>
      <c r="BA78" s="154"/>
      <c r="BB78" s="154"/>
      <c r="BC78" s="154"/>
      <c r="BD78" s="154"/>
      <c r="BE78" s="154"/>
      <c r="BF78" s="154"/>
      <c r="BG78" s="154"/>
      <c r="BH78" s="154"/>
      <c r="BI78" s="154"/>
      <c r="BJ78" s="154"/>
      <c r="BK78" s="154"/>
      <c r="BL78" s="163"/>
      <c r="BM78" s="163"/>
      <c r="BN78" s="163"/>
    </row>
    <row r="79" spans="1:66" ht="15.75" customHeight="1">
      <c r="A79" s="154"/>
      <c r="B79" s="155"/>
      <c r="C79" s="156"/>
      <c r="D79" s="154"/>
      <c r="E79" s="154"/>
      <c r="F79" s="154"/>
      <c r="G79" s="154"/>
      <c r="H79" s="154"/>
      <c r="I79" s="154"/>
      <c r="J79" s="154"/>
      <c r="K79" s="154"/>
      <c r="L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H79" s="154"/>
      <c r="AI79" s="154"/>
      <c r="AJ79" s="154"/>
      <c r="AK79" s="154"/>
      <c r="AL79" s="154"/>
      <c r="AM79" s="154"/>
      <c r="AN79" s="154"/>
      <c r="AO79" s="154"/>
      <c r="AP79" s="156"/>
      <c r="AQ79" s="154"/>
      <c r="AR79" s="156"/>
      <c r="AS79" s="154"/>
      <c r="AT79" s="154"/>
      <c r="AU79" s="154"/>
      <c r="AV79" s="154"/>
      <c r="AW79" s="154"/>
      <c r="AX79" s="154"/>
      <c r="AY79" s="154"/>
      <c r="AZ79" s="154"/>
      <c r="BA79" s="154"/>
      <c r="BB79" s="154"/>
      <c r="BC79" s="154"/>
      <c r="BD79" s="154"/>
      <c r="BE79" s="154"/>
      <c r="BF79" s="154"/>
      <c r="BG79" s="154"/>
      <c r="BH79" s="154"/>
      <c r="BI79" s="154"/>
      <c r="BJ79" s="154"/>
      <c r="BK79" s="154"/>
      <c r="BL79" s="163"/>
      <c r="BM79" s="163"/>
      <c r="BN79" s="163"/>
    </row>
    <row r="80" spans="1:66" ht="15.75" customHeight="1">
      <c r="A80" s="154"/>
      <c r="B80" s="155"/>
      <c r="C80" s="156"/>
      <c r="D80" s="154"/>
      <c r="E80" s="154"/>
      <c r="F80" s="154"/>
      <c r="G80" s="154"/>
      <c r="H80" s="154"/>
      <c r="I80" s="154"/>
      <c r="J80" s="154"/>
      <c r="K80" s="154"/>
      <c r="L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H80" s="154"/>
      <c r="AI80" s="154"/>
      <c r="AJ80" s="154"/>
      <c r="AK80" s="154"/>
      <c r="AL80" s="154"/>
      <c r="AM80" s="154"/>
      <c r="AN80" s="154"/>
      <c r="AO80" s="154"/>
      <c r="AP80" s="156"/>
      <c r="AQ80" s="154"/>
      <c r="AR80" s="156"/>
      <c r="AS80" s="154"/>
      <c r="AT80" s="154"/>
      <c r="AU80" s="154"/>
      <c r="AV80" s="154"/>
      <c r="AW80" s="154"/>
      <c r="AX80" s="154"/>
      <c r="AY80" s="154"/>
      <c r="AZ80" s="154"/>
      <c r="BA80" s="154"/>
      <c r="BB80" s="154"/>
      <c r="BC80" s="154"/>
      <c r="BD80" s="154"/>
      <c r="BE80" s="154"/>
      <c r="BF80" s="154"/>
      <c r="BG80" s="154"/>
      <c r="BH80" s="154"/>
      <c r="BI80" s="154"/>
      <c r="BJ80" s="154"/>
      <c r="BK80" s="154"/>
      <c r="BL80" s="163"/>
      <c r="BM80" s="163"/>
      <c r="BN80" s="163"/>
    </row>
    <row r="81" spans="1:66" ht="15.75" customHeight="1">
      <c r="A81" s="154"/>
      <c r="B81" s="155"/>
      <c r="C81" s="156"/>
      <c r="D81" s="154"/>
      <c r="E81" s="154"/>
      <c r="F81" s="154"/>
      <c r="G81" s="154"/>
      <c r="H81" s="154"/>
      <c r="I81" s="154"/>
      <c r="J81" s="154"/>
      <c r="K81" s="154"/>
      <c r="L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H81" s="154"/>
      <c r="AI81" s="154"/>
      <c r="AJ81" s="154"/>
      <c r="AK81" s="154"/>
      <c r="AL81" s="154"/>
      <c r="AM81" s="154"/>
      <c r="AN81" s="154"/>
      <c r="AO81" s="154"/>
      <c r="AP81" s="156"/>
      <c r="AQ81" s="154"/>
      <c r="AR81" s="156"/>
      <c r="AS81" s="154"/>
      <c r="AT81" s="154"/>
      <c r="AU81" s="154"/>
      <c r="AV81" s="154"/>
      <c r="AW81" s="154"/>
      <c r="AX81" s="154"/>
      <c r="AY81" s="154"/>
      <c r="AZ81" s="154"/>
      <c r="BA81" s="154"/>
      <c r="BB81" s="154"/>
      <c r="BC81" s="154"/>
      <c r="BD81" s="154"/>
      <c r="BE81" s="154"/>
      <c r="BF81" s="154"/>
      <c r="BG81" s="154"/>
      <c r="BH81" s="154"/>
      <c r="BI81" s="154"/>
      <c r="BJ81" s="154"/>
      <c r="BK81" s="154"/>
      <c r="BL81" s="163"/>
      <c r="BM81" s="163"/>
      <c r="BN81" s="163"/>
    </row>
    <row r="82" spans="1:66" ht="15.75" customHeight="1">
      <c r="A82" s="154"/>
      <c r="B82" s="155"/>
      <c r="C82" s="156"/>
      <c r="D82" s="154"/>
      <c r="E82" s="154"/>
      <c r="F82" s="154"/>
      <c r="G82" s="154"/>
      <c r="H82" s="154"/>
      <c r="I82" s="154"/>
      <c r="J82" s="154"/>
      <c r="K82" s="154"/>
      <c r="L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H82" s="154"/>
      <c r="AI82" s="154"/>
      <c r="AJ82" s="154"/>
      <c r="AK82" s="154"/>
      <c r="AL82" s="154"/>
      <c r="AM82" s="154"/>
      <c r="AN82" s="154"/>
      <c r="AO82" s="154"/>
      <c r="AP82" s="156"/>
      <c r="AQ82" s="154"/>
      <c r="AR82" s="156"/>
      <c r="AS82" s="154"/>
      <c r="AT82" s="154"/>
      <c r="AU82" s="154"/>
      <c r="AV82" s="154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54"/>
      <c r="BK82" s="154"/>
      <c r="BL82" s="163"/>
      <c r="BM82" s="163"/>
      <c r="BN82" s="163"/>
    </row>
    <row r="83" spans="1:66" ht="15.75" customHeight="1">
      <c r="A83" s="154"/>
      <c r="B83" s="155"/>
      <c r="C83" s="156"/>
      <c r="D83" s="154"/>
      <c r="E83" s="154"/>
      <c r="F83" s="154"/>
      <c r="G83" s="154"/>
      <c r="H83" s="154"/>
      <c r="I83" s="154"/>
      <c r="J83" s="154"/>
      <c r="K83" s="154"/>
      <c r="L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H83" s="154"/>
      <c r="AI83" s="154"/>
      <c r="AJ83" s="154"/>
      <c r="AK83" s="154"/>
      <c r="AL83" s="154"/>
      <c r="AM83" s="154"/>
      <c r="AN83" s="154"/>
      <c r="AO83" s="154"/>
      <c r="AP83" s="156"/>
      <c r="AQ83" s="154"/>
      <c r="AR83" s="156"/>
      <c r="AS83" s="154"/>
      <c r="AT83" s="154"/>
      <c r="AU83" s="154"/>
      <c r="AV83" s="154"/>
      <c r="AW83" s="154"/>
      <c r="AX83" s="154"/>
      <c r="AY83" s="154"/>
      <c r="AZ83" s="154"/>
      <c r="BA83" s="154"/>
      <c r="BB83" s="154"/>
      <c r="BC83" s="154"/>
      <c r="BD83" s="154"/>
      <c r="BE83" s="154"/>
      <c r="BF83" s="154"/>
      <c r="BG83" s="154"/>
      <c r="BH83" s="154"/>
      <c r="BI83" s="154"/>
      <c r="BJ83" s="154"/>
      <c r="BK83" s="154"/>
      <c r="BL83" s="163"/>
      <c r="BM83" s="163"/>
      <c r="BN83" s="163"/>
    </row>
    <row r="84" spans="1:66" ht="15.75" customHeight="1">
      <c r="A84" s="154"/>
      <c r="B84" s="155"/>
      <c r="C84" s="156"/>
      <c r="D84" s="154"/>
      <c r="E84" s="154"/>
      <c r="F84" s="154"/>
      <c r="G84" s="154"/>
      <c r="H84" s="154"/>
      <c r="I84" s="154"/>
      <c r="J84" s="154"/>
      <c r="K84" s="154"/>
      <c r="L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H84" s="154"/>
      <c r="AI84" s="154"/>
      <c r="AJ84" s="154"/>
      <c r="AK84" s="154"/>
      <c r="AL84" s="154"/>
      <c r="AM84" s="154"/>
      <c r="AN84" s="154"/>
      <c r="AO84" s="154"/>
      <c r="AP84" s="156"/>
      <c r="AQ84" s="154"/>
      <c r="AR84" s="156"/>
      <c r="AS84" s="154"/>
      <c r="AT84" s="154"/>
      <c r="AU84" s="154"/>
      <c r="AV84" s="154"/>
      <c r="AW84" s="154"/>
      <c r="AX84" s="154"/>
      <c r="AY84" s="154"/>
      <c r="AZ84" s="154"/>
      <c r="BA84" s="154"/>
      <c r="BB84" s="154"/>
      <c r="BC84" s="154"/>
      <c r="BD84" s="154"/>
      <c r="BE84" s="154"/>
      <c r="BF84" s="154"/>
      <c r="BG84" s="154"/>
      <c r="BH84" s="154"/>
      <c r="BI84" s="154"/>
      <c r="BJ84" s="154"/>
      <c r="BK84" s="154"/>
      <c r="BL84" s="163"/>
      <c r="BM84" s="163"/>
      <c r="BN84" s="163"/>
    </row>
    <row r="85" spans="1:66" ht="15.75" customHeight="1">
      <c r="A85" s="154"/>
      <c r="B85" s="155"/>
      <c r="C85" s="156"/>
      <c r="D85" s="154"/>
      <c r="E85" s="154"/>
      <c r="F85" s="154"/>
      <c r="G85" s="154"/>
      <c r="H85" s="154"/>
      <c r="I85" s="154"/>
      <c r="J85" s="154"/>
      <c r="K85" s="154"/>
      <c r="L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H85" s="154"/>
      <c r="AI85" s="154"/>
      <c r="AJ85" s="154"/>
      <c r="AK85" s="154"/>
      <c r="AL85" s="154"/>
      <c r="AM85" s="154"/>
      <c r="AN85" s="154"/>
      <c r="AO85" s="154"/>
      <c r="AP85" s="156"/>
      <c r="AQ85" s="154"/>
      <c r="AR85" s="156"/>
      <c r="AS85" s="154"/>
      <c r="AT85" s="154"/>
      <c r="AU85" s="154"/>
      <c r="AV85" s="154"/>
      <c r="AW85" s="154"/>
      <c r="AX85" s="154"/>
      <c r="AY85" s="154"/>
      <c r="AZ85" s="154"/>
      <c r="BA85" s="154"/>
      <c r="BB85" s="154"/>
      <c r="BC85" s="154"/>
      <c r="BD85" s="154"/>
      <c r="BE85" s="154"/>
      <c r="BF85" s="154"/>
      <c r="BG85" s="154"/>
      <c r="BH85" s="154"/>
      <c r="BI85" s="154"/>
      <c r="BJ85" s="154"/>
      <c r="BK85" s="154"/>
      <c r="BL85" s="163"/>
      <c r="BM85" s="163"/>
      <c r="BN85" s="163"/>
    </row>
    <row r="86" spans="1:66" ht="15.75" customHeight="1">
      <c r="A86" s="154"/>
      <c r="B86" s="155"/>
      <c r="C86" s="156"/>
      <c r="D86" s="154"/>
      <c r="E86" s="154"/>
      <c r="F86" s="154"/>
      <c r="G86" s="154"/>
      <c r="H86" s="154"/>
      <c r="I86" s="154"/>
      <c r="J86" s="154"/>
      <c r="K86" s="154"/>
      <c r="L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H86" s="154"/>
      <c r="AI86" s="154"/>
      <c r="AJ86" s="154"/>
      <c r="AK86" s="154"/>
      <c r="AL86" s="154"/>
      <c r="AM86" s="154"/>
      <c r="AN86" s="154"/>
      <c r="AO86" s="154"/>
      <c r="AP86" s="156"/>
      <c r="AQ86" s="154"/>
      <c r="AR86" s="156"/>
      <c r="AS86" s="154"/>
      <c r="AT86" s="154"/>
      <c r="AU86" s="154"/>
      <c r="AV86" s="154"/>
      <c r="AW86" s="154"/>
      <c r="AX86" s="154"/>
      <c r="AY86" s="154"/>
      <c r="AZ86" s="154"/>
      <c r="BA86" s="154"/>
      <c r="BB86" s="154"/>
      <c r="BC86" s="154"/>
      <c r="BD86" s="154"/>
      <c r="BE86" s="154"/>
      <c r="BF86" s="154"/>
      <c r="BG86" s="154"/>
      <c r="BH86" s="154"/>
      <c r="BI86" s="154"/>
      <c r="BJ86" s="154"/>
      <c r="BK86" s="154"/>
      <c r="BL86" s="163"/>
      <c r="BM86" s="163"/>
      <c r="BN86" s="163"/>
    </row>
    <row r="87" spans="1:66" ht="15.75" customHeight="1">
      <c r="A87" s="154"/>
      <c r="B87" s="155"/>
      <c r="C87" s="156"/>
      <c r="D87" s="154"/>
      <c r="E87" s="154"/>
      <c r="F87" s="154"/>
      <c r="G87" s="154"/>
      <c r="H87" s="154"/>
      <c r="I87" s="154"/>
      <c r="J87" s="154"/>
      <c r="K87" s="154"/>
      <c r="L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H87" s="154"/>
      <c r="AI87" s="154"/>
      <c r="AJ87" s="154"/>
      <c r="AK87" s="154"/>
      <c r="AL87" s="154"/>
      <c r="AM87" s="154"/>
      <c r="AN87" s="154"/>
      <c r="AO87" s="154"/>
      <c r="AP87" s="156"/>
      <c r="AQ87" s="154"/>
      <c r="AR87" s="156"/>
      <c r="AS87" s="154"/>
      <c r="AT87" s="154"/>
      <c r="AU87" s="154"/>
      <c r="AV87" s="154"/>
      <c r="AW87" s="154"/>
      <c r="AX87" s="154"/>
      <c r="AY87" s="154"/>
      <c r="AZ87" s="154"/>
      <c r="BA87" s="154"/>
      <c r="BB87" s="154"/>
      <c r="BC87" s="154"/>
      <c r="BD87" s="154"/>
      <c r="BE87" s="154"/>
      <c r="BF87" s="154"/>
      <c r="BG87" s="154"/>
      <c r="BH87" s="154"/>
      <c r="BI87" s="154"/>
      <c r="BJ87" s="154"/>
      <c r="BK87" s="154"/>
      <c r="BL87" s="163"/>
      <c r="BM87" s="163"/>
      <c r="BN87" s="163"/>
    </row>
    <row r="88" spans="1:66" ht="15.75" customHeight="1">
      <c r="A88" s="154"/>
      <c r="B88" s="155"/>
      <c r="C88" s="156"/>
      <c r="D88" s="154"/>
      <c r="E88" s="154"/>
      <c r="F88" s="154"/>
      <c r="G88" s="154"/>
      <c r="H88" s="154"/>
      <c r="I88" s="154"/>
      <c r="J88" s="154"/>
      <c r="K88" s="154"/>
      <c r="L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H88" s="154"/>
      <c r="AI88" s="154"/>
      <c r="AJ88" s="154"/>
      <c r="AK88" s="154"/>
      <c r="AL88" s="154"/>
      <c r="AM88" s="154"/>
      <c r="AN88" s="154"/>
      <c r="AO88" s="154"/>
      <c r="AP88" s="156"/>
      <c r="AQ88" s="154"/>
      <c r="AR88" s="156"/>
      <c r="AS88" s="154"/>
      <c r="AT88" s="154"/>
      <c r="AU88" s="154"/>
      <c r="AV88" s="154"/>
      <c r="AW88" s="154"/>
      <c r="AX88" s="154"/>
      <c r="AY88" s="154"/>
      <c r="AZ88" s="154"/>
      <c r="BA88" s="154"/>
      <c r="BB88" s="154"/>
      <c r="BC88" s="154"/>
      <c r="BD88" s="154"/>
      <c r="BE88" s="154"/>
      <c r="BF88" s="154"/>
      <c r="BG88" s="154"/>
      <c r="BH88" s="154"/>
      <c r="BI88" s="154"/>
      <c r="BJ88" s="154"/>
      <c r="BK88" s="154"/>
      <c r="BL88" s="163"/>
      <c r="BM88" s="163"/>
      <c r="BN88" s="163"/>
    </row>
    <row r="89" spans="1:66" ht="15.75" customHeight="1">
      <c r="A89" s="154"/>
      <c r="B89" s="155"/>
      <c r="C89" s="156"/>
      <c r="D89" s="154"/>
      <c r="E89" s="154"/>
      <c r="F89" s="154"/>
      <c r="G89" s="154"/>
      <c r="H89" s="154"/>
      <c r="I89" s="154"/>
      <c r="J89" s="154"/>
      <c r="K89" s="154"/>
      <c r="L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H89" s="154"/>
      <c r="AI89" s="154"/>
      <c r="AJ89" s="154"/>
      <c r="AK89" s="154"/>
      <c r="AL89" s="154"/>
      <c r="AM89" s="154"/>
      <c r="AN89" s="154"/>
      <c r="AO89" s="154"/>
      <c r="AP89" s="156"/>
      <c r="AQ89" s="154"/>
      <c r="AR89" s="156"/>
      <c r="AS89" s="154"/>
      <c r="AT89" s="154"/>
      <c r="AU89" s="154"/>
      <c r="AV89" s="154"/>
      <c r="AW89" s="154"/>
      <c r="AX89" s="154"/>
      <c r="AY89" s="154"/>
      <c r="AZ89" s="154"/>
      <c r="BA89" s="154"/>
      <c r="BB89" s="154"/>
      <c r="BC89" s="154"/>
      <c r="BD89" s="154"/>
      <c r="BE89" s="154"/>
      <c r="BF89" s="154"/>
      <c r="BG89" s="154"/>
      <c r="BH89" s="154"/>
      <c r="BI89" s="154"/>
      <c r="BJ89" s="154"/>
      <c r="BK89" s="154"/>
      <c r="BL89" s="163"/>
      <c r="BM89" s="163"/>
      <c r="BN89" s="163"/>
    </row>
    <row r="90" spans="1:66" ht="15.75" customHeight="1">
      <c r="A90" s="154"/>
      <c r="B90" s="155"/>
      <c r="C90" s="156"/>
      <c r="D90" s="154"/>
      <c r="E90" s="154"/>
      <c r="F90" s="154"/>
      <c r="G90" s="154"/>
      <c r="H90" s="154"/>
      <c r="I90" s="154"/>
      <c r="J90" s="154"/>
      <c r="K90" s="154"/>
      <c r="L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H90" s="154"/>
      <c r="AI90" s="154"/>
      <c r="AJ90" s="154"/>
      <c r="AK90" s="154"/>
      <c r="AL90" s="154"/>
      <c r="AM90" s="154"/>
      <c r="AN90" s="154"/>
      <c r="AO90" s="154"/>
      <c r="AP90" s="156"/>
      <c r="AQ90" s="154"/>
      <c r="AR90" s="156"/>
      <c r="AS90" s="154"/>
      <c r="AT90" s="154"/>
      <c r="AU90" s="154"/>
      <c r="AV90" s="154"/>
      <c r="AW90" s="154"/>
      <c r="AX90" s="154"/>
      <c r="AY90" s="154"/>
      <c r="AZ90" s="154"/>
      <c r="BA90" s="154"/>
      <c r="BB90" s="154"/>
      <c r="BC90" s="154"/>
      <c r="BD90" s="154"/>
      <c r="BE90" s="154"/>
      <c r="BF90" s="154"/>
      <c r="BG90" s="154"/>
      <c r="BH90" s="154"/>
      <c r="BI90" s="154"/>
      <c r="BJ90" s="154"/>
      <c r="BK90" s="154"/>
      <c r="BL90" s="163"/>
      <c r="BM90" s="163"/>
      <c r="BN90" s="163"/>
    </row>
    <row r="91" spans="1:66" ht="15.75" customHeight="1">
      <c r="A91" s="154"/>
      <c r="B91" s="155"/>
      <c r="C91" s="156"/>
      <c r="D91" s="154"/>
      <c r="E91" s="154"/>
      <c r="F91" s="154"/>
      <c r="G91" s="154"/>
      <c r="H91" s="154"/>
      <c r="I91" s="154"/>
      <c r="J91" s="154"/>
      <c r="K91" s="154"/>
      <c r="L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H91" s="154"/>
      <c r="AI91" s="154"/>
      <c r="AJ91" s="154"/>
      <c r="AK91" s="154"/>
      <c r="AL91" s="154"/>
      <c r="AM91" s="154"/>
      <c r="AN91" s="154"/>
      <c r="AO91" s="154"/>
      <c r="AP91" s="156"/>
      <c r="AQ91" s="154"/>
      <c r="AR91" s="156"/>
      <c r="AS91" s="154"/>
      <c r="AT91" s="154"/>
      <c r="AU91" s="154"/>
      <c r="AV91" s="154"/>
      <c r="AW91" s="154"/>
      <c r="AX91" s="154"/>
      <c r="AY91" s="154"/>
      <c r="AZ91" s="154"/>
      <c r="BA91" s="154"/>
      <c r="BB91" s="154"/>
      <c r="BC91" s="154"/>
      <c r="BD91" s="154"/>
      <c r="BE91" s="154"/>
      <c r="BF91" s="154"/>
      <c r="BG91" s="154"/>
      <c r="BH91" s="154"/>
      <c r="BI91" s="154"/>
      <c r="BJ91" s="154"/>
      <c r="BK91" s="154"/>
      <c r="BL91" s="163"/>
      <c r="BM91" s="163"/>
      <c r="BN91" s="163"/>
    </row>
    <row r="92" spans="1:66" ht="15.75" customHeight="1">
      <c r="A92" s="154"/>
      <c r="B92" s="155"/>
      <c r="C92" s="156"/>
      <c r="D92" s="154"/>
      <c r="E92" s="154"/>
      <c r="F92" s="154"/>
      <c r="G92" s="154"/>
      <c r="H92" s="154"/>
      <c r="I92" s="154"/>
      <c r="J92" s="154"/>
      <c r="K92" s="154"/>
      <c r="L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H92" s="154"/>
      <c r="AI92" s="154"/>
      <c r="AJ92" s="154"/>
      <c r="AK92" s="154"/>
      <c r="AL92" s="154"/>
      <c r="AM92" s="154"/>
      <c r="AN92" s="154"/>
      <c r="AO92" s="154"/>
      <c r="AP92" s="156"/>
      <c r="AQ92" s="154"/>
      <c r="AR92" s="156"/>
      <c r="AS92" s="154"/>
      <c r="AT92" s="154"/>
      <c r="AU92" s="154"/>
      <c r="AV92" s="154"/>
      <c r="AW92" s="154"/>
      <c r="AX92" s="154"/>
      <c r="AY92" s="154"/>
      <c r="AZ92" s="154"/>
      <c r="BA92" s="154"/>
      <c r="BB92" s="154"/>
      <c r="BC92" s="154"/>
      <c r="BD92" s="154"/>
      <c r="BE92" s="154"/>
      <c r="BF92" s="154"/>
      <c r="BG92" s="154"/>
      <c r="BH92" s="154"/>
      <c r="BI92" s="154"/>
      <c r="BJ92" s="154"/>
      <c r="BK92" s="154"/>
      <c r="BL92" s="163"/>
      <c r="BM92" s="163"/>
      <c r="BN92" s="163"/>
    </row>
    <row r="93" spans="1:66" ht="15.75" customHeight="1">
      <c r="A93" s="154"/>
      <c r="B93" s="155"/>
      <c r="C93" s="156"/>
      <c r="D93" s="154"/>
      <c r="E93" s="154"/>
      <c r="F93" s="154"/>
      <c r="G93" s="154"/>
      <c r="H93" s="154"/>
      <c r="I93" s="154"/>
      <c r="J93" s="154"/>
      <c r="K93" s="154"/>
      <c r="L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H93" s="154"/>
      <c r="AI93" s="154"/>
      <c r="AJ93" s="154"/>
      <c r="AK93" s="154"/>
      <c r="AL93" s="154"/>
      <c r="AM93" s="154"/>
      <c r="AN93" s="154"/>
      <c r="AO93" s="154"/>
      <c r="AP93" s="156"/>
      <c r="AQ93" s="154"/>
      <c r="AR93" s="156"/>
      <c r="AS93" s="154"/>
      <c r="AT93" s="154"/>
      <c r="AU93" s="154"/>
      <c r="AV93" s="154"/>
      <c r="AW93" s="154"/>
      <c r="AX93" s="154"/>
      <c r="AY93" s="154"/>
      <c r="AZ93" s="154"/>
      <c r="BA93" s="154"/>
      <c r="BB93" s="154"/>
      <c r="BC93" s="154"/>
      <c r="BD93" s="154"/>
      <c r="BE93" s="154"/>
      <c r="BF93" s="154"/>
      <c r="BG93" s="154"/>
      <c r="BH93" s="154"/>
      <c r="BI93" s="154"/>
      <c r="BJ93" s="154"/>
      <c r="BK93" s="154"/>
      <c r="BL93" s="163"/>
      <c r="BM93" s="163"/>
      <c r="BN93" s="163"/>
    </row>
    <row r="94" spans="1:66" ht="15.75" customHeight="1">
      <c r="A94" s="154"/>
      <c r="B94" s="155"/>
      <c r="C94" s="156"/>
      <c r="D94" s="154"/>
      <c r="E94" s="154"/>
      <c r="F94" s="154"/>
      <c r="G94" s="154"/>
      <c r="H94" s="154"/>
      <c r="I94" s="154"/>
      <c r="J94" s="154"/>
      <c r="K94" s="154"/>
      <c r="L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  <c r="AF94" s="154"/>
      <c r="AH94" s="154"/>
      <c r="AI94" s="154"/>
      <c r="AJ94" s="154"/>
      <c r="AK94" s="154"/>
      <c r="AL94" s="154"/>
      <c r="AM94" s="154"/>
      <c r="AN94" s="154"/>
      <c r="AO94" s="154"/>
      <c r="AP94" s="156"/>
      <c r="AQ94" s="154"/>
      <c r="AR94" s="156"/>
      <c r="AS94" s="154"/>
      <c r="AT94" s="154"/>
      <c r="AU94" s="154"/>
      <c r="AV94" s="154"/>
      <c r="AW94" s="154"/>
      <c r="AX94" s="154"/>
      <c r="AY94" s="154"/>
      <c r="AZ94" s="154"/>
      <c r="BA94" s="154"/>
      <c r="BB94" s="154"/>
      <c r="BC94" s="154"/>
      <c r="BD94" s="154"/>
      <c r="BE94" s="154"/>
      <c r="BF94" s="154"/>
      <c r="BG94" s="154"/>
      <c r="BH94" s="154"/>
      <c r="BI94" s="154"/>
      <c r="BJ94" s="154"/>
      <c r="BK94" s="154"/>
      <c r="BL94" s="163"/>
      <c r="BM94" s="163"/>
      <c r="BN94" s="163"/>
    </row>
    <row r="95" spans="1:66" ht="15.75" customHeight="1">
      <c r="A95" s="154"/>
      <c r="B95" s="155"/>
      <c r="C95" s="156"/>
      <c r="D95" s="154"/>
      <c r="E95" s="154"/>
      <c r="F95" s="154"/>
      <c r="G95" s="154"/>
      <c r="H95" s="154"/>
      <c r="I95" s="154"/>
      <c r="J95" s="154"/>
      <c r="K95" s="154"/>
      <c r="L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H95" s="154"/>
      <c r="AI95" s="154"/>
      <c r="AJ95" s="154"/>
      <c r="AK95" s="154"/>
      <c r="AL95" s="154"/>
      <c r="AM95" s="154"/>
      <c r="AN95" s="154"/>
      <c r="AO95" s="154"/>
      <c r="AP95" s="156"/>
      <c r="AQ95" s="154"/>
      <c r="AR95" s="156"/>
      <c r="AS95" s="154"/>
      <c r="AT95" s="154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4"/>
      <c r="BH95" s="154"/>
      <c r="BI95" s="154"/>
      <c r="BJ95" s="154"/>
      <c r="BK95" s="154"/>
      <c r="BL95" s="163"/>
      <c r="BM95" s="163"/>
      <c r="BN95" s="163"/>
    </row>
    <row r="96" spans="1:66" ht="15.75" customHeight="1">
      <c r="A96" s="154"/>
      <c r="B96" s="155"/>
      <c r="C96" s="156"/>
      <c r="D96" s="154"/>
      <c r="E96" s="154"/>
      <c r="F96" s="154"/>
      <c r="G96" s="154"/>
      <c r="H96" s="154"/>
      <c r="I96" s="154"/>
      <c r="J96" s="154"/>
      <c r="K96" s="154"/>
      <c r="L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H96" s="154"/>
      <c r="AI96" s="154"/>
      <c r="AJ96" s="154"/>
      <c r="AK96" s="154"/>
      <c r="AL96" s="154"/>
      <c r="AM96" s="154"/>
      <c r="AN96" s="154"/>
      <c r="AO96" s="154"/>
      <c r="AP96" s="156"/>
      <c r="AQ96" s="154"/>
      <c r="AR96" s="156"/>
      <c r="AS96" s="154"/>
      <c r="AT96" s="154"/>
      <c r="AU96" s="154"/>
      <c r="AV96" s="154"/>
      <c r="AW96" s="154"/>
      <c r="AX96" s="154"/>
      <c r="AY96" s="154"/>
      <c r="AZ96" s="154"/>
      <c r="BA96" s="154"/>
      <c r="BB96" s="154"/>
      <c r="BC96" s="154"/>
      <c r="BD96" s="154"/>
      <c r="BE96" s="154"/>
      <c r="BF96" s="154"/>
      <c r="BG96" s="154"/>
      <c r="BH96" s="154"/>
      <c r="BI96" s="154"/>
      <c r="BJ96" s="154"/>
      <c r="BK96" s="154"/>
      <c r="BL96" s="163"/>
      <c r="BM96" s="163"/>
      <c r="BN96" s="163"/>
    </row>
    <row r="97" spans="1:66" ht="15.75" customHeight="1">
      <c r="A97" s="154"/>
      <c r="B97" s="155"/>
      <c r="C97" s="156"/>
      <c r="D97" s="154"/>
      <c r="E97" s="154"/>
      <c r="F97" s="154"/>
      <c r="G97" s="154"/>
      <c r="H97" s="154"/>
      <c r="I97" s="154"/>
      <c r="J97" s="154"/>
      <c r="K97" s="154"/>
      <c r="L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H97" s="154"/>
      <c r="AI97" s="154"/>
      <c r="AJ97" s="154"/>
      <c r="AK97" s="154"/>
      <c r="AL97" s="154"/>
      <c r="AM97" s="154"/>
      <c r="AN97" s="154"/>
      <c r="AO97" s="154"/>
      <c r="AP97" s="156"/>
      <c r="AQ97" s="154"/>
      <c r="AR97" s="156"/>
      <c r="AS97" s="154"/>
      <c r="AT97" s="154"/>
      <c r="AU97" s="154"/>
      <c r="AV97" s="154"/>
      <c r="AW97" s="154"/>
      <c r="AX97" s="154"/>
      <c r="AY97" s="154"/>
      <c r="AZ97" s="154"/>
      <c r="BA97" s="154"/>
      <c r="BB97" s="154"/>
      <c r="BC97" s="154"/>
      <c r="BD97" s="154"/>
      <c r="BE97" s="154"/>
      <c r="BF97" s="154"/>
      <c r="BG97" s="154"/>
      <c r="BH97" s="154"/>
      <c r="BI97" s="154"/>
      <c r="BJ97" s="154"/>
      <c r="BK97" s="154"/>
      <c r="BL97" s="163"/>
      <c r="BM97" s="163"/>
      <c r="BN97" s="163"/>
    </row>
    <row r="98" spans="1:66" ht="15.75" customHeight="1">
      <c r="A98" s="154"/>
      <c r="B98" s="155"/>
      <c r="C98" s="156"/>
      <c r="D98" s="154"/>
      <c r="E98" s="154"/>
      <c r="F98" s="154"/>
      <c r="G98" s="154"/>
      <c r="H98" s="154"/>
      <c r="I98" s="154"/>
      <c r="J98" s="154"/>
      <c r="K98" s="154"/>
      <c r="L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H98" s="154"/>
      <c r="AI98" s="154"/>
      <c r="AJ98" s="154"/>
      <c r="AK98" s="154"/>
      <c r="AL98" s="154"/>
      <c r="AM98" s="154"/>
      <c r="AN98" s="154"/>
      <c r="AO98" s="154"/>
      <c r="AP98" s="156"/>
      <c r="AQ98" s="154"/>
      <c r="AR98" s="156"/>
      <c r="AS98" s="154"/>
      <c r="AT98" s="154"/>
      <c r="AU98" s="154"/>
      <c r="AV98" s="154"/>
      <c r="AW98" s="154"/>
      <c r="AX98" s="154"/>
      <c r="AY98" s="154"/>
      <c r="AZ98" s="154"/>
      <c r="BA98" s="154"/>
      <c r="BB98" s="154"/>
      <c r="BC98" s="154"/>
      <c r="BD98" s="154"/>
      <c r="BE98" s="154"/>
      <c r="BF98" s="154"/>
      <c r="BG98" s="154"/>
      <c r="BH98" s="154"/>
      <c r="BI98" s="154"/>
      <c r="BJ98" s="154"/>
      <c r="BK98" s="154"/>
      <c r="BL98" s="163"/>
      <c r="BM98" s="163"/>
      <c r="BN98" s="163"/>
    </row>
    <row r="99" spans="1:66" ht="15.75" customHeight="1">
      <c r="A99" s="154"/>
      <c r="B99" s="155"/>
      <c r="C99" s="156"/>
      <c r="D99" s="154"/>
      <c r="E99" s="154"/>
      <c r="F99" s="154"/>
      <c r="G99" s="154"/>
      <c r="H99" s="154"/>
      <c r="I99" s="154"/>
      <c r="J99" s="154"/>
      <c r="K99" s="154"/>
      <c r="L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  <c r="AF99" s="154"/>
      <c r="AH99" s="154"/>
      <c r="AI99" s="154"/>
      <c r="AJ99" s="154"/>
      <c r="AK99" s="154"/>
      <c r="AL99" s="154"/>
      <c r="AM99" s="154"/>
      <c r="AN99" s="154"/>
      <c r="AO99" s="154"/>
      <c r="AP99" s="156"/>
      <c r="AQ99" s="154"/>
      <c r="AR99" s="156"/>
      <c r="AS99" s="154"/>
      <c r="AT99" s="154"/>
      <c r="AU99" s="154"/>
      <c r="AV99" s="154"/>
      <c r="AW99" s="154"/>
      <c r="AX99" s="154"/>
      <c r="AY99" s="154"/>
      <c r="AZ99" s="154"/>
      <c r="BA99" s="154"/>
      <c r="BB99" s="154"/>
      <c r="BC99" s="154"/>
      <c r="BD99" s="154"/>
      <c r="BE99" s="154"/>
      <c r="BF99" s="154"/>
      <c r="BG99" s="154"/>
      <c r="BH99" s="154"/>
      <c r="BI99" s="154"/>
      <c r="BJ99" s="154"/>
      <c r="BK99" s="154"/>
      <c r="BL99" s="163"/>
      <c r="BM99" s="163"/>
      <c r="BN99" s="163"/>
    </row>
    <row r="100" spans="1:66" ht="15.75" customHeight="1">
      <c r="A100" s="154"/>
      <c r="B100" s="155"/>
      <c r="C100" s="156"/>
      <c r="D100" s="154"/>
      <c r="E100" s="154"/>
      <c r="F100" s="154"/>
      <c r="G100" s="154"/>
      <c r="H100" s="154"/>
      <c r="I100" s="154"/>
      <c r="J100" s="154"/>
      <c r="K100" s="154"/>
      <c r="L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H100" s="154"/>
      <c r="AI100" s="154"/>
      <c r="AJ100" s="154"/>
      <c r="AK100" s="154"/>
      <c r="AL100" s="154"/>
      <c r="AM100" s="154"/>
      <c r="AN100" s="154"/>
      <c r="AO100" s="154"/>
      <c r="AP100" s="156"/>
      <c r="AQ100" s="154"/>
      <c r="AR100" s="156"/>
      <c r="AS100" s="154"/>
      <c r="AT100" s="154"/>
      <c r="AU100" s="154"/>
      <c r="AV100" s="154"/>
      <c r="AW100" s="154"/>
      <c r="AX100" s="154"/>
      <c r="AY100" s="154"/>
      <c r="AZ100" s="154"/>
      <c r="BA100" s="154"/>
      <c r="BB100" s="154"/>
      <c r="BC100" s="154"/>
      <c r="BD100" s="154"/>
      <c r="BE100" s="154"/>
      <c r="BF100" s="154"/>
      <c r="BG100" s="154"/>
      <c r="BH100" s="154"/>
      <c r="BI100" s="154"/>
      <c r="BJ100" s="154"/>
      <c r="BK100" s="154"/>
      <c r="BL100" s="163"/>
      <c r="BM100" s="163"/>
      <c r="BN100" s="163"/>
    </row>
    <row r="101" spans="1:66" ht="15.75" customHeight="1">
      <c r="A101" s="154"/>
      <c r="B101" s="155"/>
      <c r="C101" s="156"/>
      <c r="D101" s="154"/>
      <c r="E101" s="154"/>
      <c r="F101" s="154"/>
      <c r="G101" s="154"/>
      <c r="H101" s="154"/>
      <c r="I101" s="154"/>
      <c r="J101" s="154"/>
      <c r="K101" s="154"/>
      <c r="L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H101" s="154"/>
      <c r="AI101" s="154"/>
      <c r="AJ101" s="154"/>
      <c r="AK101" s="154"/>
      <c r="AL101" s="154"/>
      <c r="AM101" s="154"/>
      <c r="AN101" s="154"/>
      <c r="AO101" s="154"/>
      <c r="AP101" s="156"/>
      <c r="AQ101" s="154"/>
      <c r="AR101" s="156"/>
      <c r="AS101" s="154"/>
      <c r="AT101" s="154"/>
      <c r="AU101" s="154"/>
      <c r="AV101" s="154"/>
      <c r="AW101" s="154"/>
      <c r="AX101" s="154"/>
      <c r="AY101" s="154"/>
      <c r="AZ101" s="154"/>
      <c r="BA101" s="154"/>
      <c r="BB101" s="154"/>
      <c r="BC101" s="154"/>
      <c r="BD101" s="154"/>
      <c r="BE101" s="154"/>
      <c r="BF101" s="154"/>
      <c r="BG101" s="154"/>
      <c r="BH101" s="154"/>
      <c r="BI101" s="154"/>
      <c r="BJ101" s="154"/>
      <c r="BK101" s="154"/>
      <c r="BL101" s="163"/>
      <c r="BM101" s="163"/>
      <c r="BN101" s="163"/>
    </row>
    <row r="102" spans="1:66" ht="15.75" customHeight="1">
      <c r="A102" s="154"/>
      <c r="B102" s="155"/>
      <c r="C102" s="156"/>
      <c r="D102" s="154"/>
      <c r="E102" s="154"/>
      <c r="F102" s="154"/>
      <c r="G102" s="154"/>
      <c r="H102" s="154"/>
      <c r="I102" s="154"/>
      <c r="J102" s="154"/>
      <c r="K102" s="154"/>
      <c r="L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H102" s="154"/>
      <c r="AI102" s="154"/>
      <c r="AJ102" s="154"/>
      <c r="AK102" s="154"/>
      <c r="AL102" s="154"/>
      <c r="AM102" s="154"/>
      <c r="AN102" s="154"/>
      <c r="AO102" s="154"/>
      <c r="AP102" s="156"/>
      <c r="AQ102" s="154"/>
      <c r="AR102" s="156"/>
      <c r="AS102" s="154"/>
      <c r="AT102" s="154"/>
      <c r="AU102" s="154"/>
      <c r="AV102" s="154"/>
      <c r="AW102" s="154"/>
      <c r="AX102" s="154"/>
      <c r="AY102" s="154"/>
      <c r="AZ102" s="154"/>
      <c r="BA102" s="154"/>
      <c r="BB102" s="154"/>
      <c r="BC102" s="154"/>
      <c r="BD102" s="154"/>
      <c r="BE102" s="154"/>
      <c r="BF102" s="154"/>
      <c r="BG102" s="154"/>
      <c r="BH102" s="154"/>
      <c r="BI102" s="154"/>
      <c r="BJ102" s="154"/>
      <c r="BK102" s="154"/>
      <c r="BL102" s="163"/>
      <c r="BM102" s="163"/>
      <c r="BN102" s="163"/>
    </row>
    <row r="103" spans="1:66" ht="15.75" customHeight="1">
      <c r="A103" s="154"/>
      <c r="B103" s="155"/>
      <c r="C103" s="156"/>
      <c r="D103" s="154"/>
      <c r="E103" s="154"/>
      <c r="F103" s="154"/>
      <c r="G103" s="154"/>
      <c r="H103" s="154"/>
      <c r="I103" s="154"/>
      <c r="J103" s="154"/>
      <c r="K103" s="154"/>
      <c r="L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H103" s="154"/>
      <c r="AI103" s="154"/>
      <c r="AJ103" s="154"/>
      <c r="AK103" s="154"/>
      <c r="AL103" s="154"/>
      <c r="AM103" s="154"/>
      <c r="AN103" s="154"/>
      <c r="AO103" s="154"/>
      <c r="AP103" s="156"/>
      <c r="AQ103" s="154"/>
      <c r="AR103" s="156"/>
      <c r="AS103" s="154"/>
      <c r="AT103" s="154"/>
      <c r="AU103" s="154"/>
      <c r="AV103" s="154"/>
      <c r="AW103" s="154"/>
      <c r="AX103" s="154"/>
      <c r="AY103" s="154"/>
      <c r="AZ103" s="154"/>
      <c r="BA103" s="154"/>
      <c r="BB103" s="154"/>
      <c r="BC103" s="154"/>
      <c r="BD103" s="154"/>
      <c r="BE103" s="154"/>
      <c r="BF103" s="154"/>
      <c r="BG103" s="154"/>
      <c r="BH103" s="154"/>
      <c r="BI103" s="154"/>
      <c r="BJ103" s="154"/>
      <c r="BK103" s="154"/>
      <c r="BL103" s="163"/>
      <c r="BM103" s="163"/>
      <c r="BN103" s="163"/>
    </row>
    <row r="104" spans="1:66" ht="15.75" customHeight="1">
      <c r="A104" s="154"/>
      <c r="B104" s="155"/>
      <c r="C104" s="156"/>
      <c r="D104" s="154"/>
      <c r="E104" s="154"/>
      <c r="F104" s="154"/>
      <c r="G104" s="154"/>
      <c r="H104" s="154"/>
      <c r="I104" s="154"/>
      <c r="J104" s="154"/>
      <c r="K104" s="154"/>
      <c r="L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  <c r="AF104" s="154"/>
      <c r="AH104" s="154"/>
      <c r="AI104" s="154"/>
      <c r="AJ104" s="154"/>
      <c r="AK104" s="154"/>
      <c r="AL104" s="154"/>
      <c r="AM104" s="154"/>
      <c r="AN104" s="154"/>
      <c r="AO104" s="154"/>
      <c r="AP104" s="156"/>
      <c r="AQ104" s="154"/>
      <c r="AR104" s="156"/>
      <c r="AS104" s="154"/>
      <c r="AT104" s="154"/>
      <c r="AU104" s="154"/>
      <c r="AV104" s="154"/>
      <c r="AW104" s="154"/>
      <c r="AX104" s="154"/>
      <c r="AY104" s="154"/>
      <c r="AZ104" s="154"/>
      <c r="BA104" s="154"/>
      <c r="BB104" s="154"/>
      <c r="BC104" s="154"/>
      <c r="BD104" s="154"/>
      <c r="BE104" s="154"/>
      <c r="BF104" s="154"/>
      <c r="BG104" s="154"/>
      <c r="BH104" s="154"/>
      <c r="BI104" s="154"/>
      <c r="BJ104" s="154"/>
      <c r="BK104" s="154"/>
      <c r="BL104" s="163"/>
      <c r="BM104" s="163"/>
      <c r="BN104" s="163"/>
    </row>
    <row r="105" spans="1:66" ht="15.75" customHeight="1">
      <c r="A105" s="154"/>
      <c r="B105" s="155"/>
      <c r="C105" s="156"/>
      <c r="D105" s="154"/>
      <c r="E105" s="154"/>
      <c r="F105" s="154"/>
      <c r="G105" s="154"/>
      <c r="H105" s="154"/>
      <c r="I105" s="154"/>
      <c r="J105" s="154"/>
      <c r="K105" s="154"/>
      <c r="L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H105" s="154"/>
      <c r="AI105" s="154"/>
      <c r="AJ105" s="154"/>
      <c r="AK105" s="154"/>
      <c r="AL105" s="154"/>
      <c r="AM105" s="154"/>
      <c r="AN105" s="154"/>
      <c r="AO105" s="154"/>
      <c r="AP105" s="156"/>
      <c r="AQ105" s="154"/>
      <c r="AR105" s="156"/>
      <c r="AS105" s="154"/>
      <c r="AT105" s="154"/>
      <c r="AU105" s="154"/>
      <c r="AV105" s="154"/>
      <c r="AW105" s="154"/>
      <c r="AX105" s="154"/>
      <c r="AY105" s="154"/>
      <c r="AZ105" s="154"/>
      <c r="BA105" s="154"/>
      <c r="BB105" s="154"/>
      <c r="BC105" s="154"/>
      <c r="BD105" s="154"/>
      <c r="BE105" s="154"/>
      <c r="BF105" s="154"/>
      <c r="BG105" s="154"/>
      <c r="BH105" s="154"/>
      <c r="BI105" s="154"/>
      <c r="BJ105" s="154"/>
      <c r="BK105" s="154"/>
      <c r="BL105" s="163"/>
      <c r="BM105" s="163"/>
      <c r="BN105" s="163"/>
    </row>
    <row r="106" spans="1:66" ht="15.75" customHeight="1">
      <c r="A106" s="154"/>
      <c r="B106" s="155"/>
      <c r="C106" s="156"/>
      <c r="D106" s="154"/>
      <c r="E106" s="154"/>
      <c r="F106" s="154"/>
      <c r="G106" s="154"/>
      <c r="H106" s="154"/>
      <c r="I106" s="154"/>
      <c r="J106" s="154"/>
      <c r="K106" s="154"/>
      <c r="L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H106" s="154"/>
      <c r="AI106" s="154"/>
      <c r="AJ106" s="154"/>
      <c r="AK106" s="154"/>
      <c r="AL106" s="154"/>
      <c r="AM106" s="154"/>
      <c r="AN106" s="154"/>
      <c r="AO106" s="154"/>
      <c r="AP106" s="156"/>
      <c r="AQ106" s="154"/>
      <c r="AR106" s="156"/>
      <c r="AS106" s="154"/>
      <c r="AT106" s="154"/>
      <c r="AU106" s="154"/>
      <c r="AV106" s="154"/>
      <c r="AW106" s="154"/>
      <c r="AX106" s="154"/>
      <c r="AY106" s="154"/>
      <c r="AZ106" s="154"/>
      <c r="BA106" s="154"/>
      <c r="BB106" s="154"/>
      <c r="BC106" s="154"/>
      <c r="BD106" s="154"/>
      <c r="BE106" s="154"/>
      <c r="BF106" s="154"/>
      <c r="BG106" s="154"/>
      <c r="BH106" s="154"/>
      <c r="BI106" s="154"/>
      <c r="BJ106" s="154"/>
      <c r="BK106" s="154"/>
      <c r="BL106" s="163"/>
      <c r="BM106" s="163"/>
      <c r="BN106" s="163"/>
    </row>
    <row r="107" spans="1:66" ht="15.75" customHeight="1">
      <c r="A107" s="154"/>
      <c r="B107" s="155"/>
      <c r="C107" s="156"/>
      <c r="D107" s="154"/>
      <c r="E107" s="154"/>
      <c r="F107" s="154"/>
      <c r="G107" s="154"/>
      <c r="H107" s="154"/>
      <c r="I107" s="154"/>
      <c r="J107" s="154"/>
      <c r="K107" s="154"/>
      <c r="L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H107" s="154"/>
      <c r="AI107" s="154"/>
      <c r="AJ107" s="154"/>
      <c r="AK107" s="154"/>
      <c r="AL107" s="154"/>
      <c r="AM107" s="154"/>
      <c r="AN107" s="154"/>
      <c r="AO107" s="154"/>
      <c r="AP107" s="156"/>
      <c r="AQ107" s="154"/>
      <c r="AR107" s="156"/>
      <c r="AS107" s="154"/>
      <c r="AT107" s="154"/>
      <c r="AU107" s="154"/>
      <c r="AV107" s="154"/>
      <c r="AW107" s="154"/>
      <c r="AX107" s="154"/>
      <c r="AY107" s="154"/>
      <c r="AZ107" s="154"/>
      <c r="BA107" s="154"/>
      <c r="BB107" s="154"/>
      <c r="BC107" s="154"/>
      <c r="BD107" s="154"/>
      <c r="BE107" s="154"/>
      <c r="BF107" s="154"/>
      <c r="BG107" s="154"/>
      <c r="BH107" s="154"/>
      <c r="BI107" s="154"/>
      <c r="BJ107" s="154"/>
      <c r="BK107" s="154"/>
      <c r="BL107" s="163"/>
      <c r="BM107" s="163"/>
      <c r="BN107" s="163"/>
    </row>
    <row r="108" spans="1:66" ht="15.75" customHeight="1">
      <c r="A108" s="154"/>
      <c r="B108" s="155"/>
      <c r="C108" s="156"/>
      <c r="D108" s="154"/>
      <c r="E108" s="154"/>
      <c r="F108" s="154"/>
      <c r="G108" s="154"/>
      <c r="H108" s="154"/>
      <c r="I108" s="154"/>
      <c r="J108" s="154"/>
      <c r="K108" s="154"/>
      <c r="L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H108" s="154"/>
      <c r="AI108" s="154"/>
      <c r="AJ108" s="154"/>
      <c r="AK108" s="154"/>
      <c r="AL108" s="154"/>
      <c r="AM108" s="154"/>
      <c r="AN108" s="154"/>
      <c r="AO108" s="154"/>
      <c r="AP108" s="156"/>
      <c r="AQ108" s="154"/>
      <c r="AR108" s="156"/>
      <c r="AS108" s="154"/>
      <c r="AT108" s="154"/>
      <c r="AU108" s="154"/>
      <c r="AV108" s="154"/>
      <c r="AW108" s="154"/>
      <c r="AX108" s="154"/>
      <c r="AY108" s="154"/>
      <c r="AZ108" s="154"/>
      <c r="BA108" s="154"/>
      <c r="BB108" s="154"/>
      <c r="BC108" s="154"/>
      <c r="BD108" s="154"/>
      <c r="BE108" s="154"/>
      <c r="BF108" s="154"/>
      <c r="BG108" s="154"/>
      <c r="BH108" s="154"/>
      <c r="BI108" s="154"/>
      <c r="BJ108" s="154"/>
      <c r="BK108" s="154"/>
      <c r="BL108" s="163"/>
      <c r="BM108" s="163"/>
      <c r="BN108" s="163"/>
    </row>
    <row r="109" spans="1:66" ht="15.75" customHeight="1">
      <c r="A109" s="154"/>
      <c r="B109" s="155"/>
      <c r="C109" s="156"/>
      <c r="D109" s="154"/>
      <c r="E109" s="154"/>
      <c r="F109" s="154"/>
      <c r="G109" s="154"/>
      <c r="H109" s="154"/>
      <c r="I109" s="154"/>
      <c r="J109" s="154"/>
      <c r="K109" s="154"/>
      <c r="L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H109" s="154"/>
      <c r="AI109" s="154"/>
      <c r="AJ109" s="154"/>
      <c r="AK109" s="154"/>
      <c r="AL109" s="154"/>
      <c r="AM109" s="154"/>
      <c r="AN109" s="154"/>
      <c r="AO109" s="154"/>
      <c r="AP109" s="156"/>
      <c r="AQ109" s="154"/>
      <c r="AR109" s="156"/>
      <c r="AS109" s="154"/>
      <c r="AT109" s="154"/>
      <c r="AU109" s="154"/>
      <c r="AV109" s="154"/>
      <c r="AW109" s="154"/>
      <c r="AX109" s="154"/>
      <c r="AY109" s="154"/>
      <c r="AZ109" s="154"/>
      <c r="BA109" s="154"/>
      <c r="BB109" s="154"/>
      <c r="BC109" s="154"/>
      <c r="BD109" s="154"/>
      <c r="BE109" s="154"/>
      <c r="BF109" s="154"/>
      <c r="BG109" s="154"/>
      <c r="BH109" s="154"/>
      <c r="BI109" s="154"/>
      <c r="BJ109" s="154"/>
      <c r="BK109" s="154"/>
      <c r="BL109" s="163"/>
      <c r="BM109" s="163"/>
      <c r="BN109" s="163"/>
    </row>
    <row r="110" spans="1:66" ht="15.75" customHeight="1">
      <c r="A110" s="154"/>
      <c r="B110" s="155"/>
      <c r="C110" s="156"/>
      <c r="D110" s="154"/>
      <c r="E110" s="154"/>
      <c r="F110" s="154"/>
      <c r="G110" s="154"/>
      <c r="H110" s="154"/>
      <c r="I110" s="154"/>
      <c r="J110" s="154"/>
      <c r="K110" s="154"/>
      <c r="L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H110" s="154"/>
      <c r="AI110" s="154"/>
      <c r="AJ110" s="154"/>
      <c r="AK110" s="154"/>
      <c r="AL110" s="154"/>
      <c r="AM110" s="154"/>
      <c r="AN110" s="154"/>
      <c r="AO110" s="154"/>
      <c r="AP110" s="156"/>
      <c r="AQ110" s="154"/>
      <c r="AR110" s="156"/>
      <c r="AS110" s="154"/>
      <c r="AT110" s="154"/>
      <c r="AU110" s="154"/>
      <c r="AV110" s="154"/>
      <c r="AW110" s="154"/>
      <c r="AX110" s="154"/>
      <c r="AY110" s="154"/>
      <c r="AZ110" s="154"/>
      <c r="BA110" s="154"/>
      <c r="BB110" s="154"/>
      <c r="BC110" s="154"/>
      <c r="BD110" s="154"/>
      <c r="BE110" s="154"/>
      <c r="BF110" s="154"/>
      <c r="BG110" s="154"/>
      <c r="BH110" s="154"/>
      <c r="BI110" s="154"/>
      <c r="BJ110" s="154"/>
      <c r="BK110" s="154"/>
      <c r="BL110" s="163"/>
      <c r="BM110" s="163"/>
      <c r="BN110" s="163"/>
    </row>
    <row r="111" spans="1:66" ht="15.75" customHeight="1">
      <c r="A111" s="154"/>
      <c r="B111" s="155"/>
      <c r="C111" s="156"/>
      <c r="D111" s="154"/>
      <c r="E111" s="154"/>
      <c r="F111" s="154"/>
      <c r="G111" s="154"/>
      <c r="H111" s="154"/>
      <c r="I111" s="154"/>
      <c r="J111" s="154"/>
      <c r="K111" s="154"/>
      <c r="L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H111" s="154"/>
      <c r="AI111" s="154"/>
      <c r="AJ111" s="154"/>
      <c r="AK111" s="154"/>
      <c r="AL111" s="154"/>
      <c r="AM111" s="154"/>
      <c r="AN111" s="154"/>
      <c r="AO111" s="154"/>
      <c r="AP111" s="156"/>
      <c r="AQ111" s="154"/>
      <c r="AR111" s="156"/>
      <c r="AS111" s="154"/>
      <c r="AT111" s="154"/>
      <c r="AU111" s="154"/>
      <c r="AV111" s="154"/>
      <c r="AW111" s="154"/>
      <c r="AX111" s="154"/>
      <c r="AY111" s="154"/>
      <c r="AZ111" s="154"/>
      <c r="BA111" s="154"/>
      <c r="BB111" s="154"/>
      <c r="BC111" s="154"/>
      <c r="BD111" s="154"/>
      <c r="BE111" s="154"/>
      <c r="BF111" s="154"/>
      <c r="BG111" s="154"/>
      <c r="BH111" s="154"/>
      <c r="BI111" s="154"/>
      <c r="BJ111" s="154"/>
      <c r="BK111" s="154"/>
      <c r="BL111" s="163"/>
      <c r="BM111" s="163"/>
      <c r="BN111" s="163"/>
    </row>
    <row r="112" spans="1:66" ht="15.75" customHeight="1">
      <c r="A112" s="154"/>
      <c r="B112" s="155"/>
      <c r="C112" s="156"/>
      <c r="D112" s="154"/>
      <c r="E112" s="154"/>
      <c r="F112" s="154"/>
      <c r="G112" s="154"/>
      <c r="H112" s="154"/>
      <c r="I112" s="154"/>
      <c r="J112" s="154"/>
      <c r="K112" s="154"/>
      <c r="L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H112" s="154"/>
      <c r="AI112" s="154"/>
      <c r="AJ112" s="154"/>
      <c r="AK112" s="154"/>
      <c r="AL112" s="154"/>
      <c r="AM112" s="154"/>
      <c r="AN112" s="154"/>
      <c r="AO112" s="154"/>
      <c r="AP112" s="156"/>
      <c r="AQ112" s="154"/>
      <c r="AR112" s="156"/>
      <c r="AS112" s="154"/>
      <c r="AT112" s="154"/>
      <c r="AU112" s="154"/>
      <c r="AV112" s="154"/>
      <c r="AW112" s="154"/>
      <c r="AX112" s="154"/>
      <c r="AY112" s="154"/>
      <c r="AZ112" s="154"/>
      <c r="BA112" s="154"/>
      <c r="BB112" s="154"/>
      <c r="BC112" s="154"/>
      <c r="BD112" s="154"/>
      <c r="BE112" s="154"/>
      <c r="BF112" s="154"/>
      <c r="BG112" s="154"/>
      <c r="BH112" s="154"/>
      <c r="BI112" s="154"/>
      <c r="BJ112" s="154"/>
      <c r="BK112" s="154"/>
      <c r="BL112" s="163"/>
      <c r="BM112" s="163"/>
      <c r="BN112" s="163"/>
    </row>
    <row r="113" spans="1:66" ht="15.75" customHeight="1">
      <c r="A113" s="154"/>
      <c r="B113" s="155"/>
      <c r="C113" s="156"/>
      <c r="D113" s="154"/>
      <c r="E113" s="154"/>
      <c r="F113" s="154"/>
      <c r="G113" s="154"/>
      <c r="H113" s="154"/>
      <c r="I113" s="154"/>
      <c r="J113" s="154"/>
      <c r="K113" s="154"/>
      <c r="L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H113" s="154"/>
      <c r="AI113" s="154"/>
      <c r="AJ113" s="154"/>
      <c r="AK113" s="154"/>
      <c r="AL113" s="154"/>
      <c r="AM113" s="154"/>
      <c r="AN113" s="154"/>
      <c r="AO113" s="154"/>
      <c r="AP113" s="156"/>
      <c r="AQ113" s="154"/>
      <c r="AR113" s="156"/>
      <c r="AS113" s="154"/>
      <c r="AT113" s="154"/>
      <c r="AU113" s="154"/>
      <c r="AV113" s="154"/>
      <c r="AW113" s="154"/>
      <c r="AX113" s="154"/>
      <c r="AY113" s="154"/>
      <c r="AZ113" s="154"/>
      <c r="BA113" s="154"/>
      <c r="BB113" s="154"/>
      <c r="BC113" s="154"/>
      <c r="BD113" s="154"/>
      <c r="BE113" s="154"/>
      <c r="BF113" s="154"/>
      <c r="BG113" s="154"/>
      <c r="BH113" s="154"/>
      <c r="BI113" s="154"/>
      <c r="BJ113" s="154"/>
      <c r="BK113" s="154"/>
      <c r="BL113" s="163"/>
      <c r="BM113" s="163"/>
      <c r="BN113" s="163"/>
    </row>
    <row r="114" spans="1:66" ht="15.75" customHeight="1">
      <c r="A114" s="154"/>
      <c r="B114" s="155"/>
      <c r="C114" s="156"/>
      <c r="D114" s="154"/>
      <c r="E114" s="154"/>
      <c r="F114" s="154"/>
      <c r="G114" s="154"/>
      <c r="H114" s="154"/>
      <c r="I114" s="154"/>
      <c r="J114" s="154"/>
      <c r="K114" s="154"/>
      <c r="L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H114" s="154"/>
      <c r="AI114" s="154"/>
      <c r="AJ114" s="154"/>
      <c r="AK114" s="154"/>
      <c r="AL114" s="154"/>
      <c r="AM114" s="154"/>
      <c r="AN114" s="154"/>
      <c r="AO114" s="154"/>
      <c r="AP114" s="156"/>
      <c r="AQ114" s="154"/>
      <c r="AR114" s="156"/>
      <c r="AS114" s="154"/>
      <c r="AT114" s="154"/>
      <c r="AU114" s="154"/>
      <c r="AV114" s="154"/>
      <c r="AW114" s="154"/>
      <c r="AX114" s="154"/>
      <c r="AY114" s="154"/>
      <c r="AZ114" s="154"/>
      <c r="BA114" s="154"/>
      <c r="BB114" s="154"/>
      <c r="BC114" s="154"/>
      <c r="BD114" s="154"/>
      <c r="BE114" s="154"/>
      <c r="BF114" s="154"/>
      <c r="BG114" s="154"/>
      <c r="BH114" s="154"/>
      <c r="BI114" s="154"/>
      <c r="BJ114" s="154"/>
      <c r="BK114" s="154"/>
      <c r="BL114" s="163"/>
      <c r="BM114" s="163"/>
      <c r="BN114" s="163"/>
    </row>
    <row r="115" spans="1:66" ht="15.75" customHeight="1">
      <c r="A115" s="154"/>
      <c r="B115" s="155"/>
      <c r="C115" s="156"/>
      <c r="D115" s="154"/>
      <c r="E115" s="154"/>
      <c r="F115" s="154"/>
      <c r="G115" s="154"/>
      <c r="H115" s="154"/>
      <c r="I115" s="154"/>
      <c r="J115" s="154"/>
      <c r="K115" s="154"/>
      <c r="L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H115" s="154"/>
      <c r="AI115" s="154"/>
      <c r="AJ115" s="154"/>
      <c r="AK115" s="154"/>
      <c r="AL115" s="154"/>
      <c r="AM115" s="154"/>
      <c r="AN115" s="154"/>
      <c r="AO115" s="154"/>
      <c r="AP115" s="156"/>
      <c r="AQ115" s="154"/>
      <c r="AR115" s="156"/>
      <c r="AS115" s="154"/>
      <c r="AT115" s="154"/>
      <c r="AU115" s="154"/>
      <c r="AV115" s="154"/>
      <c r="AW115" s="154"/>
      <c r="AX115" s="154"/>
      <c r="AY115" s="154"/>
      <c r="AZ115" s="154"/>
      <c r="BA115" s="154"/>
      <c r="BB115" s="154"/>
      <c r="BC115" s="154"/>
      <c r="BD115" s="154"/>
      <c r="BE115" s="154"/>
      <c r="BF115" s="154"/>
      <c r="BG115" s="154"/>
      <c r="BH115" s="154"/>
      <c r="BI115" s="154"/>
      <c r="BJ115" s="154"/>
      <c r="BK115" s="154"/>
      <c r="BL115" s="163"/>
      <c r="BM115" s="163"/>
      <c r="BN115" s="163"/>
    </row>
    <row r="116" spans="1:66" ht="15.75" customHeight="1">
      <c r="A116" s="154"/>
      <c r="B116" s="155"/>
      <c r="C116" s="156"/>
      <c r="D116" s="154"/>
      <c r="E116" s="154"/>
      <c r="F116" s="154"/>
      <c r="G116" s="154"/>
      <c r="H116" s="154"/>
      <c r="I116" s="154"/>
      <c r="J116" s="154"/>
      <c r="K116" s="154"/>
      <c r="L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H116" s="154"/>
      <c r="AI116" s="154"/>
      <c r="AJ116" s="154"/>
      <c r="AK116" s="154"/>
      <c r="AL116" s="154"/>
      <c r="AM116" s="154"/>
      <c r="AN116" s="154"/>
      <c r="AO116" s="154"/>
      <c r="AP116" s="156"/>
      <c r="AQ116" s="154"/>
      <c r="AR116" s="156"/>
      <c r="AS116" s="154"/>
      <c r="AT116" s="154"/>
      <c r="AU116" s="154"/>
      <c r="AV116" s="154"/>
      <c r="AW116" s="154"/>
      <c r="AX116" s="154"/>
      <c r="AY116" s="154"/>
      <c r="AZ116" s="154"/>
      <c r="BA116" s="154"/>
      <c r="BB116" s="154"/>
      <c r="BC116" s="154"/>
      <c r="BD116" s="154"/>
      <c r="BE116" s="154"/>
      <c r="BF116" s="154"/>
      <c r="BG116" s="154"/>
      <c r="BH116" s="154"/>
      <c r="BI116" s="154"/>
      <c r="BJ116" s="154"/>
      <c r="BK116" s="154"/>
      <c r="BL116" s="163"/>
      <c r="BM116" s="163"/>
      <c r="BN116" s="163"/>
    </row>
    <row r="117" spans="1:66" ht="15.75" customHeight="1">
      <c r="A117" s="154"/>
      <c r="B117" s="155"/>
      <c r="C117" s="156"/>
      <c r="D117" s="154"/>
      <c r="E117" s="154"/>
      <c r="F117" s="154"/>
      <c r="G117" s="154"/>
      <c r="H117" s="154"/>
      <c r="I117" s="154"/>
      <c r="J117" s="154"/>
      <c r="K117" s="154"/>
      <c r="L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H117" s="154"/>
      <c r="AI117" s="154"/>
      <c r="AJ117" s="154"/>
      <c r="AK117" s="154"/>
      <c r="AL117" s="154"/>
      <c r="AM117" s="154"/>
      <c r="AN117" s="154"/>
      <c r="AO117" s="154"/>
      <c r="AP117" s="156"/>
      <c r="AQ117" s="154"/>
      <c r="AR117" s="156"/>
      <c r="AS117" s="154"/>
      <c r="AT117" s="154"/>
      <c r="AU117" s="154"/>
      <c r="AV117" s="154"/>
      <c r="AW117" s="154"/>
      <c r="AX117" s="154"/>
      <c r="AY117" s="154"/>
      <c r="AZ117" s="154"/>
      <c r="BA117" s="154"/>
      <c r="BB117" s="154"/>
      <c r="BC117" s="154"/>
      <c r="BD117" s="154"/>
      <c r="BE117" s="154"/>
      <c r="BF117" s="154"/>
      <c r="BG117" s="154"/>
      <c r="BH117" s="154"/>
      <c r="BI117" s="154"/>
      <c r="BJ117" s="154"/>
      <c r="BK117" s="154"/>
      <c r="BL117" s="163"/>
      <c r="BM117" s="163"/>
      <c r="BN117" s="163"/>
    </row>
    <row r="118" spans="1:66" ht="15.75" customHeight="1">
      <c r="A118" s="154"/>
      <c r="B118" s="155"/>
      <c r="C118" s="156"/>
      <c r="D118" s="154"/>
      <c r="E118" s="154"/>
      <c r="F118" s="154"/>
      <c r="G118" s="154"/>
      <c r="H118" s="154"/>
      <c r="I118" s="154"/>
      <c r="J118" s="154"/>
      <c r="K118" s="154"/>
      <c r="L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H118" s="154"/>
      <c r="AI118" s="154"/>
      <c r="AJ118" s="154"/>
      <c r="AK118" s="154"/>
      <c r="AL118" s="154"/>
      <c r="AM118" s="154"/>
      <c r="AN118" s="154"/>
      <c r="AO118" s="154"/>
      <c r="AP118" s="156"/>
      <c r="AQ118" s="154"/>
      <c r="AR118" s="156"/>
      <c r="AS118" s="154"/>
      <c r="AT118" s="154"/>
      <c r="AU118" s="154"/>
      <c r="AV118" s="154"/>
      <c r="AW118" s="154"/>
      <c r="AX118" s="154"/>
      <c r="AY118" s="154"/>
      <c r="AZ118" s="154"/>
      <c r="BA118" s="154"/>
      <c r="BB118" s="154"/>
      <c r="BC118" s="154"/>
      <c r="BD118" s="154"/>
      <c r="BE118" s="154"/>
      <c r="BF118" s="154"/>
      <c r="BG118" s="154"/>
      <c r="BH118" s="154"/>
      <c r="BI118" s="154"/>
      <c r="BJ118" s="154"/>
      <c r="BK118" s="154"/>
      <c r="BL118" s="163"/>
      <c r="BM118" s="163"/>
      <c r="BN118" s="163"/>
    </row>
    <row r="119" spans="1:66" ht="15.75" customHeight="1">
      <c r="A119" s="154"/>
      <c r="B119" s="155"/>
      <c r="C119" s="156"/>
      <c r="D119" s="154"/>
      <c r="E119" s="154"/>
      <c r="F119" s="154"/>
      <c r="G119" s="154"/>
      <c r="H119" s="154"/>
      <c r="I119" s="154"/>
      <c r="J119" s="154"/>
      <c r="K119" s="154"/>
      <c r="L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H119" s="154"/>
      <c r="AI119" s="154"/>
      <c r="AJ119" s="154"/>
      <c r="AK119" s="154"/>
      <c r="AL119" s="154"/>
      <c r="AM119" s="154"/>
      <c r="AN119" s="154"/>
      <c r="AO119" s="154"/>
      <c r="AP119" s="156"/>
      <c r="AQ119" s="154"/>
      <c r="AR119" s="156"/>
      <c r="AS119" s="154"/>
      <c r="AT119" s="154"/>
      <c r="AU119" s="154"/>
      <c r="AV119" s="154"/>
      <c r="AW119" s="154"/>
      <c r="AX119" s="154"/>
      <c r="AY119" s="154"/>
      <c r="AZ119" s="154"/>
      <c r="BA119" s="154"/>
      <c r="BB119" s="154"/>
      <c r="BC119" s="154"/>
      <c r="BD119" s="154"/>
      <c r="BE119" s="154"/>
      <c r="BF119" s="154"/>
      <c r="BG119" s="154"/>
      <c r="BH119" s="154"/>
      <c r="BI119" s="154"/>
      <c r="BJ119" s="154"/>
      <c r="BK119" s="154"/>
      <c r="BL119" s="163"/>
      <c r="BM119" s="163"/>
      <c r="BN119" s="163"/>
    </row>
    <row r="120" spans="1:66" ht="15.75" customHeight="1">
      <c r="A120" s="154"/>
      <c r="B120" s="155"/>
      <c r="C120" s="156"/>
      <c r="D120" s="154"/>
      <c r="E120" s="154"/>
      <c r="F120" s="154"/>
      <c r="G120" s="154"/>
      <c r="H120" s="154"/>
      <c r="I120" s="154"/>
      <c r="J120" s="154"/>
      <c r="K120" s="154"/>
      <c r="L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H120" s="154"/>
      <c r="AI120" s="154"/>
      <c r="AJ120" s="154"/>
      <c r="AK120" s="154"/>
      <c r="AL120" s="154"/>
      <c r="AM120" s="154"/>
      <c r="AN120" s="154"/>
      <c r="AO120" s="154"/>
      <c r="AP120" s="156"/>
      <c r="AQ120" s="154"/>
      <c r="AR120" s="156"/>
      <c r="AS120" s="154"/>
      <c r="AT120" s="154"/>
      <c r="AU120" s="154"/>
      <c r="AV120" s="154"/>
      <c r="AW120" s="154"/>
      <c r="AX120" s="154"/>
      <c r="AY120" s="154"/>
      <c r="AZ120" s="154"/>
      <c r="BA120" s="154"/>
      <c r="BB120" s="154"/>
      <c r="BC120" s="154"/>
      <c r="BD120" s="154"/>
      <c r="BE120" s="154"/>
      <c r="BF120" s="154"/>
      <c r="BG120" s="154"/>
      <c r="BH120" s="154"/>
      <c r="BI120" s="154"/>
      <c r="BJ120" s="154"/>
      <c r="BK120" s="154"/>
      <c r="BL120" s="163"/>
      <c r="BM120" s="163"/>
      <c r="BN120" s="163"/>
    </row>
    <row r="121" spans="1:66" ht="15.75" customHeight="1">
      <c r="A121" s="154"/>
      <c r="B121" s="155"/>
      <c r="C121" s="156"/>
      <c r="D121" s="154"/>
      <c r="E121" s="154"/>
      <c r="F121" s="154"/>
      <c r="G121" s="154"/>
      <c r="H121" s="154"/>
      <c r="I121" s="154"/>
      <c r="J121" s="154"/>
      <c r="K121" s="154"/>
      <c r="L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H121" s="154"/>
      <c r="AI121" s="154"/>
      <c r="AJ121" s="154"/>
      <c r="AK121" s="154"/>
      <c r="AL121" s="154"/>
      <c r="AM121" s="154"/>
      <c r="AN121" s="154"/>
      <c r="AO121" s="154"/>
      <c r="AP121" s="156"/>
      <c r="AQ121" s="154"/>
      <c r="AR121" s="156"/>
      <c r="AS121" s="154"/>
      <c r="AT121" s="154"/>
      <c r="AU121" s="154"/>
      <c r="AV121" s="154"/>
      <c r="AW121" s="154"/>
      <c r="AX121" s="154"/>
      <c r="AY121" s="154"/>
      <c r="AZ121" s="154"/>
      <c r="BA121" s="154"/>
      <c r="BB121" s="154"/>
      <c r="BC121" s="154"/>
      <c r="BD121" s="154"/>
      <c r="BE121" s="154"/>
      <c r="BF121" s="154"/>
      <c r="BG121" s="154"/>
      <c r="BH121" s="154"/>
      <c r="BI121" s="154"/>
      <c r="BJ121" s="154"/>
      <c r="BK121" s="154"/>
      <c r="BL121" s="163"/>
      <c r="BM121" s="163"/>
      <c r="BN121" s="163"/>
    </row>
    <row r="122" spans="1:66" ht="15.75" customHeight="1">
      <c r="A122" s="154"/>
      <c r="B122" s="155"/>
      <c r="C122" s="156"/>
      <c r="D122" s="154"/>
      <c r="E122" s="154"/>
      <c r="F122" s="154"/>
      <c r="G122" s="154"/>
      <c r="H122" s="154"/>
      <c r="I122" s="154"/>
      <c r="J122" s="154"/>
      <c r="K122" s="154"/>
      <c r="L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H122" s="154"/>
      <c r="AI122" s="154"/>
      <c r="AJ122" s="154"/>
      <c r="AK122" s="154"/>
      <c r="AL122" s="154"/>
      <c r="AM122" s="154"/>
      <c r="AN122" s="154"/>
      <c r="AO122" s="154"/>
      <c r="AP122" s="156"/>
      <c r="AQ122" s="154"/>
      <c r="AR122" s="156"/>
      <c r="AS122" s="154"/>
      <c r="AT122" s="154"/>
      <c r="AU122" s="154"/>
      <c r="AV122" s="154"/>
      <c r="AW122" s="154"/>
      <c r="AX122" s="154"/>
      <c r="AY122" s="154"/>
      <c r="AZ122" s="154"/>
      <c r="BA122" s="154"/>
      <c r="BB122" s="154"/>
      <c r="BC122" s="154"/>
      <c r="BD122" s="154"/>
      <c r="BE122" s="154"/>
      <c r="BF122" s="154"/>
      <c r="BG122" s="154"/>
      <c r="BH122" s="154"/>
      <c r="BI122" s="154"/>
      <c r="BJ122" s="154"/>
      <c r="BK122" s="154"/>
      <c r="BL122" s="163"/>
      <c r="BM122" s="163"/>
      <c r="BN122" s="163"/>
    </row>
    <row r="123" spans="1:66" ht="15.75" customHeight="1">
      <c r="A123" s="154"/>
      <c r="B123" s="155"/>
      <c r="C123" s="156"/>
      <c r="D123" s="154"/>
      <c r="E123" s="154"/>
      <c r="F123" s="154"/>
      <c r="G123" s="154"/>
      <c r="H123" s="154"/>
      <c r="I123" s="154"/>
      <c r="J123" s="154"/>
      <c r="K123" s="154"/>
      <c r="L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  <c r="AF123" s="154"/>
      <c r="AH123" s="154"/>
      <c r="AI123" s="154"/>
      <c r="AJ123" s="154"/>
      <c r="AK123" s="154"/>
      <c r="AL123" s="154"/>
      <c r="AM123" s="154"/>
      <c r="AN123" s="154"/>
      <c r="AO123" s="154"/>
      <c r="AP123" s="156"/>
      <c r="AQ123" s="154"/>
      <c r="AR123" s="156"/>
      <c r="AS123" s="154"/>
      <c r="AT123" s="154"/>
      <c r="AU123" s="154"/>
      <c r="AV123" s="154"/>
      <c r="AW123" s="154"/>
      <c r="AX123" s="154"/>
      <c r="AY123" s="154"/>
      <c r="AZ123" s="154"/>
      <c r="BA123" s="154"/>
      <c r="BB123" s="154"/>
      <c r="BC123" s="154"/>
      <c r="BD123" s="154"/>
      <c r="BE123" s="154"/>
      <c r="BF123" s="154"/>
      <c r="BG123" s="154"/>
      <c r="BH123" s="154"/>
      <c r="BI123" s="154"/>
      <c r="BJ123" s="154"/>
      <c r="BK123" s="154"/>
      <c r="BL123" s="163"/>
      <c r="BM123" s="163"/>
      <c r="BN123" s="163"/>
    </row>
    <row r="124" spans="1:66" ht="15.75" customHeight="1">
      <c r="A124" s="154"/>
      <c r="B124" s="155"/>
      <c r="C124" s="156"/>
      <c r="D124" s="154"/>
      <c r="E124" s="154"/>
      <c r="F124" s="154"/>
      <c r="G124" s="154"/>
      <c r="H124" s="154"/>
      <c r="I124" s="154"/>
      <c r="J124" s="154"/>
      <c r="K124" s="154"/>
      <c r="L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H124" s="154"/>
      <c r="AI124" s="154"/>
      <c r="AJ124" s="154"/>
      <c r="AK124" s="154"/>
      <c r="AL124" s="154"/>
      <c r="AM124" s="154"/>
      <c r="AN124" s="154"/>
      <c r="AO124" s="154"/>
      <c r="AP124" s="156"/>
      <c r="AQ124" s="154"/>
      <c r="AR124" s="156"/>
      <c r="AS124" s="154"/>
      <c r="AT124" s="154"/>
      <c r="AU124" s="154"/>
      <c r="AV124" s="154"/>
      <c r="AW124" s="154"/>
      <c r="AX124" s="154"/>
      <c r="AY124" s="154"/>
      <c r="AZ124" s="154"/>
      <c r="BA124" s="154"/>
      <c r="BB124" s="154"/>
      <c r="BC124" s="154"/>
      <c r="BD124" s="154"/>
      <c r="BE124" s="154"/>
      <c r="BF124" s="154"/>
      <c r="BG124" s="154"/>
      <c r="BH124" s="154"/>
      <c r="BI124" s="154"/>
      <c r="BJ124" s="154"/>
      <c r="BK124" s="154"/>
      <c r="BL124" s="163"/>
      <c r="BM124" s="163"/>
      <c r="BN124" s="163"/>
    </row>
    <row r="125" spans="1:66" ht="15.75" customHeight="1">
      <c r="A125" s="154"/>
      <c r="B125" s="155"/>
      <c r="C125" s="156"/>
      <c r="D125" s="154"/>
      <c r="E125" s="154"/>
      <c r="F125" s="154"/>
      <c r="G125" s="154"/>
      <c r="H125" s="154"/>
      <c r="I125" s="154"/>
      <c r="J125" s="154"/>
      <c r="K125" s="154"/>
      <c r="L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F125" s="154"/>
      <c r="AH125" s="154"/>
      <c r="AI125" s="154"/>
      <c r="AJ125" s="154"/>
      <c r="AK125" s="154"/>
      <c r="AL125" s="154"/>
      <c r="AM125" s="154"/>
      <c r="AN125" s="154"/>
      <c r="AO125" s="154"/>
      <c r="AP125" s="156"/>
      <c r="AQ125" s="154"/>
      <c r="AR125" s="156"/>
      <c r="AS125" s="154"/>
      <c r="AT125" s="154"/>
      <c r="AU125" s="154"/>
      <c r="AV125" s="154"/>
      <c r="AW125" s="154"/>
      <c r="AX125" s="154"/>
      <c r="AY125" s="154"/>
      <c r="AZ125" s="154"/>
      <c r="BA125" s="154"/>
      <c r="BB125" s="154"/>
      <c r="BC125" s="154"/>
      <c r="BD125" s="154"/>
      <c r="BE125" s="154"/>
      <c r="BF125" s="154"/>
      <c r="BG125" s="154"/>
      <c r="BH125" s="154"/>
      <c r="BI125" s="154"/>
      <c r="BJ125" s="154"/>
      <c r="BK125" s="154"/>
      <c r="BL125" s="163"/>
      <c r="BM125" s="163"/>
      <c r="BN125" s="163"/>
    </row>
    <row r="126" spans="1:66" ht="15.75" customHeight="1">
      <c r="A126" s="154"/>
      <c r="B126" s="155"/>
      <c r="C126" s="156"/>
      <c r="D126" s="154"/>
      <c r="E126" s="154"/>
      <c r="F126" s="154"/>
      <c r="G126" s="154"/>
      <c r="H126" s="154"/>
      <c r="I126" s="154"/>
      <c r="J126" s="154"/>
      <c r="K126" s="154"/>
      <c r="L126" s="154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  <c r="AE126" s="154"/>
      <c r="AF126" s="154"/>
      <c r="AH126" s="154"/>
      <c r="AI126" s="154"/>
      <c r="AJ126" s="154"/>
      <c r="AK126" s="154"/>
      <c r="AL126" s="154"/>
      <c r="AM126" s="154"/>
      <c r="AN126" s="154"/>
      <c r="AO126" s="154"/>
      <c r="AP126" s="156"/>
      <c r="AQ126" s="154"/>
      <c r="AR126" s="156"/>
      <c r="AS126" s="154"/>
      <c r="AT126" s="154"/>
      <c r="AU126" s="154"/>
      <c r="AV126" s="154"/>
      <c r="AW126" s="154"/>
      <c r="AX126" s="154"/>
      <c r="AY126" s="154"/>
      <c r="AZ126" s="154"/>
      <c r="BA126" s="154"/>
      <c r="BB126" s="154"/>
      <c r="BC126" s="154"/>
      <c r="BD126" s="154"/>
      <c r="BE126" s="154"/>
      <c r="BF126" s="154"/>
      <c r="BG126" s="154"/>
      <c r="BH126" s="154"/>
      <c r="BI126" s="154"/>
      <c r="BJ126" s="154"/>
      <c r="BK126" s="154"/>
      <c r="BL126" s="163"/>
      <c r="BM126" s="163"/>
      <c r="BN126" s="163"/>
    </row>
    <row r="127" spans="1:66" ht="15.75" customHeight="1">
      <c r="A127" s="154"/>
      <c r="B127" s="155"/>
      <c r="C127" s="156"/>
      <c r="D127" s="154"/>
      <c r="E127" s="154"/>
      <c r="F127" s="154"/>
      <c r="G127" s="154"/>
      <c r="H127" s="154"/>
      <c r="I127" s="154"/>
      <c r="J127" s="154"/>
      <c r="K127" s="154"/>
      <c r="L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H127" s="154"/>
      <c r="AI127" s="154"/>
      <c r="AJ127" s="154"/>
      <c r="AK127" s="154"/>
      <c r="AL127" s="154"/>
      <c r="AM127" s="154"/>
      <c r="AN127" s="154"/>
      <c r="AO127" s="154"/>
      <c r="AP127" s="156"/>
      <c r="AQ127" s="154"/>
      <c r="AR127" s="156"/>
      <c r="AS127" s="154"/>
      <c r="AT127" s="154"/>
      <c r="AU127" s="154"/>
      <c r="AV127" s="154"/>
      <c r="AW127" s="154"/>
      <c r="AX127" s="154"/>
      <c r="AY127" s="154"/>
      <c r="AZ127" s="154"/>
      <c r="BA127" s="154"/>
      <c r="BB127" s="154"/>
      <c r="BC127" s="154"/>
      <c r="BD127" s="154"/>
      <c r="BE127" s="154"/>
      <c r="BF127" s="154"/>
      <c r="BG127" s="154"/>
      <c r="BH127" s="154"/>
      <c r="BI127" s="154"/>
      <c r="BJ127" s="154"/>
      <c r="BK127" s="154"/>
      <c r="BL127" s="163"/>
      <c r="BM127" s="163"/>
      <c r="BN127" s="163"/>
    </row>
    <row r="128" spans="1:66" ht="15.75" customHeight="1">
      <c r="A128" s="154"/>
      <c r="B128" s="155"/>
      <c r="C128" s="156"/>
      <c r="D128" s="154"/>
      <c r="E128" s="154"/>
      <c r="F128" s="154"/>
      <c r="G128" s="154"/>
      <c r="H128" s="154"/>
      <c r="I128" s="154"/>
      <c r="J128" s="154"/>
      <c r="K128" s="154"/>
      <c r="L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  <c r="AE128" s="154"/>
      <c r="AF128" s="154"/>
      <c r="AH128" s="154"/>
      <c r="AI128" s="154"/>
      <c r="AJ128" s="154"/>
      <c r="AK128" s="154"/>
      <c r="AL128" s="154"/>
      <c r="AM128" s="154"/>
      <c r="AN128" s="154"/>
      <c r="AO128" s="154"/>
      <c r="AP128" s="156"/>
      <c r="AQ128" s="154"/>
      <c r="AR128" s="156"/>
      <c r="AS128" s="154"/>
      <c r="AT128" s="154"/>
      <c r="AU128" s="154"/>
      <c r="AV128" s="154"/>
      <c r="AW128" s="154"/>
      <c r="AX128" s="154"/>
      <c r="AY128" s="154"/>
      <c r="AZ128" s="154"/>
      <c r="BA128" s="154"/>
      <c r="BB128" s="154"/>
      <c r="BC128" s="154"/>
      <c r="BD128" s="154"/>
      <c r="BE128" s="154"/>
      <c r="BF128" s="154"/>
      <c r="BG128" s="154"/>
      <c r="BH128" s="154"/>
      <c r="BI128" s="154"/>
      <c r="BJ128" s="154"/>
      <c r="BK128" s="154"/>
      <c r="BL128" s="163"/>
      <c r="BM128" s="163"/>
      <c r="BN128" s="163"/>
    </row>
    <row r="129" spans="1:66" ht="15.75" customHeight="1">
      <c r="A129" s="154"/>
      <c r="B129" s="155"/>
      <c r="C129" s="156"/>
      <c r="D129" s="154"/>
      <c r="E129" s="154"/>
      <c r="F129" s="154"/>
      <c r="G129" s="154"/>
      <c r="H129" s="154"/>
      <c r="I129" s="154"/>
      <c r="J129" s="154"/>
      <c r="K129" s="154"/>
      <c r="L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H129" s="154"/>
      <c r="AI129" s="154"/>
      <c r="AJ129" s="154"/>
      <c r="AK129" s="154"/>
      <c r="AL129" s="154"/>
      <c r="AM129" s="154"/>
      <c r="AN129" s="154"/>
      <c r="AO129" s="154"/>
      <c r="AP129" s="156"/>
      <c r="AQ129" s="154"/>
      <c r="AR129" s="156"/>
      <c r="AS129" s="154"/>
      <c r="AT129" s="154"/>
      <c r="AU129" s="154"/>
      <c r="AV129" s="154"/>
      <c r="AW129" s="154"/>
      <c r="AX129" s="154"/>
      <c r="AY129" s="154"/>
      <c r="AZ129" s="154"/>
      <c r="BA129" s="154"/>
      <c r="BB129" s="154"/>
      <c r="BC129" s="154"/>
      <c r="BD129" s="154"/>
      <c r="BE129" s="154"/>
      <c r="BF129" s="154"/>
      <c r="BG129" s="154"/>
      <c r="BH129" s="154"/>
      <c r="BI129" s="154"/>
      <c r="BJ129" s="154"/>
      <c r="BK129" s="154"/>
      <c r="BL129" s="163"/>
      <c r="BM129" s="163"/>
      <c r="BN129" s="163"/>
    </row>
    <row r="130" spans="1:66" ht="15.75" customHeight="1">
      <c r="A130" s="154"/>
      <c r="B130" s="155"/>
      <c r="C130" s="156"/>
      <c r="D130" s="154"/>
      <c r="E130" s="154"/>
      <c r="F130" s="154"/>
      <c r="G130" s="154"/>
      <c r="H130" s="154"/>
      <c r="I130" s="154"/>
      <c r="J130" s="154"/>
      <c r="K130" s="154"/>
      <c r="L130" s="154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  <c r="AE130" s="154"/>
      <c r="AF130" s="154"/>
      <c r="AH130" s="154"/>
      <c r="AI130" s="154"/>
      <c r="AJ130" s="154"/>
      <c r="AK130" s="154"/>
      <c r="AL130" s="154"/>
      <c r="AM130" s="154"/>
      <c r="AN130" s="154"/>
      <c r="AO130" s="154"/>
      <c r="AP130" s="156"/>
      <c r="AQ130" s="154"/>
      <c r="AR130" s="156"/>
      <c r="AS130" s="154"/>
      <c r="AT130" s="154"/>
      <c r="AU130" s="154"/>
      <c r="AV130" s="154"/>
      <c r="AW130" s="154"/>
      <c r="AX130" s="154"/>
      <c r="AY130" s="154"/>
      <c r="AZ130" s="154"/>
      <c r="BA130" s="154"/>
      <c r="BB130" s="154"/>
      <c r="BC130" s="154"/>
      <c r="BD130" s="154"/>
      <c r="BE130" s="154"/>
      <c r="BF130" s="154"/>
      <c r="BG130" s="154"/>
      <c r="BH130" s="154"/>
      <c r="BI130" s="154"/>
      <c r="BJ130" s="154"/>
      <c r="BK130" s="154"/>
      <c r="BL130" s="163"/>
      <c r="BM130" s="163"/>
      <c r="BN130" s="163"/>
    </row>
    <row r="131" spans="1:66" ht="15.75" customHeight="1">
      <c r="A131" s="154"/>
      <c r="B131" s="155"/>
      <c r="C131" s="156"/>
      <c r="D131" s="154"/>
      <c r="E131" s="154"/>
      <c r="F131" s="154"/>
      <c r="G131" s="154"/>
      <c r="H131" s="154"/>
      <c r="I131" s="154"/>
      <c r="J131" s="154"/>
      <c r="K131" s="154"/>
      <c r="L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  <c r="AF131" s="154"/>
      <c r="AH131" s="154"/>
      <c r="AI131" s="154"/>
      <c r="AJ131" s="154"/>
      <c r="AK131" s="154"/>
      <c r="AL131" s="154"/>
      <c r="AM131" s="154"/>
      <c r="AN131" s="154"/>
      <c r="AO131" s="154"/>
      <c r="AP131" s="156"/>
      <c r="AQ131" s="154"/>
      <c r="AR131" s="156"/>
      <c r="AS131" s="154"/>
      <c r="AT131" s="154"/>
      <c r="AU131" s="154"/>
      <c r="AV131" s="154"/>
      <c r="AW131" s="154"/>
      <c r="AX131" s="154"/>
      <c r="AY131" s="154"/>
      <c r="AZ131" s="154"/>
      <c r="BA131" s="154"/>
      <c r="BB131" s="154"/>
      <c r="BC131" s="154"/>
      <c r="BD131" s="154"/>
      <c r="BE131" s="154"/>
      <c r="BF131" s="154"/>
      <c r="BG131" s="154"/>
      <c r="BH131" s="154"/>
      <c r="BI131" s="154"/>
      <c r="BJ131" s="154"/>
      <c r="BK131" s="154"/>
      <c r="BL131" s="163"/>
      <c r="BM131" s="163"/>
      <c r="BN131" s="163"/>
    </row>
    <row r="132" spans="1:66" ht="15.75" customHeight="1">
      <c r="A132" s="154"/>
      <c r="B132" s="155"/>
      <c r="C132" s="156"/>
      <c r="D132" s="154"/>
      <c r="E132" s="154"/>
      <c r="F132" s="154"/>
      <c r="G132" s="154"/>
      <c r="H132" s="154"/>
      <c r="I132" s="154"/>
      <c r="J132" s="154"/>
      <c r="K132" s="154"/>
      <c r="L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  <c r="AF132" s="154"/>
      <c r="AH132" s="154"/>
      <c r="AI132" s="154"/>
      <c r="AJ132" s="154"/>
      <c r="AK132" s="154"/>
      <c r="AL132" s="154"/>
      <c r="AM132" s="154"/>
      <c r="AN132" s="154"/>
      <c r="AO132" s="154"/>
      <c r="AP132" s="156"/>
      <c r="AQ132" s="154"/>
      <c r="AR132" s="156"/>
      <c r="AS132" s="154"/>
      <c r="AT132" s="154"/>
      <c r="AU132" s="154"/>
      <c r="AV132" s="154"/>
      <c r="AW132" s="154"/>
      <c r="AX132" s="154"/>
      <c r="AY132" s="154"/>
      <c r="AZ132" s="154"/>
      <c r="BA132" s="154"/>
      <c r="BB132" s="154"/>
      <c r="BC132" s="154"/>
      <c r="BD132" s="154"/>
      <c r="BE132" s="154"/>
      <c r="BF132" s="154"/>
      <c r="BG132" s="154"/>
      <c r="BH132" s="154"/>
      <c r="BI132" s="154"/>
      <c r="BJ132" s="154"/>
      <c r="BK132" s="154"/>
      <c r="BL132" s="163"/>
      <c r="BM132" s="163"/>
      <c r="BN132" s="163"/>
    </row>
    <row r="133" spans="1:66" ht="15.75" customHeight="1">
      <c r="A133" s="154"/>
      <c r="B133" s="155"/>
      <c r="C133" s="156"/>
      <c r="D133" s="154"/>
      <c r="E133" s="154"/>
      <c r="F133" s="154"/>
      <c r="G133" s="154"/>
      <c r="H133" s="154"/>
      <c r="I133" s="154"/>
      <c r="J133" s="154"/>
      <c r="K133" s="154"/>
      <c r="L133" s="154"/>
      <c r="U133" s="154"/>
      <c r="V133" s="154"/>
      <c r="W133" s="154"/>
      <c r="X133" s="154"/>
      <c r="Y133" s="154"/>
      <c r="Z133" s="154"/>
      <c r="AA133" s="154"/>
      <c r="AB133" s="154"/>
      <c r="AC133" s="154"/>
      <c r="AD133" s="154"/>
      <c r="AE133" s="154"/>
      <c r="AF133" s="154"/>
      <c r="AH133" s="154"/>
      <c r="AI133" s="154"/>
      <c r="AJ133" s="154"/>
      <c r="AK133" s="154"/>
      <c r="AL133" s="154"/>
      <c r="AM133" s="154"/>
      <c r="AN133" s="154"/>
      <c r="AO133" s="154"/>
      <c r="AP133" s="156"/>
      <c r="AQ133" s="154"/>
      <c r="AR133" s="156"/>
      <c r="AS133" s="154"/>
      <c r="AT133" s="154"/>
      <c r="AU133" s="154"/>
      <c r="AV133" s="154"/>
      <c r="AW133" s="154"/>
      <c r="AX133" s="154"/>
      <c r="AY133" s="154"/>
      <c r="AZ133" s="154"/>
      <c r="BA133" s="154"/>
      <c r="BB133" s="154"/>
      <c r="BC133" s="154"/>
      <c r="BD133" s="154"/>
      <c r="BE133" s="154"/>
      <c r="BF133" s="154"/>
      <c r="BG133" s="154"/>
      <c r="BH133" s="154"/>
      <c r="BI133" s="154"/>
      <c r="BJ133" s="154"/>
      <c r="BK133" s="154"/>
      <c r="BL133" s="163"/>
      <c r="BM133" s="163"/>
      <c r="BN133" s="163"/>
    </row>
    <row r="134" spans="1:66" ht="15.75" customHeight="1">
      <c r="A134" s="154"/>
      <c r="B134" s="155"/>
      <c r="C134" s="156"/>
      <c r="D134" s="154"/>
      <c r="E134" s="154"/>
      <c r="F134" s="154"/>
      <c r="G134" s="154"/>
      <c r="H134" s="154"/>
      <c r="I134" s="154"/>
      <c r="J134" s="154"/>
      <c r="K134" s="154"/>
      <c r="L134" s="154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  <c r="AE134" s="154"/>
      <c r="AF134" s="154"/>
      <c r="AH134" s="154"/>
      <c r="AI134" s="154"/>
      <c r="AJ134" s="154"/>
      <c r="AK134" s="154"/>
      <c r="AL134" s="154"/>
      <c r="AM134" s="154"/>
      <c r="AN134" s="154"/>
      <c r="AO134" s="154"/>
      <c r="AP134" s="156"/>
      <c r="AQ134" s="154"/>
      <c r="AR134" s="156"/>
      <c r="AS134" s="154"/>
      <c r="AT134" s="154"/>
      <c r="AU134" s="154"/>
      <c r="AV134" s="154"/>
      <c r="AW134" s="154"/>
      <c r="AX134" s="154"/>
      <c r="AY134" s="154"/>
      <c r="AZ134" s="154"/>
      <c r="BA134" s="154"/>
      <c r="BB134" s="154"/>
      <c r="BC134" s="154"/>
      <c r="BD134" s="154"/>
      <c r="BE134" s="154"/>
      <c r="BF134" s="154"/>
      <c r="BG134" s="154"/>
      <c r="BH134" s="154"/>
      <c r="BI134" s="154"/>
      <c r="BJ134" s="154"/>
      <c r="BK134" s="154"/>
      <c r="BL134" s="163"/>
      <c r="BM134" s="163"/>
      <c r="BN134" s="163"/>
    </row>
    <row r="135" spans="1:66" ht="15.75" customHeight="1">
      <c r="A135" s="154"/>
      <c r="B135" s="155"/>
      <c r="C135" s="156"/>
      <c r="D135" s="154"/>
      <c r="E135" s="154"/>
      <c r="F135" s="154"/>
      <c r="G135" s="154"/>
      <c r="H135" s="154"/>
      <c r="I135" s="154"/>
      <c r="J135" s="154"/>
      <c r="K135" s="154"/>
      <c r="L135" s="154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54"/>
      <c r="AF135" s="154"/>
      <c r="AH135" s="154"/>
      <c r="AI135" s="154"/>
      <c r="AJ135" s="154"/>
      <c r="AK135" s="154"/>
      <c r="AL135" s="154"/>
      <c r="AM135" s="154"/>
      <c r="AN135" s="154"/>
      <c r="AO135" s="154"/>
      <c r="AP135" s="156"/>
      <c r="AQ135" s="154"/>
      <c r="AR135" s="156"/>
      <c r="AS135" s="154"/>
      <c r="AT135" s="154"/>
      <c r="AU135" s="154"/>
      <c r="AV135" s="154"/>
      <c r="AW135" s="154"/>
      <c r="AX135" s="154"/>
      <c r="AY135" s="154"/>
      <c r="AZ135" s="154"/>
      <c r="BA135" s="154"/>
      <c r="BB135" s="154"/>
      <c r="BC135" s="154"/>
      <c r="BD135" s="154"/>
      <c r="BE135" s="154"/>
      <c r="BF135" s="154"/>
      <c r="BG135" s="154"/>
      <c r="BH135" s="154"/>
      <c r="BI135" s="154"/>
      <c r="BJ135" s="154"/>
      <c r="BK135" s="154"/>
      <c r="BL135" s="163"/>
      <c r="BM135" s="163"/>
      <c r="BN135" s="163"/>
    </row>
    <row r="136" spans="1:66" ht="15.75" customHeight="1">
      <c r="A136" s="154"/>
      <c r="B136" s="155"/>
      <c r="C136" s="156"/>
      <c r="D136" s="154"/>
      <c r="E136" s="154"/>
      <c r="F136" s="154"/>
      <c r="G136" s="154"/>
      <c r="H136" s="154"/>
      <c r="I136" s="154"/>
      <c r="J136" s="154"/>
      <c r="K136" s="154"/>
      <c r="L136" s="154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  <c r="AE136" s="154"/>
      <c r="AF136" s="154"/>
      <c r="AH136" s="154"/>
      <c r="AI136" s="154"/>
      <c r="AJ136" s="154"/>
      <c r="AK136" s="154"/>
      <c r="AL136" s="154"/>
      <c r="AM136" s="154"/>
      <c r="AN136" s="154"/>
      <c r="AO136" s="154"/>
      <c r="AP136" s="156"/>
      <c r="AQ136" s="154"/>
      <c r="AR136" s="156"/>
      <c r="AS136" s="154"/>
      <c r="AT136" s="154"/>
      <c r="AU136" s="154"/>
      <c r="AV136" s="154"/>
      <c r="AW136" s="154"/>
      <c r="AX136" s="154"/>
      <c r="AY136" s="154"/>
      <c r="AZ136" s="154"/>
      <c r="BA136" s="154"/>
      <c r="BB136" s="154"/>
      <c r="BC136" s="154"/>
      <c r="BD136" s="154"/>
      <c r="BE136" s="154"/>
      <c r="BF136" s="154"/>
      <c r="BG136" s="154"/>
      <c r="BH136" s="154"/>
      <c r="BI136" s="154"/>
      <c r="BJ136" s="154"/>
      <c r="BK136" s="154"/>
      <c r="BL136" s="163"/>
      <c r="BM136" s="163"/>
      <c r="BN136" s="163"/>
    </row>
    <row r="137" spans="1:66" ht="15.75" customHeight="1">
      <c r="A137" s="154"/>
      <c r="B137" s="155"/>
      <c r="C137" s="156"/>
      <c r="D137" s="154"/>
      <c r="E137" s="154"/>
      <c r="F137" s="154"/>
      <c r="G137" s="154"/>
      <c r="H137" s="154"/>
      <c r="I137" s="154"/>
      <c r="J137" s="154"/>
      <c r="K137" s="154"/>
      <c r="L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  <c r="AF137" s="154"/>
      <c r="AH137" s="154"/>
      <c r="AI137" s="154"/>
      <c r="AJ137" s="154"/>
      <c r="AK137" s="154"/>
      <c r="AL137" s="154"/>
      <c r="AM137" s="154"/>
      <c r="AN137" s="154"/>
      <c r="AO137" s="154"/>
      <c r="AP137" s="156"/>
      <c r="AQ137" s="154"/>
      <c r="AR137" s="156"/>
      <c r="AS137" s="154"/>
      <c r="AT137" s="154"/>
      <c r="AU137" s="154"/>
      <c r="AV137" s="154"/>
      <c r="AW137" s="154"/>
      <c r="AX137" s="154"/>
      <c r="AY137" s="154"/>
      <c r="AZ137" s="154"/>
      <c r="BA137" s="154"/>
      <c r="BB137" s="154"/>
      <c r="BC137" s="154"/>
      <c r="BD137" s="154"/>
      <c r="BE137" s="154"/>
      <c r="BF137" s="154"/>
      <c r="BG137" s="154"/>
      <c r="BH137" s="154"/>
      <c r="BI137" s="154"/>
      <c r="BJ137" s="154"/>
      <c r="BK137" s="154"/>
      <c r="BL137" s="163"/>
      <c r="BM137" s="163"/>
      <c r="BN137" s="163"/>
    </row>
    <row r="138" spans="1:66" ht="15.75" customHeight="1">
      <c r="A138" s="154"/>
      <c r="B138" s="155"/>
      <c r="C138" s="156"/>
      <c r="D138" s="154"/>
      <c r="E138" s="154"/>
      <c r="F138" s="154"/>
      <c r="G138" s="154"/>
      <c r="H138" s="154"/>
      <c r="I138" s="154"/>
      <c r="J138" s="154"/>
      <c r="K138" s="154"/>
      <c r="L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H138" s="154"/>
      <c r="AI138" s="154"/>
      <c r="AJ138" s="154"/>
      <c r="AK138" s="154"/>
      <c r="AL138" s="154"/>
      <c r="AM138" s="154"/>
      <c r="AN138" s="154"/>
      <c r="AO138" s="154"/>
      <c r="AP138" s="156"/>
      <c r="AQ138" s="154"/>
      <c r="AR138" s="156"/>
      <c r="AS138" s="154"/>
      <c r="AT138" s="154"/>
      <c r="AU138" s="154"/>
      <c r="AV138" s="154"/>
      <c r="AW138" s="154"/>
      <c r="AX138" s="154"/>
      <c r="AY138" s="154"/>
      <c r="AZ138" s="154"/>
      <c r="BA138" s="154"/>
      <c r="BB138" s="154"/>
      <c r="BC138" s="154"/>
      <c r="BD138" s="154"/>
      <c r="BE138" s="154"/>
      <c r="BF138" s="154"/>
      <c r="BG138" s="154"/>
      <c r="BH138" s="154"/>
      <c r="BI138" s="154"/>
      <c r="BJ138" s="154"/>
      <c r="BK138" s="154"/>
      <c r="BL138" s="163"/>
      <c r="BM138" s="163"/>
      <c r="BN138" s="163"/>
    </row>
    <row r="139" spans="1:66" ht="15.75" customHeight="1">
      <c r="A139" s="154"/>
      <c r="B139" s="155"/>
      <c r="C139" s="156"/>
      <c r="D139" s="154"/>
      <c r="E139" s="154"/>
      <c r="F139" s="154"/>
      <c r="G139" s="154"/>
      <c r="H139" s="154"/>
      <c r="I139" s="154"/>
      <c r="J139" s="154"/>
      <c r="K139" s="154"/>
      <c r="L139" s="154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  <c r="AE139" s="154"/>
      <c r="AF139" s="154"/>
      <c r="AH139" s="154"/>
      <c r="AI139" s="154"/>
      <c r="AJ139" s="154"/>
      <c r="AK139" s="154"/>
      <c r="AL139" s="154"/>
      <c r="AM139" s="154"/>
      <c r="AN139" s="154"/>
      <c r="AO139" s="154"/>
      <c r="AP139" s="156"/>
      <c r="AQ139" s="154"/>
      <c r="AR139" s="156"/>
      <c r="AS139" s="154"/>
      <c r="AT139" s="154"/>
      <c r="AU139" s="154"/>
      <c r="AV139" s="154"/>
      <c r="AW139" s="154"/>
      <c r="AX139" s="154"/>
      <c r="AY139" s="154"/>
      <c r="AZ139" s="154"/>
      <c r="BA139" s="154"/>
      <c r="BB139" s="154"/>
      <c r="BC139" s="154"/>
      <c r="BD139" s="154"/>
      <c r="BE139" s="154"/>
      <c r="BF139" s="154"/>
      <c r="BG139" s="154"/>
      <c r="BH139" s="154"/>
      <c r="BI139" s="154"/>
      <c r="BJ139" s="154"/>
      <c r="BK139" s="154"/>
      <c r="BL139" s="163"/>
      <c r="BM139" s="163"/>
      <c r="BN139" s="163"/>
    </row>
    <row r="140" spans="1:66" ht="15.75" customHeight="1">
      <c r="A140" s="154"/>
      <c r="B140" s="155"/>
      <c r="C140" s="156"/>
      <c r="D140" s="154"/>
      <c r="E140" s="154"/>
      <c r="F140" s="154"/>
      <c r="G140" s="154"/>
      <c r="H140" s="154"/>
      <c r="I140" s="154"/>
      <c r="J140" s="154"/>
      <c r="K140" s="154"/>
      <c r="L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H140" s="154"/>
      <c r="AI140" s="154"/>
      <c r="AJ140" s="154"/>
      <c r="AK140" s="154"/>
      <c r="AL140" s="154"/>
      <c r="AM140" s="154"/>
      <c r="AN140" s="154"/>
      <c r="AO140" s="154"/>
      <c r="AP140" s="156"/>
      <c r="AQ140" s="154"/>
      <c r="AR140" s="156"/>
      <c r="AS140" s="154"/>
      <c r="AT140" s="154"/>
      <c r="AU140" s="154"/>
      <c r="AV140" s="154"/>
      <c r="AW140" s="154"/>
      <c r="AX140" s="154"/>
      <c r="AY140" s="154"/>
      <c r="AZ140" s="154"/>
      <c r="BA140" s="154"/>
      <c r="BB140" s="154"/>
      <c r="BC140" s="154"/>
      <c r="BD140" s="154"/>
      <c r="BE140" s="154"/>
      <c r="BF140" s="154"/>
      <c r="BG140" s="154"/>
      <c r="BH140" s="154"/>
      <c r="BI140" s="154"/>
      <c r="BJ140" s="154"/>
      <c r="BK140" s="154"/>
      <c r="BL140" s="163"/>
      <c r="BM140" s="163"/>
      <c r="BN140" s="163"/>
    </row>
    <row r="141" spans="1:66" ht="15.75" customHeight="1">
      <c r="A141" s="154"/>
      <c r="B141" s="155"/>
      <c r="C141" s="156"/>
      <c r="D141" s="154"/>
      <c r="E141" s="154"/>
      <c r="F141" s="154"/>
      <c r="G141" s="154"/>
      <c r="H141" s="154"/>
      <c r="I141" s="154"/>
      <c r="J141" s="154"/>
      <c r="K141" s="154"/>
      <c r="L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  <c r="AH141" s="154"/>
      <c r="AI141" s="154"/>
      <c r="AJ141" s="154"/>
      <c r="AK141" s="154"/>
      <c r="AL141" s="154"/>
      <c r="AM141" s="154"/>
      <c r="AN141" s="154"/>
      <c r="AO141" s="154"/>
      <c r="AP141" s="156"/>
      <c r="AQ141" s="154"/>
      <c r="AR141" s="156"/>
      <c r="AS141" s="154"/>
      <c r="AT141" s="154"/>
      <c r="AU141" s="154"/>
      <c r="AV141" s="154"/>
      <c r="AW141" s="154"/>
      <c r="AX141" s="154"/>
      <c r="AY141" s="154"/>
      <c r="AZ141" s="154"/>
      <c r="BA141" s="154"/>
      <c r="BB141" s="154"/>
      <c r="BC141" s="154"/>
      <c r="BD141" s="154"/>
      <c r="BE141" s="154"/>
      <c r="BF141" s="154"/>
      <c r="BG141" s="154"/>
      <c r="BH141" s="154"/>
      <c r="BI141" s="154"/>
      <c r="BJ141" s="154"/>
      <c r="BK141" s="154"/>
      <c r="BL141" s="163"/>
      <c r="BM141" s="163"/>
      <c r="BN141" s="163"/>
    </row>
    <row r="142" spans="1:66" ht="15.75" customHeight="1">
      <c r="A142" s="154"/>
      <c r="B142" s="155"/>
      <c r="C142" s="156"/>
      <c r="D142" s="154"/>
      <c r="E142" s="154"/>
      <c r="F142" s="154"/>
      <c r="G142" s="154"/>
      <c r="H142" s="154"/>
      <c r="I142" s="154"/>
      <c r="J142" s="154"/>
      <c r="K142" s="154"/>
      <c r="L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H142" s="154"/>
      <c r="AI142" s="154"/>
      <c r="AJ142" s="154"/>
      <c r="AK142" s="154"/>
      <c r="AL142" s="154"/>
      <c r="AM142" s="154"/>
      <c r="AN142" s="154"/>
      <c r="AO142" s="154"/>
      <c r="AP142" s="156"/>
      <c r="AQ142" s="154"/>
      <c r="AR142" s="156"/>
      <c r="AS142" s="154"/>
      <c r="AT142" s="154"/>
      <c r="AU142" s="154"/>
      <c r="AV142" s="154"/>
      <c r="AW142" s="154"/>
      <c r="AX142" s="154"/>
      <c r="AY142" s="154"/>
      <c r="AZ142" s="154"/>
      <c r="BA142" s="154"/>
      <c r="BB142" s="154"/>
      <c r="BC142" s="154"/>
      <c r="BD142" s="154"/>
      <c r="BE142" s="154"/>
      <c r="BF142" s="154"/>
      <c r="BG142" s="154"/>
      <c r="BH142" s="154"/>
      <c r="BI142" s="154"/>
      <c r="BJ142" s="154"/>
      <c r="BK142" s="154"/>
      <c r="BL142" s="163"/>
      <c r="BM142" s="163"/>
      <c r="BN142" s="163"/>
    </row>
    <row r="143" spans="1:66" ht="15.75" customHeight="1">
      <c r="A143" s="154"/>
      <c r="B143" s="155"/>
      <c r="C143" s="156"/>
      <c r="D143" s="154"/>
      <c r="E143" s="154"/>
      <c r="F143" s="154"/>
      <c r="G143" s="154"/>
      <c r="H143" s="154"/>
      <c r="I143" s="154"/>
      <c r="J143" s="154"/>
      <c r="K143" s="154"/>
      <c r="L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H143" s="154"/>
      <c r="AI143" s="154"/>
      <c r="AJ143" s="154"/>
      <c r="AK143" s="154"/>
      <c r="AL143" s="154"/>
      <c r="AM143" s="154"/>
      <c r="AN143" s="154"/>
      <c r="AO143" s="154"/>
      <c r="AP143" s="156"/>
      <c r="AQ143" s="154"/>
      <c r="AR143" s="156"/>
      <c r="AS143" s="154"/>
      <c r="AT143" s="154"/>
      <c r="AU143" s="154"/>
      <c r="AV143" s="154"/>
      <c r="AW143" s="154"/>
      <c r="AX143" s="154"/>
      <c r="AY143" s="154"/>
      <c r="AZ143" s="154"/>
      <c r="BA143" s="154"/>
      <c r="BB143" s="154"/>
      <c r="BC143" s="154"/>
      <c r="BD143" s="154"/>
      <c r="BE143" s="154"/>
      <c r="BF143" s="154"/>
      <c r="BG143" s="154"/>
      <c r="BH143" s="154"/>
      <c r="BI143" s="154"/>
      <c r="BJ143" s="154"/>
      <c r="BK143" s="154"/>
      <c r="BL143" s="163"/>
      <c r="BM143" s="163"/>
      <c r="BN143" s="163"/>
    </row>
    <row r="144" spans="1:66" ht="15.75" customHeight="1">
      <c r="A144" s="154"/>
      <c r="B144" s="155"/>
      <c r="C144" s="156"/>
      <c r="D144" s="154"/>
      <c r="E144" s="154"/>
      <c r="F144" s="154"/>
      <c r="G144" s="154"/>
      <c r="H144" s="154"/>
      <c r="I144" s="154"/>
      <c r="J144" s="154"/>
      <c r="K144" s="154"/>
      <c r="L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H144" s="154"/>
      <c r="AI144" s="154"/>
      <c r="AJ144" s="154"/>
      <c r="AK144" s="154"/>
      <c r="AL144" s="154"/>
      <c r="AM144" s="154"/>
      <c r="AN144" s="154"/>
      <c r="AO144" s="154"/>
      <c r="AP144" s="156"/>
      <c r="AQ144" s="154"/>
      <c r="AR144" s="156"/>
      <c r="AS144" s="154"/>
      <c r="AT144" s="154"/>
      <c r="AU144" s="154"/>
      <c r="AV144" s="154"/>
      <c r="AW144" s="154"/>
      <c r="AX144" s="154"/>
      <c r="AY144" s="154"/>
      <c r="AZ144" s="154"/>
      <c r="BA144" s="154"/>
      <c r="BB144" s="154"/>
      <c r="BC144" s="154"/>
      <c r="BD144" s="154"/>
      <c r="BE144" s="154"/>
      <c r="BF144" s="154"/>
      <c r="BG144" s="154"/>
      <c r="BH144" s="154"/>
      <c r="BI144" s="154"/>
      <c r="BJ144" s="154"/>
      <c r="BK144" s="154"/>
      <c r="BL144" s="163"/>
      <c r="BM144" s="163"/>
      <c r="BN144" s="163"/>
    </row>
    <row r="145" spans="1:66" ht="15.75" customHeight="1">
      <c r="A145" s="154"/>
      <c r="B145" s="155"/>
      <c r="C145" s="156"/>
      <c r="D145" s="154"/>
      <c r="E145" s="154"/>
      <c r="F145" s="154"/>
      <c r="G145" s="154"/>
      <c r="H145" s="154"/>
      <c r="I145" s="154"/>
      <c r="J145" s="154"/>
      <c r="K145" s="154"/>
      <c r="L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H145" s="154"/>
      <c r="AI145" s="154"/>
      <c r="AJ145" s="154"/>
      <c r="AK145" s="154"/>
      <c r="AL145" s="154"/>
      <c r="AM145" s="154"/>
      <c r="AN145" s="154"/>
      <c r="AO145" s="154"/>
      <c r="AP145" s="156"/>
      <c r="AQ145" s="154"/>
      <c r="AR145" s="156"/>
      <c r="AS145" s="154"/>
      <c r="AT145" s="154"/>
      <c r="AU145" s="154"/>
      <c r="AV145" s="154"/>
      <c r="AW145" s="154"/>
      <c r="AX145" s="154"/>
      <c r="AY145" s="154"/>
      <c r="AZ145" s="154"/>
      <c r="BA145" s="154"/>
      <c r="BB145" s="154"/>
      <c r="BC145" s="154"/>
      <c r="BD145" s="154"/>
      <c r="BE145" s="154"/>
      <c r="BF145" s="154"/>
      <c r="BG145" s="154"/>
      <c r="BH145" s="154"/>
      <c r="BI145" s="154"/>
      <c r="BJ145" s="154"/>
      <c r="BK145" s="154"/>
      <c r="BL145" s="163"/>
      <c r="BM145" s="163"/>
      <c r="BN145" s="163"/>
    </row>
    <row r="146" spans="1:66" ht="15.75" customHeight="1">
      <c r="A146" s="154"/>
      <c r="B146" s="155"/>
      <c r="C146" s="156"/>
      <c r="D146" s="154"/>
      <c r="E146" s="154"/>
      <c r="F146" s="154"/>
      <c r="G146" s="154"/>
      <c r="H146" s="154"/>
      <c r="I146" s="154"/>
      <c r="J146" s="154"/>
      <c r="K146" s="154"/>
      <c r="L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H146" s="154"/>
      <c r="AI146" s="154"/>
      <c r="AJ146" s="154"/>
      <c r="AK146" s="154"/>
      <c r="AL146" s="154"/>
      <c r="AM146" s="154"/>
      <c r="AN146" s="154"/>
      <c r="AO146" s="154"/>
      <c r="AP146" s="156"/>
      <c r="AQ146" s="154"/>
      <c r="AR146" s="156"/>
      <c r="AS146" s="154"/>
      <c r="AT146" s="154"/>
      <c r="AU146" s="154"/>
      <c r="AV146" s="154"/>
      <c r="AW146" s="154"/>
      <c r="AX146" s="154"/>
      <c r="AY146" s="154"/>
      <c r="AZ146" s="154"/>
      <c r="BA146" s="154"/>
      <c r="BB146" s="154"/>
      <c r="BC146" s="154"/>
      <c r="BD146" s="154"/>
      <c r="BE146" s="154"/>
      <c r="BF146" s="154"/>
      <c r="BG146" s="154"/>
      <c r="BH146" s="154"/>
      <c r="BI146" s="154"/>
      <c r="BJ146" s="154"/>
      <c r="BK146" s="154"/>
      <c r="BL146" s="163"/>
      <c r="BM146" s="163"/>
      <c r="BN146" s="163"/>
    </row>
    <row r="147" spans="1:66" ht="15.75" customHeight="1">
      <c r="A147" s="154"/>
      <c r="B147" s="155"/>
      <c r="C147" s="156"/>
      <c r="D147" s="154"/>
      <c r="E147" s="154"/>
      <c r="F147" s="154"/>
      <c r="G147" s="154"/>
      <c r="H147" s="154"/>
      <c r="I147" s="154"/>
      <c r="J147" s="154"/>
      <c r="K147" s="154"/>
      <c r="L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  <c r="AF147" s="154"/>
      <c r="AH147" s="154"/>
      <c r="AI147" s="154"/>
      <c r="AJ147" s="154"/>
      <c r="AK147" s="154"/>
      <c r="AL147" s="154"/>
      <c r="AM147" s="154"/>
      <c r="AN147" s="154"/>
      <c r="AO147" s="154"/>
      <c r="AP147" s="156"/>
      <c r="AQ147" s="154"/>
      <c r="AR147" s="156"/>
      <c r="AS147" s="154"/>
      <c r="AT147" s="154"/>
      <c r="AU147" s="154"/>
      <c r="AV147" s="154"/>
      <c r="AW147" s="154"/>
      <c r="AX147" s="154"/>
      <c r="AY147" s="154"/>
      <c r="AZ147" s="154"/>
      <c r="BA147" s="154"/>
      <c r="BB147" s="154"/>
      <c r="BC147" s="154"/>
      <c r="BD147" s="154"/>
      <c r="BE147" s="154"/>
      <c r="BF147" s="154"/>
      <c r="BG147" s="154"/>
      <c r="BH147" s="154"/>
      <c r="BI147" s="154"/>
      <c r="BJ147" s="154"/>
      <c r="BK147" s="154"/>
      <c r="BL147" s="163"/>
      <c r="BM147" s="163"/>
      <c r="BN147" s="163"/>
    </row>
    <row r="148" spans="1:66" ht="15.75" customHeight="1">
      <c r="A148" s="154"/>
      <c r="B148" s="155"/>
      <c r="C148" s="156"/>
      <c r="D148" s="154"/>
      <c r="E148" s="154"/>
      <c r="F148" s="154"/>
      <c r="G148" s="154"/>
      <c r="H148" s="154"/>
      <c r="I148" s="154"/>
      <c r="J148" s="154"/>
      <c r="K148" s="154"/>
      <c r="L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H148" s="154"/>
      <c r="AI148" s="154"/>
      <c r="AJ148" s="154"/>
      <c r="AK148" s="154"/>
      <c r="AL148" s="154"/>
      <c r="AM148" s="154"/>
      <c r="AN148" s="154"/>
      <c r="AO148" s="154"/>
      <c r="AP148" s="156"/>
      <c r="AQ148" s="154"/>
      <c r="AR148" s="156"/>
      <c r="AS148" s="154"/>
      <c r="AT148" s="154"/>
      <c r="AU148" s="154"/>
      <c r="AV148" s="154"/>
      <c r="AW148" s="154"/>
      <c r="AX148" s="154"/>
      <c r="AY148" s="154"/>
      <c r="AZ148" s="154"/>
      <c r="BA148" s="154"/>
      <c r="BB148" s="154"/>
      <c r="BC148" s="154"/>
      <c r="BD148" s="154"/>
      <c r="BE148" s="154"/>
      <c r="BF148" s="154"/>
      <c r="BG148" s="154"/>
      <c r="BH148" s="154"/>
      <c r="BI148" s="154"/>
      <c r="BJ148" s="154"/>
      <c r="BK148" s="154"/>
      <c r="BL148" s="163"/>
      <c r="BM148" s="163"/>
      <c r="BN148" s="163"/>
    </row>
    <row r="149" spans="1:66" ht="15.75" customHeight="1">
      <c r="A149" s="154"/>
      <c r="B149" s="155"/>
      <c r="C149" s="156"/>
      <c r="D149" s="154"/>
      <c r="E149" s="154"/>
      <c r="F149" s="154"/>
      <c r="G149" s="154"/>
      <c r="H149" s="154"/>
      <c r="I149" s="154"/>
      <c r="J149" s="154"/>
      <c r="K149" s="154"/>
      <c r="L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H149" s="154"/>
      <c r="AI149" s="154"/>
      <c r="AJ149" s="154"/>
      <c r="AK149" s="154"/>
      <c r="AL149" s="154"/>
      <c r="AM149" s="154"/>
      <c r="AN149" s="154"/>
      <c r="AO149" s="154"/>
      <c r="AP149" s="156"/>
      <c r="AQ149" s="154"/>
      <c r="AR149" s="156"/>
      <c r="AS149" s="154"/>
      <c r="AT149" s="154"/>
      <c r="AU149" s="154"/>
      <c r="AV149" s="154"/>
      <c r="AW149" s="154"/>
      <c r="AX149" s="154"/>
      <c r="AY149" s="154"/>
      <c r="AZ149" s="154"/>
      <c r="BA149" s="154"/>
      <c r="BB149" s="154"/>
      <c r="BC149" s="154"/>
      <c r="BD149" s="154"/>
      <c r="BE149" s="154"/>
      <c r="BF149" s="154"/>
      <c r="BG149" s="154"/>
      <c r="BH149" s="154"/>
      <c r="BI149" s="154"/>
      <c r="BJ149" s="154"/>
      <c r="BK149" s="154"/>
      <c r="BL149" s="163"/>
      <c r="BM149" s="163"/>
      <c r="BN149" s="163"/>
    </row>
    <row r="150" spans="1:66" ht="15.75" customHeight="1">
      <c r="A150" s="154"/>
      <c r="B150" s="155"/>
      <c r="C150" s="156"/>
      <c r="D150" s="154"/>
      <c r="E150" s="154"/>
      <c r="F150" s="154"/>
      <c r="G150" s="154"/>
      <c r="H150" s="154"/>
      <c r="I150" s="154"/>
      <c r="J150" s="154"/>
      <c r="K150" s="154"/>
      <c r="L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H150" s="154"/>
      <c r="AI150" s="154"/>
      <c r="AJ150" s="154"/>
      <c r="AK150" s="154"/>
      <c r="AL150" s="154"/>
      <c r="AM150" s="154"/>
      <c r="AN150" s="154"/>
      <c r="AO150" s="154"/>
      <c r="AP150" s="156"/>
      <c r="AQ150" s="154"/>
      <c r="AR150" s="156"/>
      <c r="AS150" s="154"/>
      <c r="AT150" s="154"/>
      <c r="AU150" s="154"/>
      <c r="AV150" s="154"/>
      <c r="AW150" s="154"/>
      <c r="AX150" s="154"/>
      <c r="AY150" s="154"/>
      <c r="AZ150" s="154"/>
      <c r="BA150" s="154"/>
      <c r="BB150" s="154"/>
      <c r="BC150" s="154"/>
      <c r="BD150" s="154"/>
      <c r="BE150" s="154"/>
      <c r="BF150" s="154"/>
      <c r="BG150" s="154"/>
      <c r="BH150" s="154"/>
      <c r="BI150" s="154"/>
      <c r="BJ150" s="154"/>
      <c r="BK150" s="154"/>
      <c r="BL150" s="163"/>
      <c r="BM150" s="163"/>
      <c r="BN150" s="163"/>
    </row>
    <row r="151" spans="1:66" ht="15.75" customHeight="1">
      <c r="A151" s="154"/>
      <c r="B151" s="155"/>
      <c r="C151" s="156"/>
      <c r="D151" s="154"/>
      <c r="E151" s="154"/>
      <c r="F151" s="154"/>
      <c r="G151" s="154"/>
      <c r="H151" s="154"/>
      <c r="I151" s="154"/>
      <c r="J151" s="154"/>
      <c r="K151" s="154"/>
      <c r="L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  <c r="AF151" s="154"/>
      <c r="AH151" s="154"/>
      <c r="AI151" s="154"/>
      <c r="AJ151" s="154"/>
      <c r="AK151" s="154"/>
      <c r="AL151" s="154"/>
      <c r="AM151" s="154"/>
      <c r="AN151" s="154"/>
      <c r="AO151" s="154"/>
      <c r="AP151" s="156"/>
      <c r="AQ151" s="154"/>
      <c r="AR151" s="156"/>
      <c r="AS151" s="154"/>
      <c r="AT151" s="154"/>
      <c r="AU151" s="154"/>
      <c r="AV151" s="154"/>
      <c r="AW151" s="154"/>
      <c r="AX151" s="154"/>
      <c r="AY151" s="154"/>
      <c r="AZ151" s="154"/>
      <c r="BA151" s="154"/>
      <c r="BB151" s="154"/>
      <c r="BC151" s="154"/>
      <c r="BD151" s="154"/>
      <c r="BE151" s="154"/>
      <c r="BF151" s="154"/>
      <c r="BG151" s="154"/>
      <c r="BH151" s="154"/>
      <c r="BI151" s="154"/>
      <c r="BJ151" s="154"/>
      <c r="BK151" s="154"/>
      <c r="BL151" s="163"/>
      <c r="BM151" s="163"/>
      <c r="BN151" s="163"/>
    </row>
    <row r="152" spans="1:66" ht="15.75" customHeight="1">
      <c r="A152" s="154"/>
      <c r="B152" s="155"/>
      <c r="C152" s="156"/>
      <c r="D152" s="154"/>
      <c r="E152" s="154"/>
      <c r="F152" s="154"/>
      <c r="G152" s="154"/>
      <c r="H152" s="154"/>
      <c r="I152" s="154"/>
      <c r="J152" s="154"/>
      <c r="K152" s="154"/>
      <c r="L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H152" s="154"/>
      <c r="AI152" s="154"/>
      <c r="AJ152" s="154"/>
      <c r="AK152" s="154"/>
      <c r="AL152" s="154"/>
      <c r="AM152" s="154"/>
      <c r="AN152" s="154"/>
      <c r="AO152" s="154"/>
      <c r="AP152" s="156"/>
      <c r="AQ152" s="154"/>
      <c r="AR152" s="156"/>
      <c r="AS152" s="154"/>
      <c r="AT152" s="154"/>
      <c r="AU152" s="154"/>
      <c r="AV152" s="154"/>
      <c r="AW152" s="154"/>
      <c r="AX152" s="154"/>
      <c r="AY152" s="154"/>
      <c r="AZ152" s="154"/>
      <c r="BA152" s="154"/>
      <c r="BB152" s="154"/>
      <c r="BC152" s="154"/>
      <c r="BD152" s="154"/>
      <c r="BE152" s="154"/>
      <c r="BF152" s="154"/>
      <c r="BG152" s="154"/>
      <c r="BH152" s="154"/>
      <c r="BI152" s="154"/>
      <c r="BJ152" s="154"/>
      <c r="BK152" s="154"/>
      <c r="BL152" s="163"/>
      <c r="BM152" s="163"/>
      <c r="BN152" s="163"/>
    </row>
    <row r="153" spans="1:66" ht="15.75" customHeight="1">
      <c r="A153" s="154"/>
      <c r="B153" s="155"/>
      <c r="C153" s="156"/>
      <c r="D153" s="154"/>
      <c r="E153" s="154"/>
      <c r="F153" s="154"/>
      <c r="G153" s="154"/>
      <c r="H153" s="154"/>
      <c r="I153" s="154"/>
      <c r="J153" s="154"/>
      <c r="K153" s="154"/>
      <c r="L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H153" s="154"/>
      <c r="AI153" s="154"/>
      <c r="AJ153" s="154"/>
      <c r="AK153" s="154"/>
      <c r="AL153" s="154"/>
      <c r="AM153" s="154"/>
      <c r="AN153" s="154"/>
      <c r="AO153" s="154"/>
      <c r="AP153" s="156"/>
      <c r="AQ153" s="154"/>
      <c r="AR153" s="156"/>
      <c r="AS153" s="154"/>
      <c r="AT153" s="154"/>
      <c r="AU153" s="154"/>
      <c r="AV153" s="154"/>
      <c r="AW153" s="154"/>
      <c r="AX153" s="154"/>
      <c r="AY153" s="154"/>
      <c r="AZ153" s="154"/>
      <c r="BA153" s="154"/>
      <c r="BB153" s="154"/>
      <c r="BC153" s="154"/>
      <c r="BD153" s="154"/>
      <c r="BE153" s="154"/>
      <c r="BF153" s="154"/>
      <c r="BG153" s="154"/>
      <c r="BH153" s="154"/>
      <c r="BI153" s="154"/>
      <c r="BJ153" s="154"/>
      <c r="BK153" s="154"/>
      <c r="BL153" s="163"/>
      <c r="BM153" s="163"/>
      <c r="BN153" s="163"/>
    </row>
    <row r="154" spans="1:66" ht="15.75" customHeight="1">
      <c r="A154" s="154"/>
      <c r="B154" s="155"/>
      <c r="C154" s="156"/>
      <c r="D154" s="154"/>
      <c r="E154" s="154"/>
      <c r="F154" s="154"/>
      <c r="G154" s="154"/>
      <c r="H154" s="154"/>
      <c r="I154" s="154"/>
      <c r="J154" s="154"/>
      <c r="K154" s="154"/>
      <c r="L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H154" s="154"/>
      <c r="AI154" s="154"/>
      <c r="AJ154" s="154"/>
      <c r="AK154" s="154"/>
      <c r="AL154" s="154"/>
      <c r="AM154" s="154"/>
      <c r="AN154" s="154"/>
      <c r="AO154" s="154"/>
      <c r="AP154" s="156"/>
      <c r="AQ154" s="154"/>
      <c r="AR154" s="156"/>
      <c r="AS154" s="154"/>
      <c r="AT154" s="154"/>
      <c r="AU154" s="154"/>
      <c r="AV154" s="154"/>
      <c r="AW154" s="154"/>
      <c r="AX154" s="154"/>
      <c r="AY154" s="154"/>
      <c r="AZ154" s="154"/>
      <c r="BA154" s="154"/>
      <c r="BB154" s="154"/>
      <c r="BC154" s="154"/>
      <c r="BD154" s="154"/>
      <c r="BE154" s="154"/>
      <c r="BF154" s="154"/>
      <c r="BG154" s="154"/>
      <c r="BH154" s="154"/>
      <c r="BI154" s="154"/>
      <c r="BJ154" s="154"/>
      <c r="BK154" s="154"/>
      <c r="BL154" s="163"/>
      <c r="BM154" s="163"/>
      <c r="BN154" s="163"/>
    </row>
    <row r="155" spans="1:66" ht="15.75" customHeight="1">
      <c r="A155" s="154"/>
      <c r="B155" s="155"/>
      <c r="C155" s="156"/>
      <c r="D155" s="154"/>
      <c r="E155" s="154"/>
      <c r="F155" s="154"/>
      <c r="G155" s="154"/>
      <c r="H155" s="154"/>
      <c r="I155" s="154"/>
      <c r="J155" s="154"/>
      <c r="K155" s="154"/>
      <c r="L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  <c r="AH155" s="154"/>
      <c r="AI155" s="154"/>
      <c r="AJ155" s="154"/>
      <c r="AK155" s="154"/>
      <c r="AL155" s="154"/>
      <c r="AM155" s="154"/>
      <c r="AN155" s="154"/>
      <c r="AO155" s="154"/>
      <c r="AP155" s="156"/>
      <c r="AQ155" s="154"/>
      <c r="AR155" s="156"/>
      <c r="AS155" s="154"/>
      <c r="AT155" s="154"/>
      <c r="AU155" s="154"/>
      <c r="AV155" s="154"/>
      <c r="AW155" s="154"/>
      <c r="AX155" s="154"/>
      <c r="AY155" s="154"/>
      <c r="AZ155" s="154"/>
      <c r="BA155" s="154"/>
      <c r="BB155" s="154"/>
      <c r="BC155" s="154"/>
      <c r="BD155" s="154"/>
      <c r="BE155" s="154"/>
      <c r="BF155" s="154"/>
      <c r="BG155" s="154"/>
      <c r="BH155" s="154"/>
      <c r="BI155" s="154"/>
      <c r="BJ155" s="154"/>
      <c r="BK155" s="154"/>
      <c r="BL155" s="163"/>
      <c r="BM155" s="163"/>
      <c r="BN155" s="163"/>
    </row>
    <row r="156" spans="1:66" ht="15.75" customHeight="1">
      <c r="A156" s="154"/>
      <c r="B156" s="155"/>
      <c r="C156" s="156"/>
      <c r="D156" s="154"/>
      <c r="E156" s="154"/>
      <c r="F156" s="154"/>
      <c r="G156" s="154"/>
      <c r="H156" s="154"/>
      <c r="I156" s="154"/>
      <c r="J156" s="154"/>
      <c r="K156" s="154"/>
      <c r="L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H156" s="154"/>
      <c r="AI156" s="154"/>
      <c r="AJ156" s="154"/>
      <c r="AK156" s="154"/>
      <c r="AL156" s="154"/>
      <c r="AM156" s="154"/>
      <c r="AN156" s="154"/>
      <c r="AO156" s="154"/>
      <c r="AP156" s="156"/>
      <c r="AQ156" s="154"/>
      <c r="AR156" s="156"/>
      <c r="AS156" s="154"/>
      <c r="AT156" s="154"/>
      <c r="AU156" s="154"/>
      <c r="AV156" s="154"/>
      <c r="AW156" s="154"/>
      <c r="AX156" s="154"/>
      <c r="AY156" s="154"/>
      <c r="AZ156" s="154"/>
      <c r="BA156" s="154"/>
      <c r="BB156" s="154"/>
      <c r="BC156" s="154"/>
      <c r="BD156" s="154"/>
      <c r="BE156" s="154"/>
      <c r="BF156" s="154"/>
      <c r="BG156" s="154"/>
      <c r="BH156" s="154"/>
      <c r="BI156" s="154"/>
      <c r="BJ156" s="154"/>
      <c r="BK156" s="154"/>
      <c r="BL156" s="163"/>
      <c r="BM156" s="163"/>
      <c r="BN156" s="163"/>
    </row>
    <row r="157" spans="1:66" ht="15.75" customHeight="1">
      <c r="A157" s="154"/>
      <c r="B157" s="155"/>
      <c r="C157" s="156"/>
      <c r="D157" s="154"/>
      <c r="E157" s="154"/>
      <c r="F157" s="154"/>
      <c r="G157" s="154"/>
      <c r="H157" s="154"/>
      <c r="I157" s="154"/>
      <c r="J157" s="154"/>
      <c r="K157" s="154"/>
      <c r="L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H157" s="154"/>
      <c r="AI157" s="154"/>
      <c r="AJ157" s="154"/>
      <c r="AK157" s="154"/>
      <c r="AL157" s="154"/>
      <c r="AM157" s="154"/>
      <c r="AN157" s="154"/>
      <c r="AO157" s="154"/>
      <c r="AP157" s="156"/>
      <c r="AQ157" s="154"/>
      <c r="AR157" s="156"/>
      <c r="AS157" s="154"/>
      <c r="AT157" s="154"/>
      <c r="AU157" s="154"/>
      <c r="AV157" s="154"/>
      <c r="AW157" s="154"/>
      <c r="AX157" s="154"/>
      <c r="AY157" s="154"/>
      <c r="AZ157" s="154"/>
      <c r="BA157" s="154"/>
      <c r="BB157" s="154"/>
      <c r="BC157" s="154"/>
      <c r="BD157" s="154"/>
      <c r="BE157" s="154"/>
      <c r="BF157" s="154"/>
      <c r="BG157" s="154"/>
      <c r="BH157" s="154"/>
      <c r="BI157" s="154"/>
      <c r="BJ157" s="154"/>
      <c r="BK157" s="154"/>
      <c r="BL157" s="163"/>
      <c r="BM157" s="163"/>
      <c r="BN157" s="163"/>
    </row>
    <row r="158" spans="1:66" ht="15.75" customHeight="1">
      <c r="A158" s="154"/>
      <c r="B158" s="155"/>
      <c r="C158" s="156"/>
      <c r="D158" s="154"/>
      <c r="E158" s="154"/>
      <c r="F158" s="154"/>
      <c r="G158" s="154"/>
      <c r="H158" s="154"/>
      <c r="I158" s="154"/>
      <c r="J158" s="154"/>
      <c r="K158" s="154"/>
      <c r="L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H158" s="154"/>
      <c r="AI158" s="154"/>
      <c r="AJ158" s="154"/>
      <c r="AK158" s="154"/>
      <c r="AL158" s="154"/>
      <c r="AM158" s="154"/>
      <c r="AN158" s="154"/>
      <c r="AO158" s="154"/>
      <c r="AP158" s="156"/>
      <c r="AQ158" s="154"/>
      <c r="AR158" s="156"/>
      <c r="AS158" s="154"/>
      <c r="AT158" s="154"/>
      <c r="AU158" s="154"/>
      <c r="AV158" s="154"/>
      <c r="AW158" s="154"/>
      <c r="AX158" s="154"/>
      <c r="AY158" s="154"/>
      <c r="AZ158" s="154"/>
      <c r="BA158" s="154"/>
      <c r="BB158" s="154"/>
      <c r="BC158" s="154"/>
      <c r="BD158" s="154"/>
      <c r="BE158" s="154"/>
      <c r="BF158" s="154"/>
      <c r="BG158" s="154"/>
      <c r="BH158" s="154"/>
      <c r="BI158" s="154"/>
      <c r="BJ158" s="154"/>
      <c r="BK158" s="154"/>
      <c r="BL158" s="163"/>
      <c r="BM158" s="163"/>
      <c r="BN158" s="163"/>
    </row>
    <row r="159" spans="1:66" ht="15.75" customHeight="1">
      <c r="A159" s="154"/>
      <c r="B159" s="155"/>
      <c r="C159" s="156"/>
      <c r="D159" s="154"/>
      <c r="E159" s="154"/>
      <c r="F159" s="154"/>
      <c r="G159" s="154"/>
      <c r="H159" s="154"/>
      <c r="I159" s="154"/>
      <c r="J159" s="154"/>
      <c r="K159" s="154"/>
      <c r="L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H159" s="154"/>
      <c r="AI159" s="154"/>
      <c r="AJ159" s="154"/>
      <c r="AK159" s="154"/>
      <c r="AL159" s="154"/>
      <c r="AM159" s="154"/>
      <c r="AN159" s="154"/>
      <c r="AO159" s="154"/>
      <c r="AP159" s="156"/>
      <c r="AQ159" s="154"/>
      <c r="AR159" s="156"/>
      <c r="AS159" s="154"/>
      <c r="AT159" s="154"/>
      <c r="AU159" s="154"/>
      <c r="AV159" s="154"/>
      <c r="AW159" s="154"/>
      <c r="AX159" s="154"/>
      <c r="AY159" s="154"/>
      <c r="AZ159" s="154"/>
      <c r="BA159" s="154"/>
      <c r="BB159" s="154"/>
      <c r="BC159" s="154"/>
      <c r="BD159" s="154"/>
      <c r="BE159" s="154"/>
      <c r="BF159" s="154"/>
      <c r="BG159" s="154"/>
      <c r="BH159" s="154"/>
      <c r="BI159" s="154"/>
      <c r="BJ159" s="154"/>
      <c r="BK159" s="154"/>
      <c r="BL159" s="163"/>
      <c r="BM159" s="163"/>
      <c r="BN159" s="163"/>
    </row>
    <row r="160" spans="1:66" ht="15.75" customHeight="1">
      <c r="A160" s="154"/>
      <c r="B160" s="155"/>
      <c r="C160" s="156"/>
      <c r="D160" s="154"/>
      <c r="E160" s="154"/>
      <c r="F160" s="154"/>
      <c r="G160" s="154"/>
      <c r="H160" s="154"/>
      <c r="I160" s="154"/>
      <c r="J160" s="154"/>
      <c r="K160" s="154"/>
      <c r="L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  <c r="AH160" s="154"/>
      <c r="AI160" s="154"/>
      <c r="AJ160" s="154"/>
      <c r="AK160" s="154"/>
      <c r="AL160" s="154"/>
      <c r="AM160" s="154"/>
      <c r="AN160" s="154"/>
      <c r="AO160" s="154"/>
      <c r="AP160" s="156"/>
      <c r="AQ160" s="154"/>
      <c r="AR160" s="156"/>
      <c r="AS160" s="154"/>
      <c r="AT160" s="154"/>
      <c r="AU160" s="154"/>
      <c r="AV160" s="154"/>
      <c r="AW160" s="154"/>
      <c r="AX160" s="154"/>
      <c r="AY160" s="154"/>
      <c r="AZ160" s="154"/>
      <c r="BA160" s="154"/>
      <c r="BB160" s="154"/>
      <c r="BC160" s="154"/>
      <c r="BD160" s="154"/>
      <c r="BE160" s="154"/>
      <c r="BF160" s="154"/>
      <c r="BG160" s="154"/>
      <c r="BH160" s="154"/>
      <c r="BI160" s="154"/>
      <c r="BJ160" s="154"/>
      <c r="BK160" s="154"/>
      <c r="BL160" s="163"/>
      <c r="BM160" s="163"/>
      <c r="BN160" s="163"/>
    </row>
    <row r="161" spans="1:66" ht="15.75" customHeight="1">
      <c r="A161" s="154"/>
      <c r="B161" s="155"/>
      <c r="C161" s="156"/>
      <c r="D161" s="154"/>
      <c r="E161" s="154"/>
      <c r="F161" s="154"/>
      <c r="G161" s="154"/>
      <c r="H161" s="154"/>
      <c r="I161" s="154"/>
      <c r="J161" s="154"/>
      <c r="K161" s="154"/>
      <c r="L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H161" s="154"/>
      <c r="AI161" s="154"/>
      <c r="AJ161" s="154"/>
      <c r="AK161" s="154"/>
      <c r="AL161" s="154"/>
      <c r="AM161" s="154"/>
      <c r="AN161" s="154"/>
      <c r="AO161" s="154"/>
      <c r="AP161" s="156"/>
      <c r="AQ161" s="154"/>
      <c r="AR161" s="156"/>
      <c r="AS161" s="154"/>
      <c r="AT161" s="154"/>
      <c r="AU161" s="154"/>
      <c r="AV161" s="154"/>
      <c r="AW161" s="154"/>
      <c r="AX161" s="154"/>
      <c r="AY161" s="154"/>
      <c r="AZ161" s="154"/>
      <c r="BA161" s="154"/>
      <c r="BB161" s="154"/>
      <c r="BC161" s="154"/>
      <c r="BD161" s="154"/>
      <c r="BE161" s="154"/>
      <c r="BF161" s="154"/>
      <c r="BG161" s="154"/>
      <c r="BH161" s="154"/>
      <c r="BI161" s="154"/>
      <c r="BJ161" s="154"/>
      <c r="BK161" s="154"/>
      <c r="BL161" s="163"/>
      <c r="BM161" s="163"/>
      <c r="BN161" s="163"/>
    </row>
    <row r="162" spans="1:66" ht="15.75" customHeight="1">
      <c r="A162" s="154"/>
      <c r="B162" s="155"/>
      <c r="C162" s="156"/>
      <c r="D162" s="154"/>
      <c r="E162" s="154"/>
      <c r="F162" s="154"/>
      <c r="G162" s="154"/>
      <c r="H162" s="154"/>
      <c r="I162" s="154"/>
      <c r="J162" s="154"/>
      <c r="K162" s="154"/>
      <c r="L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H162" s="154"/>
      <c r="AI162" s="154"/>
      <c r="AJ162" s="154"/>
      <c r="AK162" s="154"/>
      <c r="AL162" s="154"/>
      <c r="AM162" s="154"/>
      <c r="AN162" s="154"/>
      <c r="AO162" s="154"/>
      <c r="AP162" s="156"/>
      <c r="AQ162" s="154"/>
      <c r="AR162" s="156"/>
      <c r="AS162" s="154"/>
      <c r="AT162" s="154"/>
      <c r="AU162" s="154"/>
      <c r="AV162" s="154"/>
      <c r="AW162" s="154"/>
      <c r="AX162" s="154"/>
      <c r="AY162" s="154"/>
      <c r="AZ162" s="154"/>
      <c r="BA162" s="154"/>
      <c r="BB162" s="154"/>
      <c r="BC162" s="154"/>
      <c r="BD162" s="154"/>
      <c r="BE162" s="154"/>
      <c r="BF162" s="154"/>
      <c r="BG162" s="154"/>
      <c r="BH162" s="154"/>
      <c r="BI162" s="154"/>
      <c r="BJ162" s="154"/>
      <c r="BK162" s="154"/>
      <c r="BL162" s="163"/>
      <c r="BM162" s="163"/>
      <c r="BN162" s="163"/>
    </row>
    <row r="163" spans="1:66" ht="15.75" customHeight="1">
      <c r="A163" s="154"/>
      <c r="B163" s="155"/>
      <c r="C163" s="156"/>
      <c r="D163" s="154"/>
      <c r="E163" s="154"/>
      <c r="F163" s="154"/>
      <c r="G163" s="154"/>
      <c r="H163" s="154"/>
      <c r="I163" s="154"/>
      <c r="J163" s="154"/>
      <c r="K163" s="154"/>
      <c r="L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H163" s="154"/>
      <c r="AI163" s="154"/>
      <c r="AJ163" s="154"/>
      <c r="AK163" s="154"/>
      <c r="AL163" s="154"/>
      <c r="AM163" s="154"/>
      <c r="AN163" s="154"/>
      <c r="AO163" s="154"/>
      <c r="AP163" s="156"/>
      <c r="AQ163" s="154"/>
      <c r="AR163" s="156"/>
      <c r="AS163" s="154"/>
      <c r="AT163" s="154"/>
      <c r="AU163" s="154"/>
      <c r="AV163" s="154"/>
      <c r="AW163" s="154"/>
      <c r="AX163" s="154"/>
      <c r="AY163" s="154"/>
      <c r="AZ163" s="154"/>
      <c r="BA163" s="154"/>
      <c r="BB163" s="154"/>
      <c r="BC163" s="154"/>
      <c r="BD163" s="154"/>
      <c r="BE163" s="154"/>
      <c r="BF163" s="154"/>
      <c r="BG163" s="154"/>
      <c r="BH163" s="154"/>
      <c r="BI163" s="154"/>
      <c r="BJ163" s="154"/>
      <c r="BK163" s="154"/>
      <c r="BL163" s="163"/>
      <c r="BM163" s="163"/>
      <c r="BN163" s="163"/>
    </row>
    <row r="164" spans="1:66" ht="15.75" customHeight="1">
      <c r="A164" s="154"/>
      <c r="B164" s="155"/>
      <c r="C164" s="156"/>
      <c r="D164" s="154"/>
      <c r="E164" s="154"/>
      <c r="F164" s="154"/>
      <c r="G164" s="154"/>
      <c r="H164" s="154"/>
      <c r="I164" s="154"/>
      <c r="J164" s="154"/>
      <c r="K164" s="154"/>
      <c r="L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H164" s="154"/>
      <c r="AI164" s="154"/>
      <c r="AJ164" s="154"/>
      <c r="AK164" s="154"/>
      <c r="AL164" s="154"/>
      <c r="AM164" s="154"/>
      <c r="AN164" s="154"/>
      <c r="AO164" s="154"/>
      <c r="AP164" s="156"/>
      <c r="AQ164" s="154"/>
      <c r="AR164" s="156"/>
      <c r="AS164" s="154"/>
      <c r="AT164" s="154"/>
      <c r="AU164" s="154"/>
      <c r="AV164" s="154"/>
      <c r="AW164" s="154"/>
      <c r="AX164" s="154"/>
      <c r="AY164" s="154"/>
      <c r="AZ164" s="154"/>
      <c r="BA164" s="154"/>
      <c r="BB164" s="154"/>
      <c r="BC164" s="154"/>
      <c r="BD164" s="154"/>
      <c r="BE164" s="154"/>
      <c r="BF164" s="154"/>
      <c r="BG164" s="154"/>
      <c r="BH164" s="154"/>
      <c r="BI164" s="154"/>
      <c r="BJ164" s="154"/>
      <c r="BK164" s="154"/>
      <c r="BL164" s="163"/>
      <c r="BM164" s="163"/>
      <c r="BN164" s="163"/>
    </row>
    <row r="165" spans="1:66" ht="15.75" customHeight="1">
      <c r="A165" s="154"/>
      <c r="B165" s="155"/>
      <c r="C165" s="156"/>
      <c r="D165" s="154"/>
      <c r="E165" s="154"/>
      <c r="F165" s="154"/>
      <c r="G165" s="154"/>
      <c r="H165" s="154"/>
      <c r="I165" s="154"/>
      <c r="J165" s="154"/>
      <c r="K165" s="154"/>
      <c r="L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  <c r="AH165" s="154"/>
      <c r="AI165" s="154"/>
      <c r="AJ165" s="154"/>
      <c r="AK165" s="154"/>
      <c r="AL165" s="154"/>
      <c r="AM165" s="154"/>
      <c r="AN165" s="154"/>
      <c r="AO165" s="154"/>
      <c r="AP165" s="156"/>
      <c r="AQ165" s="154"/>
      <c r="AR165" s="156"/>
      <c r="AS165" s="154"/>
      <c r="AT165" s="154"/>
      <c r="AU165" s="154"/>
      <c r="AV165" s="154"/>
      <c r="AW165" s="154"/>
      <c r="AX165" s="154"/>
      <c r="AY165" s="154"/>
      <c r="AZ165" s="154"/>
      <c r="BA165" s="154"/>
      <c r="BB165" s="154"/>
      <c r="BC165" s="154"/>
      <c r="BD165" s="154"/>
      <c r="BE165" s="154"/>
      <c r="BF165" s="154"/>
      <c r="BG165" s="154"/>
      <c r="BH165" s="154"/>
      <c r="BI165" s="154"/>
      <c r="BJ165" s="154"/>
      <c r="BK165" s="154"/>
      <c r="BL165" s="163"/>
      <c r="BM165" s="163"/>
      <c r="BN165" s="163"/>
    </row>
    <row r="166" spans="1:66" ht="15.75" customHeight="1">
      <c r="A166" s="154"/>
      <c r="B166" s="155"/>
      <c r="C166" s="156"/>
      <c r="D166" s="154"/>
      <c r="E166" s="154"/>
      <c r="F166" s="154"/>
      <c r="G166" s="154"/>
      <c r="H166" s="154"/>
      <c r="I166" s="154"/>
      <c r="J166" s="154"/>
      <c r="K166" s="154"/>
      <c r="L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H166" s="154"/>
      <c r="AI166" s="154"/>
      <c r="AJ166" s="154"/>
      <c r="AK166" s="154"/>
      <c r="AL166" s="154"/>
      <c r="AM166" s="154"/>
      <c r="AN166" s="154"/>
      <c r="AO166" s="154"/>
      <c r="AP166" s="156"/>
      <c r="AQ166" s="154"/>
      <c r="AR166" s="156"/>
      <c r="AS166" s="154"/>
      <c r="AT166" s="154"/>
      <c r="AU166" s="154"/>
      <c r="AV166" s="154"/>
      <c r="AW166" s="154"/>
      <c r="AX166" s="154"/>
      <c r="AY166" s="154"/>
      <c r="AZ166" s="154"/>
      <c r="BA166" s="154"/>
      <c r="BB166" s="154"/>
      <c r="BC166" s="154"/>
      <c r="BD166" s="154"/>
      <c r="BE166" s="154"/>
      <c r="BF166" s="154"/>
      <c r="BG166" s="154"/>
      <c r="BH166" s="154"/>
      <c r="BI166" s="154"/>
      <c r="BJ166" s="154"/>
      <c r="BK166" s="154"/>
      <c r="BL166" s="163"/>
      <c r="BM166" s="163"/>
      <c r="BN166" s="163"/>
    </row>
    <row r="167" spans="1:66" ht="15.75" customHeight="1">
      <c r="A167" s="154"/>
      <c r="B167" s="155"/>
      <c r="C167" s="156"/>
      <c r="D167" s="154"/>
      <c r="E167" s="154"/>
      <c r="F167" s="154"/>
      <c r="G167" s="154"/>
      <c r="H167" s="154"/>
      <c r="I167" s="154"/>
      <c r="J167" s="154"/>
      <c r="K167" s="154"/>
      <c r="L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H167" s="154"/>
      <c r="AI167" s="154"/>
      <c r="AJ167" s="154"/>
      <c r="AK167" s="154"/>
      <c r="AL167" s="154"/>
      <c r="AM167" s="154"/>
      <c r="AN167" s="154"/>
      <c r="AO167" s="154"/>
      <c r="AP167" s="156"/>
      <c r="AQ167" s="154"/>
      <c r="AR167" s="156"/>
      <c r="AS167" s="154"/>
      <c r="AT167" s="154"/>
      <c r="AU167" s="154"/>
      <c r="AV167" s="154"/>
      <c r="AW167" s="154"/>
      <c r="AX167" s="154"/>
      <c r="AY167" s="154"/>
      <c r="AZ167" s="154"/>
      <c r="BA167" s="154"/>
      <c r="BB167" s="154"/>
      <c r="BC167" s="154"/>
      <c r="BD167" s="154"/>
      <c r="BE167" s="154"/>
      <c r="BF167" s="154"/>
      <c r="BG167" s="154"/>
      <c r="BH167" s="154"/>
      <c r="BI167" s="154"/>
      <c r="BJ167" s="154"/>
      <c r="BK167" s="154"/>
      <c r="BL167" s="163"/>
      <c r="BM167" s="163"/>
      <c r="BN167" s="163"/>
    </row>
    <row r="168" spans="1:66" ht="15.75" customHeight="1">
      <c r="A168" s="154"/>
      <c r="B168" s="155"/>
      <c r="C168" s="156"/>
      <c r="D168" s="154"/>
      <c r="E168" s="154"/>
      <c r="F168" s="154"/>
      <c r="G168" s="154"/>
      <c r="H168" s="154"/>
      <c r="I168" s="154"/>
      <c r="J168" s="154"/>
      <c r="K168" s="154"/>
      <c r="L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H168" s="154"/>
      <c r="AI168" s="154"/>
      <c r="AJ168" s="154"/>
      <c r="AK168" s="154"/>
      <c r="AL168" s="154"/>
      <c r="AM168" s="154"/>
      <c r="AN168" s="154"/>
      <c r="AO168" s="154"/>
      <c r="AP168" s="156"/>
      <c r="AQ168" s="154"/>
      <c r="AR168" s="156"/>
      <c r="AS168" s="154"/>
      <c r="AT168" s="154"/>
      <c r="AU168" s="154"/>
      <c r="AV168" s="154"/>
      <c r="AW168" s="154"/>
      <c r="AX168" s="154"/>
      <c r="AY168" s="154"/>
      <c r="AZ168" s="154"/>
      <c r="BA168" s="154"/>
      <c r="BB168" s="154"/>
      <c r="BC168" s="154"/>
      <c r="BD168" s="154"/>
      <c r="BE168" s="154"/>
      <c r="BF168" s="154"/>
      <c r="BG168" s="154"/>
      <c r="BH168" s="154"/>
      <c r="BI168" s="154"/>
      <c r="BJ168" s="154"/>
      <c r="BK168" s="154"/>
      <c r="BL168" s="163"/>
      <c r="BM168" s="163"/>
      <c r="BN168" s="163"/>
    </row>
    <row r="169" spans="1:66" ht="15.75" customHeight="1">
      <c r="A169" s="154"/>
      <c r="B169" s="155"/>
      <c r="C169" s="156"/>
      <c r="D169" s="154"/>
      <c r="E169" s="154"/>
      <c r="F169" s="154"/>
      <c r="G169" s="154"/>
      <c r="H169" s="154"/>
      <c r="I169" s="154"/>
      <c r="J169" s="154"/>
      <c r="K169" s="154"/>
      <c r="L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H169" s="154"/>
      <c r="AI169" s="154"/>
      <c r="AJ169" s="154"/>
      <c r="AK169" s="154"/>
      <c r="AL169" s="154"/>
      <c r="AM169" s="154"/>
      <c r="AN169" s="154"/>
      <c r="AO169" s="154"/>
      <c r="AP169" s="156"/>
      <c r="AQ169" s="154"/>
      <c r="AR169" s="156"/>
      <c r="AS169" s="154"/>
      <c r="AT169" s="154"/>
      <c r="AU169" s="154"/>
      <c r="AV169" s="154"/>
      <c r="AW169" s="154"/>
      <c r="AX169" s="154"/>
      <c r="AY169" s="154"/>
      <c r="AZ169" s="154"/>
      <c r="BA169" s="154"/>
      <c r="BB169" s="154"/>
      <c r="BC169" s="154"/>
      <c r="BD169" s="154"/>
      <c r="BE169" s="154"/>
      <c r="BF169" s="154"/>
      <c r="BG169" s="154"/>
      <c r="BH169" s="154"/>
      <c r="BI169" s="154"/>
      <c r="BJ169" s="154"/>
      <c r="BK169" s="154"/>
      <c r="BL169" s="163"/>
      <c r="BM169" s="163"/>
      <c r="BN169" s="163"/>
    </row>
    <row r="170" spans="1:66" ht="15.75" customHeight="1">
      <c r="A170" s="154"/>
      <c r="B170" s="155"/>
      <c r="C170" s="156"/>
      <c r="D170" s="154"/>
      <c r="E170" s="154"/>
      <c r="F170" s="154"/>
      <c r="G170" s="154"/>
      <c r="H170" s="154"/>
      <c r="I170" s="154"/>
      <c r="J170" s="154"/>
      <c r="K170" s="154"/>
      <c r="L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H170" s="154"/>
      <c r="AI170" s="154"/>
      <c r="AJ170" s="154"/>
      <c r="AK170" s="154"/>
      <c r="AL170" s="154"/>
      <c r="AM170" s="154"/>
      <c r="AN170" s="154"/>
      <c r="AO170" s="154"/>
      <c r="AP170" s="156"/>
      <c r="AQ170" s="154"/>
      <c r="AR170" s="156"/>
      <c r="AS170" s="154"/>
      <c r="AT170" s="154"/>
      <c r="AU170" s="154"/>
      <c r="AV170" s="154"/>
      <c r="AW170" s="154"/>
      <c r="AX170" s="154"/>
      <c r="AY170" s="154"/>
      <c r="AZ170" s="154"/>
      <c r="BA170" s="154"/>
      <c r="BB170" s="154"/>
      <c r="BC170" s="154"/>
      <c r="BD170" s="154"/>
      <c r="BE170" s="154"/>
      <c r="BF170" s="154"/>
      <c r="BG170" s="154"/>
      <c r="BH170" s="154"/>
      <c r="BI170" s="154"/>
      <c r="BJ170" s="154"/>
      <c r="BK170" s="154"/>
      <c r="BL170" s="163"/>
      <c r="BM170" s="163"/>
      <c r="BN170" s="163"/>
    </row>
    <row r="171" spans="1:66" ht="15.75" customHeight="1">
      <c r="A171" s="154"/>
      <c r="B171" s="155"/>
      <c r="C171" s="156"/>
      <c r="D171" s="154"/>
      <c r="E171" s="154"/>
      <c r="F171" s="154"/>
      <c r="G171" s="154"/>
      <c r="H171" s="154"/>
      <c r="I171" s="154"/>
      <c r="J171" s="154"/>
      <c r="K171" s="154"/>
      <c r="L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H171" s="154"/>
      <c r="AI171" s="154"/>
      <c r="AJ171" s="154"/>
      <c r="AK171" s="154"/>
      <c r="AL171" s="154"/>
      <c r="AM171" s="154"/>
      <c r="AN171" s="154"/>
      <c r="AO171" s="154"/>
      <c r="AP171" s="156"/>
      <c r="AQ171" s="154"/>
      <c r="AR171" s="156"/>
      <c r="AS171" s="154"/>
      <c r="AT171" s="154"/>
      <c r="AU171" s="154"/>
      <c r="AV171" s="154"/>
      <c r="AW171" s="154"/>
      <c r="AX171" s="154"/>
      <c r="AY171" s="154"/>
      <c r="AZ171" s="154"/>
      <c r="BA171" s="154"/>
      <c r="BB171" s="154"/>
      <c r="BC171" s="154"/>
      <c r="BD171" s="154"/>
      <c r="BE171" s="154"/>
      <c r="BF171" s="154"/>
      <c r="BG171" s="154"/>
      <c r="BH171" s="154"/>
      <c r="BI171" s="154"/>
      <c r="BJ171" s="154"/>
      <c r="BK171" s="154"/>
      <c r="BL171" s="163"/>
      <c r="BM171" s="163"/>
      <c r="BN171" s="163"/>
    </row>
    <row r="172" spans="1:66" ht="15.75" customHeight="1">
      <c r="A172" s="154"/>
      <c r="B172" s="155"/>
      <c r="C172" s="156"/>
      <c r="D172" s="154"/>
      <c r="E172" s="154"/>
      <c r="F172" s="154"/>
      <c r="G172" s="154"/>
      <c r="H172" s="154"/>
      <c r="I172" s="154"/>
      <c r="J172" s="154"/>
      <c r="K172" s="154"/>
      <c r="L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H172" s="154"/>
      <c r="AI172" s="154"/>
      <c r="AJ172" s="154"/>
      <c r="AK172" s="154"/>
      <c r="AL172" s="154"/>
      <c r="AM172" s="154"/>
      <c r="AN172" s="154"/>
      <c r="AO172" s="154"/>
      <c r="AP172" s="156"/>
      <c r="AQ172" s="154"/>
      <c r="AR172" s="156"/>
      <c r="AS172" s="154"/>
      <c r="AT172" s="154"/>
      <c r="AU172" s="154"/>
      <c r="AV172" s="154"/>
      <c r="AW172" s="154"/>
      <c r="AX172" s="154"/>
      <c r="AY172" s="154"/>
      <c r="AZ172" s="154"/>
      <c r="BA172" s="154"/>
      <c r="BB172" s="154"/>
      <c r="BC172" s="154"/>
      <c r="BD172" s="154"/>
      <c r="BE172" s="154"/>
      <c r="BF172" s="154"/>
      <c r="BG172" s="154"/>
      <c r="BH172" s="154"/>
      <c r="BI172" s="154"/>
      <c r="BJ172" s="154"/>
      <c r="BK172" s="154"/>
      <c r="BL172" s="163"/>
      <c r="BM172" s="163"/>
      <c r="BN172" s="163"/>
    </row>
    <row r="173" spans="1:66" ht="15.75" customHeight="1">
      <c r="A173" s="154"/>
      <c r="B173" s="155"/>
      <c r="C173" s="156"/>
      <c r="D173" s="154"/>
      <c r="E173" s="154"/>
      <c r="F173" s="154"/>
      <c r="G173" s="154"/>
      <c r="H173" s="154"/>
      <c r="I173" s="154"/>
      <c r="J173" s="154"/>
      <c r="K173" s="154"/>
      <c r="L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H173" s="154"/>
      <c r="AI173" s="154"/>
      <c r="AJ173" s="154"/>
      <c r="AK173" s="154"/>
      <c r="AL173" s="154"/>
      <c r="AM173" s="154"/>
      <c r="AN173" s="154"/>
      <c r="AO173" s="154"/>
      <c r="AP173" s="156"/>
      <c r="AQ173" s="154"/>
      <c r="AR173" s="156"/>
      <c r="AS173" s="154"/>
      <c r="AT173" s="154"/>
      <c r="AU173" s="154"/>
      <c r="AV173" s="154"/>
      <c r="AW173" s="154"/>
      <c r="AX173" s="154"/>
      <c r="AY173" s="154"/>
      <c r="AZ173" s="154"/>
      <c r="BA173" s="154"/>
      <c r="BB173" s="154"/>
      <c r="BC173" s="154"/>
      <c r="BD173" s="154"/>
      <c r="BE173" s="154"/>
      <c r="BF173" s="154"/>
      <c r="BG173" s="154"/>
      <c r="BH173" s="154"/>
      <c r="BI173" s="154"/>
      <c r="BJ173" s="154"/>
      <c r="BK173" s="154"/>
      <c r="BL173" s="163"/>
      <c r="BM173" s="163"/>
      <c r="BN173" s="163"/>
    </row>
    <row r="174" spans="1:66" ht="15.75" customHeight="1">
      <c r="A174" s="154"/>
      <c r="B174" s="155"/>
      <c r="C174" s="156"/>
      <c r="D174" s="154"/>
      <c r="E174" s="154"/>
      <c r="F174" s="154"/>
      <c r="G174" s="154"/>
      <c r="H174" s="154"/>
      <c r="I174" s="154"/>
      <c r="J174" s="154"/>
      <c r="K174" s="154"/>
      <c r="L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H174" s="154"/>
      <c r="AI174" s="154"/>
      <c r="AJ174" s="154"/>
      <c r="AK174" s="154"/>
      <c r="AL174" s="154"/>
      <c r="AM174" s="154"/>
      <c r="AN174" s="154"/>
      <c r="AO174" s="154"/>
      <c r="AP174" s="156"/>
      <c r="AQ174" s="154"/>
      <c r="AR174" s="156"/>
      <c r="AS174" s="154"/>
      <c r="AT174" s="154"/>
      <c r="AU174" s="154"/>
      <c r="AV174" s="154"/>
      <c r="AW174" s="154"/>
      <c r="AX174" s="154"/>
      <c r="AY174" s="154"/>
      <c r="AZ174" s="154"/>
      <c r="BA174" s="154"/>
      <c r="BB174" s="154"/>
      <c r="BC174" s="154"/>
      <c r="BD174" s="154"/>
      <c r="BE174" s="154"/>
      <c r="BF174" s="154"/>
      <c r="BG174" s="154"/>
      <c r="BH174" s="154"/>
      <c r="BI174" s="154"/>
      <c r="BJ174" s="154"/>
      <c r="BK174" s="154"/>
      <c r="BL174" s="163"/>
      <c r="BM174" s="163"/>
      <c r="BN174" s="163"/>
    </row>
    <row r="175" spans="1:66" ht="15.75" customHeight="1">
      <c r="A175" s="154"/>
      <c r="B175" s="155"/>
      <c r="C175" s="156"/>
      <c r="D175" s="154"/>
      <c r="E175" s="154"/>
      <c r="F175" s="154"/>
      <c r="G175" s="154"/>
      <c r="H175" s="154"/>
      <c r="I175" s="154"/>
      <c r="J175" s="154"/>
      <c r="K175" s="154"/>
      <c r="L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H175" s="154"/>
      <c r="AI175" s="154"/>
      <c r="AJ175" s="154"/>
      <c r="AK175" s="154"/>
      <c r="AL175" s="154"/>
      <c r="AM175" s="154"/>
      <c r="AN175" s="154"/>
      <c r="AO175" s="154"/>
      <c r="AP175" s="156"/>
      <c r="AQ175" s="154"/>
      <c r="AR175" s="156"/>
      <c r="AS175" s="154"/>
      <c r="AT175" s="154"/>
      <c r="AU175" s="154"/>
      <c r="AV175" s="154"/>
      <c r="AW175" s="154"/>
      <c r="AX175" s="154"/>
      <c r="AY175" s="154"/>
      <c r="AZ175" s="154"/>
      <c r="BA175" s="154"/>
      <c r="BB175" s="154"/>
      <c r="BC175" s="154"/>
      <c r="BD175" s="154"/>
      <c r="BE175" s="154"/>
      <c r="BF175" s="154"/>
      <c r="BG175" s="154"/>
      <c r="BH175" s="154"/>
      <c r="BI175" s="154"/>
      <c r="BJ175" s="154"/>
      <c r="BK175" s="154"/>
      <c r="BL175" s="163"/>
      <c r="BM175" s="163"/>
      <c r="BN175" s="163"/>
    </row>
    <row r="176" spans="1:66" ht="15.75" customHeight="1">
      <c r="A176" s="154"/>
      <c r="B176" s="155"/>
      <c r="C176" s="156"/>
      <c r="D176" s="154"/>
      <c r="E176" s="154"/>
      <c r="F176" s="154"/>
      <c r="G176" s="154"/>
      <c r="H176" s="154"/>
      <c r="I176" s="154"/>
      <c r="J176" s="154"/>
      <c r="K176" s="154"/>
      <c r="L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H176" s="154"/>
      <c r="AI176" s="154"/>
      <c r="AJ176" s="154"/>
      <c r="AK176" s="154"/>
      <c r="AL176" s="154"/>
      <c r="AM176" s="154"/>
      <c r="AN176" s="154"/>
      <c r="AO176" s="154"/>
      <c r="AP176" s="156"/>
      <c r="AQ176" s="154"/>
      <c r="AR176" s="156"/>
      <c r="AS176" s="154"/>
      <c r="AT176" s="154"/>
      <c r="AU176" s="154"/>
      <c r="AV176" s="154"/>
      <c r="AW176" s="154"/>
      <c r="AX176" s="154"/>
      <c r="AY176" s="154"/>
      <c r="AZ176" s="154"/>
      <c r="BA176" s="154"/>
      <c r="BB176" s="154"/>
      <c r="BC176" s="154"/>
      <c r="BD176" s="154"/>
      <c r="BE176" s="154"/>
      <c r="BF176" s="154"/>
      <c r="BG176" s="154"/>
      <c r="BH176" s="154"/>
      <c r="BI176" s="154"/>
      <c r="BJ176" s="154"/>
      <c r="BK176" s="154"/>
      <c r="BL176" s="163"/>
      <c r="BM176" s="163"/>
      <c r="BN176" s="163"/>
    </row>
    <row r="177" spans="1:66" ht="15.75" customHeight="1">
      <c r="A177" s="154"/>
      <c r="B177" s="155"/>
      <c r="C177" s="156"/>
      <c r="D177" s="154"/>
      <c r="E177" s="154"/>
      <c r="F177" s="154"/>
      <c r="G177" s="154"/>
      <c r="H177" s="154"/>
      <c r="I177" s="154"/>
      <c r="J177" s="154"/>
      <c r="K177" s="154"/>
      <c r="L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H177" s="154"/>
      <c r="AI177" s="154"/>
      <c r="AJ177" s="154"/>
      <c r="AK177" s="154"/>
      <c r="AL177" s="154"/>
      <c r="AM177" s="154"/>
      <c r="AN177" s="154"/>
      <c r="AO177" s="154"/>
      <c r="AP177" s="156"/>
      <c r="AQ177" s="154"/>
      <c r="AR177" s="156"/>
      <c r="AS177" s="154"/>
      <c r="AT177" s="154"/>
      <c r="AU177" s="154"/>
      <c r="AV177" s="154"/>
      <c r="AW177" s="154"/>
      <c r="AX177" s="154"/>
      <c r="AY177" s="154"/>
      <c r="AZ177" s="154"/>
      <c r="BA177" s="154"/>
      <c r="BB177" s="154"/>
      <c r="BC177" s="154"/>
      <c r="BD177" s="154"/>
      <c r="BE177" s="154"/>
      <c r="BF177" s="154"/>
      <c r="BG177" s="154"/>
      <c r="BH177" s="154"/>
      <c r="BI177" s="154"/>
      <c r="BJ177" s="154"/>
      <c r="BK177" s="154"/>
      <c r="BL177" s="163"/>
      <c r="BM177" s="163"/>
      <c r="BN177" s="163"/>
    </row>
    <row r="178" spans="1:66" ht="15.75" customHeight="1">
      <c r="A178" s="154"/>
      <c r="B178" s="155"/>
      <c r="C178" s="156"/>
      <c r="D178" s="154"/>
      <c r="E178" s="154"/>
      <c r="F178" s="154"/>
      <c r="G178" s="154"/>
      <c r="H178" s="154"/>
      <c r="I178" s="154"/>
      <c r="J178" s="154"/>
      <c r="K178" s="154"/>
      <c r="L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H178" s="154"/>
      <c r="AI178" s="154"/>
      <c r="AJ178" s="154"/>
      <c r="AK178" s="154"/>
      <c r="AL178" s="154"/>
      <c r="AM178" s="154"/>
      <c r="AN178" s="154"/>
      <c r="AO178" s="154"/>
      <c r="AP178" s="156"/>
      <c r="AQ178" s="154"/>
      <c r="AR178" s="156"/>
      <c r="AS178" s="154"/>
      <c r="AT178" s="154"/>
      <c r="AU178" s="154"/>
      <c r="AV178" s="154"/>
      <c r="AW178" s="154"/>
      <c r="AX178" s="154"/>
      <c r="AY178" s="154"/>
      <c r="AZ178" s="154"/>
      <c r="BA178" s="154"/>
      <c r="BB178" s="154"/>
      <c r="BC178" s="154"/>
      <c r="BD178" s="154"/>
      <c r="BE178" s="154"/>
      <c r="BF178" s="154"/>
      <c r="BG178" s="154"/>
      <c r="BH178" s="154"/>
      <c r="BI178" s="154"/>
      <c r="BJ178" s="154"/>
      <c r="BK178" s="154"/>
      <c r="BL178" s="163"/>
      <c r="BM178" s="163"/>
      <c r="BN178" s="163"/>
    </row>
    <row r="179" spans="1:66" ht="15.75" customHeight="1">
      <c r="A179" s="154"/>
      <c r="B179" s="155"/>
      <c r="C179" s="156"/>
      <c r="D179" s="154"/>
      <c r="E179" s="154"/>
      <c r="F179" s="154"/>
      <c r="G179" s="154"/>
      <c r="H179" s="154"/>
      <c r="I179" s="154"/>
      <c r="J179" s="154"/>
      <c r="K179" s="154"/>
      <c r="L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H179" s="154"/>
      <c r="AI179" s="154"/>
      <c r="AJ179" s="154"/>
      <c r="AK179" s="154"/>
      <c r="AL179" s="154"/>
      <c r="AM179" s="154"/>
      <c r="AN179" s="154"/>
      <c r="AO179" s="154"/>
      <c r="AP179" s="156"/>
      <c r="AQ179" s="154"/>
      <c r="AR179" s="156"/>
      <c r="AS179" s="154"/>
      <c r="AT179" s="154"/>
      <c r="AU179" s="154"/>
      <c r="AV179" s="154"/>
      <c r="AW179" s="154"/>
      <c r="AX179" s="154"/>
      <c r="AY179" s="154"/>
      <c r="AZ179" s="154"/>
      <c r="BA179" s="154"/>
      <c r="BB179" s="154"/>
      <c r="BC179" s="154"/>
      <c r="BD179" s="154"/>
      <c r="BE179" s="154"/>
      <c r="BF179" s="154"/>
      <c r="BG179" s="154"/>
      <c r="BH179" s="154"/>
      <c r="BI179" s="154"/>
      <c r="BJ179" s="154"/>
      <c r="BK179" s="154"/>
      <c r="BL179" s="163"/>
      <c r="BM179" s="163"/>
      <c r="BN179" s="163"/>
    </row>
    <row r="180" spans="1:66" ht="15.75" customHeight="1">
      <c r="A180" s="154"/>
      <c r="B180" s="155"/>
      <c r="C180" s="156"/>
      <c r="D180" s="154"/>
      <c r="E180" s="154"/>
      <c r="F180" s="154"/>
      <c r="G180" s="154"/>
      <c r="H180" s="154"/>
      <c r="I180" s="154"/>
      <c r="J180" s="154"/>
      <c r="K180" s="154"/>
      <c r="L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H180" s="154"/>
      <c r="AI180" s="154"/>
      <c r="AJ180" s="154"/>
      <c r="AK180" s="154"/>
      <c r="AL180" s="154"/>
      <c r="AM180" s="154"/>
      <c r="AN180" s="154"/>
      <c r="AO180" s="154"/>
      <c r="AP180" s="156"/>
      <c r="AQ180" s="154"/>
      <c r="AR180" s="156"/>
      <c r="AS180" s="154"/>
      <c r="AT180" s="154"/>
      <c r="AU180" s="154"/>
      <c r="AV180" s="154"/>
      <c r="AW180" s="154"/>
      <c r="AX180" s="154"/>
      <c r="AY180" s="154"/>
      <c r="AZ180" s="154"/>
      <c r="BA180" s="154"/>
      <c r="BB180" s="154"/>
      <c r="BC180" s="154"/>
      <c r="BD180" s="154"/>
      <c r="BE180" s="154"/>
      <c r="BF180" s="154"/>
      <c r="BG180" s="154"/>
      <c r="BH180" s="154"/>
      <c r="BI180" s="154"/>
      <c r="BJ180" s="154"/>
      <c r="BK180" s="154"/>
      <c r="BL180" s="163"/>
      <c r="BM180" s="163"/>
      <c r="BN180" s="163"/>
    </row>
    <row r="181" spans="1:66" ht="15.75" customHeight="1">
      <c r="A181" s="154"/>
      <c r="B181" s="155"/>
      <c r="C181" s="156"/>
      <c r="D181" s="154"/>
      <c r="E181" s="154"/>
      <c r="F181" s="154"/>
      <c r="G181" s="154"/>
      <c r="H181" s="154"/>
      <c r="I181" s="154"/>
      <c r="J181" s="154"/>
      <c r="K181" s="154"/>
      <c r="L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H181" s="154"/>
      <c r="AI181" s="154"/>
      <c r="AJ181" s="154"/>
      <c r="AK181" s="154"/>
      <c r="AL181" s="154"/>
      <c r="AM181" s="154"/>
      <c r="AN181" s="154"/>
      <c r="AO181" s="154"/>
      <c r="AP181" s="156"/>
      <c r="AQ181" s="154"/>
      <c r="AR181" s="156"/>
      <c r="AS181" s="154"/>
      <c r="AT181" s="154"/>
      <c r="AU181" s="154"/>
      <c r="AV181" s="154"/>
      <c r="AW181" s="154"/>
      <c r="AX181" s="154"/>
      <c r="AY181" s="154"/>
      <c r="AZ181" s="154"/>
      <c r="BA181" s="154"/>
      <c r="BB181" s="154"/>
      <c r="BC181" s="154"/>
      <c r="BD181" s="154"/>
      <c r="BE181" s="154"/>
      <c r="BF181" s="154"/>
      <c r="BG181" s="154"/>
      <c r="BH181" s="154"/>
      <c r="BI181" s="154"/>
      <c r="BJ181" s="154"/>
      <c r="BK181" s="154"/>
      <c r="BL181" s="163"/>
      <c r="BM181" s="163"/>
      <c r="BN181" s="163"/>
    </row>
    <row r="182" spans="1:66" ht="15.75" customHeight="1">
      <c r="A182" s="154"/>
      <c r="B182" s="155"/>
      <c r="C182" s="156"/>
      <c r="D182" s="154"/>
      <c r="E182" s="154"/>
      <c r="F182" s="154"/>
      <c r="G182" s="154"/>
      <c r="H182" s="154"/>
      <c r="I182" s="154"/>
      <c r="J182" s="154"/>
      <c r="K182" s="154"/>
      <c r="L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H182" s="154"/>
      <c r="AI182" s="154"/>
      <c r="AJ182" s="154"/>
      <c r="AK182" s="154"/>
      <c r="AL182" s="154"/>
      <c r="AM182" s="154"/>
      <c r="AN182" s="154"/>
      <c r="AO182" s="154"/>
      <c r="AP182" s="156"/>
      <c r="AQ182" s="154"/>
      <c r="AR182" s="156"/>
      <c r="AS182" s="154"/>
      <c r="AT182" s="154"/>
      <c r="AU182" s="154"/>
      <c r="AV182" s="154"/>
      <c r="AW182" s="154"/>
      <c r="AX182" s="154"/>
      <c r="AY182" s="154"/>
      <c r="AZ182" s="154"/>
      <c r="BA182" s="154"/>
      <c r="BB182" s="154"/>
      <c r="BC182" s="154"/>
      <c r="BD182" s="154"/>
      <c r="BE182" s="154"/>
      <c r="BF182" s="154"/>
      <c r="BG182" s="154"/>
      <c r="BH182" s="154"/>
      <c r="BI182" s="154"/>
      <c r="BJ182" s="154"/>
      <c r="BK182" s="154"/>
      <c r="BL182" s="163"/>
      <c r="BM182" s="163"/>
      <c r="BN182" s="163"/>
    </row>
    <row r="183" spans="1:66" ht="15.75" customHeight="1">
      <c r="A183" s="154"/>
      <c r="B183" s="155"/>
      <c r="C183" s="156"/>
      <c r="D183" s="154"/>
      <c r="E183" s="154"/>
      <c r="F183" s="154"/>
      <c r="G183" s="154"/>
      <c r="H183" s="154"/>
      <c r="I183" s="154"/>
      <c r="J183" s="154"/>
      <c r="K183" s="154"/>
      <c r="L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H183" s="154"/>
      <c r="AI183" s="154"/>
      <c r="AJ183" s="154"/>
      <c r="AK183" s="154"/>
      <c r="AL183" s="154"/>
      <c r="AM183" s="154"/>
      <c r="AN183" s="154"/>
      <c r="AO183" s="154"/>
      <c r="AP183" s="156"/>
      <c r="AQ183" s="154"/>
      <c r="AR183" s="156"/>
      <c r="AS183" s="154"/>
      <c r="AT183" s="154"/>
      <c r="AU183" s="154"/>
      <c r="AV183" s="154"/>
      <c r="AW183" s="154"/>
      <c r="AX183" s="154"/>
      <c r="AY183" s="154"/>
      <c r="AZ183" s="154"/>
      <c r="BA183" s="154"/>
      <c r="BB183" s="154"/>
      <c r="BC183" s="154"/>
      <c r="BD183" s="154"/>
      <c r="BE183" s="154"/>
      <c r="BF183" s="154"/>
      <c r="BG183" s="154"/>
      <c r="BH183" s="154"/>
      <c r="BI183" s="154"/>
      <c r="BJ183" s="154"/>
      <c r="BK183" s="154"/>
      <c r="BL183" s="163"/>
      <c r="BM183" s="163"/>
      <c r="BN183" s="163"/>
    </row>
    <row r="184" spans="1:66" ht="15.75" customHeight="1">
      <c r="A184" s="154"/>
      <c r="B184" s="155"/>
      <c r="C184" s="156"/>
      <c r="D184" s="154"/>
      <c r="E184" s="154"/>
      <c r="F184" s="154"/>
      <c r="G184" s="154"/>
      <c r="H184" s="154"/>
      <c r="I184" s="154"/>
      <c r="J184" s="154"/>
      <c r="K184" s="154"/>
      <c r="L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H184" s="154"/>
      <c r="AI184" s="154"/>
      <c r="AJ184" s="154"/>
      <c r="AK184" s="154"/>
      <c r="AL184" s="154"/>
      <c r="AM184" s="154"/>
      <c r="AN184" s="154"/>
      <c r="AO184" s="154"/>
      <c r="AP184" s="156"/>
      <c r="AQ184" s="154"/>
      <c r="AR184" s="156"/>
      <c r="AS184" s="154"/>
      <c r="AT184" s="154"/>
      <c r="AU184" s="154"/>
      <c r="AV184" s="154"/>
      <c r="AW184" s="154"/>
      <c r="AX184" s="154"/>
      <c r="AY184" s="154"/>
      <c r="AZ184" s="154"/>
      <c r="BA184" s="154"/>
      <c r="BB184" s="154"/>
      <c r="BC184" s="154"/>
      <c r="BD184" s="154"/>
      <c r="BE184" s="154"/>
      <c r="BF184" s="154"/>
      <c r="BG184" s="154"/>
      <c r="BH184" s="154"/>
      <c r="BI184" s="154"/>
      <c r="BJ184" s="154"/>
      <c r="BK184" s="154"/>
      <c r="BL184" s="163"/>
      <c r="BM184" s="163"/>
      <c r="BN184" s="163"/>
    </row>
    <row r="185" spans="1:66" ht="15.75" customHeight="1">
      <c r="A185" s="154"/>
      <c r="B185" s="155"/>
      <c r="C185" s="156"/>
      <c r="D185" s="154"/>
      <c r="E185" s="154"/>
      <c r="F185" s="154"/>
      <c r="G185" s="154"/>
      <c r="H185" s="154"/>
      <c r="I185" s="154"/>
      <c r="J185" s="154"/>
      <c r="K185" s="154"/>
      <c r="L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H185" s="154"/>
      <c r="AI185" s="154"/>
      <c r="AJ185" s="154"/>
      <c r="AK185" s="154"/>
      <c r="AL185" s="154"/>
      <c r="AM185" s="154"/>
      <c r="AN185" s="154"/>
      <c r="AO185" s="154"/>
      <c r="AP185" s="156"/>
      <c r="AQ185" s="154"/>
      <c r="AR185" s="156"/>
      <c r="AS185" s="154"/>
      <c r="AT185" s="154"/>
      <c r="AU185" s="154"/>
      <c r="AV185" s="154"/>
      <c r="AW185" s="154"/>
      <c r="AX185" s="154"/>
      <c r="AY185" s="154"/>
      <c r="AZ185" s="154"/>
      <c r="BA185" s="154"/>
      <c r="BB185" s="154"/>
      <c r="BC185" s="154"/>
      <c r="BD185" s="154"/>
      <c r="BE185" s="154"/>
      <c r="BF185" s="154"/>
      <c r="BG185" s="154"/>
      <c r="BH185" s="154"/>
      <c r="BI185" s="154"/>
      <c r="BJ185" s="154"/>
      <c r="BK185" s="154"/>
      <c r="BL185" s="163"/>
      <c r="BM185" s="163"/>
      <c r="BN185" s="163"/>
    </row>
    <row r="186" spans="1:66" ht="15.75" customHeight="1">
      <c r="A186" s="154"/>
      <c r="B186" s="155"/>
      <c r="C186" s="156"/>
      <c r="D186" s="154"/>
      <c r="E186" s="154"/>
      <c r="F186" s="154"/>
      <c r="G186" s="154"/>
      <c r="H186" s="154"/>
      <c r="I186" s="154"/>
      <c r="J186" s="154"/>
      <c r="K186" s="154"/>
      <c r="L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H186" s="154"/>
      <c r="AI186" s="154"/>
      <c r="AJ186" s="154"/>
      <c r="AK186" s="154"/>
      <c r="AL186" s="154"/>
      <c r="AM186" s="154"/>
      <c r="AN186" s="154"/>
      <c r="AO186" s="154"/>
      <c r="AP186" s="156"/>
      <c r="AQ186" s="154"/>
      <c r="AR186" s="156"/>
      <c r="AS186" s="154"/>
      <c r="AT186" s="154"/>
      <c r="AU186" s="154"/>
      <c r="AV186" s="154"/>
      <c r="AW186" s="154"/>
      <c r="AX186" s="154"/>
      <c r="AY186" s="154"/>
      <c r="AZ186" s="154"/>
      <c r="BA186" s="154"/>
      <c r="BB186" s="154"/>
      <c r="BC186" s="154"/>
      <c r="BD186" s="154"/>
      <c r="BE186" s="154"/>
      <c r="BF186" s="154"/>
      <c r="BG186" s="154"/>
      <c r="BH186" s="154"/>
      <c r="BI186" s="154"/>
      <c r="BJ186" s="154"/>
      <c r="BK186" s="154"/>
      <c r="BL186" s="163"/>
      <c r="BM186" s="163"/>
      <c r="BN186" s="163"/>
    </row>
    <row r="187" spans="1:66" ht="15.75" customHeight="1">
      <c r="A187" s="154"/>
      <c r="B187" s="155"/>
      <c r="C187" s="156"/>
      <c r="D187" s="154"/>
      <c r="E187" s="154"/>
      <c r="F187" s="154"/>
      <c r="G187" s="154"/>
      <c r="H187" s="154"/>
      <c r="I187" s="154"/>
      <c r="J187" s="154"/>
      <c r="K187" s="154"/>
      <c r="L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H187" s="154"/>
      <c r="AI187" s="154"/>
      <c r="AJ187" s="154"/>
      <c r="AK187" s="154"/>
      <c r="AL187" s="154"/>
      <c r="AM187" s="154"/>
      <c r="AN187" s="154"/>
      <c r="AO187" s="154"/>
      <c r="AP187" s="156"/>
      <c r="AQ187" s="154"/>
      <c r="AR187" s="156"/>
      <c r="AS187" s="154"/>
      <c r="AT187" s="154"/>
      <c r="AU187" s="154"/>
      <c r="AV187" s="154"/>
      <c r="AW187" s="154"/>
      <c r="AX187" s="154"/>
      <c r="AY187" s="154"/>
      <c r="AZ187" s="154"/>
      <c r="BA187" s="154"/>
      <c r="BB187" s="154"/>
      <c r="BC187" s="154"/>
      <c r="BD187" s="154"/>
      <c r="BE187" s="154"/>
      <c r="BF187" s="154"/>
      <c r="BG187" s="154"/>
      <c r="BH187" s="154"/>
      <c r="BI187" s="154"/>
      <c r="BJ187" s="154"/>
      <c r="BK187" s="154"/>
      <c r="BL187" s="163"/>
      <c r="BM187" s="163"/>
      <c r="BN187" s="163"/>
    </row>
    <row r="188" spans="1:66" ht="15.75" customHeight="1">
      <c r="A188" s="154"/>
      <c r="B188" s="155"/>
      <c r="C188" s="156"/>
      <c r="D188" s="154"/>
      <c r="E188" s="154"/>
      <c r="F188" s="154"/>
      <c r="G188" s="154"/>
      <c r="H188" s="154"/>
      <c r="I188" s="154"/>
      <c r="J188" s="154"/>
      <c r="K188" s="154"/>
      <c r="L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H188" s="154"/>
      <c r="AI188" s="154"/>
      <c r="AJ188" s="154"/>
      <c r="AK188" s="154"/>
      <c r="AL188" s="154"/>
      <c r="AM188" s="154"/>
      <c r="AN188" s="154"/>
      <c r="AO188" s="154"/>
      <c r="AP188" s="156"/>
      <c r="AQ188" s="154"/>
      <c r="AR188" s="156"/>
      <c r="AS188" s="154"/>
      <c r="AT188" s="154"/>
      <c r="AU188" s="154"/>
      <c r="AV188" s="154"/>
      <c r="AW188" s="154"/>
      <c r="AX188" s="154"/>
      <c r="AY188" s="154"/>
      <c r="AZ188" s="154"/>
      <c r="BA188" s="154"/>
      <c r="BB188" s="154"/>
      <c r="BC188" s="154"/>
      <c r="BD188" s="154"/>
      <c r="BE188" s="154"/>
      <c r="BF188" s="154"/>
      <c r="BG188" s="154"/>
      <c r="BH188" s="154"/>
      <c r="BI188" s="154"/>
      <c r="BJ188" s="154"/>
      <c r="BK188" s="154"/>
      <c r="BL188" s="163"/>
      <c r="BM188" s="163"/>
      <c r="BN188" s="163"/>
    </row>
    <row r="189" spans="1:66" ht="15.75" customHeight="1">
      <c r="A189" s="154"/>
      <c r="B189" s="155"/>
      <c r="C189" s="156"/>
      <c r="D189" s="154"/>
      <c r="E189" s="154"/>
      <c r="F189" s="154"/>
      <c r="G189" s="154"/>
      <c r="H189" s="154"/>
      <c r="I189" s="154"/>
      <c r="J189" s="154"/>
      <c r="K189" s="154"/>
      <c r="L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H189" s="154"/>
      <c r="AI189" s="154"/>
      <c r="AJ189" s="154"/>
      <c r="AK189" s="154"/>
      <c r="AL189" s="154"/>
      <c r="AM189" s="154"/>
      <c r="AN189" s="154"/>
      <c r="AO189" s="154"/>
      <c r="AP189" s="156"/>
      <c r="AQ189" s="154"/>
      <c r="AR189" s="156"/>
      <c r="AS189" s="154"/>
      <c r="AT189" s="154"/>
      <c r="AU189" s="154"/>
      <c r="AV189" s="154"/>
      <c r="AW189" s="154"/>
      <c r="AX189" s="154"/>
      <c r="AY189" s="154"/>
      <c r="AZ189" s="154"/>
      <c r="BA189" s="154"/>
      <c r="BB189" s="154"/>
      <c r="BC189" s="154"/>
      <c r="BD189" s="154"/>
      <c r="BE189" s="154"/>
      <c r="BF189" s="154"/>
      <c r="BG189" s="154"/>
      <c r="BH189" s="154"/>
      <c r="BI189" s="154"/>
      <c r="BJ189" s="154"/>
      <c r="BK189" s="154"/>
      <c r="BL189" s="163"/>
      <c r="BM189" s="163"/>
      <c r="BN189" s="163"/>
    </row>
    <row r="190" spans="1:66" ht="15.75" customHeight="1">
      <c r="A190" s="154"/>
      <c r="B190" s="155"/>
      <c r="C190" s="156"/>
      <c r="D190" s="154"/>
      <c r="E190" s="154"/>
      <c r="F190" s="154"/>
      <c r="G190" s="154"/>
      <c r="H190" s="154"/>
      <c r="I190" s="154"/>
      <c r="J190" s="154"/>
      <c r="K190" s="154"/>
      <c r="L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H190" s="154"/>
      <c r="AI190" s="154"/>
      <c r="AJ190" s="154"/>
      <c r="AK190" s="154"/>
      <c r="AL190" s="154"/>
      <c r="AM190" s="154"/>
      <c r="AN190" s="154"/>
      <c r="AO190" s="154"/>
      <c r="AP190" s="156"/>
      <c r="AQ190" s="154"/>
      <c r="AR190" s="156"/>
      <c r="AS190" s="154"/>
      <c r="AT190" s="154"/>
      <c r="AU190" s="154"/>
      <c r="AV190" s="154"/>
      <c r="AW190" s="154"/>
      <c r="AX190" s="154"/>
      <c r="AY190" s="154"/>
      <c r="AZ190" s="154"/>
      <c r="BA190" s="154"/>
      <c r="BB190" s="154"/>
      <c r="BC190" s="154"/>
      <c r="BD190" s="154"/>
      <c r="BE190" s="154"/>
      <c r="BF190" s="154"/>
      <c r="BG190" s="154"/>
      <c r="BH190" s="154"/>
      <c r="BI190" s="154"/>
      <c r="BJ190" s="154"/>
      <c r="BK190" s="154"/>
      <c r="BL190" s="163"/>
      <c r="BM190" s="163"/>
      <c r="BN190" s="163"/>
    </row>
    <row r="191" spans="1:66" ht="15.75" customHeight="1">
      <c r="A191" s="154"/>
      <c r="B191" s="155"/>
      <c r="C191" s="156"/>
      <c r="D191" s="154"/>
      <c r="E191" s="154"/>
      <c r="F191" s="154"/>
      <c r="G191" s="154"/>
      <c r="H191" s="154"/>
      <c r="I191" s="154"/>
      <c r="J191" s="154"/>
      <c r="K191" s="154"/>
      <c r="L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H191" s="154"/>
      <c r="AI191" s="154"/>
      <c r="AJ191" s="154"/>
      <c r="AK191" s="154"/>
      <c r="AL191" s="154"/>
      <c r="AM191" s="154"/>
      <c r="AN191" s="154"/>
      <c r="AO191" s="154"/>
      <c r="AP191" s="156"/>
      <c r="AQ191" s="154"/>
      <c r="AR191" s="156"/>
      <c r="AS191" s="154"/>
      <c r="AT191" s="154"/>
      <c r="AU191" s="154"/>
      <c r="AV191" s="154"/>
      <c r="AW191" s="154"/>
      <c r="AX191" s="154"/>
      <c r="AY191" s="154"/>
      <c r="AZ191" s="154"/>
      <c r="BA191" s="154"/>
      <c r="BB191" s="154"/>
      <c r="BC191" s="154"/>
      <c r="BD191" s="154"/>
      <c r="BE191" s="154"/>
      <c r="BF191" s="154"/>
      <c r="BG191" s="154"/>
      <c r="BH191" s="154"/>
      <c r="BI191" s="154"/>
      <c r="BJ191" s="154"/>
      <c r="BK191" s="154"/>
      <c r="BL191" s="163"/>
      <c r="BM191" s="163"/>
      <c r="BN191" s="163"/>
    </row>
    <row r="192" spans="1:66" ht="15.75" customHeight="1">
      <c r="A192" s="154"/>
      <c r="B192" s="155"/>
      <c r="C192" s="156"/>
      <c r="D192" s="154"/>
      <c r="E192" s="154"/>
      <c r="F192" s="154"/>
      <c r="G192" s="154"/>
      <c r="H192" s="154"/>
      <c r="I192" s="154"/>
      <c r="J192" s="154"/>
      <c r="K192" s="154"/>
      <c r="L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H192" s="154"/>
      <c r="AI192" s="154"/>
      <c r="AJ192" s="154"/>
      <c r="AK192" s="154"/>
      <c r="AL192" s="154"/>
      <c r="AM192" s="154"/>
      <c r="AN192" s="154"/>
      <c r="AO192" s="154"/>
      <c r="AP192" s="156"/>
      <c r="AQ192" s="154"/>
      <c r="AR192" s="156"/>
      <c r="AS192" s="154"/>
      <c r="AT192" s="154"/>
      <c r="AU192" s="154"/>
      <c r="AV192" s="154"/>
      <c r="AW192" s="154"/>
      <c r="AX192" s="154"/>
      <c r="AY192" s="154"/>
      <c r="AZ192" s="154"/>
      <c r="BA192" s="154"/>
      <c r="BB192" s="154"/>
      <c r="BC192" s="154"/>
      <c r="BD192" s="154"/>
      <c r="BE192" s="154"/>
      <c r="BF192" s="154"/>
      <c r="BG192" s="154"/>
      <c r="BH192" s="154"/>
      <c r="BI192" s="154"/>
      <c r="BJ192" s="154"/>
      <c r="BK192" s="154"/>
      <c r="BL192" s="163"/>
      <c r="BM192" s="163"/>
      <c r="BN192" s="163"/>
    </row>
    <row r="193" spans="1:66" ht="15.75" customHeight="1">
      <c r="A193" s="154"/>
      <c r="B193" s="155"/>
      <c r="C193" s="156"/>
      <c r="D193" s="154"/>
      <c r="E193" s="154"/>
      <c r="F193" s="154"/>
      <c r="G193" s="154"/>
      <c r="H193" s="154"/>
      <c r="I193" s="154"/>
      <c r="J193" s="154"/>
      <c r="K193" s="154"/>
      <c r="L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H193" s="154"/>
      <c r="AI193" s="154"/>
      <c r="AJ193" s="154"/>
      <c r="AK193" s="154"/>
      <c r="AL193" s="154"/>
      <c r="AM193" s="154"/>
      <c r="AN193" s="154"/>
      <c r="AO193" s="154"/>
      <c r="AP193" s="156"/>
      <c r="AQ193" s="154"/>
      <c r="AR193" s="156"/>
      <c r="AS193" s="154"/>
      <c r="AT193" s="154"/>
      <c r="AU193" s="154"/>
      <c r="AV193" s="154"/>
      <c r="AW193" s="154"/>
      <c r="AX193" s="154"/>
      <c r="AY193" s="154"/>
      <c r="AZ193" s="154"/>
      <c r="BA193" s="154"/>
      <c r="BB193" s="154"/>
      <c r="BC193" s="154"/>
      <c r="BD193" s="154"/>
      <c r="BE193" s="154"/>
      <c r="BF193" s="154"/>
      <c r="BG193" s="154"/>
      <c r="BH193" s="154"/>
      <c r="BI193" s="154"/>
      <c r="BJ193" s="154"/>
      <c r="BK193" s="154"/>
      <c r="BL193" s="163"/>
      <c r="BM193" s="163"/>
      <c r="BN193" s="163"/>
    </row>
    <row r="194" spans="1:66" ht="15.75" customHeight="1">
      <c r="A194" s="154"/>
      <c r="B194" s="155"/>
      <c r="C194" s="156"/>
      <c r="D194" s="154"/>
      <c r="E194" s="154"/>
      <c r="F194" s="154"/>
      <c r="G194" s="154"/>
      <c r="H194" s="154"/>
      <c r="I194" s="154"/>
      <c r="J194" s="154"/>
      <c r="K194" s="154"/>
      <c r="L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H194" s="154"/>
      <c r="AI194" s="154"/>
      <c r="AJ194" s="154"/>
      <c r="AK194" s="154"/>
      <c r="AL194" s="154"/>
      <c r="AM194" s="154"/>
      <c r="AN194" s="154"/>
      <c r="AO194" s="154"/>
      <c r="AP194" s="156"/>
      <c r="AQ194" s="154"/>
      <c r="AR194" s="156"/>
      <c r="AS194" s="154"/>
      <c r="AT194" s="154"/>
      <c r="AU194" s="154"/>
      <c r="AV194" s="154"/>
      <c r="AW194" s="154"/>
      <c r="AX194" s="154"/>
      <c r="AY194" s="154"/>
      <c r="AZ194" s="154"/>
      <c r="BA194" s="154"/>
      <c r="BB194" s="154"/>
      <c r="BC194" s="154"/>
      <c r="BD194" s="154"/>
      <c r="BE194" s="154"/>
      <c r="BF194" s="154"/>
      <c r="BG194" s="154"/>
      <c r="BH194" s="154"/>
      <c r="BI194" s="154"/>
      <c r="BJ194" s="154"/>
      <c r="BK194" s="154"/>
      <c r="BL194" s="163"/>
      <c r="BM194" s="163"/>
      <c r="BN194" s="163"/>
    </row>
    <row r="195" spans="1:66" ht="15.75" customHeight="1">
      <c r="A195" s="154"/>
      <c r="B195" s="155"/>
      <c r="C195" s="156"/>
      <c r="D195" s="154"/>
      <c r="E195" s="154"/>
      <c r="F195" s="154"/>
      <c r="G195" s="154"/>
      <c r="H195" s="154"/>
      <c r="I195" s="154"/>
      <c r="J195" s="154"/>
      <c r="K195" s="154"/>
      <c r="L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H195" s="154"/>
      <c r="AI195" s="154"/>
      <c r="AJ195" s="154"/>
      <c r="AK195" s="154"/>
      <c r="AL195" s="154"/>
      <c r="AM195" s="154"/>
      <c r="AN195" s="154"/>
      <c r="AO195" s="154"/>
      <c r="AP195" s="156"/>
      <c r="AQ195" s="154"/>
      <c r="AR195" s="156"/>
      <c r="AS195" s="154"/>
      <c r="AT195" s="154"/>
      <c r="AU195" s="154"/>
      <c r="AV195" s="154"/>
      <c r="AW195" s="154"/>
      <c r="AX195" s="154"/>
      <c r="AY195" s="154"/>
      <c r="AZ195" s="154"/>
      <c r="BA195" s="154"/>
      <c r="BB195" s="154"/>
      <c r="BC195" s="154"/>
      <c r="BD195" s="154"/>
      <c r="BE195" s="154"/>
      <c r="BF195" s="154"/>
      <c r="BG195" s="154"/>
      <c r="BH195" s="154"/>
      <c r="BI195" s="154"/>
      <c r="BJ195" s="154"/>
      <c r="BK195" s="154"/>
      <c r="BL195" s="163"/>
      <c r="BM195" s="163"/>
      <c r="BN195" s="163"/>
    </row>
    <row r="196" spans="1:66" ht="15.75" customHeight="1">
      <c r="A196" s="154"/>
      <c r="B196" s="155"/>
      <c r="C196" s="156"/>
      <c r="D196" s="154"/>
      <c r="E196" s="154"/>
      <c r="F196" s="154"/>
      <c r="G196" s="154"/>
      <c r="H196" s="154"/>
      <c r="I196" s="154"/>
      <c r="J196" s="154"/>
      <c r="K196" s="154"/>
      <c r="L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H196" s="154"/>
      <c r="AI196" s="154"/>
      <c r="AJ196" s="154"/>
      <c r="AK196" s="154"/>
      <c r="AL196" s="154"/>
      <c r="AM196" s="154"/>
      <c r="AN196" s="154"/>
      <c r="AO196" s="154"/>
      <c r="AP196" s="156"/>
      <c r="AQ196" s="154"/>
      <c r="AR196" s="156"/>
      <c r="AS196" s="154"/>
      <c r="AT196" s="154"/>
      <c r="AU196" s="154"/>
      <c r="AV196" s="154"/>
      <c r="AW196" s="154"/>
      <c r="AX196" s="154"/>
      <c r="AY196" s="154"/>
      <c r="AZ196" s="154"/>
      <c r="BA196" s="154"/>
      <c r="BB196" s="154"/>
      <c r="BC196" s="154"/>
      <c r="BD196" s="154"/>
      <c r="BE196" s="154"/>
      <c r="BF196" s="154"/>
      <c r="BG196" s="154"/>
      <c r="BH196" s="154"/>
      <c r="BI196" s="154"/>
      <c r="BJ196" s="154"/>
      <c r="BK196" s="154"/>
      <c r="BL196" s="163"/>
      <c r="BM196" s="163"/>
      <c r="BN196" s="163"/>
    </row>
    <row r="197" spans="1:66" ht="15.75" customHeight="1">
      <c r="A197" s="154"/>
      <c r="B197" s="155"/>
      <c r="C197" s="156"/>
      <c r="D197" s="154"/>
      <c r="E197" s="154"/>
      <c r="F197" s="154"/>
      <c r="G197" s="154"/>
      <c r="H197" s="154"/>
      <c r="I197" s="154"/>
      <c r="J197" s="154"/>
      <c r="K197" s="154"/>
      <c r="L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H197" s="154"/>
      <c r="AI197" s="154"/>
      <c r="AJ197" s="154"/>
      <c r="AK197" s="154"/>
      <c r="AL197" s="154"/>
      <c r="AM197" s="154"/>
      <c r="AN197" s="154"/>
      <c r="AO197" s="154"/>
      <c r="AP197" s="156"/>
      <c r="AQ197" s="154"/>
      <c r="AR197" s="156"/>
      <c r="AS197" s="154"/>
      <c r="AT197" s="154"/>
      <c r="AU197" s="154"/>
      <c r="AV197" s="154"/>
      <c r="AW197" s="154"/>
      <c r="AX197" s="154"/>
      <c r="AY197" s="154"/>
      <c r="AZ197" s="154"/>
      <c r="BA197" s="154"/>
      <c r="BB197" s="154"/>
      <c r="BC197" s="154"/>
      <c r="BD197" s="154"/>
      <c r="BE197" s="154"/>
      <c r="BF197" s="154"/>
      <c r="BG197" s="154"/>
      <c r="BH197" s="154"/>
      <c r="BI197" s="154"/>
      <c r="BJ197" s="154"/>
      <c r="BK197" s="154"/>
      <c r="BL197" s="163"/>
      <c r="BM197" s="163"/>
      <c r="BN197" s="163"/>
    </row>
    <row r="198" spans="1:66" ht="15.75" customHeight="1">
      <c r="A198" s="154"/>
      <c r="B198" s="155"/>
      <c r="C198" s="156"/>
      <c r="D198" s="154"/>
      <c r="E198" s="154"/>
      <c r="F198" s="154"/>
      <c r="G198" s="154"/>
      <c r="H198" s="154"/>
      <c r="I198" s="154"/>
      <c r="J198" s="154"/>
      <c r="K198" s="154"/>
      <c r="L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H198" s="154"/>
      <c r="AI198" s="154"/>
      <c r="AJ198" s="154"/>
      <c r="AK198" s="154"/>
      <c r="AL198" s="154"/>
      <c r="AM198" s="154"/>
      <c r="AN198" s="154"/>
      <c r="AO198" s="154"/>
      <c r="AP198" s="156"/>
      <c r="AQ198" s="154"/>
      <c r="AR198" s="156"/>
      <c r="AS198" s="154"/>
      <c r="AT198" s="154"/>
      <c r="AU198" s="154"/>
      <c r="AV198" s="154"/>
      <c r="AW198" s="154"/>
      <c r="AX198" s="154"/>
      <c r="AY198" s="154"/>
      <c r="AZ198" s="154"/>
      <c r="BA198" s="154"/>
      <c r="BB198" s="154"/>
      <c r="BC198" s="154"/>
      <c r="BD198" s="154"/>
      <c r="BE198" s="154"/>
      <c r="BF198" s="154"/>
      <c r="BG198" s="154"/>
      <c r="BH198" s="154"/>
      <c r="BI198" s="154"/>
      <c r="BJ198" s="154"/>
      <c r="BK198" s="154"/>
      <c r="BL198" s="163"/>
      <c r="BM198" s="163"/>
      <c r="BN198" s="163"/>
    </row>
    <row r="199" spans="1:66" ht="15.75" customHeight="1">
      <c r="A199" s="154"/>
      <c r="B199" s="155"/>
      <c r="C199" s="156"/>
      <c r="D199" s="154"/>
      <c r="E199" s="154"/>
      <c r="F199" s="154"/>
      <c r="G199" s="154"/>
      <c r="H199" s="154"/>
      <c r="I199" s="154"/>
      <c r="J199" s="154"/>
      <c r="K199" s="154"/>
      <c r="L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H199" s="154"/>
      <c r="AI199" s="154"/>
      <c r="AJ199" s="154"/>
      <c r="AK199" s="154"/>
      <c r="AL199" s="154"/>
      <c r="AM199" s="154"/>
      <c r="AN199" s="154"/>
      <c r="AO199" s="154"/>
      <c r="AP199" s="156"/>
      <c r="AQ199" s="154"/>
      <c r="AR199" s="156"/>
      <c r="AS199" s="154"/>
      <c r="AT199" s="154"/>
      <c r="AU199" s="154"/>
      <c r="AV199" s="154"/>
      <c r="AW199" s="154"/>
      <c r="AX199" s="154"/>
      <c r="AY199" s="154"/>
      <c r="AZ199" s="154"/>
      <c r="BA199" s="154"/>
      <c r="BB199" s="154"/>
      <c r="BC199" s="154"/>
      <c r="BD199" s="154"/>
      <c r="BE199" s="154"/>
      <c r="BF199" s="154"/>
      <c r="BG199" s="154"/>
      <c r="BH199" s="154"/>
      <c r="BI199" s="154"/>
      <c r="BJ199" s="154"/>
      <c r="BK199" s="154"/>
      <c r="BL199" s="163"/>
      <c r="BM199" s="163"/>
      <c r="BN199" s="163"/>
    </row>
    <row r="200" spans="1:66" ht="15.75" customHeight="1">
      <c r="A200" s="154"/>
      <c r="B200" s="155"/>
      <c r="C200" s="156"/>
      <c r="D200" s="154"/>
      <c r="E200" s="154"/>
      <c r="F200" s="154"/>
      <c r="G200" s="154"/>
      <c r="H200" s="154"/>
      <c r="I200" s="154"/>
      <c r="J200" s="154"/>
      <c r="K200" s="154"/>
      <c r="L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H200" s="154"/>
      <c r="AI200" s="154"/>
      <c r="AJ200" s="154"/>
      <c r="AK200" s="154"/>
      <c r="AL200" s="154"/>
      <c r="AM200" s="154"/>
      <c r="AN200" s="154"/>
      <c r="AO200" s="154"/>
      <c r="AP200" s="156"/>
      <c r="AQ200" s="154"/>
      <c r="AR200" s="156"/>
      <c r="AS200" s="154"/>
      <c r="AT200" s="154"/>
      <c r="AU200" s="154"/>
      <c r="AV200" s="154"/>
      <c r="AW200" s="154"/>
      <c r="AX200" s="154"/>
      <c r="AY200" s="154"/>
      <c r="AZ200" s="154"/>
      <c r="BA200" s="154"/>
      <c r="BB200" s="154"/>
      <c r="BC200" s="154"/>
      <c r="BD200" s="154"/>
      <c r="BE200" s="154"/>
      <c r="BF200" s="154"/>
      <c r="BG200" s="154"/>
      <c r="BH200" s="154"/>
      <c r="BI200" s="154"/>
      <c r="BJ200" s="154"/>
      <c r="BK200" s="154"/>
      <c r="BL200" s="163"/>
      <c r="BM200" s="163"/>
      <c r="BN200" s="163"/>
    </row>
    <row r="201" spans="1:66" ht="15.75" customHeight="1">
      <c r="A201" s="154"/>
      <c r="B201" s="155"/>
      <c r="C201" s="156"/>
      <c r="D201" s="154"/>
      <c r="E201" s="154"/>
      <c r="F201" s="154"/>
      <c r="G201" s="154"/>
      <c r="H201" s="154"/>
      <c r="I201" s="154"/>
      <c r="J201" s="154"/>
      <c r="K201" s="154"/>
      <c r="L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H201" s="154"/>
      <c r="AI201" s="154"/>
      <c r="AJ201" s="154"/>
      <c r="AK201" s="154"/>
      <c r="AL201" s="154"/>
      <c r="AM201" s="154"/>
      <c r="AN201" s="154"/>
      <c r="AO201" s="154"/>
      <c r="AP201" s="156"/>
      <c r="AQ201" s="154"/>
      <c r="AR201" s="156"/>
      <c r="AS201" s="154"/>
      <c r="AT201" s="154"/>
      <c r="AU201" s="154"/>
      <c r="AV201" s="154"/>
      <c r="AW201" s="154"/>
      <c r="AX201" s="154"/>
      <c r="AY201" s="154"/>
      <c r="AZ201" s="154"/>
      <c r="BA201" s="154"/>
      <c r="BB201" s="154"/>
      <c r="BC201" s="154"/>
      <c r="BD201" s="154"/>
      <c r="BE201" s="154"/>
      <c r="BF201" s="154"/>
      <c r="BG201" s="154"/>
      <c r="BH201" s="154"/>
      <c r="BI201" s="154"/>
      <c r="BJ201" s="154"/>
      <c r="BK201" s="154"/>
      <c r="BL201" s="163"/>
      <c r="BM201" s="163"/>
      <c r="BN201" s="163"/>
    </row>
    <row r="202" spans="1:66" ht="15.75" customHeight="1">
      <c r="A202" s="154"/>
      <c r="B202" s="155"/>
      <c r="C202" s="156"/>
      <c r="D202" s="154"/>
      <c r="E202" s="154"/>
      <c r="F202" s="154"/>
      <c r="G202" s="154"/>
      <c r="H202" s="154"/>
      <c r="I202" s="154"/>
      <c r="J202" s="154"/>
      <c r="K202" s="154"/>
      <c r="L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H202" s="154"/>
      <c r="AI202" s="154"/>
      <c r="AJ202" s="154"/>
      <c r="AK202" s="154"/>
      <c r="AL202" s="154"/>
      <c r="AM202" s="154"/>
      <c r="AN202" s="154"/>
      <c r="AO202" s="154"/>
      <c r="AP202" s="156"/>
      <c r="AQ202" s="154"/>
      <c r="AR202" s="156"/>
      <c r="AS202" s="154"/>
      <c r="AT202" s="154"/>
      <c r="AU202" s="154"/>
      <c r="AV202" s="154"/>
      <c r="AW202" s="154"/>
      <c r="AX202" s="154"/>
      <c r="AY202" s="154"/>
      <c r="AZ202" s="154"/>
      <c r="BA202" s="154"/>
      <c r="BB202" s="154"/>
      <c r="BC202" s="154"/>
      <c r="BD202" s="154"/>
      <c r="BE202" s="154"/>
      <c r="BF202" s="154"/>
      <c r="BG202" s="154"/>
      <c r="BH202" s="154"/>
      <c r="BI202" s="154"/>
      <c r="BJ202" s="154"/>
      <c r="BK202" s="154"/>
      <c r="BL202" s="163"/>
      <c r="BM202" s="163"/>
      <c r="BN202" s="163"/>
    </row>
    <row r="203" spans="1:66" ht="15.75" customHeight="1">
      <c r="A203" s="154"/>
      <c r="B203" s="155"/>
      <c r="C203" s="156"/>
      <c r="D203" s="154"/>
      <c r="E203" s="154"/>
      <c r="F203" s="154"/>
      <c r="G203" s="154"/>
      <c r="H203" s="154"/>
      <c r="I203" s="154"/>
      <c r="J203" s="154"/>
      <c r="K203" s="154"/>
      <c r="L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H203" s="154"/>
      <c r="AI203" s="154"/>
      <c r="AJ203" s="154"/>
      <c r="AK203" s="154"/>
      <c r="AL203" s="154"/>
      <c r="AM203" s="154"/>
      <c r="AN203" s="154"/>
      <c r="AO203" s="154"/>
      <c r="AP203" s="156"/>
      <c r="AQ203" s="154"/>
      <c r="AR203" s="156"/>
      <c r="AS203" s="154"/>
      <c r="AT203" s="154"/>
      <c r="AU203" s="154"/>
      <c r="AV203" s="154"/>
      <c r="AW203" s="154"/>
      <c r="AX203" s="154"/>
      <c r="AY203" s="154"/>
      <c r="AZ203" s="154"/>
      <c r="BA203" s="154"/>
      <c r="BB203" s="154"/>
      <c r="BC203" s="154"/>
      <c r="BD203" s="154"/>
      <c r="BE203" s="154"/>
      <c r="BF203" s="154"/>
      <c r="BG203" s="154"/>
      <c r="BH203" s="154"/>
      <c r="BI203" s="154"/>
      <c r="BJ203" s="154"/>
      <c r="BK203" s="154"/>
      <c r="BL203" s="163"/>
      <c r="BM203" s="163"/>
      <c r="BN203" s="163"/>
    </row>
    <row r="204" spans="1:66" ht="15.75" customHeight="1">
      <c r="A204" s="154"/>
      <c r="B204" s="155"/>
      <c r="C204" s="156"/>
      <c r="D204" s="154"/>
      <c r="E204" s="154"/>
      <c r="F204" s="154"/>
      <c r="G204" s="154"/>
      <c r="H204" s="154"/>
      <c r="I204" s="154"/>
      <c r="J204" s="154"/>
      <c r="K204" s="154"/>
      <c r="L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H204" s="154"/>
      <c r="AI204" s="154"/>
      <c r="AJ204" s="154"/>
      <c r="AK204" s="154"/>
      <c r="AL204" s="154"/>
      <c r="AM204" s="154"/>
      <c r="AN204" s="154"/>
      <c r="AO204" s="154"/>
      <c r="AP204" s="156"/>
      <c r="AQ204" s="154"/>
      <c r="AR204" s="156"/>
      <c r="AS204" s="154"/>
      <c r="AT204" s="154"/>
      <c r="AU204" s="154"/>
      <c r="AV204" s="154"/>
      <c r="AW204" s="154"/>
      <c r="AX204" s="154"/>
      <c r="AY204" s="154"/>
      <c r="AZ204" s="154"/>
      <c r="BA204" s="154"/>
      <c r="BB204" s="154"/>
      <c r="BC204" s="154"/>
      <c r="BD204" s="154"/>
      <c r="BE204" s="154"/>
      <c r="BF204" s="154"/>
      <c r="BG204" s="154"/>
      <c r="BH204" s="154"/>
      <c r="BI204" s="154"/>
      <c r="BJ204" s="154"/>
      <c r="BK204" s="154"/>
      <c r="BL204" s="163"/>
      <c r="BM204" s="163"/>
      <c r="BN204" s="163"/>
    </row>
    <row r="205" spans="1:66" ht="15.75" customHeight="1">
      <c r="A205" s="154"/>
      <c r="B205" s="155"/>
      <c r="C205" s="156"/>
      <c r="D205" s="154"/>
      <c r="E205" s="154"/>
      <c r="F205" s="154"/>
      <c r="G205" s="154"/>
      <c r="H205" s="154"/>
      <c r="I205" s="154"/>
      <c r="J205" s="154"/>
      <c r="K205" s="154"/>
      <c r="L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H205" s="154"/>
      <c r="AI205" s="154"/>
      <c r="AJ205" s="154"/>
      <c r="AK205" s="154"/>
      <c r="AL205" s="154"/>
      <c r="AM205" s="154"/>
      <c r="AN205" s="154"/>
      <c r="AO205" s="154"/>
      <c r="AP205" s="156"/>
      <c r="AQ205" s="154"/>
      <c r="AR205" s="156"/>
      <c r="AS205" s="154"/>
      <c r="AT205" s="154"/>
      <c r="AU205" s="154"/>
      <c r="AV205" s="154"/>
      <c r="AW205" s="154"/>
      <c r="AX205" s="154"/>
      <c r="AY205" s="154"/>
      <c r="AZ205" s="154"/>
      <c r="BA205" s="154"/>
      <c r="BB205" s="154"/>
      <c r="BC205" s="154"/>
      <c r="BD205" s="154"/>
      <c r="BE205" s="154"/>
      <c r="BF205" s="154"/>
      <c r="BG205" s="154"/>
      <c r="BH205" s="154"/>
      <c r="BI205" s="154"/>
      <c r="BJ205" s="154"/>
      <c r="BK205" s="154"/>
      <c r="BL205" s="163"/>
      <c r="BM205" s="163"/>
      <c r="BN205" s="163"/>
    </row>
    <row r="206" spans="1:66" ht="15.75" customHeight="1">
      <c r="A206" s="154"/>
      <c r="B206" s="155"/>
      <c r="C206" s="156"/>
      <c r="D206" s="154"/>
      <c r="E206" s="154"/>
      <c r="F206" s="154"/>
      <c r="G206" s="154"/>
      <c r="H206" s="154"/>
      <c r="I206" s="154"/>
      <c r="J206" s="154"/>
      <c r="K206" s="154"/>
      <c r="L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H206" s="154"/>
      <c r="AI206" s="154"/>
      <c r="AJ206" s="154"/>
      <c r="AK206" s="154"/>
      <c r="AL206" s="154"/>
      <c r="AM206" s="154"/>
      <c r="AN206" s="154"/>
      <c r="AO206" s="154"/>
      <c r="AP206" s="156"/>
      <c r="AQ206" s="154"/>
      <c r="AR206" s="156"/>
      <c r="AS206" s="154"/>
      <c r="AT206" s="154"/>
      <c r="AU206" s="154"/>
      <c r="AV206" s="154"/>
      <c r="AW206" s="154"/>
      <c r="AX206" s="154"/>
      <c r="AY206" s="154"/>
      <c r="AZ206" s="154"/>
      <c r="BA206" s="154"/>
      <c r="BB206" s="154"/>
      <c r="BC206" s="154"/>
      <c r="BD206" s="154"/>
      <c r="BE206" s="154"/>
      <c r="BF206" s="154"/>
      <c r="BG206" s="154"/>
      <c r="BH206" s="154"/>
      <c r="BI206" s="154"/>
      <c r="BJ206" s="154"/>
      <c r="BK206" s="154"/>
      <c r="BL206" s="163"/>
      <c r="BM206" s="163"/>
      <c r="BN206" s="163"/>
    </row>
    <row r="207" spans="1:66" ht="15.75" customHeight="1">
      <c r="A207" s="154"/>
      <c r="B207" s="155"/>
      <c r="C207" s="156"/>
      <c r="D207" s="154"/>
      <c r="E207" s="154"/>
      <c r="F207" s="154"/>
      <c r="G207" s="154"/>
      <c r="H207" s="154"/>
      <c r="I207" s="154"/>
      <c r="J207" s="154"/>
      <c r="K207" s="154"/>
      <c r="L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H207" s="154"/>
      <c r="AI207" s="154"/>
      <c r="AJ207" s="154"/>
      <c r="AK207" s="154"/>
      <c r="AL207" s="154"/>
      <c r="AM207" s="154"/>
      <c r="AN207" s="154"/>
      <c r="AO207" s="154"/>
      <c r="AP207" s="156"/>
      <c r="AQ207" s="154"/>
      <c r="AR207" s="156"/>
      <c r="AS207" s="154"/>
      <c r="AT207" s="154"/>
      <c r="AU207" s="154"/>
      <c r="AV207" s="154"/>
      <c r="AW207" s="154"/>
      <c r="AX207" s="154"/>
      <c r="AY207" s="154"/>
      <c r="AZ207" s="154"/>
      <c r="BA207" s="154"/>
      <c r="BB207" s="154"/>
      <c r="BC207" s="154"/>
      <c r="BD207" s="154"/>
      <c r="BE207" s="154"/>
      <c r="BF207" s="154"/>
      <c r="BG207" s="154"/>
      <c r="BH207" s="154"/>
      <c r="BI207" s="154"/>
      <c r="BJ207" s="154"/>
      <c r="BK207" s="154"/>
      <c r="BL207" s="163"/>
      <c r="BM207" s="163"/>
      <c r="BN207" s="163"/>
    </row>
    <row r="208" spans="1:66" ht="15.75" customHeight="1">
      <c r="A208" s="154"/>
      <c r="B208" s="155"/>
      <c r="C208" s="156"/>
      <c r="D208" s="154"/>
      <c r="E208" s="154"/>
      <c r="F208" s="154"/>
      <c r="G208" s="154"/>
      <c r="H208" s="154"/>
      <c r="I208" s="154"/>
      <c r="J208" s="154"/>
      <c r="K208" s="154"/>
      <c r="L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H208" s="154"/>
      <c r="AI208" s="154"/>
      <c r="AJ208" s="154"/>
      <c r="AK208" s="154"/>
      <c r="AL208" s="154"/>
      <c r="AM208" s="154"/>
      <c r="AN208" s="154"/>
      <c r="AO208" s="154"/>
      <c r="AP208" s="156"/>
      <c r="AQ208" s="154"/>
      <c r="AR208" s="156"/>
      <c r="AS208" s="154"/>
      <c r="AT208" s="154"/>
      <c r="AU208" s="154"/>
      <c r="AV208" s="154"/>
      <c r="AW208" s="154"/>
      <c r="AX208" s="154"/>
      <c r="AY208" s="154"/>
      <c r="AZ208" s="154"/>
      <c r="BA208" s="154"/>
      <c r="BB208" s="154"/>
      <c r="BC208" s="154"/>
      <c r="BD208" s="154"/>
      <c r="BE208" s="154"/>
      <c r="BF208" s="154"/>
      <c r="BG208" s="154"/>
      <c r="BH208" s="154"/>
      <c r="BI208" s="154"/>
      <c r="BJ208" s="154"/>
      <c r="BK208" s="154"/>
      <c r="BL208" s="163"/>
      <c r="BM208" s="163"/>
      <c r="BN208" s="163"/>
    </row>
    <row r="209" spans="1:66" ht="15.75" customHeight="1">
      <c r="A209" s="154"/>
      <c r="B209" s="155"/>
      <c r="C209" s="156"/>
      <c r="D209" s="154"/>
      <c r="E209" s="154"/>
      <c r="F209" s="154"/>
      <c r="G209" s="154"/>
      <c r="H209" s="154"/>
      <c r="I209" s="154"/>
      <c r="J209" s="154"/>
      <c r="K209" s="154"/>
      <c r="L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H209" s="154"/>
      <c r="AI209" s="154"/>
      <c r="AJ209" s="154"/>
      <c r="AK209" s="154"/>
      <c r="AL209" s="154"/>
      <c r="AM209" s="154"/>
      <c r="AN209" s="154"/>
      <c r="AO209" s="154"/>
      <c r="AP209" s="156"/>
      <c r="AQ209" s="154"/>
      <c r="AR209" s="156"/>
      <c r="AS209" s="154"/>
      <c r="AT209" s="154"/>
      <c r="AU209" s="154"/>
      <c r="AV209" s="154"/>
      <c r="AW209" s="154"/>
      <c r="AX209" s="154"/>
      <c r="AY209" s="154"/>
      <c r="AZ209" s="154"/>
      <c r="BA209" s="154"/>
      <c r="BB209" s="154"/>
      <c r="BC209" s="154"/>
      <c r="BD209" s="154"/>
      <c r="BE209" s="154"/>
      <c r="BF209" s="154"/>
      <c r="BG209" s="154"/>
      <c r="BH209" s="154"/>
      <c r="BI209" s="154"/>
      <c r="BJ209" s="154"/>
      <c r="BK209" s="154"/>
      <c r="BL209" s="163"/>
      <c r="BM209" s="163"/>
      <c r="BN209" s="163"/>
    </row>
    <row r="210" spans="1:66" ht="15.75" customHeight="1">
      <c r="A210" s="154"/>
      <c r="B210" s="155"/>
      <c r="C210" s="156"/>
      <c r="D210" s="154"/>
      <c r="E210" s="154"/>
      <c r="F210" s="154"/>
      <c r="G210" s="154"/>
      <c r="H210" s="154"/>
      <c r="I210" s="154"/>
      <c r="J210" s="154"/>
      <c r="K210" s="154"/>
      <c r="L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H210" s="154"/>
      <c r="AI210" s="154"/>
      <c r="AJ210" s="154"/>
      <c r="AK210" s="154"/>
      <c r="AL210" s="154"/>
      <c r="AM210" s="154"/>
      <c r="AN210" s="154"/>
      <c r="AO210" s="154"/>
      <c r="AP210" s="156"/>
      <c r="AQ210" s="154"/>
      <c r="AR210" s="156"/>
      <c r="AS210" s="154"/>
      <c r="AT210" s="154"/>
      <c r="AU210" s="154"/>
      <c r="AV210" s="154"/>
      <c r="AW210" s="154"/>
      <c r="AX210" s="154"/>
      <c r="AY210" s="154"/>
      <c r="AZ210" s="154"/>
      <c r="BA210" s="154"/>
      <c r="BB210" s="154"/>
      <c r="BC210" s="154"/>
      <c r="BD210" s="154"/>
      <c r="BE210" s="154"/>
      <c r="BF210" s="154"/>
      <c r="BG210" s="154"/>
      <c r="BH210" s="154"/>
      <c r="BI210" s="154"/>
      <c r="BJ210" s="154"/>
      <c r="BK210" s="154"/>
      <c r="BL210" s="163"/>
      <c r="BM210" s="163"/>
      <c r="BN210" s="163"/>
    </row>
    <row r="211" spans="1:66" ht="15.75" customHeight="1">
      <c r="A211" s="154"/>
      <c r="B211" s="155"/>
      <c r="C211" s="156"/>
      <c r="D211" s="154"/>
      <c r="E211" s="154"/>
      <c r="F211" s="154"/>
      <c r="G211" s="154"/>
      <c r="H211" s="154"/>
      <c r="I211" s="154"/>
      <c r="J211" s="154"/>
      <c r="K211" s="154"/>
      <c r="L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H211" s="154"/>
      <c r="AI211" s="154"/>
      <c r="AJ211" s="154"/>
      <c r="AK211" s="154"/>
      <c r="AL211" s="154"/>
      <c r="AM211" s="154"/>
      <c r="AN211" s="154"/>
      <c r="AO211" s="154"/>
      <c r="AP211" s="156"/>
      <c r="AQ211" s="154"/>
      <c r="AR211" s="156"/>
      <c r="AS211" s="154"/>
      <c r="AT211" s="154"/>
      <c r="AU211" s="154"/>
      <c r="AV211" s="154"/>
      <c r="AW211" s="154"/>
      <c r="AX211" s="154"/>
      <c r="AY211" s="154"/>
      <c r="AZ211" s="154"/>
      <c r="BA211" s="154"/>
      <c r="BB211" s="154"/>
      <c r="BC211" s="154"/>
      <c r="BD211" s="154"/>
      <c r="BE211" s="154"/>
      <c r="BF211" s="154"/>
      <c r="BG211" s="154"/>
      <c r="BH211" s="154"/>
      <c r="BI211" s="154"/>
      <c r="BJ211" s="154"/>
      <c r="BK211" s="154"/>
      <c r="BL211" s="163"/>
      <c r="BM211" s="163"/>
      <c r="BN211" s="163"/>
    </row>
    <row r="212" spans="1:66" ht="15.75" customHeight="1">
      <c r="A212" s="154"/>
      <c r="B212" s="155"/>
      <c r="C212" s="156"/>
      <c r="D212" s="154"/>
      <c r="E212" s="154"/>
      <c r="F212" s="154"/>
      <c r="G212" s="154"/>
      <c r="H212" s="154"/>
      <c r="I212" s="154"/>
      <c r="J212" s="154"/>
      <c r="K212" s="154"/>
      <c r="L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H212" s="154"/>
      <c r="AI212" s="154"/>
      <c r="AJ212" s="154"/>
      <c r="AK212" s="154"/>
      <c r="AL212" s="154"/>
      <c r="AM212" s="154"/>
      <c r="AN212" s="154"/>
      <c r="AO212" s="154"/>
      <c r="AP212" s="156"/>
      <c r="AQ212" s="154"/>
      <c r="AR212" s="156"/>
      <c r="AS212" s="154"/>
      <c r="AT212" s="154"/>
      <c r="AU212" s="154"/>
      <c r="AV212" s="154"/>
      <c r="AW212" s="154"/>
      <c r="AX212" s="154"/>
      <c r="AY212" s="154"/>
      <c r="AZ212" s="154"/>
      <c r="BA212" s="154"/>
      <c r="BB212" s="154"/>
      <c r="BC212" s="154"/>
      <c r="BD212" s="154"/>
      <c r="BE212" s="154"/>
      <c r="BF212" s="154"/>
      <c r="BG212" s="154"/>
      <c r="BH212" s="154"/>
      <c r="BI212" s="154"/>
      <c r="BJ212" s="154"/>
      <c r="BK212" s="154"/>
      <c r="BL212" s="163"/>
      <c r="BM212" s="163"/>
      <c r="BN212" s="163"/>
    </row>
    <row r="213" spans="1:66" ht="15.75" customHeight="1">
      <c r="A213" s="154"/>
      <c r="B213" s="155"/>
      <c r="C213" s="156"/>
      <c r="D213" s="154"/>
      <c r="E213" s="154"/>
      <c r="F213" s="154"/>
      <c r="G213" s="154"/>
      <c r="H213" s="154"/>
      <c r="I213" s="154"/>
      <c r="J213" s="154"/>
      <c r="K213" s="154"/>
      <c r="L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H213" s="154"/>
      <c r="AI213" s="154"/>
      <c r="AJ213" s="154"/>
      <c r="AK213" s="154"/>
      <c r="AL213" s="154"/>
      <c r="AM213" s="154"/>
      <c r="AN213" s="154"/>
      <c r="AO213" s="154"/>
      <c r="AP213" s="156"/>
      <c r="AQ213" s="154"/>
      <c r="AR213" s="156"/>
      <c r="AS213" s="154"/>
      <c r="AT213" s="154"/>
      <c r="AU213" s="154"/>
      <c r="AV213" s="154"/>
      <c r="AW213" s="154"/>
      <c r="AX213" s="154"/>
      <c r="AY213" s="154"/>
      <c r="AZ213" s="154"/>
      <c r="BA213" s="154"/>
      <c r="BB213" s="154"/>
      <c r="BC213" s="154"/>
      <c r="BD213" s="154"/>
      <c r="BE213" s="154"/>
      <c r="BF213" s="154"/>
      <c r="BG213" s="154"/>
      <c r="BH213" s="154"/>
      <c r="BI213" s="154"/>
      <c r="BJ213" s="154"/>
      <c r="BK213" s="154"/>
      <c r="BL213" s="163"/>
      <c r="BM213" s="163"/>
      <c r="BN213" s="163"/>
    </row>
    <row r="214" spans="1:66" ht="15.75" customHeight="1">
      <c r="A214" s="154"/>
      <c r="B214" s="155"/>
      <c r="C214" s="156"/>
      <c r="D214" s="154"/>
      <c r="E214" s="154"/>
      <c r="F214" s="154"/>
      <c r="G214" s="154"/>
      <c r="H214" s="154"/>
      <c r="I214" s="154"/>
      <c r="J214" s="154"/>
      <c r="K214" s="154"/>
      <c r="L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H214" s="154"/>
      <c r="AI214" s="154"/>
      <c r="AJ214" s="154"/>
      <c r="AK214" s="154"/>
      <c r="AL214" s="154"/>
      <c r="AM214" s="154"/>
      <c r="AN214" s="154"/>
      <c r="AO214" s="154"/>
      <c r="AP214" s="156"/>
      <c r="AQ214" s="154"/>
      <c r="AR214" s="156"/>
      <c r="AS214" s="154"/>
      <c r="AT214" s="154"/>
      <c r="AU214" s="154"/>
      <c r="AV214" s="154"/>
      <c r="AW214" s="154"/>
      <c r="AX214" s="154"/>
      <c r="AY214" s="154"/>
      <c r="AZ214" s="154"/>
      <c r="BA214" s="154"/>
      <c r="BB214" s="154"/>
      <c r="BC214" s="154"/>
      <c r="BD214" s="154"/>
      <c r="BE214" s="154"/>
      <c r="BF214" s="154"/>
      <c r="BG214" s="154"/>
      <c r="BH214" s="154"/>
      <c r="BI214" s="154"/>
      <c r="BJ214" s="154"/>
      <c r="BK214" s="154"/>
      <c r="BL214" s="163"/>
      <c r="BM214" s="163"/>
      <c r="BN214" s="163"/>
    </row>
    <row r="215" spans="1:66" ht="15.75" customHeight="1">
      <c r="A215" s="154"/>
      <c r="B215" s="155"/>
      <c r="C215" s="156"/>
      <c r="D215" s="154"/>
      <c r="E215" s="154"/>
      <c r="F215" s="154"/>
      <c r="G215" s="154"/>
      <c r="H215" s="154"/>
      <c r="I215" s="154"/>
      <c r="J215" s="154"/>
      <c r="K215" s="154"/>
      <c r="L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H215" s="154"/>
      <c r="AI215" s="154"/>
      <c r="AJ215" s="154"/>
      <c r="AK215" s="154"/>
      <c r="AL215" s="154"/>
      <c r="AM215" s="154"/>
      <c r="AN215" s="154"/>
      <c r="AO215" s="154"/>
      <c r="AP215" s="156"/>
      <c r="AQ215" s="154"/>
      <c r="AR215" s="156"/>
      <c r="AS215" s="154"/>
      <c r="AT215" s="154"/>
      <c r="AU215" s="154"/>
      <c r="AV215" s="154"/>
      <c r="AW215" s="154"/>
      <c r="AX215" s="154"/>
      <c r="AY215" s="154"/>
      <c r="AZ215" s="154"/>
      <c r="BA215" s="154"/>
      <c r="BB215" s="154"/>
      <c r="BC215" s="154"/>
      <c r="BD215" s="154"/>
      <c r="BE215" s="154"/>
      <c r="BF215" s="154"/>
      <c r="BG215" s="154"/>
      <c r="BH215" s="154"/>
      <c r="BI215" s="154"/>
      <c r="BJ215" s="154"/>
      <c r="BK215" s="154"/>
      <c r="BL215" s="163"/>
      <c r="BM215" s="163"/>
      <c r="BN215" s="163"/>
    </row>
    <row r="216" spans="1:66" ht="15.75" customHeight="1">
      <c r="A216" s="154"/>
      <c r="B216" s="155"/>
      <c r="C216" s="156"/>
      <c r="D216" s="154"/>
      <c r="E216" s="154"/>
      <c r="F216" s="154"/>
      <c r="G216" s="154"/>
      <c r="H216" s="154"/>
      <c r="I216" s="154"/>
      <c r="J216" s="154"/>
      <c r="K216" s="154"/>
      <c r="L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H216" s="154"/>
      <c r="AI216" s="154"/>
      <c r="AJ216" s="154"/>
      <c r="AK216" s="154"/>
      <c r="AL216" s="154"/>
      <c r="AM216" s="154"/>
      <c r="AN216" s="154"/>
      <c r="AO216" s="154"/>
      <c r="AP216" s="156"/>
      <c r="AQ216" s="154"/>
      <c r="AR216" s="156"/>
      <c r="AS216" s="154"/>
      <c r="AT216" s="154"/>
      <c r="AU216" s="154"/>
      <c r="AV216" s="154"/>
      <c r="AW216" s="154"/>
      <c r="AX216" s="154"/>
      <c r="AY216" s="154"/>
      <c r="AZ216" s="154"/>
      <c r="BA216" s="154"/>
      <c r="BB216" s="154"/>
      <c r="BC216" s="154"/>
      <c r="BD216" s="154"/>
      <c r="BE216" s="154"/>
      <c r="BF216" s="154"/>
      <c r="BG216" s="154"/>
      <c r="BH216" s="154"/>
      <c r="BI216" s="154"/>
      <c r="BJ216" s="154"/>
      <c r="BK216" s="154"/>
      <c r="BL216" s="163"/>
      <c r="BM216" s="163"/>
      <c r="BN216" s="163"/>
    </row>
    <row r="217" spans="1:66" ht="15.75" customHeight="1">
      <c r="A217" s="154"/>
      <c r="B217" s="155"/>
      <c r="C217" s="156"/>
      <c r="D217" s="154"/>
      <c r="E217" s="154"/>
      <c r="F217" s="154"/>
      <c r="G217" s="154"/>
      <c r="H217" s="154"/>
      <c r="I217" s="154"/>
      <c r="J217" s="154"/>
      <c r="K217" s="154"/>
      <c r="L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H217" s="154"/>
      <c r="AI217" s="154"/>
      <c r="AJ217" s="154"/>
      <c r="AK217" s="154"/>
      <c r="AL217" s="154"/>
      <c r="AM217" s="154"/>
      <c r="AN217" s="154"/>
      <c r="AO217" s="154"/>
      <c r="AP217" s="156"/>
      <c r="AQ217" s="154"/>
      <c r="AR217" s="156"/>
      <c r="AS217" s="154"/>
      <c r="AT217" s="154"/>
      <c r="AU217" s="154"/>
      <c r="AV217" s="154"/>
      <c r="AW217" s="154"/>
      <c r="AX217" s="154"/>
      <c r="AY217" s="154"/>
      <c r="AZ217" s="154"/>
      <c r="BA217" s="154"/>
      <c r="BB217" s="154"/>
      <c r="BC217" s="154"/>
      <c r="BD217" s="154"/>
      <c r="BE217" s="154"/>
      <c r="BF217" s="154"/>
      <c r="BG217" s="154"/>
      <c r="BH217" s="154"/>
      <c r="BI217" s="154"/>
      <c r="BJ217" s="154"/>
      <c r="BK217" s="154"/>
      <c r="BL217" s="163"/>
      <c r="BM217" s="163"/>
      <c r="BN217" s="163"/>
    </row>
    <row r="218" spans="1:66" ht="15.75" customHeight="1">
      <c r="A218" s="154"/>
      <c r="B218" s="155"/>
      <c r="C218" s="156"/>
      <c r="D218" s="154"/>
      <c r="E218" s="154"/>
      <c r="F218" s="154"/>
      <c r="G218" s="154"/>
      <c r="H218" s="154"/>
      <c r="I218" s="154"/>
      <c r="J218" s="154"/>
      <c r="K218" s="154"/>
      <c r="L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H218" s="154"/>
      <c r="AI218" s="154"/>
      <c r="AJ218" s="154"/>
      <c r="AK218" s="154"/>
      <c r="AL218" s="154"/>
      <c r="AM218" s="154"/>
      <c r="AN218" s="154"/>
      <c r="AO218" s="154"/>
      <c r="AP218" s="156"/>
      <c r="AQ218" s="154"/>
      <c r="AR218" s="156"/>
      <c r="AS218" s="154"/>
      <c r="AT218" s="154"/>
      <c r="AU218" s="154"/>
      <c r="AV218" s="154"/>
      <c r="AW218" s="154"/>
      <c r="AX218" s="154"/>
      <c r="AY218" s="154"/>
      <c r="AZ218" s="154"/>
      <c r="BA218" s="154"/>
      <c r="BB218" s="154"/>
      <c r="BC218" s="154"/>
      <c r="BD218" s="154"/>
      <c r="BE218" s="154"/>
      <c r="BF218" s="154"/>
      <c r="BG218" s="154"/>
      <c r="BH218" s="154"/>
      <c r="BI218" s="154"/>
      <c r="BJ218" s="154"/>
      <c r="BK218" s="154"/>
      <c r="BL218" s="163"/>
      <c r="BM218" s="163"/>
      <c r="BN218" s="163"/>
    </row>
    <row r="219" spans="1:66" ht="15.75" customHeight="1">
      <c r="A219" s="154"/>
      <c r="B219" s="155"/>
      <c r="C219" s="156"/>
      <c r="D219" s="154"/>
      <c r="E219" s="154"/>
      <c r="F219" s="154"/>
      <c r="G219" s="154"/>
      <c r="H219" s="154"/>
      <c r="I219" s="154"/>
      <c r="J219" s="154"/>
      <c r="K219" s="154"/>
      <c r="L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H219" s="154"/>
      <c r="AI219" s="154"/>
      <c r="AJ219" s="154"/>
      <c r="AK219" s="154"/>
      <c r="AL219" s="154"/>
      <c r="AM219" s="154"/>
      <c r="AN219" s="154"/>
      <c r="AO219" s="154"/>
      <c r="AP219" s="156"/>
      <c r="AQ219" s="154"/>
      <c r="AR219" s="156"/>
      <c r="AS219" s="154"/>
      <c r="AT219" s="154"/>
      <c r="AU219" s="154"/>
      <c r="AV219" s="154"/>
      <c r="AW219" s="154"/>
      <c r="AX219" s="154"/>
      <c r="AY219" s="154"/>
      <c r="AZ219" s="154"/>
      <c r="BA219" s="154"/>
      <c r="BB219" s="154"/>
      <c r="BC219" s="154"/>
      <c r="BD219" s="154"/>
      <c r="BE219" s="154"/>
      <c r="BF219" s="154"/>
      <c r="BG219" s="154"/>
      <c r="BH219" s="154"/>
      <c r="BI219" s="154"/>
      <c r="BJ219" s="154"/>
      <c r="BK219" s="154"/>
      <c r="BL219" s="163"/>
      <c r="BM219" s="163"/>
      <c r="BN219" s="163"/>
    </row>
    <row r="220" spans="1:66" ht="15.75" customHeight="1">
      <c r="A220" s="154"/>
      <c r="B220" s="155"/>
      <c r="C220" s="156"/>
      <c r="D220" s="154"/>
      <c r="E220" s="154"/>
      <c r="F220" s="154"/>
      <c r="G220" s="154"/>
      <c r="H220" s="154"/>
      <c r="I220" s="154"/>
      <c r="J220" s="154"/>
      <c r="K220" s="154"/>
      <c r="L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H220" s="154"/>
      <c r="AI220" s="154"/>
      <c r="AJ220" s="154"/>
      <c r="AK220" s="154"/>
      <c r="AL220" s="154"/>
      <c r="AM220" s="154"/>
      <c r="AN220" s="154"/>
      <c r="AO220" s="154"/>
      <c r="AP220" s="156"/>
      <c r="AQ220" s="154"/>
      <c r="AR220" s="156"/>
      <c r="AS220" s="154"/>
      <c r="AT220" s="154"/>
      <c r="AU220" s="154"/>
      <c r="AV220" s="154"/>
      <c r="AW220" s="154"/>
      <c r="AX220" s="154"/>
      <c r="AY220" s="154"/>
      <c r="AZ220" s="154"/>
      <c r="BA220" s="154"/>
      <c r="BB220" s="154"/>
      <c r="BC220" s="154"/>
      <c r="BD220" s="154"/>
      <c r="BE220" s="154"/>
      <c r="BF220" s="154"/>
      <c r="BG220" s="154"/>
      <c r="BH220" s="154"/>
      <c r="BI220" s="154"/>
      <c r="BJ220" s="154"/>
      <c r="BK220" s="154"/>
      <c r="BL220" s="163"/>
      <c r="BM220" s="163"/>
      <c r="BN220" s="163"/>
    </row>
    <row r="221" spans="1:66" ht="15.75" customHeight="1">
      <c r="A221" s="154"/>
      <c r="B221" s="155"/>
      <c r="C221" s="156"/>
      <c r="D221" s="154"/>
      <c r="E221" s="154"/>
      <c r="F221" s="154"/>
      <c r="G221" s="154"/>
      <c r="H221" s="154"/>
      <c r="I221" s="154"/>
      <c r="J221" s="154"/>
      <c r="K221" s="154"/>
      <c r="L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H221" s="154"/>
      <c r="AI221" s="154"/>
      <c r="AJ221" s="154"/>
      <c r="AK221" s="154"/>
      <c r="AL221" s="154"/>
      <c r="AM221" s="154"/>
      <c r="AN221" s="154"/>
      <c r="AO221" s="154"/>
      <c r="AP221" s="156"/>
      <c r="AQ221" s="154"/>
      <c r="AR221" s="156"/>
      <c r="AS221" s="154"/>
      <c r="AT221" s="154"/>
      <c r="AU221" s="154"/>
      <c r="AV221" s="154"/>
      <c r="AW221" s="154"/>
      <c r="AX221" s="154"/>
      <c r="AY221" s="154"/>
      <c r="AZ221" s="154"/>
      <c r="BA221" s="154"/>
      <c r="BB221" s="154"/>
      <c r="BC221" s="154"/>
      <c r="BD221" s="154"/>
      <c r="BE221" s="154"/>
      <c r="BF221" s="154"/>
      <c r="BG221" s="154"/>
      <c r="BH221" s="154"/>
      <c r="BI221" s="154"/>
      <c r="BJ221" s="154"/>
      <c r="BK221" s="154"/>
      <c r="BL221" s="163"/>
      <c r="BM221" s="163"/>
      <c r="BN221" s="163"/>
    </row>
    <row r="222" spans="1:66" ht="15.75" customHeight="1">
      <c r="A222" s="154"/>
      <c r="B222" s="155"/>
      <c r="C222" s="156"/>
      <c r="D222" s="154"/>
      <c r="E222" s="154"/>
      <c r="F222" s="154"/>
      <c r="G222" s="154"/>
      <c r="H222" s="154"/>
      <c r="I222" s="154"/>
      <c r="J222" s="154"/>
      <c r="K222" s="154"/>
      <c r="L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H222" s="154"/>
      <c r="AI222" s="154"/>
      <c r="AJ222" s="154"/>
      <c r="AK222" s="154"/>
      <c r="AL222" s="154"/>
      <c r="AM222" s="154"/>
      <c r="AN222" s="154"/>
      <c r="AO222" s="154"/>
      <c r="AP222" s="156"/>
      <c r="AQ222" s="154"/>
      <c r="AR222" s="156"/>
      <c r="AS222" s="154"/>
      <c r="AT222" s="154"/>
      <c r="AU222" s="154"/>
      <c r="AV222" s="154"/>
      <c r="AW222" s="154"/>
      <c r="AX222" s="154"/>
      <c r="AY222" s="154"/>
      <c r="AZ222" s="154"/>
      <c r="BA222" s="154"/>
      <c r="BB222" s="154"/>
      <c r="BC222" s="154"/>
      <c r="BD222" s="154"/>
      <c r="BE222" s="154"/>
      <c r="BF222" s="154"/>
      <c r="BG222" s="154"/>
      <c r="BH222" s="154"/>
      <c r="BI222" s="154"/>
      <c r="BJ222" s="154"/>
      <c r="BK222" s="154"/>
      <c r="BL222" s="163"/>
      <c r="BM222" s="163"/>
      <c r="BN222" s="163"/>
    </row>
    <row r="223" spans="1:66" ht="15.75" customHeight="1">
      <c r="A223" s="154"/>
      <c r="B223" s="155"/>
      <c r="C223" s="156"/>
      <c r="D223" s="154"/>
      <c r="E223" s="154"/>
      <c r="F223" s="154"/>
      <c r="G223" s="154"/>
      <c r="H223" s="154"/>
      <c r="I223" s="154"/>
      <c r="J223" s="154"/>
      <c r="K223" s="154"/>
      <c r="L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H223" s="154"/>
      <c r="AI223" s="154"/>
      <c r="AJ223" s="154"/>
      <c r="AK223" s="154"/>
      <c r="AL223" s="154"/>
      <c r="AM223" s="154"/>
      <c r="AN223" s="154"/>
      <c r="AO223" s="154"/>
      <c r="AP223" s="156"/>
      <c r="AQ223" s="154"/>
      <c r="AR223" s="156"/>
      <c r="AS223" s="154"/>
      <c r="AT223" s="154"/>
      <c r="AU223" s="154"/>
      <c r="AV223" s="154"/>
      <c r="AW223" s="154"/>
      <c r="AX223" s="154"/>
      <c r="AY223" s="154"/>
      <c r="AZ223" s="154"/>
      <c r="BA223" s="154"/>
      <c r="BB223" s="154"/>
      <c r="BC223" s="154"/>
      <c r="BD223" s="154"/>
      <c r="BE223" s="154"/>
      <c r="BF223" s="154"/>
      <c r="BG223" s="154"/>
      <c r="BH223" s="154"/>
      <c r="BI223" s="154"/>
      <c r="BJ223" s="154"/>
      <c r="BK223" s="154"/>
      <c r="BL223" s="163"/>
      <c r="BM223" s="163"/>
      <c r="BN223" s="163"/>
    </row>
    <row r="224" spans="1:66" ht="15.75" customHeight="1">
      <c r="A224" s="154"/>
      <c r="B224" s="155"/>
      <c r="C224" s="156"/>
      <c r="D224" s="154"/>
      <c r="E224" s="154"/>
      <c r="F224" s="154"/>
      <c r="G224" s="154"/>
      <c r="H224" s="154"/>
      <c r="I224" s="154"/>
      <c r="J224" s="154"/>
      <c r="K224" s="154"/>
      <c r="L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H224" s="154"/>
      <c r="AI224" s="154"/>
      <c r="AJ224" s="154"/>
      <c r="AK224" s="154"/>
      <c r="AL224" s="154"/>
      <c r="AM224" s="154"/>
      <c r="AN224" s="154"/>
      <c r="AO224" s="154"/>
      <c r="AP224" s="156"/>
      <c r="AQ224" s="154"/>
      <c r="AR224" s="156"/>
      <c r="AS224" s="154"/>
      <c r="AT224" s="154"/>
      <c r="AU224" s="154"/>
      <c r="AV224" s="154"/>
      <c r="AW224" s="154"/>
      <c r="AX224" s="154"/>
      <c r="AY224" s="154"/>
      <c r="AZ224" s="154"/>
      <c r="BA224" s="154"/>
      <c r="BB224" s="154"/>
      <c r="BC224" s="154"/>
      <c r="BD224" s="154"/>
      <c r="BE224" s="154"/>
      <c r="BF224" s="154"/>
      <c r="BG224" s="154"/>
      <c r="BH224" s="154"/>
      <c r="BI224" s="154"/>
      <c r="BJ224" s="154"/>
      <c r="BK224" s="154"/>
      <c r="BL224" s="163"/>
      <c r="BM224" s="163"/>
      <c r="BN224" s="163"/>
    </row>
    <row r="225" spans="1:66" ht="15.75" customHeight="1">
      <c r="A225" s="154"/>
      <c r="B225" s="155"/>
      <c r="C225" s="156"/>
      <c r="D225" s="154"/>
      <c r="E225" s="154"/>
      <c r="F225" s="154"/>
      <c r="G225" s="154"/>
      <c r="H225" s="154"/>
      <c r="I225" s="154"/>
      <c r="J225" s="154"/>
      <c r="K225" s="154"/>
      <c r="L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H225" s="154"/>
      <c r="AI225" s="154"/>
      <c r="AJ225" s="154"/>
      <c r="AK225" s="154"/>
      <c r="AL225" s="154"/>
      <c r="AM225" s="154"/>
      <c r="AN225" s="154"/>
      <c r="AO225" s="154"/>
      <c r="AP225" s="156"/>
      <c r="AQ225" s="154"/>
      <c r="AR225" s="156"/>
      <c r="AS225" s="154"/>
      <c r="AT225" s="154"/>
      <c r="AU225" s="154"/>
      <c r="AV225" s="154"/>
      <c r="AW225" s="154"/>
      <c r="AX225" s="154"/>
      <c r="AY225" s="154"/>
      <c r="AZ225" s="154"/>
      <c r="BA225" s="154"/>
      <c r="BB225" s="154"/>
      <c r="BC225" s="154"/>
      <c r="BD225" s="154"/>
      <c r="BE225" s="154"/>
      <c r="BF225" s="154"/>
      <c r="BG225" s="154"/>
      <c r="BH225" s="154"/>
      <c r="BI225" s="154"/>
      <c r="BJ225" s="154"/>
      <c r="BK225" s="154"/>
      <c r="BL225" s="163"/>
      <c r="BM225" s="163"/>
      <c r="BN225" s="163"/>
    </row>
    <row r="226" spans="1:66" ht="15.75" customHeight="1">
      <c r="A226" s="154"/>
      <c r="B226" s="155"/>
      <c r="C226" s="156"/>
      <c r="D226" s="154"/>
      <c r="E226" s="154"/>
      <c r="F226" s="154"/>
      <c r="G226" s="154"/>
      <c r="H226" s="154"/>
      <c r="I226" s="154"/>
      <c r="J226" s="154"/>
      <c r="K226" s="154"/>
      <c r="L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H226" s="154"/>
      <c r="AI226" s="154"/>
      <c r="AJ226" s="154"/>
      <c r="AK226" s="154"/>
      <c r="AL226" s="154"/>
      <c r="AM226" s="154"/>
      <c r="AN226" s="154"/>
      <c r="AO226" s="154"/>
      <c r="AP226" s="156"/>
      <c r="AQ226" s="154"/>
      <c r="AR226" s="156"/>
      <c r="AS226" s="154"/>
      <c r="AT226" s="154"/>
      <c r="AU226" s="154"/>
      <c r="AV226" s="154"/>
      <c r="AW226" s="154"/>
      <c r="AX226" s="154"/>
      <c r="AY226" s="154"/>
      <c r="AZ226" s="154"/>
      <c r="BA226" s="154"/>
      <c r="BB226" s="154"/>
      <c r="BC226" s="154"/>
      <c r="BD226" s="154"/>
      <c r="BE226" s="154"/>
      <c r="BF226" s="154"/>
      <c r="BG226" s="154"/>
      <c r="BH226" s="154"/>
      <c r="BI226" s="154"/>
      <c r="BJ226" s="154"/>
      <c r="BK226" s="154"/>
      <c r="BL226" s="163"/>
      <c r="BM226" s="163"/>
      <c r="BN226" s="163"/>
    </row>
    <row r="227" spans="1:66" ht="15.75" customHeight="1">
      <c r="A227" s="154"/>
      <c r="B227" s="155"/>
      <c r="C227" s="156"/>
      <c r="D227" s="154"/>
      <c r="E227" s="154"/>
      <c r="F227" s="154"/>
      <c r="G227" s="154"/>
      <c r="H227" s="154"/>
      <c r="I227" s="154"/>
      <c r="J227" s="154"/>
      <c r="K227" s="154"/>
      <c r="L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H227" s="154"/>
      <c r="AI227" s="154"/>
      <c r="AJ227" s="154"/>
      <c r="AK227" s="154"/>
      <c r="AL227" s="154"/>
      <c r="AM227" s="154"/>
      <c r="AN227" s="154"/>
      <c r="AO227" s="154"/>
      <c r="AP227" s="156"/>
      <c r="AQ227" s="154"/>
      <c r="AR227" s="156"/>
      <c r="AS227" s="154"/>
      <c r="AT227" s="154"/>
      <c r="AU227" s="154"/>
      <c r="AV227" s="154"/>
      <c r="AW227" s="154"/>
      <c r="AX227" s="154"/>
      <c r="AY227" s="154"/>
      <c r="AZ227" s="154"/>
      <c r="BA227" s="154"/>
      <c r="BB227" s="154"/>
      <c r="BC227" s="154"/>
      <c r="BD227" s="154"/>
      <c r="BE227" s="154"/>
      <c r="BF227" s="154"/>
      <c r="BG227" s="154"/>
      <c r="BH227" s="154"/>
      <c r="BI227" s="154"/>
      <c r="BJ227" s="154"/>
      <c r="BK227" s="154"/>
      <c r="BL227" s="163"/>
      <c r="BM227" s="163"/>
      <c r="BN227" s="163"/>
    </row>
    <row r="228" spans="1:66" ht="15.75" customHeight="1">
      <c r="A228" s="154"/>
      <c r="B228" s="155"/>
      <c r="C228" s="156"/>
      <c r="D228" s="154"/>
      <c r="E228" s="154"/>
      <c r="F228" s="154"/>
      <c r="G228" s="154"/>
      <c r="H228" s="154"/>
      <c r="I228" s="154"/>
      <c r="J228" s="154"/>
      <c r="K228" s="154"/>
      <c r="L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H228" s="154"/>
      <c r="AI228" s="154"/>
      <c r="AJ228" s="154"/>
      <c r="AK228" s="154"/>
      <c r="AL228" s="154"/>
      <c r="AM228" s="154"/>
      <c r="AN228" s="154"/>
      <c r="AO228" s="154"/>
      <c r="AP228" s="156"/>
      <c r="AQ228" s="154"/>
      <c r="AR228" s="156"/>
      <c r="AS228" s="154"/>
      <c r="AT228" s="154"/>
      <c r="AU228" s="154"/>
      <c r="AV228" s="154"/>
      <c r="AW228" s="154"/>
      <c r="AX228" s="154"/>
      <c r="AY228" s="154"/>
      <c r="AZ228" s="154"/>
      <c r="BA228" s="154"/>
      <c r="BB228" s="154"/>
      <c r="BC228" s="154"/>
      <c r="BD228" s="154"/>
      <c r="BE228" s="154"/>
      <c r="BF228" s="154"/>
      <c r="BG228" s="154"/>
      <c r="BH228" s="154"/>
      <c r="BI228" s="154"/>
      <c r="BJ228" s="154"/>
      <c r="BK228" s="154"/>
      <c r="BL228" s="163"/>
      <c r="BM228" s="163"/>
      <c r="BN228" s="163"/>
    </row>
    <row r="229" spans="1:66" ht="15.75" customHeight="1">
      <c r="A229" s="154"/>
      <c r="B229" s="155"/>
      <c r="C229" s="156"/>
      <c r="D229" s="154"/>
      <c r="E229" s="154"/>
      <c r="F229" s="154"/>
      <c r="G229" s="154"/>
      <c r="H229" s="154"/>
      <c r="I229" s="154"/>
      <c r="J229" s="154"/>
      <c r="K229" s="154"/>
      <c r="L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H229" s="154"/>
      <c r="AI229" s="154"/>
      <c r="AJ229" s="154"/>
      <c r="AK229" s="154"/>
      <c r="AL229" s="154"/>
      <c r="AM229" s="154"/>
      <c r="AN229" s="154"/>
      <c r="AO229" s="154"/>
      <c r="AP229" s="156"/>
      <c r="AQ229" s="154"/>
      <c r="AR229" s="156"/>
      <c r="AS229" s="154"/>
      <c r="AT229" s="154"/>
      <c r="AU229" s="154"/>
      <c r="AV229" s="154"/>
      <c r="AW229" s="154"/>
      <c r="AX229" s="154"/>
      <c r="AY229" s="154"/>
      <c r="AZ229" s="154"/>
      <c r="BA229" s="154"/>
      <c r="BB229" s="154"/>
      <c r="BC229" s="154"/>
      <c r="BD229" s="154"/>
      <c r="BE229" s="154"/>
      <c r="BF229" s="154"/>
      <c r="BG229" s="154"/>
      <c r="BH229" s="154"/>
      <c r="BI229" s="154"/>
      <c r="BJ229" s="154"/>
      <c r="BK229" s="154"/>
      <c r="BL229" s="163"/>
      <c r="BM229" s="163"/>
      <c r="BN229" s="163"/>
    </row>
    <row r="230" spans="1:66" ht="15.75" customHeight="1">
      <c r="A230" s="154"/>
      <c r="B230" s="155"/>
      <c r="C230" s="156"/>
      <c r="D230" s="154"/>
      <c r="E230" s="154"/>
      <c r="F230" s="154"/>
      <c r="G230" s="154"/>
      <c r="H230" s="154"/>
      <c r="I230" s="154"/>
      <c r="J230" s="154"/>
      <c r="K230" s="154"/>
      <c r="L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H230" s="154"/>
      <c r="AI230" s="154"/>
      <c r="AJ230" s="154"/>
      <c r="AK230" s="154"/>
      <c r="AL230" s="154"/>
      <c r="AM230" s="154"/>
      <c r="AN230" s="154"/>
      <c r="AO230" s="154"/>
      <c r="AP230" s="156"/>
      <c r="AQ230" s="154"/>
      <c r="AR230" s="156"/>
      <c r="AS230" s="154"/>
      <c r="AT230" s="154"/>
      <c r="AU230" s="154"/>
      <c r="AV230" s="154"/>
      <c r="AW230" s="154"/>
      <c r="AX230" s="154"/>
      <c r="AY230" s="154"/>
      <c r="AZ230" s="154"/>
      <c r="BA230" s="154"/>
      <c r="BB230" s="154"/>
      <c r="BC230" s="154"/>
      <c r="BD230" s="154"/>
      <c r="BE230" s="154"/>
      <c r="BF230" s="154"/>
      <c r="BG230" s="154"/>
      <c r="BH230" s="154"/>
      <c r="BI230" s="154"/>
      <c r="BJ230" s="154"/>
      <c r="BK230" s="154"/>
      <c r="BL230" s="163"/>
      <c r="BM230" s="163"/>
      <c r="BN230" s="163"/>
    </row>
    <row r="231" spans="1:66" ht="15.75" customHeight="1">
      <c r="A231" s="154"/>
      <c r="B231" s="155"/>
      <c r="C231" s="156"/>
      <c r="D231" s="154"/>
      <c r="E231" s="154"/>
      <c r="F231" s="154"/>
      <c r="G231" s="154"/>
      <c r="H231" s="154"/>
      <c r="I231" s="154"/>
      <c r="J231" s="154"/>
      <c r="K231" s="154"/>
      <c r="L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H231" s="154"/>
      <c r="AI231" s="154"/>
      <c r="AJ231" s="154"/>
      <c r="AK231" s="154"/>
      <c r="AL231" s="154"/>
      <c r="AM231" s="154"/>
      <c r="AN231" s="154"/>
      <c r="AO231" s="154"/>
      <c r="AP231" s="156"/>
      <c r="AQ231" s="154"/>
      <c r="AR231" s="156"/>
      <c r="AS231" s="154"/>
      <c r="AT231" s="154"/>
      <c r="AU231" s="154"/>
      <c r="AV231" s="154"/>
      <c r="AW231" s="154"/>
      <c r="AX231" s="154"/>
      <c r="AY231" s="154"/>
      <c r="AZ231" s="154"/>
      <c r="BA231" s="154"/>
      <c r="BB231" s="154"/>
      <c r="BC231" s="154"/>
      <c r="BD231" s="154"/>
      <c r="BE231" s="154"/>
      <c r="BF231" s="154"/>
      <c r="BG231" s="154"/>
      <c r="BH231" s="154"/>
      <c r="BI231" s="154"/>
      <c r="BJ231" s="154"/>
      <c r="BK231" s="154"/>
      <c r="BL231" s="163"/>
      <c r="BM231" s="163"/>
      <c r="BN231" s="163"/>
    </row>
    <row r="232" spans="1:66" ht="15.75" customHeight="1">
      <c r="A232" s="154"/>
      <c r="B232" s="155"/>
      <c r="C232" s="156"/>
      <c r="D232" s="154"/>
      <c r="E232" s="154"/>
      <c r="F232" s="154"/>
      <c r="G232" s="154"/>
      <c r="H232" s="154"/>
      <c r="I232" s="154"/>
      <c r="J232" s="154"/>
      <c r="K232" s="154"/>
      <c r="L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H232" s="154"/>
      <c r="AI232" s="154"/>
      <c r="AJ232" s="154"/>
      <c r="AK232" s="154"/>
      <c r="AL232" s="154"/>
      <c r="AM232" s="154"/>
      <c r="AN232" s="154"/>
      <c r="AO232" s="154"/>
      <c r="AP232" s="156"/>
      <c r="AQ232" s="154"/>
      <c r="AR232" s="156"/>
      <c r="AS232" s="154"/>
      <c r="AT232" s="154"/>
      <c r="AU232" s="154"/>
      <c r="AV232" s="154"/>
      <c r="AW232" s="154"/>
      <c r="AX232" s="154"/>
      <c r="AY232" s="154"/>
      <c r="AZ232" s="154"/>
      <c r="BA232" s="154"/>
      <c r="BB232" s="154"/>
      <c r="BC232" s="154"/>
      <c r="BD232" s="154"/>
      <c r="BE232" s="154"/>
      <c r="BF232" s="154"/>
      <c r="BG232" s="154"/>
      <c r="BH232" s="154"/>
      <c r="BI232" s="154"/>
      <c r="BJ232" s="154"/>
      <c r="BK232" s="154"/>
      <c r="BL232" s="163"/>
      <c r="BM232" s="163"/>
      <c r="BN232" s="163"/>
    </row>
    <row r="233" spans="1:66" ht="15.75" customHeight="1">
      <c r="A233" s="154"/>
      <c r="B233" s="155"/>
      <c r="C233" s="156"/>
      <c r="D233" s="154"/>
      <c r="E233" s="154"/>
      <c r="F233" s="154"/>
      <c r="G233" s="154"/>
      <c r="H233" s="154"/>
      <c r="I233" s="154"/>
      <c r="J233" s="154"/>
      <c r="K233" s="154"/>
      <c r="L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H233" s="154"/>
      <c r="AI233" s="154"/>
      <c r="AJ233" s="154"/>
      <c r="AK233" s="154"/>
      <c r="AL233" s="154"/>
      <c r="AM233" s="154"/>
      <c r="AN233" s="154"/>
      <c r="AO233" s="154"/>
      <c r="AP233" s="156"/>
      <c r="AQ233" s="154"/>
      <c r="AR233" s="156"/>
      <c r="AS233" s="154"/>
      <c r="AT233" s="154"/>
      <c r="AU233" s="154"/>
      <c r="AV233" s="154"/>
      <c r="AW233" s="154"/>
      <c r="AX233" s="154"/>
      <c r="AY233" s="154"/>
      <c r="AZ233" s="154"/>
      <c r="BA233" s="154"/>
      <c r="BB233" s="154"/>
      <c r="BC233" s="154"/>
      <c r="BD233" s="154"/>
      <c r="BE233" s="154"/>
      <c r="BF233" s="154"/>
      <c r="BG233" s="154"/>
      <c r="BH233" s="154"/>
      <c r="BI233" s="154"/>
      <c r="BJ233" s="154"/>
      <c r="BK233" s="154"/>
      <c r="BL233" s="163"/>
      <c r="BM233" s="163"/>
      <c r="BN233" s="163"/>
    </row>
    <row r="234" spans="1:66" ht="15.75" customHeight="1">
      <c r="A234" s="154"/>
      <c r="B234" s="155"/>
      <c r="C234" s="156"/>
      <c r="D234" s="154"/>
      <c r="E234" s="154"/>
      <c r="F234" s="154"/>
      <c r="G234" s="154"/>
      <c r="H234" s="154"/>
      <c r="I234" s="154"/>
      <c r="J234" s="154"/>
      <c r="K234" s="154"/>
      <c r="L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H234" s="154"/>
      <c r="AI234" s="154"/>
      <c r="AJ234" s="154"/>
      <c r="AK234" s="154"/>
      <c r="AL234" s="154"/>
      <c r="AM234" s="154"/>
      <c r="AN234" s="154"/>
      <c r="AO234" s="154"/>
      <c r="AP234" s="156"/>
      <c r="AQ234" s="154"/>
      <c r="AR234" s="156"/>
      <c r="AS234" s="154"/>
      <c r="AT234" s="154"/>
      <c r="AU234" s="154"/>
      <c r="AV234" s="154"/>
      <c r="AW234" s="154"/>
      <c r="AX234" s="154"/>
      <c r="AY234" s="154"/>
      <c r="AZ234" s="154"/>
      <c r="BA234" s="154"/>
      <c r="BB234" s="154"/>
      <c r="BC234" s="154"/>
      <c r="BD234" s="154"/>
      <c r="BE234" s="154"/>
      <c r="BF234" s="154"/>
      <c r="BG234" s="154"/>
      <c r="BH234" s="154"/>
      <c r="BI234" s="154"/>
      <c r="BJ234" s="154"/>
      <c r="BK234" s="154"/>
      <c r="BL234" s="163"/>
      <c r="BM234" s="163"/>
      <c r="BN234" s="163"/>
    </row>
    <row r="235" spans="1:66" ht="15.75" customHeight="1">
      <c r="A235" s="154"/>
      <c r="B235" s="155"/>
      <c r="C235" s="156"/>
      <c r="D235" s="154"/>
      <c r="E235" s="154"/>
      <c r="F235" s="154"/>
      <c r="G235" s="154"/>
      <c r="H235" s="154"/>
      <c r="I235" s="154"/>
      <c r="J235" s="154"/>
      <c r="K235" s="154"/>
      <c r="L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H235" s="154"/>
      <c r="AI235" s="154"/>
      <c r="AJ235" s="154"/>
      <c r="AK235" s="154"/>
      <c r="AL235" s="154"/>
      <c r="AM235" s="154"/>
      <c r="AN235" s="154"/>
      <c r="AO235" s="154"/>
      <c r="AP235" s="156"/>
      <c r="AQ235" s="154"/>
      <c r="AR235" s="156"/>
      <c r="AS235" s="154"/>
      <c r="AT235" s="154"/>
      <c r="AU235" s="154"/>
      <c r="AV235" s="154"/>
      <c r="AW235" s="154"/>
      <c r="AX235" s="154"/>
      <c r="AY235" s="154"/>
      <c r="AZ235" s="154"/>
      <c r="BA235" s="154"/>
      <c r="BB235" s="154"/>
      <c r="BC235" s="154"/>
      <c r="BD235" s="154"/>
      <c r="BE235" s="154"/>
      <c r="BF235" s="154"/>
      <c r="BG235" s="154"/>
      <c r="BH235" s="154"/>
      <c r="BI235" s="154"/>
      <c r="BJ235" s="154"/>
      <c r="BK235" s="154"/>
      <c r="BL235" s="163"/>
      <c r="BM235" s="163"/>
      <c r="BN235" s="163"/>
    </row>
    <row r="236" spans="1:66" ht="15.75" customHeight="1">
      <c r="A236" s="154"/>
      <c r="B236" s="155"/>
      <c r="C236" s="156"/>
      <c r="D236" s="154"/>
      <c r="E236" s="154"/>
      <c r="F236" s="154"/>
      <c r="G236" s="154"/>
      <c r="H236" s="154"/>
      <c r="I236" s="154"/>
      <c r="J236" s="154"/>
      <c r="K236" s="154"/>
      <c r="L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H236" s="154"/>
      <c r="AI236" s="154"/>
      <c r="AJ236" s="154"/>
      <c r="AK236" s="154"/>
      <c r="AL236" s="154"/>
      <c r="AM236" s="154"/>
      <c r="AN236" s="154"/>
      <c r="AO236" s="154"/>
      <c r="AP236" s="156"/>
      <c r="AQ236" s="154"/>
      <c r="AR236" s="156"/>
      <c r="AS236" s="154"/>
      <c r="AT236" s="154"/>
      <c r="AU236" s="154"/>
      <c r="AV236" s="154"/>
      <c r="AW236" s="154"/>
      <c r="AX236" s="154"/>
      <c r="AY236" s="154"/>
      <c r="AZ236" s="154"/>
      <c r="BA236" s="154"/>
      <c r="BB236" s="154"/>
      <c r="BC236" s="154"/>
      <c r="BD236" s="154"/>
      <c r="BE236" s="154"/>
      <c r="BF236" s="154"/>
      <c r="BG236" s="154"/>
      <c r="BH236" s="154"/>
      <c r="BI236" s="154"/>
      <c r="BJ236" s="154"/>
      <c r="BK236" s="154"/>
      <c r="BL236" s="163"/>
      <c r="BM236" s="163"/>
      <c r="BN236" s="163"/>
    </row>
    <row r="237" spans="1:66" ht="15.75" customHeight="1">
      <c r="A237" s="154"/>
      <c r="B237" s="155"/>
      <c r="C237" s="156"/>
      <c r="D237" s="154"/>
      <c r="E237" s="154"/>
      <c r="F237" s="154"/>
      <c r="G237" s="154"/>
      <c r="H237" s="154"/>
      <c r="I237" s="154"/>
      <c r="J237" s="154"/>
      <c r="K237" s="154"/>
      <c r="L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H237" s="154"/>
      <c r="AI237" s="154"/>
      <c r="AJ237" s="154"/>
      <c r="AK237" s="154"/>
      <c r="AL237" s="154"/>
      <c r="AM237" s="154"/>
      <c r="AN237" s="154"/>
      <c r="AO237" s="154"/>
      <c r="AP237" s="156"/>
      <c r="AQ237" s="154"/>
      <c r="AR237" s="156"/>
      <c r="AS237" s="154"/>
      <c r="AT237" s="154"/>
      <c r="AU237" s="154"/>
      <c r="AV237" s="154"/>
      <c r="AW237" s="154"/>
      <c r="AX237" s="154"/>
      <c r="AY237" s="154"/>
      <c r="AZ237" s="154"/>
      <c r="BA237" s="154"/>
      <c r="BB237" s="154"/>
      <c r="BC237" s="154"/>
      <c r="BD237" s="154"/>
      <c r="BE237" s="154"/>
      <c r="BF237" s="154"/>
      <c r="BG237" s="154"/>
      <c r="BH237" s="154"/>
      <c r="BI237" s="154"/>
      <c r="BJ237" s="154"/>
      <c r="BK237" s="154"/>
      <c r="BL237" s="163"/>
      <c r="BM237" s="163"/>
      <c r="BN237" s="163"/>
    </row>
    <row r="238" spans="1:66" ht="15.75" customHeight="1">
      <c r="A238" s="154"/>
      <c r="B238" s="155"/>
      <c r="C238" s="156"/>
      <c r="D238" s="154"/>
      <c r="E238" s="154"/>
      <c r="F238" s="154"/>
      <c r="G238" s="154"/>
      <c r="H238" s="154"/>
      <c r="I238" s="154"/>
      <c r="J238" s="154"/>
      <c r="K238" s="154"/>
      <c r="L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H238" s="154"/>
      <c r="AI238" s="154"/>
      <c r="AJ238" s="154"/>
      <c r="AK238" s="154"/>
      <c r="AL238" s="154"/>
      <c r="AM238" s="154"/>
      <c r="AN238" s="154"/>
      <c r="AO238" s="154"/>
      <c r="AP238" s="156"/>
      <c r="AQ238" s="154"/>
      <c r="AR238" s="156"/>
      <c r="AS238" s="154"/>
      <c r="AT238" s="154"/>
      <c r="AU238" s="154"/>
      <c r="AV238" s="154"/>
      <c r="AW238" s="154"/>
      <c r="AX238" s="154"/>
      <c r="AY238" s="154"/>
      <c r="AZ238" s="154"/>
      <c r="BA238" s="154"/>
      <c r="BB238" s="154"/>
      <c r="BC238" s="154"/>
      <c r="BD238" s="154"/>
      <c r="BE238" s="154"/>
      <c r="BF238" s="154"/>
      <c r="BG238" s="154"/>
      <c r="BH238" s="154"/>
      <c r="BI238" s="154"/>
      <c r="BJ238" s="154"/>
      <c r="BK238" s="154"/>
      <c r="BL238" s="163"/>
      <c r="BM238" s="163"/>
      <c r="BN238" s="163"/>
    </row>
    <row r="239" spans="1:66" ht="15.75" customHeight="1">
      <c r="A239" s="154"/>
      <c r="B239" s="155"/>
      <c r="C239" s="156"/>
      <c r="D239" s="154"/>
      <c r="E239" s="154"/>
      <c r="F239" s="154"/>
      <c r="G239" s="154"/>
      <c r="H239" s="154"/>
      <c r="I239" s="154"/>
      <c r="J239" s="154"/>
      <c r="K239" s="154"/>
      <c r="L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H239" s="154"/>
      <c r="AI239" s="154"/>
      <c r="AJ239" s="154"/>
      <c r="AK239" s="154"/>
      <c r="AL239" s="154"/>
      <c r="AM239" s="154"/>
      <c r="AN239" s="154"/>
      <c r="AO239" s="154"/>
      <c r="AP239" s="156"/>
      <c r="AQ239" s="154"/>
      <c r="AR239" s="156"/>
      <c r="AS239" s="154"/>
      <c r="AT239" s="154"/>
      <c r="AU239" s="154"/>
      <c r="AV239" s="154"/>
      <c r="AW239" s="154"/>
      <c r="AX239" s="154"/>
      <c r="AY239" s="154"/>
      <c r="AZ239" s="154"/>
      <c r="BA239" s="154"/>
      <c r="BB239" s="154"/>
      <c r="BC239" s="154"/>
      <c r="BD239" s="154"/>
      <c r="BE239" s="154"/>
      <c r="BF239" s="154"/>
      <c r="BG239" s="154"/>
      <c r="BH239" s="154"/>
      <c r="BI239" s="154"/>
      <c r="BJ239" s="154"/>
      <c r="BK239" s="154"/>
      <c r="BL239" s="163"/>
      <c r="BM239" s="163"/>
      <c r="BN239" s="163"/>
    </row>
    <row r="240" spans="1:66" ht="15.75" customHeight="1">
      <c r="A240" s="154"/>
      <c r="B240" s="155"/>
      <c r="C240" s="156"/>
      <c r="D240" s="154"/>
      <c r="E240" s="154"/>
      <c r="F240" s="154"/>
      <c r="G240" s="154"/>
      <c r="H240" s="154"/>
      <c r="I240" s="154"/>
      <c r="J240" s="154"/>
      <c r="K240" s="154"/>
      <c r="L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H240" s="154"/>
      <c r="AI240" s="154"/>
      <c r="AJ240" s="154"/>
      <c r="AK240" s="154"/>
      <c r="AL240" s="154"/>
      <c r="AM240" s="154"/>
      <c r="AN240" s="154"/>
      <c r="AO240" s="154"/>
      <c r="AP240" s="156"/>
      <c r="AQ240" s="154"/>
      <c r="AR240" s="156"/>
      <c r="AS240" s="154"/>
      <c r="AT240" s="154"/>
      <c r="AU240" s="154"/>
      <c r="AV240" s="154"/>
      <c r="AW240" s="154"/>
      <c r="AX240" s="154"/>
      <c r="AY240" s="154"/>
      <c r="AZ240" s="154"/>
      <c r="BA240" s="154"/>
      <c r="BB240" s="154"/>
      <c r="BC240" s="154"/>
      <c r="BD240" s="154"/>
      <c r="BE240" s="154"/>
      <c r="BF240" s="154"/>
      <c r="BG240" s="154"/>
      <c r="BH240" s="154"/>
      <c r="BI240" s="154"/>
      <c r="BJ240" s="154"/>
      <c r="BK240" s="154"/>
      <c r="BL240" s="163"/>
      <c r="BM240" s="163"/>
      <c r="BN240" s="163"/>
    </row>
    <row r="241" spans="1:66" ht="15.75" customHeight="1">
      <c r="A241" s="154"/>
      <c r="B241" s="155"/>
      <c r="C241" s="156"/>
      <c r="D241" s="154"/>
      <c r="E241" s="154"/>
      <c r="F241" s="154"/>
      <c r="G241" s="154"/>
      <c r="H241" s="154"/>
      <c r="I241" s="154"/>
      <c r="J241" s="154"/>
      <c r="K241" s="154"/>
      <c r="L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H241" s="154"/>
      <c r="AI241" s="154"/>
      <c r="AJ241" s="154"/>
      <c r="AK241" s="154"/>
      <c r="AL241" s="154"/>
      <c r="AM241" s="154"/>
      <c r="AN241" s="154"/>
      <c r="AO241" s="154"/>
      <c r="AP241" s="156"/>
      <c r="AQ241" s="154"/>
      <c r="AR241" s="156"/>
      <c r="AS241" s="154"/>
      <c r="AT241" s="154"/>
      <c r="AU241" s="154"/>
      <c r="AV241" s="154"/>
      <c r="AW241" s="154"/>
      <c r="AX241" s="154"/>
      <c r="AY241" s="154"/>
      <c r="AZ241" s="154"/>
      <c r="BA241" s="154"/>
      <c r="BB241" s="154"/>
      <c r="BC241" s="154"/>
      <c r="BD241" s="154"/>
      <c r="BE241" s="154"/>
      <c r="BF241" s="154"/>
      <c r="BG241" s="154"/>
      <c r="BH241" s="154"/>
      <c r="BI241" s="154"/>
      <c r="BJ241" s="154"/>
      <c r="BK241" s="154"/>
      <c r="BL241" s="163"/>
      <c r="BM241" s="163"/>
      <c r="BN241" s="163"/>
    </row>
    <row r="242" spans="1:66" ht="15.75" customHeight="1">
      <c r="A242" s="154"/>
      <c r="B242" s="155"/>
      <c r="C242" s="156"/>
      <c r="D242" s="154"/>
      <c r="E242" s="154"/>
      <c r="F242" s="154"/>
      <c r="G242" s="154"/>
      <c r="H242" s="154"/>
      <c r="I242" s="154"/>
      <c r="J242" s="154"/>
      <c r="K242" s="154"/>
      <c r="L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H242" s="154"/>
      <c r="AI242" s="154"/>
      <c r="AJ242" s="154"/>
      <c r="AK242" s="154"/>
      <c r="AL242" s="154"/>
      <c r="AM242" s="154"/>
      <c r="AN242" s="154"/>
      <c r="AO242" s="154"/>
      <c r="AP242" s="156"/>
      <c r="AQ242" s="154"/>
      <c r="AR242" s="156"/>
      <c r="AS242" s="154"/>
      <c r="AT242" s="154"/>
      <c r="AU242" s="154"/>
      <c r="AV242" s="154"/>
      <c r="AW242" s="154"/>
      <c r="AX242" s="154"/>
      <c r="AY242" s="154"/>
      <c r="AZ242" s="154"/>
      <c r="BA242" s="154"/>
      <c r="BB242" s="154"/>
      <c r="BC242" s="154"/>
      <c r="BD242" s="154"/>
      <c r="BE242" s="154"/>
      <c r="BF242" s="154"/>
      <c r="BG242" s="154"/>
      <c r="BH242" s="154"/>
      <c r="BI242" s="154"/>
      <c r="BJ242" s="154"/>
      <c r="BK242" s="154"/>
      <c r="BL242" s="163"/>
      <c r="BM242" s="163"/>
      <c r="BN242" s="163"/>
    </row>
    <row r="243" spans="1:66" ht="15.75" customHeight="1">
      <c r="A243" s="154"/>
      <c r="B243" s="155"/>
      <c r="C243" s="156"/>
      <c r="D243" s="154"/>
      <c r="E243" s="154"/>
      <c r="F243" s="154"/>
      <c r="G243" s="154"/>
      <c r="H243" s="154"/>
      <c r="I243" s="154"/>
      <c r="J243" s="154"/>
      <c r="K243" s="154"/>
      <c r="L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H243" s="154"/>
      <c r="AI243" s="154"/>
      <c r="AJ243" s="154"/>
      <c r="AK243" s="154"/>
      <c r="AL243" s="154"/>
      <c r="AM243" s="154"/>
      <c r="AN243" s="154"/>
      <c r="AO243" s="154"/>
      <c r="AP243" s="156"/>
      <c r="AQ243" s="154"/>
      <c r="AR243" s="156"/>
      <c r="AS243" s="154"/>
      <c r="AT243" s="154"/>
      <c r="AU243" s="154"/>
      <c r="AV243" s="154"/>
      <c r="AW243" s="154"/>
      <c r="AX243" s="154"/>
      <c r="AY243" s="154"/>
      <c r="AZ243" s="154"/>
      <c r="BA243" s="154"/>
      <c r="BB243" s="154"/>
      <c r="BC243" s="154"/>
      <c r="BD243" s="154"/>
      <c r="BE243" s="154"/>
      <c r="BF243" s="154"/>
      <c r="BG243" s="154"/>
      <c r="BH243" s="154"/>
      <c r="BI243" s="154"/>
      <c r="BJ243" s="154"/>
      <c r="BK243" s="154"/>
      <c r="BL243" s="163"/>
      <c r="BM243" s="163"/>
      <c r="BN243" s="163"/>
    </row>
    <row r="244" spans="1:66" ht="15.75" customHeight="1">
      <c r="A244" s="154"/>
      <c r="B244" s="155"/>
      <c r="C244" s="156"/>
      <c r="D244" s="154"/>
      <c r="E244" s="154"/>
      <c r="F244" s="154"/>
      <c r="G244" s="154"/>
      <c r="H244" s="154"/>
      <c r="I244" s="154"/>
      <c r="J244" s="154"/>
      <c r="K244" s="154"/>
      <c r="L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H244" s="154"/>
      <c r="AI244" s="154"/>
      <c r="AJ244" s="154"/>
      <c r="AK244" s="154"/>
      <c r="AL244" s="154"/>
      <c r="AM244" s="154"/>
      <c r="AN244" s="154"/>
      <c r="AO244" s="154"/>
      <c r="AP244" s="156"/>
      <c r="AQ244" s="154"/>
      <c r="AR244" s="156"/>
      <c r="AS244" s="154"/>
      <c r="AT244" s="154"/>
      <c r="AU244" s="154"/>
      <c r="AV244" s="154"/>
      <c r="AW244" s="154"/>
      <c r="AX244" s="154"/>
      <c r="AY244" s="154"/>
      <c r="AZ244" s="154"/>
      <c r="BA244" s="154"/>
      <c r="BB244" s="154"/>
      <c r="BC244" s="154"/>
      <c r="BD244" s="154"/>
      <c r="BE244" s="154"/>
      <c r="BF244" s="154"/>
      <c r="BG244" s="154"/>
      <c r="BH244" s="154"/>
      <c r="BI244" s="154"/>
      <c r="BJ244" s="154"/>
      <c r="BK244" s="154"/>
      <c r="BL244" s="163"/>
      <c r="BM244" s="163"/>
      <c r="BN244" s="163"/>
    </row>
    <row r="245" spans="1:66" ht="15.75" customHeight="1">
      <c r="A245" s="154"/>
      <c r="B245" s="155"/>
      <c r="C245" s="156"/>
      <c r="D245" s="154"/>
      <c r="E245" s="154"/>
      <c r="F245" s="154"/>
      <c r="G245" s="154"/>
      <c r="H245" s="154"/>
      <c r="I245" s="154"/>
      <c r="J245" s="154"/>
      <c r="K245" s="154"/>
      <c r="L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H245" s="154"/>
      <c r="AI245" s="154"/>
      <c r="AJ245" s="154"/>
      <c r="AK245" s="154"/>
      <c r="AL245" s="154"/>
      <c r="AM245" s="154"/>
      <c r="AN245" s="154"/>
      <c r="AO245" s="154"/>
      <c r="AP245" s="156"/>
      <c r="AQ245" s="154"/>
      <c r="AR245" s="156"/>
      <c r="AS245" s="154"/>
      <c r="AT245" s="154"/>
      <c r="AU245" s="154"/>
      <c r="AV245" s="154"/>
      <c r="AW245" s="154"/>
      <c r="AX245" s="154"/>
      <c r="AY245" s="154"/>
      <c r="AZ245" s="154"/>
      <c r="BA245" s="154"/>
      <c r="BB245" s="154"/>
      <c r="BC245" s="154"/>
      <c r="BD245" s="154"/>
      <c r="BE245" s="154"/>
      <c r="BF245" s="154"/>
      <c r="BG245" s="154"/>
      <c r="BH245" s="154"/>
      <c r="BI245" s="154"/>
      <c r="BJ245" s="154"/>
      <c r="BK245" s="154"/>
      <c r="BL245" s="163"/>
      <c r="BM245" s="163"/>
      <c r="BN245" s="163"/>
    </row>
    <row r="246" spans="1:66" ht="15.75" customHeight="1">
      <c r="A246" s="154"/>
      <c r="B246" s="155"/>
      <c r="C246" s="156"/>
      <c r="D246" s="154"/>
      <c r="E246" s="154"/>
      <c r="F246" s="154"/>
      <c r="G246" s="154"/>
      <c r="H246" s="154"/>
      <c r="I246" s="154"/>
      <c r="J246" s="154"/>
      <c r="K246" s="154"/>
      <c r="L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H246" s="154"/>
      <c r="AI246" s="154"/>
      <c r="AJ246" s="154"/>
      <c r="AK246" s="154"/>
      <c r="AL246" s="154"/>
      <c r="AM246" s="154"/>
      <c r="AN246" s="154"/>
      <c r="AO246" s="154"/>
      <c r="AP246" s="156"/>
      <c r="AQ246" s="154"/>
      <c r="AR246" s="156"/>
      <c r="AS246" s="154"/>
      <c r="AT246" s="154"/>
      <c r="AU246" s="154"/>
      <c r="AV246" s="154"/>
      <c r="AW246" s="154"/>
      <c r="AX246" s="154"/>
      <c r="AY246" s="154"/>
      <c r="AZ246" s="154"/>
      <c r="BA246" s="154"/>
      <c r="BB246" s="154"/>
      <c r="BC246" s="154"/>
      <c r="BD246" s="154"/>
      <c r="BE246" s="154"/>
      <c r="BF246" s="154"/>
      <c r="BG246" s="154"/>
      <c r="BH246" s="154"/>
      <c r="BI246" s="154"/>
      <c r="BJ246" s="154"/>
      <c r="BK246" s="154"/>
      <c r="BL246" s="163"/>
      <c r="BM246" s="163"/>
      <c r="BN246" s="163"/>
    </row>
    <row r="247" spans="1:66" ht="15.75" customHeight="1">
      <c r="A247" s="154"/>
      <c r="B247" s="155"/>
      <c r="C247" s="156"/>
      <c r="D247" s="154"/>
      <c r="E247" s="154"/>
      <c r="F247" s="154"/>
      <c r="G247" s="154"/>
      <c r="H247" s="154"/>
      <c r="I247" s="154"/>
      <c r="J247" s="154"/>
      <c r="K247" s="154"/>
      <c r="L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H247" s="154"/>
      <c r="AI247" s="154"/>
      <c r="AJ247" s="154"/>
      <c r="AK247" s="154"/>
      <c r="AL247" s="154"/>
      <c r="AM247" s="154"/>
      <c r="AN247" s="154"/>
      <c r="AO247" s="154"/>
      <c r="AP247" s="156"/>
      <c r="AQ247" s="154"/>
      <c r="AR247" s="156"/>
      <c r="AS247" s="154"/>
      <c r="AT247" s="154"/>
      <c r="AU247" s="154"/>
      <c r="AV247" s="154"/>
      <c r="AW247" s="154"/>
      <c r="AX247" s="154"/>
      <c r="AY247" s="154"/>
      <c r="AZ247" s="154"/>
      <c r="BA247" s="154"/>
      <c r="BB247" s="154"/>
      <c r="BC247" s="154"/>
      <c r="BD247" s="154"/>
      <c r="BE247" s="154"/>
      <c r="BF247" s="154"/>
      <c r="BG247" s="154"/>
      <c r="BH247" s="154"/>
      <c r="BI247" s="154"/>
      <c r="BJ247" s="154"/>
      <c r="BK247" s="154"/>
      <c r="BL247" s="163"/>
      <c r="BM247" s="163"/>
      <c r="BN247" s="163"/>
    </row>
    <row r="248" spans="1:66" ht="15.75" customHeight="1"/>
    <row r="249" spans="1:66" ht="15.75" customHeight="1"/>
    <row r="250" spans="1:66" ht="15.75" customHeight="1"/>
    <row r="251" spans="1:66" ht="15.75" customHeight="1"/>
    <row r="252" spans="1:66" ht="15.75" customHeight="1"/>
    <row r="253" spans="1:66" ht="15.75" customHeight="1"/>
    <row r="254" spans="1:66" ht="15.75" customHeight="1"/>
    <row r="255" spans="1:66" ht="15.75" customHeight="1"/>
    <row r="256" spans="1:6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Q49:AR49"/>
    <mergeCell ref="U50:AA54"/>
    <mergeCell ref="AG50:AN54"/>
    <mergeCell ref="AB3:AF3"/>
    <mergeCell ref="AS3:AW3"/>
    <mergeCell ref="AX3:BF3"/>
    <mergeCell ref="AO4:AP4"/>
    <mergeCell ref="AQ4:AR4"/>
    <mergeCell ref="AO38:AP38"/>
    <mergeCell ref="AQ38:AR38"/>
    <mergeCell ref="AO39:AP39"/>
    <mergeCell ref="AO49:AP49"/>
    <mergeCell ref="D50:K54"/>
    <mergeCell ref="L50:S54"/>
    <mergeCell ref="B3:B4"/>
    <mergeCell ref="D3:K3"/>
    <mergeCell ref="L3:S3"/>
  </mergeCells>
  <phoneticPr fontId="3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２０２6.01</vt:lpstr>
      <vt:lpstr>2026.02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2026-02-11T11:00:44Z</dcterms:created>
  <dcterms:modified xsi:type="dcterms:W3CDTF">2026-02-11T11:11:48Z</dcterms:modified>
</cp:coreProperties>
</file>