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3527CF33-2588-A242-B9AB-5AC1DC0FBDEB}" xr6:coauthVersionLast="47" xr6:coauthVersionMax="47" xr10:uidLastSave="{00000000-0000-0000-0000-000000000000}"/>
  <bookViews>
    <workbookView xWindow="0" yWindow="660" windowWidth="30240" windowHeight="18980" activeTab="2" xr2:uid="{6E4E4426-308E-024C-BDE4-2DCFB193B06A}"/>
  </bookViews>
  <sheets>
    <sheet name="２０２５.10" sheetId="1" r:id="rId1"/>
    <sheet name="2025.11" sheetId="2" r:id="rId2"/>
    <sheet name="2025.1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5" i="3" l="1"/>
  <c r="AD65" i="3"/>
  <c r="AN61" i="3"/>
  <c r="AF61" i="3"/>
  <c r="AE56" i="3"/>
  <c r="Z56" i="3"/>
  <c r="AM56" i="3" s="1"/>
  <c r="S56" i="3"/>
  <c r="K56" i="3"/>
  <c r="AW54" i="3"/>
  <c r="AV54" i="3"/>
  <c r="AJ47" i="3"/>
  <c r="AK47" i="3" s="1"/>
  <c r="AI47" i="3"/>
  <c r="AH47" i="3"/>
  <c r="AG47" i="3"/>
  <c r="P47" i="3"/>
  <c r="N47" i="3"/>
  <c r="M47" i="3"/>
  <c r="I47" i="3"/>
  <c r="H47" i="3"/>
  <c r="G47" i="3"/>
  <c r="F47" i="3"/>
  <c r="E47" i="3"/>
  <c r="AJ46" i="3"/>
  <c r="AK46" i="3" s="1"/>
  <c r="AH46" i="3"/>
  <c r="AI46" i="3" s="1"/>
  <c r="AG46" i="3"/>
  <c r="Q46" i="3"/>
  <c r="P46" i="3"/>
  <c r="N46" i="3"/>
  <c r="O46" i="3" s="1"/>
  <c r="M46" i="3"/>
  <c r="H46" i="3"/>
  <c r="I46" i="3" s="1"/>
  <c r="F46" i="3"/>
  <c r="G46" i="3" s="1"/>
  <c r="E46" i="3"/>
  <c r="AJ45" i="3"/>
  <c r="AK45" i="3" s="1"/>
  <c r="AH45" i="3"/>
  <c r="AG45" i="3"/>
  <c r="AI45" i="3" s="1"/>
  <c r="Q45" i="3"/>
  <c r="P45" i="3"/>
  <c r="O45" i="3"/>
  <c r="N45" i="3"/>
  <c r="M45" i="3"/>
  <c r="H45" i="3"/>
  <c r="I45" i="3" s="1"/>
  <c r="F45" i="3"/>
  <c r="G45" i="3" s="1"/>
  <c r="E45" i="3"/>
  <c r="AJ44" i="3"/>
  <c r="AH44" i="3"/>
  <c r="AI44" i="3" s="1"/>
  <c r="AG44" i="3"/>
  <c r="P44" i="3"/>
  <c r="Q44" i="3" s="1"/>
  <c r="N44" i="3"/>
  <c r="M44" i="3"/>
  <c r="H44" i="3"/>
  <c r="F44" i="3"/>
  <c r="G44" i="3" s="1"/>
  <c r="E44" i="3"/>
  <c r="AJ43" i="3"/>
  <c r="AH43" i="3"/>
  <c r="AG43" i="3"/>
  <c r="AK43" i="3" s="1"/>
  <c r="P43" i="3"/>
  <c r="N43" i="3"/>
  <c r="M43" i="3"/>
  <c r="H43" i="3"/>
  <c r="F43" i="3"/>
  <c r="G43" i="3" s="1"/>
  <c r="E43" i="3"/>
  <c r="I43" i="3" s="1"/>
  <c r="AJ42" i="3"/>
  <c r="AK42" i="3" s="1"/>
  <c r="AI42" i="3"/>
  <c r="AH42" i="3"/>
  <c r="AG42" i="3"/>
  <c r="P42" i="3"/>
  <c r="N42" i="3"/>
  <c r="O42" i="3" s="1"/>
  <c r="M42" i="3"/>
  <c r="H42" i="3"/>
  <c r="I42" i="3" s="1"/>
  <c r="G42" i="3"/>
  <c r="F42" i="3"/>
  <c r="E42" i="3"/>
  <c r="AK41" i="3"/>
  <c r="AJ41" i="3"/>
  <c r="AH41" i="3"/>
  <c r="AI41" i="3" s="1"/>
  <c r="AG41" i="3"/>
  <c r="P41" i="3"/>
  <c r="N41" i="3"/>
  <c r="M41" i="3"/>
  <c r="Q41" i="3" s="1"/>
  <c r="H41" i="3"/>
  <c r="I41" i="3" s="1"/>
  <c r="F41" i="3"/>
  <c r="G41" i="3" s="1"/>
  <c r="E41" i="3"/>
  <c r="AI38" i="3"/>
  <c r="AB38" i="3"/>
  <c r="F38" i="3"/>
  <c r="AK37" i="3"/>
  <c r="P37" i="3"/>
  <c r="Q37" i="3" s="1"/>
  <c r="G37" i="3"/>
  <c r="F37" i="3"/>
  <c r="BC36" i="3"/>
  <c r="BB36" i="3"/>
  <c r="BA36" i="3"/>
  <c r="AZ36" i="3"/>
  <c r="AZ37" i="3" s="1"/>
  <c r="AY36" i="3"/>
  <c r="AX36" i="3"/>
  <c r="AW36" i="3"/>
  <c r="AQ36" i="3"/>
  <c r="AP36" i="3"/>
  <c r="AO36" i="3"/>
  <c r="AN36" i="3"/>
  <c r="AJ36" i="3"/>
  <c r="AJ37" i="3" s="1"/>
  <c r="AH36" i="3"/>
  <c r="AH37" i="3" s="1"/>
  <c r="AG36" i="3"/>
  <c r="AN39" i="3" s="1"/>
  <c r="AF36" i="3"/>
  <c r="P36" i="3"/>
  <c r="Q36" i="3" s="1"/>
  <c r="N36" i="3"/>
  <c r="M36" i="3"/>
  <c r="L36" i="3"/>
  <c r="H36" i="3"/>
  <c r="G36" i="3"/>
  <c r="F36" i="3"/>
  <c r="E36" i="3"/>
  <c r="D36" i="3"/>
  <c r="C36" i="3"/>
  <c r="CB35" i="3"/>
  <c r="BZ35" i="3"/>
  <c r="BX35" i="3"/>
  <c r="BS35" i="3"/>
  <c r="BR35" i="3"/>
  <c r="BQ35" i="3"/>
  <c r="BU35" i="3" s="1"/>
  <c r="BP35" i="3"/>
  <c r="BO35" i="3"/>
  <c r="BD35" i="3"/>
  <c r="BF35" i="3" s="1"/>
  <c r="AV35" i="3"/>
  <c r="AT35" i="3"/>
  <c r="AL35" i="3"/>
  <c r="BG35" i="3" s="1"/>
  <c r="AK35" i="3"/>
  <c r="AI35" i="3"/>
  <c r="AC35" i="3"/>
  <c r="AB35" i="3"/>
  <c r="AS35" i="3" s="1"/>
  <c r="Y35" i="3"/>
  <c r="W35" i="3"/>
  <c r="U35" i="3"/>
  <c r="T35" i="3"/>
  <c r="S35" i="3"/>
  <c r="R35" i="3"/>
  <c r="Q35" i="3"/>
  <c r="O35" i="3"/>
  <c r="J35" i="3"/>
  <c r="I35" i="3"/>
  <c r="G35" i="3"/>
  <c r="BX34" i="3"/>
  <c r="BW34" i="3"/>
  <c r="CD34" i="3" s="1"/>
  <c r="BU34" i="3"/>
  <c r="BV34" i="3" s="1"/>
  <c r="BT34" i="3"/>
  <c r="BS34" i="3"/>
  <c r="CG34" i="3" s="1"/>
  <c r="BR34" i="3"/>
  <c r="BQ34" i="3"/>
  <c r="BP34" i="3"/>
  <c r="BO34" i="3"/>
  <c r="BD34" i="3"/>
  <c r="BG34" i="3" s="1"/>
  <c r="AV34" i="3"/>
  <c r="AL34" i="3"/>
  <c r="AM34" i="3" s="1"/>
  <c r="AK34" i="3"/>
  <c r="AI34" i="3"/>
  <c r="AC34" i="3"/>
  <c r="AT34" i="3" s="1"/>
  <c r="AB34" i="3"/>
  <c r="AS34" i="3" s="1"/>
  <c r="X34" i="3"/>
  <c r="W34" i="3"/>
  <c r="BZ34" i="3" s="1"/>
  <c r="U34" i="3"/>
  <c r="Y34" i="3" s="1"/>
  <c r="T34" i="3"/>
  <c r="R34" i="3"/>
  <c r="S34" i="3" s="1"/>
  <c r="Q34" i="3"/>
  <c r="O34" i="3"/>
  <c r="J34" i="3"/>
  <c r="K34" i="3" s="1"/>
  <c r="I34" i="3"/>
  <c r="G34" i="3"/>
  <c r="CD33" i="3"/>
  <c r="BY33" i="3"/>
  <c r="BX33" i="3"/>
  <c r="BW33" i="3"/>
  <c r="BS33" i="3"/>
  <c r="BQ33" i="3"/>
  <c r="BP33" i="3"/>
  <c r="BO33" i="3"/>
  <c r="BG33" i="3"/>
  <c r="BF33" i="3"/>
  <c r="BD33" i="3"/>
  <c r="AV33" i="3"/>
  <c r="AR33" i="3"/>
  <c r="AL33" i="3"/>
  <c r="AM33" i="3" s="1"/>
  <c r="AK33" i="3"/>
  <c r="AI33" i="3"/>
  <c r="AB33" i="3"/>
  <c r="AS33" i="3" s="1"/>
  <c r="AA33" i="3"/>
  <c r="W33" i="3"/>
  <c r="V33" i="3"/>
  <c r="U33" i="3"/>
  <c r="T33" i="3"/>
  <c r="S33" i="3"/>
  <c r="R33" i="3"/>
  <c r="Q33" i="3"/>
  <c r="O33" i="3"/>
  <c r="J33" i="3"/>
  <c r="I33" i="3"/>
  <c r="G33" i="3"/>
  <c r="BZ32" i="3"/>
  <c r="BW32" i="3"/>
  <c r="CA32" i="3" s="1"/>
  <c r="BS32" i="3"/>
  <c r="CG32" i="3" s="1"/>
  <c r="BQ32" i="3"/>
  <c r="BR32" i="3" s="1"/>
  <c r="BP32" i="3"/>
  <c r="BO32" i="3"/>
  <c r="BD32" i="3"/>
  <c r="AV32" i="3"/>
  <c r="AS32" i="3"/>
  <c r="AR32" i="3"/>
  <c r="AM32" i="3"/>
  <c r="AL32" i="3"/>
  <c r="AK32" i="3"/>
  <c r="AI32" i="3"/>
  <c r="AC32" i="3"/>
  <c r="AT32" i="3" s="1"/>
  <c r="AB32" i="3"/>
  <c r="AA32" i="3"/>
  <c r="W32" i="3"/>
  <c r="X32" i="3" s="1"/>
  <c r="U32" i="3"/>
  <c r="T32" i="3"/>
  <c r="V32" i="3" s="1"/>
  <c r="R32" i="3"/>
  <c r="S32" i="3" s="1"/>
  <c r="Q32" i="3"/>
  <c r="O32" i="3"/>
  <c r="K32" i="3"/>
  <c r="J32" i="3"/>
  <c r="I32" i="3"/>
  <c r="G32" i="3"/>
  <c r="BZ31" i="3"/>
  <c r="BU31" i="3"/>
  <c r="BS31" i="3"/>
  <c r="BQ31" i="3"/>
  <c r="BP31" i="3"/>
  <c r="BO31" i="3"/>
  <c r="BF31" i="3"/>
  <c r="BD31" i="3"/>
  <c r="AV31" i="3"/>
  <c r="AR31" i="3"/>
  <c r="AL31" i="3"/>
  <c r="BG31" i="3" s="1"/>
  <c r="AK31" i="3"/>
  <c r="AI31" i="3"/>
  <c r="W31" i="3"/>
  <c r="V31" i="3"/>
  <c r="U31" i="3"/>
  <c r="T31" i="3"/>
  <c r="S31" i="3"/>
  <c r="R31" i="3"/>
  <c r="Q31" i="3"/>
  <c r="O31" i="3"/>
  <c r="K31" i="3"/>
  <c r="J31" i="3"/>
  <c r="I31" i="3"/>
  <c r="G31" i="3"/>
  <c r="CB30" i="3"/>
  <c r="BZ30" i="3"/>
  <c r="BY30" i="3"/>
  <c r="BX30" i="3"/>
  <c r="BS30" i="3"/>
  <c r="CG30" i="3" s="1"/>
  <c r="BR30" i="3"/>
  <c r="BQ30" i="3"/>
  <c r="CE30" i="3" s="1"/>
  <c r="BP30" i="3"/>
  <c r="BO30" i="3"/>
  <c r="BD30" i="3"/>
  <c r="BF30" i="3" s="1"/>
  <c r="AV30" i="3"/>
  <c r="AT30" i="3"/>
  <c r="AS30" i="3"/>
  <c r="AR30" i="3"/>
  <c r="AM30" i="3"/>
  <c r="AL30" i="3"/>
  <c r="BG30" i="3" s="1"/>
  <c r="AK30" i="3"/>
  <c r="AI30" i="3"/>
  <c r="AC30" i="3"/>
  <c r="AB30" i="3"/>
  <c r="AA30" i="3"/>
  <c r="Y30" i="3"/>
  <c r="Z30" i="3" s="1"/>
  <c r="X30" i="3"/>
  <c r="W30" i="3"/>
  <c r="U30" i="3"/>
  <c r="V30" i="3" s="1"/>
  <c r="T30" i="3"/>
  <c r="BW30" i="3" s="1"/>
  <c r="CA30" i="3" s="1"/>
  <c r="S30" i="3"/>
  <c r="R30" i="3"/>
  <c r="Q30" i="3"/>
  <c r="O30" i="3"/>
  <c r="J30" i="3"/>
  <c r="AD30" i="3" s="1"/>
  <c r="AU30" i="3" s="1"/>
  <c r="I30" i="3"/>
  <c r="G30" i="3"/>
  <c r="BS29" i="3"/>
  <c r="BR29" i="3"/>
  <c r="BQ29" i="3"/>
  <c r="BP29" i="3"/>
  <c r="BO29" i="3"/>
  <c r="BD29" i="3"/>
  <c r="AV29" i="3"/>
  <c r="AL29" i="3"/>
  <c r="AM29" i="3" s="1"/>
  <c r="AK29" i="3"/>
  <c r="AI29" i="3"/>
  <c r="W29" i="3"/>
  <c r="U29" i="3"/>
  <c r="V29" i="3" s="1"/>
  <c r="T29" i="3"/>
  <c r="S29" i="3"/>
  <c r="R29" i="3"/>
  <c r="Q29" i="3"/>
  <c r="O29" i="3"/>
  <c r="J29" i="3"/>
  <c r="K29" i="3" s="1"/>
  <c r="I29" i="3"/>
  <c r="G29" i="3"/>
  <c r="BX28" i="3"/>
  <c r="BW28" i="3"/>
  <c r="CD28" i="3" s="1"/>
  <c r="BS28" i="3"/>
  <c r="BR28" i="3"/>
  <c r="BQ28" i="3"/>
  <c r="BP28" i="3"/>
  <c r="BO28" i="3"/>
  <c r="BD28" i="3"/>
  <c r="BG28" i="3" s="1"/>
  <c r="AV28" i="3"/>
  <c r="AS28" i="3"/>
  <c r="AR28" i="3"/>
  <c r="AM28" i="3"/>
  <c r="AL28" i="3"/>
  <c r="AK28" i="3"/>
  <c r="AI28" i="3"/>
  <c r="AB28" i="3"/>
  <c r="AA28" i="3"/>
  <c r="Y28" i="3"/>
  <c r="Z28" i="3" s="1"/>
  <c r="X28" i="3"/>
  <c r="W28" i="3"/>
  <c r="V28" i="3"/>
  <c r="U28" i="3"/>
  <c r="T28" i="3"/>
  <c r="S28" i="3"/>
  <c r="R28" i="3"/>
  <c r="Q28" i="3"/>
  <c r="O28" i="3"/>
  <c r="J28" i="3"/>
  <c r="AD28" i="3" s="1"/>
  <c r="AU28" i="3" s="1"/>
  <c r="I28" i="3"/>
  <c r="G28" i="3"/>
  <c r="BZ27" i="3"/>
  <c r="BW27" i="3"/>
  <c r="CD27" i="3" s="1"/>
  <c r="BT27" i="3"/>
  <c r="BS27" i="3"/>
  <c r="BQ27" i="3"/>
  <c r="BU27" i="3" s="1"/>
  <c r="BP27" i="3"/>
  <c r="BV27" i="3" s="1"/>
  <c r="BO27" i="3"/>
  <c r="BD27" i="3"/>
  <c r="AV27" i="3"/>
  <c r="AT27" i="3"/>
  <c r="AM27" i="3"/>
  <c r="AL27" i="3"/>
  <c r="AK27" i="3"/>
  <c r="AI27" i="3"/>
  <c r="AC27" i="3"/>
  <c r="AB27" i="3"/>
  <c r="AS27" i="3" s="1"/>
  <c r="AA27" i="3"/>
  <c r="W27" i="3"/>
  <c r="U27" i="3"/>
  <c r="BX27" i="3" s="1"/>
  <c r="T27" i="3"/>
  <c r="AR27" i="3" s="1"/>
  <c r="S27" i="3"/>
  <c r="R27" i="3"/>
  <c r="Q27" i="3"/>
  <c r="O27" i="3"/>
  <c r="K27" i="3"/>
  <c r="J27" i="3"/>
  <c r="I27" i="3"/>
  <c r="G27" i="3"/>
  <c r="BZ26" i="3"/>
  <c r="CG26" i="3" s="1"/>
  <c r="BS26" i="3"/>
  <c r="BQ26" i="3"/>
  <c r="BP26" i="3"/>
  <c r="BO26" i="3"/>
  <c r="BG26" i="3"/>
  <c r="BF26" i="3"/>
  <c r="BD26" i="3"/>
  <c r="AV26" i="3"/>
  <c r="AL26" i="3"/>
  <c r="AM26" i="3" s="1"/>
  <c r="AK26" i="3"/>
  <c r="AI26" i="3"/>
  <c r="AC26" i="3"/>
  <c r="AT26" i="3" s="1"/>
  <c r="W26" i="3"/>
  <c r="X26" i="3" s="1"/>
  <c r="U26" i="3"/>
  <c r="T26" i="3"/>
  <c r="S26" i="3"/>
  <c r="R26" i="3"/>
  <c r="Q26" i="3"/>
  <c r="O26" i="3"/>
  <c r="J26" i="3"/>
  <c r="K26" i="3" s="1"/>
  <c r="I26" i="3"/>
  <c r="G26" i="3"/>
  <c r="CE25" i="3"/>
  <c r="BZ25" i="3"/>
  <c r="BX25" i="3"/>
  <c r="BS25" i="3"/>
  <c r="BR25" i="3"/>
  <c r="BQ25" i="3"/>
  <c r="BP25" i="3"/>
  <c r="BO25" i="3"/>
  <c r="BG25" i="3"/>
  <c r="BD25" i="3"/>
  <c r="BF25" i="3" s="1"/>
  <c r="AV25" i="3"/>
  <c r="AT25" i="3"/>
  <c r="AS25" i="3"/>
  <c r="AM25" i="3"/>
  <c r="AL25" i="3"/>
  <c r="AK25" i="3"/>
  <c r="AI25" i="3"/>
  <c r="AC25" i="3"/>
  <c r="AB25" i="3"/>
  <c r="Y25" i="3"/>
  <c r="W25" i="3"/>
  <c r="U25" i="3"/>
  <c r="T25" i="3"/>
  <c r="S25" i="3"/>
  <c r="R25" i="3"/>
  <c r="AD25" i="3" s="1"/>
  <c r="AU25" i="3" s="1"/>
  <c r="Q25" i="3"/>
  <c r="O25" i="3"/>
  <c r="J25" i="3"/>
  <c r="K25" i="3" s="1"/>
  <c r="I25" i="3"/>
  <c r="G25" i="3"/>
  <c r="BW24" i="3"/>
  <c r="CD24" i="3" s="1"/>
  <c r="BU24" i="3"/>
  <c r="BV24" i="3" s="1"/>
  <c r="BS24" i="3"/>
  <c r="BT24" i="3" s="1"/>
  <c r="BR24" i="3"/>
  <c r="BQ24" i="3"/>
  <c r="BP24" i="3"/>
  <c r="BO24" i="3"/>
  <c r="BD24" i="3"/>
  <c r="AV24" i="3"/>
  <c r="AL24" i="3"/>
  <c r="AM24" i="3" s="1"/>
  <c r="AK24" i="3"/>
  <c r="AI24" i="3"/>
  <c r="AA24" i="3"/>
  <c r="W24" i="3"/>
  <c r="X24" i="3" s="1"/>
  <c r="U24" i="3"/>
  <c r="T24" i="3"/>
  <c r="S24" i="3"/>
  <c r="R24" i="3"/>
  <c r="Q24" i="3"/>
  <c r="O24" i="3"/>
  <c r="J24" i="3"/>
  <c r="K24" i="3" s="1"/>
  <c r="I24" i="3"/>
  <c r="G24" i="3"/>
  <c r="BX23" i="3"/>
  <c r="BW23" i="3"/>
  <c r="BS23" i="3"/>
  <c r="BR23" i="3"/>
  <c r="BQ23" i="3"/>
  <c r="BP23" i="3"/>
  <c r="BO23" i="3"/>
  <c r="BD23" i="3"/>
  <c r="BG23" i="3" s="1"/>
  <c r="AV23" i="3"/>
  <c r="AR23" i="3"/>
  <c r="AM23" i="3"/>
  <c r="AL23" i="3"/>
  <c r="AK23" i="3"/>
  <c r="AI23" i="3"/>
  <c r="AA23" i="3"/>
  <c r="W23" i="3"/>
  <c r="U23" i="3"/>
  <c r="V23" i="3" s="1"/>
  <c r="T23" i="3"/>
  <c r="S23" i="3"/>
  <c r="R23" i="3"/>
  <c r="Q23" i="3"/>
  <c r="O23" i="3"/>
  <c r="J23" i="3"/>
  <c r="I23" i="3"/>
  <c r="G23" i="3"/>
  <c r="CG22" i="3"/>
  <c r="CH22" i="3" s="1"/>
  <c r="BZ22" i="3"/>
  <c r="CA22" i="3" s="1"/>
  <c r="BW22" i="3"/>
  <c r="CD22" i="3" s="1"/>
  <c r="BS22" i="3"/>
  <c r="BU22" i="3" s="1"/>
  <c r="BV22" i="3" s="1"/>
  <c r="BR22" i="3"/>
  <c r="BQ22" i="3"/>
  <c r="BP22" i="3"/>
  <c r="BO22" i="3"/>
  <c r="BD22" i="3"/>
  <c r="BG22" i="3" s="1"/>
  <c r="AV22" i="3"/>
  <c r="AR22" i="3"/>
  <c r="AM22" i="3"/>
  <c r="AL22" i="3"/>
  <c r="AK22" i="3"/>
  <c r="AI22" i="3"/>
  <c r="AC22" i="3"/>
  <c r="AT22" i="3" s="1"/>
  <c r="AB22" i="3"/>
  <c r="AS22" i="3" s="1"/>
  <c r="AA22" i="3"/>
  <c r="W22" i="3"/>
  <c r="U22" i="3"/>
  <c r="T22" i="3"/>
  <c r="S22" i="3"/>
  <c r="R22" i="3"/>
  <c r="Q22" i="3"/>
  <c r="O22" i="3"/>
  <c r="K22" i="3"/>
  <c r="J22" i="3"/>
  <c r="I22" i="3"/>
  <c r="G22" i="3"/>
  <c r="BX21" i="3"/>
  <c r="BT21" i="3"/>
  <c r="BS21" i="3"/>
  <c r="BQ21" i="3"/>
  <c r="BP21" i="3"/>
  <c r="BO21" i="3"/>
  <c r="BD21" i="3"/>
  <c r="BF21" i="3" s="1"/>
  <c r="AV21" i="3"/>
  <c r="AL21" i="3"/>
  <c r="AM21" i="3" s="1"/>
  <c r="AK21" i="3"/>
  <c r="AI21" i="3"/>
  <c r="W21" i="3"/>
  <c r="U21" i="3"/>
  <c r="AB21" i="3" s="1"/>
  <c r="AS21" i="3" s="1"/>
  <c r="T21" i="3"/>
  <c r="S21" i="3"/>
  <c r="R21" i="3"/>
  <c r="Q21" i="3"/>
  <c r="O21" i="3"/>
  <c r="J21" i="3"/>
  <c r="I21" i="3"/>
  <c r="G21" i="3"/>
  <c r="BX20" i="3"/>
  <c r="BY20" i="3" s="1"/>
  <c r="BS20" i="3"/>
  <c r="CG20" i="3" s="1"/>
  <c r="CH20" i="3" s="1"/>
  <c r="BQ20" i="3"/>
  <c r="BR20" i="3" s="1"/>
  <c r="BP20" i="3"/>
  <c r="CD20" i="3" s="1"/>
  <c r="BO20" i="3"/>
  <c r="BD20" i="3"/>
  <c r="AV20" i="3"/>
  <c r="AS20" i="3"/>
  <c r="AR20" i="3"/>
  <c r="AL20" i="3"/>
  <c r="AM20" i="3" s="1"/>
  <c r="AK20" i="3"/>
  <c r="AI20" i="3"/>
  <c r="AC20" i="3"/>
  <c r="AT20" i="3" s="1"/>
  <c r="AB20" i="3"/>
  <c r="AA20" i="3"/>
  <c r="Z20" i="3"/>
  <c r="Y20" i="3"/>
  <c r="W20" i="3"/>
  <c r="BZ20" i="3" s="1"/>
  <c r="U20" i="3"/>
  <c r="T20" i="3"/>
  <c r="BW20" i="3" s="1"/>
  <c r="CA20" i="3" s="1"/>
  <c r="R20" i="3"/>
  <c r="Q20" i="3"/>
  <c r="O20" i="3"/>
  <c r="K20" i="3"/>
  <c r="J20" i="3"/>
  <c r="I20" i="3"/>
  <c r="G20" i="3"/>
  <c r="CE19" i="3"/>
  <c r="CF19" i="3" s="1"/>
  <c r="CD19" i="3"/>
  <c r="BX19" i="3"/>
  <c r="BW19" i="3"/>
  <c r="BS19" i="3"/>
  <c r="BR19" i="3"/>
  <c r="BQ19" i="3"/>
  <c r="BP19" i="3"/>
  <c r="BO19" i="3"/>
  <c r="BD19" i="3"/>
  <c r="BG19" i="3" s="1"/>
  <c r="AV19" i="3"/>
  <c r="AT19" i="3"/>
  <c r="AS19" i="3"/>
  <c r="AM19" i="3"/>
  <c r="AL19" i="3"/>
  <c r="AK19" i="3"/>
  <c r="AI19" i="3"/>
  <c r="AC19" i="3"/>
  <c r="AB19" i="3"/>
  <c r="AA19" i="3"/>
  <c r="Y19" i="3"/>
  <c r="X19" i="3"/>
  <c r="W19" i="3"/>
  <c r="BZ19" i="3" s="1"/>
  <c r="CA19" i="3" s="1"/>
  <c r="U19" i="3"/>
  <c r="T19" i="3"/>
  <c r="S19" i="3"/>
  <c r="R19" i="3"/>
  <c r="Q19" i="3"/>
  <c r="O19" i="3"/>
  <c r="J19" i="3"/>
  <c r="K19" i="3" s="1"/>
  <c r="I19" i="3"/>
  <c r="G19" i="3"/>
  <c r="BX18" i="3"/>
  <c r="BT18" i="3"/>
  <c r="BS18" i="3"/>
  <c r="BQ18" i="3"/>
  <c r="BP18" i="3"/>
  <c r="BO18" i="3"/>
  <c r="BG18" i="3"/>
  <c r="BF18" i="3"/>
  <c r="BD18" i="3"/>
  <c r="AV18" i="3"/>
  <c r="AR18" i="3"/>
  <c r="AM18" i="3"/>
  <c r="AL18" i="3"/>
  <c r="AK18" i="3"/>
  <c r="AI18" i="3"/>
  <c r="W18" i="3"/>
  <c r="V18" i="3"/>
  <c r="U18" i="3"/>
  <c r="T18" i="3"/>
  <c r="S18" i="3"/>
  <c r="R18" i="3"/>
  <c r="Q18" i="3"/>
  <c r="O18" i="3"/>
  <c r="K18" i="3"/>
  <c r="J18" i="3"/>
  <c r="I18" i="3"/>
  <c r="G18" i="3"/>
  <c r="BZ17" i="3"/>
  <c r="CG17" i="3" s="1"/>
  <c r="BX17" i="3"/>
  <c r="CB17" i="3" s="1"/>
  <c r="BW17" i="3"/>
  <c r="CA17" i="3" s="1"/>
  <c r="BS17" i="3"/>
  <c r="BQ17" i="3"/>
  <c r="BP17" i="3"/>
  <c r="BO17" i="3"/>
  <c r="BD17" i="3"/>
  <c r="BG17" i="3" s="1"/>
  <c r="AV17" i="3"/>
  <c r="AL17" i="3"/>
  <c r="AM17" i="3" s="1"/>
  <c r="AK17" i="3"/>
  <c r="AI17" i="3"/>
  <c r="AC17" i="3"/>
  <c r="AT17" i="3" s="1"/>
  <c r="W17" i="3"/>
  <c r="U17" i="3"/>
  <c r="T17" i="3"/>
  <c r="S17" i="3"/>
  <c r="R17" i="3"/>
  <c r="Q17" i="3"/>
  <c r="O17" i="3"/>
  <c r="K17" i="3"/>
  <c r="J17" i="3"/>
  <c r="I17" i="3"/>
  <c r="G17" i="3"/>
  <c r="BZ16" i="3"/>
  <c r="BX16" i="3"/>
  <c r="CB16" i="3" s="1"/>
  <c r="BU16" i="3"/>
  <c r="BV16" i="3" s="1"/>
  <c r="BS16" i="3"/>
  <c r="BT16" i="3" s="1"/>
  <c r="BQ16" i="3"/>
  <c r="BP16" i="3"/>
  <c r="BO16" i="3"/>
  <c r="BD16" i="3"/>
  <c r="BF16" i="3" s="1"/>
  <c r="AV16" i="3"/>
  <c r="AL16" i="3"/>
  <c r="AM16" i="3" s="1"/>
  <c r="AK16" i="3"/>
  <c r="AI16" i="3"/>
  <c r="W16" i="3"/>
  <c r="AC16" i="3" s="1"/>
  <c r="AT16" i="3" s="1"/>
  <c r="U16" i="3"/>
  <c r="T16" i="3"/>
  <c r="S16" i="3"/>
  <c r="R16" i="3"/>
  <c r="Q16" i="3"/>
  <c r="O16" i="3"/>
  <c r="K16" i="3"/>
  <c r="J16" i="3"/>
  <c r="I16" i="3"/>
  <c r="G16" i="3"/>
  <c r="BX15" i="3"/>
  <c r="BS15" i="3"/>
  <c r="BQ15" i="3"/>
  <c r="BP15" i="3"/>
  <c r="BO15" i="3"/>
  <c r="BD15" i="3"/>
  <c r="BG15" i="3" s="1"/>
  <c r="AV15" i="3"/>
  <c r="AL15" i="3"/>
  <c r="AM15" i="3" s="1"/>
  <c r="AK15" i="3"/>
  <c r="AI15" i="3"/>
  <c r="W15" i="3"/>
  <c r="U15" i="3"/>
  <c r="T15" i="3"/>
  <c r="BW15" i="3" s="1"/>
  <c r="BY15" i="3" s="1"/>
  <c r="S15" i="3"/>
  <c r="R15" i="3"/>
  <c r="Q15" i="3"/>
  <c r="O15" i="3"/>
  <c r="J15" i="3"/>
  <c r="K15" i="3" s="1"/>
  <c r="I15" i="3"/>
  <c r="G15" i="3"/>
  <c r="BX14" i="3"/>
  <c r="BW14" i="3"/>
  <c r="BS14" i="3"/>
  <c r="BQ14" i="3"/>
  <c r="BU14" i="3" s="1"/>
  <c r="BP14" i="3"/>
  <c r="BO14" i="3"/>
  <c r="BF14" i="3"/>
  <c r="BD14" i="3"/>
  <c r="AV14" i="3"/>
  <c r="AL14" i="3"/>
  <c r="AM14" i="3" s="1"/>
  <c r="AK14" i="3"/>
  <c r="AI14" i="3"/>
  <c r="W14" i="3"/>
  <c r="AC14" i="3" s="1"/>
  <c r="AT14" i="3" s="1"/>
  <c r="U14" i="3"/>
  <c r="AB14" i="3" s="1"/>
  <c r="AS14" i="3" s="1"/>
  <c r="T14" i="3"/>
  <c r="S14" i="3"/>
  <c r="R14" i="3"/>
  <c r="Q14" i="3"/>
  <c r="O14" i="3"/>
  <c r="J14" i="3"/>
  <c r="I14" i="3"/>
  <c r="G14" i="3"/>
  <c r="CE13" i="3"/>
  <c r="CD13" i="3"/>
  <c r="CB13" i="3"/>
  <c r="BZ13" i="3"/>
  <c r="CA13" i="3" s="1"/>
  <c r="BS13" i="3"/>
  <c r="CG13" i="3" s="1"/>
  <c r="BQ13" i="3"/>
  <c r="BU13" i="3" s="1"/>
  <c r="BP13" i="3"/>
  <c r="BV13" i="3" s="1"/>
  <c r="BO13" i="3"/>
  <c r="BD13" i="3"/>
  <c r="BG13" i="3" s="1"/>
  <c r="AV13" i="3"/>
  <c r="AS13" i="3"/>
  <c r="AR13" i="3"/>
  <c r="AL13" i="3"/>
  <c r="AM13" i="3" s="1"/>
  <c r="AK13" i="3"/>
  <c r="AI13" i="3"/>
  <c r="AC13" i="3"/>
  <c r="AT13" i="3" s="1"/>
  <c r="AB13" i="3"/>
  <c r="AA13" i="3"/>
  <c r="Y13" i="3"/>
  <c r="Z13" i="3" s="1"/>
  <c r="X13" i="3"/>
  <c r="W13" i="3"/>
  <c r="U13" i="3"/>
  <c r="BX13" i="3" s="1"/>
  <c r="BY13" i="3" s="1"/>
  <c r="T13" i="3"/>
  <c r="BW13" i="3" s="1"/>
  <c r="R13" i="3"/>
  <c r="S13" i="3" s="1"/>
  <c r="Q13" i="3"/>
  <c r="O13" i="3"/>
  <c r="J13" i="3"/>
  <c r="I13" i="3"/>
  <c r="G13" i="3"/>
  <c r="BS12" i="3"/>
  <c r="BT12" i="3" s="1"/>
  <c r="BQ12" i="3"/>
  <c r="BR12" i="3" s="1"/>
  <c r="BP12" i="3"/>
  <c r="BO12" i="3"/>
  <c r="BD12" i="3"/>
  <c r="BG12" i="3" s="1"/>
  <c r="AV12" i="3"/>
  <c r="AM12" i="3"/>
  <c r="AL12" i="3"/>
  <c r="AK12" i="3"/>
  <c r="AI12" i="3"/>
  <c r="W12" i="3"/>
  <c r="U12" i="3"/>
  <c r="Y12" i="3" s="1"/>
  <c r="AD12" i="3" s="1"/>
  <c r="AU12" i="3" s="1"/>
  <c r="T12" i="3"/>
  <c r="S12" i="3"/>
  <c r="R12" i="3"/>
  <c r="Q12" i="3"/>
  <c r="O12" i="3"/>
  <c r="K12" i="3"/>
  <c r="J12" i="3"/>
  <c r="I12" i="3"/>
  <c r="G12" i="3"/>
  <c r="BX11" i="3"/>
  <c r="BW11" i="3"/>
  <c r="BS11" i="3"/>
  <c r="BR11" i="3"/>
  <c r="BQ11" i="3"/>
  <c r="BP11" i="3"/>
  <c r="BO11" i="3"/>
  <c r="BF11" i="3"/>
  <c r="BD11" i="3"/>
  <c r="AV11" i="3"/>
  <c r="AS11" i="3"/>
  <c r="AR11" i="3"/>
  <c r="AM11" i="3"/>
  <c r="AL11" i="3"/>
  <c r="AL47" i="3" s="1"/>
  <c r="AM47" i="3" s="1"/>
  <c r="AK11" i="3"/>
  <c r="AI11" i="3"/>
  <c r="AB11" i="3"/>
  <c r="AA11" i="3"/>
  <c r="W11" i="3"/>
  <c r="V11" i="3"/>
  <c r="U11" i="3"/>
  <c r="T11" i="3"/>
  <c r="S11" i="3"/>
  <c r="R11" i="3"/>
  <c r="Q11" i="3"/>
  <c r="O11" i="3"/>
  <c r="J11" i="3"/>
  <c r="K11" i="3" s="1"/>
  <c r="I11" i="3"/>
  <c r="G11" i="3"/>
  <c r="BT10" i="3"/>
  <c r="BS10" i="3"/>
  <c r="BU10" i="3" s="1"/>
  <c r="BV10" i="3" s="1"/>
  <c r="BR10" i="3"/>
  <c r="BQ10" i="3"/>
  <c r="BP10" i="3"/>
  <c r="BO10" i="3"/>
  <c r="BD10" i="3"/>
  <c r="AV10" i="3"/>
  <c r="AT10" i="3"/>
  <c r="AR10" i="3"/>
  <c r="AL10" i="3"/>
  <c r="AM10" i="3" s="1"/>
  <c r="AK10" i="3"/>
  <c r="AI10" i="3"/>
  <c r="AC10" i="3"/>
  <c r="AA10" i="3"/>
  <c r="W10" i="3"/>
  <c r="U10" i="3"/>
  <c r="T10" i="3"/>
  <c r="R10" i="3"/>
  <c r="R46" i="3" s="1"/>
  <c r="S46" i="3" s="1"/>
  <c r="Q10" i="3"/>
  <c r="O10" i="3"/>
  <c r="J10" i="3"/>
  <c r="I10" i="3"/>
  <c r="G10" i="3"/>
  <c r="BW9" i="3"/>
  <c r="BU9" i="3"/>
  <c r="BV9" i="3" s="1"/>
  <c r="BS9" i="3"/>
  <c r="BQ9" i="3"/>
  <c r="BP9" i="3"/>
  <c r="BO9" i="3"/>
  <c r="BD9" i="3"/>
  <c r="BG9" i="3" s="1"/>
  <c r="AV9" i="3"/>
  <c r="AM9" i="3"/>
  <c r="AL9" i="3"/>
  <c r="AL45" i="3" s="1"/>
  <c r="AM45" i="3" s="1"/>
  <c r="AK9" i="3"/>
  <c r="AI9" i="3"/>
  <c r="W9" i="3"/>
  <c r="BZ9" i="3" s="1"/>
  <c r="U9" i="3"/>
  <c r="T9" i="3"/>
  <c r="R9" i="3"/>
  <c r="S9" i="3" s="1"/>
  <c r="Q9" i="3"/>
  <c r="O9" i="3"/>
  <c r="K9" i="3"/>
  <c r="J9" i="3"/>
  <c r="I9" i="3"/>
  <c r="G9" i="3"/>
  <c r="BZ8" i="3"/>
  <c r="BS8" i="3"/>
  <c r="CG8" i="3" s="1"/>
  <c r="BQ8" i="3"/>
  <c r="BU8" i="3" s="1"/>
  <c r="BP8" i="3"/>
  <c r="BV8" i="3" s="1"/>
  <c r="BO8" i="3"/>
  <c r="BD8" i="3"/>
  <c r="AV8" i="3"/>
  <c r="AT8" i="3"/>
  <c r="AL8" i="3"/>
  <c r="AL44" i="3" s="1"/>
  <c r="AM44" i="3" s="1"/>
  <c r="AK8" i="3"/>
  <c r="AI8" i="3"/>
  <c r="AC8" i="3"/>
  <c r="W8" i="3"/>
  <c r="W44" i="3" s="1"/>
  <c r="U8" i="3"/>
  <c r="T8" i="3"/>
  <c r="R8" i="3"/>
  <c r="R44" i="3" s="1"/>
  <c r="S44" i="3" s="1"/>
  <c r="Q8" i="3"/>
  <c r="O8" i="3"/>
  <c r="J8" i="3"/>
  <c r="I8" i="3"/>
  <c r="G8" i="3"/>
  <c r="BZ7" i="3"/>
  <c r="BX7" i="3"/>
  <c r="CB7" i="3" s="1"/>
  <c r="BW7" i="3"/>
  <c r="BS7" i="3"/>
  <c r="BU7" i="3" s="1"/>
  <c r="BQ7" i="3"/>
  <c r="BP7" i="3"/>
  <c r="BV7" i="3" s="1"/>
  <c r="BO7" i="3"/>
  <c r="BD7" i="3"/>
  <c r="BG7" i="3" s="1"/>
  <c r="AV7" i="3"/>
  <c r="AL7" i="3"/>
  <c r="AK7" i="3"/>
  <c r="AI7" i="3"/>
  <c r="AC7" i="3"/>
  <c r="AT7" i="3" s="1"/>
  <c r="W7" i="3"/>
  <c r="U7" i="3"/>
  <c r="U43" i="3" s="1"/>
  <c r="T7" i="3"/>
  <c r="S7" i="3"/>
  <c r="R7" i="3"/>
  <c r="R43" i="3" s="1"/>
  <c r="S43" i="3" s="1"/>
  <c r="Q7" i="3"/>
  <c r="O7" i="3"/>
  <c r="J7" i="3"/>
  <c r="I7" i="3"/>
  <c r="G7" i="3"/>
  <c r="CE6" i="3"/>
  <c r="BZ6" i="3"/>
  <c r="CA6" i="3" s="1"/>
  <c r="BX6" i="3"/>
  <c r="CB6" i="3" s="1"/>
  <c r="BW6" i="3"/>
  <c r="BS6" i="3"/>
  <c r="CG6" i="3" s="1"/>
  <c r="BR6" i="3"/>
  <c r="BQ6" i="3"/>
  <c r="BP6" i="3"/>
  <c r="BO6" i="3"/>
  <c r="BF6" i="3"/>
  <c r="BD6" i="3"/>
  <c r="AV6" i="3"/>
  <c r="AT6" i="3"/>
  <c r="AS6" i="3"/>
  <c r="AR6" i="3"/>
  <c r="AL6" i="3"/>
  <c r="BG6" i="3" s="1"/>
  <c r="AK6" i="3"/>
  <c r="AI6" i="3"/>
  <c r="AC6" i="3"/>
  <c r="AB6" i="3"/>
  <c r="AA6" i="3"/>
  <c r="Z6" i="3"/>
  <c r="Y6" i="3"/>
  <c r="W6" i="3"/>
  <c r="W42" i="3" s="1"/>
  <c r="X42" i="3" s="1"/>
  <c r="V6" i="3"/>
  <c r="U6" i="3"/>
  <c r="T6" i="3"/>
  <c r="T42" i="3" s="1"/>
  <c r="S6" i="3"/>
  <c r="R6" i="3"/>
  <c r="Q6" i="3"/>
  <c r="O6" i="3"/>
  <c r="K6" i="3"/>
  <c r="J6" i="3"/>
  <c r="I6" i="3"/>
  <c r="G6" i="3"/>
  <c r="CD5" i="3"/>
  <c r="BX5" i="3"/>
  <c r="BW5" i="3"/>
  <c r="BS5" i="3"/>
  <c r="BQ5" i="3"/>
  <c r="BQ36" i="3" s="1"/>
  <c r="BP5" i="3"/>
  <c r="BP36" i="3" s="1"/>
  <c r="BO5" i="3"/>
  <c r="BF5" i="3"/>
  <c r="BD5" i="3"/>
  <c r="AV5" i="3"/>
  <c r="AS5" i="3"/>
  <c r="AR5" i="3"/>
  <c r="AL5" i="3"/>
  <c r="AM5" i="3" s="1"/>
  <c r="AK5" i="3"/>
  <c r="AI5" i="3"/>
  <c r="AB5" i="3"/>
  <c r="AA5" i="3"/>
  <c r="W5" i="3"/>
  <c r="V5" i="3"/>
  <c r="U5" i="3"/>
  <c r="T5" i="3"/>
  <c r="S5" i="3"/>
  <c r="R5" i="3"/>
  <c r="Q5" i="3"/>
  <c r="O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AL66" i="2"/>
  <c r="AD66" i="2"/>
  <c r="AN62" i="2"/>
  <c r="AF62" i="2"/>
  <c r="AE56" i="2"/>
  <c r="Z56" i="2"/>
  <c r="AM56" i="2" s="1"/>
  <c r="S56" i="2"/>
  <c r="K56" i="2"/>
  <c r="AW54" i="2"/>
  <c r="AJ47" i="2"/>
  <c r="AK47" i="2" s="1"/>
  <c r="AH47" i="2"/>
  <c r="AI47" i="2" s="1"/>
  <c r="AG47" i="2"/>
  <c r="P47" i="2"/>
  <c r="Q47" i="2" s="1"/>
  <c r="O47" i="2"/>
  <c r="N47" i="2"/>
  <c r="M47" i="2"/>
  <c r="I47" i="2"/>
  <c r="H47" i="2"/>
  <c r="G47" i="2"/>
  <c r="F47" i="2"/>
  <c r="E47" i="2"/>
  <c r="AJ46" i="2"/>
  <c r="AH46" i="2"/>
  <c r="AI46" i="2" s="1"/>
  <c r="AG46" i="2"/>
  <c r="AK46" i="2" s="1"/>
  <c r="P46" i="2"/>
  <c r="N46" i="2"/>
  <c r="M46" i="2"/>
  <c r="H46" i="2"/>
  <c r="I46" i="2" s="1"/>
  <c r="G46" i="2"/>
  <c r="F46" i="2"/>
  <c r="E46" i="2"/>
  <c r="AJ45" i="2"/>
  <c r="AH45" i="2"/>
  <c r="AG45" i="2"/>
  <c r="AI45" i="2" s="1"/>
  <c r="Q45" i="2"/>
  <c r="P45" i="2"/>
  <c r="N45" i="2"/>
  <c r="O45" i="2" s="1"/>
  <c r="M45" i="2"/>
  <c r="H45" i="2"/>
  <c r="F45" i="2"/>
  <c r="E45" i="2"/>
  <c r="AJ44" i="2"/>
  <c r="AK44" i="2" s="1"/>
  <c r="AI44" i="2"/>
  <c r="AH44" i="2"/>
  <c r="AG44" i="2"/>
  <c r="P44" i="2"/>
  <c r="O44" i="2"/>
  <c r="N44" i="2"/>
  <c r="M44" i="2"/>
  <c r="Q44" i="2" s="1"/>
  <c r="H44" i="2"/>
  <c r="I44" i="2" s="1"/>
  <c r="F44" i="2"/>
  <c r="G44" i="2" s="1"/>
  <c r="E44" i="2"/>
  <c r="AK43" i="2"/>
  <c r="AJ43" i="2"/>
  <c r="AH43" i="2"/>
  <c r="AG43" i="2"/>
  <c r="T43" i="2"/>
  <c r="Q43" i="2"/>
  <c r="P43" i="2"/>
  <c r="N43" i="2"/>
  <c r="M43" i="2"/>
  <c r="O43" i="2" s="1"/>
  <c r="I43" i="2"/>
  <c r="H43" i="2"/>
  <c r="F43" i="2"/>
  <c r="G43" i="2" s="1"/>
  <c r="E43" i="2"/>
  <c r="AJ42" i="2"/>
  <c r="AK42" i="2" s="1"/>
  <c r="AI42" i="2"/>
  <c r="AH42" i="2"/>
  <c r="AG42" i="2"/>
  <c r="P42" i="2"/>
  <c r="Q42" i="2" s="1"/>
  <c r="O42" i="2"/>
  <c r="N42" i="2"/>
  <c r="M42" i="2"/>
  <c r="H42" i="2"/>
  <c r="I42" i="2" s="1"/>
  <c r="G42" i="2"/>
  <c r="F42" i="2"/>
  <c r="E42" i="2"/>
  <c r="AJ41" i="2"/>
  <c r="AI41" i="2"/>
  <c r="AH41" i="2"/>
  <c r="AG41" i="2"/>
  <c r="AK41" i="2" s="1"/>
  <c r="R41" i="2"/>
  <c r="S41" i="2" s="1"/>
  <c r="Q41" i="2"/>
  <c r="P41" i="2"/>
  <c r="N41" i="2"/>
  <c r="M41" i="2"/>
  <c r="H41" i="2"/>
  <c r="F41" i="2"/>
  <c r="G41" i="2" s="1"/>
  <c r="E41" i="2"/>
  <c r="AI38" i="2"/>
  <c r="AB38" i="2"/>
  <c r="W38" i="2"/>
  <c r="O38" i="2"/>
  <c r="I37" i="2"/>
  <c r="BC36" i="2"/>
  <c r="BB36" i="2"/>
  <c r="BA36" i="2"/>
  <c r="AZ36" i="2"/>
  <c r="AZ37" i="2" s="1"/>
  <c r="AY36" i="2"/>
  <c r="AX36" i="2"/>
  <c r="AW36" i="2"/>
  <c r="AQ36" i="2"/>
  <c r="AP36" i="2"/>
  <c r="AO36" i="2"/>
  <c r="AN36" i="2"/>
  <c r="AJ36" i="2"/>
  <c r="AJ37" i="2" s="1"/>
  <c r="AH36" i="2"/>
  <c r="AH37" i="2" s="1"/>
  <c r="AG36" i="2"/>
  <c r="AN39" i="2" s="1"/>
  <c r="AF36" i="2"/>
  <c r="P36" i="2"/>
  <c r="N36" i="2"/>
  <c r="N37" i="2" s="1"/>
  <c r="M36" i="2"/>
  <c r="L36" i="2"/>
  <c r="H36" i="2"/>
  <c r="H37" i="2" s="1"/>
  <c r="F36" i="2"/>
  <c r="E36" i="2"/>
  <c r="F38" i="2" s="1"/>
  <c r="D36" i="2"/>
  <c r="C36" i="2"/>
  <c r="CD35" i="2"/>
  <c r="CB35" i="2"/>
  <c r="CA35" i="2"/>
  <c r="BZ35" i="2"/>
  <c r="BX35" i="2"/>
  <c r="BW35" i="2"/>
  <c r="BS35" i="2"/>
  <c r="BR35" i="2"/>
  <c r="BQ35" i="2"/>
  <c r="BP35" i="2"/>
  <c r="BO35" i="2"/>
  <c r="BX34" i="2"/>
  <c r="BS34" i="2"/>
  <c r="BR34" i="2"/>
  <c r="BQ34" i="2"/>
  <c r="BP34" i="2"/>
  <c r="BO34" i="2"/>
  <c r="BG34" i="2"/>
  <c r="BD34" i="2"/>
  <c r="BF34" i="2" s="1"/>
  <c r="AV34" i="2"/>
  <c r="AS34" i="2"/>
  <c r="AR34" i="2"/>
  <c r="AL34" i="2"/>
  <c r="AM34" i="2" s="1"/>
  <c r="AK34" i="2"/>
  <c r="AI34" i="2"/>
  <c r="AB34" i="2"/>
  <c r="AA34" i="2"/>
  <c r="W34" i="2"/>
  <c r="U34" i="2"/>
  <c r="Y34" i="2" s="1"/>
  <c r="T34" i="2"/>
  <c r="BW34" i="2" s="1"/>
  <c r="CD34" i="2" s="1"/>
  <c r="R34" i="2"/>
  <c r="S34" i="2" s="1"/>
  <c r="Q34" i="2"/>
  <c r="O34" i="2"/>
  <c r="K34" i="2"/>
  <c r="J34" i="2"/>
  <c r="I34" i="2"/>
  <c r="G34" i="2"/>
  <c r="BU33" i="2"/>
  <c r="BV33" i="2" s="1"/>
  <c r="BS33" i="2"/>
  <c r="BR33" i="2"/>
  <c r="BQ33" i="2"/>
  <c r="BP33" i="2"/>
  <c r="BT33" i="2" s="1"/>
  <c r="BO33" i="2"/>
  <c r="BG33" i="2"/>
  <c r="BF33" i="2"/>
  <c r="BD33" i="2"/>
  <c r="AV33" i="2"/>
  <c r="AM33" i="2"/>
  <c r="AL33" i="2"/>
  <c r="AK33" i="2"/>
  <c r="AI33" i="2"/>
  <c r="W33" i="2"/>
  <c r="U33" i="2"/>
  <c r="T33" i="2"/>
  <c r="S33" i="2"/>
  <c r="R33" i="2"/>
  <c r="Q33" i="2"/>
  <c r="O33" i="2"/>
  <c r="K33" i="2"/>
  <c r="J33" i="2"/>
  <c r="I33" i="2"/>
  <c r="G33" i="2"/>
  <c r="CG32" i="2"/>
  <c r="CA32" i="2"/>
  <c r="BZ32" i="2"/>
  <c r="BS32" i="2"/>
  <c r="BQ32" i="2"/>
  <c r="BP32" i="2"/>
  <c r="BO32" i="2"/>
  <c r="BD32" i="2"/>
  <c r="AV32" i="2"/>
  <c r="AR32" i="2"/>
  <c r="AM32" i="2"/>
  <c r="AL32" i="2"/>
  <c r="AK32" i="2"/>
  <c r="AI32" i="2"/>
  <c r="AC32" i="2"/>
  <c r="AT32" i="2" s="1"/>
  <c r="AA32" i="2"/>
  <c r="Y32" i="2"/>
  <c r="Z32" i="2" s="1"/>
  <c r="X32" i="2"/>
  <c r="W32" i="2"/>
  <c r="U32" i="2"/>
  <c r="T32" i="2"/>
  <c r="BW32" i="2" s="1"/>
  <c r="S32" i="2"/>
  <c r="R32" i="2"/>
  <c r="Q32" i="2"/>
  <c r="O32" i="2"/>
  <c r="J32" i="2"/>
  <c r="I32" i="2"/>
  <c r="G32" i="2"/>
  <c r="BZ31" i="2"/>
  <c r="BU31" i="2"/>
  <c r="BV31" i="2" s="1"/>
  <c r="BT31" i="2"/>
  <c r="BS31" i="2"/>
  <c r="BQ31" i="2"/>
  <c r="BP31" i="2"/>
  <c r="BR31" i="2" s="1"/>
  <c r="BO31" i="2"/>
  <c r="BD31" i="2"/>
  <c r="AV31" i="2"/>
  <c r="AM31" i="2"/>
  <c r="AL31" i="2"/>
  <c r="AK31" i="2"/>
  <c r="AI31" i="2"/>
  <c r="AC31" i="2"/>
  <c r="AT31" i="2" s="1"/>
  <c r="W31" i="2"/>
  <c r="U31" i="2"/>
  <c r="T31" i="2"/>
  <c r="S31" i="2"/>
  <c r="R31" i="2"/>
  <c r="Q31" i="2"/>
  <c r="O31" i="2"/>
  <c r="K31" i="2"/>
  <c r="J31" i="2"/>
  <c r="I31" i="2"/>
  <c r="G31" i="2"/>
  <c r="BX30" i="2"/>
  <c r="BW30" i="2"/>
  <c r="BT30" i="2"/>
  <c r="BS30" i="2"/>
  <c r="BQ30" i="2"/>
  <c r="BU30" i="2" s="1"/>
  <c r="BP30" i="2"/>
  <c r="BO30" i="2"/>
  <c r="BG30" i="2"/>
  <c r="BF30" i="2"/>
  <c r="BD30" i="2"/>
  <c r="AV30" i="2"/>
  <c r="AS30" i="2"/>
  <c r="AR30" i="2"/>
  <c r="AM30" i="2"/>
  <c r="AL30" i="2"/>
  <c r="AK30" i="2"/>
  <c r="AI30" i="2"/>
  <c r="AB30" i="2"/>
  <c r="AA30" i="2"/>
  <c r="W30" i="2"/>
  <c r="V30" i="2"/>
  <c r="U30" i="2"/>
  <c r="T30" i="2"/>
  <c r="S30" i="2"/>
  <c r="R30" i="2"/>
  <c r="Q30" i="2"/>
  <c r="O30" i="2"/>
  <c r="K30" i="2"/>
  <c r="J30" i="2"/>
  <c r="I30" i="2"/>
  <c r="G30" i="2"/>
  <c r="BX29" i="2"/>
  <c r="BS29" i="2"/>
  <c r="BQ29" i="2"/>
  <c r="BP29" i="2"/>
  <c r="BO29" i="2"/>
  <c r="BG29" i="2"/>
  <c r="BD29" i="2"/>
  <c r="BF29" i="2" s="1"/>
  <c r="AV29" i="2"/>
  <c r="AR29" i="2"/>
  <c r="AM29" i="2"/>
  <c r="AL29" i="2"/>
  <c r="AK29" i="2"/>
  <c r="AI29" i="2"/>
  <c r="AB29" i="2"/>
  <c r="AS29" i="2" s="1"/>
  <c r="AA29" i="2"/>
  <c r="Z29" i="2"/>
  <c r="W29" i="2"/>
  <c r="U29" i="2"/>
  <c r="Y29" i="2" s="1"/>
  <c r="AD29" i="2" s="1"/>
  <c r="AU29" i="2" s="1"/>
  <c r="T29" i="2"/>
  <c r="BW29" i="2" s="1"/>
  <c r="CD29" i="2" s="1"/>
  <c r="S29" i="2"/>
  <c r="R29" i="2"/>
  <c r="Q29" i="2"/>
  <c r="O29" i="2"/>
  <c r="K29" i="2"/>
  <c r="J29" i="2"/>
  <c r="I29" i="2"/>
  <c r="G29" i="2"/>
  <c r="BW28" i="2"/>
  <c r="BV28" i="2"/>
  <c r="BU28" i="2"/>
  <c r="BS28" i="2"/>
  <c r="BR28" i="2"/>
  <c r="BQ28" i="2"/>
  <c r="BP28" i="2"/>
  <c r="BT28" i="2" s="1"/>
  <c r="BO28" i="2"/>
  <c r="BD28" i="2"/>
  <c r="AV28" i="2"/>
  <c r="AM28" i="2"/>
  <c r="AL28" i="2"/>
  <c r="AK28" i="2"/>
  <c r="AI28" i="2"/>
  <c r="W28" i="2"/>
  <c r="V28" i="2"/>
  <c r="U28" i="2"/>
  <c r="T28" i="2"/>
  <c r="S28" i="2"/>
  <c r="R28" i="2"/>
  <c r="Q28" i="2"/>
  <c r="O28" i="2"/>
  <c r="K28" i="2"/>
  <c r="J28" i="2"/>
  <c r="I28" i="2"/>
  <c r="G28" i="2"/>
  <c r="CG27" i="2"/>
  <c r="BZ27" i="2"/>
  <c r="BS27" i="2"/>
  <c r="BQ27" i="2"/>
  <c r="BP27" i="2"/>
  <c r="BO27" i="2"/>
  <c r="BD27" i="2"/>
  <c r="AV27" i="2"/>
  <c r="AR27" i="2"/>
  <c r="AL27" i="2"/>
  <c r="AM27" i="2" s="1"/>
  <c r="AK27" i="2"/>
  <c r="AI27" i="2"/>
  <c r="AC27" i="2"/>
  <c r="AT27" i="2" s="1"/>
  <c r="AA27" i="2"/>
  <c r="X27" i="2"/>
  <c r="W27" i="2"/>
  <c r="U27" i="2"/>
  <c r="T27" i="2"/>
  <c r="BW27" i="2" s="1"/>
  <c r="CA27" i="2" s="1"/>
  <c r="S27" i="2"/>
  <c r="R27" i="2"/>
  <c r="Q27" i="2"/>
  <c r="O27" i="2"/>
  <c r="K27" i="2"/>
  <c r="J27" i="2"/>
  <c r="I27" i="2"/>
  <c r="G27" i="2"/>
  <c r="BZ26" i="2"/>
  <c r="BS26" i="2"/>
  <c r="BU26" i="2" s="1"/>
  <c r="BQ26" i="2"/>
  <c r="BP26" i="2"/>
  <c r="BO26" i="2"/>
  <c r="BD26" i="2"/>
  <c r="AV26" i="2"/>
  <c r="AM26" i="2"/>
  <c r="AL26" i="2"/>
  <c r="AK26" i="2"/>
  <c r="AI26" i="2"/>
  <c r="AC26" i="2"/>
  <c r="AT26" i="2" s="1"/>
  <c r="AB26" i="2"/>
  <c r="AS26" i="2" s="1"/>
  <c r="Y26" i="2"/>
  <c r="W26" i="2"/>
  <c r="U26" i="2"/>
  <c r="T26" i="2"/>
  <c r="R26" i="2"/>
  <c r="S26" i="2" s="1"/>
  <c r="Q26" i="2"/>
  <c r="O26" i="2"/>
  <c r="K26" i="2"/>
  <c r="J26" i="2"/>
  <c r="I26" i="2"/>
  <c r="G26" i="2"/>
  <c r="BW25" i="2"/>
  <c r="BT25" i="2"/>
  <c r="BS25" i="2"/>
  <c r="BQ25" i="2"/>
  <c r="BU25" i="2" s="1"/>
  <c r="BP25" i="2"/>
  <c r="BO25" i="2"/>
  <c r="BG25" i="2"/>
  <c r="BF25" i="2"/>
  <c r="BD25" i="2"/>
  <c r="AV25" i="2"/>
  <c r="AL25" i="2"/>
  <c r="AM25" i="2" s="1"/>
  <c r="AK25" i="2"/>
  <c r="AI25" i="2"/>
  <c r="W25" i="2"/>
  <c r="AC25" i="2" s="1"/>
  <c r="AT25" i="2" s="1"/>
  <c r="U25" i="2"/>
  <c r="BX25" i="2" s="1"/>
  <c r="T25" i="2"/>
  <c r="AA25" i="2" s="1"/>
  <c r="R25" i="2"/>
  <c r="S25" i="2" s="1"/>
  <c r="Q25" i="2"/>
  <c r="O25" i="2"/>
  <c r="J25" i="2"/>
  <c r="I25" i="2"/>
  <c r="G25" i="2"/>
  <c r="CB24" i="2"/>
  <c r="BZ24" i="2"/>
  <c r="BS24" i="2"/>
  <c r="BQ24" i="2"/>
  <c r="BP24" i="2"/>
  <c r="BO24" i="2"/>
  <c r="BF24" i="2"/>
  <c r="BD24" i="2"/>
  <c r="BG24" i="2" s="1"/>
  <c r="AV24" i="2"/>
  <c r="AM24" i="2"/>
  <c r="AL24" i="2"/>
  <c r="AK24" i="2"/>
  <c r="AI24" i="2"/>
  <c r="AD24" i="2"/>
  <c r="AU24" i="2" s="1"/>
  <c r="AB24" i="2"/>
  <c r="AS24" i="2" s="1"/>
  <c r="Y24" i="2"/>
  <c r="W24" i="2"/>
  <c r="U24" i="2"/>
  <c r="BX24" i="2" s="1"/>
  <c r="T24" i="2"/>
  <c r="R24" i="2"/>
  <c r="S24" i="2" s="1"/>
  <c r="Q24" i="2"/>
  <c r="O24" i="2"/>
  <c r="K24" i="2"/>
  <c r="J24" i="2"/>
  <c r="I24" i="2"/>
  <c r="G24" i="2"/>
  <c r="CG23" i="2"/>
  <c r="BT23" i="2"/>
  <c r="BS23" i="2"/>
  <c r="BQ23" i="2"/>
  <c r="BP23" i="2"/>
  <c r="BO23" i="2"/>
  <c r="BF23" i="2"/>
  <c r="BD23" i="2"/>
  <c r="BG23" i="2" s="1"/>
  <c r="AV23" i="2"/>
  <c r="AL23" i="2"/>
  <c r="AM23" i="2" s="1"/>
  <c r="AK23" i="2"/>
  <c r="AI23" i="2"/>
  <c r="AC23" i="2"/>
  <c r="AT23" i="2" s="1"/>
  <c r="W23" i="2"/>
  <c r="BZ23" i="2" s="1"/>
  <c r="U23" i="2"/>
  <c r="T23" i="2"/>
  <c r="S23" i="2"/>
  <c r="R23" i="2"/>
  <c r="Q23" i="2"/>
  <c r="O23" i="2"/>
  <c r="J23" i="2"/>
  <c r="K23" i="2" s="1"/>
  <c r="I23" i="2"/>
  <c r="G23" i="2"/>
  <c r="BZ22" i="2"/>
  <c r="CA22" i="2" s="1"/>
  <c r="BX22" i="2"/>
  <c r="BS22" i="2"/>
  <c r="BQ22" i="2"/>
  <c r="BP22" i="2"/>
  <c r="BO22" i="2"/>
  <c r="BD22" i="2"/>
  <c r="BF22" i="2" s="1"/>
  <c r="AV22" i="2"/>
  <c r="AR22" i="2"/>
  <c r="AL22" i="2"/>
  <c r="AM22" i="2" s="1"/>
  <c r="AK22" i="2"/>
  <c r="AI22" i="2"/>
  <c r="AB22" i="2"/>
  <c r="AS22" i="2" s="1"/>
  <c r="W22" i="2"/>
  <c r="AC22" i="2" s="1"/>
  <c r="AT22" i="2" s="1"/>
  <c r="U22" i="2"/>
  <c r="V22" i="2" s="1"/>
  <c r="T22" i="2"/>
  <c r="BW22" i="2" s="1"/>
  <c r="CD22" i="2" s="1"/>
  <c r="S22" i="2"/>
  <c r="R22" i="2"/>
  <c r="Q22" i="2"/>
  <c r="O22" i="2"/>
  <c r="K22" i="2"/>
  <c r="J22" i="2"/>
  <c r="I22" i="2"/>
  <c r="G22" i="2"/>
  <c r="BZ21" i="2"/>
  <c r="BX21" i="2"/>
  <c r="BW21" i="2"/>
  <c r="BU21" i="2"/>
  <c r="BV21" i="2" s="1"/>
  <c r="BS21" i="2"/>
  <c r="CG21" i="2" s="1"/>
  <c r="BQ21" i="2"/>
  <c r="BP21" i="2"/>
  <c r="BO21" i="2"/>
  <c r="BF21" i="2"/>
  <c r="BD21" i="2"/>
  <c r="BG21" i="2" s="1"/>
  <c r="AV21" i="2"/>
  <c r="AV36" i="2" s="1"/>
  <c r="AV37" i="2" s="1"/>
  <c r="AX55" i="2" s="1"/>
  <c r="AM21" i="2"/>
  <c r="AL21" i="2"/>
  <c r="AK21" i="2"/>
  <c r="AI21" i="2"/>
  <c r="AC21" i="2"/>
  <c r="AT21" i="2" s="1"/>
  <c r="AB21" i="2"/>
  <c r="AS21" i="2" s="1"/>
  <c r="AA21" i="2"/>
  <c r="W21" i="2"/>
  <c r="X21" i="2" s="1"/>
  <c r="U21" i="2"/>
  <c r="T21" i="2"/>
  <c r="V21" i="2" s="1"/>
  <c r="S21" i="2"/>
  <c r="R21" i="2"/>
  <c r="Q21" i="2"/>
  <c r="O21" i="2"/>
  <c r="J21" i="2"/>
  <c r="K21" i="2" s="1"/>
  <c r="I21" i="2"/>
  <c r="G21" i="2"/>
  <c r="BW20" i="2"/>
  <c r="BS20" i="2"/>
  <c r="BQ20" i="2"/>
  <c r="BP20" i="2"/>
  <c r="BO20" i="2"/>
  <c r="BF20" i="2"/>
  <c r="BD20" i="2"/>
  <c r="BG20" i="2" s="1"/>
  <c r="AV20" i="2"/>
  <c r="AR20" i="2"/>
  <c r="AM20" i="2"/>
  <c r="AL20" i="2"/>
  <c r="AK20" i="2"/>
  <c r="AI20" i="2"/>
  <c r="AA20" i="2"/>
  <c r="W20" i="2"/>
  <c r="V20" i="2"/>
  <c r="U20" i="2"/>
  <c r="T20" i="2"/>
  <c r="S20" i="2"/>
  <c r="R20" i="2"/>
  <c r="Q20" i="2"/>
  <c r="O20" i="2"/>
  <c r="J20" i="2"/>
  <c r="I20" i="2"/>
  <c r="G20" i="2"/>
  <c r="BZ19" i="2"/>
  <c r="CG19" i="2" s="1"/>
  <c r="BW19" i="2"/>
  <c r="BS19" i="2"/>
  <c r="BQ19" i="2"/>
  <c r="BP19" i="2"/>
  <c r="BO19" i="2"/>
  <c r="BG19" i="2"/>
  <c r="BF19" i="2"/>
  <c r="BD19" i="2"/>
  <c r="AV19" i="2"/>
  <c r="AM19" i="2"/>
  <c r="AL19" i="2"/>
  <c r="AK19" i="2"/>
  <c r="AI19" i="2"/>
  <c r="W19" i="2"/>
  <c r="U19" i="2"/>
  <c r="V19" i="2" s="1"/>
  <c r="T19" i="2"/>
  <c r="S19" i="2"/>
  <c r="R19" i="2"/>
  <c r="Q19" i="2"/>
  <c r="O19" i="2"/>
  <c r="K19" i="2"/>
  <c r="J19" i="2"/>
  <c r="I19" i="2"/>
  <c r="G19" i="2"/>
  <c r="BZ18" i="2"/>
  <c r="CG18" i="2" s="1"/>
  <c r="BX18" i="2"/>
  <c r="CB18" i="2" s="1"/>
  <c r="BW18" i="2"/>
  <c r="CA18" i="2" s="1"/>
  <c r="BV18" i="2"/>
  <c r="BS18" i="2"/>
  <c r="BQ18" i="2"/>
  <c r="BU18" i="2" s="1"/>
  <c r="BP18" i="2"/>
  <c r="BO18" i="2"/>
  <c r="BG18" i="2"/>
  <c r="BF18" i="2"/>
  <c r="BD18" i="2"/>
  <c r="AV18" i="2"/>
  <c r="AL18" i="2"/>
  <c r="AM18" i="2" s="1"/>
  <c r="AK18" i="2"/>
  <c r="AI18" i="2"/>
  <c r="W18" i="2"/>
  <c r="AC18" i="2" s="1"/>
  <c r="AT18" i="2" s="1"/>
  <c r="U18" i="2"/>
  <c r="AB18" i="2" s="1"/>
  <c r="AS18" i="2" s="1"/>
  <c r="T18" i="2"/>
  <c r="S18" i="2"/>
  <c r="R18" i="2"/>
  <c r="Q18" i="2"/>
  <c r="O18" i="2"/>
  <c r="K18" i="2"/>
  <c r="J18" i="2"/>
  <c r="I18" i="2"/>
  <c r="G18" i="2"/>
  <c r="CG17" i="2"/>
  <c r="BZ17" i="2"/>
  <c r="BX17" i="2"/>
  <c r="BU17" i="2"/>
  <c r="BV17" i="2" s="1"/>
  <c r="BT17" i="2"/>
  <c r="BS17" i="2"/>
  <c r="BQ17" i="2"/>
  <c r="BP17" i="2"/>
  <c r="BO17" i="2"/>
  <c r="BD17" i="2"/>
  <c r="AV17" i="2"/>
  <c r="AT17" i="2"/>
  <c r="AL17" i="2"/>
  <c r="AM17" i="2" s="1"/>
  <c r="AK17" i="2"/>
  <c r="AI17" i="2"/>
  <c r="AC17" i="2"/>
  <c r="AB17" i="2"/>
  <c r="AS17" i="2" s="1"/>
  <c r="W17" i="2"/>
  <c r="U17" i="2"/>
  <c r="T17" i="2"/>
  <c r="S17" i="2"/>
  <c r="R17" i="2"/>
  <c r="Q17" i="2"/>
  <c r="O17" i="2"/>
  <c r="J17" i="2"/>
  <c r="K17" i="2" s="1"/>
  <c r="I17" i="2"/>
  <c r="G17" i="2"/>
  <c r="CG16" i="2"/>
  <c r="CH16" i="2" s="1"/>
  <c r="BW16" i="2"/>
  <c r="BV16" i="2"/>
  <c r="BU16" i="2"/>
  <c r="BS16" i="2"/>
  <c r="BT16" i="2" s="1"/>
  <c r="BQ16" i="2"/>
  <c r="BP16" i="2"/>
  <c r="CD16" i="2" s="1"/>
  <c r="BO16" i="2"/>
  <c r="BG16" i="2"/>
  <c r="BF16" i="2"/>
  <c r="BD16" i="2"/>
  <c r="AV16" i="2"/>
  <c r="AL16" i="2"/>
  <c r="AL43" i="2" s="1"/>
  <c r="AM43" i="2" s="1"/>
  <c r="AK16" i="2"/>
  <c r="AI16" i="2"/>
  <c r="AC16" i="2"/>
  <c r="AT16" i="2" s="1"/>
  <c r="W16" i="2"/>
  <c r="BZ16" i="2" s="1"/>
  <c r="CA16" i="2" s="1"/>
  <c r="U16" i="2"/>
  <c r="U43" i="2" s="1"/>
  <c r="V43" i="2" s="1"/>
  <c r="T16" i="2"/>
  <c r="S16" i="2"/>
  <c r="R16" i="2"/>
  <c r="Q16" i="2"/>
  <c r="O16" i="2"/>
  <c r="J16" i="2"/>
  <c r="K16" i="2" s="1"/>
  <c r="I16" i="2"/>
  <c r="G16" i="2"/>
  <c r="BW15" i="2"/>
  <c r="BS15" i="2"/>
  <c r="CG15" i="2" s="1"/>
  <c r="CH15" i="2" s="1"/>
  <c r="BQ15" i="2"/>
  <c r="BP15" i="2"/>
  <c r="CD15" i="2" s="1"/>
  <c r="BO15" i="2"/>
  <c r="BF15" i="2"/>
  <c r="BD15" i="2"/>
  <c r="BG15" i="2" s="1"/>
  <c r="AV15" i="2"/>
  <c r="AR15" i="2"/>
  <c r="AM15" i="2"/>
  <c r="AL15" i="2"/>
  <c r="AK15" i="2"/>
  <c r="AI15" i="2"/>
  <c r="AC15" i="2"/>
  <c r="AT15" i="2" s="1"/>
  <c r="AA15" i="2"/>
  <c r="X15" i="2"/>
  <c r="W15" i="2"/>
  <c r="BZ15" i="2" s="1"/>
  <c r="U15" i="2"/>
  <c r="V15" i="2" s="1"/>
  <c r="T15" i="2"/>
  <c r="S15" i="2"/>
  <c r="R15" i="2"/>
  <c r="Q15" i="2"/>
  <c r="O15" i="2"/>
  <c r="J15" i="2"/>
  <c r="K15" i="2" s="1"/>
  <c r="I15" i="2"/>
  <c r="G15" i="2"/>
  <c r="BZ14" i="2"/>
  <c r="BX14" i="2"/>
  <c r="BW14" i="2"/>
  <c r="BS14" i="2"/>
  <c r="BQ14" i="2"/>
  <c r="BU14" i="2" s="1"/>
  <c r="BV14" i="2" s="1"/>
  <c r="BP14" i="2"/>
  <c r="BO14" i="2"/>
  <c r="BD14" i="2"/>
  <c r="BF14" i="2" s="1"/>
  <c r="AV14" i="2"/>
  <c r="AM14" i="2"/>
  <c r="AL14" i="2"/>
  <c r="AK14" i="2"/>
  <c r="AI14" i="2"/>
  <c r="W14" i="2"/>
  <c r="U14" i="2"/>
  <c r="V14" i="2" s="1"/>
  <c r="T14" i="2"/>
  <c r="R14" i="2"/>
  <c r="S14" i="2" s="1"/>
  <c r="Q14" i="2"/>
  <c r="O14" i="2"/>
  <c r="K14" i="2"/>
  <c r="J14" i="2"/>
  <c r="I14" i="2"/>
  <c r="G14" i="2"/>
  <c r="BZ13" i="2"/>
  <c r="CG13" i="2" s="1"/>
  <c r="BS13" i="2"/>
  <c r="BQ13" i="2"/>
  <c r="BP13" i="2"/>
  <c r="BO13" i="2"/>
  <c r="BG13" i="2"/>
  <c r="BD13" i="2"/>
  <c r="BF13" i="2" s="1"/>
  <c r="AV13" i="2"/>
  <c r="AR13" i="2"/>
  <c r="AM13" i="2"/>
  <c r="AL13" i="2"/>
  <c r="AK13" i="2"/>
  <c r="AI13" i="2"/>
  <c r="AA13" i="2"/>
  <c r="W13" i="2"/>
  <c r="AC13" i="2" s="1"/>
  <c r="AT13" i="2" s="1"/>
  <c r="U13" i="2"/>
  <c r="T13" i="2"/>
  <c r="BW13" i="2" s="1"/>
  <c r="S13" i="2"/>
  <c r="R13" i="2"/>
  <c r="Q13" i="2"/>
  <c r="O13" i="2"/>
  <c r="J13" i="2"/>
  <c r="I13" i="2"/>
  <c r="G13" i="2"/>
  <c r="BS12" i="2"/>
  <c r="BQ12" i="2"/>
  <c r="BP12" i="2"/>
  <c r="BO12" i="2"/>
  <c r="BG12" i="2"/>
  <c r="BD12" i="2"/>
  <c r="BF12" i="2" s="1"/>
  <c r="AV12" i="2"/>
  <c r="AR12" i="2"/>
  <c r="AL12" i="2"/>
  <c r="AM12" i="2" s="1"/>
  <c r="AK12" i="2"/>
  <c r="AI12" i="2"/>
  <c r="AA12" i="2"/>
  <c r="W12" i="2"/>
  <c r="AC12" i="2" s="1"/>
  <c r="AT12" i="2" s="1"/>
  <c r="U12" i="2"/>
  <c r="T12" i="2"/>
  <c r="BW12" i="2" s="1"/>
  <c r="R12" i="2"/>
  <c r="S12" i="2" s="1"/>
  <c r="Q12" i="2"/>
  <c r="O12" i="2"/>
  <c r="J12" i="2"/>
  <c r="I12" i="2"/>
  <c r="G12" i="2"/>
  <c r="BZ11" i="2"/>
  <c r="BS11" i="2"/>
  <c r="BQ11" i="2"/>
  <c r="BP11" i="2"/>
  <c r="BO11" i="2"/>
  <c r="BD11" i="2"/>
  <c r="BG11" i="2" s="1"/>
  <c r="AV11" i="2"/>
  <c r="AS11" i="2"/>
  <c r="AM11" i="2"/>
  <c r="AL11" i="2"/>
  <c r="AL45" i="2" s="1"/>
  <c r="AM45" i="2" s="1"/>
  <c r="AK11" i="2"/>
  <c r="AI11" i="2"/>
  <c r="AB11" i="2"/>
  <c r="AA11" i="2"/>
  <c r="W11" i="2"/>
  <c r="V11" i="2"/>
  <c r="U11" i="2"/>
  <c r="BX11" i="2" s="1"/>
  <c r="CE11" i="2" s="1"/>
  <c r="T11" i="2"/>
  <c r="S11" i="2"/>
  <c r="R11" i="2"/>
  <c r="R45" i="2" s="1"/>
  <c r="S45" i="2" s="1"/>
  <c r="Q11" i="2"/>
  <c r="O11" i="2"/>
  <c r="J11" i="2"/>
  <c r="K11" i="2" s="1"/>
  <c r="I11" i="2"/>
  <c r="G11" i="2"/>
  <c r="CD10" i="2"/>
  <c r="BW10" i="2"/>
  <c r="BS10" i="2"/>
  <c r="BQ10" i="2"/>
  <c r="BP10" i="2"/>
  <c r="BO10" i="2"/>
  <c r="BD10" i="2"/>
  <c r="BG10" i="2" s="1"/>
  <c r="AV10" i="2"/>
  <c r="AS10" i="2"/>
  <c r="AR10" i="2"/>
  <c r="AL10" i="2"/>
  <c r="AL44" i="2" s="1"/>
  <c r="AM44" i="2" s="1"/>
  <c r="AK10" i="2"/>
  <c r="AI10" i="2"/>
  <c r="AB10" i="2"/>
  <c r="AA10" i="2"/>
  <c r="W10" i="2"/>
  <c r="U10" i="2"/>
  <c r="T10" i="2"/>
  <c r="S10" i="2"/>
  <c r="R10" i="2"/>
  <c r="Q10" i="2"/>
  <c r="O10" i="2"/>
  <c r="K10" i="2"/>
  <c r="J10" i="2"/>
  <c r="I10" i="2"/>
  <c r="G10" i="2"/>
  <c r="BS9" i="2"/>
  <c r="BQ9" i="2"/>
  <c r="BU9" i="2" s="1"/>
  <c r="BP9" i="2"/>
  <c r="BO9" i="2"/>
  <c r="BD9" i="2"/>
  <c r="BG9" i="2" s="1"/>
  <c r="AV9" i="2"/>
  <c r="AT9" i="2"/>
  <c r="AS9" i="2"/>
  <c r="AR9" i="2"/>
  <c r="AM9" i="2"/>
  <c r="AL9" i="2"/>
  <c r="AK9" i="2"/>
  <c r="AI9" i="2"/>
  <c r="AC9" i="2"/>
  <c r="AB9" i="2"/>
  <c r="AA9" i="2"/>
  <c r="Y9" i="2"/>
  <c r="Z9" i="2" s="1"/>
  <c r="W9" i="2"/>
  <c r="U9" i="2"/>
  <c r="BX9" i="2" s="1"/>
  <c r="T9" i="2"/>
  <c r="V9" i="2" s="1"/>
  <c r="S9" i="2"/>
  <c r="R9" i="2"/>
  <c r="Q9" i="2"/>
  <c r="O9" i="2"/>
  <c r="K9" i="2"/>
  <c r="J9" i="2"/>
  <c r="I9" i="2"/>
  <c r="G9" i="2"/>
  <c r="BU8" i="2"/>
  <c r="BV8" i="2" s="1"/>
  <c r="BT8" i="2"/>
  <c r="BS8" i="2"/>
  <c r="BR8" i="2"/>
  <c r="BQ8" i="2"/>
  <c r="BP8" i="2"/>
  <c r="BO8" i="2"/>
  <c r="BF8" i="2"/>
  <c r="BD8" i="2"/>
  <c r="BG8" i="2" s="1"/>
  <c r="AV8" i="2"/>
  <c r="AL8" i="2"/>
  <c r="AK8" i="2"/>
  <c r="AI8" i="2"/>
  <c r="AC8" i="2"/>
  <c r="AT8" i="2" s="1"/>
  <c r="Y8" i="2"/>
  <c r="W8" i="2"/>
  <c r="U8" i="2"/>
  <c r="T8" i="2"/>
  <c r="T42" i="2" s="1"/>
  <c r="S8" i="2"/>
  <c r="R8" i="2"/>
  <c r="R42" i="2" s="1"/>
  <c r="S42" i="2" s="1"/>
  <c r="Q8" i="2"/>
  <c r="O8" i="2"/>
  <c r="K8" i="2"/>
  <c r="J8" i="2"/>
  <c r="I8" i="2"/>
  <c r="G8" i="2"/>
  <c r="BU7" i="2"/>
  <c r="BV7" i="2" s="1"/>
  <c r="BT7" i="2"/>
  <c r="BS7" i="2"/>
  <c r="BR7" i="2"/>
  <c r="BQ7" i="2"/>
  <c r="BP7" i="2"/>
  <c r="BO7" i="2"/>
  <c r="BF7" i="2"/>
  <c r="BD7" i="2"/>
  <c r="AV7" i="2"/>
  <c r="AL7" i="2"/>
  <c r="AK7" i="2"/>
  <c r="AI7" i="2"/>
  <c r="AC7" i="2"/>
  <c r="AT7" i="2" s="1"/>
  <c r="W7" i="2"/>
  <c r="U7" i="2"/>
  <c r="T7" i="2"/>
  <c r="BW7" i="2" s="1"/>
  <c r="S7" i="2"/>
  <c r="R7" i="2"/>
  <c r="Q7" i="2"/>
  <c r="O7" i="2"/>
  <c r="J7" i="2"/>
  <c r="I7" i="2"/>
  <c r="G7" i="2"/>
  <c r="BX6" i="2"/>
  <c r="BS6" i="2"/>
  <c r="BQ6" i="2"/>
  <c r="BP6" i="2"/>
  <c r="BO6" i="2"/>
  <c r="BO36" i="2" s="1"/>
  <c r="BG6" i="2"/>
  <c r="BD6" i="2"/>
  <c r="BF6" i="2" s="1"/>
  <c r="AV6" i="2"/>
  <c r="AR6" i="2"/>
  <c r="AL6" i="2"/>
  <c r="AL47" i="2" s="1"/>
  <c r="AM47" i="2" s="1"/>
  <c r="AK6" i="2"/>
  <c r="AI6" i="2"/>
  <c r="AB6" i="2"/>
  <c r="AS6" i="2" s="1"/>
  <c r="AA6" i="2"/>
  <c r="W6" i="2"/>
  <c r="Y6" i="2" s="1"/>
  <c r="U6" i="2"/>
  <c r="T6" i="2"/>
  <c r="T47" i="2" s="1"/>
  <c r="R6" i="2"/>
  <c r="Q6" i="2"/>
  <c r="O6" i="2"/>
  <c r="J6" i="2"/>
  <c r="K6" i="2" s="1"/>
  <c r="I6" i="2"/>
  <c r="G6" i="2"/>
  <c r="BS5" i="2"/>
  <c r="BR5" i="2"/>
  <c r="BQ5" i="2"/>
  <c r="BP5" i="2"/>
  <c r="BO5" i="2"/>
  <c r="BF5" i="2"/>
  <c r="BD5" i="2"/>
  <c r="AV5" i="2"/>
  <c r="AT5" i="2"/>
  <c r="AS5" i="2"/>
  <c r="AM5" i="2"/>
  <c r="AL5" i="2"/>
  <c r="AK5" i="2"/>
  <c r="AI5" i="2"/>
  <c r="AC5" i="2"/>
  <c r="AB5" i="2"/>
  <c r="W5" i="2"/>
  <c r="U5" i="2"/>
  <c r="T5" i="2"/>
  <c r="S5" i="2"/>
  <c r="R5" i="2"/>
  <c r="Q5" i="2"/>
  <c r="O5" i="2"/>
  <c r="J5" i="2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AL65" i="1"/>
  <c r="AD65" i="1"/>
  <c r="AN61" i="1"/>
  <c r="AF61" i="1"/>
  <c r="AE56" i="1"/>
  <c r="Z56" i="1"/>
  <c r="AM56" i="1" s="1"/>
  <c r="S56" i="1"/>
  <c r="K56" i="1"/>
  <c r="AW54" i="1"/>
  <c r="AV54" i="1"/>
  <c r="AK47" i="1"/>
  <c r="AJ47" i="1"/>
  <c r="AH47" i="1"/>
  <c r="AI47" i="1" s="1"/>
  <c r="AG47" i="1"/>
  <c r="P47" i="1"/>
  <c r="Q47" i="1" s="1"/>
  <c r="N47" i="1"/>
  <c r="O47" i="1" s="1"/>
  <c r="M47" i="1"/>
  <c r="H47" i="1"/>
  <c r="I47" i="1" s="1"/>
  <c r="G47" i="1"/>
  <c r="F47" i="1"/>
  <c r="E47" i="1"/>
  <c r="AK46" i="1"/>
  <c r="AJ46" i="1"/>
  <c r="AH46" i="1"/>
  <c r="AI46" i="1" s="1"/>
  <c r="AG46" i="1"/>
  <c r="Q46" i="1"/>
  <c r="P46" i="1"/>
  <c r="N46" i="1"/>
  <c r="O46" i="1" s="1"/>
  <c r="M46" i="1"/>
  <c r="H46" i="1"/>
  <c r="I46" i="1" s="1"/>
  <c r="F46" i="1"/>
  <c r="E46" i="1"/>
  <c r="AJ45" i="1"/>
  <c r="AH45" i="1"/>
  <c r="AI45" i="1" s="1"/>
  <c r="AG45" i="1"/>
  <c r="R45" i="1"/>
  <c r="S45" i="1" s="1"/>
  <c r="P45" i="1"/>
  <c r="Q45" i="1" s="1"/>
  <c r="N45" i="1"/>
  <c r="O45" i="1" s="1"/>
  <c r="M45" i="1"/>
  <c r="H45" i="1"/>
  <c r="F45" i="1"/>
  <c r="G45" i="1" s="1"/>
  <c r="E45" i="1"/>
  <c r="AJ44" i="1"/>
  <c r="AH44" i="1"/>
  <c r="AI44" i="1" s="1"/>
  <c r="AG44" i="1"/>
  <c r="P44" i="1"/>
  <c r="Q44" i="1" s="1"/>
  <c r="N44" i="1"/>
  <c r="M44" i="1"/>
  <c r="O44" i="1" s="1"/>
  <c r="H44" i="1"/>
  <c r="I44" i="1" s="1"/>
  <c r="F44" i="1"/>
  <c r="G44" i="1" s="1"/>
  <c r="E44" i="1"/>
  <c r="AK43" i="1"/>
  <c r="AJ43" i="1"/>
  <c r="AH43" i="1"/>
  <c r="AI43" i="1" s="1"/>
  <c r="AG43" i="1"/>
  <c r="P43" i="1"/>
  <c r="N43" i="1"/>
  <c r="O43" i="1" s="1"/>
  <c r="M43" i="1"/>
  <c r="H43" i="1"/>
  <c r="F43" i="1"/>
  <c r="E43" i="1"/>
  <c r="I43" i="1" s="1"/>
  <c r="AJ42" i="1"/>
  <c r="AK42" i="1" s="1"/>
  <c r="AH42" i="1"/>
  <c r="AI42" i="1" s="1"/>
  <c r="AG42" i="1"/>
  <c r="P42" i="1"/>
  <c r="N42" i="1"/>
  <c r="O42" i="1" s="1"/>
  <c r="M42" i="1"/>
  <c r="Q42" i="1" s="1"/>
  <c r="H42" i="1"/>
  <c r="I42" i="1" s="1"/>
  <c r="G42" i="1"/>
  <c r="F42" i="1"/>
  <c r="E42" i="1"/>
  <c r="AK41" i="1"/>
  <c r="AJ41" i="1"/>
  <c r="AH41" i="1"/>
  <c r="AI41" i="1" s="1"/>
  <c r="AG41" i="1"/>
  <c r="P41" i="1"/>
  <c r="Q41" i="1" s="1"/>
  <c r="N41" i="1"/>
  <c r="O41" i="1" s="1"/>
  <c r="M41" i="1"/>
  <c r="H41" i="1"/>
  <c r="I41" i="1" s="1"/>
  <c r="F41" i="1"/>
  <c r="G41" i="1" s="1"/>
  <c r="E41" i="1"/>
  <c r="AI38" i="1"/>
  <c r="AB38" i="1"/>
  <c r="W38" i="1"/>
  <c r="O38" i="1"/>
  <c r="AZ37" i="1"/>
  <c r="H37" i="1"/>
  <c r="F37" i="1"/>
  <c r="G37" i="1" s="1"/>
  <c r="BC36" i="1"/>
  <c r="BB36" i="1"/>
  <c r="BA36" i="1"/>
  <c r="AZ36" i="1"/>
  <c r="AY36" i="1"/>
  <c r="AX36" i="1"/>
  <c r="AW36" i="1"/>
  <c r="AQ36" i="1"/>
  <c r="AP36" i="1"/>
  <c r="AO36" i="1"/>
  <c r="AN36" i="1"/>
  <c r="AJ36" i="1"/>
  <c r="AJ37" i="1" s="1"/>
  <c r="AH36" i="1"/>
  <c r="AH37" i="1" s="1"/>
  <c r="AI37" i="1" s="1"/>
  <c r="AG36" i="1"/>
  <c r="AN39" i="1" s="1"/>
  <c r="AF36" i="1"/>
  <c r="P36" i="1"/>
  <c r="P37" i="1" s="1"/>
  <c r="N36" i="1"/>
  <c r="N37" i="1" s="1"/>
  <c r="O37" i="1" s="1"/>
  <c r="M36" i="1"/>
  <c r="L36" i="1"/>
  <c r="H36" i="1"/>
  <c r="I36" i="1" s="1"/>
  <c r="F36" i="1"/>
  <c r="G36" i="1" s="1"/>
  <c r="E36" i="1"/>
  <c r="F38" i="1" s="1"/>
  <c r="D36" i="1"/>
  <c r="C36" i="1"/>
  <c r="BZ35" i="1"/>
  <c r="BS35" i="1"/>
  <c r="CG35" i="1" s="1"/>
  <c r="BR35" i="1"/>
  <c r="BQ35" i="1"/>
  <c r="BP35" i="1"/>
  <c r="BO35" i="1"/>
  <c r="BD35" i="1"/>
  <c r="AV35" i="1"/>
  <c r="AT35" i="1"/>
  <c r="AS35" i="1"/>
  <c r="AR35" i="1"/>
  <c r="AM35" i="1"/>
  <c r="AL35" i="1"/>
  <c r="AK35" i="1"/>
  <c r="AI35" i="1"/>
  <c r="AC35" i="1"/>
  <c r="AB35" i="1"/>
  <c r="AA35" i="1"/>
  <c r="Z35" i="1"/>
  <c r="Y35" i="1"/>
  <c r="AD35" i="1" s="1"/>
  <c r="AU35" i="1" s="1"/>
  <c r="W35" i="1"/>
  <c r="U35" i="1"/>
  <c r="T35" i="1"/>
  <c r="S35" i="1"/>
  <c r="R35" i="1"/>
  <c r="Q35" i="1"/>
  <c r="O35" i="1"/>
  <c r="K35" i="1"/>
  <c r="J35" i="1"/>
  <c r="I35" i="1"/>
  <c r="G35" i="1"/>
  <c r="CE34" i="1"/>
  <c r="BZ34" i="1"/>
  <c r="BX34" i="1"/>
  <c r="BU34" i="1"/>
  <c r="BS34" i="1"/>
  <c r="BQ34" i="1"/>
  <c r="BP34" i="1"/>
  <c r="BO34" i="1"/>
  <c r="BG34" i="1"/>
  <c r="BF34" i="1"/>
  <c r="BD34" i="1"/>
  <c r="AV34" i="1"/>
  <c r="AL34" i="1"/>
  <c r="AM34" i="1" s="1"/>
  <c r="AK34" i="1"/>
  <c r="AI34" i="1"/>
  <c r="AC34" i="1"/>
  <c r="AT34" i="1" s="1"/>
  <c r="W34" i="1"/>
  <c r="X34" i="1" s="1"/>
  <c r="U34" i="1"/>
  <c r="AB34" i="1" s="1"/>
  <c r="AS34" i="1" s="1"/>
  <c r="T34" i="1"/>
  <c r="S34" i="1"/>
  <c r="R34" i="1"/>
  <c r="Q34" i="1"/>
  <c r="O34" i="1"/>
  <c r="J34" i="1"/>
  <c r="K34" i="1" s="1"/>
  <c r="I34" i="1"/>
  <c r="G34" i="1"/>
  <c r="CE33" i="1"/>
  <c r="BX33" i="1"/>
  <c r="BY33" i="1" s="1"/>
  <c r="BS33" i="1"/>
  <c r="BQ33" i="1"/>
  <c r="BU33" i="1" s="1"/>
  <c r="BP33" i="1"/>
  <c r="BV33" i="1" s="1"/>
  <c r="BO33" i="1"/>
  <c r="BD33" i="1"/>
  <c r="BF33" i="1" s="1"/>
  <c r="AV33" i="1"/>
  <c r="AS33" i="1"/>
  <c r="AR33" i="1"/>
  <c r="AL33" i="1"/>
  <c r="BG33" i="1" s="1"/>
  <c r="AK33" i="1"/>
  <c r="AI33" i="1"/>
  <c r="AB33" i="1"/>
  <c r="AA33" i="1"/>
  <c r="X33" i="1"/>
  <c r="W33" i="1"/>
  <c r="U33" i="1"/>
  <c r="V33" i="1" s="1"/>
  <c r="T33" i="1"/>
  <c r="BW33" i="1" s="1"/>
  <c r="S33" i="1"/>
  <c r="R33" i="1"/>
  <c r="Q33" i="1"/>
  <c r="O33" i="1"/>
  <c r="J33" i="1"/>
  <c r="I33" i="1"/>
  <c r="G33" i="1"/>
  <c r="BX32" i="1"/>
  <c r="BW32" i="1"/>
  <c r="CD32" i="1" s="1"/>
  <c r="BV32" i="1"/>
  <c r="BU32" i="1"/>
  <c r="BT32" i="1"/>
  <c r="BS32" i="1"/>
  <c r="BR32" i="1"/>
  <c r="BQ32" i="1"/>
  <c r="BP32" i="1"/>
  <c r="BO32" i="1"/>
  <c r="BD32" i="1"/>
  <c r="BG32" i="1" s="1"/>
  <c r="AV32" i="1"/>
  <c r="AL32" i="1"/>
  <c r="AM32" i="1" s="1"/>
  <c r="AK32" i="1"/>
  <c r="AI32" i="1"/>
  <c r="AD32" i="1"/>
  <c r="AU32" i="1" s="1"/>
  <c r="AC32" i="1"/>
  <c r="AT32" i="1" s="1"/>
  <c r="AB32" i="1"/>
  <c r="AS32" i="1" s="1"/>
  <c r="AA32" i="1"/>
  <c r="W32" i="1"/>
  <c r="U32" i="1"/>
  <c r="Y32" i="1" s="1"/>
  <c r="T32" i="1"/>
  <c r="S32" i="1"/>
  <c r="R32" i="1"/>
  <c r="Q32" i="1"/>
  <c r="O32" i="1"/>
  <c r="K32" i="1"/>
  <c r="J32" i="1"/>
  <c r="I32" i="1"/>
  <c r="G32" i="1"/>
  <c r="BZ31" i="1"/>
  <c r="CG31" i="1" s="1"/>
  <c r="BW31" i="1"/>
  <c r="BS31" i="1"/>
  <c r="BQ31" i="1"/>
  <c r="BP31" i="1"/>
  <c r="BO31" i="1"/>
  <c r="BD31" i="1"/>
  <c r="BF31" i="1" s="1"/>
  <c r="AV31" i="1"/>
  <c r="AR31" i="1"/>
  <c r="AL31" i="1"/>
  <c r="AM31" i="1" s="1"/>
  <c r="AK31" i="1"/>
  <c r="AI31" i="1"/>
  <c r="AA31" i="1"/>
  <c r="W31" i="1"/>
  <c r="AC31" i="1" s="1"/>
  <c r="AT31" i="1" s="1"/>
  <c r="U31" i="1"/>
  <c r="T31" i="1"/>
  <c r="S31" i="1"/>
  <c r="R31" i="1"/>
  <c r="Q31" i="1"/>
  <c r="O31" i="1"/>
  <c r="J31" i="1"/>
  <c r="I31" i="1"/>
  <c r="G31" i="1"/>
  <c r="BZ30" i="1"/>
  <c r="CA30" i="1" s="1"/>
  <c r="BS30" i="1"/>
  <c r="CG30" i="1" s="1"/>
  <c r="CH30" i="1" s="1"/>
  <c r="BR30" i="1"/>
  <c r="BQ30" i="1"/>
  <c r="BU30" i="1" s="1"/>
  <c r="BV30" i="1" s="1"/>
  <c r="BP30" i="1"/>
  <c r="CD30" i="1" s="1"/>
  <c r="BO30" i="1"/>
  <c r="BD30" i="1"/>
  <c r="AV30" i="1"/>
  <c r="AS30" i="1"/>
  <c r="AR30" i="1"/>
  <c r="AM30" i="1"/>
  <c r="AL30" i="1"/>
  <c r="AK30" i="1"/>
  <c r="AI30" i="1"/>
  <c r="AC30" i="1"/>
  <c r="AT30" i="1" s="1"/>
  <c r="AB30" i="1"/>
  <c r="AA30" i="1"/>
  <c r="Z30" i="1"/>
  <c r="Y30" i="1"/>
  <c r="AD30" i="1" s="1"/>
  <c r="AU30" i="1" s="1"/>
  <c r="W30" i="1"/>
  <c r="X30" i="1" s="1"/>
  <c r="U30" i="1"/>
  <c r="T30" i="1"/>
  <c r="BW30" i="1" s="1"/>
  <c r="R30" i="1"/>
  <c r="S30" i="1" s="1"/>
  <c r="Q30" i="1"/>
  <c r="O30" i="1"/>
  <c r="K30" i="1"/>
  <c r="J30" i="1"/>
  <c r="I30" i="1"/>
  <c r="G30" i="1"/>
  <c r="BZ29" i="1"/>
  <c r="BX29" i="1"/>
  <c r="CB29" i="1" s="1"/>
  <c r="BU29" i="1"/>
  <c r="BS29" i="1"/>
  <c r="BQ29" i="1"/>
  <c r="BP29" i="1"/>
  <c r="BO29" i="1"/>
  <c r="BG29" i="1"/>
  <c r="BF29" i="1"/>
  <c r="BD29" i="1"/>
  <c r="AV29" i="1"/>
  <c r="AL29" i="1"/>
  <c r="AM29" i="1" s="1"/>
  <c r="AK29" i="1"/>
  <c r="AI29" i="1"/>
  <c r="AC29" i="1"/>
  <c r="AT29" i="1" s="1"/>
  <c r="W29" i="1"/>
  <c r="X29" i="1" s="1"/>
  <c r="U29" i="1"/>
  <c r="AB29" i="1" s="1"/>
  <c r="AS29" i="1" s="1"/>
  <c r="T29" i="1"/>
  <c r="S29" i="1"/>
  <c r="R29" i="1"/>
  <c r="Q29" i="1"/>
  <c r="O29" i="1"/>
  <c r="J29" i="1"/>
  <c r="K29" i="1" s="1"/>
  <c r="I29" i="1"/>
  <c r="G29" i="1"/>
  <c r="CE28" i="1"/>
  <c r="CD28" i="1"/>
  <c r="BX28" i="1"/>
  <c r="BY28" i="1" s="1"/>
  <c r="BT28" i="1"/>
  <c r="BS28" i="1"/>
  <c r="BQ28" i="1"/>
  <c r="BU28" i="1" s="1"/>
  <c r="BP28" i="1"/>
  <c r="BV28" i="1" s="1"/>
  <c r="BO28" i="1"/>
  <c r="BD28" i="1"/>
  <c r="BF28" i="1" s="1"/>
  <c r="AV28" i="1"/>
  <c r="AS28" i="1"/>
  <c r="AR28" i="1"/>
  <c r="AM28" i="1"/>
  <c r="AL28" i="1"/>
  <c r="BG28" i="1" s="1"/>
  <c r="AK28" i="1"/>
  <c r="AI28" i="1"/>
  <c r="AB28" i="1"/>
  <c r="AA28" i="1"/>
  <c r="W28" i="1"/>
  <c r="U28" i="1"/>
  <c r="V28" i="1" s="1"/>
  <c r="T28" i="1"/>
  <c r="BW28" i="1" s="1"/>
  <c r="S28" i="1"/>
  <c r="R28" i="1"/>
  <c r="Q28" i="1"/>
  <c r="O28" i="1"/>
  <c r="K28" i="1"/>
  <c r="J28" i="1"/>
  <c r="I28" i="1"/>
  <c r="G28" i="1"/>
  <c r="BU27" i="1"/>
  <c r="BV27" i="1" s="1"/>
  <c r="BT27" i="1"/>
  <c r="BS27" i="1"/>
  <c r="BR27" i="1"/>
  <c r="BQ27" i="1"/>
  <c r="BP27" i="1"/>
  <c r="BO27" i="1"/>
  <c r="BD27" i="1"/>
  <c r="BG27" i="1" s="1"/>
  <c r="AV27" i="1"/>
  <c r="AM27" i="1"/>
  <c r="AL27" i="1"/>
  <c r="AK27" i="1"/>
  <c r="AI27" i="1"/>
  <c r="AC27" i="1"/>
  <c r="AT27" i="1" s="1"/>
  <c r="AB27" i="1"/>
  <c r="AS27" i="1" s="1"/>
  <c r="W27" i="1"/>
  <c r="U27" i="1"/>
  <c r="Y27" i="1" s="1"/>
  <c r="T27" i="1"/>
  <c r="S27" i="1"/>
  <c r="R27" i="1"/>
  <c r="AD27" i="1" s="1"/>
  <c r="AU27" i="1" s="1"/>
  <c r="Q27" i="1"/>
  <c r="O27" i="1"/>
  <c r="K27" i="1"/>
  <c r="J27" i="1"/>
  <c r="I27" i="1"/>
  <c r="G27" i="1"/>
  <c r="BW26" i="1"/>
  <c r="BS26" i="1"/>
  <c r="BQ26" i="1"/>
  <c r="BP26" i="1"/>
  <c r="BO26" i="1"/>
  <c r="BD26" i="1"/>
  <c r="BG26" i="1" s="1"/>
  <c r="AV26" i="1"/>
  <c r="AR26" i="1"/>
  <c r="AL26" i="1"/>
  <c r="AM26" i="1" s="1"/>
  <c r="AK26" i="1"/>
  <c r="AI26" i="1"/>
  <c r="AA26" i="1"/>
  <c r="X26" i="1"/>
  <c r="W26" i="1"/>
  <c r="V26" i="1"/>
  <c r="U26" i="1"/>
  <c r="T26" i="1"/>
  <c r="S26" i="1"/>
  <c r="R26" i="1"/>
  <c r="Q26" i="1"/>
  <c r="O26" i="1"/>
  <c r="J26" i="1"/>
  <c r="I26" i="1"/>
  <c r="G26" i="1"/>
  <c r="BZ25" i="1"/>
  <c r="CB25" i="1" s="1"/>
  <c r="BX25" i="1"/>
  <c r="BU25" i="1"/>
  <c r="BV25" i="1" s="1"/>
  <c r="BT25" i="1"/>
  <c r="BS25" i="1"/>
  <c r="CG25" i="1" s="1"/>
  <c r="BQ25" i="1"/>
  <c r="CE25" i="1" s="1"/>
  <c r="BP25" i="1"/>
  <c r="BO25" i="1"/>
  <c r="BD25" i="1"/>
  <c r="AV25" i="1"/>
  <c r="AT25" i="1"/>
  <c r="AS25" i="1"/>
  <c r="AM25" i="1"/>
  <c r="AL25" i="1"/>
  <c r="AK25" i="1"/>
  <c r="AI25" i="1"/>
  <c r="AC25" i="1"/>
  <c r="AB25" i="1"/>
  <c r="AA25" i="1"/>
  <c r="Y25" i="1"/>
  <c r="Z25" i="1" s="1"/>
  <c r="X25" i="1"/>
  <c r="W25" i="1"/>
  <c r="U25" i="1"/>
  <c r="T25" i="1"/>
  <c r="R25" i="1"/>
  <c r="S25" i="1" s="1"/>
  <c r="Q25" i="1"/>
  <c r="O25" i="1"/>
  <c r="J25" i="1"/>
  <c r="AD25" i="1" s="1"/>
  <c r="AU25" i="1" s="1"/>
  <c r="I25" i="1"/>
  <c r="G25" i="1"/>
  <c r="BX24" i="1"/>
  <c r="CB24" i="1" s="1"/>
  <c r="BT24" i="1"/>
  <c r="BS24" i="1"/>
  <c r="BU24" i="1" s="1"/>
  <c r="BV24" i="1" s="1"/>
  <c r="BQ24" i="1"/>
  <c r="BR24" i="1" s="1"/>
  <c r="BP24" i="1"/>
  <c r="BO24" i="1"/>
  <c r="BF24" i="1"/>
  <c r="BD24" i="1"/>
  <c r="AV24" i="1"/>
  <c r="AT24" i="1"/>
  <c r="AL24" i="1"/>
  <c r="AM24" i="1" s="1"/>
  <c r="AK24" i="1"/>
  <c r="AI24" i="1"/>
  <c r="AC24" i="1"/>
  <c r="W24" i="1"/>
  <c r="BZ24" i="1" s="1"/>
  <c r="U24" i="1"/>
  <c r="T24" i="1"/>
  <c r="S24" i="1"/>
  <c r="R24" i="1"/>
  <c r="Q24" i="1"/>
  <c r="O24" i="1"/>
  <c r="J24" i="1"/>
  <c r="K24" i="1" s="1"/>
  <c r="I24" i="1"/>
  <c r="G24" i="1"/>
  <c r="CD23" i="1"/>
  <c r="BX23" i="1"/>
  <c r="BW23" i="1"/>
  <c r="BS23" i="1"/>
  <c r="BQ23" i="1"/>
  <c r="BP23" i="1"/>
  <c r="BO23" i="1"/>
  <c r="BG23" i="1"/>
  <c r="BF23" i="1"/>
  <c r="BD23" i="1"/>
  <c r="AV23" i="1"/>
  <c r="AS23" i="1"/>
  <c r="AR23" i="1"/>
  <c r="AL23" i="1"/>
  <c r="AM23" i="1" s="1"/>
  <c r="AK23" i="1"/>
  <c r="AI23" i="1"/>
  <c r="AB23" i="1"/>
  <c r="AA23" i="1"/>
  <c r="W23" i="1"/>
  <c r="V23" i="1"/>
  <c r="U23" i="1"/>
  <c r="T23" i="1"/>
  <c r="S23" i="1"/>
  <c r="R23" i="1"/>
  <c r="Q23" i="1"/>
  <c r="O23" i="1"/>
  <c r="J23" i="1"/>
  <c r="I23" i="1"/>
  <c r="G23" i="1"/>
  <c r="CG22" i="1"/>
  <c r="BS22" i="1"/>
  <c r="BU22" i="1" s="1"/>
  <c r="BV22" i="1" s="1"/>
  <c r="BR22" i="1"/>
  <c r="BQ22" i="1"/>
  <c r="BP22" i="1"/>
  <c r="BO22" i="1"/>
  <c r="BF22" i="1"/>
  <c r="BD22" i="1"/>
  <c r="BG22" i="1" s="1"/>
  <c r="AV22" i="1"/>
  <c r="AT22" i="1"/>
  <c r="AS22" i="1"/>
  <c r="AL22" i="1"/>
  <c r="AM22" i="1" s="1"/>
  <c r="AK22" i="1"/>
  <c r="AI22" i="1"/>
  <c r="AC22" i="1"/>
  <c r="AB22" i="1"/>
  <c r="W22" i="1"/>
  <c r="BZ22" i="1" s="1"/>
  <c r="U22" i="1"/>
  <c r="T22" i="1"/>
  <c r="AA22" i="1" s="1"/>
  <c r="S22" i="1"/>
  <c r="R22" i="1"/>
  <c r="Q22" i="1"/>
  <c r="O22" i="1"/>
  <c r="J22" i="1"/>
  <c r="K22" i="1" s="1"/>
  <c r="I22" i="1"/>
  <c r="G22" i="1"/>
  <c r="BX21" i="1"/>
  <c r="BW21" i="1"/>
  <c r="BS21" i="1"/>
  <c r="BT21" i="1" s="1"/>
  <c r="BR21" i="1"/>
  <c r="BQ21" i="1"/>
  <c r="CE21" i="1" s="1"/>
  <c r="BP21" i="1"/>
  <c r="BO21" i="1"/>
  <c r="BD21" i="1"/>
  <c r="AV21" i="1"/>
  <c r="AS21" i="1"/>
  <c r="AR21" i="1"/>
  <c r="AL21" i="1"/>
  <c r="AM21" i="1" s="1"/>
  <c r="AK21" i="1"/>
  <c r="AI21" i="1"/>
  <c r="AB21" i="1"/>
  <c r="AA21" i="1"/>
  <c r="X21" i="1"/>
  <c r="W21" i="1"/>
  <c r="U21" i="1"/>
  <c r="V21" i="1" s="1"/>
  <c r="T21" i="1"/>
  <c r="S21" i="1"/>
  <c r="R21" i="1"/>
  <c r="Q21" i="1"/>
  <c r="O21" i="1"/>
  <c r="J21" i="1"/>
  <c r="I21" i="1"/>
  <c r="G21" i="1"/>
  <c r="CB20" i="1"/>
  <c r="BZ20" i="1"/>
  <c r="BT20" i="1"/>
  <c r="BS20" i="1"/>
  <c r="BU20" i="1" s="1"/>
  <c r="BV20" i="1" s="1"/>
  <c r="BR20" i="1"/>
  <c r="BQ20" i="1"/>
  <c r="CE20" i="1" s="1"/>
  <c r="BP20" i="1"/>
  <c r="CD20" i="1" s="1"/>
  <c r="BO20" i="1"/>
  <c r="BD20" i="1"/>
  <c r="AV20" i="1"/>
  <c r="AT20" i="1"/>
  <c r="AS20" i="1"/>
  <c r="AR20" i="1"/>
  <c r="AM20" i="1"/>
  <c r="AL20" i="1"/>
  <c r="AK20" i="1"/>
  <c r="AI20" i="1"/>
  <c r="AC20" i="1"/>
  <c r="AB20" i="1"/>
  <c r="AA20" i="1"/>
  <c r="Z20" i="1"/>
  <c r="Y20" i="1"/>
  <c r="X20" i="1"/>
  <c r="W20" i="1"/>
  <c r="U20" i="1"/>
  <c r="BX20" i="1" s="1"/>
  <c r="T20" i="1"/>
  <c r="BW20" i="1" s="1"/>
  <c r="CA20" i="1" s="1"/>
  <c r="S20" i="1"/>
  <c r="R20" i="1"/>
  <c r="Q20" i="1"/>
  <c r="O20" i="1"/>
  <c r="K20" i="1"/>
  <c r="J20" i="1"/>
  <c r="AD20" i="1" s="1"/>
  <c r="AU20" i="1" s="1"/>
  <c r="I20" i="1"/>
  <c r="G20" i="1"/>
  <c r="BZ19" i="1"/>
  <c r="BX19" i="1"/>
  <c r="BT19" i="1"/>
  <c r="BS19" i="1"/>
  <c r="CG19" i="1" s="1"/>
  <c r="BQ19" i="1"/>
  <c r="BR19" i="1" s="1"/>
  <c r="BP19" i="1"/>
  <c r="BO19" i="1"/>
  <c r="BF19" i="1"/>
  <c r="BD19" i="1"/>
  <c r="BG19" i="1" s="1"/>
  <c r="AV19" i="1"/>
  <c r="AT19" i="1"/>
  <c r="AM19" i="1"/>
  <c r="AL19" i="1"/>
  <c r="AK19" i="1"/>
  <c r="AI19" i="1"/>
  <c r="AC19" i="1"/>
  <c r="AB19" i="1"/>
  <c r="AS19" i="1" s="1"/>
  <c r="Y19" i="1"/>
  <c r="W19" i="1"/>
  <c r="U19" i="1"/>
  <c r="T19" i="1"/>
  <c r="AA19" i="1" s="1"/>
  <c r="S19" i="1"/>
  <c r="R19" i="1"/>
  <c r="AD19" i="1" s="1"/>
  <c r="AU19" i="1" s="1"/>
  <c r="Q19" i="1"/>
  <c r="O19" i="1"/>
  <c r="J19" i="1"/>
  <c r="K19" i="1" s="1"/>
  <c r="I19" i="1"/>
  <c r="G19" i="1"/>
  <c r="BX18" i="1"/>
  <c r="BY18" i="1" s="1"/>
  <c r="BW18" i="1"/>
  <c r="CD18" i="1" s="1"/>
  <c r="BS18" i="1"/>
  <c r="BR18" i="1"/>
  <c r="BQ18" i="1"/>
  <c r="BP18" i="1"/>
  <c r="BO18" i="1"/>
  <c r="BD18" i="1"/>
  <c r="BG18" i="1" s="1"/>
  <c r="AV18" i="1"/>
  <c r="AL18" i="1"/>
  <c r="AM18" i="1" s="1"/>
  <c r="AK18" i="1"/>
  <c r="AI18" i="1"/>
  <c r="AB18" i="1"/>
  <c r="AS18" i="1" s="1"/>
  <c r="AA18" i="1"/>
  <c r="W18" i="1"/>
  <c r="V18" i="1"/>
  <c r="U18" i="1"/>
  <c r="T18" i="1"/>
  <c r="S18" i="1"/>
  <c r="R18" i="1"/>
  <c r="Q18" i="1"/>
  <c r="O18" i="1"/>
  <c r="J18" i="1"/>
  <c r="K18" i="1" s="1"/>
  <c r="I18" i="1"/>
  <c r="G18" i="1"/>
  <c r="BZ17" i="1"/>
  <c r="CG17" i="1" s="1"/>
  <c r="BW17" i="1"/>
  <c r="BS17" i="1"/>
  <c r="BQ17" i="1"/>
  <c r="BP17" i="1"/>
  <c r="BO17" i="1"/>
  <c r="BG17" i="1"/>
  <c r="BF17" i="1"/>
  <c r="BD17" i="1"/>
  <c r="AV17" i="1"/>
  <c r="AR17" i="1"/>
  <c r="AL17" i="1"/>
  <c r="AM17" i="1" s="1"/>
  <c r="AK17" i="1"/>
  <c r="AI17" i="1"/>
  <c r="AA17" i="1"/>
  <c r="X17" i="1"/>
  <c r="W17" i="1"/>
  <c r="AC17" i="1" s="1"/>
  <c r="AT17" i="1" s="1"/>
  <c r="U17" i="1"/>
  <c r="Y17" i="1" s="1"/>
  <c r="Z17" i="1" s="1"/>
  <c r="T17" i="1"/>
  <c r="R17" i="1"/>
  <c r="S17" i="1" s="1"/>
  <c r="Q17" i="1"/>
  <c r="O17" i="1"/>
  <c r="J17" i="1"/>
  <c r="I17" i="1"/>
  <c r="G17" i="1"/>
  <c r="CE16" i="1"/>
  <c r="BZ16" i="1"/>
  <c r="BS16" i="1"/>
  <c r="BU16" i="1" s="1"/>
  <c r="BV16" i="1" s="1"/>
  <c r="BR16" i="1"/>
  <c r="BQ16" i="1"/>
  <c r="BP16" i="1"/>
  <c r="CD16" i="1" s="1"/>
  <c r="BO16" i="1"/>
  <c r="BF16" i="1"/>
  <c r="BD16" i="1"/>
  <c r="BG16" i="1" s="1"/>
  <c r="AV16" i="1"/>
  <c r="AT16" i="1"/>
  <c r="AS16" i="1"/>
  <c r="AR16" i="1"/>
  <c r="AM16" i="1"/>
  <c r="AL16" i="1"/>
  <c r="AK16" i="1"/>
  <c r="AI16" i="1"/>
  <c r="AC16" i="1"/>
  <c r="AB16" i="1"/>
  <c r="AA16" i="1"/>
  <c r="W16" i="1"/>
  <c r="U16" i="1"/>
  <c r="BX16" i="1" s="1"/>
  <c r="T16" i="1"/>
  <c r="BW16" i="1" s="1"/>
  <c r="S16" i="1"/>
  <c r="R16" i="1"/>
  <c r="Q16" i="1"/>
  <c r="O16" i="1"/>
  <c r="K16" i="1"/>
  <c r="J16" i="1"/>
  <c r="I16" i="1"/>
  <c r="G16" i="1"/>
  <c r="BX15" i="1"/>
  <c r="BW15" i="1"/>
  <c r="BV15" i="1"/>
  <c r="BU15" i="1"/>
  <c r="BT15" i="1"/>
  <c r="BS15" i="1"/>
  <c r="BQ15" i="1"/>
  <c r="BR15" i="1" s="1"/>
  <c r="BP15" i="1"/>
  <c r="BO15" i="1"/>
  <c r="BF15" i="1"/>
  <c r="BD15" i="1"/>
  <c r="BG15" i="1" s="1"/>
  <c r="AV15" i="1"/>
  <c r="AR15" i="1"/>
  <c r="AM15" i="1"/>
  <c r="AL15" i="1"/>
  <c r="AK15" i="1"/>
  <c r="AI15" i="1"/>
  <c r="W15" i="1"/>
  <c r="BZ15" i="1" s="1"/>
  <c r="V15" i="1"/>
  <c r="U15" i="1"/>
  <c r="AB15" i="1" s="1"/>
  <c r="AS15" i="1" s="1"/>
  <c r="T15" i="1"/>
  <c r="AA15" i="1" s="1"/>
  <c r="S15" i="1"/>
  <c r="R15" i="1"/>
  <c r="Q15" i="1"/>
  <c r="O15" i="1"/>
  <c r="J15" i="1"/>
  <c r="I15" i="1"/>
  <c r="G15" i="1"/>
  <c r="BZ14" i="1"/>
  <c r="CB14" i="1" s="1"/>
  <c r="BX14" i="1"/>
  <c r="BS14" i="1"/>
  <c r="BQ14" i="1"/>
  <c r="BU14" i="1" s="1"/>
  <c r="BP14" i="1"/>
  <c r="BO14" i="1"/>
  <c r="BG14" i="1"/>
  <c r="BD14" i="1"/>
  <c r="BF14" i="1" s="1"/>
  <c r="AV14" i="1"/>
  <c r="AS14" i="1"/>
  <c r="AL14" i="1"/>
  <c r="AM14" i="1" s="1"/>
  <c r="AK14" i="1"/>
  <c r="AI14" i="1"/>
  <c r="AB14" i="1"/>
  <c r="W14" i="1"/>
  <c r="AC14" i="1" s="1"/>
  <c r="AT14" i="1" s="1"/>
  <c r="U14" i="1"/>
  <c r="T14" i="1"/>
  <c r="BW14" i="1" s="1"/>
  <c r="BY14" i="1" s="1"/>
  <c r="S14" i="1"/>
  <c r="R14" i="1"/>
  <c r="Q14" i="1"/>
  <c r="O14" i="1"/>
  <c r="K14" i="1"/>
  <c r="J14" i="1"/>
  <c r="I14" i="1"/>
  <c r="G14" i="1"/>
  <c r="BX13" i="1"/>
  <c r="CE13" i="1" s="1"/>
  <c r="BW13" i="1"/>
  <c r="CD13" i="1" s="1"/>
  <c r="BV13" i="1"/>
  <c r="BU13" i="1"/>
  <c r="BS13" i="1"/>
  <c r="CG13" i="1" s="1"/>
  <c r="CH13" i="1" s="1"/>
  <c r="BR13" i="1"/>
  <c r="BQ13" i="1"/>
  <c r="BP13" i="1"/>
  <c r="BO13" i="1"/>
  <c r="BD13" i="1"/>
  <c r="BG13" i="1" s="1"/>
  <c r="AV13" i="1"/>
  <c r="AL13" i="1"/>
  <c r="AM13" i="1" s="1"/>
  <c r="AK13" i="1"/>
  <c r="AI13" i="1"/>
  <c r="AC13" i="1"/>
  <c r="AT13" i="1" s="1"/>
  <c r="AB13" i="1"/>
  <c r="AS13" i="1" s="1"/>
  <c r="W13" i="1"/>
  <c r="BZ13" i="1" s="1"/>
  <c r="U13" i="1"/>
  <c r="Y13" i="1" s="1"/>
  <c r="T13" i="1"/>
  <c r="S13" i="1"/>
  <c r="R13" i="1"/>
  <c r="AD13" i="1" s="1"/>
  <c r="AU13" i="1" s="1"/>
  <c r="Q13" i="1"/>
  <c r="O13" i="1"/>
  <c r="J13" i="1"/>
  <c r="K13" i="1" s="1"/>
  <c r="I13" i="1"/>
  <c r="G13" i="1"/>
  <c r="CG12" i="1"/>
  <c r="CH12" i="1" s="1"/>
  <c r="CD12" i="1"/>
  <c r="BZ12" i="1"/>
  <c r="CA12" i="1" s="1"/>
  <c r="BW12" i="1"/>
  <c r="BS12" i="1"/>
  <c r="BT12" i="1" s="1"/>
  <c r="BQ12" i="1"/>
  <c r="BP12" i="1"/>
  <c r="BO12" i="1"/>
  <c r="BD12" i="1"/>
  <c r="BG12" i="1" s="1"/>
  <c r="AV12" i="1"/>
  <c r="AT12" i="1"/>
  <c r="AS12" i="1"/>
  <c r="AR12" i="1"/>
  <c r="AM12" i="1"/>
  <c r="AL12" i="1"/>
  <c r="AK12" i="1"/>
  <c r="AI12" i="1"/>
  <c r="AC12" i="1"/>
  <c r="AB12" i="1"/>
  <c r="AA12" i="1"/>
  <c r="Y12" i="1"/>
  <c r="Z12" i="1" s="1"/>
  <c r="X12" i="1"/>
  <c r="W12" i="1"/>
  <c r="U12" i="1"/>
  <c r="V12" i="1" s="1"/>
  <c r="T12" i="1"/>
  <c r="R12" i="1"/>
  <c r="S12" i="1" s="1"/>
  <c r="Q12" i="1"/>
  <c r="O12" i="1"/>
  <c r="K12" i="1"/>
  <c r="J12" i="1"/>
  <c r="I12" i="1"/>
  <c r="G12" i="1"/>
  <c r="BS11" i="1"/>
  <c r="BR11" i="1"/>
  <c r="BQ11" i="1"/>
  <c r="BP11" i="1"/>
  <c r="BO11" i="1"/>
  <c r="BD11" i="1"/>
  <c r="BG11" i="1" s="1"/>
  <c r="AV11" i="1"/>
  <c r="AT11" i="1"/>
  <c r="AS11" i="1"/>
  <c r="AR11" i="1"/>
  <c r="AM11" i="1"/>
  <c r="AL11" i="1"/>
  <c r="AL42" i="1" s="1"/>
  <c r="AM42" i="1" s="1"/>
  <c r="AK11" i="1"/>
  <c r="AI11" i="1"/>
  <c r="AC11" i="1"/>
  <c r="AB11" i="1"/>
  <c r="AA11" i="1"/>
  <c r="W11" i="1"/>
  <c r="U11" i="1"/>
  <c r="U42" i="1" s="1"/>
  <c r="V42" i="1" s="1"/>
  <c r="T11" i="1"/>
  <c r="T42" i="1" s="1"/>
  <c r="S11" i="1"/>
  <c r="R11" i="1"/>
  <c r="R42" i="1" s="1"/>
  <c r="S42" i="1" s="1"/>
  <c r="Q11" i="1"/>
  <c r="O11" i="1"/>
  <c r="K11" i="1"/>
  <c r="J11" i="1"/>
  <c r="I11" i="1"/>
  <c r="G11" i="1"/>
  <c r="BU10" i="1"/>
  <c r="BV10" i="1" s="1"/>
  <c r="BT10" i="1"/>
  <c r="BS10" i="1"/>
  <c r="BQ10" i="1"/>
  <c r="BR10" i="1" s="1"/>
  <c r="BP10" i="1"/>
  <c r="BO10" i="1"/>
  <c r="BD10" i="1"/>
  <c r="BF10" i="1" s="1"/>
  <c r="AV10" i="1"/>
  <c r="AS10" i="1"/>
  <c r="AL10" i="1"/>
  <c r="AM10" i="1" s="1"/>
  <c r="AK10" i="1"/>
  <c r="AI10" i="1"/>
  <c r="AC10" i="1"/>
  <c r="AT10" i="1" s="1"/>
  <c r="AA10" i="1"/>
  <c r="W10" i="1"/>
  <c r="W41" i="1" s="1"/>
  <c r="U10" i="1"/>
  <c r="AB10" i="1" s="1"/>
  <c r="T10" i="1"/>
  <c r="AR10" i="1" s="1"/>
  <c r="S10" i="1"/>
  <c r="R10" i="1"/>
  <c r="Q10" i="1"/>
  <c r="O10" i="1"/>
  <c r="J10" i="1"/>
  <c r="I10" i="1"/>
  <c r="G10" i="1"/>
  <c r="BX9" i="1"/>
  <c r="BU9" i="1"/>
  <c r="BV9" i="1" s="1"/>
  <c r="BT9" i="1"/>
  <c r="BS9" i="1"/>
  <c r="BQ9" i="1"/>
  <c r="BR9" i="1" s="1"/>
  <c r="BP9" i="1"/>
  <c r="BO9" i="1"/>
  <c r="BD9" i="1"/>
  <c r="BF9" i="1" s="1"/>
  <c r="AV9" i="1"/>
  <c r="AT9" i="1"/>
  <c r="AL9" i="1"/>
  <c r="AK9" i="1"/>
  <c r="AI9" i="1"/>
  <c r="AC9" i="1"/>
  <c r="AB9" i="1"/>
  <c r="AS9" i="1" s="1"/>
  <c r="W9" i="1"/>
  <c r="W47" i="1" s="1"/>
  <c r="U9" i="1"/>
  <c r="T9" i="1"/>
  <c r="R9" i="1"/>
  <c r="R47" i="1" s="1"/>
  <c r="S47" i="1" s="1"/>
  <c r="Q9" i="1"/>
  <c r="O9" i="1"/>
  <c r="J9" i="1"/>
  <c r="J47" i="1" s="1"/>
  <c r="K47" i="1" s="1"/>
  <c r="I9" i="1"/>
  <c r="G9" i="1"/>
  <c r="BU8" i="1"/>
  <c r="BV8" i="1" s="1"/>
  <c r="BT8" i="1"/>
  <c r="BS8" i="1"/>
  <c r="BQ8" i="1"/>
  <c r="BP8" i="1"/>
  <c r="BO8" i="1"/>
  <c r="BD8" i="1"/>
  <c r="BG8" i="1" s="1"/>
  <c r="AV8" i="1"/>
  <c r="AL8" i="1"/>
  <c r="AK8" i="1"/>
  <c r="AI8" i="1"/>
  <c r="AC8" i="1"/>
  <c r="AT8" i="1" s="1"/>
  <c r="W8" i="1"/>
  <c r="U8" i="1"/>
  <c r="U46" i="1" s="1"/>
  <c r="T8" i="1"/>
  <c r="R8" i="1"/>
  <c r="R46" i="1" s="1"/>
  <c r="S46" i="1" s="1"/>
  <c r="Q8" i="1"/>
  <c r="O8" i="1"/>
  <c r="J8" i="1"/>
  <c r="I8" i="1"/>
  <c r="G8" i="1"/>
  <c r="BV7" i="1"/>
  <c r="BT7" i="1"/>
  <c r="BS7" i="1"/>
  <c r="BQ7" i="1"/>
  <c r="BU7" i="1" s="1"/>
  <c r="BP7" i="1"/>
  <c r="BO7" i="1"/>
  <c r="BD7" i="1"/>
  <c r="BG7" i="1" s="1"/>
  <c r="AV7" i="1"/>
  <c r="AL7" i="1"/>
  <c r="AK7" i="1"/>
  <c r="AI7" i="1"/>
  <c r="W7" i="1"/>
  <c r="BZ7" i="1" s="1"/>
  <c r="U7" i="1"/>
  <c r="U45" i="1" s="1"/>
  <c r="T7" i="1"/>
  <c r="T45" i="1" s="1"/>
  <c r="S7" i="1"/>
  <c r="R7" i="1"/>
  <c r="Q7" i="1"/>
  <c r="O7" i="1"/>
  <c r="J7" i="1"/>
  <c r="J45" i="1" s="1"/>
  <c r="K45" i="1" s="1"/>
  <c r="I7" i="1"/>
  <c r="G7" i="1"/>
  <c r="BZ6" i="1"/>
  <c r="CB6" i="1" s="1"/>
  <c r="BX6" i="1"/>
  <c r="BS6" i="1"/>
  <c r="CG6" i="1" s="1"/>
  <c r="BQ6" i="1"/>
  <c r="BR6" i="1" s="1"/>
  <c r="BP6" i="1"/>
  <c r="BO6" i="1"/>
  <c r="BD6" i="1"/>
  <c r="BF6" i="1" s="1"/>
  <c r="AV6" i="1"/>
  <c r="AS6" i="1"/>
  <c r="AR6" i="1"/>
  <c r="AL6" i="1"/>
  <c r="AL44" i="1" s="1"/>
  <c r="AM44" i="1" s="1"/>
  <c r="AK6" i="1"/>
  <c r="AI6" i="1"/>
  <c r="AB6" i="1"/>
  <c r="AA6" i="1"/>
  <c r="Y6" i="1"/>
  <c r="Z6" i="1" s="1"/>
  <c r="X6" i="1"/>
  <c r="W6" i="1"/>
  <c r="AC6" i="1" s="1"/>
  <c r="AT6" i="1" s="1"/>
  <c r="U6" i="1"/>
  <c r="T6" i="1"/>
  <c r="S6" i="1"/>
  <c r="R6" i="1"/>
  <c r="Q6" i="1"/>
  <c r="O6" i="1"/>
  <c r="J6" i="1"/>
  <c r="J44" i="1" s="1"/>
  <c r="K44" i="1" s="1"/>
  <c r="I6" i="1"/>
  <c r="G6" i="1"/>
  <c r="BS5" i="1"/>
  <c r="BS36" i="1" s="1"/>
  <c r="BR5" i="1"/>
  <c r="BQ5" i="1"/>
  <c r="BQ36" i="1" s="1"/>
  <c r="BP5" i="1"/>
  <c r="BO5" i="1"/>
  <c r="BD5" i="1"/>
  <c r="BG5" i="1" s="1"/>
  <c r="AV5" i="1"/>
  <c r="AT5" i="1"/>
  <c r="AL5" i="1"/>
  <c r="AK5" i="1"/>
  <c r="AI5" i="1"/>
  <c r="AC5" i="1"/>
  <c r="AB5" i="1"/>
  <c r="W5" i="1"/>
  <c r="U5" i="1"/>
  <c r="T5" i="1"/>
  <c r="AA5" i="1" s="1"/>
  <c r="S5" i="1"/>
  <c r="R5" i="1"/>
  <c r="Q5" i="1"/>
  <c r="O5" i="1"/>
  <c r="J5" i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A25" i="3" l="1"/>
  <c r="CA9" i="3"/>
  <c r="CG9" i="3"/>
  <c r="T44" i="3"/>
  <c r="BW8" i="3"/>
  <c r="CA8" i="3" s="1"/>
  <c r="AA9" i="3"/>
  <c r="AR9" i="3"/>
  <c r="T45" i="3"/>
  <c r="U46" i="3"/>
  <c r="Y10" i="3"/>
  <c r="BX10" i="3"/>
  <c r="V10" i="3"/>
  <c r="BU11" i="3"/>
  <c r="BV11" i="3" s="1"/>
  <c r="CE11" i="3"/>
  <c r="AC15" i="3"/>
  <c r="AT15" i="3" s="1"/>
  <c r="X15" i="3"/>
  <c r="BT17" i="3"/>
  <c r="CD17" i="3"/>
  <c r="BZ21" i="3"/>
  <c r="AC21" i="3"/>
  <c r="AT21" i="3" s="1"/>
  <c r="Y21" i="3"/>
  <c r="X21" i="3"/>
  <c r="BR21" i="3"/>
  <c r="BU21" i="3"/>
  <c r="BV21" i="3" s="1"/>
  <c r="BY23" i="3"/>
  <c r="BT26" i="3"/>
  <c r="W41" i="3"/>
  <c r="X41" i="3" s="1"/>
  <c r="BZ5" i="3"/>
  <c r="X5" i="3"/>
  <c r="W36" i="3"/>
  <c r="BR36" i="3"/>
  <c r="BQ37" i="3"/>
  <c r="BR37" i="3" s="1"/>
  <c r="BF7" i="3"/>
  <c r="BF36" i="3" s="1"/>
  <c r="BG38" i="3" s="1"/>
  <c r="U44" i="3"/>
  <c r="V44" i="3" s="1"/>
  <c r="BX8" i="3"/>
  <c r="V8" i="3"/>
  <c r="AB9" i="3"/>
  <c r="AS9" i="3" s="1"/>
  <c r="U45" i="3"/>
  <c r="V45" i="3" s="1"/>
  <c r="AA12" i="3"/>
  <c r="AE12" i="3" s="1"/>
  <c r="AR12" i="3"/>
  <c r="Z12" i="3"/>
  <c r="CG14" i="3"/>
  <c r="CD15" i="3"/>
  <c r="BR15" i="3"/>
  <c r="BW16" i="3"/>
  <c r="BY16" i="3" s="1"/>
  <c r="AA16" i="3"/>
  <c r="AR16" i="3"/>
  <c r="BZ18" i="3"/>
  <c r="X18" i="3"/>
  <c r="AC18" i="3"/>
  <c r="AT18" i="3" s="1"/>
  <c r="Y24" i="3"/>
  <c r="Z24" i="3" s="1"/>
  <c r="BX24" i="3"/>
  <c r="AB24" i="3"/>
  <c r="AS24" i="3" s="1"/>
  <c r="K28" i="3"/>
  <c r="BG29" i="3"/>
  <c r="BF29" i="3"/>
  <c r="BT30" i="3"/>
  <c r="AC33" i="3"/>
  <c r="AT33" i="3" s="1"/>
  <c r="Y33" i="3"/>
  <c r="Z33" i="3" s="1"/>
  <c r="X33" i="3"/>
  <c r="BZ33" i="3"/>
  <c r="BR5" i="3"/>
  <c r="CE5" i="3"/>
  <c r="BT6" i="3"/>
  <c r="CI6" i="3"/>
  <c r="BY7" i="3"/>
  <c r="X44" i="3"/>
  <c r="AM8" i="3"/>
  <c r="BR8" i="3"/>
  <c r="V9" i="3"/>
  <c r="AC11" i="3"/>
  <c r="AT11" i="3" s="1"/>
  <c r="W47" i="3"/>
  <c r="CI13" i="3"/>
  <c r="CJ13" i="3" s="1"/>
  <c r="CF13" i="3"/>
  <c r="V16" i="3"/>
  <c r="AB16" i="3"/>
  <c r="AS16" i="3" s="1"/>
  <c r="Y16" i="3"/>
  <c r="AD16" i="3" s="1"/>
  <c r="AU16" i="3" s="1"/>
  <c r="CA16" i="3"/>
  <c r="AD20" i="3"/>
  <c r="AU20" i="3" s="1"/>
  <c r="S20" i="3"/>
  <c r="V24" i="3"/>
  <c r="AR29" i="3"/>
  <c r="AA29" i="3"/>
  <c r="BU30" i="3"/>
  <c r="X11" i="3"/>
  <c r="CG16" i="3"/>
  <c r="T43" i="3"/>
  <c r="AA7" i="3"/>
  <c r="AR7" i="3"/>
  <c r="AR36" i="3" s="1"/>
  <c r="AX38" i="3" s="1"/>
  <c r="BX9" i="3"/>
  <c r="CB14" i="3"/>
  <c r="BT5" i="3"/>
  <c r="V43" i="3"/>
  <c r="CD7" i="3"/>
  <c r="J44" i="3"/>
  <c r="K44" i="3" s="1"/>
  <c r="Y8" i="3"/>
  <c r="BT8" i="3"/>
  <c r="X9" i="3"/>
  <c r="BF9" i="3"/>
  <c r="AB10" i="3"/>
  <c r="AS10" i="3" s="1"/>
  <c r="Y11" i="3"/>
  <c r="BZ12" i="3"/>
  <c r="X12" i="3"/>
  <c r="BU12" i="3"/>
  <c r="BV12" i="3" s="1"/>
  <c r="BR13" i="3"/>
  <c r="BY14" i="3"/>
  <c r="BU18" i="3"/>
  <c r="BV18" i="3" s="1"/>
  <c r="BR18" i="3"/>
  <c r="CE18" i="3"/>
  <c r="BT20" i="3"/>
  <c r="V25" i="3"/>
  <c r="J47" i="3"/>
  <c r="K47" i="3" s="1"/>
  <c r="AC5" i="3"/>
  <c r="AV36" i="3"/>
  <c r="AV37" i="3" s="1"/>
  <c r="AX55" i="3" s="1"/>
  <c r="BU5" i="3"/>
  <c r="BY6" i="3"/>
  <c r="V7" i="3"/>
  <c r="AL43" i="3"/>
  <c r="AM43" i="3" s="1"/>
  <c r="BR7" i="3"/>
  <c r="CE7" i="3"/>
  <c r="K8" i="3"/>
  <c r="Z8" i="3"/>
  <c r="J45" i="3"/>
  <c r="K45" i="3" s="1"/>
  <c r="Y9" i="3"/>
  <c r="Z9" i="3" s="1"/>
  <c r="BY11" i="3"/>
  <c r="AB12" i="3"/>
  <c r="AS12" i="3" s="1"/>
  <c r="CH13" i="3"/>
  <c r="V14" i="3"/>
  <c r="BZ14" i="3"/>
  <c r="CA14" i="3" s="1"/>
  <c r="AA17" i="3"/>
  <c r="AR17" i="3"/>
  <c r="BY17" i="3"/>
  <c r="CG19" i="3"/>
  <c r="CH19" i="3" s="1"/>
  <c r="BU20" i="3"/>
  <c r="BV20" i="3" s="1"/>
  <c r="CE21" i="3"/>
  <c r="AC23" i="3"/>
  <c r="AT23" i="3" s="1"/>
  <c r="BZ23" i="3"/>
  <c r="X23" i="3"/>
  <c r="BZ29" i="3"/>
  <c r="X29" i="3"/>
  <c r="AC29" i="3"/>
  <c r="AT29" i="3" s="1"/>
  <c r="AM31" i="3"/>
  <c r="BT32" i="3"/>
  <c r="CA7" i="3"/>
  <c r="V12" i="3"/>
  <c r="BG16" i="3"/>
  <c r="BW25" i="3"/>
  <c r="X25" i="3"/>
  <c r="AA25" i="3"/>
  <c r="AE25" i="3" s="1"/>
  <c r="Z25" i="3"/>
  <c r="AR25" i="3"/>
  <c r="R36" i="3"/>
  <c r="R41" i="3"/>
  <c r="S41" i="3" s="1"/>
  <c r="BD36" i="3"/>
  <c r="BD37" i="3" s="1"/>
  <c r="W43" i="3"/>
  <c r="X43" i="3" s="1"/>
  <c r="AM7" i="3"/>
  <c r="AA8" i="3"/>
  <c r="BG10" i="3"/>
  <c r="BF10" i="3"/>
  <c r="BZ11" i="3"/>
  <c r="CA11" i="3" s="1"/>
  <c r="AC12" i="3"/>
  <c r="AT12" i="3" s="1"/>
  <c r="BW12" i="3"/>
  <c r="CD12" i="3" s="1"/>
  <c r="AD13" i="3"/>
  <c r="AU13" i="3" s="1"/>
  <c r="BT13" i="3"/>
  <c r="CE15" i="3"/>
  <c r="CE16" i="3"/>
  <c r="AB17" i="3"/>
  <c r="AS17" i="3" s="1"/>
  <c r="Y17" i="3"/>
  <c r="AD17" i="3" s="1"/>
  <c r="AU17" i="3" s="1"/>
  <c r="CH17" i="3"/>
  <c r="CG27" i="3"/>
  <c r="CH27" i="3" s="1"/>
  <c r="CB27" i="3"/>
  <c r="BU29" i="3"/>
  <c r="BV29" i="3" s="1"/>
  <c r="BT29" i="3"/>
  <c r="CG31" i="3"/>
  <c r="BU32" i="3"/>
  <c r="BV32" i="3" s="1"/>
  <c r="BS36" i="3"/>
  <c r="AD19" i="3"/>
  <c r="AU19" i="3" s="1"/>
  <c r="J41" i="3"/>
  <c r="K41" i="3" s="1"/>
  <c r="BZ24" i="3"/>
  <c r="AC24" i="3"/>
  <c r="AT24" i="3" s="1"/>
  <c r="AL42" i="3"/>
  <c r="AM42" i="3" s="1"/>
  <c r="AL36" i="3"/>
  <c r="J43" i="3"/>
  <c r="K43" i="3" s="1"/>
  <c r="X7" i="3"/>
  <c r="BT7" i="3"/>
  <c r="CG7" i="3"/>
  <c r="AB8" i="3"/>
  <c r="AS8" i="3" s="1"/>
  <c r="CD9" i="3"/>
  <c r="BR9" i="3"/>
  <c r="BG11" i="3"/>
  <c r="BF12" i="3"/>
  <c r="BX12" i="3"/>
  <c r="K13" i="3"/>
  <c r="AD14" i="3"/>
  <c r="AU14" i="3" s="1"/>
  <c r="X14" i="3"/>
  <c r="BG14" i="3"/>
  <c r="AR15" i="3"/>
  <c r="AA15" i="3"/>
  <c r="V17" i="3"/>
  <c r="BF17" i="3"/>
  <c r="BG21" i="3"/>
  <c r="CA27" i="3"/>
  <c r="X8" i="3"/>
  <c r="W45" i="3"/>
  <c r="X45" i="3" s="1"/>
  <c r="AC9" i="3"/>
  <c r="AT9" i="3" s="1"/>
  <c r="Y23" i="3"/>
  <c r="Z23" i="3" s="1"/>
  <c r="AB23" i="3"/>
  <c r="AS23" i="3" s="1"/>
  <c r="AE28" i="3"/>
  <c r="Y29" i="3"/>
  <c r="AD29" i="3" s="1"/>
  <c r="AU29" i="3" s="1"/>
  <c r="AB29" i="3"/>
  <c r="AS29" i="3" s="1"/>
  <c r="K30" i="3"/>
  <c r="T36" i="3"/>
  <c r="V38" i="3" s="1"/>
  <c r="T41" i="3"/>
  <c r="BG5" i="3"/>
  <c r="BY5" i="3"/>
  <c r="AM6" i="3"/>
  <c r="BV6" i="3"/>
  <c r="K7" i="3"/>
  <c r="Y7" i="3"/>
  <c r="BG8" i="3"/>
  <c r="S10" i="3"/>
  <c r="K14" i="3"/>
  <c r="Y14" i="3"/>
  <c r="AB15" i="3"/>
  <c r="AS15" i="3" s="1"/>
  <c r="Y15" i="3"/>
  <c r="AD15" i="3" s="1"/>
  <c r="AU15" i="3" s="1"/>
  <c r="BF15" i="3"/>
  <c r="BZ15" i="3"/>
  <c r="CA15" i="3" s="1"/>
  <c r="X17" i="3"/>
  <c r="BW18" i="3"/>
  <c r="CD18" i="3" s="1"/>
  <c r="AA18" i="3"/>
  <c r="BY18" i="3"/>
  <c r="AE20" i="3"/>
  <c r="V21" i="3"/>
  <c r="BW21" i="3"/>
  <c r="BY21" i="3" s="1"/>
  <c r="AA21" i="3"/>
  <c r="Z21" i="3"/>
  <c r="AR21" i="3"/>
  <c r="BT22" i="3"/>
  <c r="BT28" i="3"/>
  <c r="BW29" i="3"/>
  <c r="CD29" i="3" s="1"/>
  <c r="CI30" i="3"/>
  <c r="AA31" i="3"/>
  <c r="AE31" i="3" s="1"/>
  <c r="BW31" i="3"/>
  <c r="CA31" i="3" s="1"/>
  <c r="Z31" i="3"/>
  <c r="R42" i="3"/>
  <c r="S42" i="3" s="1"/>
  <c r="AR8" i="3"/>
  <c r="AA14" i="3"/>
  <c r="Z14" i="3"/>
  <c r="AR14" i="3"/>
  <c r="X16" i="3"/>
  <c r="AD21" i="3"/>
  <c r="AU21" i="3" s="1"/>
  <c r="U36" i="3"/>
  <c r="U41" i="3"/>
  <c r="V41" i="3" s="1"/>
  <c r="Y5" i="3"/>
  <c r="BO36" i="3"/>
  <c r="J42" i="3"/>
  <c r="K42" i="3" s="1"/>
  <c r="AD6" i="3"/>
  <c r="AU6" i="3" s="1"/>
  <c r="X6" i="3"/>
  <c r="BU6" i="3"/>
  <c r="CD6" i="3"/>
  <c r="CJ6" i="3" s="1"/>
  <c r="AB7" i="3"/>
  <c r="AS7" i="3" s="1"/>
  <c r="AS36" i="3" s="1"/>
  <c r="AS37" i="3" s="1"/>
  <c r="S8" i="3"/>
  <c r="CD8" i="3"/>
  <c r="BT9" i="3"/>
  <c r="T46" i="3"/>
  <c r="BW10" i="3"/>
  <c r="CD10" i="3" s="1"/>
  <c r="BT11" i="3"/>
  <c r="CD11" i="3"/>
  <c r="BV14" i="3"/>
  <c r="CD14" i="3"/>
  <c r="V15" i="3"/>
  <c r="Y18" i="3"/>
  <c r="AB18" i="3"/>
  <c r="AS18" i="3" s="1"/>
  <c r="BU19" i="3"/>
  <c r="BV19" i="3" s="1"/>
  <c r="BT19" i="3"/>
  <c r="BG27" i="3"/>
  <c r="BF27" i="3"/>
  <c r="AC28" i="3"/>
  <c r="AT28" i="3" s="1"/>
  <c r="BZ28" i="3"/>
  <c r="CA28" i="3" s="1"/>
  <c r="BX29" i="3"/>
  <c r="AB31" i="3"/>
  <c r="AS31" i="3" s="1"/>
  <c r="BX31" i="3"/>
  <c r="Y31" i="3"/>
  <c r="AD31" i="3" s="1"/>
  <c r="AU31" i="3" s="1"/>
  <c r="BF34" i="3"/>
  <c r="BV35" i="3"/>
  <c r="O44" i="3"/>
  <c r="R45" i="3"/>
  <c r="S45" i="3" s="1"/>
  <c r="CB34" i="3"/>
  <c r="CE34" i="3"/>
  <c r="CG35" i="3"/>
  <c r="BT35" i="3"/>
  <c r="O47" i="3"/>
  <c r="BR26" i="3"/>
  <c r="BU26" i="3"/>
  <c r="BV26" i="3" s="1"/>
  <c r="AE30" i="3"/>
  <c r="AC31" i="3"/>
  <c r="AT31" i="3" s="1"/>
  <c r="X31" i="3"/>
  <c r="BY34" i="3"/>
  <c r="BW35" i="3"/>
  <c r="AA35" i="3"/>
  <c r="AE35" i="3" s="1"/>
  <c r="Z35" i="3"/>
  <c r="AM35" i="3"/>
  <c r="Q42" i="3"/>
  <c r="AL46" i="3"/>
  <c r="AM46" i="3" s="1"/>
  <c r="CE17" i="3"/>
  <c r="BF20" i="3"/>
  <c r="BG20" i="3"/>
  <c r="AD23" i="3"/>
  <c r="AU23" i="3" s="1"/>
  <c r="K23" i="3"/>
  <c r="BF23" i="3"/>
  <c r="BG24" i="3"/>
  <c r="AA26" i="3"/>
  <c r="Z26" i="3"/>
  <c r="BY28" i="3"/>
  <c r="BG32" i="3"/>
  <c r="BF32" i="3"/>
  <c r="AD34" i="3"/>
  <c r="AU34" i="3" s="1"/>
  <c r="V35" i="3"/>
  <c r="AR35" i="3"/>
  <c r="AL41" i="3"/>
  <c r="AM41" i="3" s="1"/>
  <c r="R47" i="3"/>
  <c r="S47" i="3" s="1"/>
  <c r="BR14" i="3"/>
  <c r="BR17" i="3"/>
  <c r="CB20" i="3"/>
  <c r="K21" i="3"/>
  <c r="BF22" i="3"/>
  <c r="BF24" i="3"/>
  <c r="CG25" i="3"/>
  <c r="AB26" i="3"/>
  <c r="AS26" i="3" s="1"/>
  <c r="Y26" i="3"/>
  <c r="AD26" i="3" s="1"/>
  <c r="AU26" i="3" s="1"/>
  <c r="BY27" i="3"/>
  <c r="CE27" i="3"/>
  <c r="BF28" i="3"/>
  <c r="CD32" i="3"/>
  <c r="H37" i="3"/>
  <c r="I37" i="3" s="1"/>
  <c r="K37" i="3" s="1"/>
  <c r="I36" i="3"/>
  <c r="W46" i="3"/>
  <c r="X46" i="3" s="1"/>
  <c r="CE14" i="3"/>
  <c r="BR16" i="3"/>
  <c r="BF19" i="3"/>
  <c r="BX22" i="3"/>
  <c r="Y22" i="3"/>
  <c r="BT25" i="3"/>
  <c r="V26" i="3"/>
  <c r="AR26" i="3"/>
  <c r="BW26" i="3"/>
  <c r="CA26" i="3" s="1"/>
  <c r="V27" i="3"/>
  <c r="X35" i="3"/>
  <c r="O43" i="3"/>
  <c r="J36" i="3"/>
  <c r="BF8" i="3"/>
  <c r="J46" i="3"/>
  <c r="K46" i="3" s="1"/>
  <c r="X10" i="3"/>
  <c r="T47" i="3"/>
  <c r="V13" i="3"/>
  <c r="BF13" i="3"/>
  <c r="BT14" i="3"/>
  <c r="BT15" i="3"/>
  <c r="BU17" i="3"/>
  <c r="BV17" i="3" s="1"/>
  <c r="AR19" i="3"/>
  <c r="Z19" i="3"/>
  <c r="BY19" i="3"/>
  <c r="X20" i="3"/>
  <c r="CE20" i="3"/>
  <c r="V22" i="3"/>
  <c r="BV23" i="3"/>
  <c r="CD23" i="3"/>
  <c r="BU25" i="3"/>
  <c r="BX26" i="3"/>
  <c r="X27" i="3"/>
  <c r="BR27" i="3"/>
  <c r="BV30" i="3"/>
  <c r="CD30" i="3"/>
  <c r="CD31" i="3"/>
  <c r="BT31" i="3"/>
  <c r="BV31" i="3"/>
  <c r="CH34" i="3"/>
  <c r="Q43" i="3"/>
  <c r="K5" i="3"/>
  <c r="U42" i="3"/>
  <c r="V42" i="3" s="1"/>
  <c r="K10" i="3"/>
  <c r="BZ10" i="3"/>
  <c r="CA10" i="3" s="1"/>
  <c r="U47" i="3"/>
  <c r="V47" i="3" s="1"/>
  <c r="BU15" i="3"/>
  <c r="BV15" i="3" s="1"/>
  <c r="V19" i="3"/>
  <c r="CB19" i="3"/>
  <c r="CB21" i="3"/>
  <c r="BU23" i="3"/>
  <c r="CE23" i="3"/>
  <c r="CB25" i="3"/>
  <c r="Y27" i="3"/>
  <c r="BU28" i="3"/>
  <c r="BV28" i="3" s="1"/>
  <c r="CE28" i="3"/>
  <c r="BR31" i="3"/>
  <c r="CE31" i="3"/>
  <c r="AD35" i="3"/>
  <c r="AU35" i="3" s="1"/>
  <c r="K35" i="3"/>
  <c r="CE35" i="3"/>
  <c r="N37" i="3"/>
  <c r="O37" i="3" s="1"/>
  <c r="O36" i="3"/>
  <c r="I44" i="3"/>
  <c r="BU33" i="3"/>
  <c r="BV33" i="3" s="1"/>
  <c r="CE33" i="3"/>
  <c r="AI43" i="3"/>
  <c r="BR33" i="3"/>
  <c r="AR34" i="3"/>
  <c r="Z34" i="3"/>
  <c r="AA34" i="3"/>
  <c r="Q47" i="3"/>
  <c r="AD55" i="3"/>
  <c r="AD33" i="3"/>
  <c r="AU33" i="3" s="1"/>
  <c r="BT33" i="3"/>
  <c r="CG33" i="3"/>
  <c r="CH33" i="3" s="1"/>
  <c r="O41" i="3"/>
  <c r="V20" i="3"/>
  <c r="X22" i="3"/>
  <c r="BT23" i="3"/>
  <c r="BV25" i="3"/>
  <c r="BX32" i="3"/>
  <c r="Y32" i="3"/>
  <c r="K33" i="3"/>
  <c r="V34" i="3"/>
  <c r="AI37" i="3"/>
  <c r="AK44" i="3"/>
  <c r="AR24" i="3"/>
  <c r="CA34" i="3"/>
  <c r="CE25" i="2"/>
  <c r="BY25" i="2"/>
  <c r="Z6" i="2"/>
  <c r="Y47" i="2"/>
  <c r="Z47" i="2" s="1"/>
  <c r="T46" i="2"/>
  <c r="T36" i="2"/>
  <c r="V38" i="2" s="1"/>
  <c r="AR5" i="2"/>
  <c r="X5" i="2"/>
  <c r="BW17" i="2"/>
  <c r="AA17" i="2"/>
  <c r="AR17" i="2"/>
  <c r="BZ20" i="2"/>
  <c r="AC20" i="2"/>
  <c r="AT20" i="2" s="1"/>
  <c r="AD32" i="2"/>
  <c r="AU32" i="2" s="1"/>
  <c r="K32" i="2"/>
  <c r="AE32" i="2"/>
  <c r="V5" i="2"/>
  <c r="BS36" i="2"/>
  <c r="CG9" i="2"/>
  <c r="CH9" i="2" s="1"/>
  <c r="BT9" i="2"/>
  <c r="W45" i="2"/>
  <c r="X45" i="2" s="1"/>
  <c r="AC11" i="2"/>
  <c r="AT11" i="2" s="1"/>
  <c r="AB13" i="2"/>
  <c r="AS13" i="2" s="1"/>
  <c r="Y13" i="2"/>
  <c r="Z13" i="2" s="1"/>
  <c r="CA13" i="2"/>
  <c r="AA14" i="2"/>
  <c r="AR14" i="2"/>
  <c r="CA14" i="2"/>
  <c r="CB17" i="2"/>
  <c r="BY17" i="2"/>
  <c r="X20" i="2"/>
  <c r="X12" i="2"/>
  <c r="X17" i="2"/>
  <c r="CA17" i="2"/>
  <c r="CD19" i="2"/>
  <c r="BR19" i="2"/>
  <c r="BT19" i="2"/>
  <c r="AD20" i="2"/>
  <c r="AU20" i="2" s="1"/>
  <c r="K20" i="2"/>
  <c r="CD20" i="2"/>
  <c r="BV20" i="2"/>
  <c r="AA24" i="2"/>
  <c r="AE24" i="2" s="1"/>
  <c r="Z24" i="2"/>
  <c r="BW24" i="2"/>
  <c r="BY24" i="2" s="1"/>
  <c r="AR24" i="2"/>
  <c r="V24" i="2"/>
  <c r="AI37" i="2"/>
  <c r="W47" i="2"/>
  <c r="X47" i="2" s="1"/>
  <c r="AC6" i="2"/>
  <c r="AT6" i="2" s="1"/>
  <c r="AB16" i="2"/>
  <c r="AS16" i="2" s="1"/>
  <c r="Y16" i="2"/>
  <c r="AD16" i="2" s="1"/>
  <c r="AU16" i="2" s="1"/>
  <c r="V16" i="2"/>
  <c r="X6" i="2"/>
  <c r="CB11" i="2"/>
  <c r="CA26" i="2"/>
  <c r="CG26" i="2"/>
  <c r="CH26" i="2" s="1"/>
  <c r="BF17" i="2"/>
  <c r="BG17" i="2"/>
  <c r="BU20" i="2"/>
  <c r="BR20" i="2"/>
  <c r="BZ30" i="2"/>
  <c r="CA30" i="2" s="1"/>
  <c r="AC30" i="2"/>
  <c r="AT30" i="2" s="1"/>
  <c r="Y30" i="2"/>
  <c r="Z30" i="2" s="1"/>
  <c r="X30" i="2"/>
  <c r="BW5" i="2"/>
  <c r="U41" i="2"/>
  <c r="AB7" i="2"/>
  <c r="AS7" i="2" s="1"/>
  <c r="AS36" i="2" s="1"/>
  <c r="AS37" i="2" s="1"/>
  <c r="Y7" i="2"/>
  <c r="BX7" i="2"/>
  <c r="Y42" i="2"/>
  <c r="Z42" i="2" s="1"/>
  <c r="AD8" i="2"/>
  <c r="AU8" i="2" s="1"/>
  <c r="AE9" i="2"/>
  <c r="AE11" i="2"/>
  <c r="BT11" i="2"/>
  <c r="CD12" i="2"/>
  <c r="X13" i="2"/>
  <c r="X14" i="2"/>
  <c r="AC14" i="2"/>
  <c r="AT14" i="2" s="1"/>
  <c r="AT36" i="2" s="1"/>
  <c r="AT37" i="2" s="1"/>
  <c r="CH17" i="2"/>
  <c r="BT20" i="2"/>
  <c r="CE22" i="2"/>
  <c r="BR22" i="2"/>
  <c r="BU22" i="2"/>
  <c r="BU27" i="2"/>
  <c r="CE21" i="2"/>
  <c r="CB21" i="2"/>
  <c r="BY21" i="2"/>
  <c r="V12" i="2"/>
  <c r="BX12" i="2"/>
  <c r="AB12" i="2"/>
  <c r="AS12" i="2" s="1"/>
  <c r="BY14" i="2"/>
  <c r="CB14" i="2"/>
  <c r="BT5" i="2"/>
  <c r="BU10" i="2"/>
  <c r="BV10" i="2" s="1"/>
  <c r="CE10" i="2"/>
  <c r="V13" i="2"/>
  <c r="AL41" i="2"/>
  <c r="AM41" i="2" s="1"/>
  <c r="AM7" i="2"/>
  <c r="Y11" i="2"/>
  <c r="AB15" i="2"/>
  <c r="AS15" i="2" s="1"/>
  <c r="Y15" i="2"/>
  <c r="Z15" i="2" s="1"/>
  <c r="BD36" i="2"/>
  <c r="BD37" i="2" s="1"/>
  <c r="BV6" i="2"/>
  <c r="V7" i="2"/>
  <c r="Z8" i="2"/>
  <c r="BW8" i="2"/>
  <c r="CE9" i="2"/>
  <c r="AM10" i="2"/>
  <c r="AD12" i="2"/>
  <c r="AU12" i="2" s="1"/>
  <c r="K12" i="2"/>
  <c r="BU12" i="2"/>
  <c r="BV12" i="2" s="1"/>
  <c r="BR12" i="2"/>
  <c r="AD13" i="2"/>
  <c r="AU13" i="2" s="1"/>
  <c r="K13" i="2"/>
  <c r="CD13" i="2"/>
  <c r="BT13" i="2"/>
  <c r="CD14" i="2"/>
  <c r="CA15" i="2"/>
  <c r="BX15" i="2"/>
  <c r="CD17" i="2"/>
  <c r="Z18" i="2"/>
  <c r="V18" i="2"/>
  <c r="AR18" i="2"/>
  <c r="BY18" i="2"/>
  <c r="BR27" i="2"/>
  <c r="CD7" i="2"/>
  <c r="AB19" i="2"/>
  <c r="AS19" i="2" s="1"/>
  <c r="Y19" i="2"/>
  <c r="AD19" i="2" s="1"/>
  <c r="AU19" i="2" s="1"/>
  <c r="CD23" i="2"/>
  <c r="BZ6" i="2"/>
  <c r="CA6" i="2" s="1"/>
  <c r="CH13" i="2"/>
  <c r="BT10" i="2"/>
  <c r="AD6" i="2"/>
  <c r="AU6" i="2" s="1"/>
  <c r="J47" i="2"/>
  <c r="K47" i="2" s="1"/>
  <c r="J45" i="2"/>
  <c r="K45" i="2" s="1"/>
  <c r="AD11" i="2"/>
  <c r="AU11" i="2" s="1"/>
  <c r="AB14" i="2"/>
  <c r="AS14" i="2" s="1"/>
  <c r="Y14" i="2"/>
  <c r="AD14" i="2" s="1"/>
  <c r="AU14" i="2" s="1"/>
  <c r="AA5" i="2"/>
  <c r="BU5" i="2"/>
  <c r="J43" i="2"/>
  <c r="K43" i="2" s="1"/>
  <c r="Y12" i="2"/>
  <c r="Z12" i="2" s="1"/>
  <c r="BG14" i="2"/>
  <c r="R47" i="2"/>
  <c r="S47" i="2" s="1"/>
  <c r="S6" i="2"/>
  <c r="BU6" i="2"/>
  <c r="CE6" i="2"/>
  <c r="BR6" i="2"/>
  <c r="BG7" i="2"/>
  <c r="AA8" i="2"/>
  <c r="W44" i="2"/>
  <c r="AC10" i="2"/>
  <c r="AT10" i="2" s="1"/>
  <c r="BZ10" i="2"/>
  <c r="BR11" i="2"/>
  <c r="CG12" i="2"/>
  <c r="CH12" i="2" s="1"/>
  <c r="BU13" i="2"/>
  <c r="BV13" i="2" s="1"/>
  <c r="CE13" i="2"/>
  <c r="BR13" i="2"/>
  <c r="CE17" i="2"/>
  <c r="BX19" i="2"/>
  <c r="BU34" i="2"/>
  <c r="BV34" i="2" s="1"/>
  <c r="CE34" i="2"/>
  <c r="CG30" i="2"/>
  <c r="BR9" i="2"/>
  <c r="Y25" i="2"/>
  <c r="Z25" i="2" s="1"/>
  <c r="AB25" i="2"/>
  <c r="AS25" i="2" s="1"/>
  <c r="U45" i="2"/>
  <c r="V25" i="2"/>
  <c r="AR8" i="2"/>
  <c r="X11" i="2"/>
  <c r="T41" i="2"/>
  <c r="AA7" i="2"/>
  <c r="AR7" i="2"/>
  <c r="Z7" i="2"/>
  <c r="BR10" i="2"/>
  <c r="R36" i="2"/>
  <c r="R46" i="2"/>
  <c r="S46" i="2" s="1"/>
  <c r="BT6" i="2"/>
  <c r="X7" i="2"/>
  <c r="AD9" i="2"/>
  <c r="AU9" i="2" s="1"/>
  <c r="X10" i="2"/>
  <c r="CG11" i="2"/>
  <c r="CH11" i="2" s="1"/>
  <c r="CG14" i="2"/>
  <c r="AD26" i="2"/>
  <c r="AU26" i="2" s="1"/>
  <c r="AM6" i="2"/>
  <c r="J41" i="2"/>
  <c r="K41" i="2" s="1"/>
  <c r="K7" i="2"/>
  <c r="BV9" i="2"/>
  <c r="J44" i="2"/>
  <c r="K44" i="2" s="1"/>
  <c r="AD10" i="2"/>
  <c r="AU10" i="2" s="1"/>
  <c r="Y10" i="2"/>
  <c r="BZ12" i="2"/>
  <c r="CA12" i="2" s="1"/>
  <c r="BX13" i="2"/>
  <c r="AR16" i="2"/>
  <c r="Z16" i="2"/>
  <c r="AA16" i="2"/>
  <c r="AE16" i="2" s="1"/>
  <c r="BX16" i="2"/>
  <c r="AA18" i="2"/>
  <c r="AE18" i="2" s="1"/>
  <c r="AR19" i="2"/>
  <c r="AA19" i="2"/>
  <c r="CA19" i="2"/>
  <c r="BX20" i="2"/>
  <c r="AB20" i="2"/>
  <c r="AS20" i="2" s="1"/>
  <c r="Y20" i="2"/>
  <c r="Z20" i="2" s="1"/>
  <c r="CE20" i="2"/>
  <c r="CA23" i="2"/>
  <c r="BZ25" i="2"/>
  <c r="CA25" i="2" s="1"/>
  <c r="AD30" i="2"/>
  <c r="AU30" i="2" s="1"/>
  <c r="AR33" i="2"/>
  <c r="AA33" i="2"/>
  <c r="BW33" i="2"/>
  <c r="BG32" i="2"/>
  <c r="BF32" i="2"/>
  <c r="BT34" i="2"/>
  <c r="AK37" i="2"/>
  <c r="CE30" i="2"/>
  <c r="U36" i="2"/>
  <c r="U46" i="2"/>
  <c r="W41" i="2"/>
  <c r="R43" i="2"/>
  <c r="S43" i="2" s="1"/>
  <c r="V17" i="2"/>
  <c r="X19" i="2"/>
  <c r="CE19" i="2"/>
  <c r="BY22" i="2"/>
  <c r="BR23" i="2"/>
  <c r="BU23" i="2"/>
  <c r="BV23" i="2" s="1"/>
  <c r="X25" i="2"/>
  <c r="BU29" i="2"/>
  <c r="BV29" i="2" s="1"/>
  <c r="CE29" i="2"/>
  <c r="BY30" i="2"/>
  <c r="Q46" i="2"/>
  <c r="X22" i="2"/>
  <c r="BR29" i="2"/>
  <c r="AA31" i="2"/>
  <c r="AR31" i="2"/>
  <c r="Z31" i="2"/>
  <c r="BW31" i="2"/>
  <c r="CD31" i="2" s="1"/>
  <c r="BT32" i="2"/>
  <c r="CD32" i="2"/>
  <c r="BR32" i="2"/>
  <c r="AD34" i="2"/>
  <c r="AU34" i="2" s="1"/>
  <c r="Z34" i="2"/>
  <c r="AW55" i="2"/>
  <c r="AD55" i="2"/>
  <c r="AV54" i="2"/>
  <c r="W46" i="2"/>
  <c r="W36" i="2"/>
  <c r="BG5" i="2"/>
  <c r="BX5" i="2"/>
  <c r="BZ7" i="2"/>
  <c r="AB8" i="2"/>
  <c r="AS8" i="2" s="1"/>
  <c r="U42" i="2"/>
  <c r="V42" i="2" s="1"/>
  <c r="BX8" i="2"/>
  <c r="BU11" i="2"/>
  <c r="BV11" i="2" s="1"/>
  <c r="BT12" i="2"/>
  <c r="BR14" i="2"/>
  <c r="BU15" i="2"/>
  <c r="BV15" i="2" s="1"/>
  <c r="X16" i="2"/>
  <c r="AM16" i="2"/>
  <c r="Y21" i="2"/>
  <c r="AD21" i="2" s="1"/>
  <c r="CD21" i="2"/>
  <c r="BR21" i="2"/>
  <c r="BU24" i="2"/>
  <c r="BV24" i="2" s="1"/>
  <c r="CE24" i="2"/>
  <c r="BG26" i="2"/>
  <c r="BF26" i="2"/>
  <c r="BF36" i="2" s="1"/>
  <c r="BG38" i="2" s="1"/>
  <c r="BX27" i="2"/>
  <c r="V27" i="2"/>
  <c r="AB27" i="2"/>
  <c r="AS27" i="2" s="1"/>
  <c r="Y27" i="2"/>
  <c r="Z27" i="2" s="1"/>
  <c r="AR28" i="2"/>
  <c r="AA28" i="2"/>
  <c r="BG28" i="2"/>
  <c r="BF28" i="2"/>
  <c r="CG29" i="2"/>
  <c r="CH29" i="2" s="1"/>
  <c r="BX31" i="2"/>
  <c r="V31" i="2"/>
  <c r="CG31" i="2"/>
  <c r="BZ34" i="2"/>
  <c r="CA34" i="2" s="1"/>
  <c r="X34" i="2"/>
  <c r="AC34" i="2"/>
  <c r="AT34" i="2" s="1"/>
  <c r="O37" i="2"/>
  <c r="G45" i="2"/>
  <c r="CA21" i="2"/>
  <c r="J46" i="2"/>
  <c r="K46" i="2" s="1"/>
  <c r="J36" i="2"/>
  <c r="AL46" i="2"/>
  <c r="AM46" i="2" s="1"/>
  <c r="AL36" i="2"/>
  <c r="V8" i="2"/>
  <c r="BF9" i="2"/>
  <c r="BW9" i="2"/>
  <c r="CD9" i="2" s="1"/>
  <c r="CE14" i="2"/>
  <c r="BR15" i="2"/>
  <c r="BR16" i="2"/>
  <c r="Y17" i="2"/>
  <c r="AD17" i="2" s="1"/>
  <c r="AU17" i="2" s="1"/>
  <c r="X18" i="2"/>
  <c r="BR18" i="2"/>
  <c r="CE18" i="2"/>
  <c r="AA22" i="2"/>
  <c r="AE22" i="2" s="1"/>
  <c r="BG22" i="2"/>
  <c r="BR24" i="2"/>
  <c r="BG27" i="2"/>
  <c r="BF27" i="2"/>
  <c r="AB28" i="2"/>
  <c r="AS28" i="2" s="1"/>
  <c r="Y28" i="2"/>
  <c r="AD28" i="2" s="1"/>
  <c r="AU28" i="2" s="1"/>
  <c r="BX28" i="2"/>
  <c r="BZ29" i="2"/>
  <c r="CA29" i="2" s="1"/>
  <c r="X29" i="2"/>
  <c r="AC29" i="2"/>
  <c r="AT29" i="2" s="1"/>
  <c r="BT29" i="2"/>
  <c r="X31" i="2"/>
  <c r="CE33" i="2"/>
  <c r="O36" i="2"/>
  <c r="I45" i="2"/>
  <c r="R44" i="2"/>
  <c r="S44" i="2" s="1"/>
  <c r="AD15" i="2"/>
  <c r="K5" i="2"/>
  <c r="Y5" i="2"/>
  <c r="BP36" i="2"/>
  <c r="BZ5" i="2"/>
  <c r="U47" i="2"/>
  <c r="V47" i="2" s="1"/>
  <c r="W42" i="2"/>
  <c r="X42" i="2" s="1"/>
  <c r="AL42" i="2"/>
  <c r="AM42" i="2" s="1"/>
  <c r="CD8" i="2"/>
  <c r="BZ8" i="2"/>
  <c r="U44" i="2"/>
  <c r="V44" i="2" s="1"/>
  <c r="BF10" i="2"/>
  <c r="BX10" i="2"/>
  <c r="T45" i="2"/>
  <c r="AR11" i="2"/>
  <c r="Z11" i="2"/>
  <c r="BF11" i="2"/>
  <c r="BW11" i="2"/>
  <c r="CD11" i="2" s="1"/>
  <c r="BT14" i="2"/>
  <c r="BR17" i="2"/>
  <c r="Y18" i="2"/>
  <c r="AD18" i="2" s="1"/>
  <c r="AU18" i="2" s="1"/>
  <c r="AC19" i="2"/>
  <c r="AT19" i="2" s="1"/>
  <c r="BU19" i="2"/>
  <c r="BV19" i="2" s="1"/>
  <c r="AA23" i="2"/>
  <c r="BW23" i="2"/>
  <c r="X23" i="2"/>
  <c r="AR23" i="2"/>
  <c r="CE23" i="2"/>
  <c r="BR26" i="2"/>
  <c r="BV26" i="2"/>
  <c r="BT26" i="2"/>
  <c r="BY29" i="2"/>
  <c r="CB29" i="2"/>
  <c r="Y31" i="2"/>
  <c r="AD31" i="2" s="1"/>
  <c r="AU31" i="2" s="1"/>
  <c r="BG31" i="2"/>
  <c r="BF31" i="2"/>
  <c r="BV35" i="2"/>
  <c r="Q36" i="2"/>
  <c r="P37" i="2"/>
  <c r="Q37" i="2" s="1"/>
  <c r="O41" i="2"/>
  <c r="CD18" i="2"/>
  <c r="AR21" i="2"/>
  <c r="Z21" i="2"/>
  <c r="BQ36" i="2"/>
  <c r="V6" i="2"/>
  <c r="BW6" i="2"/>
  <c r="J42" i="2"/>
  <c r="K42" i="2" s="1"/>
  <c r="X8" i="2"/>
  <c r="AM8" i="2"/>
  <c r="X9" i="2"/>
  <c r="W43" i="2"/>
  <c r="X43" i="2" s="1"/>
  <c r="BZ9" i="2"/>
  <c r="CA9" i="2" s="1"/>
  <c r="V10" i="2"/>
  <c r="BT15" i="2"/>
  <c r="BT18" i="2"/>
  <c r="BT21" i="2"/>
  <c r="BV22" i="2"/>
  <c r="AB23" i="2"/>
  <c r="AS23" i="2" s="1"/>
  <c r="Y23" i="2"/>
  <c r="Z23" i="2" s="1"/>
  <c r="BX23" i="2"/>
  <c r="V23" i="2"/>
  <c r="BT27" i="2"/>
  <c r="CD27" i="2"/>
  <c r="BV27" i="2"/>
  <c r="AC28" i="2"/>
  <c r="AT28" i="2" s="1"/>
  <c r="BZ28" i="2"/>
  <c r="X28" i="2"/>
  <c r="CE28" i="2"/>
  <c r="AE29" i="2"/>
  <c r="AB31" i="2"/>
  <c r="AS31" i="2" s="1"/>
  <c r="BU35" i="2"/>
  <c r="CE35" i="2"/>
  <c r="O46" i="2"/>
  <c r="CG22" i="2"/>
  <c r="CH22" i="2" s="1"/>
  <c r="BT22" i="2"/>
  <c r="X24" i="2"/>
  <c r="CG24" i="2"/>
  <c r="BT24" i="2"/>
  <c r="K25" i="2"/>
  <c r="BV25" i="2"/>
  <c r="CD25" i="2"/>
  <c r="BR25" i="2"/>
  <c r="BU32" i="2"/>
  <c r="BV32" i="2" s="1"/>
  <c r="AB33" i="2"/>
  <c r="AS33" i="2" s="1"/>
  <c r="Y33" i="2"/>
  <c r="AD33" i="2" s="1"/>
  <c r="AU33" i="2" s="1"/>
  <c r="BY34" i="2"/>
  <c r="CG35" i="2"/>
  <c r="CH35" i="2" s="1"/>
  <c r="BT35" i="2"/>
  <c r="AA26" i="2"/>
  <c r="AE26" i="2" s="1"/>
  <c r="AR26" i="2"/>
  <c r="Z26" i="2"/>
  <c r="BW26" i="2"/>
  <c r="CD26" i="2" s="1"/>
  <c r="V33" i="2"/>
  <c r="AE34" i="2"/>
  <c r="F37" i="2"/>
  <c r="G37" i="2" s="1"/>
  <c r="K37" i="2" s="1"/>
  <c r="G36" i="2"/>
  <c r="T44" i="2"/>
  <c r="Y22" i="2"/>
  <c r="AD22" i="2" s="1"/>
  <c r="AU22" i="2" s="1"/>
  <c r="CB22" i="2"/>
  <c r="BX26" i="2"/>
  <c r="V26" i="2"/>
  <c r="AD27" i="2"/>
  <c r="BX32" i="2"/>
  <c r="V32" i="2"/>
  <c r="AB32" i="2"/>
  <c r="AS32" i="2" s="1"/>
  <c r="AC33" i="2"/>
  <c r="AT33" i="2" s="1"/>
  <c r="BZ33" i="2"/>
  <c r="X33" i="2"/>
  <c r="CB34" i="2"/>
  <c r="BY35" i="2"/>
  <c r="AI43" i="2"/>
  <c r="AK45" i="2"/>
  <c r="X26" i="2"/>
  <c r="BV30" i="2"/>
  <c r="CD30" i="2"/>
  <c r="BR30" i="2"/>
  <c r="BX33" i="2"/>
  <c r="I41" i="2"/>
  <c r="AC24" i="2"/>
  <c r="AT24" i="2" s="1"/>
  <c r="V29" i="2"/>
  <c r="V34" i="2"/>
  <c r="I36" i="2"/>
  <c r="CD28" i="2"/>
  <c r="CD33" i="2"/>
  <c r="CG7" i="1"/>
  <c r="BV17" i="1"/>
  <c r="CA15" i="1"/>
  <c r="CG15" i="1"/>
  <c r="CJ16" i="1"/>
  <c r="CF16" i="1"/>
  <c r="CH17" i="1"/>
  <c r="CF13" i="1"/>
  <c r="CI13" i="1"/>
  <c r="CJ13" i="1" s="1"/>
  <c r="BQ37" i="1"/>
  <c r="CF20" i="1"/>
  <c r="AE19" i="1"/>
  <c r="CA16" i="1"/>
  <c r="V46" i="1"/>
  <c r="BW9" i="1"/>
  <c r="BY9" i="1" s="1"/>
  <c r="T47" i="1"/>
  <c r="AS5" i="1"/>
  <c r="BG6" i="1"/>
  <c r="AC7" i="1"/>
  <c r="AT7" i="1" s="1"/>
  <c r="AB8" i="1"/>
  <c r="AS8" i="1" s="1"/>
  <c r="AA9" i="1"/>
  <c r="CE9" i="1"/>
  <c r="Z10" i="1"/>
  <c r="AD12" i="1"/>
  <c r="AU12" i="1" s="1"/>
  <c r="CE15" i="1"/>
  <c r="CI16" i="1"/>
  <c r="AB17" i="1"/>
  <c r="AS17" i="1" s="1"/>
  <c r="BX17" i="1"/>
  <c r="CB19" i="1"/>
  <c r="CD21" i="1"/>
  <c r="BW22" i="1"/>
  <c r="BT31" i="1"/>
  <c r="CD31" i="1"/>
  <c r="CD33" i="1"/>
  <c r="CG34" i="1"/>
  <c r="W44" i="1"/>
  <c r="R43" i="1"/>
  <c r="S43" i="1" s="1"/>
  <c r="R36" i="1"/>
  <c r="BS37" i="1"/>
  <c r="BU12" i="1"/>
  <c r="BV12" i="1" s="1"/>
  <c r="BZ18" i="1"/>
  <c r="CA18" i="1" s="1"/>
  <c r="X18" i="1"/>
  <c r="CG18" i="1"/>
  <c r="CH18" i="1" s="1"/>
  <c r="CG20" i="1"/>
  <c r="CH20" i="1" s="1"/>
  <c r="CF21" i="1"/>
  <c r="AC26" i="1"/>
  <c r="AT26" i="1" s="1"/>
  <c r="BZ26" i="1"/>
  <c r="BU31" i="1"/>
  <c r="BV31" i="1" s="1"/>
  <c r="BR31" i="1"/>
  <c r="BZ33" i="1"/>
  <c r="AC33" i="1"/>
  <c r="AT33" i="1" s="1"/>
  <c r="Y33" i="1"/>
  <c r="Z33" i="1" s="1"/>
  <c r="CF33" i="1"/>
  <c r="CI34" i="1"/>
  <c r="AL41" i="1"/>
  <c r="AM41" i="1" s="1"/>
  <c r="BT5" i="1"/>
  <c r="K6" i="1"/>
  <c r="AM6" i="1"/>
  <c r="V45" i="1"/>
  <c r="BW7" i="1"/>
  <c r="CA7" i="1" s="1"/>
  <c r="S8" i="1"/>
  <c r="BR12" i="1"/>
  <c r="BF13" i="1"/>
  <c r="V14" i="1"/>
  <c r="CA14" i="1"/>
  <c r="X15" i="1"/>
  <c r="BT16" i="1"/>
  <c r="CG16" i="1"/>
  <c r="CH16" i="1" s="1"/>
  <c r="BT18" i="1"/>
  <c r="BZ28" i="1"/>
  <c r="AC28" i="1"/>
  <c r="AT28" i="1" s="1"/>
  <c r="Y28" i="1"/>
  <c r="Z28" i="1" s="1"/>
  <c r="BT35" i="1"/>
  <c r="T36" i="1"/>
  <c r="V38" i="1" s="1"/>
  <c r="T43" i="1"/>
  <c r="AV36" i="1"/>
  <c r="AV37" i="1" s="1"/>
  <c r="AX55" i="1" s="1"/>
  <c r="BU5" i="1"/>
  <c r="V7" i="1"/>
  <c r="BF7" i="1"/>
  <c r="BX7" i="1"/>
  <c r="AR8" i="1"/>
  <c r="T46" i="1"/>
  <c r="BF8" i="1"/>
  <c r="BW8" i="1"/>
  <c r="CD8" i="1" s="1"/>
  <c r="S9" i="1"/>
  <c r="BT11" i="1"/>
  <c r="BV14" i="1"/>
  <c r="K15" i="1"/>
  <c r="Y15" i="1"/>
  <c r="Z15" i="1" s="1"/>
  <c r="CA17" i="1"/>
  <c r="BU18" i="1"/>
  <c r="BV18" i="1" s="1"/>
  <c r="V19" i="1"/>
  <c r="CE19" i="1"/>
  <c r="AE20" i="1"/>
  <c r="AC21" i="1"/>
  <c r="AT21" i="1" s="1"/>
  <c r="BZ21" i="1"/>
  <c r="BV23" i="1"/>
  <c r="AA24" i="1"/>
  <c r="AE24" i="1" s="1"/>
  <c r="AR24" i="1"/>
  <c r="Z24" i="1"/>
  <c r="BW24" i="1"/>
  <c r="CD24" i="1" s="1"/>
  <c r="K25" i="1"/>
  <c r="K26" i="1"/>
  <c r="Y26" i="1"/>
  <c r="Z26" i="1" s="1"/>
  <c r="X28" i="1"/>
  <c r="CA35" i="1"/>
  <c r="R41" i="1"/>
  <c r="S41" i="1" s="1"/>
  <c r="U36" i="1"/>
  <c r="U43" i="1"/>
  <c r="V43" i="1" s="1"/>
  <c r="BW10" i="1"/>
  <c r="CD10" i="1" s="1"/>
  <c r="BU11" i="1"/>
  <c r="BV11" i="1" s="1"/>
  <c r="AR13" i="1"/>
  <c r="Z13" i="1"/>
  <c r="BY13" i="1"/>
  <c r="X14" i="1"/>
  <c r="CD14" i="1"/>
  <c r="V17" i="1"/>
  <c r="AC18" i="1"/>
  <c r="AT18" i="1" s="1"/>
  <c r="AT36" i="1" s="1"/>
  <c r="AT37" i="1" s="1"/>
  <c r="BU21" i="1"/>
  <c r="BV21" i="1" s="1"/>
  <c r="BU23" i="1"/>
  <c r="CE23" i="1"/>
  <c r="Y24" i="1"/>
  <c r="AD24" i="1" s="1"/>
  <c r="AU24" i="1" s="1"/>
  <c r="AB24" i="1"/>
  <c r="AS24" i="1" s="1"/>
  <c r="AE25" i="1"/>
  <c r="BY25" i="1"/>
  <c r="BT26" i="1"/>
  <c r="CD26" i="1"/>
  <c r="CG29" i="1"/>
  <c r="BT30" i="1"/>
  <c r="CD34" i="1"/>
  <c r="CJ34" i="1" s="1"/>
  <c r="BV34" i="1"/>
  <c r="BT34" i="1"/>
  <c r="V5" i="1"/>
  <c r="BF5" i="1"/>
  <c r="BW5" i="1"/>
  <c r="R44" i="1"/>
  <c r="S44" i="1" s="1"/>
  <c r="X7" i="1"/>
  <c r="AL45" i="1"/>
  <c r="AM45" i="1" s="1"/>
  <c r="V8" i="1"/>
  <c r="V9" i="1"/>
  <c r="U47" i="1"/>
  <c r="BG9" i="1"/>
  <c r="BG10" i="1"/>
  <c r="BX10" i="1"/>
  <c r="CB13" i="1"/>
  <c r="Y14" i="1"/>
  <c r="AD14" i="1" s="1"/>
  <c r="AU14" i="1" s="1"/>
  <c r="AR14" i="1"/>
  <c r="BR14" i="1"/>
  <c r="CE14" i="1"/>
  <c r="AC15" i="1"/>
  <c r="AT15" i="1" s="1"/>
  <c r="BU17" i="1"/>
  <c r="CE17" i="1"/>
  <c r="CD17" i="1"/>
  <c r="AD18" i="1"/>
  <c r="AU18" i="1" s="1"/>
  <c r="BF18" i="1"/>
  <c r="X19" i="1"/>
  <c r="Y21" i="1"/>
  <c r="Z21" i="1" s="1"/>
  <c r="X22" i="1"/>
  <c r="AR22" i="1"/>
  <c r="BR23" i="1"/>
  <c r="V24" i="1"/>
  <c r="BU26" i="1"/>
  <c r="AR27" i="1"/>
  <c r="Z27" i="1"/>
  <c r="AA27" i="1"/>
  <c r="AE27" i="1" s="1"/>
  <c r="CF28" i="1"/>
  <c r="CE29" i="1"/>
  <c r="CA31" i="1"/>
  <c r="AE35" i="1"/>
  <c r="O36" i="1"/>
  <c r="T41" i="1"/>
  <c r="W43" i="1"/>
  <c r="X43" i="1" s="1"/>
  <c r="W36" i="1"/>
  <c r="BX5" i="1"/>
  <c r="BT6" i="1"/>
  <c r="CE6" i="1"/>
  <c r="K7" i="1"/>
  <c r="Y7" i="1"/>
  <c r="AM7" i="1"/>
  <c r="W46" i="1"/>
  <c r="X46" i="1" s="1"/>
  <c r="AL46" i="1"/>
  <c r="AM46" i="1" s="1"/>
  <c r="BZ8" i="1"/>
  <c r="X47" i="1"/>
  <c r="BZ9" i="1"/>
  <c r="CB9" i="1" s="1"/>
  <c r="V10" i="1"/>
  <c r="BF11" i="1"/>
  <c r="BW11" i="1"/>
  <c r="CD11" i="1" s="1"/>
  <c r="BX12" i="1"/>
  <c r="V13" i="1"/>
  <c r="CG14" i="1"/>
  <c r="CB15" i="1"/>
  <c r="BY16" i="1"/>
  <c r="BR17" i="1"/>
  <c r="AR19" i="1"/>
  <c r="K21" i="1"/>
  <c r="AC23" i="1"/>
  <c r="AT23" i="1" s="1"/>
  <c r="BZ23" i="1"/>
  <c r="CG23" i="1"/>
  <c r="CH23" i="1" s="1"/>
  <c r="BT23" i="1"/>
  <c r="CE24" i="1"/>
  <c r="BG25" i="1"/>
  <c r="BF25" i="1"/>
  <c r="CA25" i="1"/>
  <c r="BR26" i="1"/>
  <c r="CE30" i="1"/>
  <c r="BR33" i="1"/>
  <c r="Q37" i="1"/>
  <c r="U41" i="1"/>
  <c r="V41" i="1" s="1"/>
  <c r="W45" i="1"/>
  <c r="X45" i="1" s="1"/>
  <c r="J36" i="1"/>
  <c r="X5" i="1"/>
  <c r="AL36" i="1"/>
  <c r="AL43" i="1"/>
  <c r="AM43" i="1" s="1"/>
  <c r="BO36" i="1"/>
  <c r="T44" i="1"/>
  <c r="AD6" i="1"/>
  <c r="AU6" i="1" s="1"/>
  <c r="BU6" i="1"/>
  <c r="BV6" i="1" s="1"/>
  <c r="AR7" i="1"/>
  <c r="J46" i="1"/>
  <c r="K46" i="1" s="1"/>
  <c r="X8" i="1"/>
  <c r="AM8" i="1"/>
  <c r="X9" i="1"/>
  <c r="AL47" i="1"/>
  <c r="AM47" i="1" s="1"/>
  <c r="X41" i="1"/>
  <c r="BZ10" i="1"/>
  <c r="V11" i="1"/>
  <c r="BX11" i="1"/>
  <c r="BF12" i="1"/>
  <c r="CA13" i="1"/>
  <c r="AA14" i="1"/>
  <c r="AE14" i="1" s="1"/>
  <c r="BT14" i="1"/>
  <c r="BY15" i="1"/>
  <c r="V16" i="1"/>
  <c r="AD17" i="1"/>
  <c r="BT17" i="1"/>
  <c r="CB18" i="1"/>
  <c r="Z19" i="1"/>
  <c r="BU19" i="1"/>
  <c r="BV19" i="1" s="1"/>
  <c r="BY21" i="1"/>
  <c r="BT22" i="1"/>
  <c r="AD23" i="1"/>
  <c r="AU23" i="1" s="1"/>
  <c r="X23" i="1"/>
  <c r="BG24" i="1"/>
  <c r="BD36" i="1"/>
  <c r="BD37" i="1" s="1"/>
  <c r="BX8" i="1"/>
  <c r="K5" i="1"/>
  <c r="Y5" i="1"/>
  <c r="AM5" i="1"/>
  <c r="BP36" i="1"/>
  <c r="BR36" i="1" s="1"/>
  <c r="BZ5" i="1"/>
  <c r="U44" i="1"/>
  <c r="V44" i="1" s="1"/>
  <c r="AA7" i="1"/>
  <c r="BR7" i="1"/>
  <c r="K8" i="1"/>
  <c r="Y8" i="1"/>
  <c r="Z8" i="1" s="1"/>
  <c r="BR8" i="1"/>
  <c r="Y9" i="1"/>
  <c r="AM9" i="1"/>
  <c r="J41" i="1"/>
  <c r="K41" i="1" s="1"/>
  <c r="X10" i="1"/>
  <c r="X11" i="1"/>
  <c r="W42" i="1"/>
  <c r="X42" i="1" s="1"/>
  <c r="BZ11" i="1"/>
  <c r="CG11" i="1" s="1"/>
  <c r="CH11" i="1" s="1"/>
  <c r="X13" i="1"/>
  <c r="X16" i="1"/>
  <c r="CB16" i="1"/>
  <c r="K17" i="1"/>
  <c r="AR18" i="1"/>
  <c r="Z18" i="1"/>
  <c r="BY20" i="1"/>
  <c r="BG21" i="1"/>
  <c r="BF21" i="1"/>
  <c r="K23" i="1"/>
  <c r="Y23" i="1"/>
  <c r="Z23" i="1" s="1"/>
  <c r="BY23" i="1"/>
  <c r="CG24" i="1"/>
  <c r="CH24" i="1" s="1"/>
  <c r="BV26" i="1"/>
  <c r="BW27" i="1"/>
  <c r="CD27" i="1" s="1"/>
  <c r="CD29" i="1"/>
  <c r="BR29" i="1"/>
  <c r="BV29" i="1"/>
  <c r="BT29" i="1"/>
  <c r="AE30" i="1"/>
  <c r="AB31" i="1"/>
  <c r="AS31" i="1" s="1"/>
  <c r="BX31" i="1"/>
  <c r="Y31" i="1"/>
  <c r="Z31" i="1" s="1"/>
  <c r="V31" i="1"/>
  <c r="BG31" i="1"/>
  <c r="AM33" i="1"/>
  <c r="CB34" i="1"/>
  <c r="I45" i="1"/>
  <c r="Z5" i="1"/>
  <c r="AR5" i="1"/>
  <c r="V6" i="1"/>
  <c r="BW6" i="1"/>
  <c r="BY6" i="1" s="1"/>
  <c r="AB7" i="1"/>
  <c r="AS7" i="1" s="1"/>
  <c r="CE7" i="1"/>
  <c r="AA8" i="1"/>
  <c r="K9" i="1"/>
  <c r="AR9" i="1"/>
  <c r="K10" i="1"/>
  <c r="Y10" i="1"/>
  <c r="J42" i="1"/>
  <c r="K42" i="1" s="1"/>
  <c r="Y11" i="1"/>
  <c r="AA13" i="1"/>
  <c r="AE13" i="1" s="1"/>
  <c r="BT13" i="1"/>
  <c r="CD15" i="1"/>
  <c r="Y16" i="1"/>
  <c r="Y18" i="1"/>
  <c r="CE18" i="1"/>
  <c r="BW19" i="1"/>
  <c r="CD19" i="1" s="1"/>
  <c r="CH19" i="1" s="1"/>
  <c r="CI25" i="1"/>
  <c r="AB26" i="1"/>
  <c r="AS26" i="1" s="1"/>
  <c r="BX26" i="1"/>
  <c r="BF27" i="1"/>
  <c r="BR28" i="1"/>
  <c r="AE32" i="1"/>
  <c r="BF32" i="1"/>
  <c r="BU35" i="1"/>
  <c r="BV35" i="1" s="1"/>
  <c r="J43" i="1"/>
  <c r="K43" i="1" s="1"/>
  <c r="G46" i="1"/>
  <c r="BX27" i="1"/>
  <c r="AD28" i="1"/>
  <c r="AU28" i="1" s="1"/>
  <c r="CG28" i="1"/>
  <c r="CH28" i="1" s="1"/>
  <c r="AA29" i="1"/>
  <c r="AE29" i="1" s="1"/>
  <c r="AR29" i="1"/>
  <c r="BY32" i="1"/>
  <c r="AD33" i="1"/>
  <c r="AU33" i="1" s="1"/>
  <c r="CG33" i="1"/>
  <c r="AA34" i="1"/>
  <c r="AR34" i="1"/>
  <c r="BR34" i="1"/>
  <c r="AW55" i="1"/>
  <c r="AD55" i="1"/>
  <c r="K33" i="1"/>
  <c r="BT33" i="1"/>
  <c r="Q36" i="1"/>
  <c r="I37" i="1"/>
  <c r="K37" i="1" s="1"/>
  <c r="Q43" i="1"/>
  <c r="V29" i="1"/>
  <c r="AD31" i="1"/>
  <c r="X31" i="1"/>
  <c r="AR32" i="1"/>
  <c r="Z32" i="1"/>
  <c r="AE33" i="1"/>
  <c r="V34" i="1"/>
  <c r="BG20" i="1"/>
  <c r="Y22" i="1"/>
  <c r="AD22" i="1" s="1"/>
  <c r="AU22" i="1" s="1"/>
  <c r="BX22" i="1"/>
  <c r="CE22" i="1" s="1"/>
  <c r="CA24" i="1"/>
  <c r="V25" i="1"/>
  <c r="BW25" i="1"/>
  <c r="CD25" i="1" s="1"/>
  <c r="V27" i="1"/>
  <c r="BG30" i="1"/>
  <c r="BF30" i="1"/>
  <c r="K31" i="1"/>
  <c r="CE32" i="1"/>
  <c r="BG35" i="1"/>
  <c r="BF35" i="1"/>
  <c r="G43" i="1"/>
  <c r="AK44" i="1"/>
  <c r="V20" i="1"/>
  <c r="BF20" i="1"/>
  <c r="V22" i="1"/>
  <c r="X24" i="1"/>
  <c r="BF26" i="1"/>
  <c r="BZ27" i="1"/>
  <c r="X27" i="1"/>
  <c r="V32" i="1"/>
  <c r="X35" i="1"/>
  <c r="BW35" i="1"/>
  <c r="CD35" i="1" s="1"/>
  <c r="AK37" i="1"/>
  <c r="BR25" i="1"/>
  <c r="Y29" i="1"/>
  <c r="AD29" i="1" s="1"/>
  <c r="AU29" i="1" s="1"/>
  <c r="BW29" i="1"/>
  <c r="CA29" i="1" s="1"/>
  <c r="BX30" i="1"/>
  <c r="V30" i="1"/>
  <c r="BZ32" i="1"/>
  <c r="CA32" i="1" s="1"/>
  <c r="X32" i="1"/>
  <c r="Y34" i="1"/>
  <c r="AD34" i="1" s="1"/>
  <c r="AU34" i="1" s="1"/>
  <c r="BW34" i="1"/>
  <c r="BY34" i="1" s="1"/>
  <c r="BX35" i="1"/>
  <c r="V35" i="1"/>
  <c r="AK45" i="1"/>
  <c r="CD21" i="3" l="1"/>
  <c r="CI31" i="3"/>
  <c r="CF31" i="3"/>
  <c r="CF14" i="3"/>
  <c r="CI14" i="3"/>
  <c r="CH25" i="3"/>
  <c r="CB31" i="3"/>
  <c r="BY31" i="3"/>
  <c r="Y41" i="3"/>
  <c r="Z41" i="3" s="1"/>
  <c r="Y36" i="3"/>
  <c r="AD5" i="3"/>
  <c r="Z5" i="3"/>
  <c r="CF21" i="3"/>
  <c r="CB28" i="3"/>
  <c r="AE16" i="3"/>
  <c r="BY35" i="3"/>
  <c r="CA35" i="3"/>
  <c r="CH35" i="3"/>
  <c r="AD18" i="3"/>
  <c r="AU18" i="3" s="1"/>
  <c r="Z18" i="3"/>
  <c r="Y43" i="3"/>
  <c r="Z43" i="3" s="1"/>
  <c r="AD7" i="3"/>
  <c r="AU7" i="3" s="1"/>
  <c r="CA12" i="3"/>
  <c r="CG12" i="3"/>
  <c r="CH12" i="3" s="1"/>
  <c r="CH16" i="3"/>
  <c r="CB8" i="3"/>
  <c r="BY8" i="3"/>
  <c r="CE8" i="3"/>
  <c r="BZ36" i="3"/>
  <c r="CA5" i="3"/>
  <c r="CB5" i="3"/>
  <c r="CF33" i="3"/>
  <c r="CI33" i="3"/>
  <c r="CJ33" i="3" s="1"/>
  <c r="CF28" i="3"/>
  <c r="CI28" i="3"/>
  <c r="CJ28" i="3" s="1"/>
  <c r="CJ31" i="3"/>
  <c r="CF20" i="3"/>
  <c r="CI20" i="3"/>
  <c r="CJ20" i="3" s="1"/>
  <c r="CF34" i="3"/>
  <c r="CI34" i="3"/>
  <c r="CJ34" i="3" s="1"/>
  <c r="CB29" i="3"/>
  <c r="CE29" i="3"/>
  <c r="BY29" i="3"/>
  <c r="U37" i="3"/>
  <c r="V37" i="3" s="1"/>
  <c r="V36" i="3"/>
  <c r="CH8" i="3"/>
  <c r="AE23" i="3"/>
  <c r="S36" i="3"/>
  <c r="R37" i="3"/>
  <c r="BU36" i="3"/>
  <c r="BV5" i="3"/>
  <c r="AE19" i="3"/>
  <c r="Y47" i="3"/>
  <c r="Z47" i="3" s="1"/>
  <c r="Z11" i="3"/>
  <c r="CF11" i="3"/>
  <c r="CI11" i="3"/>
  <c r="CJ11" i="3" s="1"/>
  <c r="CG5" i="3"/>
  <c r="CJ30" i="3"/>
  <c r="CF30" i="3"/>
  <c r="CJ14" i="3"/>
  <c r="AE21" i="3"/>
  <c r="CB12" i="3"/>
  <c r="BY12" i="3"/>
  <c r="CE12" i="3"/>
  <c r="AL37" i="3"/>
  <c r="AM36" i="3"/>
  <c r="BT36" i="3"/>
  <c r="BS37" i="3"/>
  <c r="BT37" i="3" s="1"/>
  <c r="Y45" i="3"/>
  <c r="Z45" i="3" s="1"/>
  <c r="AD9" i="3"/>
  <c r="AU9" i="3" s="1"/>
  <c r="CF18" i="3"/>
  <c r="AB36" i="3"/>
  <c r="AB37" i="3" s="1"/>
  <c r="AE33" i="3"/>
  <c r="CA33" i="3"/>
  <c r="CB33" i="3"/>
  <c r="BY24" i="3"/>
  <c r="CE24" i="3"/>
  <c r="CB24" i="3"/>
  <c r="CH30" i="3"/>
  <c r="AC36" i="3"/>
  <c r="AC37" i="3" s="1"/>
  <c r="AT5" i="3"/>
  <c r="AT36" i="3" s="1"/>
  <c r="AT37" i="3" s="1"/>
  <c r="CH14" i="3"/>
  <c r="CG10" i="3"/>
  <c r="CH10" i="3" s="1"/>
  <c r="AD27" i="3"/>
  <c r="Z27" i="3"/>
  <c r="CH32" i="3"/>
  <c r="AD32" i="3"/>
  <c r="Z32" i="3"/>
  <c r="AD24" i="3"/>
  <c r="CI17" i="3"/>
  <c r="CJ17" i="3" s="1"/>
  <c r="CF17" i="3"/>
  <c r="BW36" i="3"/>
  <c r="CA29" i="3"/>
  <c r="Z17" i="3"/>
  <c r="CI19" i="3"/>
  <c r="CJ19" i="3" s="1"/>
  <c r="CB9" i="3"/>
  <c r="BY9" i="3"/>
  <c r="AE29" i="3"/>
  <c r="CD36" i="3"/>
  <c r="CF6" i="3"/>
  <c r="CB11" i="3"/>
  <c r="BY32" i="3"/>
  <c r="CB32" i="3"/>
  <c r="CE32" i="3"/>
  <c r="CF23" i="3"/>
  <c r="J37" i="3"/>
  <c r="K36" i="3"/>
  <c r="AD22" i="3"/>
  <c r="Z22" i="3"/>
  <c r="CI27" i="3"/>
  <c r="CJ27" i="3" s="1"/>
  <c r="CF27" i="3"/>
  <c r="CD35" i="3"/>
  <c r="CG28" i="3"/>
  <c r="CH28" i="3" s="1"/>
  <c r="BX36" i="3"/>
  <c r="AE15" i="3"/>
  <c r="CH31" i="3"/>
  <c r="CF16" i="3"/>
  <c r="CI16" i="3"/>
  <c r="AE17" i="3"/>
  <c r="Z7" i="3"/>
  <c r="Z29" i="3"/>
  <c r="BV37" i="3"/>
  <c r="CD26" i="3"/>
  <c r="CA21" i="3"/>
  <c r="CG21" i="3"/>
  <c r="CH21" i="3" s="1"/>
  <c r="BY10" i="3"/>
  <c r="CE10" i="3"/>
  <c r="CB10" i="3"/>
  <c r="Y42" i="3"/>
  <c r="Z42" i="3" s="1"/>
  <c r="AE34" i="3"/>
  <c r="CI35" i="3"/>
  <c r="CF35" i="3"/>
  <c r="AW55" i="3"/>
  <c r="CB26" i="3"/>
  <c r="BY26" i="3"/>
  <c r="CE26" i="3"/>
  <c r="BY22" i="3"/>
  <c r="CB22" i="3"/>
  <c r="CE22" i="3"/>
  <c r="AE26" i="3"/>
  <c r="AE14" i="3"/>
  <c r="AE13" i="3"/>
  <c r="CG15" i="3"/>
  <c r="CH15" i="3" s="1"/>
  <c r="Z15" i="3"/>
  <c r="CG29" i="3"/>
  <c r="CH29" i="3" s="1"/>
  <c r="CB15" i="3"/>
  <c r="AE8" i="3"/>
  <c r="CD25" i="3"/>
  <c r="BY25" i="3"/>
  <c r="CD16" i="3"/>
  <c r="CI7" i="3"/>
  <c r="CJ7" i="3" s="1"/>
  <c r="CF7" i="3"/>
  <c r="AD11" i="3"/>
  <c r="Y44" i="3"/>
  <c r="Z44" i="3" s="1"/>
  <c r="CA18" i="3"/>
  <c r="CG18" i="3"/>
  <c r="CH18" i="3" s="1"/>
  <c r="Y46" i="3"/>
  <c r="Z46" i="3" s="1"/>
  <c r="AD10" i="3"/>
  <c r="Z10" i="3"/>
  <c r="CH9" i="3"/>
  <c r="AE18" i="3"/>
  <c r="CF15" i="3"/>
  <c r="CI15" i="3"/>
  <c r="CJ15" i="3" s="1"/>
  <c r="CG23" i="3"/>
  <c r="CH23" i="3" s="1"/>
  <c r="CA23" i="3"/>
  <c r="AA36" i="3"/>
  <c r="AD8" i="3"/>
  <c r="AU8" i="3" s="1"/>
  <c r="AE7" i="3"/>
  <c r="CG11" i="3"/>
  <c r="CH11" i="3" s="1"/>
  <c r="AE6" i="3"/>
  <c r="Z16" i="3"/>
  <c r="V46" i="3"/>
  <c r="CH6" i="3"/>
  <c r="CI25" i="3"/>
  <c r="CE9" i="3"/>
  <c r="CH7" i="3"/>
  <c r="CA24" i="3"/>
  <c r="CG24" i="3"/>
  <c r="CH24" i="3" s="1"/>
  <c r="X47" i="3"/>
  <c r="CI5" i="3"/>
  <c r="CF5" i="3"/>
  <c r="W37" i="3"/>
  <c r="X37" i="3" s="1"/>
  <c r="X36" i="3"/>
  <c r="CB23" i="3"/>
  <c r="CB18" i="3"/>
  <c r="AU21" i="2"/>
  <c r="AE21" i="2"/>
  <c r="BY27" i="2"/>
  <c r="CB27" i="2"/>
  <c r="W37" i="2"/>
  <c r="X37" i="2" s="1"/>
  <c r="X36" i="2"/>
  <c r="AE7" i="2"/>
  <c r="CF6" i="2"/>
  <c r="CI6" i="2"/>
  <c r="BQ37" i="2"/>
  <c r="BR37" i="2" s="1"/>
  <c r="BR36" i="2"/>
  <c r="BZ36" i="2"/>
  <c r="CA5" i="2"/>
  <c r="AE28" i="2"/>
  <c r="AE30" i="2"/>
  <c r="CG34" i="2"/>
  <c r="CH34" i="2" s="1"/>
  <c r="CF11" i="2"/>
  <c r="CA11" i="2"/>
  <c r="CB7" i="2"/>
  <c r="CE7" i="2"/>
  <c r="BY7" i="2"/>
  <c r="AE14" i="2"/>
  <c r="CG5" i="2"/>
  <c r="AE17" i="2"/>
  <c r="CI23" i="2"/>
  <c r="CF23" i="2"/>
  <c r="CI17" i="2"/>
  <c r="CJ17" i="2" s="1"/>
  <c r="CF17" i="2"/>
  <c r="BY32" i="2"/>
  <c r="CB32" i="2"/>
  <c r="CE32" i="2"/>
  <c r="CB26" i="2"/>
  <c r="BY26" i="2"/>
  <c r="CE26" i="2"/>
  <c r="Z28" i="2"/>
  <c r="Z22" i="2"/>
  <c r="BY8" i="2"/>
  <c r="CE8" i="2"/>
  <c r="CB8" i="2"/>
  <c r="AE31" i="2"/>
  <c r="CF29" i="2"/>
  <c r="CI29" i="2"/>
  <c r="CJ29" i="2" s="1"/>
  <c r="X41" i="2"/>
  <c r="CB6" i="2"/>
  <c r="CG6" i="2"/>
  <c r="CI11" i="2"/>
  <c r="CJ11" i="2" s="1"/>
  <c r="Y43" i="2"/>
  <c r="Z43" i="2" s="1"/>
  <c r="CJ14" i="2"/>
  <c r="CE27" i="2"/>
  <c r="Y41" i="2"/>
  <c r="Z41" i="2" s="1"/>
  <c r="AD7" i="2"/>
  <c r="AU7" i="2" s="1"/>
  <c r="Z14" i="2"/>
  <c r="CF25" i="2"/>
  <c r="CI25" i="2"/>
  <c r="CJ25" i="2" s="1"/>
  <c r="CJ28" i="2"/>
  <c r="CD6" i="2"/>
  <c r="BY6" i="2"/>
  <c r="CE16" i="2"/>
  <c r="CB16" i="2"/>
  <c r="BY16" i="2"/>
  <c r="AU27" i="2"/>
  <c r="AE27" i="2"/>
  <c r="CF14" i="2"/>
  <c r="CI14" i="2"/>
  <c r="CB15" i="2"/>
  <c r="BY15" i="2"/>
  <c r="CA24" i="2"/>
  <c r="CD24" i="2"/>
  <c r="CJ24" i="2" s="1"/>
  <c r="CG25" i="2"/>
  <c r="CH25" i="2" s="1"/>
  <c r="CI35" i="2"/>
  <c r="CJ35" i="2" s="1"/>
  <c r="CF35" i="2"/>
  <c r="BY10" i="2"/>
  <c r="CB10" i="2"/>
  <c r="Y46" i="2"/>
  <c r="Z46" i="2" s="1"/>
  <c r="Y36" i="2"/>
  <c r="AD5" i="2"/>
  <c r="V46" i="2"/>
  <c r="AE33" i="2"/>
  <c r="BY20" i="2"/>
  <c r="CB20" i="2"/>
  <c r="CB13" i="2"/>
  <c r="BY13" i="2"/>
  <c r="CF34" i="2"/>
  <c r="CI34" i="2"/>
  <c r="CJ34" i="2" s="1"/>
  <c r="CG10" i="2"/>
  <c r="CH10" i="2" s="1"/>
  <c r="CA10" i="2"/>
  <c r="Y45" i="2"/>
  <c r="Z45" i="2" s="1"/>
  <c r="CB25" i="2"/>
  <c r="CF28" i="2"/>
  <c r="CI28" i="2"/>
  <c r="CB31" i="2"/>
  <c r="BY31" i="2"/>
  <c r="CE31" i="2"/>
  <c r="CA20" i="2"/>
  <c r="CG20" i="2"/>
  <c r="CH20" i="2" s="1"/>
  <c r="CA28" i="2"/>
  <c r="CG28" i="2"/>
  <c r="CH28" i="2" s="1"/>
  <c r="CJ23" i="2"/>
  <c r="Z17" i="2"/>
  <c r="CF18" i="2"/>
  <c r="CI18" i="2"/>
  <c r="CJ18" i="2" s="1"/>
  <c r="AM36" i="2"/>
  <c r="AL37" i="2"/>
  <c r="CH31" i="2"/>
  <c r="CH21" i="2"/>
  <c r="V36" i="2"/>
  <c r="U37" i="2"/>
  <c r="V37" i="2" s="1"/>
  <c r="Z33" i="2"/>
  <c r="S36" i="2"/>
  <c r="R37" i="2"/>
  <c r="CI9" i="2"/>
  <c r="CJ9" i="2" s="1"/>
  <c r="CF9" i="2"/>
  <c r="BY12" i="2"/>
  <c r="CE12" i="2"/>
  <c r="CB12" i="2"/>
  <c r="AE12" i="2"/>
  <c r="V41" i="2"/>
  <c r="Z5" i="2"/>
  <c r="AA36" i="2"/>
  <c r="AE5" i="2"/>
  <c r="CI19" i="2"/>
  <c r="CJ19" i="2" s="1"/>
  <c r="CF19" i="2"/>
  <c r="CF33" i="2"/>
  <c r="CI24" i="2"/>
  <c r="CF20" i="2"/>
  <c r="CH30" i="2"/>
  <c r="AC36" i="2"/>
  <c r="AC37" i="2" s="1"/>
  <c r="CF21" i="2"/>
  <c r="CI21" i="2"/>
  <c r="CJ21" i="2" s="1"/>
  <c r="AE10" i="2"/>
  <c r="BY33" i="2"/>
  <c r="CB33" i="2"/>
  <c r="CA33" i="2"/>
  <c r="CG33" i="2"/>
  <c r="CH33" i="2" s="1"/>
  <c r="CB23" i="2"/>
  <c r="BY23" i="2"/>
  <c r="AU15" i="2"/>
  <c r="AE15" i="2"/>
  <c r="CA31" i="2"/>
  <c r="CA7" i="2"/>
  <c r="CG7" i="2"/>
  <c r="CH7" i="2" s="1"/>
  <c r="CH27" i="2"/>
  <c r="CF30" i="2"/>
  <c r="CI30" i="2"/>
  <c r="CJ30" i="2" s="1"/>
  <c r="Z19" i="2"/>
  <c r="BY11" i="2"/>
  <c r="CH19" i="2"/>
  <c r="V45" i="2"/>
  <c r="BY19" i="2"/>
  <c r="CB19" i="2"/>
  <c r="X44" i="2"/>
  <c r="BW36" i="2"/>
  <c r="CD5" i="2"/>
  <c r="AE20" i="2"/>
  <c r="AD23" i="2"/>
  <c r="AU23" i="2" s="1"/>
  <c r="AR36" i="2"/>
  <c r="AX38" i="2" s="1"/>
  <c r="CH23" i="2"/>
  <c r="CF10" i="2"/>
  <c r="X46" i="2"/>
  <c r="CI13" i="2"/>
  <c r="CJ13" i="2" s="1"/>
  <c r="CF13" i="2"/>
  <c r="BT36" i="2"/>
  <c r="BS37" i="2"/>
  <c r="BT37" i="2" s="1"/>
  <c r="AD25" i="2"/>
  <c r="CE15" i="2"/>
  <c r="CA8" i="2"/>
  <c r="CG8" i="2"/>
  <c r="CH8" i="2" s="1"/>
  <c r="BY28" i="2"/>
  <c r="CB28" i="2"/>
  <c r="J37" i="2"/>
  <c r="K36" i="2"/>
  <c r="BX36" i="2"/>
  <c r="BY5" i="2"/>
  <c r="CE5" i="2"/>
  <c r="CB5" i="2"/>
  <c r="CB30" i="2"/>
  <c r="CH32" i="2"/>
  <c r="AE19" i="2"/>
  <c r="Y44" i="2"/>
  <c r="Z44" i="2" s="1"/>
  <c r="Z10" i="2"/>
  <c r="CH14" i="2"/>
  <c r="CB9" i="2"/>
  <c r="CH18" i="2"/>
  <c r="AE8" i="2"/>
  <c r="BU36" i="2"/>
  <c r="BV5" i="2"/>
  <c r="AE13" i="2"/>
  <c r="AE6" i="2"/>
  <c r="BY9" i="2"/>
  <c r="CI22" i="2"/>
  <c r="CJ22" i="2" s="1"/>
  <c r="CF22" i="2"/>
  <c r="AB36" i="2"/>
  <c r="AB37" i="2" s="1"/>
  <c r="CI22" i="1"/>
  <c r="CJ25" i="1"/>
  <c r="CF25" i="1"/>
  <c r="CH25" i="1"/>
  <c r="CH35" i="1"/>
  <c r="AD16" i="1"/>
  <c r="Z16" i="1"/>
  <c r="CI30" i="1"/>
  <c r="CJ30" i="1" s="1"/>
  <c r="CF30" i="1"/>
  <c r="BY12" i="1"/>
  <c r="CB12" i="1"/>
  <c r="Y45" i="1"/>
  <c r="Z45" i="1" s="1"/>
  <c r="AD7" i="1"/>
  <c r="AU7" i="1" s="1"/>
  <c r="CI14" i="1"/>
  <c r="CF14" i="1"/>
  <c r="CJ24" i="1"/>
  <c r="Y44" i="1"/>
  <c r="Z44" i="1" s="1"/>
  <c r="AC36" i="1"/>
  <c r="AC37" i="1" s="1"/>
  <c r="AD15" i="1"/>
  <c r="AU31" i="1"/>
  <c r="AE31" i="1"/>
  <c r="CJ15" i="1"/>
  <c r="CI28" i="1"/>
  <c r="CJ28" i="1" s="1"/>
  <c r="Z22" i="1"/>
  <c r="CI29" i="1"/>
  <c r="CF29" i="1"/>
  <c r="CG26" i="1"/>
  <c r="CH26" i="1" s="1"/>
  <c r="CA26" i="1"/>
  <c r="BT37" i="1"/>
  <c r="CI15" i="1"/>
  <c r="CF15" i="1"/>
  <c r="AA36" i="1"/>
  <c r="CH15" i="1"/>
  <c r="CI7" i="1"/>
  <c r="CJ29" i="1"/>
  <c r="BZ36" i="1"/>
  <c r="CA5" i="1"/>
  <c r="CF6" i="1"/>
  <c r="CI6" i="1"/>
  <c r="V36" i="1"/>
  <c r="U37" i="1"/>
  <c r="V37" i="1" s="1"/>
  <c r="CB7" i="1"/>
  <c r="BY7" i="1"/>
  <c r="CF34" i="1"/>
  <c r="BT36" i="1"/>
  <c r="AE22" i="1"/>
  <c r="BY22" i="1"/>
  <c r="CB22" i="1"/>
  <c r="AE28" i="1"/>
  <c r="Z34" i="1"/>
  <c r="AM36" i="1"/>
  <c r="AL37" i="1"/>
  <c r="BY26" i="1"/>
  <c r="CB26" i="1"/>
  <c r="BX36" i="1"/>
  <c r="BY5" i="1"/>
  <c r="CE5" i="1"/>
  <c r="CB5" i="1"/>
  <c r="CD6" i="1"/>
  <c r="CG32" i="1"/>
  <c r="CH32" i="1" s="1"/>
  <c r="CA28" i="1"/>
  <c r="CB28" i="1"/>
  <c r="S36" i="1"/>
  <c r="R37" i="1"/>
  <c r="CD22" i="1"/>
  <c r="CA22" i="1"/>
  <c r="CI9" i="1"/>
  <c r="CI20" i="1"/>
  <c r="CJ20" i="1" s="1"/>
  <c r="BY30" i="1"/>
  <c r="CB30" i="1"/>
  <c r="CF32" i="1"/>
  <c r="CI32" i="1"/>
  <c r="CJ32" i="1" s="1"/>
  <c r="AE34" i="1"/>
  <c r="Y47" i="1"/>
  <c r="Z47" i="1" s="1"/>
  <c r="AD9" i="1"/>
  <c r="AU9" i="1" s="1"/>
  <c r="Y36" i="1"/>
  <c r="Y43" i="1"/>
  <c r="Z43" i="1" s="1"/>
  <c r="AD5" i="1"/>
  <c r="J37" i="1"/>
  <c r="K36" i="1"/>
  <c r="W37" i="1"/>
  <c r="X37" i="1" s="1"/>
  <c r="X36" i="1"/>
  <c r="CB10" i="1"/>
  <c r="BY10" i="1"/>
  <c r="CE10" i="1"/>
  <c r="BY24" i="1"/>
  <c r="BY29" i="1"/>
  <c r="CB21" i="1"/>
  <c r="CA21" i="1"/>
  <c r="CG21" i="1"/>
  <c r="CA6" i="1"/>
  <c r="AD26" i="1"/>
  <c r="CA19" i="1"/>
  <c r="AE9" i="1"/>
  <c r="AE18" i="1"/>
  <c r="CD9" i="1"/>
  <c r="CH33" i="1"/>
  <c r="CI33" i="1"/>
  <c r="Y41" i="1"/>
  <c r="Z41" i="1" s="1"/>
  <c r="AD10" i="1"/>
  <c r="AR36" i="1"/>
  <c r="AX38" i="1" s="1"/>
  <c r="BY31" i="1"/>
  <c r="CB31" i="1"/>
  <c r="BY11" i="1"/>
  <c r="CE11" i="1"/>
  <c r="CB11" i="1"/>
  <c r="CI24" i="1"/>
  <c r="CF24" i="1"/>
  <c r="CA8" i="1"/>
  <c r="CG8" i="1"/>
  <c r="CH8" i="1" s="1"/>
  <c r="CE26" i="1"/>
  <c r="CD5" i="1"/>
  <c r="BW36" i="1"/>
  <c r="CH29" i="1"/>
  <c r="BU36" i="1"/>
  <c r="BV5" i="1"/>
  <c r="X44" i="1"/>
  <c r="BY19" i="1"/>
  <c r="AE6" i="1"/>
  <c r="CH31" i="1"/>
  <c r="AE12" i="1"/>
  <c r="AE23" i="1"/>
  <c r="Y46" i="1"/>
  <c r="Z46" i="1" s="1"/>
  <c r="AD8" i="1"/>
  <c r="AU8" i="1" s="1"/>
  <c r="CE8" i="1"/>
  <c r="CB8" i="1"/>
  <c r="BY8" i="1"/>
  <c r="Z7" i="1"/>
  <c r="CH14" i="1"/>
  <c r="CF17" i="1"/>
  <c r="CI17" i="1"/>
  <c r="CJ17" i="1" s="1"/>
  <c r="BF36" i="1"/>
  <c r="BG38" i="1" s="1"/>
  <c r="CA33" i="1"/>
  <c r="CB33" i="1"/>
  <c r="CH34" i="1"/>
  <c r="CD7" i="1"/>
  <c r="CH7" i="1" s="1"/>
  <c r="CA27" i="1"/>
  <c r="BY27" i="1"/>
  <c r="CE27" i="1"/>
  <c r="CB27" i="1"/>
  <c r="Y42" i="1"/>
  <c r="Z42" i="1" s="1"/>
  <c r="AD11" i="1"/>
  <c r="Z11" i="1"/>
  <c r="CI18" i="1"/>
  <c r="CJ18" i="1" s="1"/>
  <c r="CF18" i="1"/>
  <c r="CA10" i="1"/>
  <c r="CG10" i="1"/>
  <c r="CH10" i="1" s="1"/>
  <c r="Z14" i="1"/>
  <c r="CF23" i="1"/>
  <c r="CI23" i="1"/>
  <c r="CJ23" i="1" s="1"/>
  <c r="CI19" i="1"/>
  <c r="CJ19" i="1" s="1"/>
  <c r="CF19" i="1"/>
  <c r="CA34" i="1"/>
  <c r="CB17" i="1"/>
  <c r="BY17" i="1"/>
  <c r="CA9" i="1"/>
  <c r="CG9" i="1"/>
  <c r="CJ14" i="1"/>
  <c r="BY35" i="1"/>
  <c r="CB35" i="1"/>
  <c r="CE35" i="1"/>
  <c r="CB32" i="1"/>
  <c r="Z29" i="1"/>
  <c r="Z9" i="1"/>
  <c r="CA11" i="1"/>
  <c r="AU17" i="1"/>
  <c r="AE17" i="1"/>
  <c r="CA23" i="1"/>
  <c r="CB23" i="1"/>
  <c r="V47" i="1"/>
  <c r="CG5" i="1"/>
  <c r="CG27" i="1"/>
  <c r="CH27" i="1" s="1"/>
  <c r="CE31" i="1"/>
  <c r="CE12" i="1"/>
  <c r="CJ33" i="1"/>
  <c r="AS36" i="1"/>
  <c r="AS37" i="1" s="1"/>
  <c r="BR37" i="1"/>
  <c r="AD21" i="1"/>
  <c r="AB36" i="1"/>
  <c r="AB37" i="1" s="1"/>
  <c r="AU22" i="3" l="1"/>
  <c r="AE22" i="3"/>
  <c r="AM57" i="3"/>
  <c r="AL62" i="3"/>
  <c r="AL63" i="3" s="1"/>
  <c r="AL56" i="3"/>
  <c r="AL57" i="3" s="1"/>
  <c r="AN38" i="3"/>
  <c r="AL60" i="3"/>
  <c r="AM37" i="3"/>
  <c r="Y37" i="3"/>
  <c r="Z36" i="3"/>
  <c r="CI10" i="3"/>
  <c r="CJ10" i="3" s="1"/>
  <c r="CF10" i="3"/>
  <c r="CI12" i="3"/>
  <c r="CJ12" i="3" s="1"/>
  <c r="CF12" i="3"/>
  <c r="CJ5" i="3"/>
  <c r="CI26" i="3"/>
  <c r="CJ26" i="3" s="1"/>
  <c r="CF26" i="3"/>
  <c r="J56" i="3"/>
  <c r="J57" i="3" s="1"/>
  <c r="K38" i="3"/>
  <c r="K57" i="3"/>
  <c r="AU24" i="3"/>
  <c r="AE24" i="3"/>
  <c r="CE36" i="3"/>
  <c r="CI23" i="3"/>
  <c r="CJ23" i="3" s="1"/>
  <c r="CI18" i="3"/>
  <c r="CJ18" i="3" s="1"/>
  <c r="AU11" i="3"/>
  <c r="AE11" i="3"/>
  <c r="BY36" i="3"/>
  <c r="BX37" i="3"/>
  <c r="BY37" i="3" s="1"/>
  <c r="CI29" i="3"/>
  <c r="CJ29" i="3" s="1"/>
  <c r="CF29" i="3"/>
  <c r="CH26" i="3"/>
  <c r="CI32" i="3"/>
  <c r="CJ32" i="3" s="1"/>
  <c r="CF32" i="3"/>
  <c r="AU32" i="3"/>
  <c r="AE32" i="3"/>
  <c r="CB36" i="3"/>
  <c r="CB37" i="3" s="1"/>
  <c r="CJ35" i="3"/>
  <c r="BV36" i="3"/>
  <c r="BU37" i="3"/>
  <c r="CJ16" i="3"/>
  <c r="CF24" i="3"/>
  <c r="CI24" i="3"/>
  <c r="CJ24" i="3" s="1"/>
  <c r="S38" i="3"/>
  <c r="R56" i="3"/>
  <c r="R57" i="3" s="1"/>
  <c r="S37" i="3"/>
  <c r="S57" i="3"/>
  <c r="BZ37" i="3"/>
  <c r="CA37" i="3" s="1"/>
  <c r="CA36" i="3"/>
  <c r="CI21" i="3"/>
  <c r="CJ21" i="3" s="1"/>
  <c r="CI9" i="3"/>
  <c r="CJ9" i="3" s="1"/>
  <c r="CF9" i="3"/>
  <c r="CG36" i="3"/>
  <c r="CH5" i="3"/>
  <c r="CI8" i="3"/>
  <c r="CJ8" i="3" s="1"/>
  <c r="CF8" i="3"/>
  <c r="AU10" i="3"/>
  <c r="AE10" i="3"/>
  <c r="CJ25" i="3"/>
  <c r="CF25" i="3"/>
  <c r="CI22" i="3"/>
  <c r="CJ22" i="3" s="1"/>
  <c r="CF22" i="3"/>
  <c r="AU27" i="3"/>
  <c r="AE27" i="3"/>
  <c r="AE9" i="3"/>
  <c r="AD36" i="3"/>
  <c r="AU5" i="3"/>
  <c r="AE5" i="3"/>
  <c r="AM57" i="2"/>
  <c r="AL56" i="2"/>
  <c r="AL57" i="2" s="1"/>
  <c r="AL63" i="2"/>
  <c r="AL64" i="2" s="1"/>
  <c r="AN38" i="2"/>
  <c r="AM37" i="2"/>
  <c r="AL61" i="2"/>
  <c r="AD36" i="2"/>
  <c r="AU5" i="2"/>
  <c r="AU36" i="2" s="1"/>
  <c r="CF16" i="2"/>
  <c r="CI16" i="2"/>
  <c r="CJ16" i="2" s="1"/>
  <c r="CI27" i="2"/>
  <c r="CJ27" i="2" s="1"/>
  <c r="CF27" i="2"/>
  <c r="CG36" i="2"/>
  <c r="CH5" i="2"/>
  <c r="BX37" i="2"/>
  <c r="BY37" i="2" s="1"/>
  <c r="BY36" i="2"/>
  <c r="Z36" i="2"/>
  <c r="Y37" i="2"/>
  <c r="CF8" i="2"/>
  <c r="CI8" i="2"/>
  <c r="CJ8" i="2" s="1"/>
  <c r="CI20" i="2"/>
  <c r="CJ20" i="2" s="1"/>
  <c r="S38" i="2"/>
  <c r="S37" i="2"/>
  <c r="R56" i="2"/>
  <c r="R57" i="2" s="1"/>
  <c r="S57" i="2"/>
  <c r="CI31" i="2"/>
  <c r="CJ31" i="2" s="1"/>
  <c r="CF31" i="2"/>
  <c r="CJ6" i="2"/>
  <c r="J56" i="2"/>
  <c r="J57" i="2" s="1"/>
  <c r="K38" i="2"/>
  <c r="K57" i="2"/>
  <c r="CD36" i="2"/>
  <c r="CI7" i="2"/>
  <c r="CJ7" i="2" s="1"/>
  <c r="CF7" i="2"/>
  <c r="BZ37" i="2"/>
  <c r="CA37" i="2" s="1"/>
  <c r="CA36" i="2"/>
  <c r="CE36" i="2"/>
  <c r="CI5" i="2"/>
  <c r="CF5" i="2"/>
  <c r="CF24" i="2"/>
  <c r="CH6" i="2"/>
  <c r="AE23" i="2"/>
  <c r="AU25" i="2"/>
  <c r="AE25" i="2"/>
  <c r="CI32" i="2"/>
  <c r="CJ32" i="2" s="1"/>
  <c r="CF32" i="2"/>
  <c r="CI10" i="2"/>
  <c r="CJ10" i="2" s="1"/>
  <c r="CI26" i="2"/>
  <c r="CJ26" i="2" s="1"/>
  <c r="CF26" i="2"/>
  <c r="BV37" i="2"/>
  <c r="CH24" i="2"/>
  <c r="CI33" i="2"/>
  <c r="CJ33" i="2" s="1"/>
  <c r="BV36" i="2"/>
  <c r="BU37" i="2"/>
  <c r="CB36" i="2"/>
  <c r="CB37" i="2" s="1"/>
  <c r="CF15" i="2"/>
  <c r="CI15" i="2"/>
  <c r="CJ15" i="2" s="1"/>
  <c r="CI12" i="2"/>
  <c r="CJ12" i="2" s="1"/>
  <c r="CF12" i="2"/>
  <c r="CF26" i="1"/>
  <c r="CI26" i="1"/>
  <c r="CJ26" i="1" s="1"/>
  <c r="CF31" i="1"/>
  <c r="CI31" i="1"/>
  <c r="CJ31" i="1" s="1"/>
  <c r="BU37" i="1"/>
  <c r="BV36" i="1"/>
  <c r="CJ9" i="1"/>
  <c r="CF9" i="1"/>
  <c r="CB36" i="1"/>
  <c r="CB37" i="1" s="1"/>
  <c r="AE8" i="1"/>
  <c r="AU11" i="1"/>
  <c r="AE11" i="1"/>
  <c r="CI11" i="1"/>
  <c r="CJ11" i="1" s="1"/>
  <c r="CF11" i="1"/>
  <c r="Y37" i="1"/>
  <c r="Z36" i="1"/>
  <c r="CE36" i="1"/>
  <c r="CI5" i="1"/>
  <c r="CI36" i="1" s="1"/>
  <c r="CI37" i="1" s="1"/>
  <c r="CF5" i="1"/>
  <c r="CG36" i="1"/>
  <c r="CH5" i="1"/>
  <c r="CI35" i="1"/>
  <c r="CJ35" i="1" s="1"/>
  <c r="CF35" i="1"/>
  <c r="CI10" i="1"/>
  <c r="CJ10" i="1" s="1"/>
  <c r="CF10" i="1"/>
  <c r="CD36" i="1"/>
  <c r="CJ22" i="1"/>
  <c r="CH22" i="1"/>
  <c r="BY36" i="1"/>
  <c r="BX37" i="1"/>
  <c r="BY37" i="1" s="1"/>
  <c r="CA36" i="1"/>
  <c r="BZ37" i="1"/>
  <c r="CA37" i="1" s="1"/>
  <c r="CF27" i="1"/>
  <c r="CI27" i="1"/>
  <c r="CJ27" i="1" s="1"/>
  <c r="S38" i="1"/>
  <c r="R56" i="1"/>
  <c r="R57" i="1" s="1"/>
  <c r="S57" i="1"/>
  <c r="S37" i="1"/>
  <c r="AE15" i="1"/>
  <c r="AU15" i="1"/>
  <c r="BV37" i="1"/>
  <c r="CH9" i="1"/>
  <c r="AU10" i="1"/>
  <c r="AE10" i="1"/>
  <c r="AM57" i="1"/>
  <c r="AL56" i="1"/>
  <c r="AL57" i="1" s="1"/>
  <c r="AL62" i="1"/>
  <c r="AL63" i="1" s="1"/>
  <c r="AL60" i="1"/>
  <c r="AN38" i="1"/>
  <c r="AM37" i="1"/>
  <c r="CF7" i="1"/>
  <c r="CF22" i="1"/>
  <c r="CH21" i="1"/>
  <c r="CI21" i="1"/>
  <c r="CJ21" i="1" s="1"/>
  <c r="AE7" i="1"/>
  <c r="CJ7" i="1"/>
  <c r="J56" i="1"/>
  <c r="J57" i="1" s="1"/>
  <c r="K57" i="1"/>
  <c r="K38" i="1"/>
  <c r="AU21" i="1"/>
  <c r="AE21" i="1"/>
  <c r="AU26" i="1"/>
  <c r="AE26" i="1"/>
  <c r="CF12" i="1"/>
  <c r="CI12" i="1"/>
  <c r="CJ12" i="1" s="1"/>
  <c r="CI8" i="1"/>
  <c r="CJ8" i="1" s="1"/>
  <c r="CF8" i="1"/>
  <c r="AD36" i="1"/>
  <c r="AU5" i="1"/>
  <c r="AU36" i="1" s="1"/>
  <c r="AE5" i="1"/>
  <c r="CJ6" i="1"/>
  <c r="CH6" i="1"/>
  <c r="AU16" i="1"/>
  <c r="AE16" i="1"/>
  <c r="AU36" i="3" l="1"/>
  <c r="Z37" i="3"/>
  <c r="Z57" i="3"/>
  <c r="Z38" i="3"/>
  <c r="Y56" i="3"/>
  <c r="Y57" i="3" s="1"/>
  <c r="AE36" i="3"/>
  <c r="AD37" i="3"/>
  <c r="CE37" i="3"/>
  <c r="CF37" i="3" s="1"/>
  <c r="CJ37" i="3" s="1"/>
  <c r="CF36" i="3"/>
  <c r="CG37" i="3"/>
  <c r="CH37" i="3" s="1"/>
  <c r="CH36" i="3"/>
  <c r="CI36" i="3"/>
  <c r="AU37" i="2"/>
  <c r="AV50" i="2"/>
  <c r="AW50" i="2" s="1"/>
  <c r="AE36" i="2"/>
  <c r="AD37" i="2"/>
  <c r="CI36" i="2"/>
  <c r="CI37" i="2" s="1"/>
  <c r="CJ5" i="2"/>
  <c r="CG37" i="2"/>
  <c r="CH37" i="2" s="1"/>
  <c r="CH36" i="2"/>
  <c r="Z57" i="2"/>
  <c r="Y56" i="2"/>
  <c r="Y57" i="2" s="1"/>
  <c r="Z37" i="2"/>
  <c r="Z38" i="2"/>
  <c r="CE37" i="2"/>
  <c r="CF37" i="2" s="1"/>
  <c r="CF36" i="2"/>
  <c r="AV50" i="1"/>
  <c r="AW50" i="1" s="1"/>
  <c r="AU37" i="1"/>
  <c r="CG37" i="1"/>
  <c r="CH37" i="1" s="1"/>
  <c r="CH36" i="1"/>
  <c r="CJ5" i="1"/>
  <c r="Z57" i="1"/>
  <c r="Y56" i="1"/>
  <c r="Y57" i="1" s="1"/>
  <c r="Z37" i="1"/>
  <c r="Z38" i="1"/>
  <c r="CE37" i="1"/>
  <c r="CF37" i="1" s="1"/>
  <c r="CJ37" i="1" s="1"/>
  <c r="CF36" i="1"/>
  <c r="AE36" i="1"/>
  <c r="AD37" i="1"/>
  <c r="CJ36" i="1"/>
  <c r="AD62" i="3" l="1"/>
  <c r="AD63" i="3" s="1"/>
  <c r="AD60" i="3"/>
  <c r="AE57" i="3"/>
  <c r="AE38" i="3"/>
  <c r="AE37" i="3"/>
  <c r="AD56" i="3"/>
  <c r="AD57" i="3" s="1"/>
  <c r="CI37" i="3"/>
  <c r="CJ36" i="3"/>
  <c r="AU37" i="3"/>
  <c r="AV50" i="3"/>
  <c r="AW50" i="3" s="1"/>
  <c r="CJ37" i="2"/>
  <c r="AE37" i="2"/>
  <c r="AD63" i="2"/>
  <c r="AD64" i="2" s="1"/>
  <c r="AD61" i="2"/>
  <c r="AE57" i="2"/>
  <c r="AE38" i="2"/>
  <c r="AD56" i="2"/>
  <c r="AD57" i="2" s="1"/>
  <c r="CJ36" i="2"/>
  <c r="AW56" i="2"/>
  <c r="AV51" i="2"/>
  <c r="AW51" i="2" s="1"/>
  <c r="AW49" i="2"/>
  <c r="AW38" i="2"/>
  <c r="AV53" i="2"/>
  <c r="AV55" i="2"/>
  <c r="AV56" i="2" s="1"/>
  <c r="AE57" i="1"/>
  <c r="AD62" i="1"/>
  <c r="AD63" i="1" s="1"/>
  <c r="AE37" i="1"/>
  <c r="AD60" i="1"/>
  <c r="AE38" i="1"/>
  <c r="AD56" i="1"/>
  <c r="AD57" i="1" s="1"/>
  <c r="AW56" i="1"/>
  <c r="AV51" i="1"/>
  <c r="AW51" i="1" s="1"/>
  <c r="AW49" i="1"/>
  <c r="AW38" i="1"/>
  <c r="AV53" i="1"/>
  <c r="AV55" i="1"/>
  <c r="AV56" i="1" s="1"/>
  <c r="AW56" i="3" l="1"/>
  <c r="AV51" i="3"/>
  <c r="AW51" i="3" s="1"/>
  <c r="AW38" i="3"/>
  <c r="AV53" i="3"/>
  <c r="AW49" i="3"/>
  <c r="AV55" i="3"/>
  <c r="AV56" i="3" s="1"/>
</calcChain>
</file>

<file path=xl/sharedStrings.xml><?xml version="1.0" encoding="utf-8"?>
<sst xmlns="http://schemas.openxmlformats.org/spreadsheetml/2006/main" count="615" uniqueCount="90">
  <si>
    <t>※割引反映前</t>
  </si>
  <si>
    <t>金額：(税込)</t>
  </si>
  <si>
    <t>BQ</t>
    <phoneticPr fontId="12"/>
  </si>
  <si>
    <t>LUNCH</t>
  </si>
  <si>
    <t>Afternoon Tea（税込）</t>
    <phoneticPr fontId="16"/>
  </si>
  <si>
    <t>DINNER（計算式あり・入力不要）</t>
  </si>
  <si>
    <t>レストランTOTAL売上（税込）</t>
  </si>
  <si>
    <t>ルスツ羊蹄ぶた（税込）</t>
    <rPh sb="3" eb="5">
      <t>ヨウテイ</t>
    </rPh>
    <phoneticPr fontId="12"/>
  </si>
  <si>
    <t>レストラン＋ルスツ羊蹄ぶた（人数は含まず）</t>
    <rPh sb="9" eb="11">
      <t>ヨウテイ</t>
    </rPh>
    <phoneticPr fontId="12"/>
  </si>
  <si>
    <t>レストラン営業終了後トータル売上（入力用税込）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</si>
  <si>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</si>
  <si>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</si>
  <si>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</si>
  <si>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</si>
  <si>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</si>
  <si>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</si>
  <si>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</si>
  <si>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</si>
  <si>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件数</t>
    <rPh sb="0" eb="2">
      <t>ケンスウ</t>
    </rPh>
    <phoneticPr fontId="12"/>
  </si>
  <si>
    <t>料理売上</t>
  </si>
  <si>
    <t>料理単価</t>
  </si>
  <si>
    <t>飲料売上</t>
  </si>
  <si>
    <t>飲料単価</t>
  </si>
  <si>
    <t>合計</t>
  </si>
  <si>
    <t>人数</t>
  </si>
  <si>
    <t>売上</t>
  </si>
  <si>
    <t>席料+食品物販+花</t>
    <rPh sb="3" eb="5">
      <t>ショクヒン</t>
    </rPh>
    <rPh sb="5" eb="7">
      <t>ブッパン</t>
    </rPh>
    <phoneticPr fontId="12"/>
  </si>
  <si>
    <t>客数</t>
  </si>
  <si>
    <t>料理</t>
  </si>
  <si>
    <t>飲料</t>
  </si>
  <si>
    <t>席料</t>
  </si>
  <si>
    <t>食品物販</t>
    <rPh sb="0" eb="2">
      <t>ショクヒン</t>
    </rPh>
    <rPh sb="2" eb="4">
      <t>ブッパン</t>
    </rPh>
    <phoneticPr fontId="12"/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</si>
  <si>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</si>
  <si>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</si>
  <si>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</si>
  <si>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</si>
  <si>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</si>
  <si>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</si>
  <si>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</si>
  <si>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税抜レストラン+RYB売上単価</t>
    <phoneticPr fontId="12"/>
  </si>
  <si>
    <t>(RYB＋BQ昼夜人数)</t>
    <rPh sb="9" eb="11">
      <t>ニンズウ</t>
    </rPh>
    <phoneticPr fontId="12"/>
  </si>
  <si>
    <t>ランチ</t>
    <phoneticPr fontId="12"/>
  </si>
  <si>
    <t>AT</t>
    <phoneticPr fontId="12"/>
  </si>
  <si>
    <t>ディナー</t>
    <phoneticPr fontId="12"/>
  </si>
  <si>
    <t>RYB</t>
    <phoneticPr fontId="12"/>
  </si>
  <si>
    <t>客数</t>
    <rPh sb="0" eb="2">
      <t>キャクスウ</t>
    </rPh>
    <phoneticPr fontId="12"/>
  </si>
  <si>
    <t>料理売上</t>
    <rPh sb="0" eb="2">
      <t>リョウリ</t>
    </rPh>
    <rPh sb="2" eb="4">
      <t>ウリアゲ</t>
    </rPh>
    <phoneticPr fontId="12"/>
  </si>
  <si>
    <t>料理単価</t>
    <rPh sb="0" eb="2">
      <t>リョウリ</t>
    </rPh>
    <rPh sb="2" eb="4">
      <t>タンカ</t>
    </rPh>
    <phoneticPr fontId="12"/>
  </si>
  <si>
    <t>飲料売上</t>
    <rPh sb="0" eb="2">
      <t>インリョウ</t>
    </rPh>
    <rPh sb="2" eb="4">
      <t>ウリアゲ</t>
    </rPh>
    <phoneticPr fontId="12"/>
  </si>
  <si>
    <t>飲料単価</t>
    <rPh sb="0" eb="2">
      <t>インリョウ</t>
    </rPh>
    <rPh sb="2" eb="4">
      <t>タンカ</t>
    </rPh>
    <phoneticPr fontId="12"/>
  </si>
  <si>
    <t>合計</t>
    <rPh sb="0" eb="2">
      <t>ゴウケイ</t>
    </rPh>
    <phoneticPr fontId="12"/>
  </si>
  <si>
    <t>客単価</t>
    <rPh sb="0" eb="3">
      <t>キャクタンカ</t>
    </rPh>
    <phoneticPr fontId="12"/>
  </si>
  <si>
    <t>月</t>
    <rPh sb="0" eb="1">
      <t>ゲツ</t>
    </rPh>
    <phoneticPr fontId="12"/>
  </si>
  <si>
    <t>火</t>
  </si>
  <si>
    <t>水</t>
  </si>
  <si>
    <t>木</t>
  </si>
  <si>
    <t>金</t>
  </si>
  <si>
    <t>土</t>
  </si>
  <si>
    <t>日</t>
  </si>
  <si>
    <t>■ランチコメント</t>
  </si>
  <si>
    <t>■ATコメント</t>
    <phoneticPr fontId="16"/>
  </si>
  <si>
    <t>■ディナーコメント</t>
  </si>
  <si>
    <t>■RTBコメント</t>
    <phoneticPr fontId="12"/>
  </si>
  <si>
    <t>税抜レストラン+RYB売上</t>
    <phoneticPr fontId="12"/>
  </si>
  <si>
    <t>　1日売上平均（税抜）</t>
  </si>
  <si>
    <t>税込合計</t>
  </si>
  <si>
    <t>　1日売上平均（税込）</t>
  </si>
  <si>
    <t>税抜合計</t>
  </si>
  <si>
    <t>その他予算</t>
  </si>
  <si>
    <t>席料予算</t>
    <rPh sb="0" eb="2">
      <t>セキリョウ</t>
    </rPh>
    <rPh sb="2" eb="4">
      <t>ヨサン</t>
    </rPh>
    <phoneticPr fontId="12"/>
  </si>
  <si>
    <t>その他</t>
    <rPh sb="2" eb="3">
      <t>タ</t>
    </rPh>
    <phoneticPr fontId="12"/>
  </si>
  <si>
    <t>TOTAL予算</t>
  </si>
  <si>
    <t>ランチ予算</t>
  </si>
  <si>
    <t>当月残り日数</t>
  </si>
  <si>
    <t>AT予算</t>
    <phoneticPr fontId="12"/>
  </si>
  <si>
    <t>ディナー予算</t>
  </si>
  <si>
    <t>RYB予算</t>
    <phoneticPr fontId="12"/>
  </si>
  <si>
    <t>予算まで</t>
  </si>
  <si>
    <t>達成まで一日あたり</t>
  </si>
  <si>
    <t>家賃比率</t>
    <rPh sb="0" eb="4">
      <t xml:space="preserve">ヤチンヒリツ </t>
    </rPh>
    <phoneticPr fontId="12"/>
  </si>
  <si>
    <t>坪単価</t>
    <rPh sb="0" eb="3">
      <t xml:space="preserve">ツボタンカ </t>
    </rPh>
    <phoneticPr fontId="12"/>
  </si>
  <si>
    <t>契約率</t>
    <rPh sb="0" eb="2">
      <t xml:space="preserve">ケイヤク </t>
    </rPh>
    <rPh sb="2" eb="3">
      <t xml:space="preserve">リツ </t>
    </rPh>
    <phoneticPr fontId="12"/>
  </si>
  <si>
    <t>差異</t>
    <rPh sb="0" eb="2">
      <t>サイ</t>
    </rPh>
    <phoneticPr fontId="12"/>
  </si>
  <si>
    <t>LUNCH+DINNER</t>
    <phoneticPr fontId="12"/>
  </si>
  <si>
    <t>wolt</t>
    <phoneticPr fontId="12"/>
  </si>
  <si>
    <t>レストラン予算</t>
    <phoneticPr fontId="12"/>
  </si>
  <si>
    <t>Uber</t>
    <phoneticPr fontId="12"/>
  </si>
  <si>
    <t>税抜金額</t>
    <phoneticPr fontId="12"/>
  </si>
  <si>
    <t>Takeaway 134件 ￥170,250（税込）　￥154,772.7（税別）</t>
    <rPh sb="12" eb="13">
      <t>ケン</t>
    </rPh>
    <rPh sb="23" eb="25">
      <t>ゼイコミ</t>
    </rPh>
    <rPh sb="38" eb="40">
      <t>ゼイベツ</t>
    </rPh>
    <phoneticPr fontId="12"/>
  </si>
  <si>
    <t>Takeaway 100件 ￥134,140（税込）　￥124,672.7（税別）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</si>
</sst>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#,##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&quot;点&quot;"/>
    <numFmt numFmtId="189" formatCode="0.0&quot;名&quot;"/>
  </numFmts>
  <fonts count="36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9"/>
      <color rgb="FF000000"/>
      <name val="游ゴシック Medium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游ゴシック Medium"/>
      <family val="3"/>
      <charset val="128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10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9"/>
      <color indexed="8"/>
      <name val="游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rgb="FF000000"/>
      <name val="游ゴシック Medium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sz val="9"/>
      <color rgb="FFFF0000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9"/>
      <color indexed="10"/>
      <name val="游ゴシック"/>
      <family val="3"/>
      <charset val="128"/>
      <scheme val="minor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rgb="FF000000"/>
      <name val="游ゴシック Medium"/>
      <family val="3"/>
      <charset val="128"/>
    </font>
    <font>
      <sz val="11"/>
      <color indexed="8"/>
      <name val="游ゴシック"/>
      <family val="3"/>
      <charset val="128"/>
      <scheme val="minor"/>
    </font>
    <font>
      <sz val="9"/>
      <name val="游ゴシック Medium"/>
      <family val="3"/>
      <charset val="128"/>
    </font>
    <font>
      <sz val="9"/>
      <color rgb="FF00B0F0"/>
      <name val="游ゴシック Medium"/>
      <family val="3"/>
      <charset val="128"/>
    </font>
    <font>
      <sz val="9"/>
      <color theme="8"/>
      <name val="游ゴシック Medium"/>
      <family val="3"/>
      <charset val="128"/>
    </font>
    <font>
      <sz val="9"/>
      <name val="游ゴシック"/>
      <family val="3"/>
      <charset val="128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indexed="47"/>
        <bgColor indexed="43"/>
      </patternFill>
    </fill>
    <fill>
      <patternFill patternType="solid">
        <fgColor rgb="FFCCECFF"/>
        <bgColor rgb="FFCCECFF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27"/>
        <bgColor indexed="41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indexed="13"/>
        <bgColor indexed="34"/>
      </patternFill>
    </fill>
    <fill>
      <patternFill patternType="solid">
        <fgColor rgb="FFFBE5D6"/>
        <bgColor rgb="FFFBE5D6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rgb="FFCCECFF"/>
      </patternFill>
    </fill>
    <fill>
      <patternFill patternType="solid">
        <fgColor rgb="FFCCECFF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</fills>
  <borders count="9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38" fontId="5" fillId="0" borderId="0"/>
    <xf numFmtId="184" fontId="5" fillId="0" borderId="0"/>
  </cellStyleXfs>
  <cellXfs count="3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3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/>
    <xf numFmtId="176" fontId="8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/>
    <xf numFmtId="0" fontId="15" fillId="3" borderId="3" xfId="3" applyFont="1" applyFill="1" applyBorder="1" applyAlignment="1">
      <alignment horizontal="center" vertical="center" wrapText="1"/>
    </xf>
    <xf numFmtId="0" fontId="15" fillId="3" borderId="4" xfId="3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/>
    <xf numFmtId="0" fontId="14" fillId="0" borderId="9" xfId="0" applyFont="1" applyBorder="1" applyAlignment="1"/>
    <xf numFmtId="0" fontId="14" fillId="0" borderId="10" xfId="0" applyFont="1" applyBorder="1" applyAlignment="1"/>
    <xf numFmtId="177" fontId="2" fillId="0" borderId="10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8" fontId="2" fillId="0" borderId="12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38" fontId="4" fillId="0" borderId="21" xfId="0" applyNumberFormat="1" applyFont="1" applyBorder="1" applyAlignment="1">
      <alignment vertical="center" shrinkToFit="1"/>
    </xf>
    <xf numFmtId="179" fontId="2" fillId="0" borderId="22" xfId="0" applyNumberFormat="1" applyFont="1" applyBorder="1">
      <alignment vertical="center"/>
    </xf>
    <xf numFmtId="180" fontId="2" fillId="2" borderId="22" xfId="0" applyNumberFormat="1" applyFont="1" applyFill="1" applyBorder="1">
      <alignment vertical="center"/>
    </xf>
    <xf numFmtId="38" fontId="2" fillId="9" borderId="22" xfId="0" applyNumberFormat="1" applyFont="1" applyFill="1" applyBorder="1">
      <alignment vertical="center"/>
    </xf>
    <xf numFmtId="38" fontId="9" fillId="0" borderId="23" xfId="0" applyNumberFormat="1" applyFont="1" applyBorder="1">
      <alignment vertical="center"/>
    </xf>
    <xf numFmtId="38" fontId="9" fillId="0" borderId="21" xfId="0" applyNumberFormat="1" applyFont="1" applyBorder="1">
      <alignment vertical="center"/>
    </xf>
    <xf numFmtId="38" fontId="17" fillId="2" borderId="22" xfId="0" applyNumberFormat="1" applyFont="1" applyFill="1" applyBorder="1">
      <alignment vertical="center"/>
    </xf>
    <xf numFmtId="181" fontId="2" fillId="0" borderId="24" xfId="0" applyNumberFormat="1" applyFont="1" applyBorder="1">
      <alignment vertical="center"/>
    </xf>
    <xf numFmtId="179" fontId="6" fillId="3" borderId="25" xfId="3" applyNumberFormat="1" applyFont="1" applyFill="1" applyBorder="1" applyAlignment="1">
      <alignment vertical="center"/>
    </xf>
    <xf numFmtId="180" fontId="6" fillId="10" borderId="25" xfId="4" applyNumberFormat="1" applyFont="1" applyFill="1" applyBorder="1" applyAlignment="1">
      <alignment vertical="center"/>
    </xf>
    <xf numFmtId="38" fontId="6" fillId="11" borderId="25" xfId="4" applyFont="1" applyFill="1" applyBorder="1" applyAlignment="1">
      <alignment vertical="center"/>
    </xf>
    <xf numFmtId="38" fontId="10" fillId="0" borderId="26" xfId="4" applyFont="1" applyBorder="1" applyAlignment="1">
      <alignment vertical="center"/>
    </xf>
    <xf numFmtId="38" fontId="10" fillId="0" borderId="27" xfId="4" applyFont="1" applyBorder="1" applyAlignment="1">
      <alignment vertical="center"/>
    </xf>
    <xf numFmtId="38" fontId="6" fillId="8" borderId="25" xfId="4" applyFont="1" applyFill="1" applyBorder="1" applyAlignment="1">
      <alignment vertical="center"/>
    </xf>
    <xf numFmtId="181" fontId="6" fillId="0" borderId="28" xfId="3" applyNumberFormat="1" applyFont="1" applyBorder="1" applyAlignment="1">
      <alignment vertical="center"/>
    </xf>
    <xf numFmtId="180" fontId="2" fillId="4" borderId="22" xfId="0" applyNumberFormat="1" applyFont="1" applyFill="1" applyBorder="1">
      <alignment vertical="center"/>
    </xf>
    <xf numFmtId="38" fontId="2" fillId="0" borderId="22" xfId="0" applyNumberFormat="1" applyFont="1" applyBorder="1">
      <alignment vertical="center"/>
    </xf>
    <xf numFmtId="38" fontId="17" fillId="0" borderId="22" xfId="0" applyNumberFormat="1" applyFont="1" applyBorder="1">
      <alignment vertical="center"/>
    </xf>
    <xf numFmtId="38" fontId="2" fillId="0" borderId="24" xfId="0" applyNumberFormat="1" applyFont="1" applyBorder="1">
      <alignment vertical="center"/>
    </xf>
    <xf numFmtId="180" fontId="2" fillId="0" borderId="29" xfId="0" applyNumberFormat="1" applyFont="1" applyBorder="1">
      <alignment vertical="center"/>
    </xf>
    <xf numFmtId="38" fontId="2" fillId="12" borderId="21" xfId="0" applyNumberFormat="1" applyFont="1" applyFill="1" applyBorder="1">
      <alignment vertical="center"/>
    </xf>
    <xf numFmtId="179" fontId="2" fillId="5" borderId="22" xfId="0" applyNumberFormat="1" applyFont="1" applyFill="1" applyBorder="1">
      <alignment vertical="center"/>
    </xf>
    <xf numFmtId="180" fontId="2" fillId="0" borderId="22" xfId="0" applyNumberFormat="1" applyFont="1" applyBorder="1">
      <alignment vertical="center"/>
    </xf>
    <xf numFmtId="38" fontId="2" fillId="4" borderId="22" xfId="0" applyNumberFormat="1" applyFont="1" applyFill="1" applyBorder="1">
      <alignment vertical="center"/>
    </xf>
    <xf numFmtId="40" fontId="2" fillId="0" borderId="24" xfId="0" applyNumberFormat="1" applyFont="1" applyBorder="1">
      <alignment vertical="center"/>
    </xf>
    <xf numFmtId="38" fontId="17" fillId="0" borderId="21" xfId="0" applyNumberFormat="1" applyFont="1" applyBorder="1">
      <alignment vertical="center"/>
    </xf>
    <xf numFmtId="38" fontId="9" fillId="0" borderId="22" xfId="0" applyNumberFormat="1" applyFont="1" applyBorder="1">
      <alignment vertical="center"/>
    </xf>
    <xf numFmtId="38" fontId="2" fillId="12" borderId="22" xfId="0" applyNumberFormat="1" applyFont="1" applyFill="1" applyBorder="1">
      <alignment vertical="center"/>
    </xf>
    <xf numFmtId="38" fontId="2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0" fontId="7" fillId="0" borderId="0" xfId="0" applyFont="1">
      <alignment vertical="center"/>
    </xf>
    <xf numFmtId="178" fontId="4" fillId="0" borderId="5" xfId="0" applyNumberFormat="1" applyFont="1" applyBorder="1">
      <alignment vertical="center"/>
    </xf>
    <xf numFmtId="38" fontId="4" fillId="0" borderId="5" xfId="0" applyNumberFormat="1" applyFont="1" applyBorder="1" applyAlignment="1">
      <alignment vertical="center" shrinkToFit="1"/>
    </xf>
    <xf numFmtId="179" fontId="6" fillId="3" borderId="25" xfId="3" applyNumberFormat="1" applyFont="1" applyFill="1" applyBorder="1"/>
    <xf numFmtId="180" fontId="6" fillId="10" borderId="25" xfId="4" applyNumberFormat="1" applyFont="1" applyFill="1" applyBorder="1"/>
    <xf numFmtId="38" fontId="6" fillId="11" borderId="25" xfId="4" applyFont="1" applyFill="1" applyBorder="1"/>
    <xf numFmtId="38" fontId="10" fillId="0" borderId="26" xfId="4" applyFont="1" applyBorder="1"/>
    <xf numFmtId="38" fontId="10" fillId="0" borderId="27" xfId="4" applyFont="1" applyBorder="1"/>
    <xf numFmtId="38" fontId="6" fillId="8" borderId="30" xfId="4" applyFont="1" applyFill="1" applyBorder="1"/>
    <xf numFmtId="181" fontId="6" fillId="0" borderId="28" xfId="3" applyNumberFormat="1" applyFont="1" applyBorder="1"/>
    <xf numFmtId="38" fontId="17" fillId="0" borderId="31" xfId="0" applyNumberFormat="1" applyFont="1" applyBorder="1">
      <alignment vertical="center"/>
    </xf>
    <xf numFmtId="38" fontId="2" fillId="4" borderId="31" xfId="0" applyNumberFormat="1" applyFont="1" applyFill="1" applyBorder="1">
      <alignment vertical="center"/>
    </xf>
    <xf numFmtId="38" fontId="2" fillId="0" borderId="31" xfId="0" applyNumberFormat="1" applyFont="1" applyBorder="1">
      <alignment vertical="center"/>
    </xf>
    <xf numFmtId="38" fontId="9" fillId="0" borderId="31" xfId="0" applyNumberFormat="1" applyFont="1" applyBorder="1">
      <alignment vertical="center"/>
    </xf>
    <xf numFmtId="38" fontId="2" fillId="12" borderId="31" xfId="0" applyNumberFormat="1" applyFont="1" applyFill="1" applyBorder="1">
      <alignment vertical="center"/>
    </xf>
    <xf numFmtId="178" fontId="19" fillId="0" borderId="5" xfId="0" applyNumberFormat="1" applyFont="1" applyBorder="1">
      <alignment vertical="center"/>
    </xf>
    <xf numFmtId="38" fontId="17" fillId="13" borderId="21" xfId="0" applyNumberFormat="1" applyFont="1" applyFill="1" applyBorder="1">
      <alignment vertical="center"/>
    </xf>
    <xf numFmtId="180" fontId="2" fillId="0" borderId="32" xfId="0" applyNumberFormat="1" applyFont="1" applyBorder="1">
      <alignment vertical="center"/>
    </xf>
    <xf numFmtId="38" fontId="9" fillId="13" borderId="21" xfId="0" applyNumberFormat="1" applyFont="1" applyFill="1" applyBorder="1">
      <alignment vertical="center"/>
    </xf>
    <xf numFmtId="179" fontId="6" fillId="3" borderId="30" xfId="3" applyNumberFormat="1" applyFont="1" applyFill="1" applyBorder="1"/>
    <xf numFmtId="180" fontId="6" fillId="10" borderId="30" xfId="4" applyNumberFormat="1" applyFont="1" applyFill="1" applyBorder="1"/>
    <xf numFmtId="38" fontId="6" fillId="11" borderId="30" xfId="4" applyFont="1" applyFill="1" applyBorder="1"/>
    <xf numFmtId="179" fontId="6" fillId="3" borderId="33" xfId="3" applyNumberFormat="1" applyFont="1" applyFill="1" applyBorder="1"/>
    <xf numFmtId="180" fontId="6" fillId="10" borderId="33" xfId="4" applyNumberFormat="1" applyFont="1" applyFill="1" applyBorder="1"/>
    <xf numFmtId="38" fontId="6" fillId="11" borderId="33" xfId="4" applyFont="1" applyFill="1" applyBorder="1"/>
    <xf numFmtId="38" fontId="10" fillId="0" borderId="34" xfId="4" applyFont="1" applyBorder="1"/>
    <xf numFmtId="38" fontId="10" fillId="0" borderId="35" xfId="4" applyFont="1" applyBorder="1"/>
    <xf numFmtId="38" fontId="6" fillId="8" borderId="33" xfId="4" applyFont="1" applyFill="1" applyBorder="1"/>
    <xf numFmtId="0" fontId="9" fillId="0" borderId="0" xfId="0" applyFont="1" applyAlignment="1"/>
    <xf numFmtId="0" fontId="20" fillId="0" borderId="36" xfId="0" applyFont="1" applyBorder="1" applyAlignment="1"/>
    <xf numFmtId="38" fontId="9" fillId="0" borderId="37" xfId="0" applyNumberFormat="1" applyFont="1" applyBorder="1" applyAlignment="1">
      <alignment shrinkToFit="1"/>
    </xf>
    <xf numFmtId="179" fontId="9" fillId="0" borderId="38" xfId="0" applyNumberFormat="1" applyFont="1" applyBorder="1" applyAlignment="1"/>
    <xf numFmtId="180" fontId="9" fillId="0" borderId="37" xfId="0" applyNumberFormat="1" applyFont="1" applyBorder="1" applyAlignment="1"/>
    <xf numFmtId="38" fontId="21" fillId="0" borderId="38" xfId="0" applyNumberFormat="1" applyFont="1" applyBorder="1" applyAlignment="1"/>
    <xf numFmtId="38" fontId="9" fillId="0" borderId="38" xfId="0" applyNumberFormat="1" applyFont="1" applyBorder="1" applyAlignment="1"/>
    <xf numFmtId="38" fontId="9" fillId="0" borderId="37" xfId="0" applyNumberFormat="1" applyFont="1" applyBorder="1" applyAlignment="1"/>
    <xf numFmtId="38" fontId="9" fillId="0" borderId="36" xfId="0" applyNumberFormat="1" applyFont="1" applyBorder="1" applyAlignment="1"/>
    <xf numFmtId="38" fontId="9" fillId="7" borderId="37" xfId="0" applyNumberFormat="1" applyFont="1" applyFill="1" applyBorder="1" applyAlignment="1"/>
    <xf numFmtId="181" fontId="9" fillId="0" borderId="37" xfId="0" applyNumberFormat="1" applyFont="1" applyBorder="1" applyAlignment="1">
      <alignment shrinkToFit="1"/>
    </xf>
    <xf numFmtId="179" fontId="10" fillId="0" borderId="39" xfId="3" applyNumberFormat="1" applyFont="1" applyBorder="1"/>
    <xf numFmtId="180" fontId="10" fillId="0" borderId="40" xfId="3" applyNumberFormat="1" applyFont="1" applyBorder="1"/>
    <xf numFmtId="38" fontId="10" fillId="0" borderId="39" xfId="3" applyNumberFormat="1" applyFont="1" applyBorder="1"/>
    <xf numFmtId="38" fontId="10" fillId="0" borderId="40" xfId="3" applyNumberFormat="1" applyFont="1" applyBorder="1"/>
    <xf numFmtId="38" fontId="10" fillId="0" borderId="41" xfId="3" applyNumberFormat="1" applyFont="1" applyBorder="1"/>
    <xf numFmtId="38" fontId="15" fillId="14" borderId="40" xfId="3" applyNumberFormat="1" applyFont="1" applyFill="1" applyBorder="1"/>
    <xf numFmtId="181" fontId="10" fillId="0" borderId="42" xfId="3" applyNumberFormat="1" applyFont="1" applyBorder="1"/>
    <xf numFmtId="38" fontId="21" fillId="0" borderId="37" xfId="0" applyNumberFormat="1" applyFont="1" applyBorder="1" applyAlignment="1"/>
    <xf numFmtId="38" fontId="17" fillId="7" borderId="37" xfId="0" applyNumberFormat="1" applyFont="1" applyFill="1" applyBorder="1" applyAlignment="1"/>
    <xf numFmtId="38" fontId="22" fillId="0" borderId="38" xfId="0" applyNumberFormat="1" applyFont="1" applyBorder="1" applyAlignment="1">
      <alignment shrinkToFit="1"/>
    </xf>
    <xf numFmtId="38" fontId="22" fillId="0" borderId="37" xfId="0" applyNumberFormat="1" applyFont="1" applyBorder="1" applyAlignment="1"/>
    <xf numFmtId="38" fontId="21" fillId="7" borderId="37" xfId="0" applyNumberFormat="1" applyFont="1" applyFill="1" applyBorder="1" applyAlignment="1"/>
    <xf numFmtId="182" fontId="21" fillId="0" borderId="38" xfId="0" applyNumberFormat="1" applyFont="1" applyBorder="1" applyAlignment="1">
      <alignment shrinkToFit="1"/>
    </xf>
    <xf numFmtId="38" fontId="22" fillId="0" borderId="38" xfId="0" applyNumberFormat="1" applyFont="1" applyBorder="1" applyAlignment="1"/>
    <xf numFmtId="38" fontId="23" fillId="7" borderId="37" xfId="0" applyNumberFormat="1" applyFont="1" applyFill="1" applyBorder="1" applyAlignment="1"/>
    <xf numFmtId="38" fontId="9" fillId="7" borderId="31" xfId="0" applyNumberFormat="1" applyFont="1" applyFill="1" applyBorder="1" applyAlignment="1"/>
    <xf numFmtId="38" fontId="9" fillId="13" borderId="31" xfId="0" applyNumberFormat="1" applyFont="1" applyFill="1" applyBorder="1" applyAlignment="1"/>
    <xf numFmtId="0" fontId="20" fillId="0" borderId="0" xfId="0" applyFont="1" applyAlignment="1"/>
    <xf numFmtId="0" fontId="9" fillId="0" borderId="0" xfId="0" applyFont="1" applyAlignment="1">
      <alignment shrinkToFit="1"/>
    </xf>
    <xf numFmtId="0" fontId="9" fillId="0" borderId="5" xfId="0" applyFont="1" applyBorder="1" applyAlignment="1"/>
    <xf numFmtId="38" fontId="21" fillId="0" borderId="31" xfId="0" applyNumberFormat="1" applyFont="1" applyBorder="1" applyAlignment="1"/>
    <xf numFmtId="38" fontId="17" fillId="7" borderId="31" xfId="0" applyNumberFormat="1" applyFont="1" applyFill="1" applyBorder="1" applyAlignment="1"/>
    <xf numFmtId="38" fontId="9" fillId="0" borderId="31" xfId="0" applyNumberFormat="1" applyFont="1" applyBorder="1" applyAlignment="1"/>
    <xf numFmtId="181" fontId="9" fillId="0" borderId="0" xfId="0" applyNumberFormat="1" applyFont="1" applyAlignment="1">
      <alignment shrinkToFit="1"/>
    </xf>
    <xf numFmtId="179" fontId="10" fillId="0" borderId="0" xfId="3" applyNumberFormat="1" applyFont="1"/>
    <xf numFmtId="0" fontId="10" fillId="0" borderId="43" xfId="3" applyFont="1" applyBorder="1"/>
    <xf numFmtId="38" fontId="18" fillId="0" borderId="30" xfId="4" applyFont="1" applyBorder="1"/>
    <xf numFmtId="38" fontId="10" fillId="0" borderId="30" xfId="4" applyFont="1" applyBorder="1"/>
    <xf numFmtId="38" fontId="15" fillId="14" borderId="30" xfId="4" applyFont="1" applyFill="1" applyBorder="1"/>
    <xf numFmtId="181" fontId="10" fillId="0" borderId="0" xfId="3" applyNumberFormat="1" applyFont="1"/>
    <xf numFmtId="38" fontId="22" fillId="0" borderId="0" xfId="0" applyNumberFormat="1" applyFont="1" applyAlignment="1"/>
    <xf numFmtId="38" fontId="21" fillId="7" borderId="31" xfId="0" applyNumberFormat="1" applyFont="1" applyFill="1" applyBorder="1" applyAlignment="1"/>
    <xf numFmtId="179" fontId="9" fillId="0" borderId="0" xfId="0" applyNumberFormat="1" applyFont="1" applyAlignment="1"/>
    <xf numFmtId="182" fontId="9" fillId="0" borderId="0" xfId="0" applyNumberFormat="1" applyFont="1" applyAlignment="1"/>
    <xf numFmtId="38" fontId="22" fillId="0" borderId="31" xfId="0" applyNumberFormat="1" applyFont="1" applyBorder="1" applyAlignment="1"/>
    <xf numFmtId="38" fontId="9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shrinkToFit="1"/>
    </xf>
    <xf numFmtId="0" fontId="2" fillId="0" borderId="0" xfId="0" applyFont="1" applyAlignment="1">
      <alignment horizontal="right"/>
    </xf>
    <xf numFmtId="183" fontId="9" fillId="0" borderId="0" xfId="0" applyNumberFormat="1" applyFont="1" applyAlignment="1"/>
    <xf numFmtId="1" fontId="9" fillId="9" borderId="0" xfId="0" applyNumberFormat="1" applyFont="1" applyFill="1" applyAlignment="1"/>
    <xf numFmtId="183" fontId="24" fillId="0" borderId="0" xfId="0" applyNumberFormat="1" applyFont="1" applyAlignment="1"/>
    <xf numFmtId="183" fontId="9" fillId="0" borderId="0" xfId="0" applyNumberFormat="1" applyFont="1" applyAlignment="1">
      <alignment horizontal="right"/>
    </xf>
    <xf numFmtId="184" fontId="21" fillId="0" borderId="0" xfId="0" applyNumberFormat="1" applyFont="1" applyAlignment="1"/>
    <xf numFmtId="38" fontId="2" fillId="0" borderId="0" xfId="0" applyNumberFormat="1" applyFont="1" applyAlignment="1"/>
    <xf numFmtId="0" fontId="6" fillId="0" borderId="0" xfId="3" applyFont="1"/>
    <xf numFmtId="1" fontId="10" fillId="3" borderId="0" xfId="3" applyNumberFormat="1" applyFont="1" applyFill="1"/>
    <xf numFmtId="183" fontId="10" fillId="0" borderId="0" xfId="3" applyNumberFormat="1" applyFont="1"/>
    <xf numFmtId="184" fontId="21" fillId="0" borderId="0" xfId="0" applyNumberFormat="1" applyFont="1" applyAlignment="1">
      <alignment shrinkToFit="1"/>
    </xf>
    <xf numFmtId="184" fontId="10" fillId="0" borderId="0" xfId="5" applyFont="1"/>
    <xf numFmtId="183" fontId="9" fillId="15" borderId="0" xfId="0" applyNumberFormat="1" applyFont="1" applyFill="1" applyAlignment="1"/>
    <xf numFmtId="184" fontId="9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center"/>
    </xf>
    <xf numFmtId="180" fontId="9" fillId="0" borderId="0" xfId="0" applyNumberFormat="1" applyFon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38" fontId="9" fillId="0" borderId="0" xfId="1" applyFont="1" applyAlignment="1"/>
    <xf numFmtId="0" fontId="2" fillId="0" borderId="47" xfId="0" applyFont="1" applyBorder="1" applyAlignment="1">
      <alignment horizontal="center"/>
    </xf>
    <xf numFmtId="180" fontId="2" fillId="0" borderId="0" xfId="0" applyNumberFormat="1" applyFont="1" applyAlignment="1"/>
    <xf numFmtId="38" fontId="25" fillId="0" borderId="0" xfId="1" applyFont="1" applyBorder="1" applyAlignment="1"/>
    <xf numFmtId="38" fontId="23" fillId="0" borderId="0" xfId="1" applyFont="1" applyBorder="1" applyAlignment="1"/>
    <xf numFmtId="38" fontId="23" fillId="0" borderId="48" xfId="1" applyFont="1" applyBorder="1" applyAlignment="1"/>
    <xf numFmtId="0" fontId="2" fillId="0" borderId="49" xfId="0" applyFont="1" applyBorder="1" applyAlignment="1">
      <alignment horizontal="center"/>
    </xf>
    <xf numFmtId="180" fontId="2" fillId="0" borderId="50" xfId="0" applyNumberFormat="1" applyFont="1" applyBorder="1" applyAlignment="1"/>
    <xf numFmtId="38" fontId="2" fillId="0" borderId="50" xfId="0" applyNumberFormat="1" applyFont="1" applyBorder="1" applyAlignment="1"/>
    <xf numFmtId="38" fontId="25" fillId="0" borderId="50" xfId="1" applyFont="1" applyBorder="1" applyAlignment="1"/>
    <xf numFmtId="38" fontId="23" fillId="0" borderId="50" xfId="1" applyFont="1" applyBorder="1" applyAlignment="1"/>
    <xf numFmtId="38" fontId="23" fillId="0" borderId="51" xfId="1" applyFont="1" applyBorder="1" applyAlignment="1"/>
    <xf numFmtId="0" fontId="2" fillId="0" borderId="23" xfId="0" applyFont="1" applyBorder="1" applyAlignment="1"/>
    <xf numFmtId="0" fontId="2" fillId="0" borderId="52" xfId="0" applyFont="1" applyBorder="1" applyAlignment="1">
      <alignment horizontal="right"/>
    </xf>
    <xf numFmtId="183" fontId="9" fillId="13" borderId="0" xfId="0" applyNumberFormat="1" applyFont="1" applyFill="1" applyAlignment="1"/>
    <xf numFmtId="0" fontId="6" fillId="0" borderId="53" xfId="3" applyFont="1" applyBorder="1"/>
    <xf numFmtId="0" fontId="2" fillId="0" borderId="54" xfId="0" applyFont="1" applyBorder="1" applyAlignment="1"/>
    <xf numFmtId="185" fontId="2" fillId="0" borderId="0" xfId="0" applyNumberFormat="1" applyFont="1" applyAlignment="1"/>
    <xf numFmtId="0" fontId="2" fillId="0" borderId="54" xfId="0" applyFont="1" applyBorder="1" applyAlignment="1">
      <alignment shrinkToFi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6" xfId="0" applyFont="1" applyBorder="1" applyAlignment="1">
      <alignment horizontal="center" vertical="top" wrapText="1"/>
    </xf>
    <xf numFmtId="0" fontId="14" fillId="0" borderId="0" xfId="0" applyFont="1" applyAlignment="1"/>
    <xf numFmtId="0" fontId="26" fillId="0" borderId="58" xfId="3" applyFont="1" applyBorder="1" applyAlignment="1">
      <alignment horizontal="center" vertical="top" wrapText="1"/>
    </xf>
    <xf numFmtId="0" fontId="26" fillId="0" borderId="59" xfId="3" applyFont="1" applyBorder="1" applyAlignment="1">
      <alignment horizontal="center" vertical="top" wrapText="1"/>
    </xf>
    <xf numFmtId="0" fontId="26" fillId="0" borderId="34" xfId="3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6" fillId="0" borderId="35" xfId="3" applyFont="1" applyBorder="1" applyAlignment="1">
      <alignment horizontal="center" vertical="top" wrapText="1"/>
    </xf>
    <xf numFmtId="0" fontId="26" fillId="0" borderId="0" xfId="3" applyFont="1" applyAlignment="1">
      <alignment horizontal="center" vertical="top" wrapText="1"/>
    </xf>
    <xf numFmtId="0" fontId="26" fillId="0" borderId="53" xfId="3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60" xfId="0" applyFont="1" applyBorder="1" applyAlignment="1">
      <alignment horizontal="center" vertical="top" wrapText="1"/>
    </xf>
    <xf numFmtId="0" fontId="26" fillId="0" borderId="27" xfId="3" applyFont="1" applyBorder="1" applyAlignment="1">
      <alignment horizontal="center" vertical="top" wrapText="1"/>
    </xf>
    <xf numFmtId="0" fontId="26" fillId="0" borderId="28" xfId="3" applyFont="1" applyBorder="1" applyAlignment="1">
      <alignment horizontal="center" vertical="top" wrapText="1"/>
    </xf>
    <xf numFmtId="0" fontId="26" fillId="0" borderId="26" xfId="3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38" fontId="9" fillId="16" borderId="0" xfId="0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38" fontId="9" fillId="16" borderId="0" xfId="0" applyNumberFormat="1" applyFont="1" applyFill="1" applyAlignment="1"/>
    <xf numFmtId="0" fontId="9" fillId="0" borderId="0" xfId="0" applyFont="1" applyAlignment="1">
      <alignment horizontal="center" vertical="center" shrinkToFit="1"/>
    </xf>
    <xf numFmtId="0" fontId="10" fillId="0" borderId="0" xfId="3" applyFont="1"/>
    <xf numFmtId="0" fontId="10" fillId="0" borderId="0" xfId="3" applyFont="1" applyAlignment="1">
      <alignment horizontal="center" vertical="center" shrinkToFit="1"/>
    </xf>
    <xf numFmtId="186" fontId="9" fillId="0" borderId="0" xfId="0" applyNumberFormat="1" applyFont="1" applyAlignment="1"/>
    <xf numFmtId="187" fontId="9" fillId="7" borderId="0" xfId="0" applyNumberFormat="1" applyFont="1" applyFill="1" applyAlignment="1"/>
    <xf numFmtId="187" fontId="9" fillId="6" borderId="0" xfId="0" applyNumberFormat="1" applyFont="1" applyFill="1" applyAlignment="1"/>
    <xf numFmtId="0" fontId="9" fillId="6" borderId="0" xfId="0" applyFont="1" applyFill="1" applyAlignment="1"/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184" fontId="17" fillId="0" borderId="0" xfId="0" applyNumberFormat="1" applyFont="1">
      <alignment vertical="center"/>
    </xf>
    <xf numFmtId="10" fontId="17" fillId="0" borderId="0" xfId="0" applyNumberFormat="1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/>
    </xf>
    <xf numFmtId="184" fontId="23" fillId="0" borderId="0" xfId="0" applyNumberFormat="1" applyFont="1">
      <alignment vertical="center"/>
    </xf>
    <xf numFmtId="10" fontId="23" fillId="0" borderId="0" xfId="0" applyNumberFormat="1" applyFont="1">
      <alignment vertical="center"/>
    </xf>
    <xf numFmtId="0" fontId="15" fillId="0" borderId="0" xfId="3" applyFont="1" applyAlignment="1">
      <alignment vertical="center"/>
    </xf>
    <xf numFmtId="10" fontId="29" fillId="0" borderId="0" xfId="2" applyNumberFormat="1" applyFont="1" applyAlignment="1">
      <alignment vertical="center"/>
    </xf>
    <xf numFmtId="38" fontId="27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6" fillId="0" borderId="0" xfId="3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38" fontId="6" fillId="0" borderId="0" xfId="1" applyFont="1" applyAlignment="1"/>
    <xf numFmtId="38" fontId="2" fillId="0" borderId="0" xfId="1" applyFont="1" applyAlignment="1"/>
    <xf numFmtId="10" fontId="2" fillId="0" borderId="0" xfId="0" applyNumberFormat="1" applyFont="1" applyAlignment="1"/>
    <xf numFmtId="0" fontId="6" fillId="0" borderId="0" xfId="3" applyFont="1" applyAlignment="1">
      <alignment horizontal="center"/>
    </xf>
    <xf numFmtId="0" fontId="7" fillId="0" borderId="0" xfId="0" applyFont="1" applyAlignment="1">
      <alignment shrinkToFit="1"/>
    </xf>
    <xf numFmtId="0" fontId="13" fillId="2" borderId="62" xfId="0" applyFont="1" applyFill="1" applyBorder="1" applyAlignment="1">
      <alignment horizontal="center" vertical="center" wrapText="1"/>
    </xf>
    <xf numFmtId="0" fontId="14" fillId="0" borderId="63" xfId="0" applyFont="1" applyBorder="1" applyAlignment="1"/>
    <xf numFmtId="0" fontId="9" fillId="4" borderId="64" xfId="0" applyFont="1" applyFill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0" fontId="9" fillId="4" borderId="65" xfId="0" applyFont="1" applyFill="1" applyBorder="1" applyAlignment="1">
      <alignment horizontal="center" vertical="center" wrapText="1"/>
    </xf>
    <xf numFmtId="0" fontId="9" fillId="17" borderId="64" xfId="0" applyFont="1" applyFill="1" applyBorder="1" applyAlignment="1">
      <alignment horizontal="center" vertical="center" wrapText="1"/>
    </xf>
    <xf numFmtId="0" fontId="9" fillId="17" borderId="63" xfId="0" applyFont="1" applyFill="1" applyBorder="1" applyAlignment="1">
      <alignment horizontal="center" vertical="center" wrapText="1"/>
    </xf>
    <xf numFmtId="0" fontId="9" fillId="17" borderId="66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178" fontId="19" fillId="0" borderId="21" xfId="0" applyNumberFormat="1" applyFont="1" applyBorder="1">
      <alignment vertical="center"/>
    </xf>
    <xf numFmtId="179" fontId="2" fillId="0" borderId="71" xfId="0" applyNumberFormat="1" applyFont="1" applyBorder="1">
      <alignment vertical="center"/>
    </xf>
    <xf numFmtId="180" fontId="2" fillId="4" borderId="29" xfId="0" applyNumberFormat="1" applyFont="1" applyFill="1" applyBorder="1">
      <alignment vertical="center"/>
    </xf>
    <xf numFmtId="38" fontId="17" fillId="20" borderId="22" xfId="0" applyNumberFormat="1" applyFont="1" applyFill="1" applyBorder="1">
      <alignment vertical="center"/>
    </xf>
    <xf numFmtId="38" fontId="2" fillId="0" borderId="72" xfId="0" applyNumberFormat="1" applyFont="1" applyBorder="1">
      <alignment vertical="center"/>
    </xf>
    <xf numFmtId="180" fontId="2" fillId="17" borderId="29" xfId="0" applyNumberFormat="1" applyFont="1" applyFill="1" applyBorder="1">
      <alignment vertical="center"/>
    </xf>
    <xf numFmtId="38" fontId="17" fillId="21" borderId="22" xfId="0" applyNumberFormat="1" applyFont="1" applyFill="1" applyBorder="1">
      <alignment vertical="center"/>
    </xf>
    <xf numFmtId="181" fontId="2" fillId="0" borderId="73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38" fontId="2" fillId="9" borderId="23" xfId="0" applyNumberFormat="1" applyFont="1" applyFill="1" applyBorder="1">
      <alignment vertical="center"/>
    </xf>
    <xf numFmtId="38" fontId="9" fillId="0" borderId="24" xfId="0" applyNumberFormat="1" applyFont="1" applyBorder="1">
      <alignment vertical="center"/>
    </xf>
    <xf numFmtId="179" fontId="6" fillId="3" borderId="26" xfId="3" applyNumberFormat="1" applyFont="1" applyFill="1" applyBorder="1"/>
    <xf numFmtId="38" fontId="6" fillId="11" borderId="26" xfId="4" applyFont="1" applyFill="1" applyBorder="1"/>
    <xf numFmtId="38" fontId="6" fillId="8" borderId="25" xfId="4" applyFont="1" applyFill="1" applyBorder="1"/>
    <xf numFmtId="38" fontId="2" fillId="0" borderId="23" xfId="0" applyNumberFormat="1" applyFont="1" applyBorder="1">
      <alignment vertical="center"/>
    </xf>
    <xf numFmtId="180" fontId="2" fillId="0" borderId="23" xfId="0" applyNumberFormat="1" applyFont="1" applyBorder="1">
      <alignment vertical="center"/>
    </xf>
    <xf numFmtId="179" fontId="2" fillId="5" borderId="23" xfId="0" applyNumberFormat="1" applyFont="1" applyFill="1" applyBorder="1">
      <alignment vertical="center"/>
    </xf>
    <xf numFmtId="179" fontId="9" fillId="0" borderId="74" xfId="0" applyNumberFormat="1" applyFont="1" applyBorder="1" applyAlignment="1"/>
    <xf numFmtId="181" fontId="9" fillId="0" borderId="36" xfId="0" applyNumberFormat="1" applyFont="1" applyBorder="1" applyAlignment="1">
      <alignment shrinkToFit="1"/>
    </xf>
    <xf numFmtId="180" fontId="9" fillId="0" borderId="75" xfId="0" applyNumberFormat="1" applyFont="1" applyBorder="1" applyAlignment="1"/>
    <xf numFmtId="38" fontId="22" fillId="0" borderId="76" xfId="0" applyNumberFormat="1" applyFont="1" applyBorder="1" applyAlignment="1">
      <alignment shrinkToFit="1"/>
    </xf>
    <xf numFmtId="38" fontId="21" fillId="0" borderId="77" xfId="0" applyNumberFormat="1" applyFont="1" applyBorder="1" applyAlignment="1"/>
    <xf numFmtId="0" fontId="9" fillId="0" borderId="78" xfId="0" applyFont="1" applyBorder="1" applyAlignment="1"/>
    <xf numFmtId="0" fontId="9" fillId="0" borderId="79" xfId="0" applyFont="1" applyBorder="1" applyAlignment="1"/>
    <xf numFmtId="38" fontId="21" fillId="0" borderId="80" xfId="0" applyNumberFormat="1" applyFont="1" applyBorder="1" applyAlignment="1"/>
    <xf numFmtId="38" fontId="17" fillId="7" borderId="80" xfId="0" applyNumberFormat="1" applyFont="1" applyFill="1" applyBorder="1" applyAlignment="1"/>
    <xf numFmtId="38" fontId="9" fillId="0" borderId="80" xfId="0" applyNumberFormat="1" applyFont="1" applyBorder="1" applyAlignment="1"/>
    <xf numFmtId="38" fontId="9" fillId="7" borderId="80" xfId="0" applyNumberFormat="1" applyFont="1" applyFill="1" applyBorder="1" applyAlignment="1"/>
    <xf numFmtId="181" fontId="9" fillId="0" borderId="81" xfId="0" applyNumberFormat="1" applyFont="1" applyBorder="1" applyAlignment="1">
      <alignment shrinkToFit="1"/>
    </xf>
    <xf numFmtId="0" fontId="9" fillId="0" borderId="82" xfId="0" applyFont="1" applyBorder="1" applyAlignment="1"/>
    <xf numFmtId="38" fontId="22" fillId="0" borderId="83" xfId="0" applyNumberFormat="1" applyFont="1" applyBorder="1" applyAlignment="1"/>
    <xf numFmtId="181" fontId="9" fillId="0" borderId="84" xfId="0" applyNumberFormat="1" applyFont="1" applyBorder="1" applyAlignment="1">
      <alignment shrinkToFit="1"/>
    </xf>
    <xf numFmtId="0" fontId="14" fillId="0" borderId="55" xfId="0" applyFont="1" applyBorder="1" applyAlignment="1"/>
    <xf numFmtId="0" fontId="14" fillId="0" borderId="52" xfId="0" applyFont="1" applyBorder="1" applyAlignment="1"/>
    <xf numFmtId="0" fontId="7" fillId="0" borderId="0" xfId="0" applyFont="1" applyAlignment="1"/>
    <xf numFmtId="0" fontId="14" fillId="0" borderId="54" xfId="0" applyFont="1" applyBorder="1" applyAlignment="1"/>
    <xf numFmtId="0" fontId="2" fillId="0" borderId="85" xfId="0" applyFont="1" applyBorder="1" applyAlignment="1">
      <alignment horizontal="center"/>
    </xf>
    <xf numFmtId="0" fontId="4" fillId="0" borderId="86" xfId="0" applyFont="1" applyBorder="1" applyAlignment="1">
      <alignment horizontal="center" vertical="top" wrapText="1"/>
    </xf>
    <xf numFmtId="0" fontId="4" fillId="0" borderId="85" xfId="0" applyFont="1" applyBorder="1" applyAlignment="1">
      <alignment horizontal="center" vertical="top" wrapText="1"/>
    </xf>
    <xf numFmtId="0" fontId="14" fillId="0" borderId="21" xfId="0" applyFont="1" applyBorder="1" applyAlignment="1"/>
    <xf numFmtId="0" fontId="14" fillId="0" borderId="24" xfId="0" applyFont="1" applyBorder="1" applyAlignment="1"/>
    <xf numFmtId="0" fontId="14" fillId="0" borderId="23" xfId="0" applyFont="1" applyBorder="1" applyAlignment="1"/>
    <xf numFmtId="0" fontId="26" fillId="0" borderId="0" xfId="3" applyFont="1" applyAlignment="1">
      <alignment horizontal="center" vertical="top" wrapText="1"/>
    </xf>
    <xf numFmtId="0" fontId="17" fillId="5" borderId="87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88" xfId="0" applyFont="1" applyFill="1" applyBorder="1" applyAlignment="1">
      <alignment horizontal="center" vertical="center" wrapText="1"/>
    </xf>
    <xf numFmtId="178" fontId="32" fillId="0" borderId="21" xfId="0" applyNumberFormat="1" applyFont="1" applyBorder="1">
      <alignment vertical="center"/>
    </xf>
    <xf numFmtId="178" fontId="32" fillId="0" borderId="5" xfId="0" applyNumberFormat="1" applyFont="1" applyBorder="1">
      <alignment vertical="center"/>
    </xf>
    <xf numFmtId="177" fontId="2" fillId="0" borderId="17" xfId="0" applyNumberFormat="1" applyFont="1" applyBorder="1" applyAlignment="1">
      <alignment horizontal="center" vertical="center" shrinkToFit="1"/>
    </xf>
    <xf numFmtId="177" fontId="2" fillId="0" borderId="89" xfId="0" applyNumberFormat="1" applyFont="1" applyBorder="1" applyAlignment="1">
      <alignment horizontal="center" vertical="center" shrinkToFit="1"/>
    </xf>
    <xf numFmtId="179" fontId="2" fillId="0" borderId="90" xfId="0" applyNumberFormat="1" applyFont="1" applyBorder="1">
      <alignment vertical="center"/>
    </xf>
    <xf numFmtId="188" fontId="4" fillId="0" borderId="21" xfId="0" applyNumberFormat="1" applyFont="1" applyBorder="1" applyAlignment="1">
      <alignment vertical="center" shrinkToFit="1"/>
    </xf>
    <xf numFmtId="178" fontId="33" fillId="0" borderId="5" xfId="0" applyNumberFormat="1" applyFont="1" applyBorder="1">
      <alignment vertical="center"/>
    </xf>
    <xf numFmtId="179" fontId="2" fillId="0" borderId="91" xfId="0" applyNumberFormat="1" applyFont="1" applyBorder="1">
      <alignment vertical="center"/>
    </xf>
    <xf numFmtId="188" fontId="4" fillId="0" borderId="5" xfId="0" applyNumberFormat="1" applyFont="1" applyBorder="1" applyAlignment="1">
      <alignment vertical="center" shrinkToFit="1"/>
    </xf>
    <xf numFmtId="179" fontId="2" fillId="0" borderId="92" xfId="0" applyNumberFormat="1" applyFont="1" applyBorder="1">
      <alignment vertical="center"/>
    </xf>
    <xf numFmtId="182" fontId="23" fillId="0" borderId="38" xfId="0" applyNumberFormat="1" applyFont="1" applyBorder="1" applyAlignment="1"/>
    <xf numFmtId="188" fontId="9" fillId="0" borderId="37" xfId="0" applyNumberFormat="1" applyFont="1" applyBorder="1" applyAlignment="1">
      <alignment shrinkToFit="1"/>
    </xf>
    <xf numFmtId="184" fontId="9" fillId="0" borderId="0" xfId="0" applyNumberFormat="1" applyFont="1" applyAlignment="1">
      <alignment horizontal="center"/>
    </xf>
    <xf numFmtId="189" fontId="9" fillId="0" borderId="0" xfId="0" applyNumberFormat="1" applyFont="1" applyAlignment="1">
      <alignment horizontal="center"/>
    </xf>
    <xf numFmtId="0" fontId="17" fillId="5" borderId="2" xfId="0" applyFont="1" applyFill="1" applyBorder="1" applyAlignment="1">
      <alignment horizontal="center" vertical="center" wrapText="1"/>
    </xf>
    <xf numFmtId="178" fontId="34" fillId="0" borderId="5" xfId="0" applyNumberFormat="1" applyFont="1" applyBorder="1">
      <alignment vertical="center"/>
    </xf>
    <xf numFmtId="178" fontId="33" fillId="0" borderId="21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0" fontId="35" fillId="0" borderId="58" xfId="3" applyFont="1" applyBorder="1" applyAlignment="1">
      <alignment horizontal="left" vertical="top" wrapText="1"/>
    </xf>
    <xf numFmtId="0" fontId="35" fillId="0" borderId="59" xfId="3" applyFont="1" applyBorder="1" applyAlignment="1">
      <alignment horizontal="left" vertical="top" wrapText="1"/>
    </xf>
    <xf numFmtId="0" fontId="35" fillId="0" borderId="34" xfId="3" applyFont="1" applyBorder="1" applyAlignment="1">
      <alignment horizontal="left" vertical="top" wrapText="1"/>
    </xf>
    <xf numFmtId="0" fontId="35" fillId="0" borderId="35" xfId="3" applyFont="1" applyBorder="1" applyAlignment="1">
      <alignment horizontal="left" vertical="top" wrapText="1"/>
    </xf>
    <xf numFmtId="0" fontId="35" fillId="0" borderId="0" xfId="3" applyFont="1" applyAlignment="1">
      <alignment horizontal="left" vertical="top" wrapText="1"/>
    </xf>
    <xf numFmtId="0" fontId="35" fillId="0" borderId="53" xfId="3" applyFont="1" applyBorder="1" applyAlignment="1">
      <alignment horizontal="left" vertical="top" wrapText="1"/>
    </xf>
    <xf numFmtId="0" fontId="35" fillId="0" borderId="27" xfId="3" applyFont="1" applyBorder="1" applyAlignment="1">
      <alignment horizontal="left" vertical="top" wrapText="1"/>
    </xf>
    <xf numFmtId="0" fontId="35" fillId="0" borderId="28" xfId="3" applyFont="1" applyBorder="1" applyAlignment="1">
      <alignment horizontal="left" vertical="top" wrapText="1"/>
    </xf>
    <xf numFmtId="0" fontId="35" fillId="0" borderId="26" xfId="3" applyFont="1" applyBorder="1" applyAlignment="1">
      <alignment horizontal="left" vertical="top" wrapText="1"/>
    </xf>
    <xf numFmtId="0" fontId="35" fillId="0" borderId="58" xfId="3" applyFont="1" applyBorder="1" applyAlignment="1">
      <alignment vertical="top" wrapText="1"/>
    </xf>
    <xf numFmtId="0" fontId="35" fillId="0" borderId="59" xfId="3" applyFont="1" applyBorder="1" applyAlignment="1">
      <alignment vertical="top" wrapText="1"/>
    </xf>
    <xf numFmtId="0" fontId="35" fillId="0" borderId="34" xfId="3" applyFont="1" applyBorder="1" applyAlignment="1">
      <alignment vertical="top" wrapText="1"/>
    </xf>
    <xf numFmtId="0" fontId="35" fillId="0" borderId="35" xfId="3" applyFont="1" applyBorder="1" applyAlignment="1">
      <alignment vertical="top" wrapText="1"/>
    </xf>
    <xf numFmtId="0" fontId="35" fillId="0" borderId="0" xfId="3" applyFont="1" applyAlignment="1">
      <alignment vertical="top" wrapText="1"/>
    </xf>
    <xf numFmtId="0" fontId="35" fillId="0" borderId="53" xfId="3" applyFont="1" applyBorder="1" applyAlignment="1">
      <alignment vertical="top" wrapText="1"/>
    </xf>
    <xf numFmtId="0" fontId="35" fillId="0" borderId="27" xfId="3" applyFont="1" applyBorder="1" applyAlignment="1">
      <alignment vertical="top" wrapText="1"/>
    </xf>
    <xf numFmtId="0" fontId="35" fillId="0" borderId="28" xfId="3" applyFont="1" applyBorder="1" applyAlignment="1">
      <alignment vertical="top" wrapText="1"/>
    </xf>
    <xf numFmtId="0" fontId="35" fillId="0" borderId="26" xfId="3" applyFont="1" applyBorder="1" applyAlignment="1">
      <alignment vertical="top" wrapText="1"/>
    </xf>
  </cellXfs>
  <cellStyles count="6">
    <cellStyle name="Excel Built-in Comma [0]" xfId="4" xr:uid="{375CD470-55DD-FC49-9A6E-388E27A4BDF8}"/>
    <cellStyle name="Excel Built-in Currency [0]" xfId="5" xr:uid="{57B2CFD1-FF4A-0745-8EA3-BB13307B8C36}"/>
    <cellStyle name="Excel Built-in Normal 1" xfId="3" xr:uid="{791F63B1-71DD-9E4A-A494-49BC63E752A3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1F11-C342-884A-886F-08CC780159BB}">
  <dimension ref="A1:CJ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68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7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4.7109375" style="7" customWidth="1"/>
    <col min="41" max="41" width="4.5703125" style="268" customWidth="1"/>
    <col min="42" max="42" width="4.7109375" style="7" customWidth="1"/>
    <col min="43" max="43" width="4.5703125" style="268" customWidth="1"/>
    <col min="44" max="44" width="11.140625" style="7" bestFit="1" customWidth="1"/>
    <col min="45" max="45" width="7.5703125" style="7" customWidth="1"/>
    <col min="46" max="46" width="9.42578125" style="7" bestFit="1" customWidth="1"/>
    <col min="47" max="47" width="11.5703125" style="7" customWidth="1"/>
    <col min="48" max="48" width="13.5703125" style="7" customWidth="1"/>
    <col min="49" max="60" width="11.140625" style="7" customWidth="1"/>
    <col min="61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3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6"/>
      <c r="BF1" s="4"/>
      <c r="BG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10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10"/>
      <c r="AR2" s="4"/>
      <c r="AS2" s="4"/>
      <c r="AT2" s="4"/>
      <c r="AU2" s="4"/>
      <c r="AV2" s="4"/>
      <c r="AW2" s="4" t="s">
        <v>1</v>
      </c>
      <c r="AX2" s="4"/>
      <c r="AY2" s="4"/>
      <c r="AZ2" s="4"/>
      <c r="BA2" s="4"/>
      <c r="BB2" s="4"/>
      <c r="BC2" s="4"/>
      <c r="BD2" s="4"/>
      <c r="BE2" s="6"/>
      <c r="BF2" s="4"/>
      <c r="BG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29" t="s">
        <v>7</v>
      </c>
      <c r="AG3" s="330"/>
      <c r="AH3" s="330"/>
      <c r="AI3" s="330"/>
      <c r="AJ3" s="330"/>
      <c r="AK3" s="330"/>
      <c r="AL3" s="330"/>
      <c r="AM3" s="330"/>
      <c r="AN3" s="330"/>
      <c r="AO3" s="331"/>
      <c r="AP3" s="346"/>
      <c r="AQ3" s="346"/>
      <c r="AR3" s="22" t="s">
        <v>8</v>
      </c>
      <c r="AS3" s="23"/>
      <c r="AT3" s="23"/>
      <c r="AU3" s="23"/>
      <c r="AV3" s="25"/>
      <c r="AW3" s="26" t="s">
        <v>9</v>
      </c>
      <c r="AX3" s="27"/>
      <c r="AY3" s="27"/>
      <c r="AZ3" s="27"/>
      <c r="BA3" s="27"/>
      <c r="BB3" s="27"/>
      <c r="BC3" s="27"/>
      <c r="BD3" s="28"/>
      <c r="BE3" s="4"/>
      <c r="BF3" s="6"/>
      <c r="BO3" s="269" t="s">
        <v>3</v>
      </c>
      <c r="BP3" s="270"/>
      <c r="BQ3" s="270"/>
      <c r="BR3" s="270"/>
      <c r="BS3" s="270"/>
      <c r="BT3" s="270"/>
      <c r="BU3" s="270"/>
      <c r="BV3" s="270"/>
      <c r="BW3" s="271" t="s">
        <v>5</v>
      </c>
      <c r="BX3" s="272"/>
      <c r="BY3" s="272"/>
      <c r="BZ3" s="272"/>
      <c r="CA3" s="272"/>
      <c r="CB3" s="272"/>
      <c r="CC3" s="273"/>
      <c r="CD3" s="274" t="s">
        <v>83</v>
      </c>
      <c r="CE3" s="275"/>
      <c r="CF3" s="275"/>
      <c r="CG3" s="275"/>
      <c r="CH3" s="275"/>
      <c r="CI3" s="275"/>
      <c r="CJ3" s="276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34" t="s">
        <v>84</v>
      </c>
      <c r="AO4" s="335"/>
      <c r="AP4" s="334" t="s">
        <v>86</v>
      </c>
      <c r="AQ4" s="335"/>
      <c r="AR4" s="44" t="s">
        <v>24</v>
      </c>
      <c r="AS4" s="45" t="s">
        <v>19</v>
      </c>
      <c r="AT4" s="45" t="s">
        <v>21</v>
      </c>
      <c r="AU4" s="46" t="s">
        <v>25</v>
      </c>
      <c r="AV4" s="45" t="s">
        <v>26</v>
      </c>
      <c r="AW4" s="33" t="s">
        <v>27</v>
      </c>
      <c r="AX4" s="33" t="s">
        <v>28</v>
      </c>
      <c r="AY4" s="33" t="s">
        <v>29</v>
      </c>
      <c r="AZ4" s="33" t="s">
        <v>30</v>
      </c>
      <c r="BA4" s="33" t="s">
        <v>31</v>
      </c>
      <c r="BB4" s="33" t="s">
        <v>32</v>
      </c>
      <c r="BC4" s="33" t="s">
        <v>33</v>
      </c>
      <c r="BD4" s="50" t="s">
        <v>34</v>
      </c>
      <c r="BE4" s="4"/>
      <c r="BF4" s="6"/>
      <c r="BO4" s="277" t="s">
        <v>10</v>
      </c>
      <c r="BP4" s="278" t="s">
        <v>11</v>
      </c>
      <c r="BQ4" s="45" t="s">
        <v>12</v>
      </c>
      <c r="BR4" s="279" t="s">
        <v>13</v>
      </c>
      <c r="BS4" s="45" t="s">
        <v>14</v>
      </c>
      <c r="BT4" s="46" t="s">
        <v>15</v>
      </c>
      <c r="BU4" s="278" t="s">
        <v>16</v>
      </c>
      <c r="BV4" s="46" t="s">
        <v>17</v>
      </c>
      <c r="BW4" s="280" t="s">
        <v>11</v>
      </c>
      <c r="BX4" s="45" t="s">
        <v>12</v>
      </c>
      <c r="BY4" s="279" t="s">
        <v>13</v>
      </c>
      <c r="BZ4" s="45" t="s">
        <v>14</v>
      </c>
      <c r="CA4" s="46" t="s">
        <v>15</v>
      </c>
      <c r="CB4" s="281" t="s">
        <v>16</v>
      </c>
      <c r="CC4" s="282" t="s">
        <v>17</v>
      </c>
      <c r="CD4" s="283" t="s">
        <v>11</v>
      </c>
      <c r="CE4" s="45" t="s">
        <v>12</v>
      </c>
      <c r="CF4" s="279" t="s">
        <v>13</v>
      </c>
      <c r="CG4" s="45" t="s">
        <v>14</v>
      </c>
      <c r="CH4" s="46" t="s">
        <v>15</v>
      </c>
      <c r="CI4" s="284" t="s">
        <v>16</v>
      </c>
      <c r="CJ4" s="285" t="s">
        <v>17</v>
      </c>
    </row>
    <row r="5" spans="1:88" s="82" customFormat="1" ht="13.5" customHeight="1" thickTop="1">
      <c r="A5" s="51"/>
      <c r="B5" s="332">
        <f>DATE($A$2,$B$2,1)</f>
        <v>45931</v>
      </c>
      <c r="C5" s="52"/>
      <c r="D5" s="53">
        <v>1</v>
      </c>
      <c r="E5" s="54">
        <v>2</v>
      </c>
      <c r="F5" s="55">
        <v>12000</v>
      </c>
      <c r="G5" s="56">
        <f t="shared" ref="G5:G35" si="0">ROUNDDOWN(F5/1.1,0)/E5</f>
        <v>5454.5</v>
      </c>
      <c r="H5" s="55">
        <v>1980</v>
      </c>
      <c r="I5" s="57">
        <f t="shared" ref="I5:I35" si="1">ROUNDDOWN(H5/1.1,0)/E5</f>
        <v>900</v>
      </c>
      <c r="J5" s="58">
        <f t="shared" ref="J5:J35" si="2">F5+H5</f>
        <v>13980</v>
      </c>
      <c r="K5" s="59">
        <f t="shared" ref="K5:K35" si="3">IF(E5="","",J5/E5)</f>
        <v>6990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5" si="7">IF(M5="","",R5/M5)</f>
        <v/>
      </c>
      <c r="T5" s="67">
        <f>AW5-M5-E5</f>
        <v>3</v>
      </c>
      <c r="U5" s="68">
        <f>AX5-(F5+N5)</f>
        <v>49500</v>
      </c>
      <c r="V5" s="56">
        <f t="shared" ref="V5:V35" si="8">ROUNDDOWN(U5/1.1,0)/T5</f>
        <v>15000</v>
      </c>
      <c r="W5" s="68">
        <f>AY5-H5-P5</f>
        <v>18590</v>
      </c>
      <c r="X5" s="57">
        <f t="shared" ref="X5:X35" si="9">ROUNDDOWN(W5/1.1,0)/T5</f>
        <v>5633.333333333333</v>
      </c>
      <c r="Y5" s="69">
        <f>U5+W5</f>
        <v>68090</v>
      </c>
      <c r="Z5" s="70">
        <f t="shared" ref="Z5:Z35" si="10">IF(T5="","",Y5/T5)</f>
        <v>22696.666666666668</v>
      </c>
      <c r="AA5" s="71">
        <f>E5+T5+M5</f>
        <v>5</v>
      </c>
      <c r="AB5" s="68">
        <f>F5+U5+N5</f>
        <v>61500</v>
      </c>
      <c r="AC5" s="68">
        <f>H5+W5+P5</f>
        <v>20570</v>
      </c>
      <c r="AD5" s="72">
        <f t="shared" ref="AD5" si="11">J5+Y5</f>
        <v>82070</v>
      </c>
      <c r="AE5" s="68">
        <f>IF(AA5="","",AD5/AA5)</f>
        <v>16414</v>
      </c>
      <c r="AF5" s="73">
        <v>39</v>
      </c>
      <c r="AG5" s="74">
        <v>41</v>
      </c>
      <c r="AH5" s="55">
        <v>56450</v>
      </c>
      <c r="AI5" s="56">
        <f t="shared" ref="AI5:AI35" si="12">AH5/AG5</f>
        <v>1376.8292682926829</v>
      </c>
      <c r="AJ5" s="55">
        <v>2700</v>
      </c>
      <c r="AK5" s="57">
        <f t="shared" ref="AK5:AK35" si="13">AJ5/AG5</f>
        <v>65.853658536585371</v>
      </c>
      <c r="AL5" s="75">
        <f>AH5+AJ5</f>
        <v>59150</v>
      </c>
      <c r="AM5" s="76">
        <f t="shared" ref="AM5:AM35" si="14">IF(AG5="","",AL5/AG5)</f>
        <v>1442.6829268292684</v>
      </c>
      <c r="AN5" s="336">
        <v>1</v>
      </c>
      <c r="AO5" s="337">
        <v>2</v>
      </c>
      <c r="AP5" s="336"/>
      <c r="AQ5" s="337"/>
      <c r="AR5" s="71">
        <f>SUM(E5,T5,M5)</f>
        <v>5</v>
      </c>
      <c r="AS5" s="68">
        <f>AB5+AH5</f>
        <v>117950</v>
      </c>
      <c r="AT5" s="68">
        <f t="shared" ref="AT5:AT35" si="15">AC5+AJ5</f>
        <v>23270</v>
      </c>
      <c r="AU5" s="77">
        <f>AD5+AL5</f>
        <v>141220</v>
      </c>
      <c r="AV5" s="68">
        <f>AZ5+BA5+BB5</f>
        <v>0</v>
      </c>
      <c r="AW5" s="68">
        <v>5</v>
      </c>
      <c r="AX5" s="68">
        <v>61500</v>
      </c>
      <c r="AY5" s="68">
        <v>20570</v>
      </c>
      <c r="AZ5" s="78">
        <v>0</v>
      </c>
      <c r="BA5" s="78">
        <v>0</v>
      </c>
      <c r="BB5" s="78">
        <v>0</v>
      </c>
      <c r="BC5" s="78">
        <v>0</v>
      </c>
      <c r="BD5" s="79">
        <f>SUM(AX5:BB5)</f>
        <v>82070</v>
      </c>
      <c r="BE5" s="51">
        <v>1</v>
      </c>
      <c r="BF5" s="80">
        <f>BC5+BD5</f>
        <v>82070</v>
      </c>
      <c r="BG5" s="81">
        <f t="shared" ref="BG5:BG35" si="16">BD5+AL5</f>
        <v>141220</v>
      </c>
      <c r="BO5" s="287">
        <f>D5</f>
        <v>1</v>
      </c>
      <c r="BP5" s="54">
        <f>E5</f>
        <v>2</v>
      </c>
      <c r="BQ5" s="68">
        <f>F5</f>
        <v>12000</v>
      </c>
      <c r="BR5" s="56">
        <f t="shared" ref="BR5:BR35" si="17">ROUNDDOWN(BQ5/1.1,0)/BP5</f>
        <v>5454.5</v>
      </c>
      <c r="BS5" s="68">
        <f>H5</f>
        <v>1980</v>
      </c>
      <c r="BT5" s="57">
        <f t="shared" ref="BT5:BT35" si="18">ROUNDDOWN(BS5/1.1,0)/BP5</f>
        <v>900</v>
      </c>
      <c r="BU5" s="58">
        <f>BQ5+BS5</f>
        <v>13980</v>
      </c>
      <c r="BV5" s="59">
        <f t="shared" ref="BV5:BV35" si="19">IF(BP5="","",BU5/BP5)</f>
        <v>6990</v>
      </c>
      <c r="BW5" s="288">
        <f>T5</f>
        <v>3</v>
      </c>
      <c r="BX5" s="68">
        <f>U5</f>
        <v>49500</v>
      </c>
      <c r="BY5" s="56">
        <f t="shared" ref="BY5:BY35" si="20">ROUNDDOWN(BX5/1.1,0)/BW5</f>
        <v>15000</v>
      </c>
      <c r="BZ5" s="68">
        <f>W5</f>
        <v>18590</v>
      </c>
      <c r="CA5" s="57">
        <f t="shared" ref="CA5:CA35" si="21">ROUNDDOWN(BZ5/1.1,0)/BW5</f>
        <v>5633.333333333333</v>
      </c>
      <c r="CB5" s="289">
        <f>BX5+BZ5</f>
        <v>68090</v>
      </c>
      <c r="CC5" s="290" t="e">
        <v>#DIV/0!</v>
      </c>
      <c r="CD5" s="291">
        <f>BP5+BW5</f>
        <v>5</v>
      </c>
      <c r="CE5" s="68">
        <f>BQ5+BX5</f>
        <v>61500</v>
      </c>
      <c r="CF5" s="57">
        <f>ROUNDDOWN(CE5/1.1,0)/CD5</f>
        <v>11181.8</v>
      </c>
      <c r="CG5" s="68">
        <f>BS5+BZ5</f>
        <v>20570</v>
      </c>
      <c r="CH5" s="57">
        <f>ROUNDDOWN(CG5/1.1,0)/CD5</f>
        <v>3740</v>
      </c>
      <c r="CI5" s="292">
        <f>CE5+CG5</f>
        <v>82070</v>
      </c>
      <c r="CJ5" s="293">
        <f>IF(CD5="","",CI5/CD5)</f>
        <v>16414</v>
      </c>
    </row>
    <row r="6" spans="1:88" ht="13.5" customHeight="1">
      <c r="A6" s="51"/>
      <c r="B6" s="333">
        <f t="shared" ref="B6:B35" si="22">B5+1</f>
        <v>45932</v>
      </c>
      <c r="C6" s="84"/>
      <c r="D6" s="53">
        <v>2</v>
      </c>
      <c r="E6" s="54">
        <v>17</v>
      </c>
      <c r="F6" s="55">
        <v>74800</v>
      </c>
      <c r="G6" s="56">
        <f t="shared" si="0"/>
        <v>4000</v>
      </c>
      <c r="H6" s="55">
        <v>9020</v>
      </c>
      <c r="I6" s="57">
        <f t="shared" si="1"/>
        <v>482.35294117647061</v>
      </c>
      <c r="J6" s="58">
        <f t="shared" si="2"/>
        <v>83820</v>
      </c>
      <c r="K6" s="59">
        <f t="shared" si="3"/>
        <v>4930.588235294118</v>
      </c>
      <c r="L6" s="85"/>
      <c r="M6" s="86"/>
      <c r="N6" s="87"/>
      <c r="O6" s="88" t="e">
        <f t="shared" si="4"/>
        <v>#DIV/0!</v>
      </c>
      <c r="P6" s="87"/>
      <c r="Q6" s="89" t="e">
        <f t="shared" si="5"/>
        <v>#DIV/0!</v>
      </c>
      <c r="R6" s="90">
        <f>N6+P6</f>
        <v>0</v>
      </c>
      <c r="S6" s="91" t="str">
        <f t="shared" si="7"/>
        <v/>
      </c>
      <c r="T6" s="67">
        <f t="shared" ref="T6:T35" si="23">AW6-M6-E6</f>
        <v>4</v>
      </c>
      <c r="U6" s="68">
        <f t="shared" ref="U6:U35" si="24">AX6-(F6+N6)</f>
        <v>48580</v>
      </c>
      <c r="V6" s="56">
        <f t="shared" si="8"/>
        <v>11040.75</v>
      </c>
      <c r="W6" s="68">
        <f t="shared" ref="W6:W35" si="25">AY6-H6-P6</f>
        <v>7260</v>
      </c>
      <c r="X6" s="57">
        <f t="shared" si="9"/>
        <v>1650</v>
      </c>
      <c r="Y6" s="92">
        <f t="shared" ref="Y6:Y35" si="26">U6+W6</f>
        <v>55840</v>
      </c>
      <c r="Z6" s="70">
        <f t="shared" si="10"/>
        <v>13960</v>
      </c>
      <c r="AA6" s="71">
        <f t="shared" ref="AA6:AB35" si="27">E6+T6+M6</f>
        <v>21</v>
      </c>
      <c r="AB6" s="68">
        <f t="shared" si="27"/>
        <v>123380</v>
      </c>
      <c r="AC6" s="68">
        <f t="shared" ref="AC6:AC35" si="28">H6+W6+P6</f>
        <v>16280</v>
      </c>
      <c r="AD6" s="72">
        <f>J6+Y6+R6</f>
        <v>139660</v>
      </c>
      <c r="AE6" s="68">
        <f t="shared" ref="AE6:AE35" si="29">IF(AA6="","",AD6/AA6)</f>
        <v>6650.4761904761908</v>
      </c>
      <c r="AF6" s="73">
        <v>60</v>
      </c>
      <c r="AG6" s="74">
        <v>62</v>
      </c>
      <c r="AH6" s="55">
        <v>85850</v>
      </c>
      <c r="AI6" s="56">
        <f t="shared" si="12"/>
        <v>1384.6774193548388</v>
      </c>
      <c r="AJ6" s="55">
        <v>5800</v>
      </c>
      <c r="AK6" s="57">
        <f t="shared" si="13"/>
        <v>93.548387096774192</v>
      </c>
      <c r="AL6" s="93">
        <f t="shared" ref="AL6:AL35" si="30">AH6+AJ6</f>
        <v>91650</v>
      </c>
      <c r="AM6" s="76">
        <f t="shared" si="14"/>
        <v>1478.2258064516129</v>
      </c>
      <c r="AN6" s="339">
        <v>0</v>
      </c>
      <c r="AO6" s="337">
        <v>0</v>
      </c>
      <c r="AP6" s="339"/>
      <c r="AQ6" s="337"/>
      <c r="AR6" s="71">
        <f t="shared" ref="AR6:AR35" si="31">SUM(E6,T6)</f>
        <v>21</v>
      </c>
      <c r="AS6" s="68">
        <f t="shared" ref="AS6:AS35" si="32">AB6+AH6</f>
        <v>209230</v>
      </c>
      <c r="AT6" s="68">
        <f t="shared" si="15"/>
        <v>22080</v>
      </c>
      <c r="AU6" s="77">
        <f t="shared" ref="AU6:AU35" si="33">AD6+AL6</f>
        <v>231310</v>
      </c>
      <c r="AV6" s="68">
        <f>AZ6+BA6+BB6</f>
        <v>0</v>
      </c>
      <c r="AW6" s="94">
        <v>21</v>
      </c>
      <c r="AX6" s="94">
        <v>123380</v>
      </c>
      <c r="AY6" s="94">
        <v>16280</v>
      </c>
      <c r="AZ6" s="95">
        <v>0</v>
      </c>
      <c r="BA6" s="95">
        <v>0</v>
      </c>
      <c r="BB6" s="95">
        <v>0</v>
      </c>
      <c r="BC6" s="95">
        <v>0</v>
      </c>
      <c r="BD6" s="96">
        <f t="shared" ref="BD6:BD31" si="34">SUM(AX6:BB6)</f>
        <v>139660</v>
      </c>
      <c r="BE6" s="51">
        <v>2</v>
      </c>
      <c r="BF6" s="80">
        <f t="shared" ref="BF6:BF35" si="35">BC6+BD6</f>
        <v>139660</v>
      </c>
      <c r="BG6" s="81">
        <f t="shared" si="16"/>
        <v>231310</v>
      </c>
      <c r="BO6" s="287">
        <f t="shared" ref="BO6:BQ35" si="36">D6</f>
        <v>2</v>
      </c>
      <c r="BP6" s="54">
        <f t="shared" si="36"/>
        <v>17</v>
      </c>
      <c r="BQ6" s="68">
        <f t="shared" si="36"/>
        <v>74800</v>
      </c>
      <c r="BR6" s="56">
        <f t="shared" si="17"/>
        <v>4000</v>
      </c>
      <c r="BS6" s="68">
        <f t="shared" ref="BS6:BS35" si="37">H6</f>
        <v>9020</v>
      </c>
      <c r="BT6" s="57">
        <f t="shared" si="18"/>
        <v>482.35294117647061</v>
      </c>
      <c r="BU6" s="58">
        <f t="shared" ref="BU6:BU35" si="38">BQ6+BS6</f>
        <v>83820</v>
      </c>
      <c r="BV6" s="59">
        <f t="shared" si="19"/>
        <v>4930.588235294118</v>
      </c>
      <c r="BW6" s="288">
        <f t="shared" ref="BW6:BX35" si="39">T6</f>
        <v>4</v>
      </c>
      <c r="BX6" s="68">
        <f t="shared" si="39"/>
        <v>48580</v>
      </c>
      <c r="BY6" s="56">
        <f t="shared" si="20"/>
        <v>11040.75</v>
      </c>
      <c r="BZ6" s="68">
        <f t="shared" ref="BZ6:BZ35" si="40">W6</f>
        <v>7260</v>
      </c>
      <c r="CA6" s="57">
        <f t="shared" si="21"/>
        <v>1650</v>
      </c>
      <c r="CB6" s="289">
        <f t="shared" ref="CB6:CB35" si="41">BX6+BZ6</f>
        <v>55840</v>
      </c>
      <c r="CC6" s="290" t="e">
        <v>#DIV/0!</v>
      </c>
      <c r="CD6" s="291">
        <f t="shared" ref="CD6:CE35" si="42">BP6+BW6</f>
        <v>21</v>
      </c>
      <c r="CE6" s="68">
        <f t="shared" si="42"/>
        <v>123380</v>
      </c>
      <c r="CF6" s="57">
        <f t="shared" ref="CF6:CF35" si="43">ROUNDDOWN(CE6/1.1,0)/CD6</f>
        <v>5341.0952380952385</v>
      </c>
      <c r="CG6" s="68">
        <f t="shared" ref="CG6:CG35" si="44">BS6+BZ6</f>
        <v>16280</v>
      </c>
      <c r="CH6" s="57">
        <f t="shared" ref="CH6:CH35" si="45">ROUNDDOWN(CG6/1.1,0)/CD6</f>
        <v>704.76190476190482</v>
      </c>
      <c r="CI6" s="292">
        <f t="shared" ref="CI6:CI35" si="46">CE6+CG6</f>
        <v>139660</v>
      </c>
      <c r="CJ6" s="293">
        <f t="shared" ref="CJ6:CJ35" si="47">IF(CD6="","",CI6/CD6)</f>
        <v>6650.4761904761908</v>
      </c>
    </row>
    <row r="7" spans="1:88" ht="13.5" customHeight="1">
      <c r="A7" s="51"/>
      <c r="B7" s="333">
        <f t="shared" si="22"/>
        <v>45933</v>
      </c>
      <c r="C7" s="84"/>
      <c r="D7" s="53">
        <v>2</v>
      </c>
      <c r="E7" s="54">
        <v>5</v>
      </c>
      <c r="F7" s="55">
        <v>25200</v>
      </c>
      <c r="G7" s="56">
        <f t="shared" si="0"/>
        <v>4581.8</v>
      </c>
      <c r="H7" s="55">
        <v>6270</v>
      </c>
      <c r="I7" s="57">
        <f t="shared" si="1"/>
        <v>1140</v>
      </c>
      <c r="J7" s="58">
        <f t="shared" si="2"/>
        <v>31470</v>
      </c>
      <c r="K7" s="59">
        <f t="shared" si="3"/>
        <v>6294</v>
      </c>
      <c r="L7" s="85"/>
      <c r="M7" s="86"/>
      <c r="N7" s="87"/>
      <c r="O7" s="88" t="e">
        <f t="shared" si="4"/>
        <v>#DIV/0!</v>
      </c>
      <c r="P7" s="87"/>
      <c r="Q7" s="89" t="e">
        <f t="shared" si="5"/>
        <v>#DIV/0!</v>
      </c>
      <c r="R7" s="90">
        <f t="shared" ref="R7:R35" si="48">N7+P7</f>
        <v>0</v>
      </c>
      <c r="S7" s="91" t="str">
        <f t="shared" si="7"/>
        <v/>
      </c>
      <c r="T7" s="67">
        <f t="shared" si="23"/>
        <v>2</v>
      </c>
      <c r="U7" s="68">
        <f t="shared" si="24"/>
        <v>33660</v>
      </c>
      <c r="V7" s="56">
        <f t="shared" si="8"/>
        <v>15300</v>
      </c>
      <c r="W7" s="68">
        <f t="shared" si="25"/>
        <v>18810</v>
      </c>
      <c r="X7" s="57">
        <f t="shared" si="9"/>
        <v>8550</v>
      </c>
      <c r="Y7" s="92">
        <f t="shared" si="26"/>
        <v>52470</v>
      </c>
      <c r="Z7" s="70">
        <f t="shared" si="10"/>
        <v>26235</v>
      </c>
      <c r="AA7" s="71">
        <f t="shared" si="27"/>
        <v>7</v>
      </c>
      <c r="AB7" s="68">
        <f t="shared" si="27"/>
        <v>58860</v>
      </c>
      <c r="AC7" s="68">
        <f t="shared" si="28"/>
        <v>25080</v>
      </c>
      <c r="AD7" s="72">
        <f t="shared" ref="AD7:AD34" si="49">J7+Y7+R7</f>
        <v>83940</v>
      </c>
      <c r="AE7" s="68">
        <f t="shared" si="29"/>
        <v>11991.428571428571</v>
      </c>
      <c r="AF7" s="73">
        <v>140</v>
      </c>
      <c r="AG7" s="74">
        <v>145</v>
      </c>
      <c r="AH7" s="55">
        <v>122600</v>
      </c>
      <c r="AI7" s="56">
        <f t="shared" si="12"/>
        <v>845.51724137931035</v>
      </c>
      <c r="AJ7" s="55">
        <v>35000</v>
      </c>
      <c r="AK7" s="57">
        <f t="shared" si="13"/>
        <v>241.37931034482759</v>
      </c>
      <c r="AL7" s="93">
        <f t="shared" si="30"/>
        <v>157600</v>
      </c>
      <c r="AM7" s="76">
        <f t="shared" si="14"/>
        <v>1086.8965517241379</v>
      </c>
      <c r="AN7" s="339">
        <v>1</v>
      </c>
      <c r="AO7" s="337">
        <v>2</v>
      </c>
      <c r="AP7" s="339"/>
      <c r="AQ7" s="337"/>
      <c r="AR7" s="71">
        <f t="shared" si="31"/>
        <v>7</v>
      </c>
      <c r="AS7" s="68">
        <f t="shared" si="32"/>
        <v>181460</v>
      </c>
      <c r="AT7" s="68">
        <f t="shared" si="15"/>
        <v>60080</v>
      </c>
      <c r="AU7" s="77">
        <f t="shared" si="33"/>
        <v>241540</v>
      </c>
      <c r="AV7" s="68">
        <f t="shared" ref="AV7:AV35" si="50">AZ7+BA7+BB7</f>
        <v>0</v>
      </c>
      <c r="AW7" s="94">
        <v>7</v>
      </c>
      <c r="AX7" s="94">
        <v>58860</v>
      </c>
      <c r="AY7" s="94">
        <v>25080</v>
      </c>
      <c r="AZ7" s="95">
        <v>0</v>
      </c>
      <c r="BA7" s="95">
        <v>0</v>
      </c>
      <c r="BB7" s="95">
        <v>0</v>
      </c>
      <c r="BC7" s="95">
        <v>0</v>
      </c>
      <c r="BD7" s="96">
        <f t="shared" si="34"/>
        <v>83940</v>
      </c>
      <c r="BE7" s="51">
        <v>3</v>
      </c>
      <c r="BF7" s="80">
        <f t="shared" si="35"/>
        <v>83940</v>
      </c>
      <c r="BG7" s="81">
        <f t="shared" si="16"/>
        <v>241540</v>
      </c>
      <c r="BO7" s="287">
        <f t="shared" si="36"/>
        <v>2</v>
      </c>
      <c r="BP7" s="54">
        <f t="shared" si="36"/>
        <v>5</v>
      </c>
      <c r="BQ7" s="68">
        <f t="shared" si="36"/>
        <v>25200</v>
      </c>
      <c r="BR7" s="56">
        <f t="shared" si="17"/>
        <v>4581.8</v>
      </c>
      <c r="BS7" s="68">
        <f t="shared" si="37"/>
        <v>6270</v>
      </c>
      <c r="BT7" s="57">
        <f t="shared" si="18"/>
        <v>1140</v>
      </c>
      <c r="BU7" s="58">
        <f t="shared" si="38"/>
        <v>31470</v>
      </c>
      <c r="BV7" s="59">
        <f t="shared" si="19"/>
        <v>6294</v>
      </c>
      <c r="BW7" s="288">
        <f t="shared" si="39"/>
        <v>2</v>
      </c>
      <c r="BX7" s="68">
        <f t="shared" si="39"/>
        <v>33660</v>
      </c>
      <c r="BY7" s="56">
        <f t="shared" si="20"/>
        <v>15300</v>
      </c>
      <c r="BZ7" s="68">
        <f t="shared" si="40"/>
        <v>18810</v>
      </c>
      <c r="CA7" s="57">
        <f t="shared" si="21"/>
        <v>8550</v>
      </c>
      <c r="CB7" s="289">
        <f t="shared" si="41"/>
        <v>52470</v>
      </c>
      <c r="CC7" s="290" t="e">
        <v>#DIV/0!</v>
      </c>
      <c r="CD7" s="291">
        <f>BP7+BW7</f>
        <v>7</v>
      </c>
      <c r="CE7" s="68">
        <f t="shared" si="42"/>
        <v>58860</v>
      </c>
      <c r="CF7" s="57">
        <f t="shared" si="43"/>
        <v>7644.1428571428569</v>
      </c>
      <c r="CG7" s="68">
        <f t="shared" si="44"/>
        <v>25080</v>
      </c>
      <c r="CH7" s="57">
        <f t="shared" si="45"/>
        <v>3257.1428571428573</v>
      </c>
      <c r="CI7" s="292">
        <f t="shared" si="46"/>
        <v>83940</v>
      </c>
      <c r="CJ7" s="293">
        <f t="shared" si="47"/>
        <v>11991.428571428571</v>
      </c>
    </row>
    <row r="8" spans="1:88" ht="13.5" customHeight="1">
      <c r="A8" s="51"/>
      <c r="B8" s="347">
        <f t="shared" si="22"/>
        <v>45934</v>
      </c>
      <c r="C8" s="84"/>
      <c r="D8" s="53">
        <v>6</v>
      </c>
      <c r="E8" s="54">
        <v>12</v>
      </c>
      <c r="F8" s="55">
        <v>91600</v>
      </c>
      <c r="G8" s="56">
        <f t="shared" si="0"/>
        <v>6939.333333333333</v>
      </c>
      <c r="H8" s="55">
        <v>21560</v>
      </c>
      <c r="I8" s="57">
        <f t="shared" si="1"/>
        <v>1633.3333333333333</v>
      </c>
      <c r="J8" s="58">
        <f t="shared" si="2"/>
        <v>113160</v>
      </c>
      <c r="K8" s="59">
        <f t="shared" si="3"/>
        <v>9430</v>
      </c>
      <c r="L8" s="85">
        <v>1</v>
      </c>
      <c r="M8" s="86">
        <v>1</v>
      </c>
      <c r="N8" s="87">
        <v>3850</v>
      </c>
      <c r="O8" s="88">
        <f t="shared" si="4"/>
        <v>3850</v>
      </c>
      <c r="P8" s="87">
        <v>550</v>
      </c>
      <c r="Q8" s="89">
        <f t="shared" si="5"/>
        <v>550</v>
      </c>
      <c r="R8" s="90">
        <f t="shared" si="48"/>
        <v>4400</v>
      </c>
      <c r="S8" s="91">
        <f t="shared" si="7"/>
        <v>4400</v>
      </c>
      <c r="T8" s="67">
        <f t="shared" si="23"/>
        <v>13</v>
      </c>
      <c r="U8" s="68">
        <f t="shared" si="24"/>
        <v>200400</v>
      </c>
      <c r="V8" s="56">
        <f t="shared" si="8"/>
        <v>14013.923076923076</v>
      </c>
      <c r="W8" s="68">
        <f t="shared" si="25"/>
        <v>36850</v>
      </c>
      <c r="X8" s="57">
        <f t="shared" si="9"/>
        <v>2576.9230769230771</v>
      </c>
      <c r="Y8" s="92">
        <f t="shared" si="26"/>
        <v>237250</v>
      </c>
      <c r="Z8" s="70">
        <f t="shared" si="10"/>
        <v>18250</v>
      </c>
      <c r="AA8" s="71">
        <f t="shared" si="27"/>
        <v>26</v>
      </c>
      <c r="AB8" s="68">
        <f t="shared" si="27"/>
        <v>295850</v>
      </c>
      <c r="AC8" s="68">
        <f t="shared" si="28"/>
        <v>58960</v>
      </c>
      <c r="AD8" s="72">
        <f t="shared" si="49"/>
        <v>354810</v>
      </c>
      <c r="AE8" s="68">
        <f t="shared" si="29"/>
        <v>13646.538461538461</v>
      </c>
      <c r="AF8" s="73">
        <v>89</v>
      </c>
      <c r="AG8" s="74">
        <v>103</v>
      </c>
      <c r="AH8" s="55">
        <v>127860</v>
      </c>
      <c r="AI8" s="56">
        <f t="shared" si="12"/>
        <v>1241.3592233009708</v>
      </c>
      <c r="AJ8" s="55">
        <v>16600</v>
      </c>
      <c r="AK8" s="57">
        <f t="shared" si="13"/>
        <v>161.16504854368932</v>
      </c>
      <c r="AL8" s="93">
        <f t="shared" si="30"/>
        <v>144460</v>
      </c>
      <c r="AM8" s="76">
        <f t="shared" si="14"/>
        <v>1402.5242718446602</v>
      </c>
      <c r="AN8" s="339">
        <v>1</v>
      </c>
      <c r="AO8" s="337">
        <v>1</v>
      </c>
      <c r="AP8" s="339"/>
      <c r="AQ8" s="337"/>
      <c r="AR8" s="71">
        <f t="shared" si="31"/>
        <v>25</v>
      </c>
      <c r="AS8" s="68">
        <f t="shared" si="32"/>
        <v>423710</v>
      </c>
      <c r="AT8" s="68">
        <f t="shared" si="15"/>
        <v>75560</v>
      </c>
      <c r="AU8" s="98">
        <f t="shared" si="33"/>
        <v>499270</v>
      </c>
      <c r="AV8" s="68">
        <f t="shared" si="50"/>
        <v>0</v>
      </c>
      <c r="AW8" s="94">
        <v>26</v>
      </c>
      <c r="AX8" s="94">
        <v>295850</v>
      </c>
      <c r="AY8" s="94">
        <v>58960</v>
      </c>
      <c r="AZ8" s="95">
        <v>0</v>
      </c>
      <c r="BA8" s="95">
        <v>0</v>
      </c>
      <c r="BB8" s="95">
        <v>0</v>
      </c>
      <c r="BC8" s="95">
        <v>0</v>
      </c>
      <c r="BD8" s="96">
        <f t="shared" si="34"/>
        <v>354810</v>
      </c>
      <c r="BE8" s="51">
        <v>4</v>
      </c>
      <c r="BF8" s="80">
        <f t="shared" si="35"/>
        <v>354810</v>
      </c>
      <c r="BG8" s="81">
        <f t="shared" si="16"/>
        <v>499270</v>
      </c>
      <c r="BO8" s="287">
        <f t="shared" si="36"/>
        <v>6</v>
      </c>
      <c r="BP8" s="54">
        <f t="shared" si="36"/>
        <v>12</v>
      </c>
      <c r="BQ8" s="68">
        <f t="shared" si="36"/>
        <v>91600</v>
      </c>
      <c r="BR8" s="56">
        <f t="shared" si="17"/>
        <v>6939.333333333333</v>
      </c>
      <c r="BS8" s="68">
        <f t="shared" si="37"/>
        <v>21560</v>
      </c>
      <c r="BT8" s="57">
        <f t="shared" si="18"/>
        <v>1633.3333333333333</v>
      </c>
      <c r="BU8" s="58">
        <f t="shared" si="38"/>
        <v>113160</v>
      </c>
      <c r="BV8" s="59">
        <f t="shared" si="19"/>
        <v>9430</v>
      </c>
      <c r="BW8" s="288">
        <f t="shared" si="39"/>
        <v>13</v>
      </c>
      <c r="BX8" s="68">
        <f t="shared" si="39"/>
        <v>200400</v>
      </c>
      <c r="BY8" s="56">
        <f t="shared" si="20"/>
        <v>14013.923076923076</v>
      </c>
      <c r="BZ8" s="68">
        <f t="shared" si="40"/>
        <v>36850</v>
      </c>
      <c r="CA8" s="57">
        <f t="shared" si="21"/>
        <v>2576.9230769230771</v>
      </c>
      <c r="CB8" s="289">
        <f t="shared" si="41"/>
        <v>237250</v>
      </c>
      <c r="CC8" s="290" t="e">
        <v>#DIV/0!</v>
      </c>
      <c r="CD8" s="291">
        <f t="shared" si="42"/>
        <v>25</v>
      </c>
      <c r="CE8" s="68">
        <f t="shared" si="42"/>
        <v>292000</v>
      </c>
      <c r="CF8" s="57">
        <f t="shared" si="43"/>
        <v>10618.16</v>
      </c>
      <c r="CG8" s="68">
        <f t="shared" si="44"/>
        <v>58410</v>
      </c>
      <c r="CH8" s="57">
        <f t="shared" si="45"/>
        <v>2124</v>
      </c>
      <c r="CI8" s="292">
        <f t="shared" si="46"/>
        <v>350410</v>
      </c>
      <c r="CJ8" s="293">
        <f t="shared" si="47"/>
        <v>14016.4</v>
      </c>
    </row>
    <row r="9" spans="1:88" ht="13.5" customHeight="1">
      <c r="A9" s="51"/>
      <c r="B9" s="97">
        <f t="shared" si="22"/>
        <v>45935</v>
      </c>
      <c r="C9" s="84"/>
      <c r="D9" s="53">
        <v>0</v>
      </c>
      <c r="E9" s="54">
        <v>0</v>
      </c>
      <c r="F9" s="55">
        <v>0</v>
      </c>
      <c r="G9" s="56" t="e">
        <f t="shared" si="0"/>
        <v>#DIV/0!</v>
      </c>
      <c r="H9" s="55">
        <v>0</v>
      </c>
      <c r="I9" s="57" t="e">
        <f t="shared" si="1"/>
        <v>#DIV/0!</v>
      </c>
      <c r="J9" s="58">
        <f t="shared" si="2"/>
        <v>0</v>
      </c>
      <c r="K9" s="59" t="e">
        <f t="shared" si="3"/>
        <v>#DIV/0!</v>
      </c>
      <c r="L9" s="85">
        <v>1</v>
      </c>
      <c r="M9" s="86">
        <v>2</v>
      </c>
      <c r="N9" s="87">
        <v>7700</v>
      </c>
      <c r="O9" s="88">
        <f t="shared" si="4"/>
        <v>3850</v>
      </c>
      <c r="P9" s="87">
        <v>1100</v>
      </c>
      <c r="Q9" s="89">
        <f t="shared" si="5"/>
        <v>550</v>
      </c>
      <c r="R9" s="90">
        <f t="shared" si="48"/>
        <v>8800</v>
      </c>
      <c r="S9" s="91">
        <f t="shared" si="7"/>
        <v>4400</v>
      </c>
      <c r="T9" s="67">
        <f t="shared" si="23"/>
        <v>7</v>
      </c>
      <c r="U9" s="68">
        <f t="shared" si="24"/>
        <v>99750</v>
      </c>
      <c r="V9" s="56">
        <f t="shared" si="8"/>
        <v>12954.428571428571</v>
      </c>
      <c r="W9" s="68">
        <f t="shared" si="25"/>
        <v>12210</v>
      </c>
      <c r="X9" s="57">
        <f t="shared" si="9"/>
        <v>1585.7142857142858</v>
      </c>
      <c r="Y9" s="92">
        <f t="shared" si="26"/>
        <v>111960</v>
      </c>
      <c r="Z9" s="70">
        <f t="shared" si="10"/>
        <v>15994.285714285714</v>
      </c>
      <c r="AA9" s="71">
        <f t="shared" si="27"/>
        <v>9</v>
      </c>
      <c r="AB9" s="68">
        <f t="shared" si="27"/>
        <v>107450</v>
      </c>
      <c r="AC9" s="68">
        <f t="shared" si="28"/>
        <v>13310</v>
      </c>
      <c r="AD9" s="72">
        <f t="shared" si="49"/>
        <v>120760</v>
      </c>
      <c r="AE9" s="68">
        <f t="shared" si="29"/>
        <v>13417.777777777777</v>
      </c>
      <c r="AF9" s="73">
        <v>83</v>
      </c>
      <c r="AG9" s="74">
        <v>90</v>
      </c>
      <c r="AH9" s="55">
        <v>106730</v>
      </c>
      <c r="AI9" s="56">
        <f t="shared" si="12"/>
        <v>1185.8888888888889</v>
      </c>
      <c r="AJ9" s="55">
        <v>9600</v>
      </c>
      <c r="AK9" s="57">
        <f t="shared" si="13"/>
        <v>106.66666666666667</v>
      </c>
      <c r="AL9" s="93">
        <f t="shared" si="30"/>
        <v>116330</v>
      </c>
      <c r="AM9" s="76">
        <f t="shared" si="14"/>
        <v>1292.5555555555557</v>
      </c>
      <c r="AN9" s="339">
        <v>1</v>
      </c>
      <c r="AO9" s="337">
        <v>1</v>
      </c>
      <c r="AP9" s="339"/>
      <c r="AQ9" s="337"/>
      <c r="AR9" s="71">
        <f t="shared" si="31"/>
        <v>7</v>
      </c>
      <c r="AS9" s="68">
        <f t="shared" si="32"/>
        <v>214180</v>
      </c>
      <c r="AT9" s="68">
        <f t="shared" si="15"/>
        <v>22910</v>
      </c>
      <c r="AU9" s="77">
        <f t="shared" si="33"/>
        <v>237090</v>
      </c>
      <c r="AV9" s="68">
        <f t="shared" si="50"/>
        <v>0</v>
      </c>
      <c r="AW9" s="94">
        <v>9</v>
      </c>
      <c r="AX9" s="94">
        <v>107450</v>
      </c>
      <c r="AY9" s="94">
        <v>13310</v>
      </c>
      <c r="AZ9" s="95">
        <v>0</v>
      </c>
      <c r="BA9" s="95">
        <v>0</v>
      </c>
      <c r="BB9" s="95">
        <v>0</v>
      </c>
      <c r="BC9" s="95">
        <v>0</v>
      </c>
      <c r="BD9" s="96">
        <f t="shared" si="34"/>
        <v>120760</v>
      </c>
      <c r="BE9" s="51">
        <v>5</v>
      </c>
      <c r="BF9" s="80">
        <f t="shared" si="35"/>
        <v>120760</v>
      </c>
      <c r="BG9" s="81">
        <f t="shared" si="16"/>
        <v>237090</v>
      </c>
      <c r="BO9" s="287">
        <f t="shared" si="36"/>
        <v>0</v>
      </c>
      <c r="BP9" s="54">
        <f t="shared" si="36"/>
        <v>0</v>
      </c>
      <c r="BQ9" s="68">
        <f t="shared" si="36"/>
        <v>0</v>
      </c>
      <c r="BR9" s="56" t="e">
        <f t="shared" si="17"/>
        <v>#DIV/0!</v>
      </c>
      <c r="BS9" s="68">
        <f t="shared" si="37"/>
        <v>0</v>
      </c>
      <c r="BT9" s="57" t="e">
        <f t="shared" si="18"/>
        <v>#DIV/0!</v>
      </c>
      <c r="BU9" s="58">
        <f t="shared" si="38"/>
        <v>0</v>
      </c>
      <c r="BV9" s="59" t="e">
        <f t="shared" si="19"/>
        <v>#DIV/0!</v>
      </c>
      <c r="BW9" s="288">
        <f t="shared" si="39"/>
        <v>7</v>
      </c>
      <c r="BX9" s="68">
        <f t="shared" si="39"/>
        <v>99750</v>
      </c>
      <c r="BY9" s="56">
        <f t="shared" si="20"/>
        <v>12954.428571428571</v>
      </c>
      <c r="BZ9" s="68">
        <f t="shared" si="40"/>
        <v>12210</v>
      </c>
      <c r="CA9" s="57">
        <f t="shared" si="21"/>
        <v>1585.7142857142858</v>
      </c>
      <c r="CB9" s="289">
        <f t="shared" si="41"/>
        <v>111960</v>
      </c>
      <c r="CC9" s="290" t="e">
        <v>#DIV/0!</v>
      </c>
      <c r="CD9" s="291">
        <f t="shared" si="42"/>
        <v>7</v>
      </c>
      <c r="CE9" s="68">
        <f t="shared" si="42"/>
        <v>99750</v>
      </c>
      <c r="CF9" s="57">
        <f t="shared" si="43"/>
        <v>12954.428571428571</v>
      </c>
      <c r="CG9" s="68">
        <f t="shared" si="44"/>
        <v>12210</v>
      </c>
      <c r="CH9" s="57">
        <f t="shared" si="45"/>
        <v>1585.7142857142858</v>
      </c>
      <c r="CI9" s="292">
        <f t="shared" si="46"/>
        <v>111960</v>
      </c>
      <c r="CJ9" s="293">
        <f t="shared" si="47"/>
        <v>15994.285714285714</v>
      </c>
    </row>
    <row r="10" spans="1:88" ht="13.5" customHeight="1">
      <c r="A10" s="51"/>
      <c r="B10" s="333">
        <f t="shared" si="22"/>
        <v>45936</v>
      </c>
      <c r="C10" s="84"/>
      <c r="D10" s="53">
        <v>3</v>
      </c>
      <c r="E10" s="54">
        <v>6</v>
      </c>
      <c r="F10" s="55">
        <v>32800</v>
      </c>
      <c r="G10" s="56">
        <f t="shared" si="0"/>
        <v>4969.666666666667</v>
      </c>
      <c r="H10" s="55">
        <v>16720</v>
      </c>
      <c r="I10" s="57">
        <f t="shared" si="1"/>
        <v>2533.3333333333335</v>
      </c>
      <c r="J10" s="58">
        <f t="shared" si="2"/>
        <v>49520</v>
      </c>
      <c r="K10" s="59">
        <f t="shared" si="3"/>
        <v>8253.3333333333339</v>
      </c>
      <c r="L10" s="85"/>
      <c r="M10" s="86"/>
      <c r="N10" s="87"/>
      <c r="O10" s="88" t="e">
        <f t="shared" si="4"/>
        <v>#DIV/0!</v>
      </c>
      <c r="P10" s="87"/>
      <c r="Q10" s="89" t="e">
        <f t="shared" si="5"/>
        <v>#DIV/0!</v>
      </c>
      <c r="R10" s="90">
        <f t="shared" si="48"/>
        <v>0</v>
      </c>
      <c r="S10" s="91" t="str">
        <f t="shared" si="7"/>
        <v/>
      </c>
      <c r="T10" s="67">
        <f t="shared" si="23"/>
        <v>2</v>
      </c>
      <c r="U10" s="68">
        <f t="shared" si="24"/>
        <v>33550</v>
      </c>
      <c r="V10" s="56">
        <f t="shared" si="8"/>
        <v>15250</v>
      </c>
      <c r="W10" s="68">
        <f t="shared" si="25"/>
        <v>11110</v>
      </c>
      <c r="X10" s="57">
        <f t="shared" si="9"/>
        <v>5050</v>
      </c>
      <c r="Y10" s="92">
        <f t="shared" si="26"/>
        <v>44660</v>
      </c>
      <c r="Z10" s="70">
        <f t="shared" si="10"/>
        <v>22330</v>
      </c>
      <c r="AA10" s="71">
        <f t="shared" si="27"/>
        <v>8</v>
      </c>
      <c r="AB10" s="68">
        <f t="shared" si="27"/>
        <v>66350</v>
      </c>
      <c r="AC10" s="68">
        <f t="shared" si="28"/>
        <v>27830</v>
      </c>
      <c r="AD10" s="72">
        <f t="shared" si="49"/>
        <v>94180</v>
      </c>
      <c r="AE10" s="68">
        <f t="shared" si="29"/>
        <v>11772.5</v>
      </c>
      <c r="AF10" s="73">
        <v>64</v>
      </c>
      <c r="AG10" s="74">
        <v>69</v>
      </c>
      <c r="AH10" s="55">
        <v>87800</v>
      </c>
      <c r="AI10" s="56">
        <f t="shared" si="12"/>
        <v>1272.463768115942</v>
      </c>
      <c r="AJ10" s="55">
        <v>10600</v>
      </c>
      <c r="AK10" s="57">
        <f t="shared" si="13"/>
        <v>153.62318840579709</v>
      </c>
      <c r="AL10" s="93">
        <f t="shared" si="30"/>
        <v>98400</v>
      </c>
      <c r="AM10" s="76">
        <f t="shared" si="14"/>
        <v>1426.0869565217392</v>
      </c>
      <c r="AN10" s="339">
        <v>3</v>
      </c>
      <c r="AO10" s="337">
        <v>4</v>
      </c>
      <c r="AP10" s="339"/>
      <c r="AQ10" s="337"/>
      <c r="AR10" s="99">
        <f t="shared" si="31"/>
        <v>8</v>
      </c>
      <c r="AS10" s="68">
        <f t="shared" si="32"/>
        <v>154150</v>
      </c>
      <c r="AT10" s="68">
        <f t="shared" si="15"/>
        <v>38430</v>
      </c>
      <c r="AU10" s="77">
        <f t="shared" si="33"/>
        <v>192580</v>
      </c>
      <c r="AV10" s="68">
        <f t="shared" si="50"/>
        <v>4400</v>
      </c>
      <c r="AW10" s="94">
        <v>8</v>
      </c>
      <c r="AX10" s="94">
        <v>66350</v>
      </c>
      <c r="AY10" s="94">
        <v>27830</v>
      </c>
      <c r="AZ10" s="95">
        <v>4400</v>
      </c>
      <c r="BA10" s="95">
        <v>0</v>
      </c>
      <c r="BB10" s="95">
        <v>0</v>
      </c>
      <c r="BC10" s="95">
        <v>0</v>
      </c>
      <c r="BD10" s="96">
        <f>SUM(AX10:BB10)</f>
        <v>98580</v>
      </c>
      <c r="BE10" s="51">
        <v>6</v>
      </c>
      <c r="BF10" s="80">
        <f t="shared" si="35"/>
        <v>98580</v>
      </c>
      <c r="BG10" s="81">
        <f t="shared" si="16"/>
        <v>196980</v>
      </c>
      <c r="BO10" s="287">
        <f t="shared" si="36"/>
        <v>3</v>
      </c>
      <c r="BP10" s="54">
        <f t="shared" si="36"/>
        <v>6</v>
      </c>
      <c r="BQ10" s="68">
        <f t="shared" si="36"/>
        <v>32800</v>
      </c>
      <c r="BR10" s="56">
        <f t="shared" si="17"/>
        <v>4969.666666666667</v>
      </c>
      <c r="BS10" s="68">
        <f t="shared" si="37"/>
        <v>16720</v>
      </c>
      <c r="BT10" s="57">
        <f t="shared" si="18"/>
        <v>2533.3333333333335</v>
      </c>
      <c r="BU10" s="58">
        <f t="shared" si="38"/>
        <v>49520</v>
      </c>
      <c r="BV10" s="59">
        <f t="shared" si="19"/>
        <v>8253.3333333333339</v>
      </c>
      <c r="BW10" s="288">
        <f t="shared" si="39"/>
        <v>2</v>
      </c>
      <c r="BX10" s="68">
        <f t="shared" si="39"/>
        <v>33550</v>
      </c>
      <c r="BY10" s="56">
        <f t="shared" si="20"/>
        <v>15250</v>
      </c>
      <c r="BZ10" s="68">
        <f t="shared" si="40"/>
        <v>11110</v>
      </c>
      <c r="CA10" s="57">
        <f t="shared" si="21"/>
        <v>5050</v>
      </c>
      <c r="CB10" s="289">
        <f t="shared" si="41"/>
        <v>44660</v>
      </c>
      <c r="CC10" s="290" t="e">
        <v>#DIV/0!</v>
      </c>
      <c r="CD10" s="291">
        <f t="shared" si="42"/>
        <v>8</v>
      </c>
      <c r="CE10" s="68">
        <f t="shared" si="42"/>
        <v>66350</v>
      </c>
      <c r="CF10" s="57">
        <f t="shared" si="43"/>
        <v>7539.75</v>
      </c>
      <c r="CG10" s="68">
        <f t="shared" si="44"/>
        <v>27830</v>
      </c>
      <c r="CH10" s="57">
        <f t="shared" si="45"/>
        <v>3162.5</v>
      </c>
      <c r="CI10" s="292">
        <f t="shared" si="46"/>
        <v>94180</v>
      </c>
      <c r="CJ10" s="293">
        <f t="shared" si="47"/>
        <v>11772.5</v>
      </c>
    </row>
    <row r="11" spans="1:88" ht="13.5" customHeight="1">
      <c r="A11" s="51"/>
      <c r="B11" s="333">
        <f t="shared" si="22"/>
        <v>45937</v>
      </c>
      <c r="C11" s="84"/>
      <c r="D11" s="53">
        <v>4</v>
      </c>
      <c r="E11" s="54">
        <v>6</v>
      </c>
      <c r="F11" s="55">
        <v>35200</v>
      </c>
      <c r="G11" s="56">
        <f t="shared" si="0"/>
        <v>5333.333333333333</v>
      </c>
      <c r="H11" s="55">
        <v>6930</v>
      </c>
      <c r="I11" s="57">
        <f t="shared" si="1"/>
        <v>1050</v>
      </c>
      <c r="J11" s="58">
        <f t="shared" si="2"/>
        <v>42130</v>
      </c>
      <c r="K11" s="59">
        <f t="shared" si="3"/>
        <v>7021.666666666667</v>
      </c>
      <c r="L11" s="85"/>
      <c r="M11" s="86"/>
      <c r="N11" s="87"/>
      <c r="O11" s="88" t="e">
        <f t="shared" si="4"/>
        <v>#DIV/0!</v>
      </c>
      <c r="P11" s="87"/>
      <c r="Q11" s="89" t="e">
        <f t="shared" si="5"/>
        <v>#DIV/0!</v>
      </c>
      <c r="R11" s="90">
        <f t="shared" si="48"/>
        <v>0</v>
      </c>
      <c r="S11" s="91" t="str">
        <f t="shared" si="7"/>
        <v/>
      </c>
      <c r="T11" s="67">
        <f t="shared" si="23"/>
        <v>3</v>
      </c>
      <c r="U11" s="68">
        <f t="shared" si="24"/>
        <v>52800</v>
      </c>
      <c r="V11" s="56">
        <f t="shared" si="8"/>
        <v>16000</v>
      </c>
      <c r="W11" s="68">
        <f t="shared" si="25"/>
        <v>19800</v>
      </c>
      <c r="X11" s="57">
        <f t="shared" si="9"/>
        <v>6000</v>
      </c>
      <c r="Y11" s="92">
        <f t="shared" si="26"/>
        <v>72600</v>
      </c>
      <c r="Z11" s="70">
        <f t="shared" si="10"/>
        <v>24200</v>
      </c>
      <c r="AA11" s="71">
        <f t="shared" si="27"/>
        <v>9</v>
      </c>
      <c r="AB11" s="68">
        <f t="shared" si="27"/>
        <v>88000</v>
      </c>
      <c r="AC11" s="68">
        <f t="shared" si="28"/>
        <v>26730</v>
      </c>
      <c r="AD11" s="72">
        <f t="shared" si="49"/>
        <v>114730</v>
      </c>
      <c r="AE11" s="68">
        <f t="shared" si="29"/>
        <v>12747.777777777777</v>
      </c>
      <c r="AF11" s="73">
        <v>65</v>
      </c>
      <c r="AG11" s="74">
        <v>66</v>
      </c>
      <c r="AH11" s="55">
        <v>86130</v>
      </c>
      <c r="AI11" s="56">
        <f t="shared" si="12"/>
        <v>1305</v>
      </c>
      <c r="AJ11" s="55">
        <v>7700</v>
      </c>
      <c r="AK11" s="57">
        <f t="shared" si="13"/>
        <v>116.66666666666667</v>
      </c>
      <c r="AL11" s="93">
        <f t="shared" si="30"/>
        <v>93830</v>
      </c>
      <c r="AM11" s="76">
        <f t="shared" si="14"/>
        <v>1421.6666666666667</v>
      </c>
      <c r="AN11" s="339">
        <v>0</v>
      </c>
      <c r="AO11" s="337">
        <v>0</v>
      </c>
      <c r="AP11" s="339"/>
      <c r="AQ11" s="337"/>
      <c r="AR11" s="99">
        <f t="shared" si="31"/>
        <v>9</v>
      </c>
      <c r="AS11" s="68">
        <f t="shared" si="32"/>
        <v>174130</v>
      </c>
      <c r="AT11" s="68">
        <f t="shared" si="15"/>
        <v>34430</v>
      </c>
      <c r="AU11" s="77">
        <f t="shared" si="33"/>
        <v>208560</v>
      </c>
      <c r="AV11" s="68">
        <f t="shared" si="50"/>
        <v>0</v>
      </c>
      <c r="AW11" s="94">
        <v>9</v>
      </c>
      <c r="AX11" s="94">
        <v>88000</v>
      </c>
      <c r="AY11" s="94">
        <v>26730</v>
      </c>
      <c r="AZ11" s="95">
        <v>0</v>
      </c>
      <c r="BA11" s="95">
        <v>0</v>
      </c>
      <c r="BB11" s="95">
        <v>0</v>
      </c>
      <c r="BC11" s="95">
        <v>0</v>
      </c>
      <c r="BD11" s="96">
        <f t="shared" si="34"/>
        <v>114730</v>
      </c>
      <c r="BE11" s="51">
        <v>7</v>
      </c>
      <c r="BF11" s="80">
        <f t="shared" si="35"/>
        <v>114730</v>
      </c>
      <c r="BG11" s="81">
        <f t="shared" si="16"/>
        <v>208560</v>
      </c>
      <c r="BO11" s="287">
        <f t="shared" si="36"/>
        <v>4</v>
      </c>
      <c r="BP11" s="54">
        <f t="shared" si="36"/>
        <v>6</v>
      </c>
      <c r="BQ11" s="68">
        <f t="shared" si="36"/>
        <v>35200</v>
      </c>
      <c r="BR11" s="56">
        <f t="shared" si="17"/>
        <v>5333.333333333333</v>
      </c>
      <c r="BS11" s="68">
        <f t="shared" si="37"/>
        <v>6930</v>
      </c>
      <c r="BT11" s="57">
        <f t="shared" si="18"/>
        <v>1050</v>
      </c>
      <c r="BU11" s="58">
        <f t="shared" si="38"/>
        <v>42130</v>
      </c>
      <c r="BV11" s="59">
        <f t="shared" si="19"/>
        <v>7021.666666666667</v>
      </c>
      <c r="BW11" s="288">
        <f t="shared" si="39"/>
        <v>3</v>
      </c>
      <c r="BX11" s="68">
        <f t="shared" si="39"/>
        <v>52800</v>
      </c>
      <c r="BY11" s="56">
        <f t="shared" si="20"/>
        <v>16000</v>
      </c>
      <c r="BZ11" s="68">
        <f t="shared" si="40"/>
        <v>19800</v>
      </c>
      <c r="CA11" s="57">
        <f t="shared" si="21"/>
        <v>6000</v>
      </c>
      <c r="CB11" s="289">
        <f t="shared" si="41"/>
        <v>72600</v>
      </c>
      <c r="CC11" s="290" t="e">
        <v>#DIV/0!</v>
      </c>
      <c r="CD11" s="291">
        <f t="shared" si="42"/>
        <v>9</v>
      </c>
      <c r="CE11" s="68">
        <f t="shared" si="42"/>
        <v>88000</v>
      </c>
      <c r="CF11" s="57">
        <f t="shared" si="43"/>
        <v>8888.8888888888887</v>
      </c>
      <c r="CG11" s="68">
        <f t="shared" si="44"/>
        <v>26730</v>
      </c>
      <c r="CH11" s="57">
        <f t="shared" si="45"/>
        <v>2700</v>
      </c>
      <c r="CI11" s="292">
        <f t="shared" si="46"/>
        <v>114730</v>
      </c>
      <c r="CJ11" s="293">
        <f t="shared" si="47"/>
        <v>12747.777777777777</v>
      </c>
    </row>
    <row r="12" spans="1:88" ht="13.5" customHeight="1">
      <c r="A12" s="51"/>
      <c r="B12" s="333">
        <f t="shared" si="22"/>
        <v>45938</v>
      </c>
      <c r="C12" s="84"/>
      <c r="D12" s="53">
        <v>5</v>
      </c>
      <c r="E12" s="54">
        <v>9</v>
      </c>
      <c r="F12" s="55">
        <v>58800</v>
      </c>
      <c r="G12" s="56">
        <f t="shared" si="0"/>
        <v>5939.333333333333</v>
      </c>
      <c r="H12" s="55">
        <v>17380</v>
      </c>
      <c r="I12" s="57">
        <f t="shared" si="1"/>
        <v>1755.5555555555557</v>
      </c>
      <c r="J12" s="58">
        <f t="shared" si="2"/>
        <v>76180</v>
      </c>
      <c r="K12" s="59">
        <f t="shared" si="3"/>
        <v>8464.4444444444453</v>
      </c>
      <c r="L12" s="85">
        <v>1</v>
      </c>
      <c r="M12" s="86">
        <v>1</v>
      </c>
      <c r="N12" s="87">
        <v>3850</v>
      </c>
      <c r="O12" s="88">
        <f t="shared" si="4"/>
        <v>3850</v>
      </c>
      <c r="P12" s="87">
        <v>2530</v>
      </c>
      <c r="Q12" s="89">
        <f t="shared" si="5"/>
        <v>2530</v>
      </c>
      <c r="R12" s="90">
        <f t="shared" si="48"/>
        <v>6380</v>
      </c>
      <c r="S12" s="91">
        <f t="shared" si="7"/>
        <v>6380</v>
      </c>
      <c r="T12" s="67">
        <f t="shared" si="23"/>
        <v>16</v>
      </c>
      <c r="U12" s="68">
        <f t="shared" si="24"/>
        <v>236500</v>
      </c>
      <c r="V12" s="56">
        <f t="shared" si="8"/>
        <v>13437.5</v>
      </c>
      <c r="W12" s="68">
        <f t="shared" si="25"/>
        <v>94270</v>
      </c>
      <c r="X12" s="100">
        <f t="shared" si="9"/>
        <v>5356.25</v>
      </c>
      <c r="Y12" s="92">
        <f t="shared" si="26"/>
        <v>330770</v>
      </c>
      <c r="Z12" s="70">
        <f t="shared" si="10"/>
        <v>20673.125</v>
      </c>
      <c r="AA12" s="71">
        <f t="shared" si="27"/>
        <v>26</v>
      </c>
      <c r="AB12" s="68">
        <f t="shared" si="27"/>
        <v>299150</v>
      </c>
      <c r="AC12" s="68">
        <f t="shared" si="28"/>
        <v>114180</v>
      </c>
      <c r="AD12" s="72">
        <f t="shared" si="49"/>
        <v>413330</v>
      </c>
      <c r="AE12" s="68">
        <f t="shared" si="29"/>
        <v>15897.307692307691</v>
      </c>
      <c r="AF12" s="73">
        <v>52</v>
      </c>
      <c r="AG12" s="74">
        <v>53</v>
      </c>
      <c r="AH12" s="55">
        <v>59780</v>
      </c>
      <c r="AI12" s="56">
        <f t="shared" si="12"/>
        <v>1127.9245283018868</v>
      </c>
      <c r="AJ12" s="55">
        <v>13300</v>
      </c>
      <c r="AK12" s="57">
        <f t="shared" si="13"/>
        <v>250.9433962264151</v>
      </c>
      <c r="AL12" s="93">
        <f t="shared" si="30"/>
        <v>73080</v>
      </c>
      <c r="AM12" s="76">
        <f t="shared" si="14"/>
        <v>1378.867924528302</v>
      </c>
      <c r="AN12" s="339">
        <v>2</v>
      </c>
      <c r="AO12" s="337">
        <v>2</v>
      </c>
      <c r="AP12" s="339"/>
      <c r="AQ12" s="337"/>
      <c r="AR12" s="99">
        <f t="shared" si="31"/>
        <v>25</v>
      </c>
      <c r="AS12" s="68">
        <f t="shared" si="32"/>
        <v>358930</v>
      </c>
      <c r="AT12" s="68">
        <f t="shared" si="15"/>
        <v>127480</v>
      </c>
      <c r="AU12" s="77">
        <f t="shared" si="33"/>
        <v>486410</v>
      </c>
      <c r="AV12" s="68">
        <f t="shared" si="50"/>
        <v>4400</v>
      </c>
      <c r="AW12" s="94">
        <v>26</v>
      </c>
      <c r="AX12" s="94">
        <v>299150</v>
      </c>
      <c r="AY12" s="94">
        <v>114180</v>
      </c>
      <c r="AZ12" s="95">
        <v>4400</v>
      </c>
      <c r="BA12" s="95">
        <v>0</v>
      </c>
      <c r="BB12" s="95">
        <v>0</v>
      </c>
      <c r="BC12" s="95">
        <v>0</v>
      </c>
      <c r="BD12" s="96">
        <f t="shared" si="34"/>
        <v>417730</v>
      </c>
      <c r="BE12" s="51">
        <v>8</v>
      </c>
      <c r="BF12" s="80">
        <f t="shared" si="35"/>
        <v>417730</v>
      </c>
      <c r="BG12" s="81">
        <f t="shared" si="16"/>
        <v>490810</v>
      </c>
      <c r="BO12" s="287">
        <f t="shared" si="36"/>
        <v>5</v>
      </c>
      <c r="BP12" s="54">
        <f t="shared" si="36"/>
        <v>9</v>
      </c>
      <c r="BQ12" s="68">
        <f t="shared" si="36"/>
        <v>58800</v>
      </c>
      <c r="BR12" s="56">
        <f t="shared" si="17"/>
        <v>5939.333333333333</v>
      </c>
      <c r="BS12" s="68">
        <f t="shared" si="37"/>
        <v>17380</v>
      </c>
      <c r="BT12" s="57">
        <f t="shared" si="18"/>
        <v>1755.5555555555557</v>
      </c>
      <c r="BU12" s="58">
        <f t="shared" si="38"/>
        <v>76180</v>
      </c>
      <c r="BV12" s="59">
        <f t="shared" si="19"/>
        <v>8464.4444444444453</v>
      </c>
      <c r="BW12" s="288">
        <f t="shared" si="39"/>
        <v>16</v>
      </c>
      <c r="BX12" s="68">
        <f t="shared" si="39"/>
        <v>236500</v>
      </c>
      <c r="BY12" s="56">
        <f t="shared" si="20"/>
        <v>13437.5</v>
      </c>
      <c r="BZ12" s="68">
        <f t="shared" si="40"/>
        <v>94270</v>
      </c>
      <c r="CA12" s="57">
        <f t="shared" si="21"/>
        <v>5356.25</v>
      </c>
      <c r="CB12" s="289">
        <f t="shared" si="41"/>
        <v>330770</v>
      </c>
      <c r="CC12" s="290" t="e">
        <v>#DIV/0!</v>
      </c>
      <c r="CD12" s="291">
        <f t="shared" si="42"/>
        <v>25</v>
      </c>
      <c r="CE12" s="68">
        <f t="shared" si="42"/>
        <v>295300</v>
      </c>
      <c r="CF12" s="57">
        <f t="shared" si="43"/>
        <v>10738.16</v>
      </c>
      <c r="CG12" s="68">
        <f t="shared" si="44"/>
        <v>111650</v>
      </c>
      <c r="CH12" s="57">
        <f t="shared" si="45"/>
        <v>4060</v>
      </c>
      <c r="CI12" s="292">
        <f t="shared" si="46"/>
        <v>406950</v>
      </c>
      <c r="CJ12" s="293">
        <f t="shared" si="47"/>
        <v>16278</v>
      </c>
    </row>
    <row r="13" spans="1:88" ht="13.5" customHeight="1">
      <c r="A13" s="51"/>
      <c r="B13" s="333">
        <f t="shared" si="22"/>
        <v>45939</v>
      </c>
      <c r="C13" s="84"/>
      <c r="D13" s="53">
        <v>4</v>
      </c>
      <c r="E13" s="54">
        <v>8</v>
      </c>
      <c r="F13" s="55">
        <v>68000</v>
      </c>
      <c r="G13" s="56">
        <f t="shared" si="0"/>
        <v>7727.25</v>
      </c>
      <c r="H13" s="55">
        <v>19690</v>
      </c>
      <c r="I13" s="57">
        <f t="shared" si="1"/>
        <v>2237.5</v>
      </c>
      <c r="J13" s="58">
        <f t="shared" si="2"/>
        <v>87690</v>
      </c>
      <c r="K13" s="59">
        <f t="shared" si="3"/>
        <v>10961.25</v>
      </c>
      <c r="L13" s="85"/>
      <c r="M13" s="86"/>
      <c r="N13" s="87"/>
      <c r="O13" s="88" t="e">
        <f t="shared" si="4"/>
        <v>#DIV/0!</v>
      </c>
      <c r="P13" s="87"/>
      <c r="Q13" s="89" t="e">
        <f t="shared" si="5"/>
        <v>#DIV/0!</v>
      </c>
      <c r="R13" s="90">
        <f t="shared" si="48"/>
        <v>0</v>
      </c>
      <c r="S13" s="91" t="str">
        <f t="shared" si="7"/>
        <v/>
      </c>
      <c r="T13" s="67">
        <f t="shared" si="23"/>
        <v>2</v>
      </c>
      <c r="U13" s="68">
        <f t="shared" si="24"/>
        <v>20000</v>
      </c>
      <c r="V13" s="56">
        <f t="shared" si="8"/>
        <v>9090.5</v>
      </c>
      <c r="W13" s="68">
        <f t="shared" si="25"/>
        <v>10560</v>
      </c>
      <c r="X13" s="57">
        <f t="shared" si="9"/>
        <v>4800</v>
      </c>
      <c r="Y13" s="92">
        <f t="shared" si="26"/>
        <v>30560</v>
      </c>
      <c r="Z13" s="70">
        <f t="shared" si="10"/>
        <v>15280</v>
      </c>
      <c r="AA13" s="71">
        <f t="shared" si="27"/>
        <v>10</v>
      </c>
      <c r="AB13" s="68">
        <f t="shared" si="27"/>
        <v>88000</v>
      </c>
      <c r="AC13" s="68">
        <f t="shared" si="28"/>
        <v>30250</v>
      </c>
      <c r="AD13" s="72">
        <f t="shared" si="49"/>
        <v>118250</v>
      </c>
      <c r="AE13" s="68">
        <f t="shared" si="29"/>
        <v>11825</v>
      </c>
      <c r="AF13" s="73">
        <v>54</v>
      </c>
      <c r="AG13" s="74">
        <v>62</v>
      </c>
      <c r="AH13" s="55">
        <v>75650</v>
      </c>
      <c r="AI13" s="56">
        <f t="shared" si="12"/>
        <v>1220.1612903225807</v>
      </c>
      <c r="AJ13" s="55">
        <v>8300</v>
      </c>
      <c r="AK13" s="57">
        <f t="shared" si="13"/>
        <v>133.87096774193549</v>
      </c>
      <c r="AL13" s="93">
        <f t="shared" si="30"/>
        <v>83950</v>
      </c>
      <c r="AM13" s="76">
        <f t="shared" si="14"/>
        <v>1354.0322580645161</v>
      </c>
      <c r="AN13" s="339">
        <v>1</v>
      </c>
      <c r="AO13" s="340">
        <v>1</v>
      </c>
      <c r="AP13" s="339"/>
      <c r="AQ13" s="340"/>
      <c r="AR13" s="99">
        <f t="shared" si="31"/>
        <v>10</v>
      </c>
      <c r="AS13" s="68">
        <f t="shared" si="32"/>
        <v>163650</v>
      </c>
      <c r="AT13" s="68">
        <f t="shared" si="15"/>
        <v>38550</v>
      </c>
      <c r="AU13" s="77">
        <f t="shared" si="33"/>
        <v>202200</v>
      </c>
      <c r="AV13" s="68">
        <f t="shared" si="50"/>
        <v>0</v>
      </c>
      <c r="AW13" s="94">
        <v>10</v>
      </c>
      <c r="AX13" s="94">
        <v>88000</v>
      </c>
      <c r="AY13" s="94">
        <v>30250</v>
      </c>
      <c r="AZ13" s="95">
        <v>0</v>
      </c>
      <c r="BA13" s="95">
        <v>0</v>
      </c>
      <c r="BB13" s="95">
        <v>0</v>
      </c>
      <c r="BC13" s="95">
        <v>0</v>
      </c>
      <c r="BD13" s="96">
        <f t="shared" si="34"/>
        <v>118250</v>
      </c>
      <c r="BE13" s="51">
        <v>9</v>
      </c>
      <c r="BF13" s="80">
        <f t="shared" si="35"/>
        <v>118250</v>
      </c>
      <c r="BG13" s="81">
        <f t="shared" si="16"/>
        <v>202200</v>
      </c>
      <c r="BO13" s="287">
        <f t="shared" si="36"/>
        <v>4</v>
      </c>
      <c r="BP13" s="54">
        <f t="shared" si="36"/>
        <v>8</v>
      </c>
      <c r="BQ13" s="68">
        <f t="shared" si="36"/>
        <v>68000</v>
      </c>
      <c r="BR13" s="56">
        <f t="shared" si="17"/>
        <v>7727.25</v>
      </c>
      <c r="BS13" s="68">
        <f t="shared" si="37"/>
        <v>19690</v>
      </c>
      <c r="BT13" s="57">
        <f t="shared" si="18"/>
        <v>2237.5</v>
      </c>
      <c r="BU13" s="58">
        <f t="shared" si="38"/>
        <v>87690</v>
      </c>
      <c r="BV13" s="59">
        <f t="shared" si="19"/>
        <v>10961.25</v>
      </c>
      <c r="BW13" s="288">
        <f t="shared" si="39"/>
        <v>2</v>
      </c>
      <c r="BX13" s="68">
        <f t="shared" si="39"/>
        <v>20000</v>
      </c>
      <c r="BY13" s="56">
        <f t="shared" si="20"/>
        <v>9090.5</v>
      </c>
      <c r="BZ13" s="68">
        <f t="shared" si="40"/>
        <v>10560</v>
      </c>
      <c r="CA13" s="57">
        <f t="shared" si="21"/>
        <v>4800</v>
      </c>
      <c r="CB13" s="289">
        <f t="shared" si="41"/>
        <v>30560</v>
      </c>
      <c r="CC13" s="290" t="e">
        <v>#DIV/0!</v>
      </c>
      <c r="CD13" s="291">
        <f t="shared" si="42"/>
        <v>10</v>
      </c>
      <c r="CE13" s="68">
        <f t="shared" si="42"/>
        <v>88000</v>
      </c>
      <c r="CF13" s="57">
        <f t="shared" si="43"/>
        <v>8000</v>
      </c>
      <c r="CG13" s="68">
        <f t="shared" si="44"/>
        <v>30250</v>
      </c>
      <c r="CH13" s="57">
        <f t="shared" si="45"/>
        <v>2750</v>
      </c>
      <c r="CI13" s="292">
        <f t="shared" si="46"/>
        <v>118250</v>
      </c>
      <c r="CJ13" s="293">
        <f t="shared" si="47"/>
        <v>11825</v>
      </c>
    </row>
    <row r="14" spans="1:88" ht="13.5" customHeight="1">
      <c r="A14" s="51"/>
      <c r="B14" s="333">
        <f t="shared" si="22"/>
        <v>45940</v>
      </c>
      <c r="C14" s="84"/>
      <c r="D14" s="53">
        <v>3</v>
      </c>
      <c r="E14" s="54">
        <v>4</v>
      </c>
      <c r="F14" s="55">
        <v>20800</v>
      </c>
      <c r="G14" s="56">
        <f t="shared" si="0"/>
        <v>4727.25</v>
      </c>
      <c r="H14" s="55">
        <v>13750</v>
      </c>
      <c r="I14" s="57">
        <f t="shared" si="1"/>
        <v>3125</v>
      </c>
      <c r="J14" s="58">
        <f t="shared" si="2"/>
        <v>34550</v>
      </c>
      <c r="K14" s="59">
        <f t="shared" si="3"/>
        <v>8637.5</v>
      </c>
      <c r="L14" s="85"/>
      <c r="M14" s="86"/>
      <c r="N14" s="87"/>
      <c r="O14" s="88" t="e">
        <f t="shared" si="4"/>
        <v>#DIV/0!</v>
      </c>
      <c r="P14" s="87"/>
      <c r="Q14" s="89" t="e">
        <f t="shared" si="5"/>
        <v>#DIV/0!</v>
      </c>
      <c r="R14" s="90">
        <f t="shared" si="48"/>
        <v>0</v>
      </c>
      <c r="S14" s="91" t="str">
        <f t="shared" si="7"/>
        <v/>
      </c>
      <c r="T14" s="67">
        <f t="shared" si="23"/>
        <v>14</v>
      </c>
      <c r="U14" s="68">
        <f t="shared" si="24"/>
        <v>156900</v>
      </c>
      <c r="V14" s="56">
        <f t="shared" si="8"/>
        <v>10188.285714285714</v>
      </c>
      <c r="W14" s="68">
        <f t="shared" si="25"/>
        <v>60950</v>
      </c>
      <c r="X14" s="57">
        <f t="shared" si="9"/>
        <v>3957.7857142857142</v>
      </c>
      <c r="Y14" s="92">
        <f t="shared" si="26"/>
        <v>217850</v>
      </c>
      <c r="Z14" s="70">
        <f t="shared" si="10"/>
        <v>15560.714285714286</v>
      </c>
      <c r="AA14" s="71">
        <f t="shared" si="27"/>
        <v>18</v>
      </c>
      <c r="AB14" s="68">
        <f t="shared" si="27"/>
        <v>177700</v>
      </c>
      <c r="AC14" s="68">
        <f t="shared" si="28"/>
        <v>74700</v>
      </c>
      <c r="AD14" s="72">
        <f t="shared" si="49"/>
        <v>252400</v>
      </c>
      <c r="AE14" s="68">
        <f t="shared" si="29"/>
        <v>14022.222222222223</v>
      </c>
      <c r="AF14" s="73">
        <v>90</v>
      </c>
      <c r="AG14" s="74">
        <v>94</v>
      </c>
      <c r="AH14" s="55">
        <v>86830</v>
      </c>
      <c r="AI14" s="56">
        <f t="shared" si="12"/>
        <v>923.72340425531911</v>
      </c>
      <c r="AJ14" s="55">
        <v>25300</v>
      </c>
      <c r="AK14" s="57">
        <f t="shared" si="13"/>
        <v>269.14893617021278</v>
      </c>
      <c r="AL14" s="93">
        <f t="shared" si="30"/>
        <v>112130</v>
      </c>
      <c r="AM14" s="76">
        <f t="shared" si="14"/>
        <v>1192.872340425532</v>
      </c>
      <c r="AN14" s="339">
        <v>1</v>
      </c>
      <c r="AO14" s="340">
        <v>2</v>
      </c>
      <c r="AP14" s="339"/>
      <c r="AQ14" s="340"/>
      <c r="AR14" s="99">
        <f t="shared" si="31"/>
        <v>18</v>
      </c>
      <c r="AS14" s="68">
        <f t="shared" si="32"/>
        <v>264530</v>
      </c>
      <c r="AT14" s="68">
        <f t="shared" si="15"/>
        <v>100000</v>
      </c>
      <c r="AU14" s="98">
        <f t="shared" si="33"/>
        <v>364530</v>
      </c>
      <c r="AV14" s="68">
        <f t="shared" si="50"/>
        <v>0</v>
      </c>
      <c r="AW14" s="94">
        <v>18</v>
      </c>
      <c r="AX14" s="94">
        <v>177700</v>
      </c>
      <c r="AY14" s="94">
        <v>74700</v>
      </c>
      <c r="AZ14" s="95">
        <v>0</v>
      </c>
      <c r="BA14" s="95">
        <v>0</v>
      </c>
      <c r="BB14" s="95">
        <v>0</v>
      </c>
      <c r="BC14" s="95">
        <v>0</v>
      </c>
      <c r="BD14" s="96">
        <f t="shared" si="34"/>
        <v>252400</v>
      </c>
      <c r="BE14" s="51">
        <v>10</v>
      </c>
      <c r="BF14" s="80">
        <f t="shared" si="35"/>
        <v>252400</v>
      </c>
      <c r="BG14" s="81">
        <f t="shared" si="16"/>
        <v>364530</v>
      </c>
      <c r="BO14" s="287">
        <f t="shared" si="36"/>
        <v>3</v>
      </c>
      <c r="BP14" s="54">
        <f t="shared" si="36"/>
        <v>4</v>
      </c>
      <c r="BQ14" s="68">
        <f t="shared" si="36"/>
        <v>20800</v>
      </c>
      <c r="BR14" s="56">
        <f t="shared" si="17"/>
        <v>4727.25</v>
      </c>
      <c r="BS14" s="68">
        <f t="shared" si="37"/>
        <v>13750</v>
      </c>
      <c r="BT14" s="57">
        <f t="shared" si="18"/>
        <v>3125</v>
      </c>
      <c r="BU14" s="58">
        <f t="shared" si="38"/>
        <v>34550</v>
      </c>
      <c r="BV14" s="59">
        <f t="shared" si="19"/>
        <v>8637.5</v>
      </c>
      <c r="BW14" s="288">
        <f t="shared" si="39"/>
        <v>14</v>
      </c>
      <c r="BX14" s="68">
        <f t="shared" si="39"/>
        <v>156900</v>
      </c>
      <c r="BY14" s="56">
        <f t="shared" si="20"/>
        <v>10188.285714285714</v>
      </c>
      <c r="BZ14" s="68">
        <f t="shared" si="40"/>
        <v>60950</v>
      </c>
      <c r="CA14" s="57">
        <f t="shared" si="21"/>
        <v>3957.7857142857142</v>
      </c>
      <c r="CB14" s="289">
        <f t="shared" si="41"/>
        <v>217850</v>
      </c>
      <c r="CC14" s="290" t="e">
        <v>#DIV/0!</v>
      </c>
      <c r="CD14" s="291">
        <f t="shared" si="42"/>
        <v>18</v>
      </c>
      <c r="CE14" s="68">
        <f t="shared" si="42"/>
        <v>177700</v>
      </c>
      <c r="CF14" s="57">
        <f t="shared" si="43"/>
        <v>8974.7222222222226</v>
      </c>
      <c r="CG14" s="68">
        <f t="shared" si="44"/>
        <v>74700</v>
      </c>
      <c r="CH14" s="57">
        <f t="shared" si="45"/>
        <v>3772.7222222222222</v>
      </c>
      <c r="CI14" s="292">
        <f t="shared" si="46"/>
        <v>252400</v>
      </c>
      <c r="CJ14" s="293">
        <f t="shared" si="47"/>
        <v>14022.222222222223</v>
      </c>
    </row>
    <row r="15" spans="1:88" ht="13.5" customHeight="1">
      <c r="A15" s="51"/>
      <c r="B15" s="347">
        <f>B14+1</f>
        <v>45941</v>
      </c>
      <c r="C15" s="84"/>
      <c r="D15" s="53">
        <v>2</v>
      </c>
      <c r="E15" s="54">
        <v>8</v>
      </c>
      <c r="F15" s="55">
        <v>48000</v>
      </c>
      <c r="G15" s="56">
        <f t="shared" si="0"/>
        <v>5454.5</v>
      </c>
      <c r="H15" s="55">
        <v>24860</v>
      </c>
      <c r="I15" s="57">
        <f t="shared" si="1"/>
        <v>2825</v>
      </c>
      <c r="J15" s="58">
        <f t="shared" si="2"/>
        <v>72860</v>
      </c>
      <c r="K15" s="59">
        <f t="shared" si="3"/>
        <v>9107.5</v>
      </c>
      <c r="L15" s="85">
        <v>1</v>
      </c>
      <c r="M15" s="86">
        <v>2</v>
      </c>
      <c r="N15" s="87">
        <v>7700</v>
      </c>
      <c r="O15" s="88">
        <f t="shared" si="4"/>
        <v>3850</v>
      </c>
      <c r="P15" s="87">
        <v>1100</v>
      </c>
      <c r="Q15" s="89">
        <f t="shared" si="5"/>
        <v>550</v>
      </c>
      <c r="R15" s="90">
        <f t="shared" si="48"/>
        <v>8800</v>
      </c>
      <c r="S15" s="91">
        <f t="shared" si="7"/>
        <v>4400</v>
      </c>
      <c r="T15" s="67">
        <f t="shared" si="23"/>
        <v>7</v>
      </c>
      <c r="U15" s="68">
        <f t="shared" si="24"/>
        <v>87940</v>
      </c>
      <c r="V15" s="56">
        <f t="shared" si="8"/>
        <v>11420.714285714286</v>
      </c>
      <c r="W15" s="68">
        <f t="shared" si="25"/>
        <v>15570</v>
      </c>
      <c r="X15" s="57">
        <f t="shared" si="9"/>
        <v>2022</v>
      </c>
      <c r="Y15" s="92">
        <f t="shared" si="26"/>
        <v>103510</v>
      </c>
      <c r="Z15" s="70">
        <f t="shared" si="10"/>
        <v>14787.142857142857</v>
      </c>
      <c r="AA15" s="71">
        <f t="shared" si="27"/>
        <v>17</v>
      </c>
      <c r="AB15" s="68">
        <f t="shared" si="27"/>
        <v>143640</v>
      </c>
      <c r="AC15" s="68">
        <f t="shared" si="28"/>
        <v>41530</v>
      </c>
      <c r="AD15" s="72">
        <f t="shared" si="49"/>
        <v>185170</v>
      </c>
      <c r="AE15" s="68">
        <f t="shared" si="29"/>
        <v>10892.35294117647</v>
      </c>
      <c r="AF15" s="73">
        <v>115</v>
      </c>
      <c r="AG15" s="74">
        <v>118</v>
      </c>
      <c r="AH15" s="55">
        <v>143430</v>
      </c>
      <c r="AI15" s="56">
        <f t="shared" si="12"/>
        <v>1215.5084745762713</v>
      </c>
      <c r="AJ15" s="55">
        <v>22700</v>
      </c>
      <c r="AK15" s="57">
        <f t="shared" si="13"/>
        <v>192.37288135593221</v>
      </c>
      <c r="AL15" s="93">
        <f t="shared" si="30"/>
        <v>166130</v>
      </c>
      <c r="AM15" s="76">
        <f t="shared" si="14"/>
        <v>1407.8813559322034</v>
      </c>
      <c r="AN15" s="339">
        <v>1</v>
      </c>
      <c r="AO15" s="340">
        <v>1</v>
      </c>
      <c r="AP15" s="339"/>
      <c r="AQ15" s="340"/>
      <c r="AR15" s="99">
        <f t="shared" si="31"/>
        <v>15</v>
      </c>
      <c r="AS15" s="68">
        <f t="shared" si="32"/>
        <v>287070</v>
      </c>
      <c r="AT15" s="68">
        <f t="shared" si="15"/>
        <v>64230</v>
      </c>
      <c r="AU15" s="77">
        <f t="shared" si="33"/>
        <v>351300</v>
      </c>
      <c r="AV15" s="68">
        <f t="shared" si="50"/>
        <v>2200</v>
      </c>
      <c r="AW15" s="94">
        <v>17</v>
      </c>
      <c r="AX15" s="94">
        <v>143640</v>
      </c>
      <c r="AY15" s="94">
        <v>41530</v>
      </c>
      <c r="AZ15" s="95">
        <v>2200</v>
      </c>
      <c r="BA15" s="95">
        <v>0</v>
      </c>
      <c r="BB15" s="95">
        <v>0</v>
      </c>
      <c r="BC15" s="95">
        <v>3300</v>
      </c>
      <c r="BD15" s="96">
        <f t="shared" si="34"/>
        <v>187370</v>
      </c>
      <c r="BE15" s="51">
        <v>11</v>
      </c>
      <c r="BF15" s="80">
        <f t="shared" si="35"/>
        <v>190670</v>
      </c>
      <c r="BG15" s="81">
        <f t="shared" si="16"/>
        <v>353500</v>
      </c>
      <c r="BO15" s="287">
        <f t="shared" si="36"/>
        <v>2</v>
      </c>
      <c r="BP15" s="54">
        <f t="shared" si="36"/>
        <v>8</v>
      </c>
      <c r="BQ15" s="68">
        <f t="shared" si="36"/>
        <v>48000</v>
      </c>
      <c r="BR15" s="56">
        <f t="shared" si="17"/>
        <v>5454.5</v>
      </c>
      <c r="BS15" s="68">
        <f t="shared" si="37"/>
        <v>24860</v>
      </c>
      <c r="BT15" s="57">
        <f t="shared" si="18"/>
        <v>2825</v>
      </c>
      <c r="BU15" s="58">
        <f t="shared" si="38"/>
        <v>72860</v>
      </c>
      <c r="BV15" s="59">
        <f t="shared" si="19"/>
        <v>9107.5</v>
      </c>
      <c r="BW15" s="288">
        <f t="shared" si="39"/>
        <v>7</v>
      </c>
      <c r="BX15" s="68">
        <f t="shared" si="39"/>
        <v>87940</v>
      </c>
      <c r="BY15" s="56">
        <f t="shared" si="20"/>
        <v>11420.714285714286</v>
      </c>
      <c r="BZ15" s="68">
        <f t="shared" si="40"/>
        <v>15570</v>
      </c>
      <c r="CA15" s="57">
        <f t="shared" si="21"/>
        <v>2022</v>
      </c>
      <c r="CB15" s="289">
        <f t="shared" si="41"/>
        <v>103510</v>
      </c>
      <c r="CC15" s="290" t="e">
        <v>#DIV/0!</v>
      </c>
      <c r="CD15" s="291">
        <f t="shared" si="42"/>
        <v>15</v>
      </c>
      <c r="CE15" s="68">
        <f t="shared" si="42"/>
        <v>135940</v>
      </c>
      <c r="CF15" s="57">
        <f t="shared" si="43"/>
        <v>8238.7333333333336</v>
      </c>
      <c r="CG15" s="68">
        <f t="shared" si="44"/>
        <v>40430</v>
      </c>
      <c r="CH15" s="57">
        <f t="shared" si="45"/>
        <v>2450.2666666666669</v>
      </c>
      <c r="CI15" s="292">
        <f t="shared" si="46"/>
        <v>176370</v>
      </c>
      <c r="CJ15" s="293">
        <f t="shared" si="47"/>
        <v>11758</v>
      </c>
    </row>
    <row r="16" spans="1:88" ht="13.5" customHeight="1">
      <c r="A16" s="51"/>
      <c r="B16" s="97">
        <f t="shared" si="22"/>
        <v>45942</v>
      </c>
      <c r="C16" s="84"/>
      <c r="D16" s="53">
        <v>1</v>
      </c>
      <c r="E16" s="54">
        <v>34</v>
      </c>
      <c r="F16" s="55">
        <v>136000</v>
      </c>
      <c r="G16" s="56">
        <f t="shared" si="0"/>
        <v>3636.3529411764707</v>
      </c>
      <c r="H16" s="55">
        <v>44170</v>
      </c>
      <c r="I16" s="57">
        <f t="shared" si="1"/>
        <v>1181</v>
      </c>
      <c r="J16" s="58">
        <f t="shared" si="2"/>
        <v>180170</v>
      </c>
      <c r="K16" s="59">
        <f t="shared" si="3"/>
        <v>5299.1176470588234</v>
      </c>
      <c r="L16" s="85"/>
      <c r="M16" s="86"/>
      <c r="N16" s="87"/>
      <c r="O16" s="88" t="e">
        <f t="shared" si="4"/>
        <v>#DIV/0!</v>
      </c>
      <c r="P16" s="87"/>
      <c r="Q16" s="89" t="e">
        <f t="shared" si="5"/>
        <v>#DIV/0!</v>
      </c>
      <c r="R16" s="90">
        <f t="shared" si="48"/>
        <v>0</v>
      </c>
      <c r="S16" s="91" t="str">
        <f t="shared" si="7"/>
        <v/>
      </c>
      <c r="T16" s="67">
        <f t="shared" si="23"/>
        <v>21</v>
      </c>
      <c r="U16" s="68">
        <f t="shared" si="24"/>
        <v>243340</v>
      </c>
      <c r="V16" s="56">
        <f t="shared" si="8"/>
        <v>10534.190476190477</v>
      </c>
      <c r="W16" s="68">
        <f t="shared" si="25"/>
        <v>80190</v>
      </c>
      <c r="X16" s="57">
        <f t="shared" si="9"/>
        <v>3471.4285714285716</v>
      </c>
      <c r="Y16" s="92">
        <f t="shared" si="26"/>
        <v>323530</v>
      </c>
      <c r="Z16" s="70">
        <f t="shared" si="10"/>
        <v>15406.190476190477</v>
      </c>
      <c r="AA16" s="71">
        <f t="shared" si="27"/>
        <v>55</v>
      </c>
      <c r="AB16" s="68">
        <f t="shared" si="27"/>
        <v>379340</v>
      </c>
      <c r="AC16" s="68">
        <f t="shared" si="28"/>
        <v>124360</v>
      </c>
      <c r="AD16" s="72">
        <f t="shared" si="49"/>
        <v>503700</v>
      </c>
      <c r="AE16" s="68">
        <f t="shared" si="29"/>
        <v>9158.181818181818</v>
      </c>
      <c r="AF16" s="73">
        <v>108</v>
      </c>
      <c r="AG16" s="74">
        <v>119</v>
      </c>
      <c r="AH16" s="55">
        <v>140240</v>
      </c>
      <c r="AI16" s="56">
        <f t="shared" si="12"/>
        <v>1178.4873949579833</v>
      </c>
      <c r="AJ16" s="55">
        <v>17700</v>
      </c>
      <c r="AK16" s="57">
        <f t="shared" si="13"/>
        <v>148.73949579831933</v>
      </c>
      <c r="AL16" s="93">
        <f t="shared" si="30"/>
        <v>157940</v>
      </c>
      <c r="AM16" s="76">
        <f t="shared" si="14"/>
        <v>1327.2268907563025</v>
      </c>
      <c r="AN16" s="339">
        <v>2</v>
      </c>
      <c r="AO16" s="340">
        <v>2</v>
      </c>
      <c r="AP16" s="339"/>
      <c r="AQ16" s="340"/>
      <c r="AR16" s="99">
        <f t="shared" si="31"/>
        <v>55</v>
      </c>
      <c r="AS16" s="68">
        <f t="shared" si="32"/>
        <v>519580</v>
      </c>
      <c r="AT16" s="68">
        <f t="shared" si="15"/>
        <v>142060</v>
      </c>
      <c r="AU16" s="77">
        <f t="shared" si="33"/>
        <v>661640</v>
      </c>
      <c r="AV16" s="68">
        <f t="shared" si="50"/>
        <v>4400</v>
      </c>
      <c r="AW16" s="94">
        <v>55</v>
      </c>
      <c r="AX16" s="94">
        <v>379340</v>
      </c>
      <c r="AY16" s="94">
        <v>124360</v>
      </c>
      <c r="AZ16" s="95">
        <v>4400</v>
      </c>
      <c r="BA16" s="95">
        <v>0</v>
      </c>
      <c r="BB16" s="95">
        <v>0</v>
      </c>
      <c r="BC16" s="95">
        <v>0</v>
      </c>
      <c r="BD16" s="96">
        <f t="shared" si="34"/>
        <v>508100</v>
      </c>
      <c r="BE16" s="51">
        <v>12</v>
      </c>
      <c r="BF16" s="80">
        <f t="shared" si="35"/>
        <v>508100</v>
      </c>
      <c r="BG16" s="81">
        <f t="shared" si="16"/>
        <v>666040</v>
      </c>
      <c r="BO16" s="287">
        <f t="shared" si="36"/>
        <v>1</v>
      </c>
      <c r="BP16" s="54">
        <f t="shared" si="36"/>
        <v>34</v>
      </c>
      <c r="BQ16" s="68">
        <f t="shared" si="36"/>
        <v>136000</v>
      </c>
      <c r="BR16" s="56">
        <f t="shared" si="17"/>
        <v>3636.3529411764707</v>
      </c>
      <c r="BS16" s="68">
        <f t="shared" si="37"/>
        <v>44170</v>
      </c>
      <c r="BT16" s="57">
        <f t="shared" si="18"/>
        <v>1181</v>
      </c>
      <c r="BU16" s="58">
        <f t="shared" si="38"/>
        <v>180170</v>
      </c>
      <c r="BV16" s="59">
        <f t="shared" si="19"/>
        <v>5299.1176470588234</v>
      </c>
      <c r="BW16" s="288">
        <f t="shared" si="39"/>
        <v>21</v>
      </c>
      <c r="BX16" s="68">
        <f t="shared" si="39"/>
        <v>243340</v>
      </c>
      <c r="BY16" s="56">
        <f t="shared" si="20"/>
        <v>10534.190476190477</v>
      </c>
      <c r="BZ16" s="68">
        <f t="shared" si="40"/>
        <v>80190</v>
      </c>
      <c r="CA16" s="57">
        <f t="shared" si="21"/>
        <v>3471.4285714285716</v>
      </c>
      <c r="CB16" s="289">
        <f t="shared" si="41"/>
        <v>323530</v>
      </c>
      <c r="CC16" s="290" t="e">
        <v>#DIV/0!</v>
      </c>
      <c r="CD16" s="291">
        <f t="shared" si="42"/>
        <v>55</v>
      </c>
      <c r="CE16" s="68">
        <f t="shared" si="42"/>
        <v>379340</v>
      </c>
      <c r="CF16" s="57">
        <f t="shared" si="43"/>
        <v>6270.0727272727272</v>
      </c>
      <c r="CG16" s="68">
        <f t="shared" si="44"/>
        <v>124360</v>
      </c>
      <c r="CH16" s="57">
        <f t="shared" si="45"/>
        <v>2055.5272727272727</v>
      </c>
      <c r="CI16" s="292">
        <f t="shared" si="46"/>
        <v>503700</v>
      </c>
      <c r="CJ16" s="293">
        <f t="shared" si="47"/>
        <v>9158.181818181818</v>
      </c>
    </row>
    <row r="17" spans="1:88" ht="13.5" customHeight="1">
      <c r="A17" s="51"/>
      <c r="B17" s="97">
        <f t="shared" si="22"/>
        <v>45943</v>
      </c>
      <c r="C17" s="84"/>
      <c r="D17" s="53">
        <v>2</v>
      </c>
      <c r="E17" s="54">
        <v>3</v>
      </c>
      <c r="F17" s="55">
        <v>18000</v>
      </c>
      <c r="G17" s="56">
        <f t="shared" si="0"/>
        <v>5454.333333333333</v>
      </c>
      <c r="H17" s="55">
        <v>14410</v>
      </c>
      <c r="I17" s="57">
        <f t="shared" si="1"/>
        <v>4366.666666666667</v>
      </c>
      <c r="J17" s="58">
        <f t="shared" si="2"/>
        <v>32410</v>
      </c>
      <c r="K17" s="59">
        <f t="shared" si="3"/>
        <v>10803.333333333334</v>
      </c>
      <c r="L17" s="85">
        <v>2</v>
      </c>
      <c r="M17" s="86">
        <v>5</v>
      </c>
      <c r="N17" s="87">
        <v>19250</v>
      </c>
      <c r="O17" s="88">
        <f t="shared" si="4"/>
        <v>3850</v>
      </c>
      <c r="P17" s="62">
        <v>3960</v>
      </c>
      <c r="Q17" s="89">
        <f t="shared" si="5"/>
        <v>792</v>
      </c>
      <c r="R17" s="90">
        <f t="shared" si="48"/>
        <v>23210</v>
      </c>
      <c r="S17" s="91">
        <f t="shared" si="7"/>
        <v>4642</v>
      </c>
      <c r="T17" s="67">
        <f t="shared" si="23"/>
        <v>8</v>
      </c>
      <c r="U17" s="68">
        <f t="shared" si="24"/>
        <v>113300</v>
      </c>
      <c r="V17" s="56">
        <f t="shared" si="8"/>
        <v>12875</v>
      </c>
      <c r="W17" s="68">
        <f t="shared" si="25"/>
        <v>51260</v>
      </c>
      <c r="X17" s="57">
        <f t="shared" si="9"/>
        <v>5825</v>
      </c>
      <c r="Y17" s="92">
        <f t="shared" si="26"/>
        <v>164560</v>
      </c>
      <c r="Z17" s="70">
        <f t="shared" si="10"/>
        <v>20570</v>
      </c>
      <c r="AA17" s="71">
        <f t="shared" si="27"/>
        <v>16</v>
      </c>
      <c r="AB17" s="68">
        <f t="shared" si="27"/>
        <v>150550</v>
      </c>
      <c r="AC17" s="68">
        <f t="shared" si="28"/>
        <v>69630</v>
      </c>
      <c r="AD17" s="72">
        <f t="shared" si="49"/>
        <v>220180</v>
      </c>
      <c r="AE17" s="68">
        <f t="shared" si="29"/>
        <v>13761.25</v>
      </c>
      <c r="AF17" s="73">
        <v>84</v>
      </c>
      <c r="AG17" s="74">
        <v>104</v>
      </c>
      <c r="AH17" s="55">
        <v>117130</v>
      </c>
      <c r="AI17" s="56">
        <f t="shared" si="12"/>
        <v>1126.25</v>
      </c>
      <c r="AJ17" s="55">
        <v>23100</v>
      </c>
      <c r="AK17" s="57">
        <f t="shared" si="13"/>
        <v>222.11538461538461</v>
      </c>
      <c r="AL17" s="93">
        <f t="shared" si="30"/>
        <v>140230</v>
      </c>
      <c r="AM17" s="76">
        <f t="shared" si="14"/>
        <v>1348.3653846153845</v>
      </c>
      <c r="AN17" s="339">
        <v>0</v>
      </c>
      <c r="AO17" s="340">
        <v>0</v>
      </c>
      <c r="AP17" s="339"/>
      <c r="AQ17" s="340"/>
      <c r="AR17" s="99">
        <f t="shared" si="31"/>
        <v>11</v>
      </c>
      <c r="AS17" s="68">
        <f t="shared" si="32"/>
        <v>267680</v>
      </c>
      <c r="AT17" s="68">
        <f t="shared" si="15"/>
        <v>92730</v>
      </c>
      <c r="AU17" s="77">
        <f t="shared" si="33"/>
        <v>360410</v>
      </c>
      <c r="AV17" s="68">
        <f t="shared" si="50"/>
        <v>0</v>
      </c>
      <c r="AW17" s="94">
        <v>16</v>
      </c>
      <c r="AX17" s="94">
        <v>150550</v>
      </c>
      <c r="AY17" s="94">
        <v>69630</v>
      </c>
      <c r="AZ17" s="95">
        <v>0</v>
      </c>
      <c r="BA17" s="95">
        <v>0</v>
      </c>
      <c r="BB17" s="95">
        <v>0</v>
      </c>
      <c r="BC17" s="95">
        <v>0</v>
      </c>
      <c r="BD17" s="96">
        <f t="shared" si="34"/>
        <v>220180</v>
      </c>
      <c r="BE17" s="51">
        <v>13</v>
      </c>
      <c r="BF17" s="80">
        <f t="shared" si="35"/>
        <v>220180</v>
      </c>
      <c r="BG17" s="81">
        <f t="shared" si="16"/>
        <v>360410</v>
      </c>
      <c r="BO17" s="287">
        <f t="shared" si="36"/>
        <v>2</v>
      </c>
      <c r="BP17" s="54">
        <f t="shared" si="36"/>
        <v>3</v>
      </c>
      <c r="BQ17" s="68">
        <f t="shared" si="36"/>
        <v>18000</v>
      </c>
      <c r="BR17" s="56">
        <f t="shared" si="17"/>
        <v>5454.333333333333</v>
      </c>
      <c r="BS17" s="68">
        <f t="shared" si="37"/>
        <v>14410</v>
      </c>
      <c r="BT17" s="57">
        <f t="shared" si="18"/>
        <v>4366.666666666667</v>
      </c>
      <c r="BU17" s="58">
        <f t="shared" si="38"/>
        <v>32410</v>
      </c>
      <c r="BV17" s="59">
        <f t="shared" si="19"/>
        <v>10803.333333333334</v>
      </c>
      <c r="BW17" s="288">
        <f t="shared" si="39"/>
        <v>8</v>
      </c>
      <c r="BX17" s="68">
        <f t="shared" si="39"/>
        <v>113300</v>
      </c>
      <c r="BY17" s="56">
        <f t="shared" si="20"/>
        <v>12875</v>
      </c>
      <c r="BZ17" s="68">
        <f t="shared" si="40"/>
        <v>51260</v>
      </c>
      <c r="CA17" s="57">
        <f t="shared" si="21"/>
        <v>5825</v>
      </c>
      <c r="CB17" s="289">
        <f t="shared" si="41"/>
        <v>164560</v>
      </c>
      <c r="CC17" s="290" t="e">
        <v>#DIV/0!</v>
      </c>
      <c r="CD17" s="291">
        <f t="shared" si="42"/>
        <v>11</v>
      </c>
      <c r="CE17" s="68">
        <f t="shared" si="42"/>
        <v>131300</v>
      </c>
      <c r="CF17" s="57">
        <f t="shared" si="43"/>
        <v>10851.181818181818</v>
      </c>
      <c r="CG17" s="68">
        <f t="shared" si="44"/>
        <v>65670</v>
      </c>
      <c r="CH17" s="57">
        <f t="shared" si="45"/>
        <v>5427.272727272727</v>
      </c>
      <c r="CI17" s="292">
        <f t="shared" si="46"/>
        <v>196970</v>
      </c>
      <c r="CJ17" s="293">
        <f t="shared" si="47"/>
        <v>17906.363636363636</v>
      </c>
    </row>
    <row r="18" spans="1:88" ht="13.5" customHeight="1">
      <c r="A18" s="51"/>
      <c r="B18" s="333">
        <f t="shared" si="22"/>
        <v>45944</v>
      </c>
      <c r="C18" s="84"/>
      <c r="D18" s="53">
        <v>3</v>
      </c>
      <c r="E18" s="54">
        <v>9</v>
      </c>
      <c r="F18" s="55">
        <v>78000</v>
      </c>
      <c r="G18" s="56">
        <f t="shared" si="0"/>
        <v>7878.7777777777774</v>
      </c>
      <c r="H18" s="55">
        <v>14080</v>
      </c>
      <c r="I18" s="57">
        <f t="shared" si="1"/>
        <v>1422.2222222222222</v>
      </c>
      <c r="J18" s="58">
        <f t="shared" si="2"/>
        <v>92080</v>
      </c>
      <c r="K18" s="59">
        <f t="shared" si="3"/>
        <v>10231.111111111111</v>
      </c>
      <c r="L18" s="85"/>
      <c r="M18" s="86"/>
      <c r="N18" s="87"/>
      <c r="O18" s="88" t="e">
        <f t="shared" si="4"/>
        <v>#DIV/0!</v>
      </c>
      <c r="P18" s="87"/>
      <c r="Q18" s="89" t="e">
        <f t="shared" si="5"/>
        <v>#DIV/0!</v>
      </c>
      <c r="R18" s="90">
        <f t="shared" si="48"/>
        <v>0</v>
      </c>
      <c r="S18" s="91" t="str">
        <f t="shared" si="7"/>
        <v/>
      </c>
      <c r="T18" s="67">
        <f t="shared" si="23"/>
        <v>3</v>
      </c>
      <c r="U18" s="68">
        <f t="shared" si="24"/>
        <v>24000</v>
      </c>
      <c r="V18" s="56">
        <f t="shared" si="8"/>
        <v>7272.666666666667</v>
      </c>
      <c r="W18" s="68">
        <f t="shared" si="25"/>
        <v>6000</v>
      </c>
      <c r="X18" s="57">
        <f t="shared" si="9"/>
        <v>1818</v>
      </c>
      <c r="Y18" s="92">
        <f t="shared" si="26"/>
        <v>30000</v>
      </c>
      <c r="Z18" s="70">
        <f t="shared" si="10"/>
        <v>10000</v>
      </c>
      <c r="AA18" s="71">
        <f t="shared" si="27"/>
        <v>12</v>
      </c>
      <c r="AB18" s="68">
        <f t="shared" si="27"/>
        <v>102000</v>
      </c>
      <c r="AC18" s="68">
        <f t="shared" si="28"/>
        <v>20080</v>
      </c>
      <c r="AD18" s="72">
        <f t="shared" si="49"/>
        <v>122080</v>
      </c>
      <c r="AE18" s="68">
        <f t="shared" si="29"/>
        <v>10173.333333333334</v>
      </c>
      <c r="AF18" s="73">
        <v>49</v>
      </c>
      <c r="AG18" s="74">
        <v>50</v>
      </c>
      <c r="AH18" s="55">
        <v>59750</v>
      </c>
      <c r="AI18" s="56">
        <f t="shared" si="12"/>
        <v>1195</v>
      </c>
      <c r="AJ18" s="55">
        <v>6400</v>
      </c>
      <c r="AK18" s="57">
        <f t="shared" si="13"/>
        <v>128</v>
      </c>
      <c r="AL18" s="93">
        <f t="shared" si="30"/>
        <v>66150</v>
      </c>
      <c r="AM18" s="76">
        <f t="shared" si="14"/>
        <v>1323</v>
      </c>
      <c r="AN18" s="339">
        <v>1</v>
      </c>
      <c r="AO18" s="340">
        <v>1</v>
      </c>
      <c r="AP18" s="339"/>
      <c r="AQ18" s="340"/>
      <c r="AR18" s="99">
        <f t="shared" si="31"/>
        <v>12</v>
      </c>
      <c r="AS18" s="68">
        <f t="shared" si="32"/>
        <v>161750</v>
      </c>
      <c r="AT18" s="68">
        <f t="shared" si="15"/>
        <v>26480</v>
      </c>
      <c r="AU18" s="77">
        <f t="shared" si="33"/>
        <v>188230</v>
      </c>
      <c r="AV18" s="68">
        <f t="shared" si="50"/>
        <v>2200</v>
      </c>
      <c r="AW18" s="94">
        <v>12</v>
      </c>
      <c r="AX18" s="94">
        <v>102000</v>
      </c>
      <c r="AY18" s="94">
        <v>20080</v>
      </c>
      <c r="AZ18" s="95">
        <v>2200</v>
      </c>
      <c r="BA18" s="95">
        <v>0</v>
      </c>
      <c r="BB18" s="95">
        <v>0</v>
      </c>
      <c r="BC18" s="95">
        <v>0</v>
      </c>
      <c r="BD18" s="96">
        <f t="shared" si="34"/>
        <v>124280</v>
      </c>
      <c r="BE18" s="51">
        <v>14</v>
      </c>
      <c r="BF18" s="80">
        <f t="shared" si="35"/>
        <v>124280</v>
      </c>
      <c r="BG18" s="81">
        <f t="shared" si="16"/>
        <v>190430</v>
      </c>
      <c r="BO18" s="287">
        <f t="shared" si="36"/>
        <v>3</v>
      </c>
      <c r="BP18" s="54">
        <f t="shared" si="36"/>
        <v>9</v>
      </c>
      <c r="BQ18" s="68">
        <f t="shared" si="36"/>
        <v>78000</v>
      </c>
      <c r="BR18" s="56">
        <f t="shared" si="17"/>
        <v>7878.7777777777774</v>
      </c>
      <c r="BS18" s="68">
        <f t="shared" si="37"/>
        <v>14080</v>
      </c>
      <c r="BT18" s="57">
        <f t="shared" si="18"/>
        <v>1422.2222222222222</v>
      </c>
      <c r="BU18" s="58">
        <f t="shared" si="38"/>
        <v>92080</v>
      </c>
      <c r="BV18" s="59">
        <f t="shared" si="19"/>
        <v>10231.111111111111</v>
      </c>
      <c r="BW18" s="288">
        <f t="shared" si="39"/>
        <v>3</v>
      </c>
      <c r="BX18" s="68">
        <f t="shared" si="39"/>
        <v>24000</v>
      </c>
      <c r="BY18" s="56">
        <f t="shared" si="20"/>
        <v>7272.666666666667</v>
      </c>
      <c r="BZ18" s="68">
        <f t="shared" si="40"/>
        <v>6000</v>
      </c>
      <c r="CA18" s="57">
        <f t="shared" si="21"/>
        <v>1818</v>
      </c>
      <c r="CB18" s="289">
        <f t="shared" si="41"/>
        <v>30000</v>
      </c>
      <c r="CC18" s="290" t="e">
        <v>#DIV/0!</v>
      </c>
      <c r="CD18" s="291">
        <f t="shared" si="42"/>
        <v>12</v>
      </c>
      <c r="CE18" s="68">
        <f t="shared" si="42"/>
        <v>102000</v>
      </c>
      <c r="CF18" s="57">
        <f t="shared" si="43"/>
        <v>7727.25</v>
      </c>
      <c r="CG18" s="68">
        <f t="shared" si="44"/>
        <v>20080</v>
      </c>
      <c r="CH18" s="57">
        <f t="shared" si="45"/>
        <v>1521.1666666666667</v>
      </c>
      <c r="CI18" s="292">
        <f t="shared" si="46"/>
        <v>122080</v>
      </c>
      <c r="CJ18" s="293">
        <f t="shared" si="47"/>
        <v>10173.333333333334</v>
      </c>
    </row>
    <row r="19" spans="1:88" ht="13.5" customHeight="1">
      <c r="A19" s="51"/>
      <c r="B19" s="333">
        <f t="shared" si="22"/>
        <v>45945</v>
      </c>
      <c r="C19" s="84"/>
      <c r="D19" s="53">
        <v>1</v>
      </c>
      <c r="E19" s="54">
        <v>2</v>
      </c>
      <c r="F19" s="55">
        <v>8800</v>
      </c>
      <c r="G19" s="56">
        <f t="shared" si="0"/>
        <v>4000</v>
      </c>
      <c r="H19" s="55">
        <v>3410</v>
      </c>
      <c r="I19" s="57">
        <f t="shared" si="1"/>
        <v>1550</v>
      </c>
      <c r="J19" s="58">
        <f t="shared" si="2"/>
        <v>12210</v>
      </c>
      <c r="K19" s="59">
        <f t="shared" si="3"/>
        <v>6105</v>
      </c>
      <c r="L19" s="85"/>
      <c r="M19" s="86"/>
      <c r="N19" s="87"/>
      <c r="O19" s="88" t="e">
        <f t="shared" si="4"/>
        <v>#DIV/0!</v>
      </c>
      <c r="P19" s="87"/>
      <c r="Q19" s="89" t="e">
        <f t="shared" si="5"/>
        <v>#DIV/0!</v>
      </c>
      <c r="R19" s="90">
        <f t="shared" si="48"/>
        <v>0</v>
      </c>
      <c r="S19" s="91" t="str">
        <f t="shared" si="7"/>
        <v/>
      </c>
      <c r="T19" s="67">
        <f t="shared" si="23"/>
        <v>13</v>
      </c>
      <c r="U19" s="68">
        <f t="shared" si="24"/>
        <v>146500</v>
      </c>
      <c r="V19" s="56">
        <f t="shared" si="8"/>
        <v>10244.692307692309</v>
      </c>
      <c r="W19" s="68">
        <f t="shared" si="25"/>
        <v>58080</v>
      </c>
      <c r="X19" s="100">
        <f t="shared" si="9"/>
        <v>4061.5384615384614</v>
      </c>
      <c r="Y19" s="92">
        <f t="shared" si="26"/>
        <v>204580</v>
      </c>
      <c r="Z19" s="70">
        <f t="shared" si="10"/>
        <v>15736.923076923076</v>
      </c>
      <c r="AA19" s="71">
        <f t="shared" si="27"/>
        <v>15</v>
      </c>
      <c r="AB19" s="68">
        <f t="shared" si="27"/>
        <v>155300</v>
      </c>
      <c r="AC19" s="68">
        <f t="shared" si="28"/>
        <v>61490</v>
      </c>
      <c r="AD19" s="72">
        <f t="shared" si="49"/>
        <v>216790</v>
      </c>
      <c r="AE19" s="68">
        <f t="shared" si="29"/>
        <v>14452.666666666666</v>
      </c>
      <c r="AF19" s="73">
        <v>79</v>
      </c>
      <c r="AG19" s="74">
        <v>80</v>
      </c>
      <c r="AH19" s="55">
        <v>97510</v>
      </c>
      <c r="AI19" s="56">
        <f t="shared" si="12"/>
        <v>1218.875</v>
      </c>
      <c r="AJ19" s="55">
        <v>11900</v>
      </c>
      <c r="AK19" s="57">
        <f t="shared" si="13"/>
        <v>148.75</v>
      </c>
      <c r="AL19" s="93">
        <f t="shared" si="30"/>
        <v>109410</v>
      </c>
      <c r="AM19" s="76">
        <f t="shared" si="14"/>
        <v>1367.625</v>
      </c>
      <c r="AN19" s="339">
        <v>0</v>
      </c>
      <c r="AO19" s="340">
        <v>0</v>
      </c>
      <c r="AP19" s="339"/>
      <c r="AQ19" s="340"/>
      <c r="AR19" s="99">
        <f t="shared" si="31"/>
        <v>15</v>
      </c>
      <c r="AS19" s="68">
        <f t="shared" si="32"/>
        <v>252810</v>
      </c>
      <c r="AT19" s="68">
        <f t="shared" si="15"/>
        <v>73390</v>
      </c>
      <c r="AU19" s="77">
        <f t="shared" si="33"/>
        <v>326200</v>
      </c>
      <c r="AV19" s="68">
        <f t="shared" si="50"/>
        <v>4400</v>
      </c>
      <c r="AW19" s="94">
        <v>15</v>
      </c>
      <c r="AX19" s="94">
        <v>155300</v>
      </c>
      <c r="AY19" s="94">
        <v>61490</v>
      </c>
      <c r="AZ19" s="95">
        <v>4400</v>
      </c>
      <c r="BA19" s="95">
        <v>0</v>
      </c>
      <c r="BB19" s="95">
        <v>0</v>
      </c>
      <c r="BC19" s="95">
        <v>0</v>
      </c>
      <c r="BD19" s="96">
        <f t="shared" si="34"/>
        <v>221190</v>
      </c>
      <c r="BE19" s="51">
        <v>15</v>
      </c>
      <c r="BF19" s="80">
        <f t="shared" si="35"/>
        <v>221190</v>
      </c>
      <c r="BG19" s="81">
        <f t="shared" si="16"/>
        <v>330600</v>
      </c>
      <c r="BO19" s="287">
        <f t="shared" si="36"/>
        <v>1</v>
      </c>
      <c r="BP19" s="54">
        <f t="shared" si="36"/>
        <v>2</v>
      </c>
      <c r="BQ19" s="68">
        <f t="shared" si="36"/>
        <v>8800</v>
      </c>
      <c r="BR19" s="56">
        <f t="shared" si="17"/>
        <v>4000</v>
      </c>
      <c r="BS19" s="68">
        <f t="shared" si="37"/>
        <v>3410</v>
      </c>
      <c r="BT19" s="57">
        <f t="shared" si="18"/>
        <v>1550</v>
      </c>
      <c r="BU19" s="58">
        <f t="shared" si="38"/>
        <v>12210</v>
      </c>
      <c r="BV19" s="59">
        <f t="shared" si="19"/>
        <v>6105</v>
      </c>
      <c r="BW19" s="288">
        <f t="shared" si="39"/>
        <v>13</v>
      </c>
      <c r="BX19" s="68">
        <f t="shared" si="39"/>
        <v>146500</v>
      </c>
      <c r="BY19" s="56">
        <f t="shared" si="20"/>
        <v>10244.692307692309</v>
      </c>
      <c r="BZ19" s="68">
        <f t="shared" si="40"/>
        <v>58080</v>
      </c>
      <c r="CA19" s="57">
        <f t="shared" si="21"/>
        <v>4061.5384615384614</v>
      </c>
      <c r="CB19" s="289">
        <f t="shared" si="41"/>
        <v>204580</v>
      </c>
      <c r="CC19" s="290" t="e">
        <v>#DIV/0!</v>
      </c>
      <c r="CD19" s="291">
        <f t="shared" si="42"/>
        <v>15</v>
      </c>
      <c r="CE19" s="68">
        <f t="shared" si="42"/>
        <v>155300</v>
      </c>
      <c r="CF19" s="57">
        <f t="shared" si="43"/>
        <v>9412.0666666666675</v>
      </c>
      <c r="CG19" s="68">
        <f t="shared" si="44"/>
        <v>61490</v>
      </c>
      <c r="CH19" s="57">
        <f t="shared" si="45"/>
        <v>3726.6666666666665</v>
      </c>
      <c r="CI19" s="292">
        <f t="shared" si="46"/>
        <v>216790</v>
      </c>
      <c r="CJ19" s="293">
        <f t="shared" si="47"/>
        <v>14452.666666666666</v>
      </c>
    </row>
    <row r="20" spans="1:88" ht="13.5" customHeight="1">
      <c r="A20" s="51"/>
      <c r="B20" s="333">
        <f t="shared" si="22"/>
        <v>45946</v>
      </c>
      <c r="C20" s="84"/>
      <c r="D20" s="53">
        <v>2</v>
      </c>
      <c r="E20" s="54">
        <v>4</v>
      </c>
      <c r="F20" s="55">
        <v>18800</v>
      </c>
      <c r="G20" s="56">
        <f t="shared" si="0"/>
        <v>4272.5</v>
      </c>
      <c r="H20" s="55">
        <v>4300</v>
      </c>
      <c r="I20" s="56">
        <f t="shared" si="1"/>
        <v>977.25</v>
      </c>
      <c r="J20" s="58">
        <f t="shared" si="2"/>
        <v>23100</v>
      </c>
      <c r="K20" s="59">
        <f t="shared" si="3"/>
        <v>5775</v>
      </c>
      <c r="L20" s="85"/>
      <c r="M20" s="86"/>
      <c r="N20" s="87"/>
      <c r="O20" s="88" t="e">
        <f t="shared" si="4"/>
        <v>#DIV/0!</v>
      </c>
      <c r="P20" s="87"/>
      <c r="Q20" s="89" t="e">
        <f t="shared" si="5"/>
        <v>#DIV/0!</v>
      </c>
      <c r="R20" s="90">
        <f t="shared" si="48"/>
        <v>0</v>
      </c>
      <c r="S20" s="91" t="str">
        <f t="shared" si="7"/>
        <v/>
      </c>
      <c r="T20" s="67">
        <f t="shared" si="23"/>
        <v>1</v>
      </c>
      <c r="U20" s="68">
        <f t="shared" si="24"/>
        <v>10000</v>
      </c>
      <c r="V20" s="56">
        <f t="shared" si="8"/>
        <v>9090</v>
      </c>
      <c r="W20" s="68">
        <f t="shared" si="25"/>
        <v>6600</v>
      </c>
      <c r="X20" s="100">
        <f t="shared" si="9"/>
        <v>6000</v>
      </c>
      <c r="Y20" s="92">
        <f t="shared" si="26"/>
        <v>16600</v>
      </c>
      <c r="Z20" s="70">
        <f t="shared" si="10"/>
        <v>16600</v>
      </c>
      <c r="AA20" s="71">
        <f t="shared" si="27"/>
        <v>5</v>
      </c>
      <c r="AB20" s="68">
        <f t="shared" si="27"/>
        <v>28800</v>
      </c>
      <c r="AC20" s="68">
        <f t="shared" si="28"/>
        <v>10900</v>
      </c>
      <c r="AD20" s="72">
        <f t="shared" si="49"/>
        <v>39700</v>
      </c>
      <c r="AE20" s="68">
        <f t="shared" si="29"/>
        <v>7940</v>
      </c>
      <c r="AF20" s="73">
        <v>80</v>
      </c>
      <c r="AG20" s="74">
        <v>85</v>
      </c>
      <c r="AH20" s="55">
        <v>96550</v>
      </c>
      <c r="AI20" s="56">
        <f t="shared" si="12"/>
        <v>1135.8823529411766</v>
      </c>
      <c r="AJ20" s="55">
        <v>16900</v>
      </c>
      <c r="AK20" s="57">
        <f t="shared" si="13"/>
        <v>198.8235294117647</v>
      </c>
      <c r="AL20" s="93">
        <f t="shared" si="30"/>
        <v>113450</v>
      </c>
      <c r="AM20" s="76">
        <f t="shared" si="14"/>
        <v>1334.7058823529412</v>
      </c>
      <c r="AN20" s="339">
        <v>1</v>
      </c>
      <c r="AO20" s="340">
        <v>5</v>
      </c>
      <c r="AP20" s="339">
        <v>1</v>
      </c>
      <c r="AQ20" s="340">
        <v>1</v>
      </c>
      <c r="AR20" s="99">
        <f t="shared" si="31"/>
        <v>5</v>
      </c>
      <c r="AS20" s="94">
        <f t="shared" si="32"/>
        <v>125350</v>
      </c>
      <c r="AT20" s="94">
        <f t="shared" si="15"/>
        <v>27800</v>
      </c>
      <c r="AU20" s="77">
        <f t="shared" si="33"/>
        <v>153150</v>
      </c>
      <c r="AV20" s="68">
        <f t="shared" si="50"/>
        <v>0</v>
      </c>
      <c r="AW20" s="94">
        <v>5</v>
      </c>
      <c r="AX20" s="94">
        <v>28800</v>
      </c>
      <c r="AY20" s="94">
        <v>10900</v>
      </c>
      <c r="AZ20" s="95">
        <v>0</v>
      </c>
      <c r="BA20" s="95">
        <v>0</v>
      </c>
      <c r="BB20" s="95">
        <v>0</v>
      </c>
      <c r="BC20" s="95">
        <v>0</v>
      </c>
      <c r="BD20" s="96">
        <f t="shared" si="34"/>
        <v>39700</v>
      </c>
      <c r="BE20" s="51">
        <v>16</v>
      </c>
      <c r="BF20" s="80">
        <f t="shared" si="35"/>
        <v>39700</v>
      </c>
      <c r="BG20" s="81">
        <f t="shared" si="16"/>
        <v>153150</v>
      </c>
      <c r="BO20" s="287">
        <f t="shared" si="36"/>
        <v>2</v>
      </c>
      <c r="BP20" s="54">
        <f t="shared" si="36"/>
        <v>4</v>
      </c>
      <c r="BQ20" s="68">
        <f t="shared" si="36"/>
        <v>18800</v>
      </c>
      <c r="BR20" s="56">
        <f t="shared" si="17"/>
        <v>4272.5</v>
      </c>
      <c r="BS20" s="68">
        <f t="shared" si="37"/>
        <v>4300</v>
      </c>
      <c r="BT20" s="57">
        <f t="shared" si="18"/>
        <v>977.25</v>
      </c>
      <c r="BU20" s="58">
        <f t="shared" si="38"/>
        <v>23100</v>
      </c>
      <c r="BV20" s="59">
        <f t="shared" si="19"/>
        <v>5775</v>
      </c>
      <c r="BW20" s="288">
        <f t="shared" si="39"/>
        <v>1</v>
      </c>
      <c r="BX20" s="68">
        <f t="shared" si="39"/>
        <v>10000</v>
      </c>
      <c r="BY20" s="56">
        <f t="shared" si="20"/>
        <v>9090</v>
      </c>
      <c r="BZ20" s="68">
        <f t="shared" si="40"/>
        <v>6600</v>
      </c>
      <c r="CA20" s="57">
        <f t="shared" si="21"/>
        <v>6000</v>
      </c>
      <c r="CB20" s="289">
        <f t="shared" si="41"/>
        <v>16600</v>
      </c>
      <c r="CC20" s="290" t="e">
        <v>#DIV/0!</v>
      </c>
      <c r="CD20" s="291">
        <f t="shared" si="42"/>
        <v>5</v>
      </c>
      <c r="CE20" s="68">
        <f t="shared" si="42"/>
        <v>28800</v>
      </c>
      <c r="CF20" s="57">
        <f t="shared" si="43"/>
        <v>5236.2</v>
      </c>
      <c r="CG20" s="68">
        <f t="shared" si="44"/>
        <v>10900</v>
      </c>
      <c r="CH20" s="57">
        <f t="shared" si="45"/>
        <v>1981.8</v>
      </c>
      <c r="CI20" s="292">
        <f t="shared" si="46"/>
        <v>39700</v>
      </c>
      <c r="CJ20" s="293">
        <f t="shared" si="47"/>
        <v>7940</v>
      </c>
    </row>
    <row r="21" spans="1:88" ht="15.75" customHeight="1">
      <c r="A21" s="51"/>
      <c r="B21" s="333">
        <f t="shared" si="22"/>
        <v>45947</v>
      </c>
      <c r="C21" s="84"/>
      <c r="D21" s="53">
        <v>4</v>
      </c>
      <c r="E21" s="54">
        <v>9</v>
      </c>
      <c r="F21" s="55">
        <v>52400</v>
      </c>
      <c r="G21" s="56">
        <f t="shared" si="0"/>
        <v>5292.8888888888887</v>
      </c>
      <c r="H21" s="55">
        <v>4950</v>
      </c>
      <c r="I21" s="56">
        <f t="shared" si="1"/>
        <v>500</v>
      </c>
      <c r="J21" s="58">
        <f t="shared" si="2"/>
        <v>57350</v>
      </c>
      <c r="K21" s="59">
        <f t="shared" si="3"/>
        <v>6372.2222222222226</v>
      </c>
      <c r="L21" s="85"/>
      <c r="M21" s="86"/>
      <c r="N21" s="87"/>
      <c r="O21" s="88" t="e">
        <f t="shared" si="4"/>
        <v>#DIV/0!</v>
      </c>
      <c r="P21" s="87"/>
      <c r="Q21" s="89" t="e">
        <f t="shared" si="5"/>
        <v>#DIV/0!</v>
      </c>
      <c r="R21" s="90">
        <f t="shared" si="48"/>
        <v>0</v>
      </c>
      <c r="S21" s="91" t="str">
        <f t="shared" si="7"/>
        <v/>
      </c>
      <c r="T21" s="67">
        <f t="shared" si="23"/>
        <v>2</v>
      </c>
      <c r="U21" s="68">
        <f t="shared" si="24"/>
        <v>20000</v>
      </c>
      <c r="V21" s="56">
        <f t="shared" si="8"/>
        <v>9090.5</v>
      </c>
      <c r="W21" s="68">
        <f t="shared" si="25"/>
        <v>13200</v>
      </c>
      <c r="X21" s="100">
        <f t="shared" si="9"/>
        <v>6000</v>
      </c>
      <c r="Y21" s="92">
        <f>U21+W21</f>
        <v>33200</v>
      </c>
      <c r="Z21" s="70">
        <f t="shared" si="10"/>
        <v>16600</v>
      </c>
      <c r="AA21" s="71">
        <f t="shared" si="27"/>
        <v>11</v>
      </c>
      <c r="AB21" s="68">
        <f t="shared" si="27"/>
        <v>72400</v>
      </c>
      <c r="AC21" s="68">
        <f t="shared" si="28"/>
        <v>18150</v>
      </c>
      <c r="AD21" s="72">
        <f t="shared" si="49"/>
        <v>90550</v>
      </c>
      <c r="AE21" s="68">
        <f t="shared" si="29"/>
        <v>8231.818181818182</v>
      </c>
      <c r="AF21" s="73">
        <v>94</v>
      </c>
      <c r="AG21" s="74">
        <v>101</v>
      </c>
      <c r="AH21" s="55">
        <v>80980</v>
      </c>
      <c r="AI21" s="56">
        <f t="shared" si="12"/>
        <v>801.78217821782175</v>
      </c>
      <c r="AJ21" s="55">
        <v>28400</v>
      </c>
      <c r="AK21" s="57">
        <f t="shared" si="13"/>
        <v>281.18811881188117</v>
      </c>
      <c r="AL21" s="93">
        <f t="shared" si="30"/>
        <v>109380</v>
      </c>
      <c r="AM21" s="76">
        <f t="shared" si="14"/>
        <v>1082.970297029703</v>
      </c>
      <c r="AN21" s="339">
        <v>0</v>
      </c>
      <c r="AO21" s="340">
        <v>0</v>
      </c>
      <c r="AP21" s="339">
        <v>0</v>
      </c>
      <c r="AQ21" s="340">
        <v>0</v>
      </c>
      <c r="AR21" s="99">
        <f t="shared" si="31"/>
        <v>11</v>
      </c>
      <c r="AS21" s="94">
        <f t="shared" si="32"/>
        <v>153380</v>
      </c>
      <c r="AT21" s="94">
        <f t="shared" si="15"/>
        <v>46550</v>
      </c>
      <c r="AU21" s="77">
        <f t="shared" si="33"/>
        <v>199930</v>
      </c>
      <c r="AV21" s="68">
        <f>AZ21+BA21+BB21</f>
        <v>0</v>
      </c>
      <c r="AW21" s="94">
        <v>11</v>
      </c>
      <c r="AX21" s="94">
        <v>72400</v>
      </c>
      <c r="AY21" s="94">
        <v>18150</v>
      </c>
      <c r="AZ21" s="95">
        <v>0</v>
      </c>
      <c r="BA21" s="95">
        <v>0</v>
      </c>
      <c r="BB21" s="95">
        <v>0</v>
      </c>
      <c r="BC21" s="95">
        <v>0</v>
      </c>
      <c r="BD21" s="96">
        <f t="shared" si="34"/>
        <v>90550</v>
      </c>
      <c r="BE21" s="51">
        <v>17</v>
      </c>
      <c r="BF21" s="80">
        <f t="shared" si="35"/>
        <v>90550</v>
      </c>
      <c r="BG21" s="81">
        <f t="shared" si="16"/>
        <v>199930</v>
      </c>
      <c r="BO21" s="287">
        <f t="shared" si="36"/>
        <v>4</v>
      </c>
      <c r="BP21" s="54">
        <f t="shared" si="36"/>
        <v>9</v>
      </c>
      <c r="BQ21" s="68">
        <f t="shared" si="36"/>
        <v>52400</v>
      </c>
      <c r="BR21" s="56">
        <f t="shared" si="17"/>
        <v>5292.8888888888887</v>
      </c>
      <c r="BS21" s="68">
        <f t="shared" si="37"/>
        <v>4950</v>
      </c>
      <c r="BT21" s="57">
        <f t="shared" si="18"/>
        <v>500</v>
      </c>
      <c r="BU21" s="58">
        <f t="shared" si="38"/>
        <v>57350</v>
      </c>
      <c r="BV21" s="59">
        <f t="shared" si="19"/>
        <v>6372.2222222222226</v>
      </c>
      <c r="BW21" s="288">
        <f t="shared" si="39"/>
        <v>2</v>
      </c>
      <c r="BX21" s="68">
        <f t="shared" si="39"/>
        <v>20000</v>
      </c>
      <c r="BY21" s="56">
        <f t="shared" si="20"/>
        <v>9090.5</v>
      </c>
      <c r="BZ21" s="68">
        <f t="shared" si="40"/>
        <v>13200</v>
      </c>
      <c r="CA21" s="57">
        <f t="shared" si="21"/>
        <v>6000</v>
      </c>
      <c r="CB21" s="289">
        <f t="shared" si="41"/>
        <v>33200</v>
      </c>
      <c r="CC21" s="290" t="e">
        <v>#DIV/0!</v>
      </c>
      <c r="CD21" s="291">
        <f t="shared" si="42"/>
        <v>11</v>
      </c>
      <c r="CE21" s="68">
        <f t="shared" si="42"/>
        <v>72400</v>
      </c>
      <c r="CF21" s="57">
        <f t="shared" si="43"/>
        <v>5983.454545454545</v>
      </c>
      <c r="CG21" s="68">
        <f t="shared" si="44"/>
        <v>18150</v>
      </c>
      <c r="CH21" s="57">
        <f t="shared" si="45"/>
        <v>1500</v>
      </c>
      <c r="CI21" s="292">
        <f t="shared" si="46"/>
        <v>90550</v>
      </c>
      <c r="CJ21" s="293">
        <f t="shared" si="47"/>
        <v>8231.818181818182</v>
      </c>
    </row>
    <row r="22" spans="1:88" ht="15.75" customHeight="1">
      <c r="A22" s="51"/>
      <c r="B22" s="347">
        <f t="shared" si="22"/>
        <v>45948</v>
      </c>
      <c r="C22" s="84"/>
      <c r="D22" s="53">
        <v>4</v>
      </c>
      <c r="E22" s="54">
        <v>10</v>
      </c>
      <c r="F22" s="55">
        <v>60000</v>
      </c>
      <c r="G22" s="56">
        <f t="shared" si="0"/>
        <v>5454.5</v>
      </c>
      <c r="H22" s="55">
        <v>9460</v>
      </c>
      <c r="I22" s="56">
        <f t="shared" si="1"/>
        <v>860</v>
      </c>
      <c r="J22" s="58">
        <f t="shared" si="2"/>
        <v>69460</v>
      </c>
      <c r="K22" s="59">
        <f t="shared" si="3"/>
        <v>6946</v>
      </c>
      <c r="L22" s="85">
        <v>1</v>
      </c>
      <c r="M22" s="86">
        <v>2</v>
      </c>
      <c r="N22" s="87">
        <v>7700</v>
      </c>
      <c r="O22" s="88">
        <f t="shared" si="4"/>
        <v>3850</v>
      </c>
      <c r="P22" s="87">
        <v>1100</v>
      </c>
      <c r="Q22" s="89">
        <f t="shared" si="5"/>
        <v>550</v>
      </c>
      <c r="R22" s="90">
        <f t="shared" si="48"/>
        <v>8800</v>
      </c>
      <c r="S22" s="91">
        <f t="shared" si="7"/>
        <v>4400</v>
      </c>
      <c r="T22" s="67">
        <f t="shared" si="23"/>
        <v>7</v>
      </c>
      <c r="U22" s="68">
        <f t="shared" si="24"/>
        <v>82400</v>
      </c>
      <c r="V22" s="56">
        <f t="shared" si="8"/>
        <v>10701.285714285714</v>
      </c>
      <c r="W22" s="68">
        <f t="shared" si="25"/>
        <v>24970</v>
      </c>
      <c r="X22" s="100">
        <f t="shared" si="9"/>
        <v>3242.8571428571427</v>
      </c>
      <c r="Y22" s="92">
        <f t="shared" si="26"/>
        <v>107370</v>
      </c>
      <c r="Z22" s="70">
        <f t="shared" si="10"/>
        <v>15338.571428571429</v>
      </c>
      <c r="AA22" s="71">
        <f t="shared" si="27"/>
        <v>19</v>
      </c>
      <c r="AB22" s="68">
        <f t="shared" si="27"/>
        <v>150100</v>
      </c>
      <c r="AC22" s="68">
        <f t="shared" si="28"/>
        <v>35530</v>
      </c>
      <c r="AD22" s="72">
        <f t="shared" si="49"/>
        <v>185630</v>
      </c>
      <c r="AE22" s="68">
        <f t="shared" si="29"/>
        <v>9770</v>
      </c>
      <c r="AF22" s="73">
        <v>89</v>
      </c>
      <c r="AG22" s="74">
        <v>95</v>
      </c>
      <c r="AH22" s="55">
        <v>96930</v>
      </c>
      <c r="AI22" s="56">
        <f t="shared" si="12"/>
        <v>1020.3157894736842</v>
      </c>
      <c r="AJ22" s="55">
        <v>17000</v>
      </c>
      <c r="AK22" s="57">
        <f t="shared" si="13"/>
        <v>178.94736842105263</v>
      </c>
      <c r="AL22" s="93">
        <f t="shared" si="30"/>
        <v>113930</v>
      </c>
      <c r="AM22" s="76">
        <f t="shared" si="14"/>
        <v>1199.2631578947369</v>
      </c>
      <c r="AN22" s="339">
        <v>1</v>
      </c>
      <c r="AO22" s="340">
        <v>1</v>
      </c>
      <c r="AP22" s="339">
        <v>0</v>
      </c>
      <c r="AQ22" s="340">
        <v>0</v>
      </c>
      <c r="AR22" s="99">
        <f t="shared" si="31"/>
        <v>17</v>
      </c>
      <c r="AS22" s="94">
        <f t="shared" si="32"/>
        <v>247030</v>
      </c>
      <c r="AT22" s="94">
        <f t="shared" si="15"/>
        <v>52530</v>
      </c>
      <c r="AU22" s="77">
        <f t="shared" si="33"/>
        <v>299560</v>
      </c>
      <c r="AV22" s="68">
        <f t="shared" si="50"/>
        <v>0</v>
      </c>
      <c r="AW22" s="94">
        <v>19</v>
      </c>
      <c r="AX22" s="94">
        <v>150100</v>
      </c>
      <c r="AY22" s="94">
        <v>35530</v>
      </c>
      <c r="AZ22" s="95">
        <v>0</v>
      </c>
      <c r="BA22" s="95">
        <v>0</v>
      </c>
      <c r="BB22" s="95">
        <v>0</v>
      </c>
      <c r="BC22" s="95">
        <v>0</v>
      </c>
      <c r="BD22" s="96">
        <f t="shared" si="34"/>
        <v>185630</v>
      </c>
      <c r="BE22" s="51">
        <v>18</v>
      </c>
      <c r="BF22" s="80">
        <f t="shared" si="35"/>
        <v>185630</v>
      </c>
      <c r="BG22" s="81">
        <f t="shared" si="16"/>
        <v>299560</v>
      </c>
      <c r="BO22" s="287">
        <f t="shared" si="36"/>
        <v>4</v>
      </c>
      <c r="BP22" s="54">
        <f t="shared" si="36"/>
        <v>10</v>
      </c>
      <c r="BQ22" s="68">
        <f t="shared" si="36"/>
        <v>60000</v>
      </c>
      <c r="BR22" s="56">
        <f t="shared" si="17"/>
        <v>5454.5</v>
      </c>
      <c r="BS22" s="68">
        <f t="shared" si="37"/>
        <v>9460</v>
      </c>
      <c r="BT22" s="57">
        <f t="shared" si="18"/>
        <v>860</v>
      </c>
      <c r="BU22" s="58">
        <f t="shared" si="38"/>
        <v>69460</v>
      </c>
      <c r="BV22" s="59">
        <f t="shared" si="19"/>
        <v>6946</v>
      </c>
      <c r="BW22" s="288">
        <f t="shared" si="39"/>
        <v>7</v>
      </c>
      <c r="BX22" s="68">
        <f t="shared" si="39"/>
        <v>82400</v>
      </c>
      <c r="BY22" s="56">
        <f t="shared" si="20"/>
        <v>10701.285714285714</v>
      </c>
      <c r="BZ22" s="68">
        <f t="shared" si="40"/>
        <v>24970</v>
      </c>
      <c r="CA22" s="57">
        <f t="shared" si="21"/>
        <v>3242.8571428571427</v>
      </c>
      <c r="CB22" s="289">
        <f t="shared" si="41"/>
        <v>107370</v>
      </c>
      <c r="CC22" s="290" t="e">
        <v>#DIV/0!</v>
      </c>
      <c r="CD22" s="291">
        <f t="shared" si="42"/>
        <v>17</v>
      </c>
      <c r="CE22" s="68">
        <f t="shared" si="42"/>
        <v>142400</v>
      </c>
      <c r="CF22" s="57">
        <f t="shared" si="43"/>
        <v>7614.9411764705883</v>
      </c>
      <c r="CG22" s="68">
        <f t="shared" si="44"/>
        <v>34430</v>
      </c>
      <c r="CH22" s="57">
        <f t="shared" si="45"/>
        <v>1841.1764705882354</v>
      </c>
      <c r="CI22" s="292">
        <f t="shared" si="46"/>
        <v>176830</v>
      </c>
      <c r="CJ22" s="293">
        <f t="shared" si="47"/>
        <v>10401.764705882353</v>
      </c>
    </row>
    <row r="23" spans="1:88" ht="15.75" customHeight="1">
      <c r="A23" s="51"/>
      <c r="B23" s="97">
        <f t="shared" si="22"/>
        <v>45949</v>
      </c>
      <c r="C23" s="84"/>
      <c r="D23" s="53">
        <v>6</v>
      </c>
      <c r="E23" s="54">
        <v>9</v>
      </c>
      <c r="F23" s="55">
        <v>102880</v>
      </c>
      <c r="G23" s="56">
        <f t="shared" si="0"/>
        <v>10391.888888888889</v>
      </c>
      <c r="H23" s="55">
        <v>37620</v>
      </c>
      <c r="I23" s="56">
        <f t="shared" si="1"/>
        <v>3800</v>
      </c>
      <c r="J23" s="58">
        <f t="shared" si="2"/>
        <v>140500</v>
      </c>
      <c r="K23" s="59">
        <f t="shared" si="3"/>
        <v>15611.111111111111</v>
      </c>
      <c r="L23" s="85"/>
      <c r="M23" s="86"/>
      <c r="N23" s="87"/>
      <c r="O23" s="88" t="e">
        <f t="shared" si="4"/>
        <v>#DIV/0!</v>
      </c>
      <c r="P23" s="87"/>
      <c r="Q23" s="89" t="e">
        <f t="shared" si="5"/>
        <v>#DIV/0!</v>
      </c>
      <c r="R23" s="90">
        <f t="shared" si="48"/>
        <v>0</v>
      </c>
      <c r="S23" s="91" t="str">
        <f t="shared" si="7"/>
        <v/>
      </c>
      <c r="T23" s="67">
        <f t="shared" si="23"/>
        <v>2</v>
      </c>
      <c r="U23" s="68">
        <f t="shared" si="24"/>
        <v>20000</v>
      </c>
      <c r="V23" s="56">
        <f t="shared" si="8"/>
        <v>9090.5</v>
      </c>
      <c r="W23" s="68">
        <f t="shared" si="25"/>
        <v>22000</v>
      </c>
      <c r="X23" s="100">
        <f t="shared" si="9"/>
        <v>10000</v>
      </c>
      <c r="Y23" s="92">
        <f t="shared" si="26"/>
        <v>42000</v>
      </c>
      <c r="Z23" s="70">
        <f t="shared" si="10"/>
        <v>21000</v>
      </c>
      <c r="AA23" s="71">
        <f t="shared" si="27"/>
        <v>11</v>
      </c>
      <c r="AB23" s="68">
        <f t="shared" si="27"/>
        <v>122880</v>
      </c>
      <c r="AC23" s="68">
        <f t="shared" si="28"/>
        <v>59620</v>
      </c>
      <c r="AD23" s="72">
        <f t="shared" si="49"/>
        <v>182500</v>
      </c>
      <c r="AE23" s="68">
        <f t="shared" si="29"/>
        <v>16590.909090909092</v>
      </c>
      <c r="AF23" s="73">
        <v>93</v>
      </c>
      <c r="AG23" s="74">
        <v>96</v>
      </c>
      <c r="AH23" s="55">
        <v>110850</v>
      </c>
      <c r="AI23" s="56">
        <f t="shared" si="12"/>
        <v>1154.6875</v>
      </c>
      <c r="AJ23" s="55">
        <v>20000</v>
      </c>
      <c r="AK23" s="57">
        <f t="shared" si="13"/>
        <v>208.33333333333334</v>
      </c>
      <c r="AL23" s="93">
        <f t="shared" si="30"/>
        <v>130850</v>
      </c>
      <c r="AM23" s="76">
        <f t="shared" si="14"/>
        <v>1363.0208333333333</v>
      </c>
      <c r="AN23" s="339">
        <v>0</v>
      </c>
      <c r="AO23" s="340">
        <v>0</v>
      </c>
      <c r="AP23" s="339">
        <v>1</v>
      </c>
      <c r="AQ23" s="340">
        <v>1</v>
      </c>
      <c r="AR23" s="99">
        <f t="shared" si="31"/>
        <v>11</v>
      </c>
      <c r="AS23" s="94">
        <f t="shared" si="32"/>
        <v>233730</v>
      </c>
      <c r="AT23" s="94">
        <f t="shared" si="15"/>
        <v>79620</v>
      </c>
      <c r="AU23" s="77">
        <f t="shared" si="33"/>
        <v>313350</v>
      </c>
      <c r="AV23" s="68">
        <f t="shared" si="50"/>
        <v>0</v>
      </c>
      <c r="AW23" s="94">
        <v>11</v>
      </c>
      <c r="AX23" s="94">
        <v>122880</v>
      </c>
      <c r="AY23" s="94">
        <v>59620</v>
      </c>
      <c r="AZ23" s="95">
        <v>0</v>
      </c>
      <c r="BA23" s="95">
        <v>0</v>
      </c>
      <c r="BB23" s="95">
        <v>0</v>
      </c>
      <c r="BC23" s="95">
        <v>0</v>
      </c>
      <c r="BD23" s="96">
        <f t="shared" si="34"/>
        <v>182500</v>
      </c>
      <c r="BE23" s="51">
        <v>19</v>
      </c>
      <c r="BF23" s="80">
        <f t="shared" si="35"/>
        <v>182500</v>
      </c>
      <c r="BG23" s="81">
        <f t="shared" si="16"/>
        <v>313350</v>
      </c>
      <c r="BO23" s="287">
        <f t="shared" si="36"/>
        <v>6</v>
      </c>
      <c r="BP23" s="54">
        <f t="shared" si="36"/>
        <v>9</v>
      </c>
      <c r="BQ23" s="68">
        <f t="shared" si="36"/>
        <v>102880</v>
      </c>
      <c r="BR23" s="56">
        <f t="shared" si="17"/>
        <v>10391.888888888889</v>
      </c>
      <c r="BS23" s="68">
        <f t="shared" si="37"/>
        <v>37620</v>
      </c>
      <c r="BT23" s="57">
        <f t="shared" si="18"/>
        <v>3800</v>
      </c>
      <c r="BU23" s="58">
        <f t="shared" si="38"/>
        <v>140500</v>
      </c>
      <c r="BV23" s="59">
        <f t="shared" si="19"/>
        <v>15611.111111111111</v>
      </c>
      <c r="BW23" s="288">
        <f t="shared" si="39"/>
        <v>2</v>
      </c>
      <c r="BX23" s="68">
        <f t="shared" si="39"/>
        <v>20000</v>
      </c>
      <c r="BY23" s="56">
        <f t="shared" si="20"/>
        <v>9090.5</v>
      </c>
      <c r="BZ23" s="68">
        <f t="shared" si="40"/>
        <v>22000</v>
      </c>
      <c r="CA23" s="57">
        <f t="shared" si="21"/>
        <v>10000</v>
      </c>
      <c r="CB23" s="289">
        <f t="shared" si="41"/>
        <v>42000</v>
      </c>
      <c r="CC23" s="290" t="e">
        <v>#DIV/0!</v>
      </c>
      <c r="CD23" s="291">
        <f t="shared" si="42"/>
        <v>11</v>
      </c>
      <c r="CE23" s="68">
        <f t="shared" si="42"/>
        <v>122880</v>
      </c>
      <c r="CF23" s="57">
        <f t="shared" si="43"/>
        <v>10155.363636363636</v>
      </c>
      <c r="CG23" s="68">
        <f t="shared" si="44"/>
        <v>59620</v>
      </c>
      <c r="CH23" s="57">
        <f t="shared" si="45"/>
        <v>4927.272727272727</v>
      </c>
      <c r="CI23" s="292">
        <f t="shared" si="46"/>
        <v>182500</v>
      </c>
      <c r="CJ23" s="293">
        <f t="shared" si="47"/>
        <v>16590.909090909092</v>
      </c>
    </row>
    <row r="24" spans="1:88" ht="15.75" customHeight="1">
      <c r="A24" s="51"/>
      <c r="B24" s="333">
        <f t="shared" si="22"/>
        <v>45950</v>
      </c>
      <c r="C24" s="84"/>
      <c r="D24" s="53">
        <v>3</v>
      </c>
      <c r="E24" s="54">
        <v>7</v>
      </c>
      <c r="F24" s="55">
        <v>42800</v>
      </c>
      <c r="G24" s="56">
        <f t="shared" si="0"/>
        <v>5558.4285714285716</v>
      </c>
      <c r="H24" s="55">
        <v>2970</v>
      </c>
      <c r="I24" s="56">
        <f t="shared" si="1"/>
        <v>385.71428571428572</v>
      </c>
      <c r="J24" s="58">
        <f t="shared" si="2"/>
        <v>45770</v>
      </c>
      <c r="K24" s="59">
        <f t="shared" si="3"/>
        <v>6538.5714285714284</v>
      </c>
      <c r="L24" s="85">
        <v>2</v>
      </c>
      <c r="M24" s="86">
        <v>4</v>
      </c>
      <c r="N24" s="87">
        <v>15400</v>
      </c>
      <c r="O24" s="88">
        <f t="shared" si="4"/>
        <v>3850</v>
      </c>
      <c r="P24" s="87">
        <v>2200</v>
      </c>
      <c r="Q24" s="89">
        <f t="shared" si="5"/>
        <v>550</v>
      </c>
      <c r="R24" s="90">
        <f t="shared" si="48"/>
        <v>17600</v>
      </c>
      <c r="S24" s="91">
        <f t="shared" si="7"/>
        <v>4400</v>
      </c>
      <c r="T24" s="67">
        <f t="shared" si="23"/>
        <v>8</v>
      </c>
      <c r="U24" s="68">
        <f t="shared" si="24"/>
        <v>74000</v>
      </c>
      <c r="V24" s="56">
        <f t="shared" si="8"/>
        <v>8409</v>
      </c>
      <c r="W24" s="68">
        <f t="shared" si="25"/>
        <v>28560</v>
      </c>
      <c r="X24" s="100">
        <f t="shared" si="9"/>
        <v>3245.375</v>
      </c>
      <c r="Y24" s="92">
        <f t="shared" si="26"/>
        <v>102560</v>
      </c>
      <c r="Z24" s="70">
        <f t="shared" si="10"/>
        <v>12820</v>
      </c>
      <c r="AA24" s="71">
        <f t="shared" si="27"/>
        <v>19</v>
      </c>
      <c r="AB24" s="68">
        <f t="shared" si="27"/>
        <v>132200</v>
      </c>
      <c r="AC24" s="68">
        <f t="shared" si="28"/>
        <v>33730</v>
      </c>
      <c r="AD24" s="72">
        <f t="shared" si="49"/>
        <v>165930</v>
      </c>
      <c r="AE24" s="68">
        <f t="shared" si="29"/>
        <v>8733.1578947368416</v>
      </c>
      <c r="AF24" s="73">
        <v>70</v>
      </c>
      <c r="AG24" s="74">
        <v>74</v>
      </c>
      <c r="AH24" s="55">
        <v>74780</v>
      </c>
      <c r="AI24" s="56">
        <f t="shared" si="12"/>
        <v>1010.5405405405405</v>
      </c>
      <c r="AJ24" s="55">
        <v>13800</v>
      </c>
      <c r="AK24" s="57">
        <f t="shared" si="13"/>
        <v>186.48648648648648</v>
      </c>
      <c r="AL24" s="93">
        <f t="shared" si="30"/>
        <v>88580</v>
      </c>
      <c r="AM24" s="76">
        <f t="shared" si="14"/>
        <v>1197.0270270270271</v>
      </c>
      <c r="AN24" s="339">
        <v>2</v>
      </c>
      <c r="AO24" s="340">
        <v>3</v>
      </c>
      <c r="AP24" s="339">
        <v>0</v>
      </c>
      <c r="AQ24" s="340">
        <v>0</v>
      </c>
      <c r="AR24" s="99">
        <f t="shared" si="31"/>
        <v>15</v>
      </c>
      <c r="AS24" s="94">
        <f t="shared" si="32"/>
        <v>206980</v>
      </c>
      <c r="AT24" s="94">
        <f t="shared" si="15"/>
        <v>47530</v>
      </c>
      <c r="AU24" s="77">
        <f t="shared" si="33"/>
        <v>254510</v>
      </c>
      <c r="AV24" s="68">
        <f t="shared" si="50"/>
        <v>0</v>
      </c>
      <c r="AW24" s="94">
        <v>19</v>
      </c>
      <c r="AX24" s="94">
        <v>132200</v>
      </c>
      <c r="AY24" s="94">
        <v>33730</v>
      </c>
      <c r="AZ24" s="95">
        <v>0</v>
      </c>
      <c r="BA24" s="95">
        <v>0</v>
      </c>
      <c r="BB24" s="95">
        <v>0</v>
      </c>
      <c r="BC24" s="95">
        <v>0</v>
      </c>
      <c r="BD24" s="96">
        <f t="shared" si="34"/>
        <v>165930</v>
      </c>
      <c r="BE24" s="51">
        <v>20</v>
      </c>
      <c r="BF24" s="80">
        <f t="shared" si="35"/>
        <v>165930</v>
      </c>
      <c r="BG24" s="81">
        <f t="shared" si="16"/>
        <v>254510</v>
      </c>
      <c r="BO24" s="287">
        <f t="shared" si="36"/>
        <v>3</v>
      </c>
      <c r="BP24" s="54">
        <f t="shared" si="36"/>
        <v>7</v>
      </c>
      <c r="BQ24" s="68">
        <f t="shared" si="36"/>
        <v>42800</v>
      </c>
      <c r="BR24" s="56">
        <f t="shared" si="17"/>
        <v>5558.4285714285716</v>
      </c>
      <c r="BS24" s="68">
        <f t="shared" si="37"/>
        <v>2970</v>
      </c>
      <c r="BT24" s="57">
        <f t="shared" si="18"/>
        <v>385.71428571428572</v>
      </c>
      <c r="BU24" s="58">
        <f t="shared" si="38"/>
        <v>45770</v>
      </c>
      <c r="BV24" s="59">
        <f t="shared" si="19"/>
        <v>6538.5714285714284</v>
      </c>
      <c r="BW24" s="288">
        <f t="shared" si="39"/>
        <v>8</v>
      </c>
      <c r="BX24" s="68">
        <f t="shared" si="39"/>
        <v>74000</v>
      </c>
      <c r="BY24" s="56">
        <f t="shared" si="20"/>
        <v>8409</v>
      </c>
      <c r="BZ24" s="68">
        <f t="shared" si="40"/>
        <v>28560</v>
      </c>
      <c r="CA24" s="57">
        <f t="shared" si="21"/>
        <v>3245.375</v>
      </c>
      <c r="CB24" s="289">
        <f t="shared" si="41"/>
        <v>102560</v>
      </c>
      <c r="CC24" s="290" t="e">
        <v>#DIV/0!</v>
      </c>
      <c r="CD24" s="291">
        <f t="shared" si="42"/>
        <v>15</v>
      </c>
      <c r="CE24" s="68">
        <f t="shared" si="42"/>
        <v>116800</v>
      </c>
      <c r="CF24" s="57">
        <f t="shared" si="43"/>
        <v>7078.7333333333336</v>
      </c>
      <c r="CG24" s="68">
        <f t="shared" si="44"/>
        <v>31530</v>
      </c>
      <c r="CH24" s="57">
        <f t="shared" si="45"/>
        <v>1910.8666666666666</v>
      </c>
      <c r="CI24" s="292">
        <f t="shared" si="46"/>
        <v>148330</v>
      </c>
      <c r="CJ24" s="293">
        <f t="shared" si="47"/>
        <v>9888.6666666666661</v>
      </c>
    </row>
    <row r="25" spans="1:88" ht="15.75" customHeight="1">
      <c r="A25" s="51"/>
      <c r="B25" s="333">
        <f t="shared" si="22"/>
        <v>45951</v>
      </c>
      <c r="C25" s="84"/>
      <c r="D25" s="53">
        <v>1</v>
      </c>
      <c r="E25" s="54">
        <v>2</v>
      </c>
      <c r="F25" s="55">
        <v>11000</v>
      </c>
      <c r="G25" s="56">
        <f t="shared" si="0"/>
        <v>5000</v>
      </c>
      <c r="H25" s="55">
        <v>3300</v>
      </c>
      <c r="I25" s="56">
        <f t="shared" si="1"/>
        <v>1500</v>
      </c>
      <c r="J25" s="58">
        <f t="shared" si="2"/>
        <v>14300</v>
      </c>
      <c r="K25" s="59">
        <f t="shared" si="3"/>
        <v>7150</v>
      </c>
      <c r="L25" s="85">
        <v>1</v>
      </c>
      <c r="M25" s="86">
        <v>4</v>
      </c>
      <c r="N25" s="87">
        <v>15400</v>
      </c>
      <c r="O25" s="88">
        <f t="shared" si="4"/>
        <v>3850</v>
      </c>
      <c r="P25" s="87">
        <v>2750</v>
      </c>
      <c r="Q25" s="89">
        <f t="shared" si="5"/>
        <v>687.5</v>
      </c>
      <c r="R25" s="90">
        <f t="shared" si="48"/>
        <v>18150</v>
      </c>
      <c r="S25" s="91">
        <f t="shared" si="7"/>
        <v>4537.5</v>
      </c>
      <c r="T25" s="67">
        <f t="shared" si="23"/>
        <v>6</v>
      </c>
      <c r="U25" s="68">
        <f t="shared" si="24"/>
        <v>121000</v>
      </c>
      <c r="V25" s="56">
        <f t="shared" si="8"/>
        <v>18333.333333333332</v>
      </c>
      <c r="W25" s="68">
        <f t="shared" si="25"/>
        <v>48180</v>
      </c>
      <c r="X25" s="100">
        <f t="shared" si="9"/>
        <v>7300</v>
      </c>
      <c r="Y25" s="92">
        <f t="shared" si="26"/>
        <v>169180</v>
      </c>
      <c r="Z25" s="70">
        <f t="shared" si="10"/>
        <v>28196.666666666668</v>
      </c>
      <c r="AA25" s="71">
        <f t="shared" si="27"/>
        <v>12</v>
      </c>
      <c r="AB25" s="68">
        <f t="shared" si="27"/>
        <v>147400</v>
      </c>
      <c r="AC25" s="68">
        <f t="shared" si="28"/>
        <v>54230</v>
      </c>
      <c r="AD25" s="72">
        <f t="shared" si="49"/>
        <v>201630</v>
      </c>
      <c r="AE25" s="68">
        <f t="shared" si="29"/>
        <v>16802.5</v>
      </c>
      <c r="AF25" s="73">
        <v>73</v>
      </c>
      <c r="AG25" s="74">
        <v>76</v>
      </c>
      <c r="AH25" s="55">
        <v>88800</v>
      </c>
      <c r="AI25" s="56">
        <f t="shared" si="12"/>
        <v>1168.421052631579</v>
      </c>
      <c r="AJ25" s="55">
        <v>14300</v>
      </c>
      <c r="AK25" s="57">
        <f t="shared" si="13"/>
        <v>188.15789473684211</v>
      </c>
      <c r="AL25" s="93">
        <f t="shared" si="30"/>
        <v>103100</v>
      </c>
      <c r="AM25" s="76">
        <f t="shared" si="14"/>
        <v>1356.578947368421</v>
      </c>
      <c r="AN25" s="339">
        <v>2</v>
      </c>
      <c r="AO25" s="340">
        <v>2</v>
      </c>
      <c r="AP25" s="339">
        <v>1</v>
      </c>
      <c r="AQ25" s="340">
        <v>2</v>
      </c>
      <c r="AR25" s="99">
        <v>0</v>
      </c>
      <c r="AS25" s="94">
        <f t="shared" si="32"/>
        <v>236200</v>
      </c>
      <c r="AT25" s="94">
        <f t="shared" si="15"/>
        <v>68530</v>
      </c>
      <c r="AU25" s="77">
        <f t="shared" si="33"/>
        <v>304730</v>
      </c>
      <c r="AV25" s="68">
        <f t="shared" si="50"/>
        <v>0</v>
      </c>
      <c r="AW25" s="94">
        <v>12</v>
      </c>
      <c r="AX25" s="94">
        <v>147400</v>
      </c>
      <c r="AY25" s="94">
        <v>54230</v>
      </c>
      <c r="AZ25" s="95">
        <v>0</v>
      </c>
      <c r="BA25" s="95">
        <v>0</v>
      </c>
      <c r="BB25" s="95">
        <v>0</v>
      </c>
      <c r="BC25" s="95">
        <v>0</v>
      </c>
      <c r="BD25" s="96">
        <f>SUM(AX25:BB25)</f>
        <v>201630</v>
      </c>
      <c r="BE25" s="51">
        <v>21</v>
      </c>
      <c r="BF25" s="80">
        <f t="shared" si="35"/>
        <v>201630</v>
      </c>
      <c r="BG25" s="81">
        <f t="shared" si="16"/>
        <v>304730</v>
      </c>
      <c r="BO25" s="287">
        <f t="shared" si="36"/>
        <v>1</v>
      </c>
      <c r="BP25" s="54">
        <f t="shared" si="36"/>
        <v>2</v>
      </c>
      <c r="BQ25" s="68">
        <f t="shared" si="36"/>
        <v>11000</v>
      </c>
      <c r="BR25" s="56">
        <f t="shared" si="17"/>
        <v>5000</v>
      </c>
      <c r="BS25" s="68">
        <f t="shared" si="37"/>
        <v>3300</v>
      </c>
      <c r="BT25" s="57">
        <f t="shared" si="18"/>
        <v>1500</v>
      </c>
      <c r="BU25" s="58">
        <f t="shared" si="38"/>
        <v>14300</v>
      </c>
      <c r="BV25" s="59">
        <f t="shared" si="19"/>
        <v>7150</v>
      </c>
      <c r="BW25" s="288">
        <f t="shared" si="39"/>
        <v>6</v>
      </c>
      <c r="BX25" s="68">
        <f t="shared" si="39"/>
        <v>121000</v>
      </c>
      <c r="BY25" s="56">
        <f t="shared" si="20"/>
        <v>18333.333333333332</v>
      </c>
      <c r="BZ25" s="68">
        <f t="shared" si="40"/>
        <v>48180</v>
      </c>
      <c r="CA25" s="57">
        <f t="shared" si="21"/>
        <v>7300</v>
      </c>
      <c r="CB25" s="289">
        <f t="shared" si="41"/>
        <v>169180</v>
      </c>
      <c r="CC25" s="290" t="e">
        <v>#DIV/0!</v>
      </c>
      <c r="CD25" s="291">
        <f t="shared" si="42"/>
        <v>8</v>
      </c>
      <c r="CE25" s="68">
        <f t="shared" si="42"/>
        <v>132000</v>
      </c>
      <c r="CF25" s="57">
        <f t="shared" si="43"/>
        <v>15000</v>
      </c>
      <c r="CG25" s="68">
        <f t="shared" si="44"/>
        <v>51480</v>
      </c>
      <c r="CH25" s="57">
        <f t="shared" si="45"/>
        <v>5850</v>
      </c>
      <c r="CI25" s="292">
        <f t="shared" si="46"/>
        <v>183480</v>
      </c>
      <c r="CJ25" s="293">
        <f t="shared" si="47"/>
        <v>22935</v>
      </c>
    </row>
    <row r="26" spans="1:88" ht="15.75" customHeight="1">
      <c r="A26" s="51"/>
      <c r="B26" s="333">
        <f t="shared" si="22"/>
        <v>45952</v>
      </c>
      <c r="C26" s="84"/>
      <c r="D26" s="53">
        <v>1</v>
      </c>
      <c r="E26" s="54">
        <v>2</v>
      </c>
      <c r="F26" s="55">
        <v>11000</v>
      </c>
      <c r="G26" s="56">
        <f t="shared" si="0"/>
        <v>5000</v>
      </c>
      <c r="H26" s="55">
        <v>4860</v>
      </c>
      <c r="I26" s="56">
        <f t="shared" si="1"/>
        <v>2209</v>
      </c>
      <c r="J26" s="58">
        <f t="shared" si="2"/>
        <v>15860</v>
      </c>
      <c r="K26" s="59">
        <f t="shared" si="3"/>
        <v>7930</v>
      </c>
      <c r="L26" s="85"/>
      <c r="M26" s="86"/>
      <c r="N26" s="87"/>
      <c r="O26" s="88" t="e">
        <f t="shared" si="4"/>
        <v>#DIV/0!</v>
      </c>
      <c r="P26" s="87"/>
      <c r="Q26" s="89" t="e">
        <f t="shared" si="5"/>
        <v>#DIV/0!</v>
      </c>
      <c r="R26" s="90">
        <f t="shared" si="48"/>
        <v>0</v>
      </c>
      <c r="S26" s="91" t="str">
        <f t="shared" si="7"/>
        <v/>
      </c>
      <c r="T26" s="67">
        <f t="shared" si="23"/>
        <v>4</v>
      </c>
      <c r="U26" s="68">
        <f t="shared" si="24"/>
        <v>59400</v>
      </c>
      <c r="V26" s="56">
        <f t="shared" si="8"/>
        <v>13500</v>
      </c>
      <c r="W26" s="68">
        <f t="shared" si="25"/>
        <v>22420</v>
      </c>
      <c r="X26" s="100">
        <f t="shared" si="9"/>
        <v>5095.25</v>
      </c>
      <c r="Y26" s="92">
        <f t="shared" si="26"/>
        <v>81820</v>
      </c>
      <c r="Z26" s="70">
        <f t="shared" si="10"/>
        <v>20455</v>
      </c>
      <c r="AA26" s="71">
        <f t="shared" si="27"/>
        <v>6</v>
      </c>
      <c r="AB26" s="68">
        <f t="shared" si="27"/>
        <v>70400</v>
      </c>
      <c r="AC26" s="68">
        <f t="shared" si="28"/>
        <v>27280</v>
      </c>
      <c r="AD26" s="72">
        <f t="shared" si="49"/>
        <v>97680</v>
      </c>
      <c r="AE26" s="68">
        <f t="shared" si="29"/>
        <v>16280</v>
      </c>
      <c r="AF26" s="73">
        <v>70</v>
      </c>
      <c r="AG26" s="74">
        <v>75</v>
      </c>
      <c r="AH26" s="55">
        <v>83600</v>
      </c>
      <c r="AI26" s="56">
        <f t="shared" si="12"/>
        <v>1114.6666666666667</v>
      </c>
      <c r="AJ26" s="55">
        <v>13000</v>
      </c>
      <c r="AK26" s="57">
        <f t="shared" si="13"/>
        <v>173.33333333333334</v>
      </c>
      <c r="AL26" s="93">
        <f t="shared" si="30"/>
        <v>96600</v>
      </c>
      <c r="AM26" s="76">
        <f t="shared" si="14"/>
        <v>1288</v>
      </c>
      <c r="AN26" s="339">
        <v>1</v>
      </c>
      <c r="AO26" s="340">
        <v>1</v>
      </c>
      <c r="AP26" s="339">
        <v>0</v>
      </c>
      <c r="AQ26" s="340">
        <v>0</v>
      </c>
      <c r="AR26" s="99">
        <f t="shared" si="31"/>
        <v>6</v>
      </c>
      <c r="AS26" s="94">
        <f t="shared" si="32"/>
        <v>154000</v>
      </c>
      <c r="AT26" s="94">
        <f t="shared" si="15"/>
        <v>40280</v>
      </c>
      <c r="AU26" s="77">
        <f t="shared" si="33"/>
        <v>194280</v>
      </c>
      <c r="AV26" s="68">
        <f t="shared" si="50"/>
        <v>0</v>
      </c>
      <c r="AW26" s="94">
        <v>6</v>
      </c>
      <c r="AX26" s="94">
        <v>70400</v>
      </c>
      <c r="AY26" s="94">
        <v>27280</v>
      </c>
      <c r="AZ26" s="95">
        <v>0</v>
      </c>
      <c r="BA26" s="95">
        <v>0</v>
      </c>
      <c r="BB26" s="95">
        <v>0</v>
      </c>
      <c r="BC26" s="95">
        <v>0</v>
      </c>
      <c r="BD26" s="96">
        <f t="shared" si="34"/>
        <v>97680</v>
      </c>
      <c r="BE26" s="51">
        <v>22</v>
      </c>
      <c r="BF26" s="80">
        <f t="shared" si="35"/>
        <v>97680</v>
      </c>
      <c r="BG26" s="81">
        <f t="shared" si="16"/>
        <v>194280</v>
      </c>
      <c r="BO26" s="287">
        <f t="shared" si="36"/>
        <v>1</v>
      </c>
      <c r="BP26" s="54">
        <f t="shared" si="36"/>
        <v>2</v>
      </c>
      <c r="BQ26" s="68">
        <f t="shared" si="36"/>
        <v>11000</v>
      </c>
      <c r="BR26" s="56">
        <f t="shared" si="17"/>
        <v>5000</v>
      </c>
      <c r="BS26" s="68">
        <f t="shared" si="37"/>
        <v>4860</v>
      </c>
      <c r="BT26" s="57">
        <f t="shared" si="18"/>
        <v>2209</v>
      </c>
      <c r="BU26" s="58">
        <f t="shared" si="38"/>
        <v>15860</v>
      </c>
      <c r="BV26" s="59">
        <f t="shared" si="19"/>
        <v>7930</v>
      </c>
      <c r="BW26" s="288">
        <f t="shared" si="39"/>
        <v>4</v>
      </c>
      <c r="BX26" s="68">
        <f t="shared" si="39"/>
        <v>59400</v>
      </c>
      <c r="BY26" s="56">
        <f t="shared" si="20"/>
        <v>13500</v>
      </c>
      <c r="BZ26" s="68">
        <f t="shared" si="40"/>
        <v>22420</v>
      </c>
      <c r="CA26" s="57">
        <f t="shared" si="21"/>
        <v>5095.25</v>
      </c>
      <c r="CB26" s="289">
        <f t="shared" si="41"/>
        <v>81820</v>
      </c>
      <c r="CC26" s="290" t="e">
        <v>#DIV/0!</v>
      </c>
      <c r="CD26" s="291">
        <f t="shared" si="42"/>
        <v>6</v>
      </c>
      <c r="CE26" s="68">
        <f t="shared" si="42"/>
        <v>70400</v>
      </c>
      <c r="CF26" s="57">
        <f t="shared" si="43"/>
        <v>10666.666666666666</v>
      </c>
      <c r="CG26" s="68">
        <f t="shared" si="44"/>
        <v>27280</v>
      </c>
      <c r="CH26" s="57">
        <f t="shared" si="45"/>
        <v>4133.333333333333</v>
      </c>
      <c r="CI26" s="292">
        <f t="shared" si="46"/>
        <v>97680</v>
      </c>
      <c r="CJ26" s="293">
        <f t="shared" si="47"/>
        <v>16280</v>
      </c>
    </row>
    <row r="27" spans="1:88" ht="15.75" customHeight="1">
      <c r="A27" s="51"/>
      <c r="B27" s="333">
        <f t="shared" si="22"/>
        <v>45953</v>
      </c>
      <c r="C27" s="84"/>
      <c r="D27" s="53">
        <v>5</v>
      </c>
      <c r="E27" s="54">
        <v>12</v>
      </c>
      <c r="F27" s="55">
        <v>63800</v>
      </c>
      <c r="G27" s="56">
        <f t="shared" si="0"/>
        <v>4833.333333333333</v>
      </c>
      <c r="H27" s="55">
        <v>13640</v>
      </c>
      <c r="I27" s="56">
        <f t="shared" si="1"/>
        <v>1033.3333333333333</v>
      </c>
      <c r="J27" s="58">
        <f t="shared" si="2"/>
        <v>77440</v>
      </c>
      <c r="K27" s="59">
        <f t="shared" si="3"/>
        <v>6453.333333333333</v>
      </c>
      <c r="L27" s="85"/>
      <c r="M27" s="86"/>
      <c r="N27" s="87"/>
      <c r="O27" s="88" t="e">
        <f t="shared" si="4"/>
        <v>#DIV/0!</v>
      </c>
      <c r="P27" s="87"/>
      <c r="Q27" s="89" t="e">
        <f t="shared" si="5"/>
        <v>#DIV/0!</v>
      </c>
      <c r="R27" s="90">
        <f t="shared" si="48"/>
        <v>0</v>
      </c>
      <c r="S27" s="91" t="str">
        <f t="shared" si="7"/>
        <v/>
      </c>
      <c r="T27" s="67">
        <f t="shared" si="23"/>
        <v>2</v>
      </c>
      <c r="U27" s="68">
        <f t="shared" si="24"/>
        <v>26400</v>
      </c>
      <c r="V27" s="56">
        <f t="shared" si="8"/>
        <v>12000</v>
      </c>
      <c r="W27" s="68">
        <f t="shared" si="25"/>
        <v>13200</v>
      </c>
      <c r="X27" s="57">
        <f t="shared" si="9"/>
        <v>6000</v>
      </c>
      <c r="Y27" s="92">
        <f t="shared" si="26"/>
        <v>39600</v>
      </c>
      <c r="Z27" s="70">
        <f t="shared" si="10"/>
        <v>19800</v>
      </c>
      <c r="AA27" s="71">
        <f t="shared" si="27"/>
        <v>14</v>
      </c>
      <c r="AB27" s="68">
        <f t="shared" si="27"/>
        <v>90200</v>
      </c>
      <c r="AC27" s="68">
        <f t="shared" si="28"/>
        <v>26840</v>
      </c>
      <c r="AD27" s="72">
        <f t="shared" si="49"/>
        <v>117040</v>
      </c>
      <c r="AE27" s="68">
        <f t="shared" si="29"/>
        <v>8360</v>
      </c>
      <c r="AF27" s="73">
        <v>67</v>
      </c>
      <c r="AG27" s="74">
        <v>70</v>
      </c>
      <c r="AH27" s="55">
        <v>78800</v>
      </c>
      <c r="AI27" s="56">
        <f t="shared" si="12"/>
        <v>1125.7142857142858</v>
      </c>
      <c r="AJ27" s="55">
        <v>10100</v>
      </c>
      <c r="AK27" s="57">
        <f t="shared" si="13"/>
        <v>144.28571428571428</v>
      </c>
      <c r="AL27" s="93">
        <f t="shared" si="30"/>
        <v>88900</v>
      </c>
      <c r="AM27" s="76">
        <f t="shared" si="14"/>
        <v>1270</v>
      </c>
      <c r="AN27" s="339">
        <v>1</v>
      </c>
      <c r="AO27" s="340">
        <v>1</v>
      </c>
      <c r="AP27" s="339">
        <v>2</v>
      </c>
      <c r="AQ27" s="340">
        <v>3</v>
      </c>
      <c r="AR27" s="99">
        <f t="shared" si="31"/>
        <v>14</v>
      </c>
      <c r="AS27" s="94">
        <f t="shared" si="32"/>
        <v>169000</v>
      </c>
      <c r="AT27" s="94">
        <f t="shared" si="15"/>
        <v>36940</v>
      </c>
      <c r="AU27" s="77">
        <f t="shared" si="33"/>
        <v>205940</v>
      </c>
      <c r="AV27" s="68">
        <f t="shared" si="50"/>
        <v>2200</v>
      </c>
      <c r="AW27" s="94">
        <v>14</v>
      </c>
      <c r="AX27" s="94">
        <v>90200</v>
      </c>
      <c r="AY27" s="94">
        <v>26840</v>
      </c>
      <c r="AZ27" s="95">
        <v>2200</v>
      </c>
      <c r="BA27" s="95">
        <v>0</v>
      </c>
      <c r="BB27" s="95">
        <v>0</v>
      </c>
      <c r="BC27" s="95">
        <v>0</v>
      </c>
      <c r="BD27" s="96">
        <f t="shared" si="34"/>
        <v>119240</v>
      </c>
      <c r="BE27" s="51">
        <v>23</v>
      </c>
      <c r="BF27" s="80">
        <f t="shared" si="35"/>
        <v>119240</v>
      </c>
      <c r="BG27" s="81">
        <f t="shared" si="16"/>
        <v>208140</v>
      </c>
      <c r="BO27" s="287">
        <f t="shared" si="36"/>
        <v>5</v>
      </c>
      <c r="BP27" s="54">
        <f t="shared" si="36"/>
        <v>12</v>
      </c>
      <c r="BQ27" s="68">
        <f t="shared" si="36"/>
        <v>63800</v>
      </c>
      <c r="BR27" s="56">
        <f t="shared" si="17"/>
        <v>4833.333333333333</v>
      </c>
      <c r="BS27" s="68">
        <f t="shared" si="37"/>
        <v>13640</v>
      </c>
      <c r="BT27" s="57">
        <f t="shared" si="18"/>
        <v>1033.3333333333333</v>
      </c>
      <c r="BU27" s="58">
        <f t="shared" si="38"/>
        <v>77440</v>
      </c>
      <c r="BV27" s="59">
        <f t="shared" si="19"/>
        <v>6453.333333333333</v>
      </c>
      <c r="BW27" s="288">
        <f t="shared" si="39"/>
        <v>2</v>
      </c>
      <c r="BX27" s="68">
        <f t="shared" si="39"/>
        <v>26400</v>
      </c>
      <c r="BY27" s="56">
        <f t="shared" si="20"/>
        <v>12000</v>
      </c>
      <c r="BZ27" s="68">
        <f t="shared" si="40"/>
        <v>13200</v>
      </c>
      <c r="CA27" s="57">
        <f t="shared" si="21"/>
        <v>6000</v>
      </c>
      <c r="CB27" s="289">
        <f t="shared" si="41"/>
        <v>39600</v>
      </c>
      <c r="CC27" s="290" t="e">
        <v>#DIV/0!</v>
      </c>
      <c r="CD27" s="291">
        <f t="shared" si="42"/>
        <v>14</v>
      </c>
      <c r="CE27" s="68">
        <f t="shared" si="42"/>
        <v>90200</v>
      </c>
      <c r="CF27" s="57">
        <f t="shared" si="43"/>
        <v>5857.1428571428569</v>
      </c>
      <c r="CG27" s="68">
        <f t="shared" si="44"/>
        <v>26840</v>
      </c>
      <c r="CH27" s="57">
        <f t="shared" si="45"/>
        <v>1742.8571428571429</v>
      </c>
      <c r="CI27" s="292">
        <f t="shared" si="46"/>
        <v>117040</v>
      </c>
      <c r="CJ27" s="293">
        <f t="shared" si="47"/>
        <v>8360</v>
      </c>
    </row>
    <row r="28" spans="1:88" ht="15.75" customHeight="1">
      <c r="A28" s="51"/>
      <c r="B28" s="333">
        <f t="shared" si="22"/>
        <v>45954</v>
      </c>
      <c r="C28" s="84"/>
      <c r="D28" s="53">
        <v>4</v>
      </c>
      <c r="E28" s="54">
        <v>7</v>
      </c>
      <c r="F28" s="55">
        <v>51800</v>
      </c>
      <c r="G28" s="56">
        <f t="shared" si="0"/>
        <v>6727.1428571428569</v>
      </c>
      <c r="H28" s="55">
        <v>9470</v>
      </c>
      <c r="I28" s="56">
        <f t="shared" si="1"/>
        <v>1229.8571428571429</v>
      </c>
      <c r="J28" s="58">
        <f t="shared" si="2"/>
        <v>61270</v>
      </c>
      <c r="K28" s="59">
        <f t="shared" si="3"/>
        <v>8752.8571428571431</v>
      </c>
      <c r="L28" s="85"/>
      <c r="M28" s="86"/>
      <c r="N28" s="87"/>
      <c r="O28" s="88" t="e">
        <f t="shared" si="4"/>
        <v>#DIV/0!</v>
      </c>
      <c r="P28" s="87"/>
      <c r="Q28" s="89" t="e">
        <f t="shared" si="5"/>
        <v>#DIV/0!</v>
      </c>
      <c r="R28" s="90">
        <f t="shared" si="48"/>
        <v>0</v>
      </c>
      <c r="S28" s="91" t="str">
        <f t="shared" si="7"/>
        <v/>
      </c>
      <c r="T28" s="67">
        <f t="shared" si="23"/>
        <v>7</v>
      </c>
      <c r="U28" s="68">
        <f t="shared" si="24"/>
        <v>63000</v>
      </c>
      <c r="V28" s="56">
        <f t="shared" si="8"/>
        <v>8181.7142857142853</v>
      </c>
      <c r="W28" s="68">
        <f t="shared" si="25"/>
        <v>31000</v>
      </c>
      <c r="X28" s="57">
        <f t="shared" si="9"/>
        <v>4025.8571428571427</v>
      </c>
      <c r="Y28" s="92">
        <f t="shared" si="26"/>
        <v>94000</v>
      </c>
      <c r="Z28" s="70">
        <f t="shared" si="10"/>
        <v>13428.571428571429</v>
      </c>
      <c r="AA28" s="71">
        <f t="shared" si="27"/>
        <v>14</v>
      </c>
      <c r="AB28" s="68">
        <f t="shared" si="27"/>
        <v>114800</v>
      </c>
      <c r="AC28" s="68">
        <f t="shared" si="28"/>
        <v>40470</v>
      </c>
      <c r="AD28" s="72">
        <f t="shared" si="49"/>
        <v>155270</v>
      </c>
      <c r="AE28" s="68">
        <f t="shared" si="29"/>
        <v>11090.714285714286</v>
      </c>
      <c r="AF28" s="73">
        <v>123</v>
      </c>
      <c r="AG28" s="74">
        <v>123</v>
      </c>
      <c r="AH28" s="55">
        <v>104050</v>
      </c>
      <c r="AI28" s="56">
        <f t="shared" si="12"/>
        <v>845.93495934959344</v>
      </c>
      <c r="AJ28" s="55">
        <v>41600</v>
      </c>
      <c r="AK28" s="57">
        <f t="shared" si="13"/>
        <v>338.21138211382112</v>
      </c>
      <c r="AL28" s="93">
        <f t="shared" si="30"/>
        <v>145650</v>
      </c>
      <c r="AM28" s="76">
        <f t="shared" si="14"/>
        <v>1184.1463414634147</v>
      </c>
      <c r="AN28" s="339">
        <v>0</v>
      </c>
      <c r="AO28" s="340">
        <v>0</v>
      </c>
      <c r="AP28" s="339">
        <v>0</v>
      </c>
      <c r="AQ28" s="340">
        <v>0</v>
      </c>
      <c r="AR28" s="99">
        <f t="shared" si="31"/>
        <v>14</v>
      </c>
      <c r="AS28" s="94">
        <f t="shared" si="32"/>
        <v>218850</v>
      </c>
      <c r="AT28" s="94">
        <f t="shared" si="15"/>
        <v>82070</v>
      </c>
      <c r="AU28" s="77">
        <f t="shared" si="33"/>
        <v>300920</v>
      </c>
      <c r="AV28" s="68">
        <f t="shared" si="50"/>
        <v>0</v>
      </c>
      <c r="AW28" s="94">
        <v>14</v>
      </c>
      <c r="AX28" s="94">
        <v>114800</v>
      </c>
      <c r="AY28" s="94">
        <v>40470</v>
      </c>
      <c r="AZ28" s="95">
        <v>0</v>
      </c>
      <c r="BA28" s="95">
        <v>0</v>
      </c>
      <c r="BB28" s="95">
        <v>0</v>
      </c>
      <c r="BC28" s="95">
        <v>0</v>
      </c>
      <c r="BD28" s="96">
        <f t="shared" si="34"/>
        <v>155270</v>
      </c>
      <c r="BE28" s="51">
        <v>24</v>
      </c>
      <c r="BF28" s="80">
        <f t="shared" si="35"/>
        <v>155270</v>
      </c>
      <c r="BG28" s="81">
        <f t="shared" si="16"/>
        <v>300920</v>
      </c>
      <c r="BO28" s="287">
        <f t="shared" si="36"/>
        <v>4</v>
      </c>
      <c r="BP28" s="54">
        <f t="shared" si="36"/>
        <v>7</v>
      </c>
      <c r="BQ28" s="68">
        <f t="shared" si="36"/>
        <v>51800</v>
      </c>
      <c r="BR28" s="56">
        <f t="shared" si="17"/>
        <v>6727.1428571428569</v>
      </c>
      <c r="BS28" s="68">
        <f t="shared" si="37"/>
        <v>9470</v>
      </c>
      <c r="BT28" s="57">
        <f t="shared" si="18"/>
        <v>1229.8571428571429</v>
      </c>
      <c r="BU28" s="58">
        <f t="shared" si="38"/>
        <v>61270</v>
      </c>
      <c r="BV28" s="59">
        <f t="shared" si="19"/>
        <v>8752.8571428571431</v>
      </c>
      <c r="BW28" s="288">
        <f t="shared" si="39"/>
        <v>7</v>
      </c>
      <c r="BX28" s="68">
        <f t="shared" si="39"/>
        <v>63000</v>
      </c>
      <c r="BY28" s="56">
        <f t="shared" si="20"/>
        <v>8181.7142857142853</v>
      </c>
      <c r="BZ28" s="68">
        <f t="shared" si="40"/>
        <v>31000</v>
      </c>
      <c r="CA28" s="57">
        <f t="shared" si="21"/>
        <v>4025.8571428571427</v>
      </c>
      <c r="CB28" s="289">
        <f t="shared" si="41"/>
        <v>94000</v>
      </c>
      <c r="CC28" s="290" t="e">
        <v>#DIV/0!</v>
      </c>
      <c r="CD28" s="291">
        <f t="shared" si="42"/>
        <v>14</v>
      </c>
      <c r="CE28" s="68">
        <f t="shared" si="42"/>
        <v>114800</v>
      </c>
      <c r="CF28" s="57">
        <f t="shared" si="43"/>
        <v>7454.5</v>
      </c>
      <c r="CG28" s="68">
        <f t="shared" si="44"/>
        <v>40470</v>
      </c>
      <c r="CH28" s="57">
        <f t="shared" si="45"/>
        <v>2627.8571428571427</v>
      </c>
      <c r="CI28" s="292">
        <f t="shared" si="46"/>
        <v>155270</v>
      </c>
      <c r="CJ28" s="293">
        <f t="shared" si="47"/>
        <v>11090.714285714286</v>
      </c>
    </row>
    <row r="29" spans="1:88" ht="15.75" customHeight="1">
      <c r="A29" s="51"/>
      <c r="B29" s="347">
        <f t="shared" si="22"/>
        <v>45955</v>
      </c>
      <c r="C29" s="84"/>
      <c r="D29" s="53">
        <v>1</v>
      </c>
      <c r="E29" s="54">
        <v>1</v>
      </c>
      <c r="F29" s="55">
        <v>8800</v>
      </c>
      <c r="G29" s="56">
        <f t="shared" si="0"/>
        <v>8000</v>
      </c>
      <c r="H29" s="55">
        <v>5940</v>
      </c>
      <c r="I29" s="56">
        <f t="shared" si="1"/>
        <v>5400</v>
      </c>
      <c r="J29" s="58">
        <f t="shared" si="2"/>
        <v>14740</v>
      </c>
      <c r="K29" s="59">
        <f t="shared" si="3"/>
        <v>14740</v>
      </c>
      <c r="L29" s="85"/>
      <c r="M29" s="86"/>
      <c r="N29" s="87"/>
      <c r="O29" s="88" t="e">
        <f t="shared" si="4"/>
        <v>#DIV/0!</v>
      </c>
      <c r="P29" s="87"/>
      <c r="Q29" s="89" t="e">
        <f t="shared" si="5"/>
        <v>#DIV/0!</v>
      </c>
      <c r="R29" s="90">
        <f t="shared" si="48"/>
        <v>0</v>
      </c>
      <c r="S29" s="91" t="str">
        <f t="shared" si="7"/>
        <v/>
      </c>
      <c r="T29" s="67">
        <f t="shared" si="23"/>
        <v>10</v>
      </c>
      <c r="U29" s="68">
        <f>AX29-(F29+N29)</f>
        <v>102100</v>
      </c>
      <c r="V29" s="56">
        <f t="shared" si="8"/>
        <v>9281.7999999999993</v>
      </c>
      <c r="W29" s="68">
        <f t="shared" si="25"/>
        <v>23270</v>
      </c>
      <c r="X29" s="57">
        <f t="shared" si="9"/>
        <v>2115.4</v>
      </c>
      <c r="Y29" s="92">
        <f t="shared" si="26"/>
        <v>125370</v>
      </c>
      <c r="Z29" s="70">
        <f t="shared" si="10"/>
        <v>12537</v>
      </c>
      <c r="AA29" s="71">
        <f t="shared" si="27"/>
        <v>11</v>
      </c>
      <c r="AB29" s="68">
        <f t="shared" si="27"/>
        <v>110900</v>
      </c>
      <c r="AC29" s="68">
        <f t="shared" si="28"/>
        <v>29210</v>
      </c>
      <c r="AD29" s="72">
        <f>J29+Y29+R29</f>
        <v>140110</v>
      </c>
      <c r="AE29" s="68">
        <f t="shared" si="29"/>
        <v>12737.272727272728</v>
      </c>
      <c r="AF29" s="73">
        <v>102</v>
      </c>
      <c r="AG29" s="74">
        <v>113</v>
      </c>
      <c r="AH29" s="55">
        <v>117530</v>
      </c>
      <c r="AI29" s="56">
        <f t="shared" si="12"/>
        <v>1040.0884955752213</v>
      </c>
      <c r="AJ29" s="55">
        <v>23600</v>
      </c>
      <c r="AK29" s="57">
        <f t="shared" si="13"/>
        <v>208.84955752212389</v>
      </c>
      <c r="AL29" s="93">
        <f t="shared" si="30"/>
        <v>141130</v>
      </c>
      <c r="AM29" s="76">
        <f t="shared" si="14"/>
        <v>1248.9380530973451</v>
      </c>
      <c r="AN29" s="339">
        <v>0</v>
      </c>
      <c r="AO29" s="340">
        <v>0</v>
      </c>
      <c r="AP29" s="339">
        <v>0</v>
      </c>
      <c r="AQ29" s="340">
        <v>0</v>
      </c>
      <c r="AR29" s="99">
        <f t="shared" si="31"/>
        <v>11</v>
      </c>
      <c r="AS29" s="94">
        <f t="shared" si="32"/>
        <v>228430</v>
      </c>
      <c r="AT29" s="94">
        <f t="shared" si="15"/>
        <v>52810</v>
      </c>
      <c r="AU29" s="77">
        <f t="shared" si="33"/>
        <v>281240</v>
      </c>
      <c r="AV29" s="68">
        <f t="shared" si="50"/>
        <v>0</v>
      </c>
      <c r="AW29" s="94">
        <v>11</v>
      </c>
      <c r="AX29" s="94">
        <v>110900</v>
      </c>
      <c r="AY29" s="94">
        <v>29210</v>
      </c>
      <c r="AZ29" s="95">
        <v>0</v>
      </c>
      <c r="BA29" s="95">
        <v>0</v>
      </c>
      <c r="BB29" s="95">
        <v>0</v>
      </c>
      <c r="BC29" s="95">
        <v>8800</v>
      </c>
      <c r="BD29" s="96">
        <f t="shared" si="34"/>
        <v>140110</v>
      </c>
      <c r="BE29" s="51">
        <v>25</v>
      </c>
      <c r="BF29" s="80">
        <f t="shared" si="35"/>
        <v>148910</v>
      </c>
      <c r="BG29" s="81">
        <f t="shared" si="16"/>
        <v>281240</v>
      </c>
      <c r="BO29" s="287">
        <f t="shared" si="36"/>
        <v>1</v>
      </c>
      <c r="BP29" s="54">
        <f t="shared" si="36"/>
        <v>1</v>
      </c>
      <c r="BQ29" s="68">
        <f t="shared" si="36"/>
        <v>8800</v>
      </c>
      <c r="BR29" s="56">
        <f t="shared" si="17"/>
        <v>8000</v>
      </c>
      <c r="BS29" s="68">
        <f t="shared" si="37"/>
        <v>5940</v>
      </c>
      <c r="BT29" s="57">
        <f t="shared" si="18"/>
        <v>5400</v>
      </c>
      <c r="BU29" s="58">
        <f t="shared" si="38"/>
        <v>14740</v>
      </c>
      <c r="BV29" s="59">
        <f t="shared" si="19"/>
        <v>14740</v>
      </c>
      <c r="BW29" s="288">
        <f t="shared" si="39"/>
        <v>10</v>
      </c>
      <c r="BX29" s="68">
        <f t="shared" si="39"/>
        <v>102100</v>
      </c>
      <c r="BY29" s="56">
        <f t="shared" si="20"/>
        <v>9281.7999999999993</v>
      </c>
      <c r="BZ29" s="68">
        <f t="shared" si="40"/>
        <v>23270</v>
      </c>
      <c r="CA29" s="57">
        <f t="shared" si="21"/>
        <v>2115.4</v>
      </c>
      <c r="CB29" s="289">
        <f t="shared" si="41"/>
        <v>125370</v>
      </c>
      <c r="CC29" s="290" t="e">
        <v>#DIV/0!</v>
      </c>
      <c r="CD29" s="291">
        <f t="shared" si="42"/>
        <v>11</v>
      </c>
      <c r="CE29" s="68">
        <f t="shared" si="42"/>
        <v>110900</v>
      </c>
      <c r="CF29" s="57">
        <f t="shared" si="43"/>
        <v>9165.2727272727279</v>
      </c>
      <c r="CG29" s="68">
        <f t="shared" si="44"/>
        <v>29210</v>
      </c>
      <c r="CH29" s="57">
        <f t="shared" si="45"/>
        <v>2414</v>
      </c>
      <c r="CI29" s="292">
        <f t="shared" si="46"/>
        <v>140110</v>
      </c>
      <c r="CJ29" s="293">
        <f t="shared" si="47"/>
        <v>12737.272727272728</v>
      </c>
    </row>
    <row r="30" spans="1:88" ht="15.75" customHeight="1">
      <c r="A30" s="51"/>
      <c r="B30" s="97">
        <f t="shared" si="22"/>
        <v>45956</v>
      </c>
      <c r="C30" s="84"/>
      <c r="D30" s="53">
        <v>5</v>
      </c>
      <c r="E30" s="54">
        <v>12</v>
      </c>
      <c r="F30" s="55">
        <v>66000</v>
      </c>
      <c r="G30" s="56">
        <f>ROUNDDOWN(F30/1.1,0)/E30</f>
        <v>5000</v>
      </c>
      <c r="H30" s="55">
        <v>32340</v>
      </c>
      <c r="I30" s="56">
        <f t="shared" si="1"/>
        <v>2450</v>
      </c>
      <c r="J30" s="58">
        <f t="shared" si="2"/>
        <v>98340</v>
      </c>
      <c r="K30" s="59">
        <f>IF(E30="","",J30/E30)</f>
        <v>8195</v>
      </c>
      <c r="L30" s="85">
        <v>1</v>
      </c>
      <c r="M30" s="86">
        <v>2</v>
      </c>
      <c r="N30" s="87">
        <v>7700</v>
      </c>
      <c r="O30" s="88">
        <f t="shared" si="4"/>
        <v>3850</v>
      </c>
      <c r="P30" s="87">
        <v>1100</v>
      </c>
      <c r="Q30" s="89">
        <f t="shared" si="5"/>
        <v>550</v>
      </c>
      <c r="R30" s="90">
        <f t="shared" si="48"/>
        <v>8800</v>
      </c>
      <c r="S30" s="91">
        <f t="shared" si="7"/>
        <v>4400</v>
      </c>
      <c r="T30" s="67">
        <f t="shared" si="23"/>
        <v>7</v>
      </c>
      <c r="U30" s="68">
        <f t="shared" si="24"/>
        <v>80740</v>
      </c>
      <c r="V30" s="56">
        <f t="shared" si="8"/>
        <v>10485.714285714286</v>
      </c>
      <c r="W30" s="68">
        <f t="shared" si="25"/>
        <v>13310</v>
      </c>
      <c r="X30" s="56">
        <f t="shared" si="9"/>
        <v>1728.5714285714287</v>
      </c>
      <c r="Y30" s="92">
        <f t="shared" si="26"/>
        <v>94050</v>
      </c>
      <c r="Z30" s="70">
        <f t="shared" si="10"/>
        <v>13435.714285714286</v>
      </c>
      <c r="AA30" s="71">
        <f t="shared" si="27"/>
        <v>21</v>
      </c>
      <c r="AB30" s="68">
        <f t="shared" si="27"/>
        <v>154440</v>
      </c>
      <c r="AC30" s="68">
        <f t="shared" si="28"/>
        <v>46750</v>
      </c>
      <c r="AD30" s="72">
        <f t="shared" si="49"/>
        <v>201190</v>
      </c>
      <c r="AE30" s="68">
        <f t="shared" si="29"/>
        <v>9580.4761904761908</v>
      </c>
      <c r="AF30" s="73">
        <v>75</v>
      </c>
      <c r="AG30" s="74">
        <v>80</v>
      </c>
      <c r="AH30" s="55">
        <v>86150</v>
      </c>
      <c r="AI30" s="56">
        <f t="shared" si="12"/>
        <v>1076.875</v>
      </c>
      <c r="AJ30" s="55">
        <v>14500</v>
      </c>
      <c r="AK30" s="57">
        <f t="shared" si="13"/>
        <v>181.25</v>
      </c>
      <c r="AL30" s="93">
        <f t="shared" si="30"/>
        <v>100650</v>
      </c>
      <c r="AM30" s="76">
        <f t="shared" si="14"/>
        <v>1258.125</v>
      </c>
      <c r="AN30" s="339">
        <v>4</v>
      </c>
      <c r="AO30" s="340">
        <v>6</v>
      </c>
      <c r="AP30" s="339">
        <v>0</v>
      </c>
      <c r="AQ30" s="340">
        <v>0</v>
      </c>
      <c r="AR30" s="99">
        <f t="shared" si="31"/>
        <v>19</v>
      </c>
      <c r="AS30" s="94">
        <f t="shared" si="32"/>
        <v>240590</v>
      </c>
      <c r="AT30" s="94">
        <f t="shared" si="15"/>
        <v>61250</v>
      </c>
      <c r="AU30" s="77">
        <f t="shared" si="33"/>
        <v>301840</v>
      </c>
      <c r="AV30" s="68">
        <f t="shared" si="50"/>
        <v>0</v>
      </c>
      <c r="AW30" s="94">
        <v>21</v>
      </c>
      <c r="AX30" s="94">
        <v>154440</v>
      </c>
      <c r="AY30" s="94">
        <v>46750</v>
      </c>
      <c r="AZ30" s="95">
        <v>0</v>
      </c>
      <c r="BA30" s="95">
        <v>0</v>
      </c>
      <c r="BB30" s="95">
        <v>0</v>
      </c>
      <c r="BC30" s="95">
        <v>0</v>
      </c>
      <c r="BD30" s="96">
        <f t="shared" si="34"/>
        <v>201190</v>
      </c>
      <c r="BE30" s="51">
        <v>26</v>
      </c>
      <c r="BF30" s="80">
        <f t="shared" si="35"/>
        <v>201190</v>
      </c>
      <c r="BG30" s="81">
        <f t="shared" si="16"/>
        <v>301840</v>
      </c>
      <c r="BO30" s="287">
        <f t="shared" si="36"/>
        <v>5</v>
      </c>
      <c r="BP30" s="54">
        <f t="shared" si="36"/>
        <v>12</v>
      </c>
      <c r="BQ30" s="68">
        <f t="shared" si="36"/>
        <v>66000</v>
      </c>
      <c r="BR30" s="56">
        <f t="shared" si="17"/>
        <v>5000</v>
      </c>
      <c r="BS30" s="68">
        <f t="shared" si="37"/>
        <v>32340</v>
      </c>
      <c r="BT30" s="57">
        <f t="shared" si="18"/>
        <v>2450</v>
      </c>
      <c r="BU30" s="58">
        <f t="shared" si="38"/>
        <v>98340</v>
      </c>
      <c r="BV30" s="59">
        <f t="shared" si="19"/>
        <v>8195</v>
      </c>
      <c r="BW30" s="288">
        <f t="shared" si="39"/>
        <v>7</v>
      </c>
      <c r="BX30" s="68">
        <f t="shared" si="39"/>
        <v>80740</v>
      </c>
      <c r="BY30" s="56">
        <f t="shared" si="20"/>
        <v>10485.714285714286</v>
      </c>
      <c r="BZ30" s="68">
        <f t="shared" si="40"/>
        <v>13310</v>
      </c>
      <c r="CA30" s="57">
        <f t="shared" si="21"/>
        <v>1728.5714285714287</v>
      </c>
      <c r="CB30" s="289">
        <f t="shared" si="41"/>
        <v>94050</v>
      </c>
      <c r="CC30" s="290" t="e">
        <v>#DIV/0!</v>
      </c>
      <c r="CD30" s="291">
        <f t="shared" si="42"/>
        <v>19</v>
      </c>
      <c r="CE30" s="68">
        <f t="shared" si="42"/>
        <v>146740</v>
      </c>
      <c r="CF30" s="57">
        <f t="shared" si="43"/>
        <v>7021.0526315789475</v>
      </c>
      <c r="CG30" s="68">
        <f t="shared" si="44"/>
        <v>45650</v>
      </c>
      <c r="CH30" s="57">
        <f t="shared" si="45"/>
        <v>2184.2105263157896</v>
      </c>
      <c r="CI30" s="292">
        <f t="shared" si="46"/>
        <v>192390</v>
      </c>
      <c r="CJ30" s="293">
        <f t="shared" si="47"/>
        <v>10125.78947368421</v>
      </c>
    </row>
    <row r="31" spans="1:88" ht="15.75" customHeight="1">
      <c r="A31" s="51"/>
      <c r="B31" s="333">
        <f t="shared" si="22"/>
        <v>45957</v>
      </c>
      <c r="C31" s="84"/>
      <c r="D31" s="53">
        <v>1</v>
      </c>
      <c r="E31" s="54">
        <v>2</v>
      </c>
      <c r="F31" s="55">
        <v>17600</v>
      </c>
      <c r="G31" s="56">
        <f>ROUNDDOWN(F31/1.1,0)/E31</f>
        <v>8000</v>
      </c>
      <c r="H31" s="55">
        <v>1870</v>
      </c>
      <c r="I31" s="56">
        <f t="shared" si="1"/>
        <v>850</v>
      </c>
      <c r="J31" s="58">
        <f t="shared" si="2"/>
        <v>19470</v>
      </c>
      <c r="K31" s="59">
        <f>IF(E31="","",J31/E31)</f>
        <v>9735</v>
      </c>
      <c r="L31" s="85"/>
      <c r="M31" s="86"/>
      <c r="N31" s="87"/>
      <c r="O31" s="88" t="e">
        <f t="shared" si="4"/>
        <v>#DIV/0!</v>
      </c>
      <c r="P31" s="87"/>
      <c r="Q31" s="89" t="e">
        <f t="shared" si="5"/>
        <v>#DIV/0!</v>
      </c>
      <c r="R31" s="90">
        <f t="shared" si="48"/>
        <v>0</v>
      </c>
      <c r="S31" s="91" t="str">
        <f t="shared" si="7"/>
        <v/>
      </c>
      <c r="T31" s="67">
        <f t="shared" si="23"/>
        <v>4</v>
      </c>
      <c r="U31" s="68">
        <f t="shared" si="24"/>
        <v>20000</v>
      </c>
      <c r="V31" s="56">
        <f t="shared" si="8"/>
        <v>4545.25</v>
      </c>
      <c r="W31" s="68">
        <f t="shared" si="25"/>
        <v>8000</v>
      </c>
      <c r="X31" s="56">
        <f t="shared" si="9"/>
        <v>1818</v>
      </c>
      <c r="Y31" s="92">
        <f t="shared" si="26"/>
        <v>28000</v>
      </c>
      <c r="Z31" s="70">
        <f t="shared" si="10"/>
        <v>7000</v>
      </c>
      <c r="AA31" s="71">
        <f t="shared" si="27"/>
        <v>6</v>
      </c>
      <c r="AB31" s="68">
        <f t="shared" si="27"/>
        <v>37600</v>
      </c>
      <c r="AC31" s="68">
        <f t="shared" si="28"/>
        <v>9870</v>
      </c>
      <c r="AD31" s="72">
        <f t="shared" si="49"/>
        <v>47470</v>
      </c>
      <c r="AE31" s="68">
        <f t="shared" si="29"/>
        <v>7911.666666666667</v>
      </c>
      <c r="AF31" s="73">
        <v>55</v>
      </c>
      <c r="AG31" s="74">
        <v>55</v>
      </c>
      <c r="AH31" s="55">
        <v>84450</v>
      </c>
      <c r="AI31" s="56">
        <f t="shared" si="12"/>
        <v>1535.4545454545455</v>
      </c>
      <c r="AJ31" s="55">
        <v>10800</v>
      </c>
      <c r="AK31" s="57">
        <f t="shared" si="13"/>
        <v>196.36363636363637</v>
      </c>
      <c r="AL31" s="93">
        <f t="shared" si="30"/>
        <v>95250</v>
      </c>
      <c r="AM31" s="76">
        <f t="shared" si="14"/>
        <v>1731.8181818181818</v>
      </c>
      <c r="AN31" s="339">
        <v>1</v>
      </c>
      <c r="AO31" s="340">
        <v>1</v>
      </c>
      <c r="AP31" s="339">
        <v>0</v>
      </c>
      <c r="AQ31" s="340">
        <v>0</v>
      </c>
      <c r="AR31" s="99">
        <f t="shared" si="31"/>
        <v>6</v>
      </c>
      <c r="AS31" s="94">
        <f t="shared" si="32"/>
        <v>122050</v>
      </c>
      <c r="AT31" s="94">
        <f t="shared" si="15"/>
        <v>20670</v>
      </c>
      <c r="AU31" s="77">
        <f t="shared" si="33"/>
        <v>142720</v>
      </c>
      <c r="AV31" s="68">
        <f t="shared" si="50"/>
        <v>0</v>
      </c>
      <c r="AW31" s="94">
        <v>6</v>
      </c>
      <c r="AX31" s="94">
        <v>37600</v>
      </c>
      <c r="AY31" s="94">
        <v>9870</v>
      </c>
      <c r="AZ31" s="95">
        <v>0</v>
      </c>
      <c r="BA31" s="95">
        <v>0</v>
      </c>
      <c r="BB31" s="95">
        <v>0</v>
      </c>
      <c r="BC31" s="95">
        <v>0</v>
      </c>
      <c r="BD31" s="96">
        <f t="shared" si="34"/>
        <v>47470</v>
      </c>
      <c r="BE31" s="51">
        <v>27</v>
      </c>
      <c r="BF31" s="80">
        <f t="shared" si="35"/>
        <v>47470</v>
      </c>
      <c r="BG31" s="81">
        <f t="shared" si="16"/>
        <v>142720</v>
      </c>
      <c r="BO31" s="287">
        <f t="shared" si="36"/>
        <v>1</v>
      </c>
      <c r="BP31" s="54">
        <f t="shared" si="36"/>
        <v>2</v>
      </c>
      <c r="BQ31" s="68">
        <f t="shared" si="36"/>
        <v>17600</v>
      </c>
      <c r="BR31" s="56">
        <f t="shared" si="17"/>
        <v>8000</v>
      </c>
      <c r="BS31" s="68">
        <f t="shared" si="37"/>
        <v>1870</v>
      </c>
      <c r="BT31" s="57">
        <f t="shared" si="18"/>
        <v>850</v>
      </c>
      <c r="BU31" s="58">
        <f t="shared" si="38"/>
        <v>19470</v>
      </c>
      <c r="BV31" s="59">
        <f t="shared" si="19"/>
        <v>9735</v>
      </c>
      <c r="BW31" s="288">
        <f t="shared" si="39"/>
        <v>4</v>
      </c>
      <c r="BX31" s="68">
        <f t="shared" si="39"/>
        <v>20000</v>
      </c>
      <c r="BY31" s="56">
        <f t="shared" si="20"/>
        <v>4545.25</v>
      </c>
      <c r="BZ31" s="68">
        <f t="shared" si="40"/>
        <v>8000</v>
      </c>
      <c r="CA31" s="57">
        <f t="shared" si="21"/>
        <v>1818</v>
      </c>
      <c r="CB31" s="289">
        <f t="shared" si="41"/>
        <v>28000</v>
      </c>
      <c r="CC31" s="290" t="e">
        <v>#DIV/0!</v>
      </c>
      <c r="CD31" s="291">
        <f t="shared" si="42"/>
        <v>6</v>
      </c>
      <c r="CE31" s="68">
        <f t="shared" si="42"/>
        <v>37600</v>
      </c>
      <c r="CF31" s="57">
        <f t="shared" si="43"/>
        <v>5696.833333333333</v>
      </c>
      <c r="CG31" s="68">
        <f t="shared" si="44"/>
        <v>9870</v>
      </c>
      <c r="CH31" s="57">
        <f t="shared" si="45"/>
        <v>1495.3333333333333</v>
      </c>
      <c r="CI31" s="292">
        <f t="shared" si="46"/>
        <v>47470</v>
      </c>
      <c r="CJ31" s="293">
        <f t="shared" si="47"/>
        <v>7911.666666666667</v>
      </c>
    </row>
    <row r="32" spans="1:88" ht="15.75" customHeight="1">
      <c r="A32" s="51"/>
      <c r="B32" s="333">
        <f t="shared" si="22"/>
        <v>45958</v>
      </c>
      <c r="C32" s="84"/>
      <c r="D32" s="53">
        <v>6</v>
      </c>
      <c r="E32" s="54">
        <v>13</v>
      </c>
      <c r="F32" s="55">
        <v>74900</v>
      </c>
      <c r="G32" s="56">
        <f>ROUNDDOWN(F32/1.1,0)/E32</f>
        <v>5237.6923076923076</v>
      </c>
      <c r="H32" s="55">
        <v>23530</v>
      </c>
      <c r="I32" s="56">
        <f t="shared" si="1"/>
        <v>1645.3846153846155</v>
      </c>
      <c r="J32" s="58">
        <f>F32+H32</f>
        <v>98430</v>
      </c>
      <c r="K32" s="59">
        <f>IF(E32="","",J32/E32)</f>
        <v>7571.5384615384619</v>
      </c>
      <c r="L32" s="85"/>
      <c r="M32" s="86"/>
      <c r="N32" s="87"/>
      <c r="O32" s="88" t="e">
        <f t="shared" si="4"/>
        <v>#DIV/0!</v>
      </c>
      <c r="P32" s="87"/>
      <c r="Q32" s="89" t="e">
        <f t="shared" si="5"/>
        <v>#DIV/0!</v>
      </c>
      <c r="R32" s="90">
        <f t="shared" si="48"/>
        <v>0</v>
      </c>
      <c r="S32" s="91" t="str">
        <f t="shared" si="7"/>
        <v/>
      </c>
      <c r="T32" s="67">
        <f t="shared" si="23"/>
        <v>5</v>
      </c>
      <c r="U32" s="68">
        <f t="shared" si="24"/>
        <v>82500</v>
      </c>
      <c r="V32" s="56">
        <f>ROUNDDOWN(U32/1.1,0)/T32</f>
        <v>15000</v>
      </c>
      <c r="W32" s="68">
        <f t="shared" si="25"/>
        <v>14740</v>
      </c>
      <c r="X32" s="56">
        <f>ROUNDDOWN(W32/1.1,0)/T32</f>
        <v>2680</v>
      </c>
      <c r="Y32" s="92">
        <f>U32+W32</f>
        <v>97240</v>
      </c>
      <c r="Z32" s="70">
        <f>IF(T32="","",Y32/T32)</f>
        <v>19448</v>
      </c>
      <c r="AA32" s="71">
        <f t="shared" si="27"/>
        <v>18</v>
      </c>
      <c r="AB32" s="68">
        <f t="shared" si="27"/>
        <v>157400</v>
      </c>
      <c r="AC32" s="68">
        <f t="shared" si="28"/>
        <v>38270</v>
      </c>
      <c r="AD32" s="72">
        <f t="shared" si="49"/>
        <v>195670</v>
      </c>
      <c r="AE32" s="68">
        <f>IF(AA32="","",AD32/AA32)</f>
        <v>10870.555555555555</v>
      </c>
      <c r="AF32" s="73">
        <v>55</v>
      </c>
      <c r="AG32" s="74">
        <v>60</v>
      </c>
      <c r="AH32" s="55">
        <v>64450</v>
      </c>
      <c r="AI32" s="56">
        <f>AH32/AG32</f>
        <v>1074.1666666666667</v>
      </c>
      <c r="AJ32" s="55">
        <v>11900</v>
      </c>
      <c r="AK32" s="57">
        <f>AJ32/AG32</f>
        <v>198.33333333333334</v>
      </c>
      <c r="AL32" s="93">
        <f>AH32+AJ32</f>
        <v>76350</v>
      </c>
      <c r="AM32" s="76">
        <f>IF(AG32="","",AL32/AG32)</f>
        <v>1272.5</v>
      </c>
      <c r="AN32" s="339">
        <v>2</v>
      </c>
      <c r="AO32" s="340">
        <v>3</v>
      </c>
      <c r="AP32" s="339">
        <v>0</v>
      </c>
      <c r="AQ32" s="340">
        <v>0</v>
      </c>
      <c r="AR32" s="99">
        <f t="shared" si="31"/>
        <v>18</v>
      </c>
      <c r="AS32" s="94">
        <f t="shared" si="32"/>
        <v>221850</v>
      </c>
      <c r="AT32" s="94">
        <f t="shared" si="15"/>
        <v>50170</v>
      </c>
      <c r="AU32" s="77">
        <f t="shared" si="33"/>
        <v>272020</v>
      </c>
      <c r="AV32" s="68">
        <f>AZ32+BA32+BB32</f>
        <v>0</v>
      </c>
      <c r="AW32" s="94">
        <v>18</v>
      </c>
      <c r="AX32" s="94">
        <v>157400</v>
      </c>
      <c r="AY32" s="94">
        <v>38270</v>
      </c>
      <c r="AZ32" s="95">
        <v>0</v>
      </c>
      <c r="BA32" s="95">
        <v>0</v>
      </c>
      <c r="BB32" s="95">
        <v>0</v>
      </c>
      <c r="BC32" s="95">
        <v>0</v>
      </c>
      <c r="BD32" s="96">
        <f>SUM(AX32:BB32)</f>
        <v>195670</v>
      </c>
      <c r="BE32" s="51">
        <v>26</v>
      </c>
      <c r="BF32" s="80">
        <f>BC32+BD32</f>
        <v>195670</v>
      </c>
      <c r="BG32" s="81">
        <f t="shared" si="16"/>
        <v>272020</v>
      </c>
      <c r="BO32" s="287">
        <f t="shared" si="36"/>
        <v>6</v>
      </c>
      <c r="BP32" s="54">
        <f t="shared" si="36"/>
        <v>13</v>
      </c>
      <c r="BQ32" s="68">
        <f t="shared" si="36"/>
        <v>74900</v>
      </c>
      <c r="BR32" s="56">
        <f t="shared" si="17"/>
        <v>5237.6923076923076</v>
      </c>
      <c r="BS32" s="68">
        <f t="shared" si="37"/>
        <v>23530</v>
      </c>
      <c r="BT32" s="57">
        <f t="shared" si="18"/>
        <v>1645.3846153846155</v>
      </c>
      <c r="BU32" s="58">
        <f t="shared" si="38"/>
        <v>98430</v>
      </c>
      <c r="BV32" s="59">
        <f t="shared" si="19"/>
        <v>7571.5384615384619</v>
      </c>
      <c r="BW32" s="288">
        <f t="shared" si="39"/>
        <v>5</v>
      </c>
      <c r="BX32" s="68">
        <f t="shared" si="39"/>
        <v>82500</v>
      </c>
      <c r="BY32" s="56">
        <f t="shared" si="20"/>
        <v>15000</v>
      </c>
      <c r="BZ32" s="68">
        <f t="shared" si="40"/>
        <v>14740</v>
      </c>
      <c r="CA32" s="57">
        <f t="shared" si="21"/>
        <v>2680</v>
      </c>
      <c r="CB32" s="289">
        <f t="shared" si="41"/>
        <v>97240</v>
      </c>
      <c r="CC32" s="290" t="e">
        <v>#DIV/0!</v>
      </c>
      <c r="CD32" s="291">
        <f t="shared" si="42"/>
        <v>18</v>
      </c>
      <c r="CE32" s="68">
        <f t="shared" si="42"/>
        <v>157400</v>
      </c>
      <c r="CF32" s="57">
        <f t="shared" si="43"/>
        <v>7949.4444444444443</v>
      </c>
      <c r="CG32" s="68">
        <f t="shared" si="44"/>
        <v>38270</v>
      </c>
      <c r="CH32" s="57">
        <f t="shared" si="45"/>
        <v>1932.7777777777778</v>
      </c>
      <c r="CI32" s="292">
        <f t="shared" si="46"/>
        <v>195670</v>
      </c>
      <c r="CJ32" s="293">
        <f t="shared" si="47"/>
        <v>10870.555555555555</v>
      </c>
    </row>
    <row r="33" spans="1:88" ht="15.75" customHeight="1">
      <c r="A33" s="51"/>
      <c r="B33" s="333">
        <f t="shared" si="22"/>
        <v>45959</v>
      </c>
      <c r="C33" s="84"/>
      <c r="D33" s="53">
        <v>5</v>
      </c>
      <c r="E33" s="54">
        <v>10</v>
      </c>
      <c r="F33" s="55">
        <v>56200</v>
      </c>
      <c r="G33" s="56">
        <f>ROUNDDOWN(F33/1.1,0)/E33</f>
        <v>5109</v>
      </c>
      <c r="H33" s="55">
        <v>8260</v>
      </c>
      <c r="I33" s="56">
        <f t="shared" si="1"/>
        <v>750.9</v>
      </c>
      <c r="J33" s="58">
        <f>F33+H33</f>
        <v>64460</v>
      </c>
      <c r="K33" s="59">
        <f>IF(E33="","",J33/E33)</f>
        <v>6446</v>
      </c>
      <c r="L33" s="85"/>
      <c r="M33" s="86"/>
      <c r="N33" s="87"/>
      <c r="O33" s="88" t="e">
        <f t="shared" si="4"/>
        <v>#DIV/0!</v>
      </c>
      <c r="P33" s="87"/>
      <c r="Q33" s="89" t="e">
        <f t="shared" si="5"/>
        <v>#DIV/0!</v>
      </c>
      <c r="R33" s="90">
        <f t="shared" si="48"/>
        <v>0</v>
      </c>
      <c r="S33" s="91" t="str">
        <f t="shared" si="7"/>
        <v/>
      </c>
      <c r="T33" s="67">
        <f t="shared" si="23"/>
        <v>2</v>
      </c>
      <c r="U33" s="68">
        <f t="shared" si="24"/>
        <v>31900</v>
      </c>
      <c r="V33" s="56">
        <f>ROUNDDOWN(U33/1.1,0)/T33</f>
        <v>14500</v>
      </c>
      <c r="W33" s="68">
        <f t="shared" si="25"/>
        <v>39820</v>
      </c>
      <c r="X33" s="56">
        <f>ROUNDDOWN(W33/1.1,0)/T33</f>
        <v>18100</v>
      </c>
      <c r="Y33" s="92">
        <f>U33+W33</f>
        <v>71720</v>
      </c>
      <c r="Z33" s="70">
        <f>IF(T33="","",Y33/T33)</f>
        <v>35860</v>
      </c>
      <c r="AA33" s="71">
        <f t="shared" si="27"/>
        <v>12</v>
      </c>
      <c r="AB33" s="68">
        <f t="shared" si="27"/>
        <v>88100</v>
      </c>
      <c r="AC33" s="68">
        <f t="shared" si="28"/>
        <v>48080</v>
      </c>
      <c r="AD33" s="72">
        <f t="shared" si="49"/>
        <v>136180</v>
      </c>
      <c r="AE33" s="68">
        <f>IF(AA33="","",AD33/AA33)</f>
        <v>11348.333333333334</v>
      </c>
      <c r="AF33" s="73">
        <v>64</v>
      </c>
      <c r="AG33" s="74">
        <v>66</v>
      </c>
      <c r="AH33" s="55">
        <v>80750</v>
      </c>
      <c r="AI33" s="56">
        <f>AH33/AG33</f>
        <v>1223.4848484848485</v>
      </c>
      <c r="AJ33" s="55">
        <v>10000</v>
      </c>
      <c r="AK33" s="57">
        <f>AJ33/AG33</f>
        <v>151.5151515151515</v>
      </c>
      <c r="AL33" s="93">
        <f>AH33+AJ33</f>
        <v>90750</v>
      </c>
      <c r="AM33" s="76">
        <f>IF(AG33="","",AL33/AG33)</f>
        <v>1375</v>
      </c>
      <c r="AN33" s="339">
        <v>3</v>
      </c>
      <c r="AO33" s="340">
        <v>4</v>
      </c>
      <c r="AP33" s="339">
        <v>0</v>
      </c>
      <c r="AQ33" s="340">
        <v>0</v>
      </c>
      <c r="AR33" s="99">
        <f t="shared" si="31"/>
        <v>12</v>
      </c>
      <c r="AS33" s="94">
        <f t="shared" si="32"/>
        <v>168850</v>
      </c>
      <c r="AT33" s="94">
        <f t="shared" si="15"/>
        <v>58080</v>
      </c>
      <c r="AU33" s="77">
        <f t="shared" si="33"/>
        <v>226930</v>
      </c>
      <c r="AV33" s="68">
        <f>AZ33+BA33+BB33</f>
        <v>0</v>
      </c>
      <c r="AW33" s="94">
        <v>12</v>
      </c>
      <c r="AX33" s="94">
        <v>88100</v>
      </c>
      <c r="AY33" s="94">
        <v>48080</v>
      </c>
      <c r="AZ33" s="95">
        <v>0</v>
      </c>
      <c r="BA33" s="95">
        <v>0</v>
      </c>
      <c r="BB33" s="95">
        <v>0</v>
      </c>
      <c r="BC33" s="95">
        <v>0</v>
      </c>
      <c r="BD33" s="96">
        <f>SUM(AX33:BB33)</f>
        <v>136180</v>
      </c>
      <c r="BE33" s="51">
        <v>27</v>
      </c>
      <c r="BF33" s="80">
        <f>BC33+BD33</f>
        <v>136180</v>
      </c>
      <c r="BG33" s="81">
        <f t="shared" si="16"/>
        <v>226930</v>
      </c>
      <c r="BO33" s="287">
        <f t="shared" si="36"/>
        <v>5</v>
      </c>
      <c r="BP33" s="54">
        <f t="shared" si="36"/>
        <v>10</v>
      </c>
      <c r="BQ33" s="68">
        <f t="shared" si="36"/>
        <v>56200</v>
      </c>
      <c r="BR33" s="56">
        <f t="shared" si="17"/>
        <v>5109</v>
      </c>
      <c r="BS33" s="68">
        <f t="shared" si="37"/>
        <v>8260</v>
      </c>
      <c r="BT33" s="57">
        <f t="shared" si="18"/>
        <v>750.9</v>
      </c>
      <c r="BU33" s="58">
        <f t="shared" si="38"/>
        <v>64460</v>
      </c>
      <c r="BV33" s="59">
        <f t="shared" si="19"/>
        <v>6446</v>
      </c>
      <c r="BW33" s="288">
        <f t="shared" si="39"/>
        <v>2</v>
      </c>
      <c r="BX33" s="68">
        <f t="shared" si="39"/>
        <v>31900</v>
      </c>
      <c r="BY33" s="56">
        <f t="shared" si="20"/>
        <v>14500</v>
      </c>
      <c r="BZ33" s="68">
        <f t="shared" si="40"/>
        <v>39820</v>
      </c>
      <c r="CA33" s="57">
        <f t="shared" si="21"/>
        <v>18100</v>
      </c>
      <c r="CB33" s="289">
        <f t="shared" si="41"/>
        <v>71720</v>
      </c>
      <c r="CC33" s="290" t="e">
        <v>#DIV/0!</v>
      </c>
      <c r="CD33" s="291">
        <f t="shared" si="42"/>
        <v>12</v>
      </c>
      <c r="CE33" s="68">
        <f t="shared" si="42"/>
        <v>88100</v>
      </c>
      <c r="CF33" s="57">
        <f t="shared" si="43"/>
        <v>6674.166666666667</v>
      </c>
      <c r="CG33" s="68">
        <f t="shared" si="44"/>
        <v>48080</v>
      </c>
      <c r="CH33" s="57">
        <f t="shared" si="45"/>
        <v>3642.4166666666665</v>
      </c>
      <c r="CI33" s="292">
        <f t="shared" si="46"/>
        <v>136180</v>
      </c>
      <c r="CJ33" s="293">
        <f t="shared" si="47"/>
        <v>11348.333333333334</v>
      </c>
    </row>
    <row r="34" spans="1:88" ht="15.75" customHeight="1">
      <c r="A34" s="51"/>
      <c r="B34" s="333">
        <f t="shared" si="22"/>
        <v>45960</v>
      </c>
      <c r="C34" s="84"/>
      <c r="D34" s="53">
        <v>7</v>
      </c>
      <c r="E34" s="54">
        <v>17</v>
      </c>
      <c r="F34" s="55">
        <v>125400</v>
      </c>
      <c r="G34" s="56">
        <f>ROUNDDOWN(F34/1.1,0)/E34</f>
        <v>6705.8823529411766</v>
      </c>
      <c r="H34" s="55">
        <v>31130</v>
      </c>
      <c r="I34" s="56">
        <f t="shared" si="1"/>
        <v>1664.7058823529412</v>
      </c>
      <c r="J34" s="58">
        <f>F34+H34</f>
        <v>156530</v>
      </c>
      <c r="K34" s="59">
        <f>IF(E34="","",J34/E34)</f>
        <v>9207.6470588235297</v>
      </c>
      <c r="L34" s="101"/>
      <c r="M34" s="102"/>
      <c r="N34" s="103"/>
      <c r="O34" s="88" t="e">
        <f t="shared" si="4"/>
        <v>#DIV/0!</v>
      </c>
      <c r="P34" s="103"/>
      <c r="Q34" s="89" t="e">
        <f t="shared" si="5"/>
        <v>#DIV/0!</v>
      </c>
      <c r="R34" s="90">
        <f t="shared" si="48"/>
        <v>0</v>
      </c>
      <c r="S34" s="91" t="str">
        <f t="shared" si="7"/>
        <v/>
      </c>
      <c r="T34" s="67">
        <f t="shared" si="23"/>
        <v>0</v>
      </c>
      <c r="U34" s="68">
        <f t="shared" si="24"/>
        <v>0</v>
      </c>
      <c r="V34" s="56" t="e">
        <f>ROUNDDOWN(U34/1.1,0)/T34</f>
        <v>#DIV/0!</v>
      </c>
      <c r="W34" s="68">
        <f t="shared" si="25"/>
        <v>0</v>
      </c>
      <c r="X34" s="56" t="e">
        <f>ROUNDDOWN(W34/1.1,0)/T34</f>
        <v>#DIV/0!</v>
      </c>
      <c r="Y34" s="92">
        <f>U34+W34</f>
        <v>0</v>
      </c>
      <c r="Z34" s="70" t="e">
        <f>IF(T34="","",Y34/T34)</f>
        <v>#DIV/0!</v>
      </c>
      <c r="AA34" s="71">
        <f t="shared" si="27"/>
        <v>17</v>
      </c>
      <c r="AB34" s="68">
        <f t="shared" si="27"/>
        <v>125400</v>
      </c>
      <c r="AC34" s="68">
        <f t="shared" si="28"/>
        <v>31130</v>
      </c>
      <c r="AD34" s="72">
        <f t="shared" si="49"/>
        <v>156530</v>
      </c>
      <c r="AE34" s="68">
        <f>IF(AA34="","",AD34/AA34)</f>
        <v>9207.6470588235297</v>
      </c>
      <c r="AF34" s="73">
        <v>74</v>
      </c>
      <c r="AG34" s="74">
        <v>78</v>
      </c>
      <c r="AH34" s="55">
        <v>87800</v>
      </c>
      <c r="AI34" s="56">
        <f>AH34/AG34</f>
        <v>1125.6410256410256</v>
      </c>
      <c r="AJ34" s="55">
        <v>19100</v>
      </c>
      <c r="AK34" s="57">
        <f>AJ34/AG34</f>
        <v>244.87179487179486</v>
      </c>
      <c r="AL34" s="93">
        <f>AH34+AJ34</f>
        <v>106900</v>
      </c>
      <c r="AM34" s="76">
        <f>IF(AG34="","",AL34/AG34)</f>
        <v>1370.5128205128206</v>
      </c>
      <c r="AN34" s="339">
        <v>3</v>
      </c>
      <c r="AO34" s="340">
        <v>3</v>
      </c>
      <c r="AP34" s="339">
        <v>0</v>
      </c>
      <c r="AQ34" s="340">
        <v>0</v>
      </c>
      <c r="AR34" s="99">
        <f t="shared" si="31"/>
        <v>17</v>
      </c>
      <c r="AS34" s="94">
        <f t="shared" si="32"/>
        <v>213200</v>
      </c>
      <c r="AT34" s="94">
        <f t="shared" si="15"/>
        <v>50230</v>
      </c>
      <c r="AU34" s="77">
        <f t="shared" si="33"/>
        <v>263430</v>
      </c>
      <c r="AV34" s="68">
        <f>AZ34+BA34+BB34</f>
        <v>0</v>
      </c>
      <c r="AW34" s="94">
        <v>17</v>
      </c>
      <c r="AX34" s="94">
        <v>125400</v>
      </c>
      <c r="AY34" s="94">
        <v>31130</v>
      </c>
      <c r="AZ34" s="95">
        <v>0</v>
      </c>
      <c r="BA34" s="95">
        <v>0</v>
      </c>
      <c r="BB34" s="95">
        <v>0</v>
      </c>
      <c r="BC34" s="95">
        <v>0</v>
      </c>
      <c r="BD34" s="96">
        <f>SUM(AX34:BB34)</f>
        <v>156530</v>
      </c>
      <c r="BE34" s="51">
        <v>27</v>
      </c>
      <c r="BF34" s="80">
        <f>BC34+BD34</f>
        <v>156530</v>
      </c>
      <c r="BG34" s="81">
        <f t="shared" si="16"/>
        <v>263430</v>
      </c>
      <c r="BO34" s="287">
        <f t="shared" si="36"/>
        <v>7</v>
      </c>
      <c r="BP34" s="54">
        <f t="shared" si="36"/>
        <v>17</v>
      </c>
      <c r="BQ34" s="68">
        <f t="shared" si="36"/>
        <v>125400</v>
      </c>
      <c r="BR34" s="56">
        <f t="shared" si="17"/>
        <v>6705.8823529411766</v>
      </c>
      <c r="BS34" s="68">
        <f t="shared" si="37"/>
        <v>31130</v>
      </c>
      <c r="BT34" s="57">
        <f t="shared" si="18"/>
        <v>1664.7058823529412</v>
      </c>
      <c r="BU34" s="58">
        <f t="shared" si="38"/>
        <v>156530</v>
      </c>
      <c r="BV34" s="59">
        <f t="shared" si="19"/>
        <v>9207.6470588235297</v>
      </c>
      <c r="BW34" s="288">
        <f t="shared" si="39"/>
        <v>0</v>
      </c>
      <c r="BX34" s="68">
        <f t="shared" si="39"/>
        <v>0</v>
      </c>
      <c r="BY34" s="56" t="e">
        <f t="shared" si="20"/>
        <v>#DIV/0!</v>
      </c>
      <c r="BZ34" s="68">
        <f t="shared" si="40"/>
        <v>0</v>
      </c>
      <c r="CA34" s="57" t="e">
        <f t="shared" si="21"/>
        <v>#DIV/0!</v>
      </c>
      <c r="CB34" s="289">
        <f t="shared" si="41"/>
        <v>0</v>
      </c>
      <c r="CC34" s="290" t="e">
        <v>#DIV/0!</v>
      </c>
      <c r="CD34" s="291">
        <f t="shared" si="42"/>
        <v>17</v>
      </c>
      <c r="CE34" s="68">
        <f t="shared" si="42"/>
        <v>125400</v>
      </c>
      <c r="CF34" s="57">
        <f t="shared" si="43"/>
        <v>6705.8823529411766</v>
      </c>
      <c r="CG34" s="68">
        <f t="shared" si="44"/>
        <v>31130</v>
      </c>
      <c r="CH34" s="57">
        <f t="shared" si="45"/>
        <v>1664.7058823529412</v>
      </c>
      <c r="CI34" s="292">
        <f t="shared" si="46"/>
        <v>156530</v>
      </c>
      <c r="CJ34" s="293">
        <f t="shared" si="47"/>
        <v>9207.6470588235297</v>
      </c>
    </row>
    <row r="35" spans="1:88" ht="15.75" customHeight="1" thickBot="1">
      <c r="A35" s="51"/>
      <c r="B35" s="333">
        <f t="shared" si="22"/>
        <v>45961</v>
      </c>
      <c r="C35" s="84"/>
      <c r="D35" s="53">
        <v>4</v>
      </c>
      <c r="E35" s="54">
        <v>8</v>
      </c>
      <c r="F35" s="55">
        <v>57200</v>
      </c>
      <c r="G35" s="56">
        <f t="shared" si="0"/>
        <v>6500</v>
      </c>
      <c r="H35" s="55">
        <v>11660</v>
      </c>
      <c r="I35" s="56">
        <f t="shared" si="1"/>
        <v>1325</v>
      </c>
      <c r="J35" s="58">
        <f t="shared" si="2"/>
        <v>68860</v>
      </c>
      <c r="K35" s="59">
        <f t="shared" si="3"/>
        <v>8607.5</v>
      </c>
      <c r="L35" s="104"/>
      <c r="M35" s="105"/>
      <c r="N35" s="106"/>
      <c r="O35" s="107" t="e">
        <f t="shared" si="4"/>
        <v>#DIV/0!</v>
      </c>
      <c r="P35" s="106"/>
      <c r="Q35" s="108" t="e">
        <f t="shared" si="5"/>
        <v>#DIV/0!</v>
      </c>
      <c r="R35" s="109">
        <f t="shared" si="48"/>
        <v>0</v>
      </c>
      <c r="S35" s="91" t="str">
        <f t="shared" si="7"/>
        <v/>
      </c>
      <c r="T35" s="67">
        <f t="shared" si="23"/>
        <v>2</v>
      </c>
      <c r="U35" s="68">
        <f t="shared" si="24"/>
        <v>34980</v>
      </c>
      <c r="V35" s="56">
        <f t="shared" si="8"/>
        <v>15900</v>
      </c>
      <c r="W35" s="68">
        <f t="shared" si="25"/>
        <v>17350</v>
      </c>
      <c r="X35" s="56">
        <f t="shared" si="9"/>
        <v>7886</v>
      </c>
      <c r="Y35" s="92">
        <f t="shared" si="26"/>
        <v>52330</v>
      </c>
      <c r="Z35" s="70">
        <f t="shared" si="10"/>
        <v>26165</v>
      </c>
      <c r="AA35" s="71">
        <f t="shared" si="27"/>
        <v>10</v>
      </c>
      <c r="AB35" s="68">
        <f t="shared" si="27"/>
        <v>92180</v>
      </c>
      <c r="AC35" s="68">
        <f t="shared" si="28"/>
        <v>29010</v>
      </c>
      <c r="AD35" s="72">
        <f>J35+Y35+R35</f>
        <v>121190</v>
      </c>
      <c r="AE35" s="68">
        <f t="shared" si="29"/>
        <v>12119</v>
      </c>
      <c r="AF35" s="73">
        <v>112</v>
      </c>
      <c r="AG35" s="74">
        <v>116</v>
      </c>
      <c r="AH35" s="55">
        <v>126000</v>
      </c>
      <c r="AI35" s="56">
        <f t="shared" si="12"/>
        <v>1086.2068965517242</v>
      </c>
      <c r="AJ35" s="55">
        <v>33000</v>
      </c>
      <c r="AK35" s="57">
        <f t="shared" si="13"/>
        <v>284.48275862068965</v>
      </c>
      <c r="AL35" s="93">
        <f t="shared" si="30"/>
        <v>159000</v>
      </c>
      <c r="AM35" s="76">
        <f t="shared" si="14"/>
        <v>1370.6896551724137</v>
      </c>
      <c r="AN35" s="341">
        <v>0</v>
      </c>
      <c r="AO35" s="340">
        <v>0</v>
      </c>
      <c r="AP35" s="341">
        <v>0</v>
      </c>
      <c r="AQ35" s="340">
        <v>0</v>
      </c>
      <c r="AR35" s="99">
        <f t="shared" si="31"/>
        <v>10</v>
      </c>
      <c r="AS35" s="94">
        <f t="shared" si="32"/>
        <v>218180</v>
      </c>
      <c r="AT35" s="94">
        <f t="shared" si="15"/>
        <v>62010</v>
      </c>
      <c r="AU35" s="77">
        <f t="shared" si="33"/>
        <v>280190</v>
      </c>
      <c r="AV35" s="68">
        <f t="shared" si="50"/>
        <v>2200</v>
      </c>
      <c r="AW35" s="94">
        <v>10</v>
      </c>
      <c r="AX35" s="94">
        <v>92180</v>
      </c>
      <c r="AY35" s="94">
        <v>29010</v>
      </c>
      <c r="AZ35" s="95">
        <v>2200</v>
      </c>
      <c r="BA35" s="95">
        <v>0</v>
      </c>
      <c r="BB35" s="95">
        <v>0</v>
      </c>
      <c r="BC35" s="95">
        <v>0</v>
      </c>
      <c r="BD35" s="96">
        <f>SUM(AX35:BB35)</f>
        <v>123390</v>
      </c>
      <c r="BE35" s="51">
        <v>28</v>
      </c>
      <c r="BF35" s="80">
        <f t="shared" si="35"/>
        <v>123390</v>
      </c>
      <c r="BG35" s="81">
        <f t="shared" si="16"/>
        <v>282390</v>
      </c>
      <c r="BO35" s="287">
        <f t="shared" si="36"/>
        <v>4</v>
      </c>
      <c r="BP35" s="54">
        <f t="shared" si="36"/>
        <v>8</v>
      </c>
      <c r="BQ35" s="68">
        <f t="shared" si="36"/>
        <v>57200</v>
      </c>
      <c r="BR35" s="56">
        <f t="shared" si="17"/>
        <v>6500</v>
      </c>
      <c r="BS35" s="68">
        <f t="shared" si="37"/>
        <v>11660</v>
      </c>
      <c r="BT35" s="57">
        <f t="shared" si="18"/>
        <v>1325</v>
      </c>
      <c r="BU35" s="58">
        <f t="shared" si="38"/>
        <v>68860</v>
      </c>
      <c r="BV35" s="59">
        <f t="shared" si="19"/>
        <v>8607.5</v>
      </c>
      <c r="BW35" s="288">
        <f t="shared" si="39"/>
        <v>2</v>
      </c>
      <c r="BX35" s="68">
        <f t="shared" si="39"/>
        <v>34980</v>
      </c>
      <c r="BY35" s="56">
        <f t="shared" si="20"/>
        <v>15900</v>
      </c>
      <c r="BZ35" s="68">
        <f t="shared" si="40"/>
        <v>17350</v>
      </c>
      <c r="CA35" s="57">
        <f t="shared" si="21"/>
        <v>7886</v>
      </c>
      <c r="CB35" s="289">
        <f t="shared" si="41"/>
        <v>52330</v>
      </c>
      <c r="CC35" s="290" t="e">
        <v>#DIV/0!</v>
      </c>
      <c r="CD35" s="291">
        <f t="shared" si="42"/>
        <v>10</v>
      </c>
      <c r="CE35" s="68">
        <f t="shared" si="42"/>
        <v>92180</v>
      </c>
      <c r="CF35" s="57">
        <f t="shared" si="43"/>
        <v>8380</v>
      </c>
      <c r="CG35" s="68">
        <f t="shared" si="44"/>
        <v>29010</v>
      </c>
      <c r="CH35" s="57">
        <f t="shared" si="45"/>
        <v>2637.2</v>
      </c>
      <c r="CI35" s="292">
        <f t="shared" si="46"/>
        <v>121190</v>
      </c>
      <c r="CJ35" s="293">
        <f t="shared" si="47"/>
        <v>12119</v>
      </c>
    </row>
    <row r="36" spans="1:88" ht="15.75" customHeight="1" thickTop="1" thickBot="1">
      <c r="A36" s="110"/>
      <c r="B36" s="111" t="s">
        <v>23</v>
      </c>
      <c r="C36" s="112">
        <f>SUM(C5:C35)</f>
        <v>0</v>
      </c>
      <c r="D36" s="113">
        <f>SUM(D5:D35)</f>
        <v>98</v>
      </c>
      <c r="E36" s="114">
        <f>SUM(E5:E35)</f>
        <v>250</v>
      </c>
      <c r="F36" s="115">
        <f>SUM(F5:F35)</f>
        <v>1528580</v>
      </c>
      <c r="G36" s="116">
        <f>F36/E36</f>
        <v>6114.32</v>
      </c>
      <c r="H36" s="117">
        <f>SUM(H5:H35)</f>
        <v>419530</v>
      </c>
      <c r="I36" s="118">
        <f>H36/E36</f>
        <v>1678.12</v>
      </c>
      <c r="J36" s="119">
        <f>SUM(J5:J35)</f>
        <v>1948110</v>
      </c>
      <c r="K36" s="120">
        <f>J36/E36</f>
        <v>7792.44</v>
      </c>
      <c r="L36" s="121">
        <f t="shared" ref="L36:N36" si="51">SUM(L5:L35)</f>
        <v>11</v>
      </c>
      <c r="M36" s="122">
        <f t="shared" si="51"/>
        <v>23</v>
      </c>
      <c r="N36" s="123">
        <f t="shared" si="51"/>
        <v>88550</v>
      </c>
      <c r="O36" s="123">
        <f t="shared" si="4"/>
        <v>3850</v>
      </c>
      <c r="P36" s="124">
        <f>SUM(P5:P35)</f>
        <v>16390</v>
      </c>
      <c r="Q36" s="125">
        <f t="shared" si="5"/>
        <v>712.60869565217388</v>
      </c>
      <c r="R36" s="126">
        <f>SUM(R5:R35)</f>
        <v>104940</v>
      </c>
      <c r="S36" s="127">
        <f>R36/M36</f>
        <v>4562.608695652174</v>
      </c>
      <c r="T36" s="114">
        <f>SUM(T5:T35)</f>
        <v>187</v>
      </c>
      <c r="U36" s="115">
        <f>SUM(U5:U35)</f>
        <v>2375140</v>
      </c>
      <c r="V36" s="116">
        <f>U36/T36</f>
        <v>12701.283422459894</v>
      </c>
      <c r="W36" s="128">
        <f>SUM(W5:W35)</f>
        <v>828130</v>
      </c>
      <c r="X36" s="118">
        <f>W36/T36</f>
        <v>4428.5026737967919</v>
      </c>
      <c r="Y36" s="129">
        <f>SUM(Y5:Y35)</f>
        <v>3203270</v>
      </c>
      <c r="Z36" s="130">
        <f>Y36/T36</f>
        <v>17129.786096256685</v>
      </c>
      <c r="AA36" s="114">
        <f>SUM(AA5:AA35)</f>
        <v>460</v>
      </c>
      <c r="AB36" s="131">
        <f>SUM(AB5:AB35)</f>
        <v>3992270</v>
      </c>
      <c r="AC36" s="128">
        <f>SUM(AC5:AC35)</f>
        <v>1264050</v>
      </c>
      <c r="AD36" s="132">
        <f>SUM(AD5:AD35)</f>
        <v>5256320</v>
      </c>
      <c r="AE36" s="133">
        <f>AD36/AA36</f>
        <v>11426.782608695652</v>
      </c>
      <c r="AF36" s="113">
        <f>SUM(AF5:AF35)</f>
        <v>2467</v>
      </c>
      <c r="AG36" s="114">
        <f>SUM(AG5:AG35)</f>
        <v>2619</v>
      </c>
      <c r="AH36" s="134">
        <f>SUM(AH5:AH35)</f>
        <v>2916210</v>
      </c>
      <c r="AI36" s="116"/>
      <c r="AJ36" s="117">
        <f>SUM(AJ5:AJ35)</f>
        <v>514700</v>
      </c>
      <c r="AK36" s="118"/>
      <c r="AL36" s="135">
        <f>SUM(AL5:AL35)</f>
        <v>3430910</v>
      </c>
      <c r="AM36" s="342">
        <f>AL36/AG36</f>
        <v>1310.0076365024818</v>
      </c>
      <c r="AN36" s="113">
        <f>SUM(AN5:AN35)</f>
        <v>36</v>
      </c>
      <c r="AO36" s="343">
        <f>SUM(AO5:AO35)</f>
        <v>49</v>
      </c>
      <c r="AP36" s="113">
        <f>SUM(AP5:AP35)</f>
        <v>5</v>
      </c>
      <c r="AQ36" s="343">
        <f>SUM(AQ5:AQ35)</f>
        <v>7</v>
      </c>
      <c r="AR36" s="114">
        <f t="shared" ref="AR36:BC36" si="52">SUM(AR5:AR35)</f>
        <v>429</v>
      </c>
      <c r="AS36" s="131">
        <f t="shared" si="52"/>
        <v>6908480</v>
      </c>
      <c r="AT36" s="128">
        <f t="shared" si="52"/>
        <v>1778750</v>
      </c>
      <c r="AU36" s="129">
        <f t="shared" si="52"/>
        <v>8687230</v>
      </c>
      <c r="AV36" s="117">
        <f t="shared" si="52"/>
        <v>26400</v>
      </c>
      <c r="AW36" s="136">
        <f t="shared" si="52"/>
        <v>460</v>
      </c>
      <c r="AX36" s="136">
        <f t="shared" si="52"/>
        <v>3992270</v>
      </c>
      <c r="AY36" s="136">
        <f t="shared" si="52"/>
        <v>1264050</v>
      </c>
      <c r="AZ36" s="136">
        <f t="shared" si="52"/>
        <v>26400</v>
      </c>
      <c r="BA36" s="136">
        <f t="shared" si="52"/>
        <v>0</v>
      </c>
      <c r="BB36" s="136">
        <f t="shared" si="52"/>
        <v>0</v>
      </c>
      <c r="BC36" s="136">
        <f t="shared" si="52"/>
        <v>12100</v>
      </c>
      <c r="BD36" s="136">
        <f>SUM(BD5:BD35)</f>
        <v>5282720</v>
      </c>
      <c r="BE36" s="110"/>
      <c r="BF36" s="137">
        <f>SUM(BF5:BF35)</f>
        <v>5294820</v>
      </c>
      <c r="BO36" s="303">
        <f>SUM(BO5:BO35)</f>
        <v>98</v>
      </c>
      <c r="BP36" s="114">
        <f>SUM(BP5:BP35)</f>
        <v>250</v>
      </c>
      <c r="BQ36" s="115">
        <f>SUM(BQ5:BQ35)</f>
        <v>1528580</v>
      </c>
      <c r="BR36" s="116">
        <f>BQ36/BP36</f>
        <v>6114.32</v>
      </c>
      <c r="BS36" s="117">
        <f>SUM(BS5:BS35)</f>
        <v>419530</v>
      </c>
      <c r="BT36" s="118">
        <f>BS36/BP36</f>
        <v>1678.12</v>
      </c>
      <c r="BU36" s="119">
        <f>SUM(BU5:BU35)</f>
        <v>1948110</v>
      </c>
      <c r="BV36" s="304">
        <f>BU36/BP36</f>
        <v>7792.44</v>
      </c>
      <c r="BW36" s="305">
        <f>SUM(BW5:BW35)</f>
        <v>187</v>
      </c>
      <c r="BX36" s="115">
        <f>SUM(BX5:BX35)</f>
        <v>2375140</v>
      </c>
      <c r="BY36" s="116">
        <f>BX36/BW36</f>
        <v>12701.283422459894</v>
      </c>
      <c r="BZ36" s="128">
        <f>SUM(BZ5:BZ35)</f>
        <v>828130</v>
      </c>
      <c r="CA36" s="118">
        <f>BZ36/BW36</f>
        <v>4428.5026737967919</v>
      </c>
      <c r="CB36" s="119">
        <f>SUM(CB5:CB35)</f>
        <v>3203270</v>
      </c>
      <c r="CC36" s="306">
        <v>20391.534090909092</v>
      </c>
      <c r="CD36" s="305">
        <f>SUM(CD5:CD35)</f>
        <v>437</v>
      </c>
      <c r="CE36" s="115">
        <f>SUM(CE5:CE35)</f>
        <v>3903720</v>
      </c>
      <c r="CF36" s="116">
        <f>ROUNDDOWN(CE36/1.1,0)/CD36</f>
        <v>8120.9061784897021</v>
      </c>
      <c r="CG36" s="115">
        <f>SUM(CG5:CG35)</f>
        <v>1247660</v>
      </c>
      <c r="CH36" s="118">
        <f>ROUNDDOWN(CG36/1.1,0)/CD36</f>
        <v>2595.5057208237986</v>
      </c>
      <c r="CI36" s="129">
        <f>SUM(CI5:CI35)</f>
        <v>5151380</v>
      </c>
      <c r="CJ36" s="307">
        <f>IF(CD36="","",CI36/CD36)</f>
        <v>11788.054919908467</v>
      </c>
    </row>
    <row r="37" spans="1:88" ht="15.75" customHeight="1" thickTop="1" thickBot="1">
      <c r="A37" s="110"/>
      <c r="B37" s="138"/>
      <c r="C37" s="139"/>
      <c r="D37" s="110"/>
      <c r="E37" s="140" t="s">
        <v>35</v>
      </c>
      <c r="F37" s="141">
        <f>F36/1.1</f>
        <v>1389618.1818181816</v>
      </c>
      <c r="G37" s="142">
        <f>F37/E36</f>
        <v>5558.4727272727268</v>
      </c>
      <c r="H37" s="143">
        <f>H36/1.1</f>
        <v>381390.90909090906</v>
      </c>
      <c r="I37" s="142">
        <f>H37/E36</f>
        <v>1525.5636363636363</v>
      </c>
      <c r="J37" s="136">
        <f>J36/1.1</f>
        <v>1771009.0909090908</v>
      </c>
      <c r="K37" s="144">
        <f>G37+I37</f>
        <v>7084.0363636363636</v>
      </c>
      <c r="L37" s="145"/>
      <c r="M37" s="146" t="s">
        <v>87</v>
      </c>
      <c r="N37" s="147">
        <f>N36/1.1</f>
        <v>80500</v>
      </c>
      <c r="O37" s="148">
        <f>N37/M36</f>
        <v>3500</v>
      </c>
      <c r="P37" s="148">
        <f>P36/1.1</f>
        <v>14899.999999999998</v>
      </c>
      <c r="Q37" s="148">
        <f>P37/M36</f>
        <v>647.82608695652164</v>
      </c>
      <c r="R37" s="149">
        <f>R36/1.1</f>
        <v>95399.999999999985</v>
      </c>
      <c r="S37" s="150">
        <f>R37/M36</f>
        <v>4147.8260869565211</v>
      </c>
      <c r="T37" s="140" t="s">
        <v>35</v>
      </c>
      <c r="U37" s="141">
        <f>U36/1.1</f>
        <v>2159218.1818181816</v>
      </c>
      <c r="V37" s="142">
        <f>U37/T36</f>
        <v>11546.621293145356</v>
      </c>
      <c r="W37" s="141">
        <f>W36/1.1</f>
        <v>752845.45454545447</v>
      </c>
      <c r="X37" s="142">
        <f>W37/T36</f>
        <v>4025.9115216334462</v>
      </c>
      <c r="Y37" s="142">
        <f>Y36/1.1</f>
        <v>2912063.6363636362</v>
      </c>
      <c r="Z37" s="151">
        <f>Y37/T36</f>
        <v>15572.532814778804</v>
      </c>
      <c r="AA37" s="140" t="s">
        <v>35</v>
      </c>
      <c r="AB37" s="141">
        <f>AB36/1.1</f>
        <v>3629336.3636363633</v>
      </c>
      <c r="AC37" s="141">
        <f>AC36/1.1</f>
        <v>1149136.3636363635</v>
      </c>
      <c r="AD37" s="152">
        <f>AD36/1.1</f>
        <v>4778472.7272727266</v>
      </c>
      <c r="AE37" s="133">
        <f>AD37/AA36</f>
        <v>10387.984189723318</v>
      </c>
      <c r="AF37" s="153"/>
      <c r="AG37" s="140" t="s">
        <v>35</v>
      </c>
      <c r="AH37" s="141">
        <f>AH36/1.1</f>
        <v>2651100</v>
      </c>
      <c r="AI37" s="143">
        <f>AH37/AG36</f>
        <v>1012.2565864833906</v>
      </c>
      <c r="AJ37" s="143">
        <f>AJ36/1.1</f>
        <v>467909.09090909088</v>
      </c>
      <c r="AK37" s="143">
        <f>AJ37/AG36</f>
        <v>178.65944670068382</v>
      </c>
      <c r="AL37" s="142">
        <f>AL36/1.1</f>
        <v>3119009.0909090908</v>
      </c>
      <c r="AM37" s="154">
        <f>AL37/AG36</f>
        <v>1190.9160331840744</v>
      </c>
      <c r="AN37" s="154"/>
      <c r="AO37" s="139"/>
      <c r="AP37" s="154"/>
      <c r="AQ37" s="139"/>
      <c r="AR37" s="140" t="s">
        <v>35</v>
      </c>
      <c r="AS37" s="155">
        <f>AS36/1.1</f>
        <v>6280436.3636363633</v>
      </c>
      <c r="AT37" s="141">
        <f>AT36/1.1</f>
        <v>1617045.4545454544</v>
      </c>
      <c r="AU37" s="142">
        <f>AU36/1.1</f>
        <v>7897481.8181818174</v>
      </c>
      <c r="AV37" s="143">
        <f>AV36/1.1</f>
        <v>23999.999999999996</v>
      </c>
      <c r="AW37" s="110"/>
      <c r="AX37" s="110"/>
      <c r="AY37" s="110"/>
      <c r="AZ37" s="156">
        <f>AZ36/1.1</f>
        <v>23999.999999999996</v>
      </c>
      <c r="BA37" s="156"/>
      <c r="BB37" s="110"/>
      <c r="BC37" s="110"/>
      <c r="BD37" s="156">
        <f>BD36/1.1</f>
        <v>4802472.7272727266</v>
      </c>
      <c r="BE37" s="110"/>
      <c r="BF37" s="156"/>
      <c r="BO37" s="308"/>
      <c r="BP37" s="309" t="s">
        <v>35</v>
      </c>
      <c r="BQ37" s="310">
        <f>BQ36/1.1</f>
        <v>1389618.1818181816</v>
      </c>
      <c r="BR37" s="311">
        <f>BQ37/BP36</f>
        <v>5558.4727272727268</v>
      </c>
      <c r="BS37" s="312">
        <f>BS36/1.1</f>
        <v>381390.90909090906</v>
      </c>
      <c r="BT37" s="311">
        <f>BS37/BP36</f>
        <v>1525.5636363636363</v>
      </c>
      <c r="BU37" s="313">
        <f>BU36/1.1</f>
        <v>1771009.0909090908</v>
      </c>
      <c r="BV37" s="314">
        <f>BR37+BT37</f>
        <v>7084.0363636363636</v>
      </c>
      <c r="BW37" s="315" t="s">
        <v>35</v>
      </c>
      <c r="BX37" s="310">
        <f>BX36/1.1</f>
        <v>2159218.1818181816</v>
      </c>
      <c r="BY37" s="311">
        <f>BX37/BW36</f>
        <v>11546.621293145356</v>
      </c>
      <c r="BZ37" s="312">
        <f>BZ36/1.1</f>
        <v>752845.45454545447</v>
      </c>
      <c r="CA37" s="311">
        <f>BZ37/BW36</f>
        <v>4025.9115216334462</v>
      </c>
      <c r="CB37" s="313">
        <f>CB36/1.1</f>
        <v>2912063.6363636362</v>
      </c>
      <c r="CC37" s="316">
        <v>18537.758264462809</v>
      </c>
      <c r="CD37" s="315" t="s">
        <v>35</v>
      </c>
      <c r="CE37" s="310">
        <f>CE36/1.1</f>
        <v>3548836.3636363633</v>
      </c>
      <c r="CF37" s="311">
        <f>CE37/CD36</f>
        <v>8120.9070106095269</v>
      </c>
      <c r="CG37" s="310">
        <f>CG36/1.1</f>
        <v>1134236.3636363635</v>
      </c>
      <c r="CH37" s="311">
        <f>CG37/CD36</f>
        <v>2595.5065529436238</v>
      </c>
      <c r="CI37" s="311">
        <f>CI36/1.1</f>
        <v>4683072.7272727266</v>
      </c>
      <c r="CJ37" s="317">
        <f>CF37+CH37</f>
        <v>10716.413563553151</v>
      </c>
    </row>
    <row r="38" spans="1:88" ht="15.75" customHeight="1">
      <c r="A38" s="157"/>
      <c r="B38" s="158">
        <v>31</v>
      </c>
      <c r="C38" s="159"/>
      <c r="D38" s="157"/>
      <c r="E38" s="160" t="s">
        <v>36</v>
      </c>
      <c r="F38" s="161">
        <f>E36/G38</f>
        <v>8.064516129032258</v>
      </c>
      <c r="G38" s="162">
        <v>31</v>
      </c>
      <c r="H38" s="163" t="s">
        <v>37</v>
      </c>
      <c r="I38" s="161"/>
      <c r="J38" s="164" t="s">
        <v>38</v>
      </c>
      <c r="K38" s="165">
        <f>J37/G38</f>
        <v>57129.325513196476</v>
      </c>
      <c r="L38" s="166"/>
      <c r="O38" s="168">
        <f>G38</f>
        <v>31</v>
      </c>
      <c r="P38" s="169"/>
      <c r="Q38" s="169"/>
      <c r="R38" s="164" t="s">
        <v>38</v>
      </c>
      <c r="S38" s="165">
        <f>R37/O38</f>
        <v>3077.4193548387093</v>
      </c>
      <c r="T38" s="157"/>
      <c r="U38" s="160" t="s">
        <v>36</v>
      </c>
      <c r="V38" s="161">
        <f>T36/W38</f>
        <v>6.032258064516129</v>
      </c>
      <c r="W38" s="162">
        <f>G38</f>
        <v>31</v>
      </c>
      <c r="X38" s="163" t="s">
        <v>37</v>
      </c>
      <c r="Y38" s="164" t="s">
        <v>38</v>
      </c>
      <c r="Z38" s="170">
        <f>Y37/W38</f>
        <v>93937.536656891491</v>
      </c>
      <c r="AB38" s="162">
        <f>G38</f>
        <v>31</v>
      </c>
      <c r="AC38" s="157"/>
      <c r="AD38" s="164" t="s">
        <v>38</v>
      </c>
      <c r="AE38" s="170">
        <f>AD37/AB38</f>
        <v>154144.28152492666</v>
      </c>
      <c r="AF38" s="171"/>
      <c r="AG38" s="157"/>
      <c r="AH38" s="157"/>
      <c r="AI38" s="172">
        <f>G38</f>
        <v>31</v>
      </c>
      <c r="AJ38" s="163" t="s">
        <v>37</v>
      </c>
      <c r="AK38" s="161"/>
      <c r="AL38" s="161"/>
      <c r="AM38" s="164" t="s">
        <v>38</v>
      </c>
      <c r="AN38" s="344">
        <f>AL37/AI38</f>
        <v>100613.19648093841</v>
      </c>
      <c r="AO38" s="344"/>
      <c r="AP38" s="344"/>
      <c r="AQ38" s="344"/>
      <c r="AS38" s="157"/>
      <c r="AT38" s="157"/>
      <c r="AU38" s="157" t="s">
        <v>39</v>
      </c>
      <c r="AV38" s="166"/>
      <c r="AW38" s="166">
        <f>AU37/AX38</f>
        <v>2591.0373419231682</v>
      </c>
      <c r="AX38" s="174">
        <f>AR36+AG36</f>
        <v>3048</v>
      </c>
      <c r="AY38" s="157" t="s">
        <v>40</v>
      </c>
      <c r="AZ38" s="157"/>
      <c r="BA38" s="157"/>
      <c r="BB38" s="166"/>
      <c r="BC38" s="157"/>
      <c r="BD38" s="157"/>
      <c r="BE38" s="166"/>
      <c r="BF38" s="157"/>
      <c r="BG38" s="166">
        <f>BF36/1.1</f>
        <v>4813472.7272727266</v>
      </c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84.483870967741936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/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>E10+E17+E24+E31</f>
        <v>18</v>
      </c>
      <c r="F41" s="166">
        <f>F10+F17+F24+F31</f>
        <v>111200</v>
      </c>
      <c r="G41" s="184">
        <f>F41/E41</f>
        <v>6177.7777777777774</v>
      </c>
      <c r="H41" s="166">
        <f>H10+H17+H24+H31</f>
        <v>35970</v>
      </c>
      <c r="I41" s="185">
        <f>H41/E41</f>
        <v>1998.3333333333333</v>
      </c>
      <c r="J41" s="166">
        <f>J10+J17+J24+J31</f>
        <v>147170</v>
      </c>
      <c r="K41" s="186">
        <f>J41/E41</f>
        <v>8176.1111111111113</v>
      </c>
      <c r="L41" s="182" t="s">
        <v>52</v>
      </c>
      <c r="M41" s="183">
        <f>M10+M17+M24+M31</f>
        <v>9</v>
      </c>
      <c r="N41" s="166">
        <f>N10+N17+N24+N31</f>
        <v>34650</v>
      </c>
      <c r="O41" s="184">
        <f>N41/M41</f>
        <v>3850</v>
      </c>
      <c r="P41" s="166">
        <f>P10+P17+P24+P31</f>
        <v>6160</v>
      </c>
      <c r="Q41" s="185">
        <f>P41/M41</f>
        <v>684.44444444444446</v>
      </c>
      <c r="R41" s="166">
        <f>R10+R17+R24+R31</f>
        <v>40810</v>
      </c>
      <c r="S41" s="186">
        <f>R41/M41</f>
        <v>4534.4444444444443</v>
      </c>
      <c r="T41" s="183">
        <f>T10+T17+T24+T31</f>
        <v>22</v>
      </c>
      <c r="U41" s="166">
        <f>U10+U17+U24+U31</f>
        <v>240850</v>
      </c>
      <c r="V41" s="184">
        <f>U41/T41</f>
        <v>10947.727272727272</v>
      </c>
      <c r="W41" s="166">
        <f>W10+W17+W24+W31</f>
        <v>98930</v>
      </c>
      <c r="X41" s="185">
        <f>W41/T41</f>
        <v>4496.818181818182</v>
      </c>
      <c r="Y41" s="166">
        <f>Y10+Y17+Y24+Y31</f>
        <v>339780</v>
      </c>
      <c r="Z41" s="186">
        <f>Y41/T41</f>
        <v>15444.545454545454</v>
      </c>
      <c r="AA41" s="157"/>
      <c r="AB41" s="157"/>
      <c r="AC41" s="157"/>
      <c r="AD41" s="157"/>
      <c r="AE41" s="157"/>
      <c r="AF41" s="182" t="s">
        <v>52</v>
      </c>
      <c r="AG41" s="183">
        <f>AG10+AG17+AG24+AG31</f>
        <v>302</v>
      </c>
      <c r="AH41" s="166">
        <f>AH10+AH17+AH24+AH31</f>
        <v>364160</v>
      </c>
      <c r="AI41" s="184">
        <f>AH41/AG41</f>
        <v>1205.8278145695365</v>
      </c>
      <c r="AJ41" s="166">
        <f>AJ10+AJ17+AJ24+AJ31</f>
        <v>58300</v>
      </c>
      <c r="AK41" s="185">
        <f>AJ41/AG41</f>
        <v>193.04635761589404</v>
      </c>
      <c r="AL41" s="166">
        <f>AL10+AL17+AL24+AL31</f>
        <v>422460</v>
      </c>
      <c r="AM41" s="186">
        <f>AL41/AG41</f>
        <v>1398.8741721854306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>E11+E18+E25+E32</f>
        <v>30</v>
      </c>
      <c r="F42" s="166">
        <f>F11+F18+F25+F32</f>
        <v>199100</v>
      </c>
      <c r="G42" s="184">
        <f>F42/E42</f>
        <v>6636.666666666667</v>
      </c>
      <c r="H42" s="166">
        <f>H11+H18+H25+H32</f>
        <v>47840</v>
      </c>
      <c r="I42" s="185">
        <f t="shared" ref="I42:I47" si="53">H42/E42</f>
        <v>1594.6666666666667</v>
      </c>
      <c r="J42" s="166">
        <f>J11+J18+J25+J32</f>
        <v>246940</v>
      </c>
      <c r="K42" s="186">
        <f t="shared" ref="K42:K47" si="54">J42/E42</f>
        <v>8231.3333333333339</v>
      </c>
      <c r="L42" s="182" t="s">
        <v>53</v>
      </c>
      <c r="M42" s="183">
        <f>M11+M18+M25+M32</f>
        <v>4</v>
      </c>
      <c r="N42" s="166">
        <f>N11+N18+N25+N32</f>
        <v>15400</v>
      </c>
      <c r="O42" s="184">
        <f>N42/M42</f>
        <v>3850</v>
      </c>
      <c r="P42" s="166">
        <f>P11+P18+P25+P32</f>
        <v>2750</v>
      </c>
      <c r="Q42" s="185">
        <f t="shared" ref="Q42:Q47" si="55">P42/M42</f>
        <v>687.5</v>
      </c>
      <c r="R42" s="166">
        <f>R11+R18+R25+R32</f>
        <v>18150</v>
      </c>
      <c r="S42" s="186">
        <f t="shared" ref="S42:S47" si="56">R42/M42</f>
        <v>4537.5</v>
      </c>
      <c r="T42" s="183">
        <f>T11+T18+T25+T32</f>
        <v>17</v>
      </c>
      <c r="U42" s="166">
        <f>U11+U18+U25+U32</f>
        <v>280300</v>
      </c>
      <c r="V42" s="184">
        <f>U42/T42</f>
        <v>16488.235294117647</v>
      </c>
      <c r="W42" s="166">
        <f>W11+W18+W25+W32</f>
        <v>88720</v>
      </c>
      <c r="X42" s="185">
        <f t="shared" ref="X42:X47" si="57">W42/T42</f>
        <v>5218.8235294117649</v>
      </c>
      <c r="Y42" s="166">
        <f>Y11+Y18+Y25+Y32</f>
        <v>369020</v>
      </c>
      <c r="Z42" s="186">
        <f t="shared" ref="Z42:Z47" si="58">Y42/T42</f>
        <v>21707.058823529413</v>
      </c>
      <c r="AA42" s="157"/>
      <c r="AB42" s="157"/>
      <c r="AC42" s="157"/>
      <c r="AD42" s="157"/>
      <c r="AE42" s="157"/>
      <c r="AF42" s="182" t="s">
        <v>53</v>
      </c>
      <c r="AG42" s="183">
        <f>AG11+AG18+AG25+AG32</f>
        <v>252</v>
      </c>
      <c r="AH42" s="166">
        <f>AH11+AH18+AH25+AH32</f>
        <v>299130</v>
      </c>
      <c r="AI42" s="184">
        <f>AH42/AG42</f>
        <v>1187.0238095238096</v>
      </c>
      <c r="AJ42" s="166">
        <f>AJ11+AJ18+AJ25+AJ32</f>
        <v>40300</v>
      </c>
      <c r="AK42" s="185">
        <f t="shared" ref="AK42:AK47" si="59">AJ42/AG42</f>
        <v>159.92063492063491</v>
      </c>
      <c r="AL42" s="166">
        <f>AL11+AL18+AL25+AL32</f>
        <v>339430</v>
      </c>
      <c r="AM42" s="186">
        <f t="shared" ref="AM42:AM47" si="60">AL42/AG42</f>
        <v>1346.9444444444443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>E5+E12+E19+E26+E33</f>
        <v>25</v>
      </c>
      <c r="F43" s="166">
        <f>F5+F12+F19+F26+F33</f>
        <v>146800</v>
      </c>
      <c r="G43" s="184">
        <f>F43/E43</f>
        <v>5872</v>
      </c>
      <c r="H43" s="166">
        <f>H5+H12+H19+H26+H33</f>
        <v>35890</v>
      </c>
      <c r="I43" s="185">
        <f t="shared" si="53"/>
        <v>1435.6</v>
      </c>
      <c r="J43" s="166">
        <f>J5+J12+J19+J26+J33</f>
        <v>182690</v>
      </c>
      <c r="K43" s="186">
        <f t="shared" si="54"/>
        <v>7307.6</v>
      </c>
      <c r="L43" s="182" t="s">
        <v>54</v>
      </c>
      <c r="M43" s="183">
        <f>M5+M12+M19+M26+M33</f>
        <v>1</v>
      </c>
      <c r="N43" s="166">
        <f>N5+N12+N19+N26+N33</f>
        <v>3850</v>
      </c>
      <c r="O43" s="184">
        <f>N43/M43</f>
        <v>3850</v>
      </c>
      <c r="P43" s="166">
        <f>P5+P12+P19+P26+P33</f>
        <v>2530</v>
      </c>
      <c r="Q43" s="185">
        <f t="shared" si="55"/>
        <v>2530</v>
      </c>
      <c r="R43" s="166">
        <f>R5+R12+R19+R26+R33</f>
        <v>6380</v>
      </c>
      <c r="S43" s="186">
        <f t="shared" si="56"/>
        <v>6380</v>
      </c>
      <c r="T43" s="183">
        <f>T5+T12+T19+T26+T33</f>
        <v>38</v>
      </c>
      <c r="U43" s="166">
        <f>U5+U12+U19+U26+U33</f>
        <v>523800</v>
      </c>
      <c r="V43" s="184">
        <f>U43/T43</f>
        <v>13784.21052631579</v>
      </c>
      <c r="W43" s="166">
        <f>W5+W12+W19+W26+W33</f>
        <v>233180</v>
      </c>
      <c r="X43" s="185">
        <f t="shared" si="57"/>
        <v>6136.3157894736842</v>
      </c>
      <c r="Y43" s="166">
        <f>Y5+Y12+Y19+Y26+Y33</f>
        <v>756980</v>
      </c>
      <c r="Z43" s="186">
        <f t="shared" si="58"/>
        <v>19920.526315789473</v>
      </c>
      <c r="AA43" s="157"/>
      <c r="AB43" s="157"/>
      <c r="AC43" s="157"/>
      <c r="AD43" s="157"/>
      <c r="AE43" s="157"/>
      <c r="AF43" s="182" t="s">
        <v>54</v>
      </c>
      <c r="AG43" s="183">
        <f>AG5+AG12+AG19+AG26+AG33</f>
        <v>315</v>
      </c>
      <c r="AH43" s="166">
        <f>AH5+AH12+AH19+AH26+AH33</f>
        <v>378090</v>
      </c>
      <c r="AI43" s="184">
        <f>AH43/AG43</f>
        <v>1200.2857142857142</v>
      </c>
      <c r="AJ43" s="166">
        <f>AJ5+AJ12+AJ19+AJ26+AJ33</f>
        <v>50900</v>
      </c>
      <c r="AK43" s="185">
        <f t="shared" si="59"/>
        <v>161.5873015873016</v>
      </c>
      <c r="AL43" s="166">
        <f>AL5+AL12+AL19+AL26+AL33</f>
        <v>428990</v>
      </c>
      <c r="AM43" s="186">
        <f t="shared" si="60"/>
        <v>1361.8730158730159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 t="shared" ref="E44:F45" si="61">E6+E13+E20+E27+E34</f>
        <v>58</v>
      </c>
      <c r="F44" s="166">
        <f t="shared" si="61"/>
        <v>350800</v>
      </c>
      <c r="G44" s="184">
        <f t="shared" ref="G44:G47" si="62">F44/E44</f>
        <v>6048.2758620689656</v>
      </c>
      <c r="H44" s="166">
        <f t="shared" ref="H44:H45" si="63">H6+H13+H20+H27+H34</f>
        <v>77780</v>
      </c>
      <c r="I44" s="185">
        <f t="shared" si="53"/>
        <v>1341.0344827586207</v>
      </c>
      <c r="J44" s="166">
        <f t="shared" ref="J44:J45" si="64">J6+J13+J20+J27+J34</f>
        <v>428580</v>
      </c>
      <c r="K44" s="186">
        <f t="shared" si="54"/>
        <v>7389.3103448275861</v>
      </c>
      <c r="L44" s="182" t="s">
        <v>55</v>
      </c>
      <c r="M44" s="183">
        <f t="shared" ref="M44:N45" si="65">M6+M13+M20+M27+M34</f>
        <v>0</v>
      </c>
      <c r="N44" s="166">
        <f t="shared" si="65"/>
        <v>0</v>
      </c>
      <c r="O44" s="184" t="e">
        <f t="shared" ref="O44:O47" si="66">N44/M44</f>
        <v>#DIV/0!</v>
      </c>
      <c r="P44" s="166">
        <f t="shared" ref="P44:P45" si="67">P6+P13+P20+P27+P34</f>
        <v>0</v>
      </c>
      <c r="Q44" s="185" t="e">
        <f t="shared" si="55"/>
        <v>#DIV/0!</v>
      </c>
      <c r="R44" s="166">
        <f t="shared" ref="R44:R45" si="68">R6+R13+R20+R27+R34</f>
        <v>0</v>
      </c>
      <c r="S44" s="186" t="e">
        <f t="shared" si="56"/>
        <v>#DIV/0!</v>
      </c>
      <c r="T44" s="183">
        <f t="shared" ref="T44:U45" si="69">T6+T13+T20+T27+T34</f>
        <v>9</v>
      </c>
      <c r="U44" s="166">
        <f t="shared" si="69"/>
        <v>104980</v>
      </c>
      <c r="V44" s="184">
        <f t="shared" ref="V44:V47" si="70">U44/T44</f>
        <v>11664.444444444445</v>
      </c>
      <c r="W44" s="166">
        <f t="shared" ref="W44:W45" si="71">W6+W13+W20+W27+W34</f>
        <v>37620</v>
      </c>
      <c r="X44" s="185">
        <f t="shared" si="57"/>
        <v>4180</v>
      </c>
      <c r="Y44" s="166">
        <f t="shared" ref="Y44:Y45" si="72">Y6+Y13+Y20+Y27+Y34</f>
        <v>142600</v>
      </c>
      <c r="Z44" s="186">
        <f t="shared" si="58"/>
        <v>15844.444444444445</v>
      </c>
      <c r="AA44" s="157"/>
      <c r="AB44" s="157"/>
      <c r="AC44" s="157"/>
      <c r="AD44" s="157"/>
      <c r="AE44" s="157"/>
      <c r="AF44" s="182" t="s">
        <v>55</v>
      </c>
      <c r="AG44" s="183">
        <f t="shared" ref="AG44:AH45" si="73">AG6+AG13+AG20+AG27+AG34</f>
        <v>357</v>
      </c>
      <c r="AH44" s="166">
        <f t="shared" si="73"/>
        <v>424650</v>
      </c>
      <c r="AI44" s="184">
        <f t="shared" ref="AI44:AI47" si="74">AH44/AG44</f>
        <v>1189.4957983193278</v>
      </c>
      <c r="AJ44" s="166">
        <f t="shared" ref="AJ44:AJ45" si="75">AJ6+AJ13+AJ20+AJ27+AJ34</f>
        <v>60200</v>
      </c>
      <c r="AK44" s="185">
        <f t="shared" si="59"/>
        <v>168.62745098039215</v>
      </c>
      <c r="AL44" s="166">
        <f t="shared" ref="AL44:AL45" si="76">AL6+AL13+AL20+AL27+AL34</f>
        <v>484850</v>
      </c>
      <c r="AM44" s="186">
        <f t="shared" si="60"/>
        <v>1358.1232492997199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 t="shared" si="61"/>
        <v>33</v>
      </c>
      <c r="F45" s="166">
        <f t="shared" si="61"/>
        <v>207400</v>
      </c>
      <c r="G45" s="184">
        <f t="shared" si="62"/>
        <v>6284.848484848485</v>
      </c>
      <c r="H45" s="166">
        <f t="shared" si="63"/>
        <v>46100</v>
      </c>
      <c r="I45" s="185">
        <f t="shared" si="53"/>
        <v>1396.969696969697</v>
      </c>
      <c r="J45" s="166">
        <f t="shared" si="64"/>
        <v>253500</v>
      </c>
      <c r="K45" s="186">
        <f t="shared" si="54"/>
        <v>7681.818181818182</v>
      </c>
      <c r="L45" s="182" t="s">
        <v>56</v>
      </c>
      <c r="M45" s="183">
        <f t="shared" si="65"/>
        <v>0</v>
      </c>
      <c r="N45" s="166">
        <f t="shared" si="65"/>
        <v>0</v>
      </c>
      <c r="O45" s="184" t="e">
        <f t="shared" si="66"/>
        <v>#DIV/0!</v>
      </c>
      <c r="P45" s="166">
        <f t="shared" si="67"/>
        <v>0</v>
      </c>
      <c r="Q45" s="185" t="e">
        <f t="shared" si="55"/>
        <v>#DIV/0!</v>
      </c>
      <c r="R45" s="166">
        <f t="shared" si="68"/>
        <v>0</v>
      </c>
      <c r="S45" s="186" t="e">
        <f t="shared" si="56"/>
        <v>#DIV/0!</v>
      </c>
      <c r="T45" s="183">
        <f t="shared" si="69"/>
        <v>27</v>
      </c>
      <c r="U45" s="166">
        <f t="shared" si="69"/>
        <v>308540</v>
      </c>
      <c r="V45" s="184">
        <f t="shared" si="70"/>
        <v>11427.407407407407</v>
      </c>
      <c r="W45" s="166">
        <f t="shared" si="71"/>
        <v>141310</v>
      </c>
      <c r="X45" s="185">
        <f t="shared" si="57"/>
        <v>5233.7037037037035</v>
      </c>
      <c r="Y45" s="166">
        <f t="shared" si="72"/>
        <v>449850</v>
      </c>
      <c r="Z45" s="186">
        <f t="shared" si="58"/>
        <v>16661.111111111109</v>
      </c>
      <c r="AA45" s="157"/>
      <c r="AB45" s="157"/>
      <c r="AC45" s="157"/>
      <c r="AD45" s="157"/>
      <c r="AE45" s="157"/>
      <c r="AF45" s="182" t="s">
        <v>56</v>
      </c>
      <c r="AG45" s="183">
        <f t="shared" si="73"/>
        <v>579</v>
      </c>
      <c r="AH45" s="166">
        <f t="shared" si="73"/>
        <v>520460</v>
      </c>
      <c r="AI45" s="184">
        <f t="shared" si="74"/>
        <v>898.8946459412781</v>
      </c>
      <c r="AJ45" s="166">
        <f t="shared" si="75"/>
        <v>163300</v>
      </c>
      <c r="AK45" s="185">
        <f t="shared" si="59"/>
        <v>282.03799654576858</v>
      </c>
      <c r="AL45" s="166">
        <f t="shared" si="76"/>
        <v>683760</v>
      </c>
      <c r="AM45" s="186">
        <f t="shared" si="60"/>
        <v>1180.9326424870467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>E8+E15+E22+E29</f>
        <v>31</v>
      </c>
      <c r="F46" s="166">
        <f>F8+F15+F22+F29</f>
        <v>208400</v>
      </c>
      <c r="G46" s="184">
        <f t="shared" si="62"/>
        <v>6722.5806451612907</v>
      </c>
      <c r="H46" s="166">
        <f>H8+H15+H22+H29</f>
        <v>61820</v>
      </c>
      <c r="I46" s="185">
        <f t="shared" si="53"/>
        <v>1994.1935483870968</v>
      </c>
      <c r="J46" s="166">
        <f>J8+J15+J22+J29</f>
        <v>270220</v>
      </c>
      <c r="K46" s="186">
        <f t="shared" si="54"/>
        <v>8716.7741935483864</v>
      </c>
      <c r="L46" s="182" t="s">
        <v>57</v>
      </c>
      <c r="M46" s="183">
        <f>M8+M15+M22+M29</f>
        <v>5</v>
      </c>
      <c r="N46" s="166">
        <f>N8+N15+N22+N29</f>
        <v>19250</v>
      </c>
      <c r="O46" s="184">
        <f t="shared" si="66"/>
        <v>3850</v>
      </c>
      <c r="P46" s="166">
        <f>P8+P15+P22+P29</f>
        <v>2750</v>
      </c>
      <c r="Q46" s="185">
        <f t="shared" si="55"/>
        <v>550</v>
      </c>
      <c r="R46" s="166">
        <f>R8+R15+R22+R29</f>
        <v>22000</v>
      </c>
      <c r="S46" s="186">
        <f t="shared" si="56"/>
        <v>4400</v>
      </c>
      <c r="T46" s="183">
        <f>T8+T15+T22+T29</f>
        <v>37</v>
      </c>
      <c r="U46" s="166">
        <f>U8+U15+U22+U29</f>
        <v>472840</v>
      </c>
      <c r="V46" s="184">
        <f t="shared" si="70"/>
        <v>12779.45945945946</v>
      </c>
      <c r="W46" s="166">
        <f>W8+W15+W22+W29</f>
        <v>100660</v>
      </c>
      <c r="X46" s="185">
        <f t="shared" si="57"/>
        <v>2720.5405405405404</v>
      </c>
      <c r="Y46" s="166">
        <f>Y8+Y15+Y22+Y29</f>
        <v>573500</v>
      </c>
      <c r="Z46" s="186">
        <f t="shared" si="58"/>
        <v>15500</v>
      </c>
      <c r="AA46" s="157"/>
      <c r="AB46" s="157"/>
      <c r="AC46" s="157"/>
      <c r="AD46" s="157"/>
      <c r="AE46" s="157"/>
      <c r="AF46" s="182" t="s">
        <v>57</v>
      </c>
      <c r="AG46" s="183">
        <f>AG8+AG15+AG22+AG29</f>
        <v>429</v>
      </c>
      <c r="AH46" s="166">
        <f>AH8+AH15+AH22+AH29</f>
        <v>485750</v>
      </c>
      <c r="AI46" s="184">
        <f t="shared" si="74"/>
        <v>1132.2843822843822</v>
      </c>
      <c r="AJ46" s="166">
        <f>AJ8+AJ15+AJ22+AJ29</f>
        <v>79900</v>
      </c>
      <c r="AK46" s="185">
        <f t="shared" si="59"/>
        <v>186.24708624708626</v>
      </c>
      <c r="AL46" s="166">
        <f>AL8+AL15+AL22+AL29</f>
        <v>565650</v>
      </c>
      <c r="AM46" s="186">
        <f t="shared" si="60"/>
        <v>1318.5314685314686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>E9+E16+E23+E30</f>
        <v>55</v>
      </c>
      <c r="F47" s="189">
        <f>F9+F16+F23+F30</f>
        <v>304880</v>
      </c>
      <c r="G47" s="190">
        <f t="shared" si="62"/>
        <v>5543.272727272727</v>
      </c>
      <c r="H47" s="189">
        <f>H9+H16+H23+H30</f>
        <v>114130</v>
      </c>
      <c r="I47" s="191">
        <f t="shared" si="53"/>
        <v>2075.090909090909</v>
      </c>
      <c r="J47" s="189">
        <f>J9+J16+J23+J30</f>
        <v>419010</v>
      </c>
      <c r="K47" s="192">
        <f t="shared" si="54"/>
        <v>7618.363636363636</v>
      </c>
      <c r="L47" s="187" t="s">
        <v>58</v>
      </c>
      <c r="M47" s="188">
        <f>M9+M16+M23+M30</f>
        <v>4</v>
      </c>
      <c r="N47" s="189">
        <f>N9+N16+N23+N30</f>
        <v>15400</v>
      </c>
      <c r="O47" s="190">
        <f t="shared" si="66"/>
        <v>3850</v>
      </c>
      <c r="P47" s="189">
        <f>P9+P16+P23+P30</f>
        <v>2200</v>
      </c>
      <c r="Q47" s="191">
        <f t="shared" si="55"/>
        <v>550</v>
      </c>
      <c r="R47" s="189">
        <f>R9+R16+R23+R30</f>
        <v>17600</v>
      </c>
      <c r="S47" s="192">
        <f t="shared" si="56"/>
        <v>4400</v>
      </c>
      <c r="T47" s="188">
        <f>T9+T16+T23+T30</f>
        <v>37</v>
      </c>
      <c r="U47" s="189">
        <f>U9+U16+U23+U30</f>
        <v>443830</v>
      </c>
      <c r="V47" s="190">
        <f t="shared" si="70"/>
        <v>11995.405405405405</v>
      </c>
      <c r="W47" s="189">
        <f>W9+W16+W23+W30</f>
        <v>127710</v>
      </c>
      <c r="X47" s="191">
        <f t="shared" si="57"/>
        <v>3451.6216216216217</v>
      </c>
      <c r="Y47" s="189">
        <f>Y9+Y16+Y23+Y30</f>
        <v>571540</v>
      </c>
      <c r="Z47" s="192">
        <f t="shared" si="58"/>
        <v>15447.027027027027</v>
      </c>
      <c r="AA47" s="157"/>
      <c r="AB47" s="157"/>
      <c r="AC47" s="157"/>
      <c r="AD47" s="157"/>
      <c r="AE47" s="157"/>
      <c r="AF47" s="187" t="s">
        <v>58</v>
      </c>
      <c r="AG47" s="188">
        <f>AG9+AG16+AG23+AG30</f>
        <v>385</v>
      </c>
      <c r="AH47" s="189">
        <f>AH9+AH16+AH23+AH30</f>
        <v>443970</v>
      </c>
      <c r="AI47" s="190">
        <f t="shared" si="74"/>
        <v>1153.1688311688313</v>
      </c>
      <c r="AJ47" s="189">
        <f>AJ9+AJ16+AJ23+AJ30</f>
        <v>61800</v>
      </c>
      <c r="AK47" s="191">
        <f t="shared" si="59"/>
        <v>160.51948051948051</v>
      </c>
      <c r="AL47" s="189">
        <f>AL9+AL16+AL23+AL30</f>
        <v>505770</v>
      </c>
      <c r="AM47" s="192">
        <f t="shared" si="60"/>
        <v>1313.6883116883116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  <c r="BG48" s="157"/>
      <c r="BH48" s="166"/>
    </row>
    <row r="49" spans="1:88" ht="15.75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L49" s="161"/>
      <c r="AM49" s="161"/>
      <c r="AN49" s="345"/>
      <c r="AO49" s="345"/>
      <c r="AP49" s="345"/>
      <c r="AQ49" s="345"/>
      <c r="AS49" s="157"/>
      <c r="AT49" s="157"/>
      <c r="AU49" s="157" t="s">
        <v>63</v>
      </c>
      <c r="AW49" s="198">
        <f>AU37/AI38</f>
        <v>254757.47800586506</v>
      </c>
      <c r="AX49" s="157" t="s">
        <v>64</v>
      </c>
      <c r="AY49" s="157"/>
      <c r="AZ49" s="157"/>
      <c r="BA49" s="157"/>
      <c r="BB49" s="166"/>
      <c r="BC49" s="157"/>
      <c r="BD49" s="157"/>
      <c r="BE49" s="166"/>
      <c r="BF49" s="157"/>
      <c r="BG49" s="166"/>
    </row>
    <row r="50" spans="1:88" ht="21" customHeight="1">
      <c r="A50" s="157"/>
      <c r="B50" s="158"/>
      <c r="C50" s="199"/>
      <c r="D50" s="200"/>
      <c r="E50" s="17"/>
      <c r="F50" s="17"/>
      <c r="G50" s="17"/>
      <c r="H50" s="17"/>
      <c r="I50" s="17"/>
      <c r="J50" s="17"/>
      <c r="K50" s="318"/>
      <c r="L50" s="201"/>
      <c r="M50" s="202"/>
      <c r="N50" s="202"/>
      <c r="O50" s="202"/>
      <c r="P50" s="202"/>
      <c r="Q50" s="202"/>
      <c r="R50" s="202"/>
      <c r="S50" s="203"/>
      <c r="T50" s="204"/>
      <c r="U50" s="205"/>
      <c r="V50" s="205"/>
      <c r="W50" s="205"/>
      <c r="X50" s="205"/>
      <c r="Y50" s="205"/>
      <c r="Z50" s="206"/>
      <c r="AA50" s="207"/>
      <c r="AB50" s="157"/>
      <c r="AC50" s="157"/>
      <c r="AD50" s="166"/>
      <c r="AE50" s="166"/>
      <c r="AF50" s="208"/>
      <c r="AG50" s="209"/>
      <c r="AH50" s="209"/>
      <c r="AI50" s="209"/>
      <c r="AJ50" s="209"/>
      <c r="AK50" s="209"/>
      <c r="AL50" s="209"/>
      <c r="AM50" s="210"/>
      <c r="AN50" s="328"/>
      <c r="AO50" s="159"/>
      <c r="AP50" s="328"/>
      <c r="AQ50" s="159"/>
      <c r="AR50" s="207"/>
      <c r="AS50" s="157"/>
      <c r="AT50" s="157"/>
      <c r="AU50" s="157" t="s">
        <v>65</v>
      </c>
      <c r="AV50" s="166">
        <f>AU36+AV36</f>
        <v>8713630</v>
      </c>
      <c r="AW50" s="198">
        <f>AV50/AI38</f>
        <v>281084.83870967739</v>
      </c>
      <c r="AX50" s="157" t="s">
        <v>66</v>
      </c>
      <c r="AY50" s="157"/>
      <c r="AZ50" s="157"/>
      <c r="BA50" s="157"/>
      <c r="BB50" s="157"/>
      <c r="BC50" s="157"/>
      <c r="BD50" s="157"/>
      <c r="BE50" s="166"/>
      <c r="BF50" s="157"/>
      <c r="BG50" s="166"/>
    </row>
    <row r="51" spans="1:88" ht="21" customHeight="1">
      <c r="A51" s="157"/>
      <c r="B51" s="158"/>
      <c r="C51" s="199"/>
      <c r="D51" s="319"/>
      <c r="E51" s="320"/>
      <c r="F51" s="320"/>
      <c r="G51" s="320"/>
      <c r="H51" s="320"/>
      <c r="I51" s="320"/>
      <c r="J51" s="320"/>
      <c r="K51" s="321"/>
      <c r="L51" s="211"/>
      <c r="M51" s="212"/>
      <c r="N51" s="212"/>
      <c r="O51" s="212"/>
      <c r="P51" s="212"/>
      <c r="Q51" s="212"/>
      <c r="R51" s="212"/>
      <c r="S51" s="322"/>
      <c r="T51" s="323"/>
      <c r="U51" s="213"/>
      <c r="V51" s="213"/>
      <c r="W51" s="213"/>
      <c r="X51" s="213"/>
      <c r="Y51" s="213"/>
      <c r="Z51" s="324"/>
      <c r="AA51" s="207"/>
      <c r="AB51" s="157"/>
      <c r="AC51" s="157"/>
      <c r="AD51" s="157"/>
      <c r="AE51" s="166"/>
      <c r="AF51" s="214"/>
      <c r="AG51" s="215"/>
      <c r="AH51" s="215"/>
      <c r="AI51" s="215"/>
      <c r="AJ51" s="215"/>
      <c r="AK51" s="215"/>
      <c r="AL51" s="215"/>
      <c r="AM51" s="216"/>
      <c r="AN51" s="328"/>
      <c r="AO51" s="159"/>
      <c r="AP51" s="328"/>
      <c r="AQ51" s="159"/>
      <c r="AR51" s="207"/>
      <c r="AS51" s="157"/>
      <c r="AT51" s="157"/>
      <c r="AU51" s="157" t="s">
        <v>67</v>
      </c>
      <c r="AV51" s="156">
        <f>AU37+AV37</f>
        <v>7921481.8181818174</v>
      </c>
      <c r="AW51" s="198">
        <f>AV51/AI38</f>
        <v>255531.67155425219</v>
      </c>
      <c r="AX51" s="157" t="s">
        <v>64</v>
      </c>
      <c r="AY51" s="157"/>
      <c r="AZ51" s="157"/>
      <c r="BA51" s="157"/>
      <c r="BB51" s="157"/>
      <c r="BC51" s="157"/>
      <c r="BD51" s="157"/>
      <c r="BE51" s="166"/>
      <c r="BF51" s="157"/>
      <c r="BG51" s="166"/>
    </row>
    <row r="52" spans="1:88" ht="21" customHeight="1">
      <c r="A52" s="157"/>
      <c r="B52" s="158"/>
      <c r="C52" s="199"/>
      <c r="D52" s="319"/>
      <c r="E52" s="320"/>
      <c r="F52" s="320"/>
      <c r="G52" s="320"/>
      <c r="H52" s="320"/>
      <c r="I52" s="320"/>
      <c r="J52" s="320"/>
      <c r="K52" s="321"/>
      <c r="L52" s="211"/>
      <c r="M52" s="212"/>
      <c r="N52" s="212"/>
      <c r="O52" s="212"/>
      <c r="P52" s="212"/>
      <c r="Q52" s="212"/>
      <c r="R52" s="212"/>
      <c r="S52" s="322"/>
      <c r="T52" s="323"/>
      <c r="U52" s="213"/>
      <c r="V52" s="213"/>
      <c r="W52" s="213"/>
      <c r="X52" s="213"/>
      <c r="Y52" s="213"/>
      <c r="Z52" s="324"/>
      <c r="AA52" s="207"/>
      <c r="AB52" s="157"/>
      <c r="AC52" s="157"/>
      <c r="AD52" s="157"/>
      <c r="AE52" s="166"/>
      <c r="AF52" s="214"/>
      <c r="AG52" s="215"/>
      <c r="AH52" s="215"/>
      <c r="AI52" s="215"/>
      <c r="AJ52" s="215"/>
      <c r="AK52" s="215"/>
      <c r="AL52" s="215"/>
      <c r="AM52" s="216"/>
      <c r="AN52" s="328"/>
      <c r="AO52" s="159"/>
      <c r="AP52" s="328"/>
      <c r="AQ52" s="159"/>
      <c r="AR52" s="20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66"/>
      <c r="BG52" s="157"/>
      <c r="BH52" s="166"/>
    </row>
    <row r="53" spans="1:88" ht="21" customHeight="1">
      <c r="A53" s="157"/>
      <c r="B53" s="158"/>
      <c r="C53" s="199"/>
      <c r="D53" s="319"/>
      <c r="E53" s="320"/>
      <c r="F53" s="320"/>
      <c r="G53" s="320"/>
      <c r="H53" s="320"/>
      <c r="I53" s="320"/>
      <c r="J53" s="320"/>
      <c r="K53" s="321"/>
      <c r="L53" s="211"/>
      <c r="M53" s="212"/>
      <c r="N53" s="212"/>
      <c r="O53" s="212"/>
      <c r="P53" s="212"/>
      <c r="Q53" s="212"/>
      <c r="R53" s="212"/>
      <c r="S53" s="322"/>
      <c r="T53" s="323"/>
      <c r="U53" s="213"/>
      <c r="V53" s="213"/>
      <c r="W53" s="213"/>
      <c r="X53" s="213"/>
      <c r="Y53" s="213"/>
      <c r="Z53" s="324"/>
      <c r="AA53" s="207"/>
      <c r="AB53" s="157"/>
      <c r="AC53" s="157"/>
      <c r="AD53" s="157"/>
      <c r="AE53" s="157"/>
      <c r="AF53" s="214"/>
      <c r="AG53" s="215"/>
      <c r="AH53" s="215"/>
      <c r="AI53" s="215"/>
      <c r="AJ53" s="215"/>
      <c r="AK53" s="215"/>
      <c r="AL53" s="215"/>
      <c r="AM53" s="216"/>
      <c r="AN53" s="328"/>
      <c r="AO53" s="159"/>
      <c r="AP53" s="328"/>
      <c r="AQ53" s="159"/>
      <c r="AR53" s="207"/>
      <c r="AS53" s="157"/>
      <c r="AT53" s="157"/>
      <c r="AU53" s="157"/>
      <c r="AV53" s="166">
        <f>AU37+AV37</f>
        <v>7921481.8181818174</v>
      </c>
      <c r="AW53" s="175" t="s">
        <v>68</v>
      </c>
      <c r="AX53" s="175" t="s">
        <v>69</v>
      </c>
      <c r="AY53" s="175" t="s">
        <v>70</v>
      </c>
      <c r="AZ53" s="157"/>
      <c r="BA53" s="157"/>
      <c r="BB53" s="157"/>
      <c r="BC53" s="157"/>
      <c r="BD53" s="157"/>
      <c r="BE53" s="166"/>
      <c r="BF53" s="157"/>
      <c r="BG53" s="166"/>
    </row>
    <row r="54" spans="1:88" ht="21" customHeight="1">
      <c r="A54" s="157"/>
      <c r="B54" s="158"/>
      <c r="C54" s="199"/>
      <c r="D54" s="325"/>
      <c r="E54" s="326"/>
      <c r="F54" s="326"/>
      <c r="G54" s="326"/>
      <c r="H54" s="326"/>
      <c r="I54" s="326"/>
      <c r="J54" s="326"/>
      <c r="K54" s="327"/>
      <c r="L54" s="217"/>
      <c r="M54" s="218"/>
      <c r="N54" s="218"/>
      <c r="O54" s="218"/>
      <c r="P54" s="218"/>
      <c r="Q54" s="218"/>
      <c r="R54" s="218"/>
      <c r="S54" s="219"/>
      <c r="T54" s="220"/>
      <c r="U54" s="221"/>
      <c r="V54" s="221"/>
      <c r="W54" s="221"/>
      <c r="X54" s="221"/>
      <c r="Y54" s="221"/>
      <c r="Z54" s="222"/>
      <c r="AA54" s="207"/>
      <c r="AB54" s="157"/>
      <c r="AC54" s="157"/>
      <c r="AD54" s="157"/>
      <c r="AE54" s="157"/>
      <c r="AF54" s="223"/>
      <c r="AG54" s="224"/>
      <c r="AH54" s="224"/>
      <c r="AI54" s="224"/>
      <c r="AJ54" s="224"/>
      <c r="AK54" s="224"/>
      <c r="AL54" s="224"/>
      <c r="AM54" s="225"/>
      <c r="AN54" s="328"/>
      <c r="AO54" s="159"/>
      <c r="AP54" s="328"/>
      <c r="AQ54" s="159"/>
      <c r="AR54" s="207"/>
      <c r="AS54" s="157"/>
      <c r="AT54" s="110"/>
      <c r="AU54" s="226" t="s">
        <v>71</v>
      </c>
      <c r="AV54" s="156">
        <f>J55+R55+Y55+AL55+AW54</f>
        <v>12839940</v>
      </c>
      <c r="AW54" s="227">
        <f>AX54+AY54</f>
        <v>165000</v>
      </c>
      <c r="AX54" s="110">
        <v>165000</v>
      </c>
      <c r="AY54" s="110"/>
      <c r="AZ54" s="157"/>
      <c r="BA54" s="157"/>
      <c r="BB54" s="157"/>
      <c r="BC54" s="157"/>
      <c r="BD54" s="157"/>
      <c r="BE54" s="166"/>
      <c r="BF54" s="157"/>
      <c r="BG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28"/>
      <c r="I55" s="229" t="s">
        <v>72</v>
      </c>
      <c r="J55" s="230">
        <v>2541990</v>
      </c>
      <c r="K55" s="231" t="s">
        <v>73</v>
      </c>
      <c r="L55" s="110"/>
      <c r="M55" s="232"/>
      <c r="N55" s="232"/>
      <c r="O55" s="157"/>
      <c r="P55" s="228"/>
      <c r="Q55" s="229" t="s">
        <v>74</v>
      </c>
      <c r="R55" s="230">
        <v>577500</v>
      </c>
      <c r="S55" s="231" t="s">
        <v>73</v>
      </c>
      <c r="T55" s="110"/>
      <c r="U55" s="110"/>
      <c r="V55" s="110"/>
      <c r="W55" s="110"/>
      <c r="X55" s="229" t="s">
        <v>75</v>
      </c>
      <c r="Y55" s="230">
        <v>4334050</v>
      </c>
      <c r="Z55" s="231" t="s">
        <v>73</v>
      </c>
      <c r="AB55" s="110"/>
      <c r="AC55" s="229" t="s">
        <v>85</v>
      </c>
      <c r="AD55" s="230">
        <f>J55+R55+Y55+AW54</f>
        <v>7618540</v>
      </c>
      <c r="AE55" s="231" t="s">
        <v>73</v>
      </c>
      <c r="AF55" s="233"/>
      <c r="AG55" s="110"/>
      <c r="AH55" s="110"/>
      <c r="AI55" s="110"/>
      <c r="AJ55" s="110"/>
      <c r="AK55" s="228" t="s">
        <v>76</v>
      </c>
      <c r="AL55" s="230">
        <v>5221400</v>
      </c>
      <c r="AM55" s="231" t="s">
        <v>73</v>
      </c>
      <c r="AN55" s="231"/>
      <c r="AO55" s="159"/>
      <c r="AP55" s="231"/>
      <c r="AQ55" s="159"/>
      <c r="AS55" s="110"/>
      <c r="AT55" s="110"/>
      <c r="AU55" s="226" t="s">
        <v>77</v>
      </c>
      <c r="AV55" s="156">
        <f>AV54-AU37-AV37</f>
        <v>4918458.1818181826</v>
      </c>
      <c r="AW55" s="156">
        <f>AW54-AV37</f>
        <v>141000</v>
      </c>
      <c r="AX55" s="234">
        <f>AV37/AW54</f>
        <v>0.14545454545454542</v>
      </c>
      <c r="AY55" s="157"/>
      <c r="AZ55" s="157"/>
      <c r="BA55" s="157"/>
      <c r="BB55" s="157"/>
      <c r="BC55" s="166"/>
      <c r="BD55" s="157"/>
      <c r="BE55" s="166"/>
      <c r="BF55" s="157"/>
      <c r="BG55" s="157"/>
    </row>
    <row r="56" spans="1:88" ht="21" customHeight="1">
      <c r="A56" s="157"/>
      <c r="B56" s="158"/>
      <c r="C56" s="159"/>
      <c r="D56" s="157"/>
      <c r="E56" s="157"/>
      <c r="F56" s="157"/>
      <c r="G56" s="157"/>
      <c r="H56" s="228"/>
      <c r="I56" s="228" t="s">
        <v>77</v>
      </c>
      <c r="J56" s="156">
        <f>J55-J37</f>
        <v>770980.90909090918</v>
      </c>
      <c r="K56" s="235">
        <f>B38-G38</f>
        <v>0</v>
      </c>
      <c r="L56" s="110"/>
      <c r="M56" s="232"/>
      <c r="N56" s="232"/>
      <c r="O56" s="157"/>
      <c r="P56" s="228"/>
      <c r="Q56" s="228" t="s">
        <v>77</v>
      </c>
      <c r="R56" s="156">
        <f>R55-R37</f>
        <v>482100</v>
      </c>
      <c r="S56" s="235">
        <f>K56</f>
        <v>0</v>
      </c>
      <c r="T56" s="110"/>
      <c r="U56" s="110"/>
      <c r="V56" s="110"/>
      <c r="W56" s="110"/>
      <c r="X56" s="228" t="s">
        <v>77</v>
      </c>
      <c r="Y56" s="156">
        <f>Y55-Y37</f>
        <v>1421986.3636363638</v>
      </c>
      <c r="Z56" s="236">
        <f>K56</f>
        <v>0</v>
      </c>
      <c r="AB56" s="110"/>
      <c r="AC56" s="228" t="s">
        <v>77</v>
      </c>
      <c r="AD56" s="156">
        <f>AD55-AD37</f>
        <v>2840067.2727272734</v>
      </c>
      <c r="AE56" s="236">
        <f>K56</f>
        <v>0</v>
      </c>
      <c r="AF56" s="232"/>
      <c r="AG56" s="110"/>
      <c r="AH56" s="110"/>
      <c r="AI56" s="110"/>
      <c r="AJ56" s="110"/>
      <c r="AK56" s="228" t="s">
        <v>77</v>
      </c>
      <c r="AL56" s="156">
        <f>AL55-AL37</f>
        <v>2102390.9090909092</v>
      </c>
      <c r="AM56" s="237">
        <f>Z56</f>
        <v>0</v>
      </c>
      <c r="AN56" s="110"/>
      <c r="AO56" s="159"/>
      <c r="AP56" s="110"/>
      <c r="AQ56" s="159"/>
      <c r="AS56" s="110"/>
      <c r="AT56" s="238"/>
      <c r="AU56" s="239" t="s">
        <v>78</v>
      </c>
      <c r="AV56" s="240" t="e">
        <f>AV55/Z56</f>
        <v>#DIV/0!</v>
      </c>
      <c r="AW56" s="241">
        <f>(AU37+AV37)/AV54</f>
        <v>0.61694071920755222</v>
      </c>
      <c r="AX56" s="241"/>
      <c r="AY56" s="238"/>
      <c r="AZ56" s="242"/>
      <c r="BA56" s="157"/>
      <c r="BB56" s="157"/>
      <c r="BC56" s="157"/>
      <c r="BD56" s="166"/>
      <c r="BE56" s="157"/>
      <c r="BF56" s="166"/>
      <c r="BG56" s="157"/>
      <c r="BH56" s="157"/>
    </row>
    <row r="57" spans="1:88" ht="25.5" customHeight="1">
      <c r="A57" s="242"/>
      <c r="B57" s="243"/>
      <c r="C57" s="244"/>
      <c r="D57" s="242"/>
      <c r="E57" s="242"/>
      <c r="F57" s="242"/>
      <c r="G57" s="242"/>
      <c r="H57" s="245"/>
      <c r="I57" s="239" t="s">
        <v>78</v>
      </c>
      <c r="J57" s="246" t="e">
        <f>J56/K56</f>
        <v>#DIV/0!</v>
      </c>
      <c r="K57" s="247">
        <f>J37/J55</f>
        <v>0.69670183238686656</v>
      </c>
      <c r="L57" s="238"/>
      <c r="M57" s="248"/>
      <c r="N57" s="248"/>
      <c r="O57" s="242"/>
      <c r="P57" s="245"/>
      <c r="Q57" s="239" t="s">
        <v>78</v>
      </c>
      <c r="R57" s="246" t="e">
        <f>R56/S56</f>
        <v>#DIV/0!</v>
      </c>
      <c r="S57" s="247">
        <f>R37/R55</f>
        <v>0.16519480519480517</v>
      </c>
      <c r="T57" s="238"/>
      <c r="U57" s="238"/>
      <c r="V57" s="238"/>
      <c r="W57" s="238"/>
      <c r="X57" s="239" t="s">
        <v>78</v>
      </c>
      <c r="Y57" s="240" t="e">
        <f>Y56/Z56</f>
        <v>#DIV/0!</v>
      </c>
      <c r="Z57" s="247">
        <f>Y37/Y55</f>
        <v>0.67190356280237562</v>
      </c>
      <c r="AB57" s="238"/>
      <c r="AC57" s="239" t="s">
        <v>78</v>
      </c>
      <c r="AD57" s="240" t="e">
        <f>AD56/AE56</f>
        <v>#DIV/0!</v>
      </c>
      <c r="AE57" s="247">
        <f>AD37/AD55</f>
        <v>0.62721633374278096</v>
      </c>
      <c r="AF57" s="249"/>
      <c r="AG57" s="238"/>
      <c r="AH57" s="238"/>
      <c r="AI57" s="238"/>
      <c r="AJ57" s="238"/>
      <c r="AK57" s="239" t="s">
        <v>78</v>
      </c>
      <c r="AL57" s="246" t="e">
        <f>AL56/AM56</f>
        <v>#DIV/0!</v>
      </c>
      <c r="AM57" s="247">
        <f>AL37/AL55</f>
        <v>0.59735111098730054</v>
      </c>
      <c r="AN57" s="247"/>
      <c r="AO57" s="244"/>
      <c r="AP57" s="247"/>
      <c r="AQ57" s="244"/>
      <c r="AS57" s="238"/>
      <c r="AT57" s="157"/>
      <c r="AU57" s="157"/>
      <c r="AV57" s="166"/>
      <c r="AW57" s="157"/>
      <c r="AX57" s="157"/>
      <c r="AY57" s="157"/>
      <c r="AZ57" s="157"/>
      <c r="BA57" s="242"/>
      <c r="BB57" s="242"/>
      <c r="BC57" s="242"/>
      <c r="BD57" s="250"/>
      <c r="BE57" s="242"/>
      <c r="BF57" s="250"/>
      <c r="BG57" s="242"/>
      <c r="BH57" s="242"/>
    </row>
    <row r="58" spans="1:88" ht="15.75" customHeight="1">
      <c r="A58" s="157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7"/>
      <c r="AO58" s="159"/>
      <c r="AP58" s="157"/>
      <c r="AQ58" s="159"/>
      <c r="AR58" s="157"/>
      <c r="AS58" s="157"/>
      <c r="AT58" s="251"/>
      <c r="AU58" s="251"/>
      <c r="AV58" s="251"/>
      <c r="AW58" s="251"/>
      <c r="AX58" s="251"/>
      <c r="AY58" s="251"/>
      <c r="AZ58" s="251"/>
      <c r="BA58" s="157"/>
      <c r="BB58" s="157"/>
      <c r="BC58" s="157"/>
      <c r="BD58" s="166"/>
      <c r="BE58" s="157"/>
      <c r="BF58" s="166"/>
      <c r="BG58" s="157"/>
      <c r="BH58" s="157"/>
      <c r="BO58" s="251"/>
      <c r="BP58" s="251"/>
      <c r="BQ58" s="251"/>
      <c r="BR58" s="251"/>
      <c r="BS58" s="251"/>
      <c r="BT58" s="251"/>
      <c r="BU58" s="251"/>
      <c r="BV58" s="251"/>
      <c r="BW58" s="255"/>
      <c r="BX58" s="157"/>
      <c r="BY58" s="157"/>
      <c r="BZ58" s="157"/>
      <c r="CA58" s="157"/>
      <c r="CG58" s="157"/>
    </row>
    <row r="59" spans="1:88" ht="36" customHeight="1">
      <c r="A59" s="251"/>
      <c r="B59" s="252"/>
      <c r="C59" s="253"/>
      <c r="D59" s="251"/>
      <c r="E59" s="251"/>
      <c r="F59" s="251"/>
      <c r="G59" s="251"/>
      <c r="H59" s="251"/>
      <c r="I59" s="251"/>
      <c r="J59" s="251"/>
      <c r="K59" s="251"/>
      <c r="L59" s="251"/>
      <c r="M59" s="254"/>
      <c r="N59" s="254"/>
      <c r="O59" s="254"/>
      <c r="P59" s="254"/>
      <c r="Q59" s="254"/>
      <c r="R59" s="254"/>
      <c r="S59" s="254"/>
      <c r="T59" s="255"/>
      <c r="U59" s="157"/>
      <c r="V59" s="157"/>
      <c r="W59" s="157"/>
      <c r="X59" s="157"/>
      <c r="Y59" s="157"/>
      <c r="Z59" s="255"/>
      <c r="AA59" s="251"/>
      <c r="AB59" s="251"/>
      <c r="AC59" s="251"/>
      <c r="AD59" s="1" t="s">
        <v>79</v>
      </c>
      <c r="AE59" s="251"/>
      <c r="AF59" s="254"/>
      <c r="AG59" s="251"/>
      <c r="AH59" s="251"/>
      <c r="AI59" s="251"/>
      <c r="AJ59" s="251"/>
      <c r="AK59" s="251"/>
      <c r="AL59" s="1" t="s">
        <v>79</v>
      </c>
      <c r="AM59" s="251"/>
      <c r="AN59" s="251"/>
      <c r="AO59" s="253"/>
      <c r="AP59" s="251"/>
      <c r="AQ59" s="253"/>
      <c r="AR59" s="251"/>
      <c r="AS59" s="251"/>
      <c r="AT59" s="1"/>
      <c r="AU59" s="1"/>
      <c r="AV59" s="1"/>
      <c r="AW59" s="1"/>
      <c r="AX59" s="1"/>
      <c r="AY59" s="1"/>
      <c r="AZ59" s="1"/>
      <c r="BA59" s="251"/>
      <c r="BB59" s="251"/>
      <c r="BC59" s="251"/>
      <c r="BD59" s="256"/>
      <c r="BE59" s="251"/>
      <c r="BF59" s="256"/>
      <c r="BG59" s="251"/>
      <c r="BH59" s="251"/>
      <c r="BO59" s="1"/>
      <c r="BP59" s="1"/>
      <c r="BQ59" s="1"/>
      <c r="BR59" s="1"/>
      <c r="BS59" s="1"/>
      <c r="BT59" s="1"/>
      <c r="BU59" s="1"/>
      <c r="BV59" s="1"/>
      <c r="BW59" s="260"/>
      <c r="BX59" s="157"/>
      <c r="BY59" s="157"/>
      <c r="BZ59" s="157"/>
      <c r="CA59" s="157"/>
      <c r="CB59" s="157"/>
      <c r="CC59" s="255"/>
      <c r="CD59" s="255"/>
      <c r="CE59" s="157"/>
      <c r="CF59" s="157"/>
      <c r="CG59" s="157"/>
      <c r="CH59" s="157"/>
      <c r="CI59" s="157"/>
      <c r="CJ59" s="255"/>
    </row>
    <row r="60" spans="1:88" ht="36" customHeight="1">
      <c r="A60" s="1"/>
      <c r="B60" s="257"/>
      <c r="C60" s="3"/>
      <c r="D60" s="1"/>
      <c r="E60" s="1"/>
      <c r="F60" s="1"/>
      <c r="G60" s="1"/>
      <c r="H60" s="1"/>
      <c r="I60" s="1"/>
      <c r="J60" s="1"/>
      <c r="K60" s="1"/>
      <c r="L60" s="1"/>
      <c r="M60" s="258"/>
      <c r="N60" s="259"/>
      <c r="O60" s="258"/>
      <c r="P60" s="258"/>
      <c r="Q60" s="258"/>
      <c r="R60" s="258"/>
      <c r="S60" s="258"/>
      <c r="T60" s="260"/>
      <c r="U60" s="157"/>
      <c r="V60" s="157"/>
      <c r="W60" s="157"/>
      <c r="X60" s="157"/>
      <c r="Y60" s="157"/>
      <c r="Z60" s="260"/>
      <c r="AA60" s="260"/>
      <c r="AB60" s="1"/>
      <c r="AC60" s="1"/>
      <c r="AD60" s="261">
        <f>AD61/AD37</f>
        <v>0.13184128820163157</v>
      </c>
      <c r="AE60" s="1"/>
      <c r="AF60" s="258" t="s">
        <v>80</v>
      </c>
      <c r="AG60" s="1"/>
      <c r="AH60" s="262"/>
      <c r="AI60" s="1"/>
      <c r="AJ60" s="1"/>
      <c r="AK60" s="1"/>
      <c r="AL60" s="261">
        <f>AL61/AL37</f>
        <v>0.14587966457878523</v>
      </c>
      <c r="AM60" s="1"/>
      <c r="AN60" s="258" t="s">
        <v>80</v>
      </c>
      <c r="AO60" s="3"/>
      <c r="AP60" s="1"/>
      <c r="AQ60" s="3"/>
      <c r="AR60" s="1"/>
      <c r="AS60" s="1"/>
      <c r="AT60" s="251"/>
      <c r="AU60" s="251"/>
      <c r="AV60" s="251"/>
      <c r="AW60" s="251"/>
      <c r="AX60" s="251"/>
      <c r="AY60" s="251"/>
      <c r="AZ60" s="251"/>
      <c r="BA60" s="1"/>
      <c r="BB60" s="1"/>
      <c r="BC60" s="1"/>
      <c r="BD60" s="263"/>
      <c r="BE60" s="1"/>
      <c r="BF60" s="263"/>
      <c r="BG60" s="1"/>
      <c r="BH60" s="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60"/>
      <c r="CD60" s="260"/>
      <c r="CE60" s="157"/>
      <c r="CF60" s="157"/>
      <c r="CG60" s="157"/>
      <c r="CH60" s="157"/>
      <c r="CI60" s="157"/>
      <c r="CJ60" s="260"/>
    </row>
    <row r="61" spans="1:88" ht="15.75" customHeight="1">
      <c r="A61" s="157"/>
      <c r="B61" s="158"/>
      <c r="C61" s="159"/>
      <c r="D61" s="157"/>
      <c r="E61" s="157"/>
      <c r="F61" s="157"/>
      <c r="G61" s="157"/>
      <c r="H61" s="157"/>
      <c r="I61" s="157"/>
      <c r="J61" s="157"/>
      <c r="K61" s="157"/>
      <c r="L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66">
        <v>630000</v>
      </c>
      <c r="AE61" s="157">
        <v>47.75</v>
      </c>
      <c r="AF61" s="264">
        <f>AD61/AE61</f>
        <v>13193.71727748691</v>
      </c>
      <c r="AG61" s="157"/>
      <c r="AH61" s="157"/>
      <c r="AI61" s="157"/>
      <c r="AJ61" s="157"/>
      <c r="AK61" s="157"/>
      <c r="AL61" s="166">
        <v>455000</v>
      </c>
      <c r="AM61" s="157">
        <v>7.07</v>
      </c>
      <c r="AN61" s="264">
        <f>AL61/AM61</f>
        <v>64356.435643564357</v>
      </c>
      <c r="AO61" s="159"/>
      <c r="AP61" s="157"/>
      <c r="AQ61" s="159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66"/>
      <c r="BG61" s="157"/>
      <c r="BH61" s="166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265">
        <f>AD37*0.105</f>
        <v>501739.63636363629</v>
      </c>
      <c r="AE62" s="266">
        <v>0.105</v>
      </c>
      <c r="AF62" s="267" t="s">
        <v>81</v>
      </c>
      <c r="AG62" s="157"/>
      <c r="AH62" s="157"/>
      <c r="AI62" s="157"/>
      <c r="AJ62" s="157"/>
      <c r="AK62" s="157"/>
      <c r="AL62" s="265">
        <f>AL37*0.105</f>
        <v>327495.95454545453</v>
      </c>
      <c r="AM62" s="266">
        <v>0.13</v>
      </c>
      <c r="AN62" s="167"/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66">
        <f>AD61-AD62</f>
        <v>128260.36363636371</v>
      </c>
      <c r="AE63" s="175" t="s">
        <v>82</v>
      </c>
      <c r="AG63" s="157"/>
      <c r="AH63" s="157"/>
      <c r="AI63" s="157"/>
      <c r="AJ63" s="157"/>
      <c r="AK63" s="157"/>
      <c r="AL63" s="166">
        <f>AL61-AL62</f>
        <v>127504.04545454547</v>
      </c>
      <c r="AM63" s="175" t="s">
        <v>82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81">
        <v>6000000</v>
      </c>
      <c r="AE64" s="157"/>
      <c r="AG64" s="157"/>
      <c r="AH64" s="157"/>
      <c r="AI64" s="157"/>
      <c r="AJ64" s="157"/>
      <c r="AK64" s="157"/>
      <c r="AL64" s="181">
        <v>3500000</v>
      </c>
      <c r="AM64" s="157"/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>
        <f>AD61/AD64</f>
        <v>0.105</v>
      </c>
      <c r="AE65" s="157"/>
      <c r="AG65" s="157"/>
      <c r="AH65" s="157"/>
      <c r="AI65" s="157"/>
      <c r="AJ65" s="157"/>
      <c r="AK65" s="157"/>
      <c r="AL65" s="157">
        <f>AL61/AL64</f>
        <v>0.13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G66" s="157"/>
      <c r="AI66" s="157"/>
      <c r="AJ66" s="157"/>
      <c r="AK66" s="157"/>
      <c r="AL66" s="157"/>
      <c r="AM66" s="157"/>
      <c r="AN66" s="157"/>
      <c r="AO66" s="159"/>
      <c r="AP66" s="157"/>
      <c r="AQ66" s="159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66"/>
      <c r="BG66" s="157"/>
      <c r="BH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7"/>
      <c r="AO67" s="159"/>
      <c r="AP67" s="157"/>
      <c r="AQ67" s="159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66"/>
      <c r="BG67" s="157"/>
      <c r="BH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7"/>
      <c r="AO68" s="159"/>
      <c r="AP68" s="157"/>
      <c r="AQ68" s="159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66"/>
      <c r="BG68" s="157"/>
      <c r="BH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7"/>
      <c r="AO69" s="159"/>
      <c r="AP69" s="157"/>
      <c r="AQ69" s="159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66"/>
      <c r="BG69" s="157"/>
      <c r="BH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7"/>
      <c r="AO70" s="159"/>
      <c r="AP70" s="157"/>
      <c r="AQ70" s="159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66"/>
      <c r="BG70" s="157"/>
      <c r="BH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7"/>
      <c r="AO71" s="159"/>
      <c r="AP71" s="157"/>
      <c r="AQ71" s="159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66"/>
      <c r="BG71" s="157"/>
      <c r="BH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7"/>
      <c r="AO72" s="159"/>
      <c r="AP72" s="157"/>
      <c r="AQ72" s="159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66"/>
      <c r="BG72" s="157"/>
      <c r="BH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7"/>
      <c r="AO73" s="159"/>
      <c r="AP73" s="157"/>
      <c r="AQ73" s="159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66"/>
      <c r="BG73" s="157"/>
      <c r="BH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7"/>
      <c r="AO74" s="159"/>
      <c r="AP74" s="157"/>
      <c r="AQ74" s="159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66"/>
      <c r="BG74" s="157"/>
      <c r="BH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7"/>
      <c r="AO75" s="159"/>
      <c r="AP75" s="157"/>
      <c r="AQ75" s="159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66"/>
      <c r="BG75" s="157"/>
      <c r="BH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7"/>
      <c r="AO76" s="159"/>
      <c r="AP76" s="157"/>
      <c r="AQ76" s="159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66"/>
      <c r="BG76" s="157"/>
      <c r="BH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7"/>
      <c r="AO77" s="159"/>
      <c r="AP77" s="157"/>
      <c r="AQ77" s="159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66"/>
      <c r="BG77" s="157"/>
      <c r="BH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7"/>
      <c r="AO78" s="159"/>
      <c r="AP78" s="157"/>
      <c r="AQ78" s="159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66"/>
      <c r="BG78" s="157"/>
      <c r="BH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7"/>
      <c r="AO79" s="159"/>
      <c r="AP79" s="157"/>
      <c r="AQ79" s="159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66"/>
      <c r="BG79" s="157"/>
      <c r="BH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7"/>
      <c r="AO80" s="159"/>
      <c r="AP80" s="157"/>
      <c r="AQ80" s="159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66"/>
      <c r="BG80" s="157"/>
      <c r="BH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7"/>
      <c r="AO81" s="159"/>
      <c r="AP81" s="157"/>
      <c r="AQ81" s="159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66"/>
      <c r="BG81" s="157"/>
      <c r="BH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7"/>
      <c r="AO82" s="159"/>
      <c r="AP82" s="157"/>
      <c r="AQ82" s="159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66"/>
      <c r="BG82" s="157"/>
      <c r="BH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7"/>
      <c r="AO83" s="159"/>
      <c r="AP83" s="157"/>
      <c r="AQ83" s="159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66"/>
      <c r="BG83" s="157"/>
      <c r="BH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7"/>
      <c r="AO84" s="159"/>
      <c r="AP84" s="157"/>
      <c r="AQ84" s="159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66"/>
      <c r="BG84" s="157"/>
      <c r="BH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7"/>
      <c r="AO85" s="159"/>
      <c r="AP85" s="157"/>
      <c r="AQ85" s="159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66"/>
      <c r="BG85" s="157"/>
      <c r="BH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7"/>
      <c r="AO86" s="159"/>
      <c r="AP86" s="157"/>
      <c r="AQ86" s="159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66"/>
      <c r="BG86" s="157"/>
      <c r="BH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7"/>
      <c r="AO87" s="159"/>
      <c r="AP87" s="157"/>
      <c r="AQ87" s="159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66"/>
      <c r="BG87" s="157"/>
      <c r="BH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7"/>
      <c r="AO88" s="159"/>
      <c r="AP88" s="157"/>
      <c r="AQ88" s="159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66"/>
      <c r="BG88" s="157"/>
      <c r="BH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7"/>
      <c r="AO89" s="159"/>
      <c r="AP89" s="157"/>
      <c r="AQ89" s="159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66"/>
      <c r="BG89" s="157"/>
      <c r="BH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7"/>
      <c r="AO90" s="159"/>
      <c r="AP90" s="157"/>
      <c r="AQ90" s="159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66"/>
      <c r="BG90" s="157"/>
      <c r="BH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7"/>
      <c r="AO91" s="159"/>
      <c r="AP91" s="157"/>
      <c r="AQ91" s="159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66"/>
      <c r="BG91" s="157"/>
      <c r="BH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7"/>
      <c r="AO92" s="159"/>
      <c r="AP92" s="157"/>
      <c r="AQ92" s="159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66"/>
      <c r="BG92" s="157"/>
      <c r="BH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7"/>
      <c r="AO93" s="159"/>
      <c r="AP93" s="157"/>
      <c r="AQ93" s="159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66"/>
      <c r="BG93" s="157"/>
      <c r="BH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7"/>
      <c r="AO94" s="159"/>
      <c r="AP94" s="157"/>
      <c r="AQ94" s="159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66"/>
      <c r="BG94" s="157"/>
      <c r="BH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7"/>
      <c r="AO95" s="159"/>
      <c r="AP95" s="157"/>
      <c r="AQ95" s="159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66"/>
      <c r="BG95" s="157"/>
      <c r="BH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7"/>
      <c r="AO96" s="159"/>
      <c r="AP96" s="157"/>
      <c r="AQ96" s="159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66"/>
      <c r="BG96" s="157"/>
      <c r="BH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7"/>
      <c r="AO97" s="159"/>
      <c r="AP97" s="157"/>
      <c r="AQ97" s="159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66"/>
      <c r="BG97" s="157"/>
      <c r="BH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7"/>
      <c r="AO98" s="159"/>
      <c r="AP98" s="157"/>
      <c r="AQ98" s="159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66"/>
      <c r="BG98" s="157"/>
      <c r="BH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7"/>
      <c r="AO99" s="159"/>
      <c r="AP99" s="157"/>
      <c r="AQ99" s="159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66"/>
      <c r="BG99" s="157"/>
      <c r="BH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7"/>
      <c r="AO100" s="159"/>
      <c r="AP100" s="157"/>
      <c r="AQ100" s="159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66"/>
      <c r="BG100" s="157"/>
      <c r="BH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7"/>
      <c r="AO101" s="159"/>
      <c r="AP101" s="157"/>
      <c r="AQ101" s="159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66"/>
      <c r="BG101" s="157"/>
      <c r="BH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7"/>
      <c r="AO102" s="159"/>
      <c r="AP102" s="157"/>
      <c r="AQ102" s="159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66"/>
      <c r="BG102" s="157"/>
      <c r="BH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7"/>
      <c r="AO103" s="159"/>
      <c r="AP103" s="157"/>
      <c r="AQ103" s="159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66"/>
      <c r="BG103" s="157"/>
      <c r="BH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7"/>
      <c r="AO104" s="159"/>
      <c r="AP104" s="157"/>
      <c r="AQ104" s="159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66"/>
      <c r="BG104" s="157"/>
      <c r="BH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7"/>
      <c r="AO105" s="159"/>
      <c r="AP105" s="157"/>
      <c r="AQ105" s="159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66"/>
      <c r="BG105" s="157"/>
      <c r="BH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7"/>
      <c r="AO106" s="159"/>
      <c r="AP106" s="157"/>
      <c r="AQ106" s="159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66"/>
      <c r="BG106" s="157"/>
      <c r="BH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7"/>
      <c r="AO107" s="159"/>
      <c r="AP107" s="157"/>
      <c r="AQ107" s="159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66"/>
      <c r="BG107" s="157"/>
      <c r="BH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7"/>
      <c r="AO108" s="159"/>
      <c r="AP108" s="157"/>
      <c r="AQ108" s="159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66"/>
      <c r="BG108" s="157"/>
      <c r="BH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7"/>
      <c r="AO109" s="159"/>
      <c r="AP109" s="157"/>
      <c r="AQ109" s="159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66"/>
      <c r="BG109" s="157"/>
      <c r="BH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7"/>
      <c r="AO110" s="159"/>
      <c r="AP110" s="157"/>
      <c r="AQ110" s="159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66"/>
      <c r="BG110" s="157"/>
      <c r="BH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7"/>
      <c r="AO111" s="159"/>
      <c r="AP111" s="157"/>
      <c r="AQ111" s="159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66"/>
      <c r="BG111" s="157"/>
      <c r="BH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7"/>
      <c r="AO112" s="159"/>
      <c r="AP112" s="157"/>
      <c r="AQ112" s="159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66"/>
      <c r="BG112" s="157"/>
      <c r="BH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7"/>
      <c r="AO113" s="159"/>
      <c r="AP113" s="157"/>
      <c r="AQ113" s="159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66"/>
      <c r="BG113" s="157"/>
      <c r="BH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7"/>
      <c r="AO114" s="159"/>
      <c r="AP114" s="157"/>
      <c r="AQ114" s="159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66"/>
      <c r="BG114" s="157"/>
      <c r="BH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7"/>
      <c r="AO115" s="159"/>
      <c r="AP115" s="157"/>
      <c r="AQ115" s="159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66"/>
      <c r="BG115" s="157"/>
      <c r="BH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7"/>
      <c r="AO116" s="159"/>
      <c r="AP116" s="157"/>
      <c r="AQ116" s="159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66"/>
      <c r="BG116" s="157"/>
      <c r="BH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7"/>
      <c r="AO117" s="159"/>
      <c r="AP117" s="157"/>
      <c r="AQ117" s="159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66"/>
      <c r="BG117" s="157"/>
      <c r="BH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7"/>
      <c r="AO118" s="159"/>
      <c r="AP118" s="157"/>
      <c r="AQ118" s="159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66"/>
      <c r="BG118" s="157"/>
      <c r="BH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7"/>
      <c r="AO119" s="159"/>
      <c r="AP119" s="157"/>
      <c r="AQ119" s="159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66"/>
      <c r="BG119" s="157"/>
      <c r="BH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7"/>
      <c r="AO120" s="159"/>
      <c r="AP120" s="157"/>
      <c r="AQ120" s="159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66"/>
      <c r="BG120" s="157"/>
      <c r="BH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7"/>
      <c r="AO121" s="159"/>
      <c r="AP121" s="157"/>
      <c r="AQ121" s="159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66"/>
      <c r="BG121" s="157"/>
      <c r="BH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7"/>
      <c r="AO122" s="159"/>
      <c r="AP122" s="157"/>
      <c r="AQ122" s="159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66"/>
      <c r="BG122" s="157"/>
      <c r="BH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7"/>
      <c r="AO123" s="159"/>
      <c r="AP123" s="157"/>
      <c r="AQ123" s="159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66"/>
      <c r="BG123" s="157"/>
      <c r="BH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7"/>
      <c r="AO124" s="159"/>
      <c r="AP124" s="157"/>
      <c r="AQ124" s="159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66"/>
      <c r="BG124" s="157"/>
      <c r="BH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7"/>
      <c r="AO125" s="159"/>
      <c r="AP125" s="157"/>
      <c r="AQ125" s="159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66"/>
      <c r="BG125" s="157"/>
      <c r="BH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7"/>
      <c r="AO126" s="159"/>
      <c r="AP126" s="157"/>
      <c r="AQ126" s="159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66"/>
      <c r="BG126" s="157"/>
      <c r="BH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7"/>
      <c r="AO127" s="159"/>
      <c r="AP127" s="157"/>
      <c r="AQ127" s="159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66"/>
      <c r="BG127" s="157"/>
      <c r="BH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7"/>
      <c r="AO128" s="159"/>
      <c r="AP128" s="157"/>
      <c r="AQ128" s="159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66"/>
      <c r="BG128" s="157"/>
      <c r="BH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7"/>
      <c r="AO129" s="159"/>
      <c r="AP129" s="157"/>
      <c r="AQ129" s="159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66"/>
      <c r="BG129" s="157"/>
      <c r="BH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7"/>
      <c r="AO130" s="159"/>
      <c r="AP130" s="157"/>
      <c r="AQ130" s="159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66"/>
      <c r="BG130" s="157"/>
      <c r="BH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7"/>
      <c r="AO131" s="159"/>
      <c r="AP131" s="157"/>
      <c r="AQ131" s="159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66"/>
      <c r="BG131" s="157"/>
      <c r="BH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7"/>
      <c r="AO132" s="159"/>
      <c r="AP132" s="157"/>
      <c r="AQ132" s="159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66"/>
      <c r="BG132" s="157"/>
      <c r="BH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7"/>
      <c r="AO133" s="159"/>
      <c r="AP133" s="157"/>
      <c r="AQ133" s="159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66"/>
      <c r="BG133" s="157"/>
      <c r="BH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7"/>
      <c r="AO134" s="159"/>
      <c r="AP134" s="157"/>
      <c r="AQ134" s="159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66"/>
      <c r="BG134" s="157"/>
      <c r="BH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7"/>
      <c r="AO135" s="159"/>
      <c r="AP135" s="157"/>
      <c r="AQ135" s="159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66"/>
      <c r="BG135" s="157"/>
      <c r="BH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7"/>
      <c r="AO136" s="159"/>
      <c r="AP136" s="157"/>
      <c r="AQ136" s="159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66"/>
      <c r="BG136" s="157"/>
      <c r="BH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7"/>
      <c r="AO137" s="159"/>
      <c r="AP137" s="157"/>
      <c r="AQ137" s="159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66"/>
      <c r="BG137" s="157"/>
      <c r="BH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7"/>
      <c r="AO138" s="159"/>
      <c r="AP138" s="157"/>
      <c r="AQ138" s="159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66"/>
      <c r="BG138" s="157"/>
      <c r="BH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7"/>
      <c r="AO139" s="159"/>
      <c r="AP139" s="157"/>
      <c r="AQ139" s="159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66"/>
      <c r="BG139" s="157"/>
      <c r="BH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7"/>
      <c r="AO140" s="159"/>
      <c r="AP140" s="157"/>
      <c r="AQ140" s="159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66"/>
      <c r="BG140" s="157"/>
      <c r="BH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7"/>
      <c r="AO141" s="159"/>
      <c r="AP141" s="157"/>
      <c r="AQ141" s="159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66"/>
      <c r="BG141" s="157"/>
      <c r="BH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7"/>
      <c r="AO142" s="159"/>
      <c r="AP142" s="157"/>
      <c r="AQ142" s="159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66"/>
      <c r="BG142" s="157"/>
      <c r="BH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7"/>
      <c r="AO143" s="159"/>
      <c r="AP143" s="157"/>
      <c r="AQ143" s="159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66"/>
      <c r="BG143" s="157"/>
      <c r="BH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7"/>
      <c r="AO144" s="159"/>
      <c r="AP144" s="157"/>
      <c r="AQ144" s="159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66"/>
      <c r="BG144" s="157"/>
      <c r="BH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7"/>
      <c r="AO145" s="159"/>
      <c r="AP145" s="157"/>
      <c r="AQ145" s="159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66"/>
      <c r="BG145" s="157"/>
      <c r="BH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7"/>
      <c r="AO146" s="159"/>
      <c r="AP146" s="157"/>
      <c r="AQ146" s="159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66"/>
      <c r="BG146" s="157"/>
      <c r="BH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7"/>
      <c r="AO147" s="159"/>
      <c r="AP147" s="157"/>
      <c r="AQ147" s="159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66"/>
      <c r="BG147" s="157"/>
      <c r="BH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7"/>
      <c r="AO148" s="159"/>
      <c r="AP148" s="157"/>
      <c r="AQ148" s="159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66"/>
      <c r="BG148" s="157"/>
      <c r="BH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7"/>
      <c r="AO149" s="159"/>
      <c r="AP149" s="157"/>
      <c r="AQ149" s="159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66"/>
      <c r="BG149" s="157"/>
      <c r="BH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7"/>
      <c r="AO150" s="159"/>
      <c r="AP150" s="157"/>
      <c r="AQ150" s="159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66"/>
      <c r="BG150" s="157"/>
      <c r="BH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7"/>
      <c r="AO151" s="159"/>
      <c r="AP151" s="157"/>
      <c r="AQ151" s="159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66"/>
      <c r="BG151" s="157"/>
      <c r="BH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7"/>
      <c r="AO152" s="159"/>
      <c r="AP152" s="157"/>
      <c r="AQ152" s="159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66"/>
      <c r="BG152" s="157"/>
      <c r="BH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7"/>
      <c r="AO153" s="159"/>
      <c r="AP153" s="157"/>
      <c r="AQ153" s="159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66"/>
      <c r="BG153" s="157"/>
      <c r="BH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7"/>
      <c r="AO154" s="159"/>
      <c r="AP154" s="157"/>
      <c r="AQ154" s="159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66"/>
      <c r="BG154" s="157"/>
      <c r="BH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7"/>
      <c r="AO155" s="159"/>
      <c r="AP155" s="157"/>
      <c r="AQ155" s="159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66"/>
      <c r="BG155" s="157"/>
      <c r="BH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7"/>
      <c r="AO156" s="159"/>
      <c r="AP156" s="157"/>
      <c r="AQ156" s="159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66"/>
      <c r="BG156" s="157"/>
      <c r="BH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7"/>
      <c r="AO157" s="159"/>
      <c r="AP157" s="157"/>
      <c r="AQ157" s="159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66"/>
      <c r="BG157" s="157"/>
      <c r="BH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7"/>
      <c r="AO158" s="159"/>
      <c r="AP158" s="157"/>
      <c r="AQ158" s="159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66"/>
      <c r="BG158" s="157"/>
      <c r="BH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7"/>
      <c r="AO159" s="159"/>
      <c r="AP159" s="157"/>
      <c r="AQ159" s="159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66"/>
      <c r="BG159" s="157"/>
      <c r="BH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7"/>
      <c r="AO160" s="159"/>
      <c r="AP160" s="157"/>
      <c r="AQ160" s="159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66"/>
      <c r="BG160" s="157"/>
      <c r="BH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7"/>
      <c r="AO161" s="159"/>
      <c r="AP161" s="157"/>
      <c r="AQ161" s="159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66"/>
      <c r="BG161" s="157"/>
      <c r="BH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7"/>
      <c r="AO162" s="159"/>
      <c r="AP162" s="157"/>
      <c r="AQ162" s="159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66"/>
      <c r="BG162" s="157"/>
      <c r="BH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7"/>
      <c r="AO163" s="159"/>
      <c r="AP163" s="157"/>
      <c r="AQ163" s="159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66"/>
      <c r="BG163" s="157"/>
      <c r="BH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7"/>
      <c r="AO164" s="159"/>
      <c r="AP164" s="157"/>
      <c r="AQ164" s="159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66"/>
      <c r="BG164" s="157"/>
      <c r="BH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7"/>
      <c r="AO165" s="159"/>
      <c r="AP165" s="157"/>
      <c r="AQ165" s="159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66"/>
      <c r="BG165" s="157"/>
      <c r="BH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7"/>
      <c r="AO166" s="159"/>
      <c r="AP166" s="157"/>
      <c r="AQ166" s="159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66"/>
      <c r="BG166" s="157"/>
      <c r="BH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7"/>
      <c r="AO167" s="159"/>
      <c r="AP167" s="157"/>
      <c r="AQ167" s="159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66"/>
      <c r="BG167" s="157"/>
      <c r="BH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7"/>
      <c r="AO168" s="159"/>
      <c r="AP168" s="157"/>
      <c r="AQ168" s="159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66"/>
      <c r="BG168" s="157"/>
      <c r="BH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7"/>
      <c r="AO169" s="159"/>
      <c r="AP169" s="157"/>
      <c r="AQ169" s="159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66"/>
      <c r="BG169" s="157"/>
      <c r="BH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7"/>
      <c r="AO170" s="159"/>
      <c r="AP170" s="157"/>
      <c r="AQ170" s="159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66"/>
      <c r="BG170" s="157"/>
      <c r="BH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7"/>
      <c r="AO171" s="159"/>
      <c r="AP171" s="157"/>
      <c r="AQ171" s="159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66"/>
      <c r="BG171" s="157"/>
      <c r="BH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7"/>
      <c r="AO172" s="159"/>
      <c r="AP172" s="157"/>
      <c r="AQ172" s="159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66"/>
      <c r="BG172" s="157"/>
      <c r="BH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7"/>
      <c r="AO173" s="159"/>
      <c r="AP173" s="157"/>
      <c r="AQ173" s="159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66"/>
      <c r="BG173" s="157"/>
      <c r="BH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7"/>
      <c r="AO174" s="159"/>
      <c r="AP174" s="157"/>
      <c r="AQ174" s="159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66"/>
      <c r="BG174" s="157"/>
      <c r="BH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7"/>
      <c r="AO175" s="159"/>
      <c r="AP175" s="157"/>
      <c r="AQ175" s="159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66"/>
      <c r="BG175" s="157"/>
      <c r="BH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7"/>
      <c r="AO176" s="159"/>
      <c r="AP176" s="157"/>
      <c r="AQ176" s="159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66"/>
      <c r="BG176" s="157"/>
      <c r="BH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7"/>
      <c r="AO177" s="159"/>
      <c r="AP177" s="157"/>
      <c r="AQ177" s="159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66"/>
      <c r="BG177" s="157"/>
      <c r="BH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7"/>
      <c r="AO178" s="159"/>
      <c r="AP178" s="157"/>
      <c r="AQ178" s="159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66"/>
      <c r="BG178" s="157"/>
      <c r="BH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7"/>
      <c r="AO179" s="159"/>
      <c r="AP179" s="157"/>
      <c r="AQ179" s="159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66"/>
      <c r="BG179" s="157"/>
      <c r="BH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7"/>
      <c r="AO180" s="159"/>
      <c r="AP180" s="157"/>
      <c r="AQ180" s="159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66"/>
      <c r="BG180" s="157"/>
      <c r="BH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7"/>
      <c r="AO181" s="159"/>
      <c r="AP181" s="157"/>
      <c r="AQ181" s="159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66"/>
      <c r="BG181" s="157"/>
      <c r="BH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7"/>
      <c r="AO182" s="159"/>
      <c r="AP182" s="157"/>
      <c r="AQ182" s="159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66"/>
      <c r="BG182" s="157"/>
      <c r="BH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7"/>
      <c r="AO183" s="159"/>
      <c r="AP183" s="157"/>
      <c r="AQ183" s="159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66"/>
      <c r="BG183" s="157"/>
      <c r="BH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7"/>
      <c r="AO184" s="159"/>
      <c r="AP184" s="157"/>
      <c r="AQ184" s="159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66"/>
      <c r="BG184" s="157"/>
      <c r="BH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7"/>
      <c r="AO185" s="159"/>
      <c r="AP185" s="157"/>
      <c r="AQ185" s="159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66"/>
      <c r="BG185" s="157"/>
      <c r="BH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7"/>
      <c r="AO186" s="159"/>
      <c r="AP186" s="157"/>
      <c r="AQ186" s="159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66"/>
      <c r="BG186" s="157"/>
      <c r="BH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7"/>
      <c r="AO187" s="159"/>
      <c r="AP187" s="157"/>
      <c r="AQ187" s="159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66"/>
      <c r="BG187" s="157"/>
      <c r="BH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7"/>
      <c r="AO188" s="159"/>
      <c r="AP188" s="157"/>
      <c r="AQ188" s="159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66"/>
      <c r="BG188" s="157"/>
      <c r="BH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7"/>
      <c r="AO189" s="159"/>
      <c r="AP189" s="157"/>
      <c r="AQ189" s="159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66"/>
      <c r="BG189" s="157"/>
      <c r="BH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7"/>
      <c r="AO190" s="159"/>
      <c r="AP190" s="157"/>
      <c r="AQ190" s="159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66"/>
      <c r="BG190" s="157"/>
      <c r="BH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7"/>
      <c r="AO191" s="159"/>
      <c r="AP191" s="157"/>
      <c r="AQ191" s="159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66"/>
      <c r="BG191" s="157"/>
      <c r="BH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7"/>
      <c r="AO192" s="159"/>
      <c r="AP192" s="157"/>
      <c r="AQ192" s="159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66"/>
      <c r="BG192" s="157"/>
      <c r="BH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7"/>
      <c r="AO193" s="159"/>
      <c r="AP193" s="157"/>
      <c r="AQ193" s="159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66"/>
      <c r="BG193" s="157"/>
      <c r="BH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7"/>
      <c r="AO194" s="159"/>
      <c r="AP194" s="157"/>
      <c r="AQ194" s="159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66"/>
      <c r="BG194" s="157"/>
      <c r="BH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7"/>
      <c r="AO195" s="159"/>
      <c r="AP195" s="157"/>
      <c r="AQ195" s="159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66"/>
      <c r="BG195" s="157"/>
      <c r="BH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7"/>
      <c r="AO196" s="159"/>
      <c r="AP196" s="157"/>
      <c r="AQ196" s="159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66"/>
      <c r="BG196" s="157"/>
      <c r="BH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7"/>
      <c r="AO197" s="159"/>
      <c r="AP197" s="157"/>
      <c r="AQ197" s="159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66"/>
      <c r="BG197" s="157"/>
      <c r="BH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7"/>
      <c r="AO198" s="159"/>
      <c r="AP198" s="157"/>
      <c r="AQ198" s="159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66"/>
      <c r="BG198" s="157"/>
      <c r="BH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7"/>
      <c r="AO199" s="159"/>
      <c r="AP199" s="157"/>
      <c r="AQ199" s="159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66"/>
      <c r="BG199" s="157"/>
      <c r="BH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7"/>
      <c r="AO200" s="159"/>
      <c r="AP200" s="157"/>
      <c r="AQ200" s="159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66"/>
      <c r="BG200" s="157"/>
      <c r="BH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7"/>
      <c r="AO201" s="159"/>
      <c r="AP201" s="157"/>
      <c r="AQ201" s="159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66"/>
      <c r="BG201" s="157"/>
      <c r="BH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7"/>
      <c r="AO202" s="159"/>
      <c r="AP202" s="157"/>
      <c r="AQ202" s="159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66"/>
      <c r="BG202" s="157"/>
      <c r="BH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7"/>
      <c r="AO203" s="159"/>
      <c r="AP203" s="157"/>
      <c r="AQ203" s="159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66"/>
      <c r="BG203" s="157"/>
      <c r="BH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7"/>
      <c r="AO204" s="159"/>
      <c r="AP204" s="157"/>
      <c r="AQ204" s="159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66"/>
      <c r="BG204" s="157"/>
      <c r="BH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7"/>
      <c r="AO205" s="159"/>
      <c r="AP205" s="157"/>
      <c r="AQ205" s="159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66"/>
      <c r="BG205" s="157"/>
      <c r="BH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7"/>
      <c r="AO206" s="159"/>
      <c r="AP206" s="157"/>
      <c r="AQ206" s="159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66"/>
      <c r="BG206" s="157"/>
      <c r="BH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7"/>
      <c r="AO207" s="159"/>
      <c r="AP207" s="157"/>
      <c r="AQ207" s="159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66"/>
      <c r="BG207" s="157"/>
      <c r="BH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7"/>
      <c r="AO208" s="159"/>
      <c r="AP208" s="157"/>
      <c r="AQ208" s="159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66"/>
      <c r="BG208" s="157"/>
      <c r="BH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7"/>
      <c r="AO209" s="159"/>
      <c r="AP209" s="157"/>
      <c r="AQ209" s="159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66"/>
      <c r="BG209" s="157"/>
      <c r="BH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7"/>
      <c r="AO210" s="159"/>
      <c r="AP210" s="157"/>
      <c r="AQ210" s="159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66"/>
      <c r="BG210" s="157"/>
      <c r="BH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7"/>
      <c r="AO211" s="159"/>
      <c r="AP211" s="157"/>
      <c r="AQ211" s="159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66"/>
      <c r="BG211" s="157"/>
      <c r="BH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7"/>
      <c r="AO212" s="159"/>
      <c r="AP212" s="157"/>
      <c r="AQ212" s="159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66"/>
      <c r="BG212" s="157"/>
      <c r="BH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7"/>
      <c r="AO213" s="159"/>
      <c r="AP213" s="157"/>
      <c r="AQ213" s="159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66"/>
      <c r="BG213" s="157"/>
      <c r="BH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7"/>
      <c r="AO214" s="159"/>
      <c r="AP214" s="157"/>
      <c r="AQ214" s="159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66"/>
      <c r="BG214" s="157"/>
      <c r="BH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7"/>
      <c r="AO215" s="159"/>
      <c r="AP215" s="157"/>
      <c r="AQ215" s="159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66"/>
      <c r="BG215" s="157"/>
      <c r="BH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7"/>
      <c r="AO216" s="159"/>
      <c r="AP216" s="157"/>
      <c r="AQ216" s="159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66"/>
      <c r="BG216" s="157"/>
      <c r="BH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7"/>
      <c r="AO217" s="159"/>
      <c r="AP217" s="157"/>
      <c r="AQ217" s="159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66"/>
      <c r="BG217" s="157"/>
      <c r="BH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7"/>
      <c r="AO218" s="159"/>
      <c r="AP218" s="157"/>
      <c r="AQ218" s="159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66"/>
      <c r="BG218" s="157"/>
      <c r="BH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7"/>
      <c r="AO219" s="159"/>
      <c r="AP219" s="157"/>
      <c r="AQ219" s="159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66"/>
      <c r="BG219" s="157"/>
      <c r="BH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7"/>
      <c r="AO220" s="159"/>
      <c r="AP220" s="157"/>
      <c r="AQ220" s="159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66"/>
      <c r="BG220" s="157"/>
      <c r="BH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7"/>
      <c r="AO221" s="159"/>
      <c r="AP221" s="157"/>
      <c r="AQ221" s="159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66"/>
      <c r="BG221" s="157"/>
      <c r="BH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7"/>
      <c r="AO222" s="159"/>
      <c r="AP222" s="157"/>
      <c r="AQ222" s="159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66"/>
      <c r="BG222" s="157"/>
      <c r="BH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7"/>
      <c r="AO223" s="159"/>
      <c r="AP223" s="157"/>
      <c r="AQ223" s="159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66"/>
      <c r="BG223" s="157"/>
      <c r="BH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7"/>
      <c r="AO224" s="159"/>
      <c r="AP224" s="157"/>
      <c r="AQ224" s="159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66"/>
      <c r="BG224" s="157"/>
      <c r="BH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7"/>
      <c r="AO225" s="159"/>
      <c r="AP225" s="157"/>
      <c r="AQ225" s="159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66"/>
      <c r="BG225" s="157"/>
      <c r="BH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7"/>
      <c r="AO226" s="159"/>
      <c r="AP226" s="157"/>
      <c r="AQ226" s="159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66"/>
      <c r="BG226" s="157"/>
      <c r="BH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7"/>
      <c r="AO227" s="159"/>
      <c r="AP227" s="157"/>
      <c r="AQ227" s="159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66"/>
      <c r="BG227" s="157"/>
      <c r="BH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7"/>
      <c r="AO228" s="159"/>
      <c r="AP228" s="157"/>
      <c r="AQ228" s="159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66"/>
      <c r="BG228" s="157"/>
      <c r="BH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7"/>
      <c r="AO229" s="159"/>
      <c r="AP229" s="157"/>
      <c r="AQ229" s="159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66"/>
      <c r="BG229" s="157"/>
      <c r="BH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7"/>
      <c r="AO230" s="159"/>
      <c r="AP230" s="157"/>
      <c r="AQ230" s="159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66"/>
      <c r="BG230" s="157"/>
      <c r="BH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7"/>
      <c r="AO231" s="159"/>
      <c r="AP231" s="157"/>
      <c r="AQ231" s="159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66"/>
      <c r="BG231" s="157"/>
      <c r="BH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7"/>
      <c r="AO232" s="159"/>
      <c r="AP232" s="157"/>
      <c r="AQ232" s="159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66"/>
      <c r="BG232" s="157"/>
      <c r="BH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7"/>
      <c r="AO233" s="159"/>
      <c r="AP233" s="157"/>
      <c r="AQ233" s="159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66"/>
      <c r="BG233" s="157"/>
      <c r="BH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7"/>
      <c r="AO234" s="159"/>
      <c r="AP234" s="157"/>
      <c r="AQ234" s="159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66"/>
      <c r="BG234" s="157"/>
      <c r="BH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7"/>
      <c r="AO235" s="159"/>
      <c r="AP235" s="157"/>
      <c r="AQ235" s="159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66"/>
      <c r="BG235" s="157"/>
      <c r="BH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7"/>
      <c r="AO236" s="159"/>
      <c r="AP236" s="157"/>
      <c r="AQ236" s="159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66"/>
      <c r="BG236" s="157"/>
      <c r="BH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7"/>
      <c r="AO237" s="159"/>
      <c r="AP237" s="157"/>
      <c r="AQ237" s="159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66"/>
      <c r="BG237" s="157"/>
      <c r="BH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7"/>
      <c r="AO238" s="159"/>
      <c r="AP238" s="157"/>
      <c r="AQ238" s="159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66"/>
      <c r="BG238" s="157"/>
      <c r="BH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7"/>
      <c r="AO239" s="159"/>
      <c r="AP239" s="157"/>
      <c r="AQ239" s="159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66"/>
      <c r="BG239" s="157"/>
      <c r="BH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7"/>
      <c r="AO240" s="159"/>
      <c r="AP240" s="157"/>
      <c r="AQ240" s="159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66"/>
      <c r="BG240" s="157"/>
      <c r="BH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7"/>
      <c r="AO241" s="159"/>
      <c r="AP241" s="157"/>
      <c r="AQ241" s="159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66"/>
      <c r="BG241" s="157"/>
      <c r="BH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7"/>
      <c r="AO242" s="159"/>
      <c r="AP242" s="157"/>
      <c r="AQ242" s="159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66"/>
      <c r="BG242" s="157"/>
      <c r="BH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7"/>
      <c r="AO243" s="159"/>
      <c r="AP243" s="157"/>
      <c r="AQ243" s="159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66"/>
      <c r="BG243" s="157"/>
      <c r="BH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7"/>
      <c r="AO244" s="159"/>
      <c r="AP244" s="157"/>
      <c r="AQ244" s="159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66"/>
      <c r="BG244" s="157"/>
      <c r="BH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7"/>
      <c r="AO245" s="159"/>
      <c r="AP245" s="157"/>
      <c r="AQ245" s="159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66"/>
      <c r="BG245" s="157"/>
      <c r="BH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7"/>
      <c r="AO246" s="159"/>
      <c r="AP246" s="157"/>
      <c r="AQ246" s="159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66"/>
      <c r="BG246" s="157"/>
      <c r="BH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A247" s="157"/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7"/>
      <c r="AO247" s="159"/>
      <c r="AP247" s="157"/>
      <c r="AQ247" s="159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66"/>
      <c r="BG247" s="157"/>
      <c r="BH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N4:AO4"/>
    <mergeCell ref="AP4:AQ4"/>
    <mergeCell ref="AN38:AO38"/>
    <mergeCell ref="AP38:AQ38"/>
    <mergeCell ref="AN49:AO49"/>
    <mergeCell ref="AP49:AQ49"/>
    <mergeCell ref="BO3:BV3"/>
    <mergeCell ref="BW3:CC3"/>
    <mergeCell ref="CD3:CJ3"/>
    <mergeCell ref="AF3:AO3"/>
    <mergeCell ref="AR3:AV3"/>
    <mergeCell ref="AW3:BD3"/>
    <mergeCell ref="AN39:AO39"/>
    <mergeCell ref="D50:K54"/>
    <mergeCell ref="L50:S54"/>
    <mergeCell ref="T50:Z54"/>
    <mergeCell ref="AF50:AM54"/>
    <mergeCell ref="B3:B4"/>
    <mergeCell ref="D3:K3"/>
    <mergeCell ref="L3:S3"/>
    <mergeCell ref="T3:Z3"/>
    <mergeCell ref="AA3:AE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8EA-58E9-6D4F-9C49-0F67EB0BD639}">
  <dimension ref="A1:CJ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68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7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4.7109375" style="7" customWidth="1"/>
    <col min="41" max="41" width="4.5703125" style="268" customWidth="1"/>
    <col min="42" max="42" width="4.7109375" style="7" customWidth="1"/>
    <col min="43" max="43" width="4.5703125" style="268" customWidth="1"/>
    <col min="44" max="44" width="11.140625" style="7" bestFit="1" customWidth="1"/>
    <col min="45" max="45" width="7.5703125" style="7" customWidth="1"/>
    <col min="46" max="46" width="9.42578125" style="7" bestFit="1" customWidth="1"/>
    <col min="47" max="47" width="11.5703125" style="7" customWidth="1"/>
    <col min="48" max="48" width="13.5703125" style="7" customWidth="1"/>
    <col min="49" max="60" width="11.140625" style="7" customWidth="1"/>
    <col min="61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3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6"/>
      <c r="BF1" s="4"/>
      <c r="BG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11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10"/>
      <c r="AR2" s="4"/>
      <c r="AS2" s="4"/>
      <c r="AT2" s="4"/>
      <c r="AU2" s="4"/>
      <c r="AV2" s="4"/>
      <c r="AW2" s="4" t="s">
        <v>1</v>
      </c>
      <c r="AX2" s="4"/>
      <c r="AY2" s="4"/>
      <c r="AZ2" s="4"/>
      <c r="BA2" s="4"/>
      <c r="BB2" s="4"/>
      <c r="BC2" s="4"/>
      <c r="BD2" s="4"/>
      <c r="BE2" s="6"/>
      <c r="BF2" s="4"/>
      <c r="BG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29" t="s">
        <v>7</v>
      </c>
      <c r="AG3" s="330"/>
      <c r="AH3" s="330"/>
      <c r="AI3" s="330"/>
      <c r="AJ3" s="330"/>
      <c r="AK3" s="330"/>
      <c r="AL3" s="330"/>
      <c r="AM3" s="330"/>
      <c r="AN3" s="330"/>
      <c r="AO3" s="331"/>
      <c r="AP3" s="346"/>
      <c r="AQ3" s="346"/>
      <c r="AR3" s="22" t="s">
        <v>8</v>
      </c>
      <c r="AS3" s="23"/>
      <c r="AT3" s="23"/>
      <c r="AU3" s="23"/>
      <c r="AV3" s="25"/>
      <c r="AW3" s="26" t="s">
        <v>9</v>
      </c>
      <c r="AX3" s="27"/>
      <c r="AY3" s="27"/>
      <c r="AZ3" s="27"/>
      <c r="BA3" s="27"/>
      <c r="BB3" s="27"/>
      <c r="BC3" s="27"/>
      <c r="BD3" s="28"/>
      <c r="BE3" s="4"/>
      <c r="BF3" s="6"/>
      <c r="BO3" s="269" t="s">
        <v>3</v>
      </c>
      <c r="BP3" s="270"/>
      <c r="BQ3" s="270"/>
      <c r="BR3" s="270"/>
      <c r="BS3" s="270"/>
      <c r="BT3" s="270"/>
      <c r="BU3" s="270"/>
      <c r="BV3" s="270"/>
      <c r="BW3" s="271" t="s">
        <v>5</v>
      </c>
      <c r="BX3" s="272"/>
      <c r="BY3" s="272"/>
      <c r="BZ3" s="272"/>
      <c r="CA3" s="272"/>
      <c r="CB3" s="272"/>
      <c r="CC3" s="273"/>
      <c r="CD3" s="274" t="s">
        <v>83</v>
      </c>
      <c r="CE3" s="275"/>
      <c r="CF3" s="275"/>
      <c r="CG3" s="275"/>
      <c r="CH3" s="275"/>
      <c r="CI3" s="275"/>
      <c r="CJ3" s="276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34" t="s">
        <v>84</v>
      </c>
      <c r="AO4" s="335"/>
      <c r="AP4" s="334" t="s">
        <v>86</v>
      </c>
      <c r="AQ4" s="335"/>
      <c r="AR4" s="44" t="s">
        <v>24</v>
      </c>
      <c r="AS4" s="45" t="s">
        <v>19</v>
      </c>
      <c r="AT4" s="45" t="s">
        <v>21</v>
      </c>
      <c r="AU4" s="46" t="s">
        <v>25</v>
      </c>
      <c r="AV4" s="45" t="s">
        <v>26</v>
      </c>
      <c r="AW4" s="33" t="s">
        <v>27</v>
      </c>
      <c r="AX4" s="33" t="s">
        <v>28</v>
      </c>
      <c r="AY4" s="33" t="s">
        <v>29</v>
      </c>
      <c r="AZ4" s="33" t="s">
        <v>30</v>
      </c>
      <c r="BA4" s="33" t="s">
        <v>31</v>
      </c>
      <c r="BB4" s="33" t="s">
        <v>32</v>
      </c>
      <c r="BC4" s="33" t="s">
        <v>33</v>
      </c>
      <c r="BD4" s="50" t="s">
        <v>34</v>
      </c>
      <c r="BE4" s="4"/>
      <c r="BF4" s="6"/>
      <c r="BO4" s="277" t="s">
        <v>10</v>
      </c>
      <c r="BP4" s="278" t="s">
        <v>11</v>
      </c>
      <c r="BQ4" s="45" t="s">
        <v>12</v>
      </c>
      <c r="BR4" s="279" t="s">
        <v>13</v>
      </c>
      <c r="BS4" s="45" t="s">
        <v>14</v>
      </c>
      <c r="BT4" s="46" t="s">
        <v>15</v>
      </c>
      <c r="BU4" s="278" t="s">
        <v>16</v>
      </c>
      <c r="BV4" s="46" t="s">
        <v>17</v>
      </c>
      <c r="BW4" s="280" t="s">
        <v>11</v>
      </c>
      <c r="BX4" s="45" t="s">
        <v>12</v>
      </c>
      <c r="BY4" s="279" t="s">
        <v>13</v>
      </c>
      <c r="BZ4" s="45" t="s">
        <v>14</v>
      </c>
      <c r="CA4" s="46" t="s">
        <v>15</v>
      </c>
      <c r="CB4" s="281" t="s">
        <v>16</v>
      </c>
      <c r="CC4" s="282" t="s">
        <v>17</v>
      </c>
      <c r="CD4" s="283" t="s">
        <v>11</v>
      </c>
      <c r="CE4" s="45" t="s">
        <v>12</v>
      </c>
      <c r="CF4" s="279" t="s">
        <v>13</v>
      </c>
      <c r="CG4" s="45" t="s">
        <v>14</v>
      </c>
      <c r="CH4" s="46" t="s">
        <v>15</v>
      </c>
      <c r="CI4" s="284" t="s">
        <v>16</v>
      </c>
      <c r="CJ4" s="285" t="s">
        <v>17</v>
      </c>
    </row>
    <row r="5" spans="1:88" s="82" customFormat="1" ht="13.5" customHeight="1" thickTop="1">
      <c r="A5" s="51"/>
      <c r="B5" s="348">
        <f>DATE($A$2,$B$2,1)</f>
        <v>45962</v>
      </c>
      <c r="C5" s="52"/>
      <c r="D5" s="53">
        <v>3</v>
      </c>
      <c r="E5" s="54">
        <v>6</v>
      </c>
      <c r="F5" s="55">
        <v>48400</v>
      </c>
      <c r="G5" s="56">
        <f t="shared" ref="G5:G29" si="0">ROUNDDOWN(F5/1.1,0)/E5</f>
        <v>7333.333333333333</v>
      </c>
      <c r="H5" s="55">
        <v>16610</v>
      </c>
      <c r="I5" s="57">
        <f t="shared" ref="I5:I29" si="1">ROUNDDOWN(H5/1.1,0)/E5</f>
        <v>2516.6666666666665</v>
      </c>
      <c r="J5" s="58">
        <f t="shared" ref="J5:J31" si="2">F5+H5</f>
        <v>65010</v>
      </c>
      <c r="K5" s="59">
        <f t="shared" ref="K5:K29" si="3">IF(E5="","",J5/E5)</f>
        <v>10835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4" si="7">IF(M5="","",R5/M5)</f>
        <v/>
      </c>
      <c r="T5" s="67">
        <f t="shared" ref="T5:T34" si="8">AW5-M5-E5</f>
        <v>15</v>
      </c>
      <c r="U5" s="68">
        <f t="shared" ref="U5:U34" si="9">AX5-(F5+N5)</f>
        <v>223410</v>
      </c>
      <c r="V5" s="56">
        <f t="shared" ref="V5:V31" si="10">ROUNDDOWN(U5/1.1,0)/T5</f>
        <v>13540</v>
      </c>
      <c r="W5" s="68">
        <f t="shared" ref="W5:W34" si="11">AY5-H5-P5</f>
        <v>74690</v>
      </c>
      <c r="X5" s="57">
        <f t="shared" ref="X5:X31" si="12">ROUNDDOWN(W5/1.1,0)/T5</f>
        <v>4526.666666666667</v>
      </c>
      <c r="Y5" s="69">
        <f>U5+W5</f>
        <v>298100</v>
      </c>
      <c r="Z5" s="70">
        <f t="shared" ref="Z5:Z31" si="13">IF(T5="","",Y5/T5)</f>
        <v>19873.333333333332</v>
      </c>
      <c r="AA5" s="71">
        <f>E5+T5+M5</f>
        <v>21</v>
      </c>
      <c r="AB5" s="68">
        <f>F5+U5+N5</f>
        <v>271810</v>
      </c>
      <c r="AC5" s="68">
        <f>H5+W5+P5</f>
        <v>91300</v>
      </c>
      <c r="AD5" s="72">
        <f t="shared" ref="AD5" si="14">J5+Y5</f>
        <v>363110</v>
      </c>
      <c r="AE5" s="68">
        <f>IF(AA5="","",AD5/AA5)</f>
        <v>17290.952380952382</v>
      </c>
      <c r="AF5" s="73">
        <v>67</v>
      </c>
      <c r="AG5" s="74">
        <v>75</v>
      </c>
      <c r="AH5" s="55">
        <v>99330</v>
      </c>
      <c r="AI5" s="56">
        <f t="shared" ref="AI5:AI31" si="15">AH5/AG5</f>
        <v>1324.4</v>
      </c>
      <c r="AJ5" s="55">
        <v>10900</v>
      </c>
      <c r="AK5" s="57">
        <f t="shared" ref="AK5:AK31" si="16">AJ5/AG5</f>
        <v>145.33333333333334</v>
      </c>
      <c r="AL5" s="75">
        <f>AH5+AJ5</f>
        <v>110230</v>
      </c>
      <c r="AM5" s="76">
        <f t="shared" ref="AM5:AM31" si="17">IF(AG5="","",AL5/AG5)</f>
        <v>1469.7333333333333</v>
      </c>
      <c r="AN5" s="336">
        <v>0</v>
      </c>
      <c r="AO5" s="337">
        <v>0</v>
      </c>
      <c r="AP5" s="336">
        <v>0</v>
      </c>
      <c r="AQ5" s="337">
        <v>0</v>
      </c>
      <c r="AR5" s="71">
        <f>SUM(E5,T5,M5)</f>
        <v>21</v>
      </c>
      <c r="AS5" s="68">
        <f t="shared" ref="AS5:AS34" si="18">AB5+AH5</f>
        <v>371140</v>
      </c>
      <c r="AT5" s="68">
        <f t="shared" ref="AT5:AT34" si="19">AC5+AJ5</f>
        <v>102200</v>
      </c>
      <c r="AU5" s="77">
        <f t="shared" ref="AU5:AU34" si="20">AD5+AL5</f>
        <v>473340</v>
      </c>
      <c r="AV5" s="68">
        <f>AZ5+BA5+BB5</f>
        <v>4400</v>
      </c>
      <c r="AW5" s="68">
        <v>21</v>
      </c>
      <c r="AX5" s="68">
        <v>271810</v>
      </c>
      <c r="AY5" s="68">
        <v>91300</v>
      </c>
      <c r="AZ5" s="78">
        <v>4400</v>
      </c>
      <c r="BA5" s="78">
        <v>0</v>
      </c>
      <c r="BB5" s="78">
        <v>0</v>
      </c>
      <c r="BC5" s="78">
        <v>0</v>
      </c>
      <c r="BD5" s="79">
        <f>SUM(AX5:BB5)</f>
        <v>367510</v>
      </c>
      <c r="BE5" s="51">
        <v>1</v>
      </c>
      <c r="BF5" s="80">
        <f>BC5+BD5</f>
        <v>367510</v>
      </c>
      <c r="BG5" s="81">
        <f t="shared" ref="BG5:BG34" si="21">BD5+AL5</f>
        <v>477740</v>
      </c>
      <c r="BO5" s="287">
        <f>D5</f>
        <v>3</v>
      </c>
      <c r="BP5" s="54">
        <f>E5</f>
        <v>6</v>
      </c>
      <c r="BQ5" s="68">
        <f>F5</f>
        <v>48400</v>
      </c>
      <c r="BR5" s="56">
        <f t="shared" ref="BR5:BR35" si="22">ROUNDDOWN(BQ5/1.1,0)/BP5</f>
        <v>7333.333333333333</v>
      </c>
      <c r="BS5" s="68">
        <f>H5</f>
        <v>16610</v>
      </c>
      <c r="BT5" s="57">
        <f t="shared" ref="BT5:BT35" si="23">ROUNDDOWN(BS5/1.1,0)/BP5</f>
        <v>2516.6666666666665</v>
      </c>
      <c r="BU5" s="58">
        <f>BQ5+BS5</f>
        <v>65010</v>
      </c>
      <c r="BV5" s="59">
        <f t="shared" ref="BV5:BV35" si="24">IF(BP5="","",BU5/BP5)</f>
        <v>10835</v>
      </c>
      <c r="BW5" s="288">
        <f>T5</f>
        <v>15</v>
      </c>
      <c r="BX5" s="68">
        <f>U5</f>
        <v>223410</v>
      </c>
      <c r="BY5" s="56">
        <f t="shared" ref="BY5:BY35" si="25">ROUNDDOWN(BX5/1.1,0)/BW5</f>
        <v>13540</v>
      </c>
      <c r="BZ5" s="68">
        <f>W5</f>
        <v>74690</v>
      </c>
      <c r="CA5" s="57">
        <f t="shared" ref="CA5:CA35" si="26">ROUNDDOWN(BZ5/1.1,0)/BW5</f>
        <v>4526.666666666667</v>
      </c>
      <c r="CB5" s="289">
        <f>BX5+BZ5</f>
        <v>298100</v>
      </c>
      <c r="CC5" s="290" t="e">
        <v>#DIV/0!</v>
      </c>
      <c r="CD5" s="291">
        <f>BP5+BW5</f>
        <v>21</v>
      </c>
      <c r="CE5" s="68">
        <f>BQ5+BX5</f>
        <v>271810</v>
      </c>
      <c r="CF5" s="57">
        <f>ROUNDDOWN(CE5/1.1,0)/CD5</f>
        <v>11766.666666666666</v>
      </c>
      <c r="CG5" s="68">
        <f>BS5+BZ5</f>
        <v>91300</v>
      </c>
      <c r="CH5" s="57">
        <f>ROUNDDOWN(CG5/1.1,0)/CD5</f>
        <v>3952.3809523809523</v>
      </c>
      <c r="CI5" s="292">
        <f>CE5+CG5</f>
        <v>363110</v>
      </c>
      <c r="CJ5" s="293">
        <f>IF(CD5="","",CI5/CD5)</f>
        <v>17290.952380952382</v>
      </c>
    </row>
    <row r="6" spans="1:88" ht="13.5" customHeight="1">
      <c r="A6" s="51"/>
      <c r="B6" s="97">
        <f t="shared" ref="B6:B34" si="27">B5+1</f>
        <v>45963</v>
      </c>
      <c r="C6" s="84"/>
      <c r="D6" s="53">
        <v>5</v>
      </c>
      <c r="E6" s="54">
        <v>9</v>
      </c>
      <c r="F6" s="55">
        <v>60500</v>
      </c>
      <c r="G6" s="56">
        <f t="shared" si="0"/>
        <v>6111.1111111111113</v>
      </c>
      <c r="H6" s="55">
        <v>13420</v>
      </c>
      <c r="I6" s="57">
        <f t="shared" si="1"/>
        <v>1355.5555555555557</v>
      </c>
      <c r="J6" s="58">
        <f t="shared" si="2"/>
        <v>73920</v>
      </c>
      <c r="K6" s="59">
        <f t="shared" si="3"/>
        <v>8213.3333333333339</v>
      </c>
      <c r="L6" s="85">
        <v>1</v>
      </c>
      <c r="M6" s="86">
        <v>2</v>
      </c>
      <c r="N6" s="87">
        <v>7700</v>
      </c>
      <c r="O6" s="88">
        <f t="shared" si="4"/>
        <v>3850</v>
      </c>
      <c r="P6" s="87">
        <v>1100</v>
      </c>
      <c r="Q6" s="89">
        <f t="shared" si="5"/>
        <v>550</v>
      </c>
      <c r="R6" s="90">
        <f>N6+P6</f>
        <v>8800</v>
      </c>
      <c r="S6" s="91">
        <f t="shared" si="7"/>
        <v>4400</v>
      </c>
      <c r="T6" s="67">
        <f t="shared" si="8"/>
        <v>7</v>
      </c>
      <c r="U6" s="68">
        <f t="shared" si="9"/>
        <v>82500</v>
      </c>
      <c r="V6" s="56">
        <f t="shared" si="10"/>
        <v>10714.285714285714</v>
      </c>
      <c r="W6" s="68">
        <f t="shared" si="11"/>
        <v>21230</v>
      </c>
      <c r="X6" s="57">
        <f t="shared" si="12"/>
        <v>2757.1428571428573</v>
      </c>
      <c r="Y6" s="92">
        <f t="shared" ref="Y6:Y31" si="28">U6+W6</f>
        <v>103730</v>
      </c>
      <c r="Z6" s="70">
        <f t="shared" si="13"/>
        <v>14818.571428571429</v>
      </c>
      <c r="AA6" s="71">
        <f t="shared" ref="AA6:AB34" si="29">E6+T6+M6</f>
        <v>18</v>
      </c>
      <c r="AB6" s="68">
        <f t="shared" si="29"/>
        <v>150700</v>
      </c>
      <c r="AC6" s="68">
        <f t="shared" ref="AC6:AC34" si="30">H6+W6+P6</f>
        <v>35750</v>
      </c>
      <c r="AD6" s="72">
        <f>J6+Y6+R6</f>
        <v>186450</v>
      </c>
      <c r="AE6" s="68">
        <f t="shared" ref="AE6:AE31" si="31">IF(AA6="","",AD6/AA6)</f>
        <v>10358.333333333334</v>
      </c>
      <c r="AF6" s="73">
        <v>85</v>
      </c>
      <c r="AG6" s="74">
        <v>100</v>
      </c>
      <c r="AH6" s="55">
        <v>121300</v>
      </c>
      <c r="AI6" s="56">
        <f t="shared" si="15"/>
        <v>1213</v>
      </c>
      <c r="AJ6" s="55">
        <v>18200</v>
      </c>
      <c r="AK6" s="57">
        <f t="shared" si="16"/>
        <v>182</v>
      </c>
      <c r="AL6" s="93">
        <f t="shared" ref="AL6:AL31" si="32">AH6+AJ6</f>
        <v>139500</v>
      </c>
      <c r="AM6" s="76">
        <f t="shared" si="17"/>
        <v>1395</v>
      </c>
      <c r="AN6" s="339">
        <v>2</v>
      </c>
      <c r="AO6" s="337">
        <v>3</v>
      </c>
      <c r="AP6" s="339">
        <v>0</v>
      </c>
      <c r="AQ6" s="337">
        <v>0</v>
      </c>
      <c r="AR6" s="71">
        <f t="shared" ref="AR6:AR24" si="33">SUM(E6,T6)</f>
        <v>16</v>
      </c>
      <c r="AS6" s="68">
        <f t="shared" si="18"/>
        <v>272000</v>
      </c>
      <c r="AT6" s="68">
        <f t="shared" si="19"/>
        <v>53950</v>
      </c>
      <c r="AU6" s="77">
        <f t="shared" si="20"/>
        <v>325950</v>
      </c>
      <c r="AV6" s="68">
        <f>AZ6+BA6+BB6</f>
        <v>0</v>
      </c>
      <c r="AW6" s="94">
        <v>18</v>
      </c>
      <c r="AX6" s="94">
        <v>150700</v>
      </c>
      <c r="AY6" s="94">
        <v>35750</v>
      </c>
      <c r="AZ6" s="95">
        <v>0</v>
      </c>
      <c r="BA6" s="95">
        <v>0</v>
      </c>
      <c r="BB6" s="95">
        <v>0</v>
      </c>
      <c r="BC6" s="95">
        <v>0</v>
      </c>
      <c r="BD6" s="96">
        <f t="shared" ref="BD6:BD31" si="34">SUM(AX6:BB6)</f>
        <v>186450</v>
      </c>
      <c r="BE6" s="51">
        <v>2</v>
      </c>
      <c r="BF6" s="80">
        <f t="shared" ref="BF6:BF31" si="35">BC6+BD6</f>
        <v>186450</v>
      </c>
      <c r="BG6" s="81">
        <f t="shared" si="21"/>
        <v>325950</v>
      </c>
      <c r="BO6" s="287">
        <f t="shared" ref="BO6:BQ35" si="36">D6</f>
        <v>5</v>
      </c>
      <c r="BP6" s="54">
        <f t="shared" si="36"/>
        <v>9</v>
      </c>
      <c r="BQ6" s="68">
        <f t="shared" si="36"/>
        <v>60500</v>
      </c>
      <c r="BR6" s="56">
        <f t="shared" si="22"/>
        <v>6111.1111111111113</v>
      </c>
      <c r="BS6" s="68">
        <f t="shared" ref="BS6:BS35" si="37">H6</f>
        <v>13420</v>
      </c>
      <c r="BT6" s="57">
        <f t="shared" si="23"/>
        <v>1355.5555555555557</v>
      </c>
      <c r="BU6" s="58">
        <f t="shared" ref="BU6:BU35" si="38">BQ6+BS6</f>
        <v>73920</v>
      </c>
      <c r="BV6" s="59">
        <f t="shared" si="24"/>
        <v>8213.3333333333339</v>
      </c>
      <c r="BW6" s="288">
        <f t="shared" ref="BW6:BX35" si="39">T6</f>
        <v>7</v>
      </c>
      <c r="BX6" s="68">
        <f t="shared" si="39"/>
        <v>82500</v>
      </c>
      <c r="BY6" s="56">
        <f t="shared" si="25"/>
        <v>10714.285714285714</v>
      </c>
      <c r="BZ6" s="68">
        <f t="shared" ref="BZ6:BZ35" si="40">W6</f>
        <v>21230</v>
      </c>
      <c r="CA6" s="57">
        <f t="shared" si="26"/>
        <v>2757.1428571428573</v>
      </c>
      <c r="CB6" s="289">
        <f t="shared" ref="CB6:CB35" si="41">BX6+BZ6</f>
        <v>103730</v>
      </c>
      <c r="CC6" s="290" t="e">
        <v>#DIV/0!</v>
      </c>
      <c r="CD6" s="291">
        <f t="shared" ref="CD6:CE35" si="42">BP6+BW6</f>
        <v>16</v>
      </c>
      <c r="CE6" s="68">
        <f t="shared" si="42"/>
        <v>143000</v>
      </c>
      <c r="CF6" s="57">
        <f t="shared" ref="CF6:CF35" si="43">ROUNDDOWN(CE6/1.1,0)/CD6</f>
        <v>8125</v>
      </c>
      <c r="CG6" s="68">
        <f t="shared" ref="CG6:CG35" si="44">BS6+BZ6</f>
        <v>34650</v>
      </c>
      <c r="CH6" s="57">
        <f t="shared" ref="CH6:CH35" si="45">ROUNDDOWN(CG6/1.1,0)/CD6</f>
        <v>1968.75</v>
      </c>
      <c r="CI6" s="292">
        <f t="shared" ref="CI6:CI35" si="46">CE6+CG6</f>
        <v>177650</v>
      </c>
      <c r="CJ6" s="293">
        <f t="shared" ref="CJ6:CJ35" si="47">IF(CD6="","",CI6/CD6)</f>
        <v>11103.125</v>
      </c>
    </row>
    <row r="7" spans="1:88" ht="13.5" customHeight="1">
      <c r="A7" s="51"/>
      <c r="B7" s="97">
        <f t="shared" si="27"/>
        <v>45964</v>
      </c>
      <c r="C7" s="84"/>
      <c r="D7" s="53">
        <v>5</v>
      </c>
      <c r="E7" s="54">
        <v>9</v>
      </c>
      <c r="F7" s="55">
        <v>59400</v>
      </c>
      <c r="G7" s="56">
        <f t="shared" si="0"/>
        <v>6000</v>
      </c>
      <c r="H7" s="55">
        <v>14300</v>
      </c>
      <c r="I7" s="57">
        <f t="shared" si="1"/>
        <v>1444.4444444444443</v>
      </c>
      <c r="J7" s="58">
        <f t="shared" si="2"/>
        <v>73700</v>
      </c>
      <c r="K7" s="59">
        <f t="shared" si="3"/>
        <v>8188.8888888888887</v>
      </c>
      <c r="L7" s="85">
        <v>1</v>
      </c>
      <c r="M7" s="86">
        <v>2</v>
      </c>
      <c r="N7" s="87">
        <v>7700</v>
      </c>
      <c r="O7" s="88">
        <f t="shared" si="4"/>
        <v>3850</v>
      </c>
      <c r="P7" s="87">
        <v>1100</v>
      </c>
      <c r="Q7" s="89">
        <f t="shared" si="5"/>
        <v>550</v>
      </c>
      <c r="R7" s="90">
        <f t="shared" ref="R7:R34" si="48">N7+P7</f>
        <v>8800</v>
      </c>
      <c r="S7" s="91">
        <f t="shared" si="7"/>
        <v>4400</v>
      </c>
      <c r="T7" s="67">
        <f t="shared" si="8"/>
        <v>8</v>
      </c>
      <c r="U7" s="68">
        <f t="shared" si="9"/>
        <v>143000</v>
      </c>
      <c r="V7" s="56">
        <f t="shared" si="10"/>
        <v>16250</v>
      </c>
      <c r="W7" s="68">
        <f t="shared" si="11"/>
        <v>33440</v>
      </c>
      <c r="X7" s="57">
        <f t="shared" si="12"/>
        <v>3800</v>
      </c>
      <c r="Y7" s="92">
        <f t="shared" si="28"/>
        <v>176440</v>
      </c>
      <c r="Z7" s="70">
        <f t="shared" si="13"/>
        <v>22055</v>
      </c>
      <c r="AA7" s="71">
        <f t="shared" si="29"/>
        <v>19</v>
      </c>
      <c r="AB7" s="68">
        <f t="shared" si="29"/>
        <v>210100</v>
      </c>
      <c r="AC7" s="68">
        <f t="shared" si="30"/>
        <v>48840</v>
      </c>
      <c r="AD7" s="72">
        <f t="shared" ref="AD7:AD34" si="49">J7+Y7+R7</f>
        <v>258940</v>
      </c>
      <c r="AE7" s="68">
        <f t="shared" si="31"/>
        <v>13628.421052631578</v>
      </c>
      <c r="AF7" s="73">
        <v>86</v>
      </c>
      <c r="AG7" s="74">
        <v>92</v>
      </c>
      <c r="AH7" s="55">
        <v>172250</v>
      </c>
      <c r="AI7" s="56">
        <f t="shared" si="15"/>
        <v>1872.2826086956522</v>
      </c>
      <c r="AJ7" s="55">
        <v>13800</v>
      </c>
      <c r="AK7" s="57">
        <f t="shared" si="16"/>
        <v>150</v>
      </c>
      <c r="AL7" s="93">
        <f t="shared" si="32"/>
        <v>186050</v>
      </c>
      <c r="AM7" s="76">
        <f t="shared" si="17"/>
        <v>2022.2826086956522</v>
      </c>
      <c r="AN7" s="339">
        <v>2</v>
      </c>
      <c r="AO7" s="337">
        <v>2</v>
      </c>
      <c r="AP7" s="339">
        <v>1</v>
      </c>
      <c r="AQ7" s="337">
        <v>2</v>
      </c>
      <c r="AR7" s="71">
        <f t="shared" si="33"/>
        <v>17</v>
      </c>
      <c r="AS7" s="68">
        <f t="shared" si="18"/>
        <v>382350</v>
      </c>
      <c r="AT7" s="68">
        <f t="shared" si="19"/>
        <v>62640</v>
      </c>
      <c r="AU7" s="77">
        <f t="shared" si="20"/>
        <v>444990</v>
      </c>
      <c r="AV7" s="68">
        <f t="shared" ref="AV7:AV31" si="50">AZ7+BA7+BB7</f>
        <v>4400</v>
      </c>
      <c r="AW7" s="94">
        <v>19</v>
      </c>
      <c r="AX7" s="94">
        <v>210100</v>
      </c>
      <c r="AY7" s="94">
        <v>48840</v>
      </c>
      <c r="AZ7" s="95">
        <v>4400</v>
      </c>
      <c r="BA7" s="95">
        <v>0</v>
      </c>
      <c r="BB7" s="95">
        <v>0</v>
      </c>
      <c r="BC7" s="95">
        <v>0</v>
      </c>
      <c r="BD7" s="96">
        <f t="shared" si="34"/>
        <v>263340</v>
      </c>
      <c r="BE7" s="51">
        <v>3</v>
      </c>
      <c r="BF7" s="80">
        <f t="shared" si="35"/>
        <v>263340</v>
      </c>
      <c r="BG7" s="81">
        <f t="shared" si="21"/>
        <v>449390</v>
      </c>
      <c r="BO7" s="287">
        <f t="shared" si="36"/>
        <v>5</v>
      </c>
      <c r="BP7" s="54">
        <f t="shared" si="36"/>
        <v>9</v>
      </c>
      <c r="BQ7" s="68">
        <f t="shared" si="36"/>
        <v>59400</v>
      </c>
      <c r="BR7" s="56">
        <f t="shared" si="22"/>
        <v>6000</v>
      </c>
      <c r="BS7" s="68">
        <f t="shared" si="37"/>
        <v>14300</v>
      </c>
      <c r="BT7" s="57">
        <f t="shared" si="23"/>
        <v>1444.4444444444443</v>
      </c>
      <c r="BU7" s="58">
        <f t="shared" si="38"/>
        <v>73700</v>
      </c>
      <c r="BV7" s="59">
        <f t="shared" si="24"/>
        <v>8188.8888888888887</v>
      </c>
      <c r="BW7" s="288">
        <f t="shared" si="39"/>
        <v>8</v>
      </c>
      <c r="BX7" s="68">
        <f t="shared" si="39"/>
        <v>143000</v>
      </c>
      <c r="BY7" s="56">
        <f t="shared" si="25"/>
        <v>16250</v>
      </c>
      <c r="BZ7" s="68">
        <f t="shared" si="40"/>
        <v>33440</v>
      </c>
      <c r="CA7" s="57">
        <f t="shared" si="26"/>
        <v>3800</v>
      </c>
      <c r="CB7" s="289">
        <f t="shared" si="41"/>
        <v>176440</v>
      </c>
      <c r="CC7" s="290" t="e">
        <v>#DIV/0!</v>
      </c>
      <c r="CD7" s="291">
        <f>BP7+BW7</f>
        <v>17</v>
      </c>
      <c r="CE7" s="68">
        <f t="shared" si="42"/>
        <v>202400</v>
      </c>
      <c r="CF7" s="57">
        <f t="shared" si="43"/>
        <v>10823.529411764706</v>
      </c>
      <c r="CG7" s="68">
        <f t="shared" si="44"/>
        <v>47740</v>
      </c>
      <c r="CH7" s="57">
        <f t="shared" si="45"/>
        <v>2552.9411764705883</v>
      </c>
      <c r="CI7" s="292">
        <f t="shared" si="46"/>
        <v>250140</v>
      </c>
      <c r="CJ7" s="293">
        <f t="shared" si="47"/>
        <v>14714.117647058823</v>
      </c>
    </row>
    <row r="8" spans="1:88" ht="13.5" customHeight="1">
      <c r="A8" s="51"/>
      <c r="B8" s="83">
        <f t="shared" si="27"/>
        <v>45965</v>
      </c>
      <c r="C8" s="84"/>
      <c r="D8" s="53">
        <v>7</v>
      </c>
      <c r="E8" s="54">
        <v>20</v>
      </c>
      <c r="F8" s="55">
        <v>142500</v>
      </c>
      <c r="G8" s="56">
        <f t="shared" si="0"/>
        <v>6477.25</v>
      </c>
      <c r="H8" s="55">
        <v>40040</v>
      </c>
      <c r="I8" s="57">
        <f t="shared" si="1"/>
        <v>1820</v>
      </c>
      <c r="J8" s="58">
        <f t="shared" si="2"/>
        <v>182540</v>
      </c>
      <c r="K8" s="59">
        <f t="shared" si="3"/>
        <v>9127</v>
      </c>
      <c r="L8" s="85"/>
      <c r="M8" s="86"/>
      <c r="N8" s="87"/>
      <c r="O8" s="88" t="e">
        <f t="shared" si="4"/>
        <v>#DIV/0!</v>
      </c>
      <c r="P8" s="87"/>
      <c r="Q8" s="89" t="e">
        <f t="shared" si="5"/>
        <v>#DIV/0!</v>
      </c>
      <c r="R8" s="90">
        <f t="shared" si="48"/>
        <v>0</v>
      </c>
      <c r="S8" s="91" t="str">
        <f t="shared" si="7"/>
        <v/>
      </c>
      <c r="T8" s="67">
        <f t="shared" si="8"/>
        <v>8</v>
      </c>
      <c r="U8" s="68">
        <f t="shared" si="9"/>
        <v>137500</v>
      </c>
      <c r="V8" s="56">
        <f t="shared" si="10"/>
        <v>15625</v>
      </c>
      <c r="W8" s="68">
        <f t="shared" si="11"/>
        <v>63360</v>
      </c>
      <c r="X8" s="57">
        <f t="shared" si="12"/>
        <v>7200</v>
      </c>
      <c r="Y8" s="92">
        <f t="shared" si="28"/>
        <v>200860</v>
      </c>
      <c r="Z8" s="70">
        <f t="shared" si="13"/>
        <v>25107.5</v>
      </c>
      <c r="AA8" s="71">
        <f t="shared" si="29"/>
        <v>28</v>
      </c>
      <c r="AB8" s="68">
        <f t="shared" si="29"/>
        <v>280000</v>
      </c>
      <c r="AC8" s="68">
        <f t="shared" si="30"/>
        <v>103400</v>
      </c>
      <c r="AD8" s="72">
        <f t="shared" si="49"/>
        <v>383400</v>
      </c>
      <c r="AE8" s="68">
        <f t="shared" si="31"/>
        <v>13692.857142857143</v>
      </c>
      <c r="AF8" s="73">
        <v>45</v>
      </c>
      <c r="AG8" s="74">
        <v>46</v>
      </c>
      <c r="AH8" s="55">
        <v>61830</v>
      </c>
      <c r="AI8" s="56">
        <f t="shared" si="15"/>
        <v>1344.1304347826087</v>
      </c>
      <c r="AJ8" s="55">
        <v>5700</v>
      </c>
      <c r="AK8" s="57">
        <f t="shared" si="16"/>
        <v>123.91304347826087</v>
      </c>
      <c r="AL8" s="93">
        <f t="shared" si="32"/>
        <v>67530</v>
      </c>
      <c r="AM8" s="76">
        <f t="shared" si="17"/>
        <v>1468.0434782608695</v>
      </c>
      <c r="AN8" s="339">
        <v>2</v>
      </c>
      <c r="AO8" s="337">
        <v>3</v>
      </c>
      <c r="AP8" s="339">
        <v>0</v>
      </c>
      <c r="AQ8" s="337">
        <v>0</v>
      </c>
      <c r="AR8" s="71">
        <f t="shared" si="33"/>
        <v>28</v>
      </c>
      <c r="AS8" s="68">
        <f t="shared" si="18"/>
        <v>341830</v>
      </c>
      <c r="AT8" s="68">
        <f t="shared" si="19"/>
        <v>109100</v>
      </c>
      <c r="AU8" s="98">
        <f t="shared" si="20"/>
        <v>450930</v>
      </c>
      <c r="AV8" s="68">
        <f t="shared" si="50"/>
        <v>6600</v>
      </c>
      <c r="AW8" s="94">
        <v>28</v>
      </c>
      <c r="AX8" s="94">
        <v>280000</v>
      </c>
      <c r="AY8" s="94">
        <v>103400</v>
      </c>
      <c r="AZ8" s="95">
        <v>6600</v>
      </c>
      <c r="BA8" s="95">
        <v>0</v>
      </c>
      <c r="BB8" s="95">
        <v>0</v>
      </c>
      <c r="BC8" s="95">
        <v>0</v>
      </c>
      <c r="BD8" s="96">
        <f t="shared" si="34"/>
        <v>390000</v>
      </c>
      <c r="BE8" s="51">
        <v>4</v>
      </c>
      <c r="BF8" s="80">
        <f>BC8+BD8</f>
        <v>390000</v>
      </c>
      <c r="BG8" s="81">
        <f t="shared" si="21"/>
        <v>457530</v>
      </c>
      <c r="BO8" s="287">
        <f t="shared" si="36"/>
        <v>7</v>
      </c>
      <c r="BP8" s="54">
        <f t="shared" si="36"/>
        <v>20</v>
      </c>
      <c r="BQ8" s="68">
        <f t="shared" si="36"/>
        <v>142500</v>
      </c>
      <c r="BR8" s="56">
        <f t="shared" si="22"/>
        <v>6477.25</v>
      </c>
      <c r="BS8" s="68">
        <f t="shared" si="37"/>
        <v>40040</v>
      </c>
      <c r="BT8" s="57">
        <f t="shared" si="23"/>
        <v>1820</v>
      </c>
      <c r="BU8" s="58">
        <f t="shared" si="38"/>
        <v>182540</v>
      </c>
      <c r="BV8" s="59">
        <f t="shared" si="24"/>
        <v>9127</v>
      </c>
      <c r="BW8" s="288">
        <f t="shared" si="39"/>
        <v>8</v>
      </c>
      <c r="BX8" s="68">
        <f t="shared" si="39"/>
        <v>137500</v>
      </c>
      <c r="BY8" s="56">
        <f t="shared" si="25"/>
        <v>15625</v>
      </c>
      <c r="BZ8" s="68">
        <f t="shared" si="40"/>
        <v>63360</v>
      </c>
      <c r="CA8" s="57">
        <f t="shared" si="26"/>
        <v>7200</v>
      </c>
      <c r="CB8" s="289">
        <f t="shared" si="41"/>
        <v>200860</v>
      </c>
      <c r="CC8" s="290" t="e">
        <v>#DIV/0!</v>
      </c>
      <c r="CD8" s="291">
        <f t="shared" si="42"/>
        <v>28</v>
      </c>
      <c r="CE8" s="68">
        <f t="shared" si="42"/>
        <v>280000</v>
      </c>
      <c r="CF8" s="57">
        <f t="shared" si="43"/>
        <v>9090.8928571428569</v>
      </c>
      <c r="CG8" s="68">
        <f t="shared" si="44"/>
        <v>103400</v>
      </c>
      <c r="CH8" s="57">
        <f t="shared" si="45"/>
        <v>3357.1428571428573</v>
      </c>
      <c r="CI8" s="292">
        <f t="shared" si="46"/>
        <v>383400</v>
      </c>
      <c r="CJ8" s="293">
        <f t="shared" si="47"/>
        <v>13692.857142857143</v>
      </c>
    </row>
    <row r="9" spans="1:88" ht="13.5" customHeight="1">
      <c r="A9" s="51"/>
      <c r="B9" s="83">
        <f t="shared" si="27"/>
        <v>45966</v>
      </c>
      <c r="C9" s="84"/>
      <c r="D9" s="53">
        <v>1</v>
      </c>
      <c r="E9" s="54">
        <v>2</v>
      </c>
      <c r="F9" s="55">
        <v>8800</v>
      </c>
      <c r="G9" s="56">
        <f t="shared" si="0"/>
        <v>4000</v>
      </c>
      <c r="H9" s="55">
        <v>1980</v>
      </c>
      <c r="I9" s="57">
        <f t="shared" si="1"/>
        <v>900</v>
      </c>
      <c r="J9" s="58">
        <f t="shared" si="2"/>
        <v>10780</v>
      </c>
      <c r="K9" s="59">
        <f t="shared" si="3"/>
        <v>5390</v>
      </c>
      <c r="L9" s="85"/>
      <c r="M9" s="86"/>
      <c r="N9" s="87"/>
      <c r="O9" s="88" t="e">
        <f t="shared" si="4"/>
        <v>#DIV/0!</v>
      </c>
      <c r="P9" s="87"/>
      <c r="Q9" s="89" t="e">
        <f t="shared" si="5"/>
        <v>#DIV/0!</v>
      </c>
      <c r="R9" s="90">
        <f t="shared" si="48"/>
        <v>0</v>
      </c>
      <c r="S9" s="91" t="str">
        <f t="shared" si="7"/>
        <v/>
      </c>
      <c r="T9" s="67">
        <f t="shared" si="8"/>
        <v>6</v>
      </c>
      <c r="U9" s="68">
        <f t="shared" si="9"/>
        <v>110000</v>
      </c>
      <c r="V9" s="56">
        <f t="shared" si="10"/>
        <v>16666.666666666668</v>
      </c>
      <c r="W9" s="68">
        <f t="shared" si="11"/>
        <v>36960</v>
      </c>
      <c r="X9" s="57">
        <f t="shared" si="12"/>
        <v>5600</v>
      </c>
      <c r="Y9" s="92">
        <f t="shared" si="28"/>
        <v>146960</v>
      </c>
      <c r="Z9" s="70">
        <f t="shared" si="13"/>
        <v>24493.333333333332</v>
      </c>
      <c r="AA9" s="71">
        <f t="shared" si="29"/>
        <v>8</v>
      </c>
      <c r="AB9" s="68">
        <f t="shared" si="29"/>
        <v>118800</v>
      </c>
      <c r="AC9" s="68">
        <f t="shared" si="30"/>
        <v>38940</v>
      </c>
      <c r="AD9" s="72">
        <f t="shared" si="49"/>
        <v>157740</v>
      </c>
      <c r="AE9" s="68">
        <f t="shared" si="31"/>
        <v>19717.5</v>
      </c>
      <c r="AF9" s="73">
        <v>53</v>
      </c>
      <c r="AG9" s="74">
        <v>55</v>
      </c>
      <c r="AH9" s="55">
        <v>79000</v>
      </c>
      <c r="AI9" s="56">
        <f t="shared" si="15"/>
        <v>1436.3636363636363</v>
      </c>
      <c r="AJ9" s="55">
        <v>8000</v>
      </c>
      <c r="AK9" s="57">
        <f t="shared" si="16"/>
        <v>145.45454545454547</v>
      </c>
      <c r="AL9" s="93">
        <f t="shared" si="32"/>
        <v>87000</v>
      </c>
      <c r="AM9" s="76">
        <f t="shared" si="17"/>
        <v>1581.8181818181818</v>
      </c>
      <c r="AN9" s="339">
        <v>1</v>
      </c>
      <c r="AO9" s="337">
        <v>2</v>
      </c>
      <c r="AP9" s="339">
        <v>1</v>
      </c>
      <c r="AQ9" s="337">
        <v>1</v>
      </c>
      <c r="AR9" s="71">
        <f t="shared" si="33"/>
        <v>8</v>
      </c>
      <c r="AS9" s="68">
        <f t="shared" si="18"/>
        <v>197800</v>
      </c>
      <c r="AT9" s="68">
        <f t="shared" si="19"/>
        <v>46940</v>
      </c>
      <c r="AU9" s="77">
        <f t="shared" si="20"/>
        <v>244740</v>
      </c>
      <c r="AV9" s="68">
        <f t="shared" si="50"/>
        <v>4400</v>
      </c>
      <c r="AW9" s="94">
        <v>8</v>
      </c>
      <c r="AX9" s="94">
        <v>118800</v>
      </c>
      <c r="AY9" s="94">
        <v>38940</v>
      </c>
      <c r="AZ9" s="95">
        <v>4400</v>
      </c>
      <c r="BA9" s="95">
        <v>0</v>
      </c>
      <c r="BB9" s="95">
        <v>0</v>
      </c>
      <c r="BC9" s="95">
        <v>0</v>
      </c>
      <c r="BD9" s="96">
        <f t="shared" si="34"/>
        <v>162140</v>
      </c>
      <c r="BE9" s="51">
        <v>5</v>
      </c>
      <c r="BF9" s="80">
        <f t="shared" si="35"/>
        <v>162140</v>
      </c>
      <c r="BG9" s="81">
        <f t="shared" si="21"/>
        <v>249140</v>
      </c>
      <c r="BO9" s="287">
        <f t="shared" si="36"/>
        <v>1</v>
      </c>
      <c r="BP9" s="54">
        <f t="shared" si="36"/>
        <v>2</v>
      </c>
      <c r="BQ9" s="68">
        <f t="shared" si="36"/>
        <v>8800</v>
      </c>
      <c r="BR9" s="56">
        <f t="shared" si="22"/>
        <v>4000</v>
      </c>
      <c r="BS9" s="68">
        <f t="shared" si="37"/>
        <v>1980</v>
      </c>
      <c r="BT9" s="57">
        <f t="shared" si="23"/>
        <v>900</v>
      </c>
      <c r="BU9" s="58">
        <f t="shared" si="38"/>
        <v>10780</v>
      </c>
      <c r="BV9" s="59">
        <f t="shared" si="24"/>
        <v>5390</v>
      </c>
      <c r="BW9" s="288">
        <f t="shared" si="39"/>
        <v>6</v>
      </c>
      <c r="BX9" s="68">
        <f t="shared" si="39"/>
        <v>110000</v>
      </c>
      <c r="BY9" s="56">
        <f t="shared" si="25"/>
        <v>16666.666666666668</v>
      </c>
      <c r="BZ9" s="68">
        <f t="shared" si="40"/>
        <v>36960</v>
      </c>
      <c r="CA9" s="57">
        <f t="shared" si="26"/>
        <v>5600</v>
      </c>
      <c r="CB9" s="289">
        <f t="shared" si="41"/>
        <v>146960</v>
      </c>
      <c r="CC9" s="290" t="e">
        <v>#DIV/0!</v>
      </c>
      <c r="CD9" s="291">
        <f t="shared" si="42"/>
        <v>8</v>
      </c>
      <c r="CE9" s="68">
        <f t="shared" si="42"/>
        <v>118800</v>
      </c>
      <c r="CF9" s="57">
        <f t="shared" si="43"/>
        <v>13500</v>
      </c>
      <c r="CG9" s="68">
        <f t="shared" si="44"/>
        <v>38940</v>
      </c>
      <c r="CH9" s="57">
        <f t="shared" si="45"/>
        <v>4425</v>
      </c>
      <c r="CI9" s="292">
        <f t="shared" si="46"/>
        <v>157740</v>
      </c>
      <c r="CJ9" s="293">
        <f t="shared" si="47"/>
        <v>19717.5</v>
      </c>
    </row>
    <row r="10" spans="1:88" ht="13.5" customHeight="1">
      <c r="A10" s="51"/>
      <c r="B10" s="83">
        <f t="shared" si="27"/>
        <v>45967</v>
      </c>
      <c r="C10" s="84"/>
      <c r="D10" s="53">
        <v>3</v>
      </c>
      <c r="E10" s="54">
        <v>5</v>
      </c>
      <c r="F10" s="55">
        <v>27600</v>
      </c>
      <c r="G10" s="56">
        <f t="shared" si="0"/>
        <v>5018</v>
      </c>
      <c r="H10" s="55">
        <v>6280</v>
      </c>
      <c r="I10" s="57">
        <f t="shared" si="1"/>
        <v>1141.8</v>
      </c>
      <c r="J10" s="58">
        <f t="shared" si="2"/>
        <v>33880</v>
      </c>
      <c r="K10" s="59">
        <f t="shared" si="3"/>
        <v>6776</v>
      </c>
      <c r="L10" s="85"/>
      <c r="M10" s="86"/>
      <c r="N10" s="87"/>
      <c r="O10" s="88" t="e">
        <f t="shared" si="4"/>
        <v>#DIV/0!</v>
      </c>
      <c r="P10" s="87"/>
      <c r="Q10" s="89" t="e">
        <f t="shared" si="5"/>
        <v>#DIV/0!</v>
      </c>
      <c r="R10" s="90">
        <f t="shared" si="48"/>
        <v>0</v>
      </c>
      <c r="S10" s="91" t="str">
        <f t="shared" si="7"/>
        <v/>
      </c>
      <c r="T10" s="67">
        <f t="shared" si="8"/>
        <v>0</v>
      </c>
      <c r="U10" s="68">
        <f t="shared" si="9"/>
        <v>0</v>
      </c>
      <c r="V10" s="56" t="e">
        <f t="shared" si="10"/>
        <v>#DIV/0!</v>
      </c>
      <c r="W10" s="68">
        <f t="shared" si="11"/>
        <v>0</v>
      </c>
      <c r="X10" s="57" t="e">
        <f t="shared" si="12"/>
        <v>#DIV/0!</v>
      </c>
      <c r="Y10" s="92">
        <f t="shared" si="28"/>
        <v>0</v>
      </c>
      <c r="Z10" s="70" t="e">
        <f t="shared" si="13"/>
        <v>#DIV/0!</v>
      </c>
      <c r="AA10" s="71">
        <f t="shared" si="29"/>
        <v>5</v>
      </c>
      <c r="AB10" s="68">
        <f t="shared" si="29"/>
        <v>27600</v>
      </c>
      <c r="AC10" s="68">
        <f t="shared" si="30"/>
        <v>6280</v>
      </c>
      <c r="AD10" s="72">
        <f t="shared" si="49"/>
        <v>33880</v>
      </c>
      <c r="AE10" s="68">
        <f t="shared" si="31"/>
        <v>6776</v>
      </c>
      <c r="AF10" s="73">
        <v>52</v>
      </c>
      <c r="AG10" s="74">
        <v>52</v>
      </c>
      <c r="AH10" s="55">
        <v>60450</v>
      </c>
      <c r="AI10" s="56">
        <f t="shared" si="15"/>
        <v>1162.5</v>
      </c>
      <c r="AJ10" s="55">
        <v>7400</v>
      </c>
      <c r="AK10" s="57">
        <f t="shared" si="16"/>
        <v>142.30769230769232</v>
      </c>
      <c r="AL10" s="93">
        <f t="shared" si="32"/>
        <v>67850</v>
      </c>
      <c r="AM10" s="76">
        <f t="shared" si="17"/>
        <v>1304.8076923076924</v>
      </c>
      <c r="AN10" s="339">
        <v>0</v>
      </c>
      <c r="AO10" s="337">
        <v>0</v>
      </c>
      <c r="AP10" s="339">
        <v>0</v>
      </c>
      <c r="AQ10" s="337">
        <v>0</v>
      </c>
      <c r="AR10" s="99">
        <f t="shared" si="33"/>
        <v>5</v>
      </c>
      <c r="AS10" s="68">
        <f t="shared" si="18"/>
        <v>88050</v>
      </c>
      <c r="AT10" s="68">
        <f t="shared" si="19"/>
        <v>13680</v>
      </c>
      <c r="AU10" s="77">
        <f t="shared" si="20"/>
        <v>101730</v>
      </c>
      <c r="AV10" s="68">
        <f t="shared" si="50"/>
        <v>0</v>
      </c>
      <c r="AW10" s="94">
        <v>5</v>
      </c>
      <c r="AX10" s="94">
        <v>27600</v>
      </c>
      <c r="AY10" s="94">
        <v>6280</v>
      </c>
      <c r="AZ10" s="95">
        <v>0</v>
      </c>
      <c r="BA10" s="95">
        <v>0</v>
      </c>
      <c r="BB10" s="95">
        <v>0</v>
      </c>
      <c r="BC10" s="95">
        <v>0</v>
      </c>
      <c r="BD10" s="96">
        <f>SUM(AX10:BB10)</f>
        <v>33880</v>
      </c>
      <c r="BE10" s="51">
        <v>6</v>
      </c>
      <c r="BF10" s="80">
        <f t="shared" si="35"/>
        <v>33880</v>
      </c>
      <c r="BG10" s="81">
        <f t="shared" si="21"/>
        <v>101730</v>
      </c>
      <c r="BO10" s="287">
        <f t="shared" si="36"/>
        <v>3</v>
      </c>
      <c r="BP10" s="54">
        <f t="shared" si="36"/>
        <v>5</v>
      </c>
      <c r="BQ10" s="68">
        <f t="shared" si="36"/>
        <v>27600</v>
      </c>
      <c r="BR10" s="56">
        <f t="shared" si="22"/>
        <v>5018</v>
      </c>
      <c r="BS10" s="68">
        <f t="shared" si="37"/>
        <v>6280</v>
      </c>
      <c r="BT10" s="57">
        <f t="shared" si="23"/>
        <v>1141.8</v>
      </c>
      <c r="BU10" s="58">
        <f t="shared" si="38"/>
        <v>33880</v>
      </c>
      <c r="BV10" s="59">
        <f t="shared" si="24"/>
        <v>6776</v>
      </c>
      <c r="BW10" s="288">
        <f t="shared" si="39"/>
        <v>0</v>
      </c>
      <c r="BX10" s="68">
        <f t="shared" si="39"/>
        <v>0</v>
      </c>
      <c r="BY10" s="56" t="e">
        <f t="shared" si="25"/>
        <v>#DIV/0!</v>
      </c>
      <c r="BZ10" s="68">
        <f t="shared" si="40"/>
        <v>0</v>
      </c>
      <c r="CA10" s="57" t="e">
        <f t="shared" si="26"/>
        <v>#DIV/0!</v>
      </c>
      <c r="CB10" s="289">
        <f t="shared" si="41"/>
        <v>0</v>
      </c>
      <c r="CC10" s="290" t="e">
        <v>#DIV/0!</v>
      </c>
      <c r="CD10" s="291">
        <f t="shared" si="42"/>
        <v>5</v>
      </c>
      <c r="CE10" s="68">
        <f t="shared" si="42"/>
        <v>27600</v>
      </c>
      <c r="CF10" s="57">
        <f t="shared" si="43"/>
        <v>5018</v>
      </c>
      <c r="CG10" s="68">
        <f t="shared" si="44"/>
        <v>6280</v>
      </c>
      <c r="CH10" s="57">
        <f t="shared" si="45"/>
        <v>1141.8</v>
      </c>
      <c r="CI10" s="292">
        <f t="shared" si="46"/>
        <v>33880</v>
      </c>
      <c r="CJ10" s="293">
        <f t="shared" si="47"/>
        <v>6776</v>
      </c>
    </row>
    <row r="11" spans="1:88" ht="13.5" customHeight="1">
      <c r="A11" s="51"/>
      <c r="B11" s="83">
        <f t="shared" si="27"/>
        <v>45968</v>
      </c>
      <c r="C11" s="84"/>
      <c r="D11" s="53">
        <v>1</v>
      </c>
      <c r="E11" s="54">
        <v>2</v>
      </c>
      <c r="F11" s="55">
        <v>11000</v>
      </c>
      <c r="G11" s="56">
        <f t="shared" si="0"/>
        <v>5000</v>
      </c>
      <c r="H11" s="55">
        <v>3960</v>
      </c>
      <c r="I11" s="57">
        <f t="shared" si="1"/>
        <v>1800</v>
      </c>
      <c r="J11" s="58">
        <f t="shared" si="2"/>
        <v>14960</v>
      </c>
      <c r="K11" s="59">
        <f t="shared" si="3"/>
        <v>7480</v>
      </c>
      <c r="L11" s="85"/>
      <c r="M11" s="86"/>
      <c r="N11" s="87"/>
      <c r="O11" s="88" t="e">
        <f t="shared" si="4"/>
        <v>#DIV/0!</v>
      </c>
      <c r="P11" s="87"/>
      <c r="Q11" s="89" t="e">
        <f t="shared" si="5"/>
        <v>#DIV/0!</v>
      </c>
      <c r="R11" s="90">
        <f t="shared" si="48"/>
        <v>0</v>
      </c>
      <c r="S11" s="91" t="str">
        <f t="shared" si="7"/>
        <v/>
      </c>
      <c r="T11" s="67">
        <f t="shared" si="8"/>
        <v>9</v>
      </c>
      <c r="U11" s="68">
        <f t="shared" si="9"/>
        <v>113410</v>
      </c>
      <c r="V11" s="56">
        <f t="shared" si="10"/>
        <v>11455.555555555555</v>
      </c>
      <c r="W11" s="68">
        <f t="shared" si="11"/>
        <v>11550</v>
      </c>
      <c r="X11" s="57">
        <f t="shared" si="12"/>
        <v>1166.6666666666667</v>
      </c>
      <c r="Y11" s="92">
        <f t="shared" si="28"/>
        <v>124960</v>
      </c>
      <c r="Z11" s="70">
        <f t="shared" si="13"/>
        <v>13884.444444444445</v>
      </c>
      <c r="AA11" s="71">
        <f t="shared" si="29"/>
        <v>11</v>
      </c>
      <c r="AB11" s="68">
        <f t="shared" si="29"/>
        <v>124410</v>
      </c>
      <c r="AC11" s="68">
        <f t="shared" si="30"/>
        <v>15510</v>
      </c>
      <c r="AD11" s="72">
        <f t="shared" si="49"/>
        <v>139920</v>
      </c>
      <c r="AE11" s="68">
        <f t="shared" si="31"/>
        <v>12720</v>
      </c>
      <c r="AF11" s="73">
        <v>116</v>
      </c>
      <c r="AG11" s="74">
        <v>116</v>
      </c>
      <c r="AH11" s="55">
        <v>78330</v>
      </c>
      <c r="AI11" s="56">
        <f t="shared" si="15"/>
        <v>675.25862068965512</v>
      </c>
      <c r="AJ11" s="55">
        <v>39500</v>
      </c>
      <c r="AK11" s="57">
        <f t="shared" si="16"/>
        <v>340.51724137931035</v>
      </c>
      <c r="AL11" s="93">
        <f t="shared" si="32"/>
        <v>117830</v>
      </c>
      <c r="AM11" s="76">
        <f t="shared" si="17"/>
        <v>1015.7758620689655</v>
      </c>
      <c r="AN11" s="339">
        <v>0</v>
      </c>
      <c r="AO11" s="337">
        <v>0</v>
      </c>
      <c r="AP11" s="339">
        <v>0</v>
      </c>
      <c r="AQ11" s="337">
        <v>0</v>
      </c>
      <c r="AR11" s="99">
        <f t="shared" si="33"/>
        <v>11</v>
      </c>
      <c r="AS11" s="68">
        <f t="shared" si="18"/>
        <v>202740</v>
      </c>
      <c r="AT11" s="68">
        <f t="shared" si="19"/>
        <v>55010</v>
      </c>
      <c r="AU11" s="77">
        <f t="shared" si="20"/>
        <v>257750</v>
      </c>
      <c r="AV11" s="68">
        <f t="shared" si="50"/>
        <v>0</v>
      </c>
      <c r="AW11" s="94">
        <v>11</v>
      </c>
      <c r="AX11" s="94">
        <v>124410</v>
      </c>
      <c r="AY11" s="94">
        <v>15510</v>
      </c>
      <c r="AZ11" s="95">
        <v>0</v>
      </c>
      <c r="BA11" s="95">
        <v>0</v>
      </c>
      <c r="BB11" s="95">
        <v>0</v>
      </c>
      <c r="BC11" s="95">
        <v>0</v>
      </c>
      <c r="BD11" s="96">
        <f t="shared" si="34"/>
        <v>139920</v>
      </c>
      <c r="BE11" s="51">
        <v>7</v>
      </c>
      <c r="BF11" s="80">
        <f t="shared" si="35"/>
        <v>139920</v>
      </c>
      <c r="BG11" s="81">
        <f t="shared" si="21"/>
        <v>257750</v>
      </c>
      <c r="BO11" s="287">
        <f t="shared" si="36"/>
        <v>1</v>
      </c>
      <c r="BP11" s="54">
        <f t="shared" si="36"/>
        <v>2</v>
      </c>
      <c r="BQ11" s="68">
        <f t="shared" si="36"/>
        <v>11000</v>
      </c>
      <c r="BR11" s="56">
        <f t="shared" si="22"/>
        <v>5000</v>
      </c>
      <c r="BS11" s="68">
        <f t="shared" si="37"/>
        <v>3960</v>
      </c>
      <c r="BT11" s="57">
        <f t="shared" si="23"/>
        <v>1800</v>
      </c>
      <c r="BU11" s="58">
        <f t="shared" si="38"/>
        <v>14960</v>
      </c>
      <c r="BV11" s="59">
        <f t="shared" si="24"/>
        <v>7480</v>
      </c>
      <c r="BW11" s="288">
        <f t="shared" si="39"/>
        <v>9</v>
      </c>
      <c r="BX11" s="68">
        <f t="shared" si="39"/>
        <v>113410</v>
      </c>
      <c r="BY11" s="56">
        <f t="shared" si="25"/>
        <v>11455.555555555555</v>
      </c>
      <c r="BZ11" s="68">
        <f t="shared" si="40"/>
        <v>11550</v>
      </c>
      <c r="CA11" s="57">
        <f t="shared" si="26"/>
        <v>1166.6666666666667</v>
      </c>
      <c r="CB11" s="289">
        <f t="shared" si="41"/>
        <v>124960</v>
      </c>
      <c r="CC11" s="290" t="e">
        <v>#DIV/0!</v>
      </c>
      <c r="CD11" s="291">
        <f t="shared" si="42"/>
        <v>11</v>
      </c>
      <c r="CE11" s="68">
        <f t="shared" si="42"/>
        <v>124410</v>
      </c>
      <c r="CF11" s="57">
        <f t="shared" si="43"/>
        <v>10281.818181818182</v>
      </c>
      <c r="CG11" s="68">
        <f t="shared" si="44"/>
        <v>15510</v>
      </c>
      <c r="CH11" s="57">
        <f t="shared" si="45"/>
        <v>1281.8181818181818</v>
      </c>
      <c r="CI11" s="292">
        <f t="shared" si="46"/>
        <v>139920</v>
      </c>
      <c r="CJ11" s="293">
        <f t="shared" si="47"/>
        <v>12720</v>
      </c>
    </row>
    <row r="12" spans="1:88" ht="13.5" customHeight="1">
      <c r="A12" s="51"/>
      <c r="B12" s="338">
        <f t="shared" si="27"/>
        <v>45969</v>
      </c>
      <c r="C12" s="84"/>
      <c r="D12" s="53">
        <v>5</v>
      </c>
      <c r="E12" s="54">
        <v>17</v>
      </c>
      <c r="F12" s="55">
        <v>93500</v>
      </c>
      <c r="G12" s="56">
        <f t="shared" si="0"/>
        <v>5000</v>
      </c>
      <c r="H12" s="55">
        <v>22550</v>
      </c>
      <c r="I12" s="57">
        <f t="shared" si="1"/>
        <v>1205.8823529411766</v>
      </c>
      <c r="J12" s="58">
        <f t="shared" si="2"/>
        <v>116050</v>
      </c>
      <c r="K12" s="59">
        <f t="shared" si="3"/>
        <v>6826.4705882352937</v>
      </c>
      <c r="L12" s="85">
        <v>1</v>
      </c>
      <c r="M12" s="86">
        <v>2</v>
      </c>
      <c r="N12" s="87">
        <v>7700</v>
      </c>
      <c r="O12" s="88">
        <f t="shared" si="4"/>
        <v>3850</v>
      </c>
      <c r="P12" s="87">
        <v>1100</v>
      </c>
      <c r="Q12" s="89">
        <f t="shared" si="5"/>
        <v>550</v>
      </c>
      <c r="R12" s="90">
        <f t="shared" si="48"/>
        <v>8800</v>
      </c>
      <c r="S12" s="91">
        <f t="shared" si="7"/>
        <v>4400</v>
      </c>
      <c r="T12" s="67">
        <f t="shared" si="8"/>
        <v>8</v>
      </c>
      <c r="U12" s="68">
        <f t="shared" si="9"/>
        <v>118000</v>
      </c>
      <c r="V12" s="56">
        <f t="shared" si="10"/>
        <v>13409</v>
      </c>
      <c r="W12" s="68">
        <f t="shared" si="11"/>
        <v>72270</v>
      </c>
      <c r="X12" s="100">
        <f t="shared" si="12"/>
        <v>8212.5</v>
      </c>
      <c r="Y12" s="92">
        <f t="shared" si="28"/>
        <v>190270</v>
      </c>
      <c r="Z12" s="70">
        <f t="shared" si="13"/>
        <v>23783.75</v>
      </c>
      <c r="AA12" s="71">
        <f t="shared" si="29"/>
        <v>27</v>
      </c>
      <c r="AB12" s="68">
        <f t="shared" si="29"/>
        <v>219200</v>
      </c>
      <c r="AC12" s="68">
        <f t="shared" si="30"/>
        <v>95920</v>
      </c>
      <c r="AD12" s="72">
        <f t="shared" si="49"/>
        <v>315120</v>
      </c>
      <c r="AE12" s="68">
        <f t="shared" si="31"/>
        <v>11671.111111111111</v>
      </c>
      <c r="AF12" s="73">
        <v>75</v>
      </c>
      <c r="AG12" s="74">
        <v>82</v>
      </c>
      <c r="AH12" s="55">
        <v>89030</v>
      </c>
      <c r="AI12" s="56">
        <f t="shared" si="15"/>
        <v>1085.7317073170732</v>
      </c>
      <c r="AJ12" s="55">
        <v>19700</v>
      </c>
      <c r="AK12" s="57">
        <f t="shared" si="16"/>
        <v>240.2439024390244</v>
      </c>
      <c r="AL12" s="93">
        <f t="shared" si="32"/>
        <v>108730</v>
      </c>
      <c r="AM12" s="76">
        <f t="shared" si="17"/>
        <v>1325.9756097560976</v>
      </c>
      <c r="AN12" s="339">
        <v>1</v>
      </c>
      <c r="AO12" s="337">
        <v>1</v>
      </c>
      <c r="AP12" s="339">
        <v>0</v>
      </c>
      <c r="AQ12" s="337">
        <v>0</v>
      </c>
      <c r="AR12" s="99">
        <f t="shared" si="33"/>
        <v>25</v>
      </c>
      <c r="AS12" s="68">
        <f t="shared" si="18"/>
        <v>308230</v>
      </c>
      <c r="AT12" s="68">
        <f t="shared" si="19"/>
        <v>115620</v>
      </c>
      <c r="AU12" s="77">
        <f t="shared" si="20"/>
        <v>423850</v>
      </c>
      <c r="AV12" s="68">
        <f t="shared" si="50"/>
        <v>0</v>
      </c>
      <c r="AW12" s="94">
        <v>27</v>
      </c>
      <c r="AX12" s="94">
        <v>219200</v>
      </c>
      <c r="AY12" s="94">
        <v>95920</v>
      </c>
      <c r="AZ12" s="95">
        <v>0</v>
      </c>
      <c r="BA12" s="95">
        <v>0</v>
      </c>
      <c r="BB12" s="95">
        <v>0</v>
      </c>
      <c r="BC12" s="95">
        <v>0</v>
      </c>
      <c r="BD12" s="96">
        <f t="shared" si="34"/>
        <v>315120</v>
      </c>
      <c r="BE12" s="51">
        <v>8</v>
      </c>
      <c r="BF12" s="80">
        <f t="shared" si="35"/>
        <v>315120</v>
      </c>
      <c r="BG12" s="81">
        <f t="shared" si="21"/>
        <v>423850</v>
      </c>
      <c r="BO12" s="287">
        <f t="shared" si="36"/>
        <v>5</v>
      </c>
      <c r="BP12" s="54">
        <f t="shared" si="36"/>
        <v>17</v>
      </c>
      <c r="BQ12" s="68">
        <f t="shared" si="36"/>
        <v>93500</v>
      </c>
      <c r="BR12" s="56">
        <f t="shared" si="22"/>
        <v>5000</v>
      </c>
      <c r="BS12" s="68">
        <f t="shared" si="37"/>
        <v>22550</v>
      </c>
      <c r="BT12" s="57">
        <f t="shared" si="23"/>
        <v>1205.8823529411766</v>
      </c>
      <c r="BU12" s="58">
        <f t="shared" si="38"/>
        <v>116050</v>
      </c>
      <c r="BV12" s="59">
        <f t="shared" si="24"/>
        <v>6826.4705882352937</v>
      </c>
      <c r="BW12" s="288">
        <f t="shared" si="39"/>
        <v>8</v>
      </c>
      <c r="BX12" s="68">
        <f t="shared" si="39"/>
        <v>118000</v>
      </c>
      <c r="BY12" s="56">
        <f t="shared" si="25"/>
        <v>13409</v>
      </c>
      <c r="BZ12" s="68">
        <f t="shared" si="40"/>
        <v>72270</v>
      </c>
      <c r="CA12" s="57">
        <f t="shared" si="26"/>
        <v>8212.5</v>
      </c>
      <c r="CB12" s="289">
        <f t="shared" si="41"/>
        <v>190270</v>
      </c>
      <c r="CC12" s="290" t="e">
        <v>#DIV/0!</v>
      </c>
      <c r="CD12" s="291">
        <f t="shared" si="42"/>
        <v>25</v>
      </c>
      <c r="CE12" s="68">
        <f t="shared" si="42"/>
        <v>211500</v>
      </c>
      <c r="CF12" s="57">
        <f t="shared" si="43"/>
        <v>7690.88</v>
      </c>
      <c r="CG12" s="68">
        <f t="shared" si="44"/>
        <v>94820</v>
      </c>
      <c r="CH12" s="57">
        <f t="shared" si="45"/>
        <v>3448</v>
      </c>
      <c r="CI12" s="292">
        <f t="shared" si="46"/>
        <v>306320</v>
      </c>
      <c r="CJ12" s="293">
        <f t="shared" si="47"/>
        <v>12252.8</v>
      </c>
    </row>
    <row r="13" spans="1:88" ht="13.5" customHeight="1">
      <c r="A13" s="51"/>
      <c r="B13" s="97">
        <f t="shared" si="27"/>
        <v>45970</v>
      </c>
      <c r="C13" s="84"/>
      <c r="D13" s="53">
        <v>7</v>
      </c>
      <c r="E13" s="54">
        <v>16</v>
      </c>
      <c r="F13" s="55">
        <v>111100</v>
      </c>
      <c r="G13" s="56">
        <f t="shared" si="0"/>
        <v>6312.5</v>
      </c>
      <c r="H13" s="55">
        <v>24640</v>
      </c>
      <c r="I13" s="57">
        <f t="shared" si="1"/>
        <v>1400</v>
      </c>
      <c r="J13" s="58">
        <f t="shared" si="2"/>
        <v>135740</v>
      </c>
      <c r="K13" s="59">
        <f t="shared" si="3"/>
        <v>8483.75</v>
      </c>
      <c r="L13" s="85">
        <v>1</v>
      </c>
      <c r="M13" s="86">
        <v>4</v>
      </c>
      <c r="N13" s="87">
        <v>15400</v>
      </c>
      <c r="O13" s="88">
        <f t="shared" si="4"/>
        <v>3850</v>
      </c>
      <c r="P13" s="87">
        <v>2200</v>
      </c>
      <c r="Q13" s="89">
        <f t="shared" si="5"/>
        <v>550</v>
      </c>
      <c r="R13" s="90">
        <f t="shared" si="48"/>
        <v>17600</v>
      </c>
      <c r="S13" s="91">
        <f t="shared" si="7"/>
        <v>4400</v>
      </c>
      <c r="T13" s="67">
        <f t="shared" si="8"/>
        <v>0</v>
      </c>
      <c r="U13" s="68">
        <f t="shared" si="9"/>
        <v>0</v>
      </c>
      <c r="V13" s="56" t="e">
        <f t="shared" si="10"/>
        <v>#DIV/0!</v>
      </c>
      <c r="W13" s="68">
        <f t="shared" si="11"/>
        <v>0</v>
      </c>
      <c r="X13" s="57" t="e">
        <f t="shared" si="12"/>
        <v>#DIV/0!</v>
      </c>
      <c r="Y13" s="92">
        <f t="shared" si="28"/>
        <v>0</v>
      </c>
      <c r="Z13" s="70" t="e">
        <f t="shared" si="13"/>
        <v>#DIV/0!</v>
      </c>
      <c r="AA13" s="71">
        <f t="shared" si="29"/>
        <v>20</v>
      </c>
      <c r="AB13" s="68">
        <f t="shared" si="29"/>
        <v>126500</v>
      </c>
      <c r="AC13" s="68">
        <f t="shared" si="30"/>
        <v>26840</v>
      </c>
      <c r="AD13" s="72">
        <f t="shared" si="49"/>
        <v>153340</v>
      </c>
      <c r="AE13" s="68">
        <f t="shared" si="31"/>
        <v>7667</v>
      </c>
      <c r="AF13" s="73">
        <v>66</v>
      </c>
      <c r="AG13" s="74">
        <v>71</v>
      </c>
      <c r="AH13" s="55">
        <v>70050</v>
      </c>
      <c r="AI13" s="56">
        <f t="shared" si="15"/>
        <v>986.61971830985919</v>
      </c>
      <c r="AJ13" s="55">
        <v>17400</v>
      </c>
      <c r="AK13" s="57">
        <f t="shared" si="16"/>
        <v>245.07042253521126</v>
      </c>
      <c r="AL13" s="93">
        <f t="shared" si="32"/>
        <v>87450</v>
      </c>
      <c r="AM13" s="76">
        <f t="shared" si="17"/>
        <v>1231.6901408450703</v>
      </c>
      <c r="AN13" s="339">
        <v>1</v>
      </c>
      <c r="AO13" s="340">
        <v>1</v>
      </c>
      <c r="AP13" s="339">
        <v>0</v>
      </c>
      <c r="AQ13" s="340">
        <v>0</v>
      </c>
      <c r="AR13" s="99">
        <f t="shared" si="33"/>
        <v>16</v>
      </c>
      <c r="AS13" s="68">
        <f t="shared" si="18"/>
        <v>196550</v>
      </c>
      <c r="AT13" s="68">
        <f t="shared" si="19"/>
        <v>44240</v>
      </c>
      <c r="AU13" s="77">
        <f t="shared" si="20"/>
        <v>240790</v>
      </c>
      <c r="AV13" s="68">
        <f t="shared" si="50"/>
        <v>2200</v>
      </c>
      <c r="AW13" s="94">
        <v>20</v>
      </c>
      <c r="AX13" s="94">
        <v>126500</v>
      </c>
      <c r="AY13" s="94">
        <v>26840</v>
      </c>
      <c r="AZ13" s="95">
        <v>2200</v>
      </c>
      <c r="BA13" s="95">
        <v>0</v>
      </c>
      <c r="BB13" s="95">
        <v>0</v>
      </c>
      <c r="BC13" s="95">
        <v>0</v>
      </c>
      <c r="BD13" s="96">
        <f t="shared" si="34"/>
        <v>155540</v>
      </c>
      <c r="BE13" s="51">
        <v>9</v>
      </c>
      <c r="BF13" s="80">
        <f t="shared" si="35"/>
        <v>155540</v>
      </c>
      <c r="BG13" s="81">
        <f t="shared" si="21"/>
        <v>242990</v>
      </c>
      <c r="BO13" s="287">
        <f t="shared" si="36"/>
        <v>7</v>
      </c>
      <c r="BP13" s="54">
        <f t="shared" si="36"/>
        <v>16</v>
      </c>
      <c r="BQ13" s="68">
        <f t="shared" si="36"/>
        <v>111100</v>
      </c>
      <c r="BR13" s="56">
        <f t="shared" si="22"/>
        <v>6312.5</v>
      </c>
      <c r="BS13" s="68">
        <f t="shared" si="37"/>
        <v>24640</v>
      </c>
      <c r="BT13" s="57">
        <f t="shared" si="23"/>
        <v>1400</v>
      </c>
      <c r="BU13" s="58">
        <f t="shared" si="38"/>
        <v>135740</v>
      </c>
      <c r="BV13" s="59">
        <f t="shared" si="24"/>
        <v>8483.75</v>
      </c>
      <c r="BW13" s="288">
        <f t="shared" si="39"/>
        <v>0</v>
      </c>
      <c r="BX13" s="68">
        <f t="shared" si="39"/>
        <v>0</v>
      </c>
      <c r="BY13" s="56" t="e">
        <f t="shared" si="25"/>
        <v>#DIV/0!</v>
      </c>
      <c r="BZ13" s="68">
        <f t="shared" si="40"/>
        <v>0</v>
      </c>
      <c r="CA13" s="57" t="e">
        <f t="shared" si="26"/>
        <v>#DIV/0!</v>
      </c>
      <c r="CB13" s="289">
        <f t="shared" si="41"/>
        <v>0</v>
      </c>
      <c r="CC13" s="290" t="e">
        <v>#DIV/0!</v>
      </c>
      <c r="CD13" s="291">
        <f t="shared" si="42"/>
        <v>16</v>
      </c>
      <c r="CE13" s="68">
        <f t="shared" si="42"/>
        <v>111100</v>
      </c>
      <c r="CF13" s="57">
        <f t="shared" si="43"/>
        <v>6312.5</v>
      </c>
      <c r="CG13" s="68">
        <f t="shared" si="44"/>
        <v>24640</v>
      </c>
      <c r="CH13" s="57">
        <f t="shared" si="45"/>
        <v>1400</v>
      </c>
      <c r="CI13" s="292">
        <f t="shared" si="46"/>
        <v>135740</v>
      </c>
      <c r="CJ13" s="293">
        <f t="shared" si="47"/>
        <v>8483.75</v>
      </c>
    </row>
    <row r="14" spans="1:88" ht="13.5" customHeight="1">
      <c r="A14" s="51"/>
      <c r="B14" s="83">
        <f t="shared" si="27"/>
        <v>45971</v>
      </c>
      <c r="C14" s="84"/>
      <c r="D14" s="53">
        <v>2</v>
      </c>
      <c r="E14" s="54">
        <v>4</v>
      </c>
      <c r="F14" s="55">
        <v>28600</v>
      </c>
      <c r="G14" s="56">
        <f t="shared" si="0"/>
        <v>6500</v>
      </c>
      <c r="H14" s="55">
        <v>8800</v>
      </c>
      <c r="I14" s="57">
        <f t="shared" si="1"/>
        <v>2000</v>
      </c>
      <c r="J14" s="58">
        <f t="shared" si="2"/>
        <v>37400</v>
      </c>
      <c r="K14" s="59">
        <f t="shared" si="3"/>
        <v>9350</v>
      </c>
      <c r="L14" s="85">
        <v>3</v>
      </c>
      <c r="M14" s="86">
        <v>6</v>
      </c>
      <c r="N14" s="87">
        <v>23100</v>
      </c>
      <c r="O14" s="88">
        <f t="shared" si="4"/>
        <v>3850</v>
      </c>
      <c r="P14" s="87">
        <v>5500</v>
      </c>
      <c r="Q14" s="89">
        <f t="shared" si="5"/>
        <v>916.66666666666663</v>
      </c>
      <c r="R14" s="90">
        <f t="shared" si="48"/>
        <v>28600</v>
      </c>
      <c r="S14" s="91">
        <f t="shared" si="7"/>
        <v>4766.666666666667</v>
      </c>
      <c r="T14" s="67">
        <f t="shared" si="8"/>
        <v>4</v>
      </c>
      <c r="U14" s="68">
        <f t="shared" si="9"/>
        <v>54010</v>
      </c>
      <c r="V14" s="56">
        <f t="shared" si="10"/>
        <v>12275</v>
      </c>
      <c r="W14" s="68">
        <f t="shared" si="11"/>
        <v>24420</v>
      </c>
      <c r="X14" s="57">
        <f t="shared" si="12"/>
        <v>5550</v>
      </c>
      <c r="Y14" s="92">
        <f t="shared" si="28"/>
        <v>78430</v>
      </c>
      <c r="Z14" s="70">
        <f t="shared" si="13"/>
        <v>19607.5</v>
      </c>
      <c r="AA14" s="71">
        <f t="shared" si="29"/>
        <v>14</v>
      </c>
      <c r="AB14" s="68">
        <f t="shared" si="29"/>
        <v>105710</v>
      </c>
      <c r="AC14" s="68">
        <f t="shared" si="30"/>
        <v>38720</v>
      </c>
      <c r="AD14" s="72">
        <f t="shared" si="49"/>
        <v>144430</v>
      </c>
      <c r="AE14" s="68">
        <f t="shared" si="31"/>
        <v>10316.428571428571</v>
      </c>
      <c r="AF14" s="73">
        <v>51</v>
      </c>
      <c r="AG14" s="74">
        <v>51</v>
      </c>
      <c r="AH14" s="55">
        <v>96650</v>
      </c>
      <c r="AI14" s="56">
        <f t="shared" si="15"/>
        <v>1895.0980392156862</v>
      </c>
      <c r="AJ14" s="55">
        <v>6000</v>
      </c>
      <c r="AK14" s="57">
        <f t="shared" si="16"/>
        <v>117.64705882352941</v>
      </c>
      <c r="AL14" s="93">
        <f t="shared" si="32"/>
        <v>102650</v>
      </c>
      <c r="AM14" s="76">
        <f t="shared" si="17"/>
        <v>2012.7450980392157</v>
      </c>
      <c r="AN14" s="339">
        <v>2</v>
      </c>
      <c r="AO14" s="340">
        <v>2</v>
      </c>
      <c r="AP14" s="339">
        <v>0</v>
      </c>
      <c r="AQ14" s="340">
        <v>0</v>
      </c>
      <c r="AR14" s="99">
        <f t="shared" si="33"/>
        <v>8</v>
      </c>
      <c r="AS14" s="68">
        <f t="shared" si="18"/>
        <v>202360</v>
      </c>
      <c r="AT14" s="68">
        <f t="shared" si="19"/>
        <v>44720</v>
      </c>
      <c r="AU14" s="98">
        <f t="shared" si="20"/>
        <v>247080</v>
      </c>
      <c r="AV14" s="68">
        <f t="shared" si="50"/>
        <v>0</v>
      </c>
      <c r="AW14" s="94">
        <v>14</v>
      </c>
      <c r="AX14" s="94">
        <v>105710</v>
      </c>
      <c r="AY14" s="94">
        <v>38720</v>
      </c>
      <c r="AZ14" s="95">
        <v>0</v>
      </c>
      <c r="BA14" s="95">
        <v>0</v>
      </c>
      <c r="BB14" s="95">
        <v>0</v>
      </c>
      <c r="BC14" s="95">
        <v>0</v>
      </c>
      <c r="BD14" s="96">
        <f t="shared" si="34"/>
        <v>144430</v>
      </c>
      <c r="BE14" s="51">
        <v>10</v>
      </c>
      <c r="BF14" s="80">
        <f t="shared" si="35"/>
        <v>144430</v>
      </c>
      <c r="BG14" s="81">
        <f t="shared" si="21"/>
        <v>247080</v>
      </c>
      <c r="BO14" s="287">
        <f t="shared" si="36"/>
        <v>2</v>
      </c>
      <c r="BP14" s="54">
        <f t="shared" si="36"/>
        <v>4</v>
      </c>
      <c r="BQ14" s="68">
        <f t="shared" si="36"/>
        <v>28600</v>
      </c>
      <c r="BR14" s="56">
        <f t="shared" si="22"/>
        <v>6500</v>
      </c>
      <c r="BS14" s="68">
        <f t="shared" si="37"/>
        <v>8800</v>
      </c>
      <c r="BT14" s="57">
        <f t="shared" si="23"/>
        <v>2000</v>
      </c>
      <c r="BU14" s="58">
        <f t="shared" si="38"/>
        <v>37400</v>
      </c>
      <c r="BV14" s="59">
        <f t="shared" si="24"/>
        <v>9350</v>
      </c>
      <c r="BW14" s="288">
        <f t="shared" si="39"/>
        <v>4</v>
      </c>
      <c r="BX14" s="68">
        <f t="shared" si="39"/>
        <v>54010</v>
      </c>
      <c r="BY14" s="56">
        <f t="shared" si="25"/>
        <v>12275</v>
      </c>
      <c r="BZ14" s="68">
        <f t="shared" si="40"/>
        <v>24420</v>
      </c>
      <c r="CA14" s="57">
        <f t="shared" si="26"/>
        <v>5550</v>
      </c>
      <c r="CB14" s="289">
        <f t="shared" si="41"/>
        <v>78430</v>
      </c>
      <c r="CC14" s="290" t="e">
        <v>#DIV/0!</v>
      </c>
      <c r="CD14" s="291">
        <f t="shared" si="42"/>
        <v>8</v>
      </c>
      <c r="CE14" s="68">
        <f t="shared" si="42"/>
        <v>82610</v>
      </c>
      <c r="CF14" s="57">
        <f t="shared" si="43"/>
        <v>9387.5</v>
      </c>
      <c r="CG14" s="68">
        <f t="shared" si="44"/>
        <v>33220</v>
      </c>
      <c r="CH14" s="57">
        <f t="shared" si="45"/>
        <v>3775</v>
      </c>
      <c r="CI14" s="292">
        <f t="shared" si="46"/>
        <v>115830</v>
      </c>
      <c r="CJ14" s="293">
        <f t="shared" si="47"/>
        <v>14478.75</v>
      </c>
    </row>
    <row r="15" spans="1:88" ht="13.5" customHeight="1">
      <c r="A15" s="51"/>
      <c r="B15" s="83">
        <f>B14+1</f>
        <v>45972</v>
      </c>
      <c r="C15" s="84"/>
      <c r="D15" s="53">
        <v>4</v>
      </c>
      <c r="E15" s="54">
        <v>9</v>
      </c>
      <c r="F15" s="55">
        <v>56100</v>
      </c>
      <c r="G15" s="56">
        <f t="shared" si="0"/>
        <v>5666.666666666667</v>
      </c>
      <c r="H15" s="55">
        <v>16060</v>
      </c>
      <c r="I15" s="57">
        <f t="shared" si="1"/>
        <v>1622.2222222222222</v>
      </c>
      <c r="J15" s="58">
        <f t="shared" si="2"/>
        <v>72160</v>
      </c>
      <c r="K15" s="59">
        <f t="shared" si="3"/>
        <v>8017.7777777777774</v>
      </c>
      <c r="L15" s="85"/>
      <c r="M15" s="86"/>
      <c r="N15" s="87"/>
      <c r="O15" s="88" t="e">
        <f t="shared" si="4"/>
        <v>#DIV/0!</v>
      </c>
      <c r="P15" s="87"/>
      <c r="Q15" s="89" t="e">
        <f t="shared" si="5"/>
        <v>#DIV/0!</v>
      </c>
      <c r="R15" s="90">
        <f t="shared" si="48"/>
        <v>0</v>
      </c>
      <c r="S15" s="91" t="str">
        <f t="shared" si="7"/>
        <v/>
      </c>
      <c r="T15" s="67">
        <f t="shared" si="8"/>
        <v>0</v>
      </c>
      <c r="U15" s="68">
        <f t="shared" si="9"/>
        <v>0</v>
      </c>
      <c r="V15" s="56" t="e">
        <f t="shared" si="10"/>
        <v>#DIV/0!</v>
      </c>
      <c r="W15" s="68">
        <f t="shared" si="11"/>
        <v>0</v>
      </c>
      <c r="X15" s="57" t="e">
        <f t="shared" si="12"/>
        <v>#DIV/0!</v>
      </c>
      <c r="Y15" s="92">
        <f t="shared" si="28"/>
        <v>0</v>
      </c>
      <c r="Z15" s="70" t="e">
        <f t="shared" si="13"/>
        <v>#DIV/0!</v>
      </c>
      <c r="AA15" s="71">
        <f t="shared" si="29"/>
        <v>9</v>
      </c>
      <c r="AB15" s="68">
        <f t="shared" si="29"/>
        <v>56100</v>
      </c>
      <c r="AC15" s="68">
        <f t="shared" si="30"/>
        <v>16060</v>
      </c>
      <c r="AD15" s="72">
        <f t="shared" si="49"/>
        <v>72160</v>
      </c>
      <c r="AE15" s="68">
        <f t="shared" si="31"/>
        <v>8017.7777777777774</v>
      </c>
      <c r="AF15" s="73">
        <v>48</v>
      </c>
      <c r="AG15" s="74">
        <v>53</v>
      </c>
      <c r="AH15" s="55">
        <v>69280</v>
      </c>
      <c r="AI15" s="56">
        <f t="shared" si="15"/>
        <v>1307.1698113207547</v>
      </c>
      <c r="AJ15" s="55">
        <v>5700</v>
      </c>
      <c r="AK15" s="57">
        <f t="shared" si="16"/>
        <v>107.54716981132076</v>
      </c>
      <c r="AL15" s="93">
        <f t="shared" si="32"/>
        <v>74980</v>
      </c>
      <c r="AM15" s="76">
        <f t="shared" si="17"/>
        <v>1414.7169811320755</v>
      </c>
      <c r="AN15" s="339">
        <v>1</v>
      </c>
      <c r="AO15" s="340">
        <v>1</v>
      </c>
      <c r="AP15" s="339">
        <v>0</v>
      </c>
      <c r="AQ15" s="340">
        <v>0</v>
      </c>
      <c r="AR15" s="99">
        <f t="shared" si="33"/>
        <v>9</v>
      </c>
      <c r="AS15" s="68">
        <f t="shared" si="18"/>
        <v>125380</v>
      </c>
      <c r="AT15" s="68">
        <f t="shared" si="19"/>
        <v>21760</v>
      </c>
      <c r="AU15" s="77">
        <f t="shared" si="20"/>
        <v>147140</v>
      </c>
      <c r="AV15" s="68">
        <f t="shared" si="50"/>
        <v>0</v>
      </c>
      <c r="AW15" s="94">
        <v>9</v>
      </c>
      <c r="AX15" s="94">
        <v>56100</v>
      </c>
      <c r="AY15" s="94">
        <v>16060</v>
      </c>
      <c r="AZ15" s="95">
        <v>0</v>
      </c>
      <c r="BA15" s="95">
        <v>0</v>
      </c>
      <c r="BB15" s="95">
        <v>0</v>
      </c>
      <c r="BC15" s="95">
        <v>0</v>
      </c>
      <c r="BD15" s="96">
        <f t="shared" si="34"/>
        <v>72160</v>
      </c>
      <c r="BE15" s="51">
        <v>11</v>
      </c>
      <c r="BF15" s="80">
        <f t="shared" si="35"/>
        <v>72160</v>
      </c>
      <c r="BG15" s="81">
        <f t="shared" si="21"/>
        <v>147140</v>
      </c>
      <c r="BO15" s="287">
        <f t="shared" si="36"/>
        <v>4</v>
      </c>
      <c r="BP15" s="54">
        <f t="shared" si="36"/>
        <v>9</v>
      </c>
      <c r="BQ15" s="68">
        <f t="shared" si="36"/>
        <v>56100</v>
      </c>
      <c r="BR15" s="56">
        <f t="shared" si="22"/>
        <v>5666.666666666667</v>
      </c>
      <c r="BS15" s="68">
        <f t="shared" si="37"/>
        <v>16060</v>
      </c>
      <c r="BT15" s="57">
        <f t="shared" si="23"/>
        <v>1622.2222222222222</v>
      </c>
      <c r="BU15" s="58">
        <f t="shared" si="38"/>
        <v>72160</v>
      </c>
      <c r="BV15" s="59">
        <f t="shared" si="24"/>
        <v>8017.7777777777774</v>
      </c>
      <c r="BW15" s="288">
        <f t="shared" si="39"/>
        <v>0</v>
      </c>
      <c r="BX15" s="68">
        <f t="shared" si="39"/>
        <v>0</v>
      </c>
      <c r="BY15" s="56" t="e">
        <f t="shared" si="25"/>
        <v>#DIV/0!</v>
      </c>
      <c r="BZ15" s="68">
        <f t="shared" si="40"/>
        <v>0</v>
      </c>
      <c r="CA15" s="57" t="e">
        <f t="shared" si="26"/>
        <v>#DIV/0!</v>
      </c>
      <c r="CB15" s="289">
        <f t="shared" si="41"/>
        <v>0</v>
      </c>
      <c r="CC15" s="290" t="e">
        <v>#DIV/0!</v>
      </c>
      <c r="CD15" s="291">
        <f t="shared" si="42"/>
        <v>9</v>
      </c>
      <c r="CE15" s="68">
        <f t="shared" si="42"/>
        <v>56100</v>
      </c>
      <c r="CF15" s="57">
        <f t="shared" si="43"/>
        <v>5666.666666666667</v>
      </c>
      <c r="CG15" s="68">
        <f t="shared" si="44"/>
        <v>16060</v>
      </c>
      <c r="CH15" s="57">
        <f t="shared" si="45"/>
        <v>1622.2222222222222</v>
      </c>
      <c r="CI15" s="292">
        <f t="shared" si="46"/>
        <v>72160</v>
      </c>
      <c r="CJ15" s="293">
        <f t="shared" si="47"/>
        <v>8017.7777777777774</v>
      </c>
    </row>
    <row r="16" spans="1:88" ht="13.5" customHeight="1">
      <c r="A16" s="51"/>
      <c r="B16" s="83">
        <f t="shared" si="27"/>
        <v>45973</v>
      </c>
      <c r="C16" s="84"/>
      <c r="D16" s="53">
        <v>3</v>
      </c>
      <c r="E16" s="54">
        <v>7</v>
      </c>
      <c r="F16" s="55">
        <v>37500</v>
      </c>
      <c r="G16" s="56">
        <f t="shared" si="0"/>
        <v>4870</v>
      </c>
      <c r="H16" s="55">
        <v>11780</v>
      </c>
      <c r="I16" s="57">
        <f t="shared" si="1"/>
        <v>1529.8571428571429</v>
      </c>
      <c r="J16" s="58">
        <f t="shared" si="2"/>
        <v>49280</v>
      </c>
      <c r="K16" s="59">
        <f t="shared" si="3"/>
        <v>7040</v>
      </c>
      <c r="L16" s="85"/>
      <c r="M16" s="86"/>
      <c r="N16" s="87"/>
      <c r="O16" s="88" t="e">
        <f t="shared" si="4"/>
        <v>#DIV/0!</v>
      </c>
      <c r="P16" s="87"/>
      <c r="Q16" s="89" t="e">
        <f t="shared" si="5"/>
        <v>#DIV/0!</v>
      </c>
      <c r="R16" s="90">
        <f t="shared" si="48"/>
        <v>0</v>
      </c>
      <c r="S16" s="91" t="str">
        <f t="shared" si="7"/>
        <v/>
      </c>
      <c r="T16" s="67">
        <f t="shared" si="8"/>
        <v>9</v>
      </c>
      <c r="U16" s="68">
        <f t="shared" si="9"/>
        <v>132000</v>
      </c>
      <c r="V16" s="56">
        <f t="shared" si="10"/>
        <v>13333.333333333334</v>
      </c>
      <c r="W16" s="68">
        <f t="shared" si="11"/>
        <v>38790</v>
      </c>
      <c r="X16" s="57">
        <f t="shared" si="12"/>
        <v>3918.1111111111113</v>
      </c>
      <c r="Y16" s="92">
        <f t="shared" si="28"/>
        <v>170790</v>
      </c>
      <c r="Z16" s="70">
        <f t="shared" si="13"/>
        <v>18976.666666666668</v>
      </c>
      <c r="AA16" s="71">
        <f t="shared" si="29"/>
        <v>16</v>
      </c>
      <c r="AB16" s="68">
        <f t="shared" si="29"/>
        <v>169500</v>
      </c>
      <c r="AC16" s="68">
        <f t="shared" si="30"/>
        <v>50570</v>
      </c>
      <c r="AD16" s="72">
        <f t="shared" si="49"/>
        <v>220070</v>
      </c>
      <c r="AE16" s="68">
        <f t="shared" si="31"/>
        <v>13754.375</v>
      </c>
      <c r="AF16" s="73">
        <v>64</v>
      </c>
      <c r="AG16" s="74">
        <v>64</v>
      </c>
      <c r="AH16" s="55">
        <v>81030</v>
      </c>
      <c r="AI16" s="56">
        <f t="shared" si="15"/>
        <v>1266.09375</v>
      </c>
      <c r="AJ16" s="55">
        <v>9800</v>
      </c>
      <c r="AK16" s="57">
        <f t="shared" si="16"/>
        <v>153.125</v>
      </c>
      <c r="AL16" s="93">
        <f t="shared" si="32"/>
        <v>90830</v>
      </c>
      <c r="AM16" s="76">
        <f t="shared" si="17"/>
        <v>1419.21875</v>
      </c>
      <c r="AN16" s="339">
        <v>0</v>
      </c>
      <c r="AO16" s="340">
        <v>0</v>
      </c>
      <c r="AP16" s="339">
        <v>2</v>
      </c>
      <c r="AQ16" s="340">
        <v>4</v>
      </c>
      <c r="AR16" s="99">
        <f t="shared" si="33"/>
        <v>16</v>
      </c>
      <c r="AS16" s="68">
        <f t="shared" si="18"/>
        <v>250530</v>
      </c>
      <c r="AT16" s="68">
        <f t="shared" si="19"/>
        <v>60370</v>
      </c>
      <c r="AU16" s="77">
        <f t="shared" si="20"/>
        <v>310900</v>
      </c>
      <c r="AV16" s="68">
        <f t="shared" si="50"/>
        <v>0</v>
      </c>
      <c r="AW16" s="94">
        <v>16</v>
      </c>
      <c r="AX16" s="94">
        <v>169500</v>
      </c>
      <c r="AY16" s="94">
        <v>50570</v>
      </c>
      <c r="AZ16" s="95">
        <v>0</v>
      </c>
      <c r="BA16" s="95">
        <v>0</v>
      </c>
      <c r="BB16" s="95">
        <v>0</v>
      </c>
      <c r="BC16" s="95">
        <v>0</v>
      </c>
      <c r="BD16" s="96">
        <f t="shared" si="34"/>
        <v>220070</v>
      </c>
      <c r="BE16" s="51">
        <v>12</v>
      </c>
      <c r="BF16" s="80">
        <f t="shared" si="35"/>
        <v>220070</v>
      </c>
      <c r="BG16" s="81">
        <f t="shared" si="21"/>
        <v>310900</v>
      </c>
      <c r="BO16" s="287">
        <f t="shared" si="36"/>
        <v>3</v>
      </c>
      <c r="BP16" s="54">
        <f t="shared" si="36"/>
        <v>7</v>
      </c>
      <c r="BQ16" s="68">
        <f t="shared" si="36"/>
        <v>37500</v>
      </c>
      <c r="BR16" s="56">
        <f t="shared" si="22"/>
        <v>4870</v>
      </c>
      <c r="BS16" s="68">
        <f t="shared" si="37"/>
        <v>11780</v>
      </c>
      <c r="BT16" s="57">
        <f t="shared" si="23"/>
        <v>1529.8571428571429</v>
      </c>
      <c r="BU16" s="58">
        <f t="shared" si="38"/>
        <v>49280</v>
      </c>
      <c r="BV16" s="59">
        <f t="shared" si="24"/>
        <v>7040</v>
      </c>
      <c r="BW16" s="288">
        <f t="shared" si="39"/>
        <v>9</v>
      </c>
      <c r="BX16" s="68">
        <f t="shared" si="39"/>
        <v>132000</v>
      </c>
      <c r="BY16" s="56">
        <f t="shared" si="25"/>
        <v>13333.333333333334</v>
      </c>
      <c r="BZ16" s="68">
        <f t="shared" si="40"/>
        <v>38790</v>
      </c>
      <c r="CA16" s="57">
        <f t="shared" si="26"/>
        <v>3918.1111111111113</v>
      </c>
      <c r="CB16" s="289">
        <f t="shared" si="41"/>
        <v>170790</v>
      </c>
      <c r="CC16" s="290" t="e">
        <v>#DIV/0!</v>
      </c>
      <c r="CD16" s="291">
        <f t="shared" si="42"/>
        <v>16</v>
      </c>
      <c r="CE16" s="68">
        <f t="shared" si="42"/>
        <v>169500</v>
      </c>
      <c r="CF16" s="57">
        <f t="shared" si="43"/>
        <v>9630.625</v>
      </c>
      <c r="CG16" s="68">
        <f t="shared" si="44"/>
        <v>50570</v>
      </c>
      <c r="CH16" s="57">
        <f t="shared" si="45"/>
        <v>2873.25</v>
      </c>
      <c r="CI16" s="292">
        <f t="shared" si="46"/>
        <v>220070</v>
      </c>
      <c r="CJ16" s="293">
        <f t="shared" si="47"/>
        <v>13754.375</v>
      </c>
    </row>
    <row r="17" spans="1:88" ht="13.5" customHeight="1">
      <c r="A17" s="51"/>
      <c r="B17" s="83">
        <f t="shared" si="27"/>
        <v>45974</v>
      </c>
      <c r="C17" s="84"/>
      <c r="D17" s="53">
        <v>1</v>
      </c>
      <c r="E17" s="54">
        <v>4</v>
      </c>
      <c r="F17" s="55">
        <v>35200</v>
      </c>
      <c r="G17" s="56">
        <f t="shared" si="0"/>
        <v>8000</v>
      </c>
      <c r="H17" s="55">
        <v>5830</v>
      </c>
      <c r="I17" s="57">
        <f t="shared" si="1"/>
        <v>1325</v>
      </c>
      <c r="J17" s="58">
        <f t="shared" si="2"/>
        <v>41030</v>
      </c>
      <c r="K17" s="59">
        <f t="shared" si="3"/>
        <v>10257.5</v>
      </c>
      <c r="L17" s="85">
        <v>2</v>
      </c>
      <c r="M17" s="86">
        <v>3</v>
      </c>
      <c r="N17" s="87">
        <v>11550</v>
      </c>
      <c r="O17" s="88">
        <f t="shared" si="4"/>
        <v>3850</v>
      </c>
      <c r="P17" s="62">
        <v>2970</v>
      </c>
      <c r="Q17" s="89">
        <f t="shared" si="5"/>
        <v>990</v>
      </c>
      <c r="R17" s="90">
        <f t="shared" si="48"/>
        <v>14520</v>
      </c>
      <c r="S17" s="91">
        <f t="shared" si="7"/>
        <v>4840</v>
      </c>
      <c r="T17" s="67">
        <f t="shared" si="8"/>
        <v>2</v>
      </c>
      <c r="U17" s="68">
        <f t="shared" si="9"/>
        <v>33000</v>
      </c>
      <c r="V17" s="56">
        <f t="shared" si="10"/>
        <v>15000</v>
      </c>
      <c r="W17" s="68">
        <f t="shared" si="11"/>
        <v>17050</v>
      </c>
      <c r="X17" s="57">
        <f t="shared" si="12"/>
        <v>7750</v>
      </c>
      <c r="Y17" s="92">
        <f t="shared" si="28"/>
        <v>50050</v>
      </c>
      <c r="Z17" s="70">
        <f t="shared" si="13"/>
        <v>25025</v>
      </c>
      <c r="AA17" s="71">
        <f t="shared" si="29"/>
        <v>9</v>
      </c>
      <c r="AB17" s="68">
        <f t="shared" si="29"/>
        <v>79750</v>
      </c>
      <c r="AC17" s="68">
        <f t="shared" si="30"/>
        <v>25850</v>
      </c>
      <c r="AD17" s="72">
        <f t="shared" si="49"/>
        <v>105600</v>
      </c>
      <c r="AE17" s="68">
        <f t="shared" si="31"/>
        <v>11733.333333333334</v>
      </c>
      <c r="AF17" s="73">
        <v>48</v>
      </c>
      <c r="AG17" s="74">
        <v>50</v>
      </c>
      <c r="AH17" s="55">
        <v>57300</v>
      </c>
      <c r="AI17" s="56">
        <f t="shared" si="15"/>
        <v>1146</v>
      </c>
      <c r="AJ17" s="55">
        <v>10700</v>
      </c>
      <c r="AK17" s="57">
        <f t="shared" si="16"/>
        <v>214</v>
      </c>
      <c r="AL17" s="93">
        <f t="shared" si="32"/>
        <v>68000</v>
      </c>
      <c r="AM17" s="76">
        <f t="shared" si="17"/>
        <v>1360</v>
      </c>
      <c r="AN17" s="339">
        <v>0</v>
      </c>
      <c r="AO17" s="340">
        <v>0</v>
      </c>
      <c r="AP17" s="339">
        <v>0</v>
      </c>
      <c r="AQ17" s="340">
        <v>0</v>
      </c>
      <c r="AR17" s="99">
        <f t="shared" si="33"/>
        <v>6</v>
      </c>
      <c r="AS17" s="68">
        <f t="shared" si="18"/>
        <v>137050</v>
      </c>
      <c r="AT17" s="68">
        <f t="shared" si="19"/>
        <v>36550</v>
      </c>
      <c r="AU17" s="77">
        <f t="shared" si="20"/>
        <v>173600</v>
      </c>
      <c r="AV17" s="68">
        <f t="shared" si="50"/>
        <v>0</v>
      </c>
      <c r="AW17" s="94">
        <v>9</v>
      </c>
      <c r="AX17" s="94">
        <v>79750</v>
      </c>
      <c r="AY17" s="94">
        <v>25850</v>
      </c>
      <c r="AZ17" s="95">
        <v>0</v>
      </c>
      <c r="BA17" s="95">
        <v>0</v>
      </c>
      <c r="BB17" s="95">
        <v>0</v>
      </c>
      <c r="BC17" s="95">
        <v>0</v>
      </c>
      <c r="BD17" s="96">
        <f t="shared" si="34"/>
        <v>105600</v>
      </c>
      <c r="BE17" s="51">
        <v>13</v>
      </c>
      <c r="BF17" s="80">
        <f t="shared" si="35"/>
        <v>105600</v>
      </c>
      <c r="BG17" s="81">
        <f t="shared" si="21"/>
        <v>173600</v>
      </c>
      <c r="BO17" s="287">
        <f t="shared" si="36"/>
        <v>1</v>
      </c>
      <c r="BP17" s="54">
        <f t="shared" si="36"/>
        <v>4</v>
      </c>
      <c r="BQ17" s="68">
        <f t="shared" si="36"/>
        <v>35200</v>
      </c>
      <c r="BR17" s="56">
        <f t="shared" si="22"/>
        <v>8000</v>
      </c>
      <c r="BS17" s="68">
        <f t="shared" si="37"/>
        <v>5830</v>
      </c>
      <c r="BT17" s="57">
        <f t="shared" si="23"/>
        <v>1325</v>
      </c>
      <c r="BU17" s="58">
        <f t="shared" si="38"/>
        <v>41030</v>
      </c>
      <c r="BV17" s="59">
        <f t="shared" si="24"/>
        <v>10257.5</v>
      </c>
      <c r="BW17" s="288">
        <f t="shared" si="39"/>
        <v>2</v>
      </c>
      <c r="BX17" s="68">
        <f t="shared" si="39"/>
        <v>33000</v>
      </c>
      <c r="BY17" s="56">
        <f t="shared" si="25"/>
        <v>15000</v>
      </c>
      <c r="BZ17" s="68">
        <f t="shared" si="40"/>
        <v>17050</v>
      </c>
      <c r="CA17" s="57">
        <f t="shared" si="26"/>
        <v>7750</v>
      </c>
      <c r="CB17" s="289">
        <f t="shared" si="41"/>
        <v>50050</v>
      </c>
      <c r="CC17" s="290" t="e">
        <v>#DIV/0!</v>
      </c>
      <c r="CD17" s="291">
        <f t="shared" si="42"/>
        <v>6</v>
      </c>
      <c r="CE17" s="68">
        <f t="shared" si="42"/>
        <v>68200</v>
      </c>
      <c r="CF17" s="57">
        <f t="shared" si="43"/>
        <v>10333.333333333334</v>
      </c>
      <c r="CG17" s="68">
        <f t="shared" si="44"/>
        <v>22880</v>
      </c>
      <c r="CH17" s="57">
        <f t="shared" si="45"/>
        <v>3466.6666666666665</v>
      </c>
      <c r="CI17" s="292">
        <f t="shared" si="46"/>
        <v>91080</v>
      </c>
      <c r="CJ17" s="293">
        <f t="shared" si="47"/>
        <v>15180</v>
      </c>
    </row>
    <row r="18" spans="1:88" ht="13.5" customHeight="1">
      <c r="A18" s="51"/>
      <c r="B18" s="83">
        <f t="shared" si="27"/>
        <v>45975</v>
      </c>
      <c r="C18" s="84"/>
      <c r="D18" s="53">
        <v>5</v>
      </c>
      <c r="E18" s="54">
        <v>11</v>
      </c>
      <c r="F18" s="55">
        <v>53900</v>
      </c>
      <c r="G18" s="56">
        <f t="shared" si="0"/>
        <v>4454.545454545455</v>
      </c>
      <c r="H18" s="55">
        <v>15070</v>
      </c>
      <c r="I18" s="57">
        <f t="shared" si="1"/>
        <v>1245.4545454545455</v>
      </c>
      <c r="J18" s="58">
        <f t="shared" si="2"/>
        <v>68970</v>
      </c>
      <c r="K18" s="59">
        <f t="shared" si="3"/>
        <v>6270</v>
      </c>
      <c r="L18" s="85"/>
      <c r="M18" s="86"/>
      <c r="N18" s="87"/>
      <c r="O18" s="88" t="e">
        <f t="shared" si="4"/>
        <v>#DIV/0!</v>
      </c>
      <c r="P18" s="87"/>
      <c r="Q18" s="89" t="e">
        <f t="shared" si="5"/>
        <v>#DIV/0!</v>
      </c>
      <c r="R18" s="90">
        <f t="shared" si="48"/>
        <v>0</v>
      </c>
      <c r="S18" s="91" t="str">
        <f t="shared" si="7"/>
        <v/>
      </c>
      <c r="T18" s="67">
        <f t="shared" si="8"/>
        <v>3</v>
      </c>
      <c r="U18" s="68">
        <f t="shared" si="9"/>
        <v>39600</v>
      </c>
      <c r="V18" s="56">
        <f t="shared" si="10"/>
        <v>12000</v>
      </c>
      <c r="W18" s="68">
        <f t="shared" si="11"/>
        <v>20900</v>
      </c>
      <c r="X18" s="57">
        <f t="shared" si="12"/>
        <v>6333.333333333333</v>
      </c>
      <c r="Y18" s="92">
        <f t="shared" si="28"/>
        <v>60500</v>
      </c>
      <c r="Z18" s="70">
        <f t="shared" si="13"/>
        <v>20166.666666666668</v>
      </c>
      <c r="AA18" s="71">
        <f t="shared" si="29"/>
        <v>14</v>
      </c>
      <c r="AB18" s="68">
        <f t="shared" si="29"/>
        <v>93500</v>
      </c>
      <c r="AC18" s="68">
        <f t="shared" si="30"/>
        <v>35970</v>
      </c>
      <c r="AD18" s="72">
        <f t="shared" si="49"/>
        <v>129470</v>
      </c>
      <c r="AE18" s="68">
        <f t="shared" si="31"/>
        <v>9247.8571428571431</v>
      </c>
      <c r="AF18" s="73">
        <v>110</v>
      </c>
      <c r="AG18" s="74">
        <v>120</v>
      </c>
      <c r="AH18" s="55">
        <v>86290</v>
      </c>
      <c r="AI18" s="56">
        <f t="shared" si="15"/>
        <v>719.08333333333337</v>
      </c>
      <c r="AJ18" s="55">
        <v>37800</v>
      </c>
      <c r="AK18" s="57">
        <f t="shared" si="16"/>
        <v>315</v>
      </c>
      <c r="AL18" s="93">
        <f t="shared" si="32"/>
        <v>124090</v>
      </c>
      <c r="AM18" s="76">
        <f t="shared" si="17"/>
        <v>1034.0833333333333</v>
      </c>
      <c r="AN18" s="339">
        <v>2</v>
      </c>
      <c r="AO18" s="340">
        <v>5</v>
      </c>
      <c r="AP18" s="339">
        <v>0</v>
      </c>
      <c r="AQ18" s="340">
        <v>0</v>
      </c>
      <c r="AR18" s="99">
        <f t="shared" si="33"/>
        <v>14</v>
      </c>
      <c r="AS18" s="68">
        <f t="shared" si="18"/>
        <v>179790</v>
      </c>
      <c r="AT18" s="68">
        <f t="shared" si="19"/>
        <v>73770</v>
      </c>
      <c r="AU18" s="77">
        <f t="shared" si="20"/>
        <v>253560</v>
      </c>
      <c r="AV18" s="68">
        <f t="shared" si="50"/>
        <v>0</v>
      </c>
      <c r="AW18" s="94">
        <v>14</v>
      </c>
      <c r="AX18" s="94">
        <v>93500</v>
      </c>
      <c r="AY18" s="94">
        <v>35970</v>
      </c>
      <c r="AZ18" s="95">
        <v>0</v>
      </c>
      <c r="BA18" s="95">
        <v>0</v>
      </c>
      <c r="BB18" s="95">
        <v>0</v>
      </c>
      <c r="BC18" s="95">
        <v>0</v>
      </c>
      <c r="BD18" s="96">
        <f t="shared" si="34"/>
        <v>129470</v>
      </c>
      <c r="BE18" s="51">
        <v>14</v>
      </c>
      <c r="BF18" s="80">
        <f t="shared" si="35"/>
        <v>129470</v>
      </c>
      <c r="BG18" s="81">
        <f t="shared" si="21"/>
        <v>253560</v>
      </c>
      <c r="BO18" s="287">
        <f t="shared" si="36"/>
        <v>5</v>
      </c>
      <c r="BP18" s="54">
        <f t="shared" si="36"/>
        <v>11</v>
      </c>
      <c r="BQ18" s="68">
        <f t="shared" si="36"/>
        <v>53900</v>
      </c>
      <c r="BR18" s="56">
        <f t="shared" si="22"/>
        <v>4454.545454545455</v>
      </c>
      <c r="BS18" s="68">
        <f t="shared" si="37"/>
        <v>15070</v>
      </c>
      <c r="BT18" s="57">
        <f t="shared" si="23"/>
        <v>1245.4545454545455</v>
      </c>
      <c r="BU18" s="58">
        <f t="shared" si="38"/>
        <v>68970</v>
      </c>
      <c r="BV18" s="59">
        <f t="shared" si="24"/>
        <v>6270</v>
      </c>
      <c r="BW18" s="288">
        <f t="shared" si="39"/>
        <v>3</v>
      </c>
      <c r="BX18" s="68">
        <f t="shared" si="39"/>
        <v>39600</v>
      </c>
      <c r="BY18" s="56">
        <f t="shared" si="25"/>
        <v>12000</v>
      </c>
      <c r="BZ18" s="68">
        <f t="shared" si="40"/>
        <v>20900</v>
      </c>
      <c r="CA18" s="57">
        <f t="shared" si="26"/>
        <v>6333.333333333333</v>
      </c>
      <c r="CB18" s="289">
        <f t="shared" si="41"/>
        <v>60500</v>
      </c>
      <c r="CC18" s="290" t="e">
        <v>#DIV/0!</v>
      </c>
      <c r="CD18" s="291">
        <f t="shared" si="42"/>
        <v>14</v>
      </c>
      <c r="CE18" s="68">
        <f t="shared" si="42"/>
        <v>93500</v>
      </c>
      <c r="CF18" s="57">
        <f t="shared" si="43"/>
        <v>6071.4285714285716</v>
      </c>
      <c r="CG18" s="68">
        <f t="shared" si="44"/>
        <v>35970</v>
      </c>
      <c r="CH18" s="57">
        <f t="shared" si="45"/>
        <v>2335.7142857142858</v>
      </c>
      <c r="CI18" s="292">
        <f t="shared" si="46"/>
        <v>129470</v>
      </c>
      <c r="CJ18" s="293">
        <f t="shared" si="47"/>
        <v>9247.8571428571431</v>
      </c>
    </row>
    <row r="19" spans="1:88" ht="13.5" customHeight="1">
      <c r="A19" s="51"/>
      <c r="B19" s="338">
        <f t="shared" si="27"/>
        <v>45976</v>
      </c>
      <c r="C19" s="84"/>
      <c r="D19" s="53">
        <v>5</v>
      </c>
      <c r="E19" s="54">
        <v>10</v>
      </c>
      <c r="F19" s="55">
        <v>55000</v>
      </c>
      <c r="G19" s="56">
        <f t="shared" si="0"/>
        <v>5000</v>
      </c>
      <c r="H19" s="55">
        <v>26840</v>
      </c>
      <c r="I19" s="57">
        <f t="shared" si="1"/>
        <v>2440</v>
      </c>
      <c r="J19" s="58">
        <f t="shared" si="2"/>
        <v>81840</v>
      </c>
      <c r="K19" s="59">
        <f t="shared" si="3"/>
        <v>8184</v>
      </c>
      <c r="L19" s="85">
        <v>2</v>
      </c>
      <c r="M19" s="86">
        <v>5</v>
      </c>
      <c r="N19" s="87">
        <v>19250</v>
      </c>
      <c r="O19" s="88">
        <f t="shared" si="4"/>
        <v>3850</v>
      </c>
      <c r="P19" s="87">
        <v>4950</v>
      </c>
      <c r="Q19" s="89">
        <f t="shared" si="5"/>
        <v>990</v>
      </c>
      <c r="R19" s="90">
        <f t="shared" si="48"/>
        <v>24200</v>
      </c>
      <c r="S19" s="91">
        <f t="shared" si="7"/>
        <v>4840</v>
      </c>
      <c r="T19" s="67">
        <f t="shared" si="8"/>
        <v>3</v>
      </c>
      <c r="U19" s="68">
        <f t="shared" si="9"/>
        <v>50600</v>
      </c>
      <c r="V19" s="56">
        <f t="shared" si="10"/>
        <v>15333.333333333334</v>
      </c>
      <c r="W19" s="68">
        <f t="shared" si="11"/>
        <v>3850</v>
      </c>
      <c r="X19" s="100">
        <f t="shared" si="12"/>
        <v>1166.6666666666667</v>
      </c>
      <c r="Y19" s="92">
        <f t="shared" si="28"/>
        <v>54450</v>
      </c>
      <c r="Z19" s="70">
        <f t="shared" si="13"/>
        <v>18150</v>
      </c>
      <c r="AA19" s="71">
        <f t="shared" si="29"/>
        <v>18</v>
      </c>
      <c r="AB19" s="68">
        <f t="shared" si="29"/>
        <v>124850</v>
      </c>
      <c r="AC19" s="68">
        <f t="shared" si="30"/>
        <v>35640</v>
      </c>
      <c r="AD19" s="72">
        <f t="shared" si="49"/>
        <v>160490</v>
      </c>
      <c r="AE19" s="68">
        <f t="shared" si="31"/>
        <v>8916.1111111111113</v>
      </c>
      <c r="AF19" s="73">
        <v>79</v>
      </c>
      <c r="AG19" s="74">
        <v>79</v>
      </c>
      <c r="AH19" s="55">
        <v>91650</v>
      </c>
      <c r="AI19" s="56">
        <f t="shared" si="15"/>
        <v>1160.126582278481</v>
      </c>
      <c r="AJ19" s="55">
        <v>17400</v>
      </c>
      <c r="AK19" s="57">
        <f t="shared" si="16"/>
        <v>220.25316455696202</v>
      </c>
      <c r="AL19" s="93">
        <f t="shared" si="32"/>
        <v>109050</v>
      </c>
      <c r="AM19" s="76">
        <f t="shared" si="17"/>
        <v>1380.379746835443</v>
      </c>
      <c r="AN19" s="339">
        <v>3</v>
      </c>
      <c r="AO19" s="340">
        <v>4</v>
      </c>
      <c r="AP19" s="339">
        <v>0</v>
      </c>
      <c r="AQ19" s="340">
        <v>0</v>
      </c>
      <c r="AR19" s="99">
        <f t="shared" si="33"/>
        <v>13</v>
      </c>
      <c r="AS19" s="68">
        <f t="shared" si="18"/>
        <v>216500</v>
      </c>
      <c r="AT19" s="68">
        <f t="shared" si="19"/>
        <v>53040</v>
      </c>
      <c r="AU19" s="77">
        <f t="shared" si="20"/>
        <v>269540</v>
      </c>
      <c r="AV19" s="68">
        <f t="shared" si="50"/>
        <v>0</v>
      </c>
      <c r="AW19" s="94">
        <v>18</v>
      </c>
      <c r="AX19" s="94">
        <v>124850</v>
      </c>
      <c r="AY19" s="94">
        <v>35640</v>
      </c>
      <c r="AZ19" s="95">
        <v>0</v>
      </c>
      <c r="BA19" s="95">
        <v>0</v>
      </c>
      <c r="BB19" s="95">
        <v>0</v>
      </c>
      <c r="BC19" s="95">
        <v>0</v>
      </c>
      <c r="BD19" s="96">
        <f t="shared" si="34"/>
        <v>160490</v>
      </c>
      <c r="BE19" s="51">
        <v>15</v>
      </c>
      <c r="BF19" s="80">
        <f t="shared" si="35"/>
        <v>160490</v>
      </c>
      <c r="BG19" s="81">
        <f t="shared" si="21"/>
        <v>269540</v>
      </c>
      <c r="BO19" s="287">
        <f t="shared" si="36"/>
        <v>5</v>
      </c>
      <c r="BP19" s="54">
        <f t="shared" si="36"/>
        <v>10</v>
      </c>
      <c r="BQ19" s="68">
        <f t="shared" si="36"/>
        <v>55000</v>
      </c>
      <c r="BR19" s="56">
        <f t="shared" si="22"/>
        <v>5000</v>
      </c>
      <c r="BS19" s="68">
        <f t="shared" si="37"/>
        <v>26840</v>
      </c>
      <c r="BT19" s="57">
        <f t="shared" si="23"/>
        <v>2440</v>
      </c>
      <c r="BU19" s="58">
        <f t="shared" si="38"/>
        <v>81840</v>
      </c>
      <c r="BV19" s="59">
        <f t="shared" si="24"/>
        <v>8184</v>
      </c>
      <c r="BW19" s="288">
        <f t="shared" si="39"/>
        <v>3</v>
      </c>
      <c r="BX19" s="68">
        <f t="shared" si="39"/>
        <v>50600</v>
      </c>
      <c r="BY19" s="56">
        <f t="shared" si="25"/>
        <v>15333.333333333334</v>
      </c>
      <c r="BZ19" s="68">
        <f t="shared" si="40"/>
        <v>3850</v>
      </c>
      <c r="CA19" s="57">
        <f t="shared" si="26"/>
        <v>1166.6666666666667</v>
      </c>
      <c r="CB19" s="289">
        <f t="shared" si="41"/>
        <v>54450</v>
      </c>
      <c r="CC19" s="290" t="e">
        <v>#DIV/0!</v>
      </c>
      <c r="CD19" s="291">
        <f t="shared" si="42"/>
        <v>13</v>
      </c>
      <c r="CE19" s="68">
        <f t="shared" si="42"/>
        <v>105600</v>
      </c>
      <c r="CF19" s="57">
        <f t="shared" si="43"/>
        <v>7384.6153846153848</v>
      </c>
      <c r="CG19" s="68">
        <f t="shared" si="44"/>
        <v>30690</v>
      </c>
      <c r="CH19" s="57">
        <f t="shared" si="45"/>
        <v>2146.1538461538462</v>
      </c>
      <c r="CI19" s="292">
        <f t="shared" si="46"/>
        <v>136290</v>
      </c>
      <c r="CJ19" s="293">
        <f t="shared" si="47"/>
        <v>10483.846153846154</v>
      </c>
    </row>
    <row r="20" spans="1:88" ht="13.5" customHeight="1">
      <c r="A20" s="51"/>
      <c r="B20" s="97">
        <f t="shared" si="27"/>
        <v>45977</v>
      </c>
      <c r="C20" s="84"/>
      <c r="D20" s="53">
        <v>3</v>
      </c>
      <c r="E20" s="54">
        <v>9</v>
      </c>
      <c r="F20" s="55">
        <v>70400</v>
      </c>
      <c r="G20" s="56">
        <f t="shared" si="0"/>
        <v>7111.1111111111113</v>
      </c>
      <c r="H20" s="55">
        <v>28490</v>
      </c>
      <c r="I20" s="56">
        <f t="shared" si="1"/>
        <v>2877.7777777777778</v>
      </c>
      <c r="J20" s="58">
        <f t="shared" si="2"/>
        <v>98890</v>
      </c>
      <c r="K20" s="59">
        <f t="shared" si="3"/>
        <v>10987.777777777777</v>
      </c>
      <c r="L20" s="85">
        <v>2</v>
      </c>
      <c r="M20" s="86">
        <v>4</v>
      </c>
      <c r="N20" s="87">
        <v>15400</v>
      </c>
      <c r="O20" s="88">
        <f t="shared" si="4"/>
        <v>3850</v>
      </c>
      <c r="P20" s="87">
        <v>6600</v>
      </c>
      <c r="Q20" s="89">
        <f t="shared" si="5"/>
        <v>1650</v>
      </c>
      <c r="R20" s="90">
        <f t="shared" si="48"/>
        <v>22000</v>
      </c>
      <c r="S20" s="91">
        <f t="shared" si="7"/>
        <v>5500</v>
      </c>
      <c r="T20" s="67">
        <f t="shared" si="8"/>
        <v>9</v>
      </c>
      <c r="U20" s="68">
        <f t="shared" si="9"/>
        <v>102300</v>
      </c>
      <c r="V20" s="56">
        <f t="shared" si="10"/>
        <v>10333.333333333334</v>
      </c>
      <c r="W20" s="68">
        <f t="shared" si="11"/>
        <v>16830</v>
      </c>
      <c r="X20" s="100">
        <f t="shared" si="12"/>
        <v>1700</v>
      </c>
      <c r="Y20" s="92">
        <f t="shared" si="28"/>
        <v>119130</v>
      </c>
      <c r="Z20" s="70">
        <f t="shared" si="13"/>
        <v>13236.666666666666</v>
      </c>
      <c r="AA20" s="71">
        <f t="shared" si="29"/>
        <v>22</v>
      </c>
      <c r="AB20" s="68">
        <f t="shared" si="29"/>
        <v>188100</v>
      </c>
      <c r="AC20" s="68">
        <f t="shared" si="30"/>
        <v>51920</v>
      </c>
      <c r="AD20" s="72">
        <f t="shared" si="49"/>
        <v>240020</v>
      </c>
      <c r="AE20" s="68">
        <f t="shared" si="31"/>
        <v>10910</v>
      </c>
      <c r="AF20" s="73">
        <v>48</v>
      </c>
      <c r="AG20" s="74">
        <v>50</v>
      </c>
      <c r="AH20" s="55">
        <v>70650</v>
      </c>
      <c r="AI20" s="56">
        <f t="shared" si="15"/>
        <v>1413</v>
      </c>
      <c r="AJ20" s="55">
        <v>5700</v>
      </c>
      <c r="AK20" s="57">
        <f t="shared" si="16"/>
        <v>114</v>
      </c>
      <c r="AL20" s="93">
        <f t="shared" si="32"/>
        <v>76350</v>
      </c>
      <c r="AM20" s="76">
        <f t="shared" si="17"/>
        <v>1527</v>
      </c>
      <c r="AN20" s="339">
        <v>0</v>
      </c>
      <c r="AO20" s="340">
        <v>0</v>
      </c>
      <c r="AP20" s="339">
        <v>0</v>
      </c>
      <c r="AQ20" s="340">
        <v>0</v>
      </c>
      <c r="AR20" s="99">
        <f t="shared" si="33"/>
        <v>18</v>
      </c>
      <c r="AS20" s="94">
        <f t="shared" si="18"/>
        <v>258750</v>
      </c>
      <c r="AT20" s="94">
        <f t="shared" si="19"/>
        <v>57620</v>
      </c>
      <c r="AU20" s="77">
        <f t="shared" si="20"/>
        <v>316370</v>
      </c>
      <c r="AV20" s="68">
        <f t="shared" si="50"/>
        <v>0</v>
      </c>
      <c r="AW20" s="94">
        <v>22</v>
      </c>
      <c r="AX20" s="94">
        <v>188100</v>
      </c>
      <c r="AY20" s="94">
        <v>51920</v>
      </c>
      <c r="AZ20" s="95">
        <v>0</v>
      </c>
      <c r="BA20" s="95">
        <v>0</v>
      </c>
      <c r="BB20" s="95">
        <v>0</v>
      </c>
      <c r="BC20" s="95">
        <v>0</v>
      </c>
      <c r="BD20" s="96">
        <f t="shared" si="34"/>
        <v>240020</v>
      </c>
      <c r="BE20" s="51">
        <v>16</v>
      </c>
      <c r="BF20" s="80">
        <f t="shared" si="35"/>
        <v>240020</v>
      </c>
      <c r="BG20" s="81">
        <f t="shared" si="21"/>
        <v>316370</v>
      </c>
      <c r="BO20" s="287">
        <f t="shared" si="36"/>
        <v>3</v>
      </c>
      <c r="BP20" s="54">
        <f t="shared" si="36"/>
        <v>9</v>
      </c>
      <c r="BQ20" s="68">
        <f t="shared" si="36"/>
        <v>70400</v>
      </c>
      <c r="BR20" s="56">
        <f t="shared" si="22"/>
        <v>7111.1111111111113</v>
      </c>
      <c r="BS20" s="68">
        <f t="shared" si="37"/>
        <v>28490</v>
      </c>
      <c r="BT20" s="57">
        <f t="shared" si="23"/>
        <v>2877.7777777777778</v>
      </c>
      <c r="BU20" s="58">
        <f t="shared" si="38"/>
        <v>98890</v>
      </c>
      <c r="BV20" s="59">
        <f t="shared" si="24"/>
        <v>10987.777777777777</v>
      </c>
      <c r="BW20" s="288">
        <f t="shared" si="39"/>
        <v>9</v>
      </c>
      <c r="BX20" s="68">
        <f t="shared" si="39"/>
        <v>102300</v>
      </c>
      <c r="BY20" s="56">
        <f t="shared" si="25"/>
        <v>10333.333333333334</v>
      </c>
      <c r="BZ20" s="68">
        <f t="shared" si="40"/>
        <v>16830</v>
      </c>
      <c r="CA20" s="57">
        <f t="shared" si="26"/>
        <v>1700</v>
      </c>
      <c r="CB20" s="289">
        <f t="shared" si="41"/>
        <v>119130</v>
      </c>
      <c r="CC20" s="290" t="e">
        <v>#DIV/0!</v>
      </c>
      <c r="CD20" s="291">
        <f t="shared" si="42"/>
        <v>18</v>
      </c>
      <c r="CE20" s="68">
        <f t="shared" si="42"/>
        <v>172700</v>
      </c>
      <c r="CF20" s="57">
        <f t="shared" si="43"/>
        <v>8722.2222222222226</v>
      </c>
      <c r="CG20" s="68">
        <f t="shared" si="44"/>
        <v>45320</v>
      </c>
      <c r="CH20" s="57">
        <f t="shared" si="45"/>
        <v>2288.8888888888887</v>
      </c>
      <c r="CI20" s="292">
        <f t="shared" si="46"/>
        <v>218020</v>
      </c>
      <c r="CJ20" s="293">
        <f t="shared" si="47"/>
        <v>12112.222222222223</v>
      </c>
    </row>
    <row r="21" spans="1:88" ht="15.75" customHeight="1">
      <c r="A21" s="51"/>
      <c r="B21" s="83">
        <f t="shared" si="27"/>
        <v>45978</v>
      </c>
      <c r="C21" s="84"/>
      <c r="D21" s="53">
        <v>2</v>
      </c>
      <c r="E21" s="54">
        <v>5</v>
      </c>
      <c r="F21" s="55">
        <v>22000</v>
      </c>
      <c r="G21" s="56">
        <f t="shared" si="0"/>
        <v>4000</v>
      </c>
      <c r="H21" s="55">
        <v>3520</v>
      </c>
      <c r="I21" s="56">
        <f t="shared" si="1"/>
        <v>640</v>
      </c>
      <c r="J21" s="58">
        <f t="shared" si="2"/>
        <v>25520</v>
      </c>
      <c r="K21" s="59">
        <f t="shared" si="3"/>
        <v>5104</v>
      </c>
      <c r="L21" s="85"/>
      <c r="M21" s="86"/>
      <c r="N21" s="87"/>
      <c r="O21" s="88" t="e">
        <f t="shared" si="4"/>
        <v>#DIV/0!</v>
      </c>
      <c r="P21" s="87"/>
      <c r="Q21" s="89" t="e">
        <f t="shared" si="5"/>
        <v>#DIV/0!</v>
      </c>
      <c r="R21" s="90">
        <f t="shared" si="48"/>
        <v>0</v>
      </c>
      <c r="S21" s="91" t="str">
        <f t="shared" si="7"/>
        <v/>
      </c>
      <c r="T21" s="67">
        <f t="shared" si="8"/>
        <v>23</v>
      </c>
      <c r="U21" s="68">
        <f t="shared" si="9"/>
        <v>292000</v>
      </c>
      <c r="V21" s="56">
        <f t="shared" si="10"/>
        <v>11541.478260869566</v>
      </c>
      <c r="W21" s="68">
        <f t="shared" si="11"/>
        <v>69000</v>
      </c>
      <c r="X21" s="100">
        <f t="shared" si="12"/>
        <v>2727.2608695652175</v>
      </c>
      <c r="Y21" s="92">
        <f>U21+W21</f>
        <v>361000</v>
      </c>
      <c r="Z21" s="70">
        <f t="shared" si="13"/>
        <v>15695.652173913044</v>
      </c>
      <c r="AA21" s="71">
        <f t="shared" si="29"/>
        <v>28</v>
      </c>
      <c r="AB21" s="68">
        <f t="shared" si="29"/>
        <v>314000</v>
      </c>
      <c r="AC21" s="68">
        <f t="shared" si="30"/>
        <v>72520</v>
      </c>
      <c r="AD21" s="72">
        <f t="shared" si="49"/>
        <v>386520</v>
      </c>
      <c r="AE21" s="68">
        <f t="shared" si="31"/>
        <v>13804.285714285714</v>
      </c>
      <c r="AF21" s="73">
        <v>45</v>
      </c>
      <c r="AG21" s="74">
        <v>50</v>
      </c>
      <c r="AH21" s="55">
        <v>61200</v>
      </c>
      <c r="AI21" s="56">
        <f t="shared" si="15"/>
        <v>1224</v>
      </c>
      <c r="AJ21" s="55">
        <v>9400</v>
      </c>
      <c r="AK21" s="57">
        <f t="shared" si="16"/>
        <v>188</v>
      </c>
      <c r="AL21" s="93">
        <f t="shared" si="32"/>
        <v>70600</v>
      </c>
      <c r="AM21" s="76">
        <f t="shared" si="17"/>
        <v>1412</v>
      </c>
      <c r="AN21" s="339">
        <v>0</v>
      </c>
      <c r="AO21" s="340">
        <v>0</v>
      </c>
      <c r="AP21" s="339">
        <v>0</v>
      </c>
      <c r="AQ21" s="340">
        <v>0</v>
      </c>
      <c r="AR21" s="99">
        <f t="shared" si="33"/>
        <v>28</v>
      </c>
      <c r="AS21" s="94">
        <f t="shared" si="18"/>
        <v>375200</v>
      </c>
      <c r="AT21" s="94">
        <f t="shared" si="19"/>
        <v>81920</v>
      </c>
      <c r="AU21" s="77">
        <f t="shared" si="20"/>
        <v>457120</v>
      </c>
      <c r="AV21" s="68">
        <f>AZ21+BA21+BB21</f>
        <v>0</v>
      </c>
      <c r="AW21" s="94">
        <v>28</v>
      </c>
      <c r="AX21" s="94">
        <v>314000</v>
      </c>
      <c r="AY21" s="94">
        <v>72520</v>
      </c>
      <c r="AZ21" s="95">
        <v>0</v>
      </c>
      <c r="BA21" s="95">
        <v>0</v>
      </c>
      <c r="BB21" s="95">
        <v>0</v>
      </c>
      <c r="BC21" s="95">
        <v>0</v>
      </c>
      <c r="BD21" s="96">
        <f t="shared" si="34"/>
        <v>386520</v>
      </c>
      <c r="BE21" s="51">
        <v>17</v>
      </c>
      <c r="BF21" s="80">
        <f t="shared" si="35"/>
        <v>386520</v>
      </c>
      <c r="BG21" s="81">
        <f t="shared" si="21"/>
        <v>457120</v>
      </c>
      <c r="BO21" s="287">
        <f t="shared" si="36"/>
        <v>2</v>
      </c>
      <c r="BP21" s="54">
        <f t="shared" si="36"/>
        <v>5</v>
      </c>
      <c r="BQ21" s="68">
        <f t="shared" si="36"/>
        <v>22000</v>
      </c>
      <c r="BR21" s="56">
        <f t="shared" si="22"/>
        <v>4000</v>
      </c>
      <c r="BS21" s="68">
        <f t="shared" si="37"/>
        <v>3520</v>
      </c>
      <c r="BT21" s="57">
        <f t="shared" si="23"/>
        <v>640</v>
      </c>
      <c r="BU21" s="58">
        <f t="shared" si="38"/>
        <v>25520</v>
      </c>
      <c r="BV21" s="59">
        <f t="shared" si="24"/>
        <v>5104</v>
      </c>
      <c r="BW21" s="288">
        <f t="shared" si="39"/>
        <v>23</v>
      </c>
      <c r="BX21" s="68">
        <f t="shared" si="39"/>
        <v>292000</v>
      </c>
      <c r="BY21" s="56">
        <f t="shared" si="25"/>
        <v>11541.478260869566</v>
      </c>
      <c r="BZ21" s="68">
        <f t="shared" si="40"/>
        <v>69000</v>
      </c>
      <c r="CA21" s="57">
        <f t="shared" si="26"/>
        <v>2727.2608695652175</v>
      </c>
      <c r="CB21" s="289">
        <f t="shared" si="41"/>
        <v>361000</v>
      </c>
      <c r="CC21" s="290" t="e">
        <v>#DIV/0!</v>
      </c>
      <c r="CD21" s="291">
        <f t="shared" si="42"/>
        <v>28</v>
      </c>
      <c r="CE21" s="68">
        <f t="shared" si="42"/>
        <v>314000</v>
      </c>
      <c r="CF21" s="57">
        <f t="shared" si="43"/>
        <v>10194.785714285714</v>
      </c>
      <c r="CG21" s="68">
        <f t="shared" si="44"/>
        <v>72520</v>
      </c>
      <c r="CH21" s="57">
        <f t="shared" si="45"/>
        <v>2354.5357142857142</v>
      </c>
      <c r="CI21" s="292">
        <f t="shared" si="46"/>
        <v>386520</v>
      </c>
      <c r="CJ21" s="293">
        <f t="shared" si="47"/>
        <v>13804.285714285714</v>
      </c>
    </row>
    <row r="22" spans="1:88" ht="15.75" customHeight="1">
      <c r="A22" s="51"/>
      <c r="B22" s="83">
        <f t="shared" si="27"/>
        <v>45979</v>
      </c>
      <c r="C22" s="84"/>
      <c r="D22" s="53">
        <v>5</v>
      </c>
      <c r="E22" s="54">
        <v>11</v>
      </c>
      <c r="F22" s="55">
        <v>62700</v>
      </c>
      <c r="G22" s="56">
        <f t="shared" si="0"/>
        <v>5181.818181818182</v>
      </c>
      <c r="H22" s="55">
        <v>13090</v>
      </c>
      <c r="I22" s="56">
        <f t="shared" si="1"/>
        <v>1081.8181818181818</v>
      </c>
      <c r="J22" s="58">
        <f t="shared" si="2"/>
        <v>75790</v>
      </c>
      <c r="K22" s="59">
        <f t="shared" si="3"/>
        <v>6890</v>
      </c>
      <c r="L22" s="85"/>
      <c r="M22" s="86"/>
      <c r="N22" s="87"/>
      <c r="O22" s="88" t="e">
        <f t="shared" si="4"/>
        <v>#DIV/0!</v>
      </c>
      <c r="P22" s="87"/>
      <c r="Q22" s="89" t="e">
        <f t="shared" si="5"/>
        <v>#DIV/0!</v>
      </c>
      <c r="R22" s="90">
        <f t="shared" si="48"/>
        <v>0</v>
      </c>
      <c r="S22" s="91" t="str">
        <f t="shared" si="7"/>
        <v/>
      </c>
      <c r="T22" s="67">
        <f t="shared" si="8"/>
        <v>2</v>
      </c>
      <c r="U22" s="68">
        <f t="shared" si="9"/>
        <v>33000</v>
      </c>
      <c r="V22" s="56">
        <f t="shared" si="10"/>
        <v>15000</v>
      </c>
      <c r="W22" s="68">
        <f t="shared" si="11"/>
        <v>8910</v>
      </c>
      <c r="X22" s="100">
        <f t="shared" si="12"/>
        <v>4050</v>
      </c>
      <c r="Y22" s="92">
        <f t="shared" si="28"/>
        <v>41910</v>
      </c>
      <c r="Z22" s="70">
        <f t="shared" si="13"/>
        <v>20955</v>
      </c>
      <c r="AA22" s="71">
        <f t="shared" si="29"/>
        <v>13</v>
      </c>
      <c r="AB22" s="68">
        <f t="shared" si="29"/>
        <v>95700</v>
      </c>
      <c r="AC22" s="68">
        <f t="shared" si="30"/>
        <v>22000</v>
      </c>
      <c r="AD22" s="72">
        <f t="shared" si="49"/>
        <v>117700</v>
      </c>
      <c r="AE22" s="68">
        <f t="shared" si="31"/>
        <v>9053.8461538461543</v>
      </c>
      <c r="AF22" s="73">
        <v>63</v>
      </c>
      <c r="AG22" s="74">
        <v>64</v>
      </c>
      <c r="AH22" s="55">
        <v>85100</v>
      </c>
      <c r="AI22" s="56">
        <f t="shared" si="15"/>
        <v>1329.6875</v>
      </c>
      <c r="AJ22" s="55">
        <v>10800</v>
      </c>
      <c r="AK22" s="57">
        <f t="shared" si="16"/>
        <v>168.75</v>
      </c>
      <c r="AL22" s="93">
        <f t="shared" si="32"/>
        <v>95900</v>
      </c>
      <c r="AM22" s="76">
        <f t="shared" si="17"/>
        <v>1498.4375</v>
      </c>
      <c r="AN22" s="339">
        <v>0</v>
      </c>
      <c r="AO22" s="340">
        <v>0</v>
      </c>
      <c r="AP22" s="339">
        <v>0</v>
      </c>
      <c r="AQ22" s="340">
        <v>0</v>
      </c>
      <c r="AR22" s="99">
        <f t="shared" si="33"/>
        <v>13</v>
      </c>
      <c r="AS22" s="94">
        <f t="shared" si="18"/>
        <v>180800</v>
      </c>
      <c r="AT22" s="94">
        <f t="shared" si="19"/>
        <v>32800</v>
      </c>
      <c r="AU22" s="77">
        <f t="shared" si="20"/>
        <v>213600</v>
      </c>
      <c r="AV22" s="68">
        <f t="shared" si="50"/>
        <v>0</v>
      </c>
      <c r="AW22" s="94">
        <v>13</v>
      </c>
      <c r="AX22" s="94">
        <v>95700</v>
      </c>
      <c r="AY22" s="94">
        <v>22000</v>
      </c>
      <c r="AZ22" s="95">
        <v>0</v>
      </c>
      <c r="BA22" s="95">
        <v>0</v>
      </c>
      <c r="BB22" s="95">
        <v>0</v>
      </c>
      <c r="BC22" s="95">
        <v>0</v>
      </c>
      <c r="BD22" s="96">
        <f t="shared" si="34"/>
        <v>117700</v>
      </c>
      <c r="BE22" s="51">
        <v>18</v>
      </c>
      <c r="BF22" s="80">
        <f t="shared" si="35"/>
        <v>117700</v>
      </c>
      <c r="BG22" s="81">
        <f t="shared" si="21"/>
        <v>213600</v>
      </c>
      <c r="BO22" s="287">
        <f t="shared" si="36"/>
        <v>5</v>
      </c>
      <c r="BP22" s="54">
        <f t="shared" si="36"/>
        <v>11</v>
      </c>
      <c r="BQ22" s="68">
        <f t="shared" si="36"/>
        <v>62700</v>
      </c>
      <c r="BR22" s="56">
        <f t="shared" si="22"/>
        <v>5181.818181818182</v>
      </c>
      <c r="BS22" s="68">
        <f t="shared" si="37"/>
        <v>13090</v>
      </c>
      <c r="BT22" s="57">
        <f t="shared" si="23"/>
        <v>1081.8181818181818</v>
      </c>
      <c r="BU22" s="58">
        <f t="shared" si="38"/>
        <v>75790</v>
      </c>
      <c r="BV22" s="59">
        <f t="shared" si="24"/>
        <v>6890</v>
      </c>
      <c r="BW22" s="288">
        <f t="shared" si="39"/>
        <v>2</v>
      </c>
      <c r="BX22" s="68">
        <f t="shared" si="39"/>
        <v>33000</v>
      </c>
      <c r="BY22" s="56">
        <f t="shared" si="25"/>
        <v>15000</v>
      </c>
      <c r="BZ22" s="68">
        <f t="shared" si="40"/>
        <v>8910</v>
      </c>
      <c r="CA22" s="57">
        <f t="shared" si="26"/>
        <v>4050</v>
      </c>
      <c r="CB22" s="289">
        <f t="shared" si="41"/>
        <v>41910</v>
      </c>
      <c r="CC22" s="290" t="e">
        <v>#DIV/0!</v>
      </c>
      <c r="CD22" s="291">
        <f t="shared" si="42"/>
        <v>13</v>
      </c>
      <c r="CE22" s="68">
        <f t="shared" si="42"/>
        <v>95700</v>
      </c>
      <c r="CF22" s="57">
        <f t="shared" si="43"/>
        <v>6692.3076923076924</v>
      </c>
      <c r="CG22" s="68">
        <f t="shared" si="44"/>
        <v>22000</v>
      </c>
      <c r="CH22" s="57">
        <f t="shared" si="45"/>
        <v>1538.4615384615386</v>
      </c>
      <c r="CI22" s="292">
        <f t="shared" si="46"/>
        <v>117700</v>
      </c>
      <c r="CJ22" s="293">
        <f t="shared" si="47"/>
        <v>9053.8461538461543</v>
      </c>
    </row>
    <row r="23" spans="1:88" ht="15.75" customHeight="1">
      <c r="A23" s="51"/>
      <c r="B23" s="83">
        <f t="shared" si="27"/>
        <v>45980</v>
      </c>
      <c r="C23" s="84"/>
      <c r="D23" s="53">
        <v>5</v>
      </c>
      <c r="E23" s="54">
        <v>10</v>
      </c>
      <c r="F23" s="55">
        <v>51800</v>
      </c>
      <c r="G23" s="56">
        <f t="shared" si="0"/>
        <v>4709</v>
      </c>
      <c r="H23" s="55">
        <v>12550</v>
      </c>
      <c r="I23" s="56">
        <f t="shared" si="1"/>
        <v>1140.9000000000001</v>
      </c>
      <c r="J23" s="58">
        <f t="shared" si="2"/>
        <v>64350</v>
      </c>
      <c r="K23" s="59">
        <f t="shared" si="3"/>
        <v>6435</v>
      </c>
      <c r="L23" s="85"/>
      <c r="M23" s="86"/>
      <c r="N23" s="87"/>
      <c r="O23" s="88" t="e">
        <f t="shared" si="4"/>
        <v>#DIV/0!</v>
      </c>
      <c r="P23" s="87"/>
      <c r="Q23" s="89" t="e">
        <f t="shared" si="5"/>
        <v>#DIV/0!</v>
      </c>
      <c r="R23" s="90">
        <f t="shared" si="48"/>
        <v>0</v>
      </c>
      <c r="S23" s="91" t="str">
        <f t="shared" si="7"/>
        <v/>
      </c>
      <c r="T23" s="67">
        <f t="shared" si="8"/>
        <v>0</v>
      </c>
      <c r="U23" s="68">
        <f t="shared" si="9"/>
        <v>0</v>
      </c>
      <c r="V23" s="56" t="e">
        <f t="shared" si="10"/>
        <v>#DIV/0!</v>
      </c>
      <c r="W23" s="68">
        <f t="shared" si="11"/>
        <v>0</v>
      </c>
      <c r="X23" s="100" t="e">
        <f t="shared" si="12"/>
        <v>#DIV/0!</v>
      </c>
      <c r="Y23" s="92">
        <f t="shared" si="28"/>
        <v>0</v>
      </c>
      <c r="Z23" s="70" t="e">
        <f t="shared" si="13"/>
        <v>#DIV/0!</v>
      </c>
      <c r="AA23" s="71">
        <f t="shared" si="29"/>
        <v>10</v>
      </c>
      <c r="AB23" s="68">
        <f t="shared" si="29"/>
        <v>51800</v>
      </c>
      <c r="AC23" s="68">
        <f t="shared" si="30"/>
        <v>12550</v>
      </c>
      <c r="AD23" s="72">
        <f t="shared" si="49"/>
        <v>64350</v>
      </c>
      <c r="AE23" s="68">
        <f t="shared" si="31"/>
        <v>6435</v>
      </c>
      <c r="AF23" s="73">
        <v>54</v>
      </c>
      <c r="AG23" s="74">
        <v>55</v>
      </c>
      <c r="AH23" s="55">
        <v>70550</v>
      </c>
      <c r="AI23" s="56">
        <f t="shared" si="15"/>
        <v>1282.7272727272727</v>
      </c>
      <c r="AJ23" s="55">
        <v>7600</v>
      </c>
      <c r="AK23" s="57">
        <f t="shared" si="16"/>
        <v>138.18181818181819</v>
      </c>
      <c r="AL23" s="93">
        <f t="shared" si="32"/>
        <v>78150</v>
      </c>
      <c r="AM23" s="76">
        <f t="shared" si="17"/>
        <v>1420.909090909091</v>
      </c>
      <c r="AN23" s="339">
        <v>0</v>
      </c>
      <c r="AO23" s="340">
        <v>0</v>
      </c>
      <c r="AP23" s="339">
        <v>0</v>
      </c>
      <c r="AQ23" s="340">
        <v>0</v>
      </c>
      <c r="AR23" s="99">
        <f t="shared" si="33"/>
        <v>10</v>
      </c>
      <c r="AS23" s="94">
        <f t="shared" si="18"/>
        <v>122350</v>
      </c>
      <c r="AT23" s="94">
        <f t="shared" si="19"/>
        <v>20150</v>
      </c>
      <c r="AU23" s="77">
        <f t="shared" si="20"/>
        <v>142500</v>
      </c>
      <c r="AV23" s="68">
        <f t="shared" si="50"/>
        <v>0</v>
      </c>
      <c r="AW23" s="94">
        <v>10</v>
      </c>
      <c r="AX23" s="94">
        <v>51800</v>
      </c>
      <c r="AY23" s="94">
        <v>12550</v>
      </c>
      <c r="AZ23" s="95">
        <v>0</v>
      </c>
      <c r="BA23" s="95">
        <v>0</v>
      </c>
      <c r="BB23" s="95">
        <v>0</v>
      </c>
      <c r="BC23" s="95">
        <v>0</v>
      </c>
      <c r="BD23" s="96">
        <f t="shared" si="34"/>
        <v>64350</v>
      </c>
      <c r="BE23" s="51">
        <v>19</v>
      </c>
      <c r="BF23" s="80">
        <f t="shared" si="35"/>
        <v>64350</v>
      </c>
      <c r="BG23" s="81">
        <f t="shared" si="21"/>
        <v>142500</v>
      </c>
      <c r="BO23" s="287">
        <f t="shared" si="36"/>
        <v>5</v>
      </c>
      <c r="BP23" s="54">
        <f t="shared" si="36"/>
        <v>10</v>
      </c>
      <c r="BQ23" s="68">
        <f t="shared" si="36"/>
        <v>51800</v>
      </c>
      <c r="BR23" s="56">
        <f t="shared" si="22"/>
        <v>4709</v>
      </c>
      <c r="BS23" s="68">
        <f t="shared" si="37"/>
        <v>12550</v>
      </c>
      <c r="BT23" s="57">
        <f t="shared" si="23"/>
        <v>1140.9000000000001</v>
      </c>
      <c r="BU23" s="58">
        <f t="shared" si="38"/>
        <v>64350</v>
      </c>
      <c r="BV23" s="59">
        <f t="shared" si="24"/>
        <v>6435</v>
      </c>
      <c r="BW23" s="288">
        <f t="shared" si="39"/>
        <v>0</v>
      </c>
      <c r="BX23" s="68">
        <f t="shared" si="39"/>
        <v>0</v>
      </c>
      <c r="BY23" s="56" t="e">
        <f t="shared" si="25"/>
        <v>#DIV/0!</v>
      </c>
      <c r="BZ23" s="68">
        <f t="shared" si="40"/>
        <v>0</v>
      </c>
      <c r="CA23" s="57" t="e">
        <f t="shared" si="26"/>
        <v>#DIV/0!</v>
      </c>
      <c r="CB23" s="289">
        <f t="shared" si="41"/>
        <v>0</v>
      </c>
      <c r="CC23" s="290" t="e">
        <v>#DIV/0!</v>
      </c>
      <c r="CD23" s="291">
        <f t="shared" si="42"/>
        <v>10</v>
      </c>
      <c r="CE23" s="68">
        <f t="shared" si="42"/>
        <v>51800</v>
      </c>
      <c r="CF23" s="57">
        <f t="shared" si="43"/>
        <v>4709</v>
      </c>
      <c r="CG23" s="68">
        <f t="shared" si="44"/>
        <v>12550</v>
      </c>
      <c r="CH23" s="57">
        <f t="shared" si="45"/>
        <v>1140.9000000000001</v>
      </c>
      <c r="CI23" s="292">
        <f t="shared" si="46"/>
        <v>64350</v>
      </c>
      <c r="CJ23" s="293">
        <f t="shared" si="47"/>
        <v>6435</v>
      </c>
    </row>
    <row r="24" spans="1:88" ht="15.75" customHeight="1">
      <c r="A24" s="51"/>
      <c r="B24" s="83">
        <f t="shared" si="27"/>
        <v>45981</v>
      </c>
      <c r="C24" s="84"/>
      <c r="D24" s="53">
        <v>4</v>
      </c>
      <c r="E24" s="54">
        <v>6</v>
      </c>
      <c r="F24" s="55">
        <v>37400</v>
      </c>
      <c r="G24" s="56">
        <f t="shared" si="0"/>
        <v>5666.666666666667</v>
      </c>
      <c r="H24" s="55">
        <v>6050</v>
      </c>
      <c r="I24" s="56">
        <f t="shared" si="1"/>
        <v>916.66666666666663</v>
      </c>
      <c r="J24" s="58">
        <f t="shared" si="2"/>
        <v>43450</v>
      </c>
      <c r="K24" s="59">
        <f t="shared" si="3"/>
        <v>7241.666666666667</v>
      </c>
      <c r="L24" s="85">
        <v>2</v>
      </c>
      <c r="M24" s="86">
        <v>4</v>
      </c>
      <c r="N24" s="87">
        <v>15400</v>
      </c>
      <c r="O24" s="88">
        <f t="shared" si="4"/>
        <v>3850</v>
      </c>
      <c r="P24" s="87">
        <v>2200</v>
      </c>
      <c r="Q24" s="89">
        <f t="shared" si="5"/>
        <v>550</v>
      </c>
      <c r="R24" s="90">
        <f t="shared" si="48"/>
        <v>17600</v>
      </c>
      <c r="S24" s="91">
        <f t="shared" si="7"/>
        <v>4400</v>
      </c>
      <c r="T24" s="67">
        <f t="shared" si="8"/>
        <v>5</v>
      </c>
      <c r="U24" s="68">
        <f t="shared" si="9"/>
        <v>72600</v>
      </c>
      <c r="V24" s="56">
        <f t="shared" si="10"/>
        <v>13200</v>
      </c>
      <c r="W24" s="68">
        <f t="shared" si="11"/>
        <v>33110</v>
      </c>
      <c r="X24" s="100">
        <f t="shared" si="12"/>
        <v>6020</v>
      </c>
      <c r="Y24" s="92">
        <f t="shared" si="28"/>
        <v>105710</v>
      </c>
      <c r="Z24" s="70">
        <f t="shared" si="13"/>
        <v>21142</v>
      </c>
      <c r="AA24" s="71">
        <f t="shared" si="29"/>
        <v>15</v>
      </c>
      <c r="AB24" s="68">
        <f t="shared" si="29"/>
        <v>125400</v>
      </c>
      <c r="AC24" s="68">
        <f t="shared" si="30"/>
        <v>41360</v>
      </c>
      <c r="AD24" s="72">
        <f t="shared" si="49"/>
        <v>166760</v>
      </c>
      <c r="AE24" s="68">
        <f t="shared" si="31"/>
        <v>11117.333333333334</v>
      </c>
      <c r="AF24" s="73">
        <v>43</v>
      </c>
      <c r="AG24" s="74">
        <v>43</v>
      </c>
      <c r="AH24" s="55">
        <v>60000</v>
      </c>
      <c r="AI24" s="56">
        <f t="shared" si="15"/>
        <v>1395.3488372093022</v>
      </c>
      <c r="AJ24" s="55">
        <v>4800</v>
      </c>
      <c r="AK24" s="57">
        <f t="shared" si="16"/>
        <v>111.62790697674419</v>
      </c>
      <c r="AL24" s="93">
        <f t="shared" si="32"/>
        <v>64800</v>
      </c>
      <c r="AM24" s="76">
        <f t="shared" si="17"/>
        <v>1506.9767441860465</v>
      </c>
      <c r="AN24" s="339">
        <v>1</v>
      </c>
      <c r="AO24" s="340">
        <v>1</v>
      </c>
      <c r="AP24" s="339">
        <v>0</v>
      </c>
      <c r="AQ24" s="340">
        <v>0</v>
      </c>
      <c r="AR24" s="99">
        <f t="shared" si="33"/>
        <v>11</v>
      </c>
      <c r="AS24" s="94">
        <f t="shared" si="18"/>
        <v>185400</v>
      </c>
      <c r="AT24" s="94">
        <f t="shared" si="19"/>
        <v>46160</v>
      </c>
      <c r="AU24" s="77">
        <f t="shared" si="20"/>
        <v>231560</v>
      </c>
      <c r="AV24" s="68">
        <f t="shared" si="50"/>
        <v>0</v>
      </c>
      <c r="AW24" s="94">
        <v>15</v>
      </c>
      <c r="AX24" s="94">
        <v>125400</v>
      </c>
      <c r="AY24" s="94">
        <v>41360</v>
      </c>
      <c r="AZ24" s="95">
        <v>0</v>
      </c>
      <c r="BA24" s="95">
        <v>0</v>
      </c>
      <c r="BB24" s="95">
        <v>0</v>
      </c>
      <c r="BC24" s="95">
        <v>0</v>
      </c>
      <c r="BD24" s="96">
        <f t="shared" si="34"/>
        <v>166760</v>
      </c>
      <c r="BE24" s="51">
        <v>20</v>
      </c>
      <c r="BF24" s="80">
        <f t="shared" si="35"/>
        <v>166760</v>
      </c>
      <c r="BG24" s="81">
        <f t="shared" si="21"/>
        <v>231560</v>
      </c>
      <c r="BO24" s="287">
        <f t="shared" si="36"/>
        <v>4</v>
      </c>
      <c r="BP24" s="54">
        <f t="shared" si="36"/>
        <v>6</v>
      </c>
      <c r="BQ24" s="68">
        <f t="shared" si="36"/>
        <v>37400</v>
      </c>
      <c r="BR24" s="56">
        <f t="shared" si="22"/>
        <v>5666.666666666667</v>
      </c>
      <c r="BS24" s="68">
        <f t="shared" si="37"/>
        <v>6050</v>
      </c>
      <c r="BT24" s="57">
        <f t="shared" si="23"/>
        <v>916.66666666666663</v>
      </c>
      <c r="BU24" s="58">
        <f t="shared" si="38"/>
        <v>43450</v>
      </c>
      <c r="BV24" s="59">
        <f t="shared" si="24"/>
        <v>7241.666666666667</v>
      </c>
      <c r="BW24" s="288">
        <f t="shared" si="39"/>
        <v>5</v>
      </c>
      <c r="BX24" s="68">
        <f t="shared" si="39"/>
        <v>72600</v>
      </c>
      <c r="BY24" s="56">
        <f t="shared" si="25"/>
        <v>13200</v>
      </c>
      <c r="BZ24" s="68">
        <f t="shared" si="40"/>
        <v>33110</v>
      </c>
      <c r="CA24" s="57">
        <f t="shared" si="26"/>
        <v>6020</v>
      </c>
      <c r="CB24" s="289">
        <f t="shared" si="41"/>
        <v>105710</v>
      </c>
      <c r="CC24" s="290" t="e">
        <v>#DIV/0!</v>
      </c>
      <c r="CD24" s="291">
        <f t="shared" si="42"/>
        <v>11</v>
      </c>
      <c r="CE24" s="68">
        <f t="shared" si="42"/>
        <v>110000</v>
      </c>
      <c r="CF24" s="57">
        <f t="shared" si="43"/>
        <v>9090.9090909090901</v>
      </c>
      <c r="CG24" s="68">
        <f t="shared" si="44"/>
        <v>39160</v>
      </c>
      <c r="CH24" s="57">
        <f t="shared" si="45"/>
        <v>3236.3636363636365</v>
      </c>
      <c r="CI24" s="292">
        <f t="shared" si="46"/>
        <v>149160</v>
      </c>
      <c r="CJ24" s="293">
        <f t="shared" si="47"/>
        <v>13560</v>
      </c>
    </row>
    <row r="25" spans="1:88" ht="15.75" customHeight="1">
      <c r="A25" s="51"/>
      <c r="B25" s="83">
        <f t="shared" si="27"/>
        <v>45982</v>
      </c>
      <c r="C25" s="84"/>
      <c r="D25" s="53">
        <v>2</v>
      </c>
      <c r="E25" s="54">
        <v>4</v>
      </c>
      <c r="F25" s="55">
        <v>35200</v>
      </c>
      <c r="G25" s="56">
        <f t="shared" si="0"/>
        <v>8000</v>
      </c>
      <c r="H25" s="55">
        <v>10560</v>
      </c>
      <c r="I25" s="56">
        <f t="shared" si="1"/>
        <v>2400</v>
      </c>
      <c r="J25" s="58">
        <f t="shared" si="2"/>
        <v>45760</v>
      </c>
      <c r="K25" s="59">
        <f t="shared" si="3"/>
        <v>11440</v>
      </c>
      <c r="L25" s="85">
        <v>1</v>
      </c>
      <c r="M25" s="86">
        <v>2</v>
      </c>
      <c r="N25" s="87">
        <v>7700</v>
      </c>
      <c r="O25" s="88">
        <f t="shared" si="4"/>
        <v>3850</v>
      </c>
      <c r="P25" s="87">
        <v>1100</v>
      </c>
      <c r="Q25" s="89">
        <f t="shared" si="5"/>
        <v>550</v>
      </c>
      <c r="R25" s="90">
        <f t="shared" si="48"/>
        <v>8800</v>
      </c>
      <c r="S25" s="91">
        <f t="shared" si="7"/>
        <v>4400</v>
      </c>
      <c r="T25" s="67">
        <f t="shared" si="8"/>
        <v>19</v>
      </c>
      <c r="U25" s="68">
        <f t="shared" si="9"/>
        <v>190000</v>
      </c>
      <c r="V25" s="56">
        <f t="shared" si="10"/>
        <v>9090.894736842105</v>
      </c>
      <c r="W25" s="68">
        <f t="shared" si="11"/>
        <v>57000</v>
      </c>
      <c r="X25" s="100">
        <f t="shared" si="12"/>
        <v>2727.2631578947367</v>
      </c>
      <c r="Y25" s="92">
        <f t="shared" si="28"/>
        <v>247000</v>
      </c>
      <c r="Z25" s="70">
        <f t="shared" si="13"/>
        <v>13000</v>
      </c>
      <c r="AA25" s="71">
        <f t="shared" si="29"/>
        <v>25</v>
      </c>
      <c r="AB25" s="68">
        <f t="shared" si="29"/>
        <v>232900</v>
      </c>
      <c r="AC25" s="68">
        <f t="shared" si="30"/>
        <v>68660</v>
      </c>
      <c r="AD25" s="72">
        <f t="shared" si="49"/>
        <v>301560</v>
      </c>
      <c r="AE25" s="68">
        <f t="shared" si="31"/>
        <v>12062.4</v>
      </c>
      <c r="AF25" s="73">
        <v>137</v>
      </c>
      <c r="AG25" s="74">
        <v>148</v>
      </c>
      <c r="AH25" s="55">
        <v>115100</v>
      </c>
      <c r="AI25" s="56">
        <f t="shared" si="15"/>
        <v>777.70270270270271</v>
      </c>
      <c r="AJ25" s="55">
        <v>42000</v>
      </c>
      <c r="AK25" s="57">
        <f t="shared" si="16"/>
        <v>283.7837837837838</v>
      </c>
      <c r="AL25" s="93">
        <f t="shared" si="32"/>
        <v>157100</v>
      </c>
      <c r="AM25" s="76">
        <f t="shared" si="17"/>
        <v>1061.4864864864865</v>
      </c>
      <c r="AN25" s="339">
        <v>1</v>
      </c>
      <c r="AO25" s="340">
        <v>2</v>
      </c>
      <c r="AP25" s="339">
        <v>0</v>
      </c>
      <c r="AQ25" s="340">
        <v>0</v>
      </c>
      <c r="AR25" s="99">
        <v>0</v>
      </c>
      <c r="AS25" s="94">
        <f t="shared" si="18"/>
        <v>348000</v>
      </c>
      <c r="AT25" s="94">
        <f t="shared" si="19"/>
        <v>110660</v>
      </c>
      <c r="AU25" s="77">
        <f t="shared" si="20"/>
        <v>458660</v>
      </c>
      <c r="AV25" s="68">
        <f t="shared" si="50"/>
        <v>0</v>
      </c>
      <c r="AW25" s="94">
        <v>25</v>
      </c>
      <c r="AX25" s="94">
        <v>232900</v>
      </c>
      <c r="AY25" s="94">
        <v>68660</v>
      </c>
      <c r="AZ25" s="95">
        <v>0</v>
      </c>
      <c r="BA25" s="95">
        <v>0</v>
      </c>
      <c r="BB25" s="95">
        <v>0</v>
      </c>
      <c r="BC25" s="95">
        <v>0</v>
      </c>
      <c r="BD25" s="96">
        <f>SUM(AX25:BB25)</f>
        <v>301560</v>
      </c>
      <c r="BE25" s="51">
        <v>21</v>
      </c>
      <c r="BF25" s="80">
        <f t="shared" si="35"/>
        <v>301560</v>
      </c>
      <c r="BG25" s="81">
        <f t="shared" si="21"/>
        <v>458660</v>
      </c>
      <c r="BO25" s="287">
        <f t="shared" si="36"/>
        <v>2</v>
      </c>
      <c r="BP25" s="54">
        <f t="shared" si="36"/>
        <v>4</v>
      </c>
      <c r="BQ25" s="68">
        <f t="shared" si="36"/>
        <v>35200</v>
      </c>
      <c r="BR25" s="56">
        <f t="shared" si="22"/>
        <v>8000</v>
      </c>
      <c r="BS25" s="68">
        <f t="shared" si="37"/>
        <v>10560</v>
      </c>
      <c r="BT25" s="57">
        <f t="shared" si="23"/>
        <v>2400</v>
      </c>
      <c r="BU25" s="58">
        <f t="shared" si="38"/>
        <v>45760</v>
      </c>
      <c r="BV25" s="59">
        <f t="shared" si="24"/>
        <v>11440</v>
      </c>
      <c r="BW25" s="288">
        <f t="shared" si="39"/>
        <v>19</v>
      </c>
      <c r="BX25" s="68">
        <f t="shared" si="39"/>
        <v>190000</v>
      </c>
      <c r="BY25" s="56">
        <f t="shared" si="25"/>
        <v>9090.894736842105</v>
      </c>
      <c r="BZ25" s="68">
        <f t="shared" si="40"/>
        <v>57000</v>
      </c>
      <c r="CA25" s="57">
        <f t="shared" si="26"/>
        <v>2727.2631578947367</v>
      </c>
      <c r="CB25" s="289">
        <f t="shared" si="41"/>
        <v>247000</v>
      </c>
      <c r="CC25" s="290" t="e">
        <v>#DIV/0!</v>
      </c>
      <c r="CD25" s="291">
        <f t="shared" si="42"/>
        <v>23</v>
      </c>
      <c r="CE25" s="68">
        <f t="shared" si="42"/>
        <v>225200</v>
      </c>
      <c r="CF25" s="57">
        <f t="shared" si="43"/>
        <v>8901.173913043478</v>
      </c>
      <c r="CG25" s="68">
        <f t="shared" si="44"/>
        <v>67560</v>
      </c>
      <c r="CH25" s="57">
        <f t="shared" si="45"/>
        <v>2670.3478260869565</v>
      </c>
      <c r="CI25" s="292">
        <f t="shared" si="46"/>
        <v>292760</v>
      </c>
      <c r="CJ25" s="293">
        <f t="shared" si="47"/>
        <v>12728.695652173914</v>
      </c>
    </row>
    <row r="26" spans="1:88" ht="15.75" customHeight="1">
      <c r="A26" s="51"/>
      <c r="B26" s="338">
        <f t="shared" si="27"/>
        <v>45983</v>
      </c>
      <c r="C26" s="84"/>
      <c r="D26" s="53">
        <v>7</v>
      </c>
      <c r="E26" s="54">
        <v>15</v>
      </c>
      <c r="F26" s="55">
        <v>95700</v>
      </c>
      <c r="G26" s="56">
        <f t="shared" si="0"/>
        <v>5800</v>
      </c>
      <c r="H26" s="55">
        <v>26180</v>
      </c>
      <c r="I26" s="56">
        <f t="shared" si="1"/>
        <v>1586.6666666666667</v>
      </c>
      <c r="J26" s="58">
        <f t="shared" si="2"/>
        <v>121880</v>
      </c>
      <c r="K26" s="59">
        <f t="shared" si="3"/>
        <v>8125.333333333333</v>
      </c>
      <c r="L26" s="85">
        <v>1</v>
      </c>
      <c r="M26" s="86">
        <v>2</v>
      </c>
      <c r="N26" s="87">
        <v>7700</v>
      </c>
      <c r="O26" s="88">
        <f t="shared" si="4"/>
        <v>3850</v>
      </c>
      <c r="P26" s="87">
        <v>1100</v>
      </c>
      <c r="Q26" s="89">
        <f t="shared" si="5"/>
        <v>550</v>
      </c>
      <c r="R26" s="90">
        <f t="shared" si="48"/>
        <v>8800</v>
      </c>
      <c r="S26" s="91">
        <f t="shared" si="7"/>
        <v>4400</v>
      </c>
      <c r="T26" s="67">
        <f t="shared" si="8"/>
        <v>17</v>
      </c>
      <c r="U26" s="68">
        <f t="shared" si="9"/>
        <v>268250</v>
      </c>
      <c r="V26" s="56">
        <f t="shared" si="10"/>
        <v>14344.882352941177</v>
      </c>
      <c r="W26" s="68">
        <f t="shared" si="11"/>
        <v>101050</v>
      </c>
      <c r="X26" s="100">
        <f t="shared" si="12"/>
        <v>5403.7058823529414</v>
      </c>
      <c r="Y26" s="92">
        <f t="shared" si="28"/>
        <v>369300</v>
      </c>
      <c r="Z26" s="70">
        <f t="shared" si="13"/>
        <v>21723.529411764706</v>
      </c>
      <c r="AA26" s="71">
        <f t="shared" si="29"/>
        <v>34</v>
      </c>
      <c r="AB26" s="68">
        <f t="shared" si="29"/>
        <v>371650</v>
      </c>
      <c r="AC26" s="68">
        <f t="shared" si="30"/>
        <v>128330</v>
      </c>
      <c r="AD26" s="72">
        <f t="shared" si="49"/>
        <v>499980</v>
      </c>
      <c r="AE26" s="68">
        <f t="shared" si="31"/>
        <v>14705.294117647059</v>
      </c>
      <c r="AF26" s="73">
        <v>105</v>
      </c>
      <c r="AG26" s="74">
        <v>116</v>
      </c>
      <c r="AH26" s="55">
        <v>106150</v>
      </c>
      <c r="AI26" s="56">
        <f t="shared" si="15"/>
        <v>915.08620689655174</v>
      </c>
      <c r="AJ26" s="55">
        <v>31800</v>
      </c>
      <c r="AK26" s="57">
        <f t="shared" si="16"/>
        <v>274.13793103448273</v>
      </c>
      <c r="AL26" s="93">
        <f t="shared" si="32"/>
        <v>137950</v>
      </c>
      <c r="AM26" s="76">
        <f t="shared" si="17"/>
        <v>1189.2241379310344</v>
      </c>
      <c r="AN26" s="339">
        <v>0</v>
      </c>
      <c r="AO26" s="340">
        <v>0</v>
      </c>
      <c r="AP26" s="339">
        <v>0</v>
      </c>
      <c r="AQ26" s="340">
        <v>0</v>
      </c>
      <c r="AR26" s="99">
        <f t="shared" ref="AR26:AR34" si="51">SUM(E26,T26)</f>
        <v>32</v>
      </c>
      <c r="AS26" s="94">
        <f t="shared" si="18"/>
        <v>477800</v>
      </c>
      <c r="AT26" s="94">
        <f t="shared" si="19"/>
        <v>160130</v>
      </c>
      <c r="AU26" s="77">
        <f t="shared" si="20"/>
        <v>637930</v>
      </c>
      <c r="AV26" s="68">
        <f t="shared" si="50"/>
        <v>4400</v>
      </c>
      <c r="AW26" s="94">
        <v>34</v>
      </c>
      <c r="AX26" s="94">
        <v>371650</v>
      </c>
      <c r="AY26" s="94">
        <v>128330</v>
      </c>
      <c r="AZ26" s="95">
        <v>4400</v>
      </c>
      <c r="BA26" s="95">
        <v>0</v>
      </c>
      <c r="BB26" s="95">
        <v>0</v>
      </c>
      <c r="BC26" s="95">
        <v>15400</v>
      </c>
      <c r="BD26" s="96">
        <f t="shared" si="34"/>
        <v>504380</v>
      </c>
      <c r="BE26" s="51">
        <v>22</v>
      </c>
      <c r="BF26" s="80">
        <f t="shared" si="35"/>
        <v>519780</v>
      </c>
      <c r="BG26" s="81">
        <f t="shared" si="21"/>
        <v>642330</v>
      </c>
      <c r="BO26" s="287">
        <f t="shared" si="36"/>
        <v>7</v>
      </c>
      <c r="BP26" s="54">
        <f t="shared" si="36"/>
        <v>15</v>
      </c>
      <c r="BQ26" s="68">
        <f t="shared" si="36"/>
        <v>95700</v>
      </c>
      <c r="BR26" s="56">
        <f t="shared" si="22"/>
        <v>5800</v>
      </c>
      <c r="BS26" s="68">
        <f t="shared" si="37"/>
        <v>26180</v>
      </c>
      <c r="BT26" s="57">
        <f t="shared" si="23"/>
        <v>1586.6666666666667</v>
      </c>
      <c r="BU26" s="58">
        <f t="shared" si="38"/>
        <v>121880</v>
      </c>
      <c r="BV26" s="59">
        <f t="shared" si="24"/>
        <v>8125.333333333333</v>
      </c>
      <c r="BW26" s="288">
        <f t="shared" si="39"/>
        <v>17</v>
      </c>
      <c r="BX26" s="68">
        <f t="shared" si="39"/>
        <v>268250</v>
      </c>
      <c r="BY26" s="56">
        <f t="shared" si="25"/>
        <v>14344.882352941177</v>
      </c>
      <c r="BZ26" s="68">
        <f t="shared" si="40"/>
        <v>101050</v>
      </c>
      <c r="CA26" s="57">
        <f t="shared" si="26"/>
        <v>5403.7058823529414</v>
      </c>
      <c r="CB26" s="289">
        <f t="shared" si="41"/>
        <v>369300</v>
      </c>
      <c r="CC26" s="290" t="e">
        <v>#DIV/0!</v>
      </c>
      <c r="CD26" s="291">
        <f t="shared" si="42"/>
        <v>32</v>
      </c>
      <c r="CE26" s="68">
        <f t="shared" si="42"/>
        <v>363950</v>
      </c>
      <c r="CF26" s="57">
        <f t="shared" si="43"/>
        <v>10339.46875</v>
      </c>
      <c r="CG26" s="68">
        <f t="shared" si="44"/>
        <v>127230</v>
      </c>
      <c r="CH26" s="57">
        <f t="shared" si="45"/>
        <v>3614.46875</v>
      </c>
      <c r="CI26" s="292">
        <f t="shared" si="46"/>
        <v>491180</v>
      </c>
      <c r="CJ26" s="293">
        <f t="shared" si="47"/>
        <v>15349.375</v>
      </c>
    </row>
    <row r="27" spans="1:88" ht="15.75" customHeight="1">
      <c r="A27" s="51"/>
      <c r="B27" s="97">
        <f t="shared" si="27"/>
        <v>45984</v>
      </c>
      <c r="C27" s="84"/>
      <c r="D27" s="53">
        <v>7</v>
      </c>
      <c r="E27" s="54">
        <v>24</v>
      </c>
      <c r="F27" s="55">
        <v>177100</v>
      </c>
      <c r="G27" s="56">
        <f t="shared" si="0"/>
        <v>6708.333333333333</v>
      </c>
      <c r="H27" s="55">
        <v>179850</v>
      </c>
      <c r="I27" s="56">
        <f t="shared" si="1"/>
        <v>6812.5</v>
      </c>
      <c r="J27" s="58">
        <f t="shared" si="2"/>
        <v>356950</v>
      </c>
      <c r="K27" s="59">
        <f t="shared" si="3"/>
        <v>14872.916666666666</v>
      </c>
      <c r="L27" s="85">
        <v>4</v>
      </c>
      <c r="M27" s="86">
        <v>8</v>
      </c>
      <c r="N27" s="87">
        <v>30800</v>
      </c>
      <c r="O27" s="88">
        <f t="shared" si="4"/>
        <v>3850</v>
      </c>
      <c r="P27" s="87">
        <v>8800</v>
      </c>
      <c r="Q27" s="89">
        <f t="shared" si="5"/>
        <v>1100</v>
      </c>
      <c r="R27" s="90">
        <f t="shared" si="48"/>
        <v>39600</v>
      </c>
      <c r="S27" s="91">
        <f t="shared" si="7"/>
        <v>4950</v>
      </c>
      <c r="T27" s="67">
        <f t="shared" si="8"/>
        <v>6</v>
      </c>
      <c r="U27" s="68">
        <f t="shared" si="9"/>
        <v>92400</v>
      </c>
      <c r="V27" s="56">
        <f t="shared" si="10"/>
        <v>14000</v>
      </c>
      <c r="W27" s="68">
        <f t="shared" si="11"/>
        <v>15840</v>
      </c>
      <c r="X27" s="57">
        <f t="shared" si="12"/>
        <v>2400</v>
      </c>
      <c r="Y27" s="92">
        <f t="shared" si="28"/>
        <v>108240</v>
      </c>
      <c r="Z27" s="70">
        <f t="shared" si="13"/>
        <v>18040</v>
      </c>
      <c r="AA27" s="71">
        <f t="shared" si="29"/>
        <v>38</v>
      </c>
      <c r="AB27" s="68">
        <f t="shared" si="29"/>
        <v>300300</v>
      </c>
      <c r="AC27" s="68">
        <f t="shared" si="30"/>
        <v>204490</v>
      </c>
      <c r="AD27" s="72">
        <f t="shared" si="49"/>
        <v>504790</v>
      </c>
      <c r="AE27" s="68">
        <f t="shared" si="31"/>
        <v>13283.947368421053</v>
      </c>
      <c r="AF27" s="73">
        <v>125</v>
      </c>
      <c r="AG27" s="74">
        <v>131</v>
      </c>
      <c r="AH27" s="55">
        <v>156650</v>
      </c>
      <c r="AI27" s="56">
        <f t="shared" si="15"/>
        <v>1195.8015267175572</v>
      </c>
      <c r="AJ27" s="55">
        <v>22300</v>
      </c>
      <c r="AK27" s="57">
        <f t="shared" si="16"/>
        <v>170.2290076335878</v>
      </c>
      <c r="AL27" s="93">
        <f t="shared" si="32"/>
        <v>178950</v>
      </c>
      <c r="AM27" s="76">
        <f t="shared" si="17"/>
        <v>1366.030534351145</v>
      </c>
      <c r="AN27" s="339">
        <v>0</v>
      </c>
      <c r="AO27" s="340">
        <v>0</v>
      </c>
      <c r="AP27" s="339">
        <v>0</v>
      </c>
      <c r="AQ27" s="340">
        <v>0</v>
      </c>
      <c r="AR27" s="99">
        <f t="shared" si="51"/>
        <v>30</v>
      </c>
      <c r="AS27" s="94">
        <f t="shared" si="18"/>
        <v>456950</v>
      </c>
      <c r="AT27" s="94">
        <f t="shared" si="19"/>
        <v>226790</v>
      </c>
      <c r="AU27" s="77">
        <f t="shared" si="20"/>
        <v>683740</v>
      </c>
      <c r="AV27" s="68">
        <f t="shared" si="50"/>
        <v>2200</v>
      </c>
      <c r="AW27" s="94">
        <v>38</v>
      </c>
      <c r="AX27" s="94">
        <v>300300</v>
      </c>
      <c r="AY27" s="94">
        <v>204490</v>
      </c>
      <c r="AZ27" s="95">
        <v>2200</v>
      </c>
      <c r="BA27" s="95">
        <v>0</v>
      </c>
      <c r="BB27" s="95">
        <v>0</v>
      </c>
      <c r="BC27" s="95">
        <v>0</v>
      </c>
      <c r="BD27" s="96">
        <f t="shared" si="34"/>
        <v>506990</v>
      </c>
      <c r="BE27" s="51">
        <v>23</v>
      </c>
      <c r="BF27" s="80">
        <f t="shared" si="35"/>
        <v>506990</v>
      </c>
      <c r="BG27" s="81">
        <f t="shared" si="21"/>
        <v>685940</v>
      </c>
      <c r="BO27" s="287">
        <f t="shared" si="36"/>
        <v>7</v>
      </c>
      <c r="BP27" s="54">
        <f t="shared" si="36"/>
        <v>24</v>
      </c>
      <c r="BQ27" s="68">
        <f t="shared" si="36"/>
        <v>177100</v>
      </c>
      <c r="BR27" s="56">
        <f t="shared" si="22"/>
        <v>6708.333333333333</v>
      </c>
      <c r="BS27" s="68">
        <f t="shared" si="37"/>
        <v>179850</v>
      </c>
      <c r="BT27" s="57">
        <f t="shared" si="23"/>
        <v>6812.5</v>
      </c>
      <c r="BU27" s="58">
        <f t="shared" si="38"/>
        <v>356950</v>
      </c>
      <c r="BV27" s="59">
        <f t="shared" si="24"/>
        <v>14872.916666666666</v>
      </c>
      <c r="BW27" s="288">
        <f t="shared" si="39"/>
        <v>6</v>
      </c>
      <c r="BX27" s="68">
        <f t="shared" si="39"/>
        <v>92400</v>
      </c>
      <c r="BY27" s="56">
        <f t="shared" si="25"/>
        <v>14000</v>
      </c>
      <c r="BZ27" s="68">
        <f t="shared" si="40"/>
        <v>15840</v>
      </c>
      <c r="CA27" s="57">
        <f t="shared" si="26"/>
        <v>2400</v>
      </c>
      <c r="CB27" s="289">
        <f t="shared" si="41"/>
        <v>108240</v>
      </c>
      <c r="CC27" s="290" t="e">
        <v>#DIV/0!</v>
      </c>
      <c r="CD27" s="291">
        <f t="shared" si="42"/>
        <v>30</v>
      </c>
      <c r="CE27" s="68">
        <f t="shared" si="42"/>
        <v>269500</v>
      </c>
      <c r="CF27" s="57">
        <f t="shared" si="43"/>
        <v>8166.666666666667</v>
      </c>
      <c r="CG27" s="68">
        <f t="shared" si="44"/>
        <v>195690</v>
      </c>
      <c r="CH27" s="57">
        <f t="shared" si="45"/>
        <v>5930</v>
      </c>
      <c r="CI27" s="292">
        <f t="shared" si="46"/>
        <v>465190</v>
      </c>
      <c r="CJ27" s="293">
        <f t="shared" si="47"/>
        <v>15506.333333333334</v>
      </c>
    </row>
    <row r="28" spans="1:88" ht="15.75" customHeight="1">
      <c r="A28" s="51"/>
      <c r="B28" s="97">
        <f t="shared" si="27"/>
        <v>45985</v>
      </c>
      <c r="C28" s="84"/>
      <c r="D28" s="53">
        <v>8</v>
      </c>
      <c r="E28" s="54">
        <v>18</v>
      </c>
      <c r="F28" s="55">
        <v>101850</v>
      </c>
      <c r="G28" s="56">
        <f t="shared" si="0"/>
        <v>5143.8888888888887</v>
      </c>
      <c r="H28" s="55">
        <v>20690</v>
      </c>
      <c r="I28" s="56">
        <f t="shared" si="1"/>
        <v>1044.9444444444443</v>
      </c>
      <c r="J28" s="58">
        <f t="shared" si="2"/>
        <v>122540</v>
      </c>
      <c r="K28" s="59">
        <f t="shared" si="3"/>
        <v>6807.7777777777774</v>
      </c>
      <c r="L28" s="85">
        <v>1</v>
      </c>
      <c r="M28" s="86">
        <v>2</v>
      </c>
      <c r="N28" s="87">
        <v>7700</v>
      </c>
      <c r="O28" s="88">
        <f t="shared" si="4"/>
        <v>3850</v>
      </c>
      <c r="P28" s="87">
        <v>1100</v>
      </c>
      <c r="Q28" s="89">
        <f t="shared" si="5"/>
        <v>550</v>
      </c>
      <c r="R28" s="90">
        <f t="shared" si="48"/>
        <v>8800</v>
      </c>
      <c r="S28" s="91">
        <f t="shared" si="7"/>
        <v>4400</v>
      </c>
      <c r="T28" s="67">
        <f t="shared" si="8"/>
        <v>7</v>
      </c>
      <c r="U28" s="68">
        <f t="shared" si="9"/>
        <v>139300</v>
      </c>
      <c r="V28" s="56">
        <f t="shared" si="10"/>
        <v>18090.857142857141</v>
      </c>
      <c r="W28" s="68">
        <f t="shared" si="11"/>
        <v>45330</v>
      </c>
      <c r="X28" s="57">
        <f t="shared" si="12"/>
        <v>5887</v>
      </c>
      <c r="Y28" s="92">
        <f t="shared" si="28"/>
        <v>184630</v>
      </c>
      <c r="Z28" s="70">
        <f t="shared" si="13"/>
        <v>26375.714285714286</v>
      </c>
      <c r="AA28" s="71">
        <f t="shared" si="29"/>
        <v>27</v>
      </c>
      <c r="AB28" s="68">
        <f t="shared" si="29"/>
        <v>248850</v>
      </c>
      <c r="AC28" s="68">
        <f t="shared" si="30"/>
        <v>67120</v>
      </c>
      <c r="AD28" s="72">
        <f t="shared" si="49"/>
        <v>315970</v>
      </c>
      <c r="AE28" s="68">
        <f t="shared" si="31"/>
        <v>11702.592592592593</v>
      </c>
      <c r="AF28" s="73">
        <v>82</v>
      </c>
      <c r="AG28" s="74">
        <v>85</v>
      </c>
      <c r="AH28" s="55">
        <v>102530</v>
      </c>
      <c r="AI28" s="56">
        <f t="shared" si="15"/>
        <v>1206.2352941176471</v>
      </c>
      <c r="AJ28" s="55">
        <v>16400</v>
      </c>
      <c r="AK28" s="57">
        <f t="shared" si="16"/>
        <v>192.94117647058823</v>
      </c>
      <c r="AL28" s="93">
        <f t="shared" si="32"/>
        <v>118930</v>
      </c>
      <c r="AM28" s="76">
        <f t="shared" si="17"/>
        <v>1399.1764705882354</v>
      </c>
      <c r="AN28" s="339">
        <v>2</v>
      </c>
      <c r="AO28" s="340">
        <v>5</v>
      </c>
      <c r="AP28" s="339">
        <v>0</v>
      </c>
      <c r="AQ28" s="340">
        <v>0</v>
      </c>
      <c r="AR28" s="99">
        <f t="shared" si="51"/>
        <v>25</v>
      </c>
      <c r="AS28" s="94">
        <f t="shared" si="18"/>
        <v>351380</v>
      </c>
      <c r="AT28" s="94">
        <f t="shared" si="19"/>
        <v>83520</v>
      </c>
      <c r="AU28" s="77">
        <f t="shared" si="20"/>
        <v>434900</v>
      </c>
      <c r="AV28" s="68">
        <f t="shared" si="50"/>
        <v>2200</v>
      </c>
      <c r="AW28" s="94">
        <v>27</v>
      </c>
      <c r="AX28" s="94">
        <v>248850</v>
      </c>
      <c r="AY28" s="94">
        <v>67120</v>
      </c>
      <c r="AZ28" s="95">
        <v>2200</v>
      </c>
      <c r="BA28" s="95">
        <v>0</v>
      </c>
      <c r="BB28" s="95">
        <v>0</v>
      </c>
      <c r="BC28" s="95">
        <v>6600</v>
      </c>
      <c r="BD28" s="96">
        <f t="shared" si="34"/>
        <v>318170</v>
      </c>
      <c r="BE28" s="51">
        <v>24</v>
      </c>
      <c r="BF28" s="80">
        <f t="shared" si="35"/>
        <v>324770</v>
      </c>
      <c r="BG28" s="81">
        <f t="shared" si="21"/>
        <v>437100</v>
      </c>
      <c r="BO28" s="287">
        <f t="shared" si="36"/>
        <v>8</v>
      </c>
      <c r="BP28" s="54">
        <f t="shared" si="36"/>
        <v>18</v>
      </c>
      <c r="BQ28" s="68">
        <f t="shared" si="36"/>
        <v>101850</v>
      </c>
      <c r="BR28" s="56">
        <f t="shared" si="22"/>
        <v>5143.8888888888887</v>
      </c>
      <c r="BS28" s="68">
        <f t="shared" si="37"/>
        <v>20690</v>
      </c>
      <c r="BT28" s="57">
        <f t="shared" si="23"/>
        <v>1044.9444444444443</v>
      </c>
      <c r="BU28" s="58">
        <f t="shared" si="38"/>
        <v>122540</v>
      </c>
      <c r="BV28" s="59">
        <f t="shared" si="24"/>
        <v>6807.7777777777774</v>
      </c>
      <c r="BW28" s="288">
        <f t="shared" si="39"/>
        <v>7</v>
      </c>
      <c r="BX28" s="68">
        <f t="shared" si="39"/>
        <v>139300</v>
      </c>
      <c r="BY28" s="56">
        <f t="shared" si="25"/>
        <v>18090.857142857141</v>
      </c>
      <c r="BZ28" s="68">
        <f t="shared" si="40"/>
        <v>45330</v>
      </c>
      <c r="CA28" s="57">
        <f t="shared" si="26"/>
        <v>5887</v>
      </c>
      <c r="CB28" s="289">
        <f t="shared" si="41"/>
        <v>184630</v>
      </c>
      <c r="CC28" s="290" t="e">
        <v>#DIV/0!</v>
      </c>
      <c r="CD28" s="291">
        <f t="shared" si="42"/>
        <v>25</v>
      </c>
      <c r="CE28" s="68">
        <f t="shared" si="42"/>
        <v>241150</v>
      </c>
      <c r="CF28" s="57">
        <f t="shared" si="43"/>
        <v>8769.08</v>
      </c>
      <c r="CG28" s="68">
        <f t="shared" si="44"/>
        <v>66020</v>
      </c>
      <c r="CH28" s="57">
        <f t="shared" si="45"/>
        <v>2400.7199999999998</v>
      </c>
      <c r="CI28" s="292">
        <f t="shared" si="46"/>
        <v>307170</v>
      </c>
      <c r="CJ28" s="293">
        <f t="shared" si="47"/>
        <v>12286.8</v>
      </c>
    </row>
    <row r="29" spans="1:88" ht="15.75" customHeight="1">
      <c r="A29" s="51"/>
      <c r="B29" s="83">
        <f t="shared" si="27"/>
        <v>45986</v>
      </c>
      <c r="C29" s="84"/>
      <c r="D29" s="53">
        <v>7</v>
      </c>
      <c r="E29" s="54">
        <v>18</v>
      </c>
      <c r="F29" s="55">
        <v>93500</v>
      </c>
      <c r="G29" s="56">
        <f t="shared" si="0"/>
        <v>4722.2222222222226</v>
      </c>
      <c r="H29" s="55">
        <v>56540</v>
      </c>
      <c r="I29" s="56">
        <f t="shared" si="1"/>
        <v>2855.5555555555557</v>
      </c>
      <c r="J29" s="58">
        <f t="shared" si="2"/>
        <v>150040</v>
      </c>
      <c r="K29" s="59">
        <f t="shared" si="3"/>
        <v>8335.5555555555547</v>
      </c>
      <c r="L29" s="85"/>
      <c r="M29" s="86"/>
      <c r="N29" s="87"/>
      <c r="O29" s="88" t="e">
        <f t="shared" si="4"/>
        <v>#DIV/0!</v>
      </c>
      <c r="P29" s="87"/>
      <c r="Q29" s="89" t="e">
        <f t="shared" si="5"/>
        <v>#DIV/0!</v>
      </c>
      <c r="R29" s="90">
        <f t="shared" si="48"/>
        <v>0</v>
      </c>
      <c r="S29" s="91" t="str">
        <f t="shared" si="7"/>
        <v/>
      </c>
      <c r="T29" s="67">
        <f t="shared" si="8"/>
        <v>24</v>
      </c>
      <c r="U29" s="68">
        <f t="shared" si="9"/>
        <v>256300</v>
      </c>
      <c r="V29" s="56">
        <f t="shared" si="10"/>
        <v>9708.3333333333339</v>
      </c>
      <c r="W29" s="68">
        <f t="shared" si="11"/>
        <v>57780</v>
      </c>
      <c r="X29" s="57">
        <f t="shared" si="12"/>
        <v>2188.625</v>
      </c>
      <c r="Y29" s="92">
        <f t="shared" si="28"/>
        <v>314080</v>
      </c>
      <c r="Z29" s="70">
        <f t="shared" si="13"/>
        <v>13086.666666666666</v>
      </c>
      <c r="AA29" s="71">
        <f t="shared" si="29"/>
        <v>42</v>
      </c>
      <c r="AB29" s="68">
        <f t="shared" si="29"/>
        <v>349800</v>
      </c>
      <c r="AC29" s="68">
        <f t="shared" si="30"/>
        <v>114320</v>
      </c>
      <c r="AD29" s="72">
        <f>J29+Y29+R29</f>
        <v>464120</v>
      </c>
      <c r="AE29" s="68">
        <f t="shared" si="31"/>
        <v>11050.476190476191</v>
      </c>
      <c r="AF29" s="73">
        <v>43</v>
      </c>
      <c r="AG29" s="74">
        <v>44</v>
      </c>
      <c r="AH29" s="55">
        <v>58100</v>
      </c>
      <c r="AI29" s="56">
        <f t="shared" si="15"/>
        <v>1320.4545454545455</v>
      </c>
      <c r="AJ29" s="55">
        <v>6200</v>
      </c>
      <c r="AK29" s="57">
        <f t="shared" si="16"/>
        <v>140.90909090909091</v>
      </c>
      <c r="AL29" s="93">
        <f t="shared" si="32"/>
        <v>64300</v>
      </c>
      <c r="AM29" s="76">
        <f t="shared" si="17"/>
        <v>1461.3636363636363</v>
      </c>
      <c r="AN29" s="339">
        <v>0</v>
      </c>
      <c r="AO29" s="340">
        <v>0</v>
      </c>
      <c r="AP29" s="339">
        <v>0</v>
      </c>
      <c r="AQ29" s="340">
        <v>0</v>
      </c>
      <c r="AR29" s="99">
        <f t="shared" si="51"/>
        <v>42</v>
      </c>
      <c r="AS29" s="94">
        <f t="shared" si="18"/>
        <v>407900</v>
      </c>
      <c r="AT29" s="94">
        <f t="shared" si="19"/>
        <v>120520</v>
      </c>
      <c r="AU29" s="77">
        <f t="shared" si="20"/>
        <v>528420</v>
      </c>
      <c r="AV29" s="68">
        <f t="shared" si="50"/>
        <v>2200</v>
      </c>
      <c r="AW29" s="94">
        <v>42</v>
      </c>
      <c r="AX29" s="94">
        <v>349800</v>
      </c>
      <c r="AY29" s="94">
        <v>114320</v>
      </c>
      <c r="AZ29" s="95">
        <v>2200</v>
      </c>
      <c r="BA29" s="95">
        <v>0</v>
      </c>
      <c r="BB29" s="95">
        <v>0</v>
      </c>
      <c r="BC29" s="95">
        <v>0</v>
      </c>
      <c r="BD29" s="96">
        <f t="shared" si="34"/>
        <v>466320</v>
      </c>
      <c r="BE29" s="51">
        <v>25</v>
      </c>
      <c r="BF29" s="80">
        <f t="shared" si="35"/>
        <v>466320</v>
      </c>
      <c r="BG29" s="81">
        <f t="shared" si="21"/>
        <v>530620</v>
      </c>
      <c r="BO29" s="287">
        <f t="shared" si="36"/>
        <v>7</v>
      </c>
      <c r="BP29" s="54">
        <f t="shared" si="36"/>
        <v>18</v>
      </c>
      <c r="BQ29" s="68">
        <f t="shared" si="36"/>
        <v>93500</v>
      </c>
      <c r="BR29" s="56">
        <f t="shared" si="22"/>
        <v>4722.2222222222226</v>
      </c>
      <c r="BS29" s="68">
        <f t="shared" si="37"/>
        <v>56540</v>
      </c>
      <c r="BT29" s="57">
        <f t="shared" si="23"/>
        <v>2855.5555555555557</v>
      </c>
      <c r="BU29" s="58">
        <f t="shared" si="38"/>
        <v>150040</v>
      </c>
      <c r="BV29" s="59">
        <f t="shared" si="24"/>
        <v>8335.5555555555547</v>
      </c>
      <c r="BW29" s="288">
        <f t="shared" si="39"/>
        <v>24</v>
      </c>
      <c r="BX29" s="68">
        <f t="shared" si="39"/>
        <v>256300</v>
      </c>
      <c r="BY29" s="56">
        <f t="shared" si="25"/>
        <v>9708.3333333333339</v>
      </c>
      <c r="BZ29" s="68">
        <f t="shared" si="40"/>
        <v>57780</v>
      </c>
      <c r="CA29" s="57">
        <f t="shared" si="26"/>
        <v>2188.625</v>
      </c>
      <c r="CB29" s="289">
        <f t="shared" si="41"/>
        <v>314080</v>
      </c>
      <c r="CC29" s="290" t="e">
        <v>#DIV/0!</v>
      </c>
      <c r="CD29" s="291">
        <f t="shared" si="42"/>
        <v>42</v>
      </c>
      <c r="CE29" s="68">
        <f t="shared" si="42"/>
        <v>349800</v>
      </c>
      <c r="CF29" s="57">
        <f t="shared" si="43"/>
        <v>7571.4285714285716</v>
      </c>
      <c r="CG29" s="68">
        <f t="shared" si="44"/>
        <v>114320</v>
      </c>
      <c r="CH29" s="57">
        <f t="shared" si="45"/>
        <v>2474.4523809523807</v>
      </c>
      <c r="CI29" s="292">
        <f t="shared" si="46"/>
        <v>464120</v>
      </c>
      <c r="CJ29" s="293">
        <f t="shared" si="47"/>
        <v>11050.476190476191</v>
      </c>
    </row>
    <row r="30" spans="1:88" ht="15.75" customHeight="1">
      <c r="A30" s="51"/>
      <c r="B30" s="83">
        <f t="shared" si="27"/>
        <v>45987</v>
      </c>
      <c r="C30" s="84"/>
      <c r="D30" s="53">
        <v>5</v>
      </c>
      <c r="E30" s="54">
        <v>14</v>
      </c>
      <c r="F30" s="55">
        <v>65200</v>
      </c>
      <c r="G30" s="56">
        <f>ROUNDDOWN(F30/1.1,0)/E30</f>
        <v>4233.7142857142853</v>
      </c>
      <c r="H30" s="55">
        <v>16170</v>
      </c>
      <c r="I30" s="56">
        <f>ROUNDDOWN(H30/1.1,0)/E30</f>
        <v>1050</v>
      </c>
      <c r="J30" s="58">
        <f t="shared" si="2"/>
        <v>81370</v>
      </c>
      <c r="K30" s="59">
        <f>IF(E30="","",J30/E30)</f>
        <v>5812.1428571428569</v>
      </c>
      <c r="L30" s="85"/>
      <c r="M30" s="86"/>
      <c r="N30" s="87"/>
      <c r="O30" s="88" t="e">
        <f t="shared" si="4"/>
        <v>#DIV/0!</v>
      </c>
      <c r="P30" s="87"/>
      <c r="Q30" s="89" t="e">
        <f t="shared" si="5"/>
        <v>#DIV/0!</v>
      </c>
      <c r="R30" s="90">
        <f t="shared" si="48"/>
        <v>0</v>
      </c>
      <c r="S30" s="91" t="str">
        <f t="shared" si="7"/>
        <v/>
      </c>
      <c r="T30" s="67">
        <f t="shared" si="8"/>
        <v>6</v>
      </c>
      <c r="U30" s="68">
        <f t="shared" si="9"/>
        <v>83600</v>
      </c>
      <c r="V30" s="56">
        <f t="shared" si="10"/>
        <v>12666.666666666666</v>
      </c>
      <c r="W30" s="68">
        <f t="shared" si="11"/>
        <v>23760</v>
      </c>
      <c r="X30" s="56">
        <f t="shared" si="12"/>
        <v>3600</v>
      </c>
      <c r="Y30" s="92">
        <f t="shared" si="28"/>
        <v>107360</v>
      </c>
      <c r="Z30" s="70">
        <f t="shared" si="13"/>
        <v>17893.333333333332</v>
      </c>
      <c r="AA30" s="71">
        <f t="shared" si="29"/>
        <v>20</v>
      </c>
      <c r="AB30" s="68">
        <f t="shared" si="29"/>
        <v>148800</v>
      </c>
      <c r="AC30" s="68">
        <f t="shared" si="30"/>
        <v>39930</v>
      </c>
      <c r="AD30" s="72">
        <f t="shared" si="49"/>
        <v>188730</v>
      </c>
      <c r="AE30" s="68">
        <f t="shared" si="31"/>
        <v>9436.5</v>
      </c>
      <c r="AF30" s="73">
        <v>71</v>
      </c>
      <c r="AG30" s="74">
        <v>72</v>
      </c>
      <c r="AH30" s="55">
        <v>92080</v>
      </c>
      <c r="AI30" s="56">
        <f t="shared" si="15"/>
        <v>1278.8888888888889</v>
      </c>
      <c r="AJ30" s="55">
        <v>8600</v>
      </c>
      <c r="AK30" s="57">
        <f t="shared" si="16"/>
        <v>119.44444444444444</v>
      </c>
      <c r="AL30" s="93">
        <f t="shared" si="32"/>
        <v>100680</v>
      </c>
      <c r="AM30" s="76">
        <f t="shared" si="17"/>
        <v>1398.3333333333333</v>
      </c>
      <c r="AN30" s="339">
        <v>2</v>
      </c>
      <c r="AO30" s="340">
        <v>5</v>
      </c>
      <c r="AP30" s="339">
        <v>0</v>
      </c>
      <c r="AQ30" s="340">
        <v>0</v>
      </c>
      <c r="AR30" s="99">
        <f t="shared" si="51"/>
        <v>20</v>
      </c>
      <c r="AS30" s="94">
        <f t="shared" si="18"/>
        <v>240880</v>
      </c>
      <c r="AT30" s="94">
        <f t="shared" si="19"/>
        <v>48530</v>
      </c>
      <c r="AU30" s="77">
        <f t="shared" si="20"/>
        <v>289410</v>
      </c>
      <c r="AV30" s="68">
        <f t="shared" si="50"/>
        <v>0</v>
      </c>
      <c r="AW30" s="94">
        <v>20</v>
      </c>
      <c r="AX30" s="94">
        <v>148800</v>
      </c>
      <c r="AY30" s="94">
        <v>39930</v>
      </c>
      <c r="AZ30" s="95">
        <v>0</v>
      </c>
      <c r="BA30" s="95">
        <v>0</v>
      </c>
      <c r="BB30" s="95">
        <v>0</v>
      </c>
      <c r="BC30" s="95">
        <v>0</v>
      </c>
      <c r="BD30" s="96">
        <f t="shared" si="34"/>
        <v>188730</v>
      </c>
      <c r="BE30" s="51">
        <v>26</v>
      </c>
      <c r="BF30" s="80">
        <f t="shared" si="35"/>
        <v>188730</v>
      </c>
      <c r="BG30" s="81">
        <f t="shared" si="21"/>
        <v>289410</v>
      </c>
      <c r="BO30" s="287">
        <f t="shared" si="36"/>
        <v>5</v>
      </c>
      <c r="BP30" s="54">
        <f t="shared" si="36"/>
        <v>14</v>
      </c>
      <c r="BQ30" s="68">
        <f t="shared" si="36"/>
        <v>65200</v>
      </c>
      <c r="BR30" s="56">
        <f t="shared" si="22"/>
        <v>4233.7142857142853</v>
      </c>
      <c r="BS30" s="68">
        <f t="shared" si="37"/>
        <v>16170</v>
      </c>
      <c r="BT30" s="57">
        <f t="shared" si="23"/>
        <v>1050</v>
      </c>
      <c r="BU30" s="58">
        <f t="shared" si="38"/>
        <v>81370</v>
      </c>
      <c r="BV30" s="59">
        <f t="shared" si="24"/>
        <v>5812.1428571428569</v>
      </c>
      <c r="BW30" s="288">
        <f t="shared" si="39"/>
        <v>6</v>
      </c>
      <c r="BX30" s="68">
        <f t="shared" si="39"/>
        <v>83600</v>
      </c>
      <c r="BY30" s="56">
        <f t="shared" si="25"/>
        <v>12666.666666666666</v>
      </c>
      <c r="BZ30" s="68">
        <f t="shared" si="40"/>
        <v>23760</v>
      </c>
      <c r="CA30" s="57">
        <f t="shared" si="26"/>
        <v>3600</v>
      </c>
      <c r="CB30" s="289">
        <f t="shared" si="41"/>
        <v>107360</v>
      </c>
      <c r="CC30" s="290" t="e">
        <v>#DIV/0!</v>
      </c>
      <c r="CD30" s="291">
        <f t="shared" si="42"/>
        <v>20</v>
      </c>
      <c r="CE30" s="68">
        <f t="shared" si="42"/>
        <v>148800</v>
      </c>
      <c r="CF30" s="57">
        <f t="shared" si="43"/>
        <v>6763.6</v>
      </c>
      <c r="CG30" s="68">
        <f t="shared" si="44"/>
        <v>39930</v>
      </c>
      <c r="CH30" s="57">
        <f t="shared" si="45"/>
        <v>1815</v>
      </c>
      <c r="CI30" s="292">
        <f t="shared" si="46"/>
        <v>188730</v>
      </c>
      <c r="CJ30" s="293">
        <f t="shared" si="47"/>
        <v>9436.5</v>
      </c>
    </row>
    <row r="31" spans="1:88" ht="15.75" customHeight="1">
      <c r="A31" s="51"/>
      <c r="B31" s="83">
        <f t="shared" si="27"/>
        <v>45988</v>
      </c>
      <c r="C31" s="84"/>
      <c r="D31" s="53">
        <v>3</v>
      </c>
      <c r="E31" s="54">
        <v>6</v>
      </c>
      <c r="F31" s="55">
        <v>30800</v>
      </c>
      <c r="G31" s="56">
        <f>ROUNDDOWN(F31/1.1,0)/E31</f>
        <v>4666.666666666667</v>
      </c>
      <c r="H31" s="55">
        <v>12210</v>
      </c>
      <c r="I31" s="56">
        <f>ROUNDDOWN(H31/1.1,0)/E31</f>
        <v>1850</v>
      </c>
      <c r="J31" s="58">
        <f t="shared" si="2"/>
        <v>43010</v>
      </c>
      <c r="K31" s="59">
        <f>IF(E31="","",J31/E31)</f>
        <v>7168.333333333333</v>
      </c>
      <c r="L31" s="85">
        <v>1</v>
      </c>
      <c r="M31" s="86">
        <v>2</v>
      </c>
      <c r="N31" s="87">
        <v>7700</v>
      </c>
      <c r="O31" s="88">
        <f t="shared" si="4"/>
        <v>3850</v>
      </c>
      <c r="P31" s="87">
        <v>3300</v>
      </c>
      <c r="Q31" s="89">
        <f t="shared" si="5"/>
        <v>1650</v>
      </c>
      <c r="R31" s="90">
        <f t="shared" si="48"/>
        <v>11000</v>
      </c>
      <c r="S31" s="91">
        <f t="shared" si="7"/>
        <v>5500</v>
      </c>
      <c r="T31" s="67">
        <f t="shared" si="8"/>
        <v>0</v>
      </c>
      <c r="U31" s="68">
        <f t="shared" si="9"/>
        <v>0</v>
      </c>
      <c r="V31" s="56" t="e">
        <f t="shared" si="10"/>
        <v>#DIV/0!</v>
      </c>
      <c r="W31" s="68">
        <f t="shared" si="11"/>
        <v>0</v>
      </c>
      <c r="X31" s="56" t="e">
        <f t="shared" si="12"/>
        <v>#DIV/0!</v>
      </c>
      <c r="Y31" s="92">
        <f t="shared" si="28"/>
        <v>0</v>
      </c>
      <c r="Z31" s="70" t="e">
        <f t="shared" si="13"/>
        <v>#DIV/0!</v>
      </c>
      <c r="AA31" s="71">
        <f t="shared" si="29"/>
        <v>8</v>
      </c>
      <c r="AB31" s="68">
        <f t="shared" si="29"/>
        <v>38500</v>
      </c>
      <c r="AC31" s="68">
        <f t="shared" si="30"/>
        <v>15510</v>
      </c>
      <c r="AD31" s="72">
        <f t="shared" si="49"/>
        <v>54010</v>
      </c>
      <c r="AE31" s="68">
        <f t="shared" si="31"/>
        <v>6751.25</v>
      </c>
      <c r="AF31" s="73">
        <v>53</v>
      </c>
      <c r="AG31" s="74">
        <v>55</v>
      </c>
      <c r="AH31" s="55">
        <v>79450</v>
      </c>
      <c r="AI31" s="56">
        <f t="shared" si="15"/>
        <v>1444.5454545454545</v>
      </c>
      <c r="AJ31" s="55">
        <v>12300</v>
      </c>
      <c r="AK31" s="57">
        <f t="shared" si="16"/>
        <v>223.63636363636363</v>
      </c>
      <c r="AL31" s="93">
        <f t="shared" si="32"/>
        <v>91750</v>
      </c>
      <c r="AM31" s="76">
        <f t="shared" si="17"/>
        <v>1668.1818181818182</v>
      </c>
      <c r="AN31" s="339">
        <v>0</v>
      </c>
      <c r="AO31" s="340">
        <v>0</v>
      </c>
      <c r="AP31" s="339">
        <v>0</v>
      </c>
      <c r="AQ31" s="340">
        <v>0</v>
      </c>
      <c r="AR31" s="99">
        <f t="shared" si="51"/>
        <v>6</v>
      </c>
      <c r="AS31" s="94">
        <f t="shared" si="18"/>
        <v>117950</v>
      </c>
      <c r="AT31" s="94">
        <f t="shared" si="19"/>
        <v>27810</v>
      </c>
      <c r="AU31" s="77">
        <f t="shared" si="20"/>
        <v>145760</v>
      </c>
      <c r="AV31" s="68">
        <f t="shared" si="50"/>
        <v>0</v>
      </c>
      <c r="AW31" s="94">
        <v>8</v>
      </c>
      <c r="AX31" s="94">
        <v>38500</v>
      </c>
      <c r="AY31" s="94">
        <v>15510</v>
      </c>
      <c r="AZ31" s="95">
        <v>0</v>
      </c>
      <c r="BA31" s="95">
        <v>0</v>
      </c>
      <c r="BB31" s="95">
        <v>0</v>
      </c>
      <c r="BC31" s="95">
        <v>0</v>
      </c>
      <c r="BD31" s="96">
        <f t="shared" si="34"/>
        <v>54010</v>
      </c>
      <c r="BE31" s="51">
        <v>27</v>
      </c>
      <c r="BF31" s="80">
        <f t="shared" si="35"/>
        <v>54010</v>
      </c>
      <c r="BG31" s="81">
        <f t="shared" si="21"/>
        <v>145760</v>
      </c>
      <c r="BO31" s="287">
        <f t="shared" si="36"/>
        <v>3</v>
      </c>
      <c r="BP31" s="54">
        <f t="shared" si="36"/>
        <v>6</v>
      </c>
      <c r="BQ31" s="68">
        <f t="shared" si="36"/>
        <v>30800</v>
      </c>
      <c r="BR31" s="56">
        <f t="shared" si="22"/>
        <v>4666.666666666667</v>
      </c>
      <c r="BS31" s="68">
        <f t="shared" si="37"/>
        <v>12210</v>
      </c>
      <c r="BT31" s="57">
        <f t="shared" si="23"/>
        <v>1850</v>
      </c>
      <c r="BU31" s="58">
        <f t="shared" si="38"/>
        <v>43010</v>
      </c>
      <c r="BV31" s="59">
        <f t="shared" si="24"/>
        <v>7168.333333333333</v>
      </c>
      <c r="BW31" s="288">
        <f t="shared" si="39"/>
        <v>0</v>
      </c>
      <c r="BX31" s="68">
        <f t="shared" si="39"/>
        <v>0</v>
      </c>
      <c r="BY31" s="56" t="e">
        <f t="shared" si="25"/>
        <v>#DIV/0!</v>
      </c>
      <c r="BZ31" s="68">
        <f t="shared" si="40"/>
        <v>0</v>
      </c>
      <c r="CA31" s="57" t="e">
        <f t="shared" si="26"/>
        <v>#DIV/0!</v>
      </c>
      <c r="CB31" s="289">
        <f t="shared" si="41"/>
        <v>0</v>
      </c>
      <c r="CC31" s="290" t="e">
        <v>#DIV/0!</v>
      </c>
      <c r="CD31" s="291">
        <f t="shared" si="42"/>
        <v>6</v>
      </c>
      <c r="CE31" s="68">
        <f t="shared" si="42"/>
        <v>30800</v>
      </c>
      <c r="CF31" s="57">
        <f t="shared" si="43"/>
        <v>4666.666666666667</v>
      </c>
      <c r="CG31" s="68">
        <f t="shared" si="44"/>
        <v>12210</v>
      </c>
      <c r="CH31" s="57">
        <f t="shared" si="45"/>
        <v>1850</v>
      </c>
      <c r="CI31" s="292">
        <f t="shared" si="46"/>
        <v>43010</v>
      </c>
      <c r="CJ31" s="293">
        <f t="shared" si="47"/>
        <v>7168.333333333333</v>
      </c>
    </row>
    <row r="32" spans="1:88" ht="15.75" customHeight="1">
      <c r="A32" s="51"/>
      <c r="B32" s="83">
        <f t="shared" si="27"/>
        <v>45989</v>
      </c>
      <c r="C32" s="84"/>
      <c r="D32" s="53">
        <v>4</v>
      </c>
      <c r="E32" s="54">
        <v>9</v>
      </c>
      <c r="F32" s="55">
        <v>43000</v>
      </c>
      <c r="G32" s="56">
        <f>ROUNDDOWN(F32/1.1,0)/E32</f>
        <v>4343.333333333333</v>
      </c>
      <c r="H32" s="55">
        <v>8260</v>
      </c>
      <c r="I32" s="56">
        <f>ROUNDDOWN(H32/1.1,0)/E32</f>
        <v>834.33333333333337</v>
      </c>
      <c r="J32" s="58">
        <f>F32+H32</f>
        <v>51260</v>
      </c>
      <c r="K32" s="59">
        <f>IF(E32="","",J32/E32)</f>
        <v>5695.5555555555557</v>
      </c>
      <c r="L32" s="85"/>
      <c r="M32" s="86"/>
      <c r="N32" s="87"/>
      <c r="O32" s="88" t="e">
        <f t="shared" si="4"/>
        <v>#DIV/0!</v>
      </c>
      <c r="P32" s="87"/>
      <c r="Q32" s="89" t="e">
        <f t="shared" si="5"/>
        <v>#DIV/0!</v>
      </c>
      <c r="R32" s="90">
        <f t="shared" si="48"/>
        <v>0</v>
      </c>
      <c r="S32" s="91" t="str">
        <f t="shared" si="7"/>
        <v/>
      </c>
      <c r="T32" s="67">
        <f t="shared" si="8"/>
        <v>10</v>
      </c>
      <c r="U32" s="68">
        <f t="shared" si="9"/>
        <v>107400</v>
      </c>
      <c r="V32" s="56">
        <f>ROUNDDOWN(U32/1.1,0)/T32</f>
        <v>9763.6</v>
      </c>
      <c r="W32" s="68">
        <f t="shared" si="11"/>
        <v>17940</v>
      </c>
      <c r="X32" s="56">
        <f>ROUNDDOWN(W32/1.1,0)/T32</f>
        <v>1630.9</v>
      </c>
      <c r="Y32" s="92">
        <f>U32+W32</f>
        <v>125340</v>
      </c>
      <c r="Z32" s="70">
        <f>IF(T32="","",Y32/T32)</f>
        <v>12534</v>
      </c>
      <c r="AA32" s="71">
        <f t="shared" si="29"/>
        <v>19</v>
      </c>
      <c r="AB32" s="68">
        <f t="shared" si="29"/>
        <v>150400</v>
      </c>
      <c r="AC32" s="68">
        <f t="shared" si="30"/>
        <v>26200</v>
      </c>
      <c r="AD32" s="72">
        <f t="shared" si="49"/>
        <v>176600</v>
      </c>
      <c r="AE32" s="68">
        <f>IF(AA32="","",AD32/AA32)</f>
        <v>9294.7368421052633</v>
      </c>
      <c r="AF32" s="73">
        <v>113</v>
      </c>
      <c r="AG32" s="74">
        <v>113</v>
      </c>
      <c r="AH32" s="55">
        <v>85630</v>
      </c>
      <c r="AI32" s="56">
        <f>AH32/AG32</f>
        <v>757.78761061946898</v>
      </c>
      <c r="AJ32" s="55">
        <v>29400</v>
      </c>
      <c r="AK32" s="57">
        <f>AJ32/AG32</f>
        <v>260.17699115044246</v>
      </c>
      <c r="AL32" s="93">
        <f>AH32+AJ32</f>
        <v>115030</v>
      </c>
      <c r="AM32" s="76">
        <f>IF(AG32="","",AL32/AG32)</f>
        <v>1017.9646017699115</v>
      </c>
      <c r="AN32" s="339">
        <v>0</v>
      </c>
      <c r="AO32" s="340">
        <v>0</v>
      </c>
      <c r="AP32" s="339">
        <v>0</v>
      </c>
      <c r="AQ32" s="340">
        <v>0</v>
      </c>
      <c r="AR32" s="99">
        <f t="shared" si="51"/>
        <v>19</v>
      </c>
      <c r="AS32" s="94">
        <f t="shared" si="18"/>
        <v>236030</v>
      </c>
      <c r="AT32" s="94">
        <f t="shared" si="19"/>
        <v>55600</v>
      </c>
      <c r="AU32" s="77">
        <f t="shared" si="20"/>
        <v>291630</v>
      </c>
      <c r="AV32" s="68">
        <f>AZ32+BA32+BB32</f>
        <v>0</v>
      </c>
      <c r="AW32" s="94">
        <v>19</v>
      </c>
      <c r="AX32" s="94">
        <v>150400</v>
      </c>
      <c r="AY32" s="94">
        <v>26200</v>
      </c>
      <c r="AZ32" s="95">
        <v>0</v>
      </c>
      <c r="BA32" s="95">
        <v>0</v>
      </c>
      <c r="BB32" s="95">
        <v>0</v>
      </c>
      <c r="BC32" s="95">
        <v>0</v>
      </c>
      <c r="BD32" s="96">
        <f>SUM(AX32:BB32)</f>
        <v>176600</v>
      </c>
      <c r="BE32" s="51">
        <v>26</v>
      </c>
      <c r="BF32" s="80">
        <f>BC32+BD32</f>
        <v>176600</v>
      </c>
      <c r="BG32" s="81">
        <f t="shared" si="21"/>
        <v>291630</v>
      </c>
      <c r="BO32" s="287">
        <f t="shared" si="36"/>
        <v>4</v>
      </c>
      <c r="BP32" s="54">
        <f t="shared" si="36"/>
        <v>9</v>
      </c>
      <c r="BQ32" s="68">
        <f t="shared" si="36"/>
        <v>43000</v>
      </c>
      <c r="BR32" s="56">
        <f t="shared" si="22"/>
        <v>4343.333333333333</v>
      </c>
      <c r="BS32" s="68">
        <f t="shared" si="37"/>
        <v>8260</v>
      </c>
      <c r="BT32" s="57">
        <f t="shared" si="23"/>
        <v>834.33333333333337</v>
      </c>
      <c r="BU32" s="58">
        <f t="shared" si="38"/>
        <v>51260</v>
      </c>
      <c r="BV32" s="59">
        <f t="shared" si="24"/>
        <v>5695.5555555555557</v>
      </c>
      <c r="BW32" s="288">
        <f t="shared" si="39"/>
        <v>10</v>
      </c>
      <c r="BX32" s="68">
        <f t="shared" si="39"/>
        <v>107400</v>
      </c>
      <c r="BY32" s="56">
        <f t="shared" si="25"/>
        <v>9763.6</v>
      </c>
      <c r="BZ32" s="68">
        <f t="shared" si="40"/>
        <v>17940</v>
      </c>
      <c r="CA32" s="57">
        <f t="shared" si="26"/>
        <v>1630.9</v>
      </c>
      <c r="CB32" s="289">
        <f t="shared" si="41"/>
        <v>125340</v>
      </c>
      <c r="CC32" s="290" t="e">
        <v>#DIV/0!</v>
      </c>
      <c r="CD32" s="291">
        <f t="shared" si="42"/>
        <v>19</v>
      </c>
      <c r="CE32" s="68">
        <f t="shared" si="42"/>
        <v>150400</v>
      </c>
      <c r="CF32" s="57">
        <f t="shared" si="43"/>
        <v>7196.1578947368425</v>
      </c>
      <c r="CG32" s="68">
        <f t="shared" si="44"/>
        <v>26200</v>
      </c>
      <c r="CH32" s="57">
        <f t="shared" si="45"/>
        <v>1253.578947368421</v>
      </c>
      <c r="CI32" s="292">
        <f t="shared" si="46"/>
        <v>176600</v>
      </c>
      <c r="CJ32" s="293">
        <f t="shared" si="47"/>
        <v>9294.7368421052633</v>
      </c>
    </row>
    <row r="33" spans="1:88" ht="15.75" customHeight="1">
      <c r="A33" s="51"/>
      <c r="B33" s="338">
        <f t="shared" si="27"/>
        <v>45990</v>
      </c>
      <c r="C33" s="84"/>
      <c r="D33" s="53">
        <v>5</v>
      </c>
      <c r="E33" s="54">
        <v>10</v>
      </c>
      <c r="F33" s="55">
        <v>61600</v>
      </c>
      <c r="G33" s="56">
        <f>ROUNDDOWN(F33/1.1,0)/E33</f>
        <v>5600</v>
      </c>
      <c r="H33" s="55">
        <v>10340</v>
      </c>
      <c r="I33" s="56">
        <f>ROUNDDOWN(H33/1.1,0)/E33</f>
        <v>940</v>
      </c>
      <c r="J33" s="58">
        <f>F33+H33</f>
        <v>71940</v>
      </c>
      <c r="K33" s="59">
        <f>IF(E33="","",J33/E33)</f>
        <v>7194</v>
      </c>
      <c r="L33" s="85">
        <v>2</v>
      </c>
      <c r="M33" s="86">
        <v>4</v>
      </c>
      <c r="N33" s="87">
        <v>15400</v>
      </c>
      <c r="O33" s="88">
        <f t="shared" si="4"/>
        <v>3850</v>
      </c>
      <c r="P33" s="87">
        <v>2200</v>
      </c>
      <c r="Q33" s="89">
        <f t="shared" si="5"/>
        <v>550</v>
      </c>
      <c r="R33" s="90">
        <f t="shared" si="48"/>
        <v>17600</v>
      </c>
      <c r="S33" s="91">
        <f t="shared" si="7"/>
        <v>4400</v>
      </c>
      <c r="T33" s="67">
        <f t="shared" si="8"/>
        <v>15</v>
      </c>
      <c r="U33" s="68">
        <f t="shared" si="9"/>
        <v>233080</v>
      </c>
      <c r="V33" s="56">
        <f>ROUNDDOWN(U33/1.1,0)/T33</f>
        <v>14126</v>
      </c>
      <c r="W33" s="68">
        <f t="shared" si="11"/>
        <v>84050</v>
      </c>
      <c r="X33" s="56">
        <f>ROUNDDOWN(W33/1.1,0)/T33</f>
        <v>5093.9333333333334</v>
      </c>
      <c r="Y33" s="92">
        <f>U33+W33</f>
        <v>317130</v>
      </c>
      <c r="Z33" s="70">
        <f>IF(T33="","",Y33/T33)</f>
        <v>21142</v>
      </c>
      <c r="AA33" s="71">
        <f t="shared" si="29"/>
        <v>29</v>
      </c>
      <c r="AB33" s="68">
        <f t="shared" si="29"/>
        <v>310080</v>
      </c>
      <c r="AC33" s="68">
        <f t="shared" si="30"/>
        <v>96590</v>
      </c>
      <c r="AD33" s="72">
        <f t="shared" si="49"/>
        <v>406670</v>
      </c>
      <c r="AE33" s="68">
        <f>IF(AA33="","",AD33/AA33)</f>
        <v>14023.103448275862</v>
      </c>
      <c r="AF33" s="73">
        <v>104</v>
      </c>
      <c r="AG33" s="74">
        <v>109</v>
      </c>
      <c r="AH33" s="55">
        <v>125500</v>
      </c>
      <c r="AI33" s="56">
        <f>AH33/AG33</f>
        <v>1151.3761467889908</v>
      </c>
      <c r="AJ33" s="55">
        <v>39900</v>
      </c>
      <c r="AK33" s="57">
        <f>AJ33/AG33</f>
        <v>366.05504587155963</v>
      </c>
      <c r="AL33" s="93">
        <f>AH33+AJ33</f>
        <v>165400</v>
      </c>
      <c r="AM33" s="76">
        <f>IF(AG33="","",AL33/AG33)</f>
        <v>1517.4311926605506</v>
      </c>
      <c r="AN33" s="339">
        <v>3</v>
      </c>
      <c r="AO33" s="340">
        <v>6</v>
      </c>
      <c r="AP33" s="339">
        <v>0</v>
      </c>
      <c r="AQ33" s="340">
        <v>0</v>
      </c>
      <c r="AR33" s="99">
        <f t="shared" si="51"/>
        <v>25</v>
      </c>
      <c r="AS33" s="94">
        <f t="shared" si="18"/>
        <v>435580</v>
      </c>
      <c r="AT33" s="94">
        <f t="shared" si="19"/>
        <v>136490</v>
      </c>
      <c r="AU33" s="77">
        <f t="shared" si="20"/>
        <v>572070</v>
      </c>
      <c r="AV33" s="68">
        <f>AZ33+BA33+BB33</f>
        <v>0</v>
      </c>
      <c r="AW33" s="94">
        <v>29</v>
      </c>
      <c r="AX33" s="94">
        <v>310080</v>
      </c>
      <c r="AY33" s="94">
        <v>96590</v>
      </c>
      <c r="AZ33" s="95">
        <v>0</v>
      </c>
      <c r="BA33" s="95">
        <v>0</v>
      </c>
      <c r="BB33" s="95">
        <v>0</v>
      </c>
      <c r="BC33" s="95">
        <v>0</v>
      </c>
      <c r="BD33" s="96">
        <f>SUM(AX33:BB33)</f>
        <v>406670</v>
      </c>
      <c r="BE33" s="51">
        <v>27</v>
      </c>
      <c r="BF33" s="80">
        <f>BC33+BD33</f>
        <v>406670</v>
      </c>
      <c r="BG33" s="81">
        <f t="shared" si="21"/>
        <v>572070</v>
      </c>
      <c r="BO33" s="287">
        <f t="shared" si="36"/>
        <v>5</v>
      </c>
      <c r="BP33" s="54">
        <f t="shared" si="36"/>
        <v>10</v>
      </c>
      <c r="BQ33" s="68">
        <f t="shared" si="36"/>
        <v>61600</v>
      </c>
      <c r="BR33" s="56">
        <f t="shared" si="22"/>
        <v>5600</v>
      </c>
      <c r="BS33" s="68">
        <f t="shared" si="37"/>
        <v>10340</v>
      </c>
      <c r="BT33" s="57">
        <f t="shared" si="23"/>
        <v>940</v>
      </c>
      <c r="BU33" s="58">
        <f t="shared" si="38"/>
        <v>71940</v>
      </c>
      <c r="BV33" s="59">
        <f t="shared" si="24"/>
        <v>7194</v>
      </c>
      <c r="BW33" s="288">
        <f t="shared" si="39"/>
        <v>15</v>
      </c>
      <c r="BX33" s="68">
        <f t="shared" si="39"/>
        <v>233080</v>
      </c>
      <c r="BY33" s="56">
        <f t="shared" si="25"/>
        <v>14126</v>
      </c>
      <c r="BZ33" s="68">
        <f t="shared" si="40"/>
        <v>84050</v>
      </c>
      <c r="CA33" s="57">
        <f t="shared" si="26"/>
        <v>5093.9333333333334</v>
      </c>
      <c r="CB33" s="289">
        <f t="shared" si="41"/>
        <v>317130</v>
      </c>
      <c r="CC33" s="290" t="e">
        <v>#DIV/0!</v>
      </c>
      <c r="CD33" s="291">
        <f t="shared" si="42"/>
        <v>25</v>
      </c>
      <c r="CE33" s="68">
        <f t="shared" si="42"/>
        <v>294680</v>
      </c>
      <c r="CF33" s="57">
        <f t="shared" si="43"/>
        <v>10715.6</v>
      </c>
      <c r="CG33" s="68">
        <f t="shared" si="44"/>
        <v>94390</v>
      </c>
      <c r="CH33" s="57">
        <f t="shared" si="45"/>
        <v>3432.36</v>
      </c>
      <c r="CI33" s="292">
        <f t="shared" si="46"/>
        <v>389070</v>
      </c>
      <c r="CJ33" s="293">
        <f t="shared" si="47"/>
        <v>15562.8</v>
      </c>
    </row>
    <row r="34" spans="1:88" ht="15.75" customHeight="1" thickBot="1">
      <c r="A34" s="51"/>
      <c r="B34" s="97">
        <f t="shared" si="27"/>
        <v>45991</v>
      </c>
      <c r="C34" s="84"/>
      <c r="D34" s="53">
        <v>5</v>
      </c>
      <c r="E34" s="54">
        <v>10</v>
      </c>
      <c r="F34" s="55">
        <v>72600</v>
      </c>
      <c r="G34" s="56">
        <f>ROUNDDOWN(F34/1.1,0)/E34</f>
        <v>6600</v>
      </c>
      <c r="H34" s="55">
        <v>28380</v>
      </c>
      <c r="I34" s="56">
        <f>ROUNDDOWN(H34/1.1,0)/E34</f>
        <v>2580</v>
      </c>
      <c r="J34" s="58">
        <f>F34+H34</f>
        <v>100980</v>
      </c>
      <c r="K34" s="59">
        <f>IF(E34="","",J34/E34)</f>
        <v>10098</v>
      </c>
      <c r="L34" s="101">
        <v>1</v>
      </c>
      <c r="M34" s="102">
        <v>2</v>
      </c>
      <c r="N34" s="103">
        <v>7700</v>
      </c>
      <c r="O34" s="88">
        <f t="shared" si="4"/>
        <v>3850</v>
      </c>
      <c r="P34" s="103">
        <v>3300</v>
      </c>
      <c r="Q34" s="89">
        <f t="shared" si="5"/>
        <v>1650</v>
      </c>
      <c r="R34" s="90">
        <f t="shared" si="48"/>
        <v>11000</v>
      </c>
      <c r="S34" s="91">
        <f t="shared" si="7"/>
        <v>5500</v>
      </c>
      <c r="T34" s="67">
        <f t="shared" si="8"/>
        <v>0</v>
      </c>
      <c r="U34" s="68">
        <f t="shared" si="9"/>
        <v>0</v>
      </c>
      <c r="V34" s="56" t="e">
        <f>ROUNDDOWN(U34/1.1,0)/T34</f>
        <v>#DIV/0!</v>
      </c>
      <c r="W34" s="68">
        <f t="shared" si="11"/>
        <v>0</v>
      </c>
      <c r="X34" s="56" t="e">
        <f>ROUNDDOWN(W34/1.1,0)/T34</f>
        <v>#DIV/0!</v>
      </c>
      <c r="Y34" s="92">
        <f>U34+W34</f>
        <v>0</v>
      </c>
      <c r="Z34" s="70" t="e">
        <f>IF(T34="","",Y34/T34)</f>
        <v>#DIV/0!</v>
      </c>
      <c r="AA34" s="71">
        <f t="shared" si="29"/>
        <v>12</v>
      </c>
      <c r="AB34" s="68">
        <f t="shared" si="29"/>
        <v>80300</v>
      </c>
      <c r="AC34" s="68">
        <f t="shared" si="30"/>
        <v>31680</v>
      </c>
      <c r="AD34" s="72">
        <f t="shared" si="49"/>
        <v>111980</v>
      </c>
      <c r="AE34" s="68">
        <f>IF(AA34="","",AD34/AA34)</f>
        <v>9331.6666666666661</v>
      </c>
      <c r="AF34" s="73">
        <v>78</v>
      </c>
      <c r="AG34" s="74">
        <v>83</v>
      </c>
      <c r="AH34" s="55">
        <v>81100</v>
      </c>
      <c r="AI34" s="56">
        <f>AH34/AG34</f>
        <v>977.10843373493981</v>
      </c>
      <c r="AJ34" s="55">
        <v>22300</v>
      </c>
      <c r="AK34" s="57">
        <f>AJ34/AG34</f>
        <v>268.67469879518075</v>
      </c>
      <c r="AL34" s="93">
        <f>AH34+AJ34</f>
        <v>103400</v>
      </c>
      <c r="AM34" s="76">
        <f>IF(AG34="","",AL34/AG34)</f>
        <v>1245.7831325301204</v>
      </c>
      <c r="AN34" s="339">
        <v>2</v>
      </c>
      <c r="AO34" s="340">
        <v>3</v>
      </c>
      <c r="AP34" s="341">
        <v>0</v>
      </c>
      <c r="AQ34" s="340">
        <v>0</v>
      </c>
      <c r="AR34" s="99">
        <f t="shared" si="51"/>
        <v>10</v>
      </c>
      <c r="AS34" s="94">
        <f t="shared" si="18"/>
        <v>161400</v>
      </c>
      <c r="AT34" s="94">
        <f t="shared" si="19"/>
        <v>53980</v>
      </c>
      <c r="AU34" s="77">
        <f t="shared" si="20"/>
        <v>215380</v>
      </c>
      <c r="AV34" s="68">
        <f>AZ34+BA34+BB34</f>
        <v>0</v>
      </c>
      <c r="AW34" s="94">
        <v>12</v>
      </c>
      <c r="AX34" s="94">
        <v>80300</v>
      </c>
      <c r="AY34" s="94">
        <v>31680</v>
      </c>
      <c r="AZ34" s="95">
        <v>0</v>
      </c>
      <c r="BA34" s="95">
        <v>0</v>
      </c>
      <c r="BB34" s="95">
        <v>0</v>
      </c>
      <c r="BC34" s="95">
        <v>0</v>
      </c>
      <c r="BD34" s="96">
        <f>SUM(AX34:BB34)</f>
        <v>111980</v>
      </c>
      <c r="BE34" s="51">
        <v>27</v>
      </c>
      <c r="BF34" s="80">
        <f>BC34+BD34</f>
        <v>111980</v>
      </c>
      <c r="BG34" s="81">
        <f t="shared" si="21"/>
        <v>215380</v>
      </c>
      <c r="BO34" s="287">
        <f t="shared" si="36"/>
        <v>5</v>
      </c>
      <c r="BP34" s="54">
        <f t="shared" si="36"/>
        <v>10</v>
      </c>
      <c r="BQ34" s="68">
        <f t="shared" si="36"/>
        <v>72600</v>
      </c>
      <c r="BR34" s="56">
        <f t="shared" si="22"/>
        <v>6600</v>
      </c>
      <c r="BS34" s="68">
        <f t="shared" si="37"/>
        <v>28380</v>
      </c>
      <c r="BT34" s="57">
        <f t="shared" si="23"/>
        <v>2580</v>
      </c>
      <c r="BU34" s="58">
        <f t="shared" si="38"/>
        <v>100980</v>
      </c>
      <c r="BV34" s="59">
        <f t="shared" si="24"/>
        <v>10098</v>
      </c>
      <c r="BW34" s="288">
        <f t="shared" si="39"/>
        <v>0</v>
      </c>
      <c r="BX34" s="68">
        <f t="shared" si="39"/>
        <v>0</v>
      </c>
      <c r="BY34" s="56" t="e">
        <f t="shared" si="25"/>
        <v>#DIV/0!</v>
      </c>
      <c r="BZ34" s="68">
        <f t="shared" si="40"/>
        <v>0</v>
      </c>
      <c r="CA34" s="57" t="e">
        <f t="shared" si="26"/>
        <v>#DIV/0!</v>
      </c>
      <c r="CB34" s="289">
        <f t="shared" si="41"/>
        <v>0</v>
      </c>
      <c r="CC34" s="290" t="e">
        <v>#DIV/0!</v>
      </c>
      <c r="CD34" s="291">
        <f t="shared" si="42"/>
        <v>10</v>
      </c>
      <c r="CE34" s="68">
        <f t="shared" si="42"/>
        <v>72600</v>
      </c>
      <c r="CF34" s="57">
        <f t="shared" si="43"/>
        <v>6600</v>
      </c>
      <c r="CG34" s="68">
        <f t="shared" si="44"/>
        <v>28380</v>
      </c>
      <c r="CH34" s="57">
        <f t="shared" si="45"/>
        <v>2580</v>
      </c>
      <c r="CI34" s="292">
        <f t="shared" si="46"/>
        <v>100980</v>
      </c>
      <c r="CJ34" s="293">
        <f t="shared" si="47"/>
        <v>10098</v>
      </c>
    </row>
    <row r="35" spans="1:88" ht="15.75" customHeight="1" thickTop="1" thickBot="1">
      <c r="A35" s="110"/>
      <c r="B35" s="286"/>
      <c r="C35" s="52"/>
      <c r="D35" s="294"/>
      <c r="E35" s="54"/>
      <c r="F35" s="295"/>
      <c r="G35" s="56"/>
      <c r="H35" s="55"/>
      <c r="I35" s="296"/>
      <c r="J35" s="58"/>
      <c r="K35" s="59"/>
      <c r="L35" s="297"/>
      <c r="M35" s="86"/>
      <c r="N35" s="298"/>
      <c r="O35" s="88"/>
      <c r="P35" s="87"/>
      <c r="Q35" s="89"/>
      <c r="R35" s="299"/>
      <c r="S35" s="91"/>
      <c r="T35" s="67"/>
      <c r="U35" s="300"/>
      <c r="V35" s="56"/>
      <c r="W35" s="68"/>
      <c r="X35" s="296"/>
      <c r="Y35" s="69"/>
      <c r="Z35" s="70"/>
      <c r="AA35" s="301"/>
      <c r="AB35" s="68"/>
      <c r="AC35" s="68"/>
      <c r="AD35" s="72"/>
      <c r="AE35" s="300"/>
      <c r="AF35" s="302"/>
      <c r="AG35" s="74"/>
      <c r="AH35" s="295"/>
      <c r="AI35" s="56"/>
      <c r="AJ35" s="55"/>
      <c r="AK35" s="57"/>
      <c r="AL35" s="75"/>
      <c r="AM35" s="76"/>
      <c r="AN35" s="294"/>
      <c r="AO35" s="337"/>
      <c r="AP35" s="349"/>
      <c r="AQ35" s="337"/>
      <c r="AR35" s="301"/>
      <c r="AS35" s="68"/>
      <c r="AT35" s="68"/>
      <c r="AU35" s="77"/>
      <c r="AV35" s="68"/>
      <c r="AW35" s="94"/>
      <c r="AX35" s="94"/>
      <c r="AY35" s="94"/>
      <c r="AZ35" s="95"/>
      <c r="BA35" s="95"/>
      <c r="BB35" s="95"/>
      <c r="BC35" s="95"/>
      <c r="BD35" s="96"/>
      <c r="BE35" s="51"/>
      <c r="BF35" s="80"/>
      <c r="BG35" s="81"/>
      <c r="BO35" s="287">
        <f t="shared" si="36"/>
        <v>0</v>
      </c>
      <c r="BP35" s="54">
        <f t="shared" si="36"/>
        <v>0</v>
      </c>
      <c r="BQ35" s="68">
        <f t="shared" si="36"/>
        <v>0</v>
      </c>
      <c r="BR35" s="56" t="e">
        <f t="shared" si="22"/>
        <v>#DIV/0!</v>
      </c>
      <c r="BS35" s="68">
        <f t="shared" si="37"/>
        <v>0</v>
      </c>
      <c r="BT35" s="57" t="e">
        <f t="shared" si="23"/>
        <v>#DIV/0!</v>
      </c>
      <c r="BU35" s="58">
        <f t="shared" si="38"/>
        <v>0</v>
      </c>
      <c r="BV35" s="59" t="e">
        <f t="shared" si="24"/>
        <v>#DIV/0!</v>
      </c>
      <c r="BW35" s="288">
        <f t="shared" si="39"/>
        <v>0</v>
      </c>
      <c r="BX35" s="68">
        <f t="shared" si="39"/>
        <v>0</v>
      </c>
      <c r="BY35" s="56" t="e">
        <f t="shared" si="25"/>
        <v>#DIV/0!</v>
      </c>
      <c r="BZ35" s="68">
        <f t="shared" si="40"/>
        <v>0</v>
      </c>
      <c r="CA35" s="57" t="e">
        <f t="shared" si="26"/>
        <v>#DIV/0!</v>
      </c>
      <c r="CB35" s="289">
        <f t="shared" si="41"/>
        <v>0</v>
      </c>
      <c r="CC35" s="290" t="e">
        <v>#DIV/0!</v>
      </c>
      <c r="CD35" s="291">
        <f t="shared" si="42"/>
        <v>0</v>
      </c>
      <c r="CE35" s="68">
        <f t="shared" si="42"/>
        <v>0</v>
      </c>
      <c r="CF35" s="57" t="e">
        <f t="shared" si="43"/>
        <v>#DIV/0!</v>
      </c>
      <c r="CG35" s="68">
        <f t="shared" si="44"/>
        <v>0</v>
      </c>
      <c r="CH35" s="57" t="e">
        <f t="shared" si="45"/>
        <v>#DIV/0!</v>
      </c>
      <c r="CI35" s="292">
        <f t="shared" si="46"/>
        <v>0</v>
      </c>
      <c r="CJ35" s="293" t="e">
        <f t="shared" si="47"/>
        <v>#DIV/0!</v>
      </c>
    </row>
    <row r="36" spans="1:88" ht="15.75" customHeight="1" thickTop="1" thickBot="1">
      <c r="A36" s="110"/>
      <c r="B36" s="111" t="s">
        <v>23</v>
      </c>
      <c r="C36" s="112">
        <f>SUM(C5:C34)</f>
        <v>0</v>
      </c>
      <c r="D36" s="113">
        <f>SUM(D5:D34)</f>
        <v>129</v>
      </c>
      <c r="E36" s="114">
        <f>SUM(E5:E34)</f>
        <v>300</v>
      </c>
      <c r="F36" s="115">
        <f>SUM(F5:F34)</f>
        <v>1849950</v>
      </c>
      <c r="G36" s="116">
        <f>F36/E36</f>
        <v>6166.5</v>
      </c>
      <c r="H36" s="117">
        <f>SUM(H5:H34)</f>
        <v>661040</v>
      </c>
      <c r="I36" s="118">
        <f>H36/E36</f>
        <v>2203.4666666666667</v>
      </c>
      <c r="J36" s="119">
        <f>SUM(J5:J34)</f>
        <v>2510990</v>
      </c>
      <c r="K36" s="120">
        <f>J36/E36</f>
        <v>8369.9666666666672</v>
      </c>
      <c r="L36" s="121">
        <f>SUM(L5:L34)</f>
        <v>26</v>
      </c>
      <c r="M36" s="122">
        <f>SUM(M5:M34)</f>
        <v>54</v>
      </c>
      <c r="N36" s="123">
        <f>SUM(N5:N34)</f>
        <v>207900</v>
      </c>
      <c r="O36" s="123">
        <f t="shared" si="4"/>
        <v>3850</v>
      </c>
      <c r="P36" s="124">
        <f>SUM(P5:P34)</f>
        <v>48620</v>
      </c>
      <c r="Q36" s="125">
        <f t="shared" si="5"/>
        <v>900.37037037037032</v>
      </c>
      <c r="R36" s="126">
        <f>SUM(R5:R34)</f>
        <v>256520</v>
      </c>
      <c r="S36" s="127">
        <f>R36/M36</f>
        <v>4750.3703703703704</v>
      </c>
      <c r="T36" s="114">
        <f>SUM(T5:T34)</f>
        <v>225</v>
      </c>
      <c r="U36" s="115">
        <f>SUM(U5:U34)</f>
        <v>3107260</v>
      </c>
      <c r="V36" s="116">
        <f>U36/T36</f>
        <v>13810.044444444444</v>
      </c>
      <c r="W36" s="128">
        <f>SUM(W5:W34)</f>
        <v>949110</v>
      </c>
      <c r="X36" s="118">
        <f>W36/T36</f>
        <v>4218.2666666666664</v>
      </c>
      <c r="Y36" s="129">
        <f>SUM(Y5:Y34)</f>
        <v>4056370</v>
      </c>
      <c r="Z36" s="130">
        <f>Y36/T36</f>
        <v>18028.31111111111</v>
      </c>
      <c r="AA36" s="114">
        <f>SUM(AA5:AA34)</f>
        <v>579</v>
      </c>
      <c r="AB36" s="131">
        <f>SUM(AB5:AB34)</f>
        <v>5165110</v>
      </c>
      <c r="AC36" s="128">
        <f>SUM(AC5:AC34)</f>
        <v>1658770</v>
      </c>
      <c r="AD36" s="132">
        <f>SUM(AD5:AD34)</f>
        <v>6823880</v>
      </c>
      <c r="AE36" s="133">
        <f>AD36/AA36</f>
        <v>11785.630397236615</v>
      </c>
      <c r="AF36" s="113">
        <f>SUM(AF5:AF34)</f>
        <v>2209</v>
      </c>
      <c r="AG36" s="114">
        <f>SUM(AG5:AG34)</f>
        <v>2324</v>
      </c>
      <c r="AH36" s="134">
        <f>SUM(AH5:AH34)</f>
        <v>2663560</v>
      </c>
      <c r="AI36" s="116"/>
      <c r="AJ36" s="117">
        <f>SUM(AJ5:AJ34)</f>
        <v>497500</v>
      </c>
      <c r="AK36" s="118"/>
      <c r="AL36" s="135">
        <f>SUM(AL5:AL34)</f>
        <v>3161060</v>
      </c>
      <c r="AM36" s="342">
        <f>AL36/AG36</f>
        <v>1360.1807228915663</v>
      </c>
      <c r="AN36" s="113">
        <f t="shared" ref="AN36:BD36" si="52">SUM(AN5:AN34)</f>
        <v>28</v>
      </c>
      <c r="AO36" s="343">
        <f t="shared" si="52"/>
        <v>46</v>
      </c>
      <c r="AP36" s="113">
        <f t="shared" si="52"/>
        <v>4</v>
      </c>
      <c r="AQ36" s="343">
        <f t="shared" si="52"/>
        <v>7</v>
      </c>
      <c r="AR36" s="114">
        <f t="shared" si="52"/>
        <v>502</v>
      </c>
      <c r="AS36" s="131">
        <f t="shared" si="52"/>
        <v>7828670</v>
      </c>
      <c r="AT36" s="128">
        <f t="shared" si="52"/>
        <v>2156270</v>
      </c>
      <c r="AU36" s="129">
        <f t="shared" si="52"/>
        <v>9984940</v>
      </c>
      <c r="AV36" s="117">
        <f t="shared" si="52"/>
        <v>33000</v>
      </c>
      <c r="AW36" s="136">
        <f t="shared" si="52"/>
        <v>579</v>
      </c>
      <c r="AX36" s="136">
        <f t="shared" si="52"/>
        <v>5165110</v>
      </c>
      <c r="AY36" s="136">
        <f t="shared" si="52"/>
        <v>1658770</v>
      </c>
      <c r="AZ36" s="136">
        <f t="shared" si="52"/>
        <v>33000</v>
      </c>
      <c r="BA36" s="136">
        <f t="shared" si="52"/>
        <v>0</v>
      </c>
      <c r="BB36" s="136">
        <f t="shared" si="52"/>
        <v>0</v>
      </c>
      <c r="BC36" s="136">
        <f t="shared" si="52"/>
        <v>22000</v>
      </c>
      <c r="BD36" s="136">
        <f t="shared" si="52"/>
        <v>6856880</v>
      </c>
      <c r="BE36" s="110"/>
      <c r="BF36" s="137">
        <f>SUM(BF5:BF34)</f>
        <v>6878880</v>
      </c>
      <c r="BO36" s="303">
        <f>SUM(BO5:BO35)</f>
        <v>129</v>
      </c>
      <c r="BP36" s="114">
        <f>SUM(BP5:BP35)</f>
        <v>300</v>
      </c>
      <c r="BQ36" s="115">
        <f>SUM(BQ5:BQ35)</f>
        <v>1849950</v>
      </c>
      <c r="BR36" s="116">
        <f>BQ36/BP36</f>
        <v>6166.5</v>
      </c>
      <c r="BS36" s="117">
        <f>SUM(BS5:BS35)</f>
        <v>661040</v>
      </c>
      <c r="BT36" s="118">
        <f>BS36/BP36</f>
        <v>2203.4666666666667</v>
      </c>
      <c r="BU36" s="119">
        <f>SUM(BU5:BU35)</f>
        <v>2510990</v>
      </c>
      <c r="BV36" s="304">
        <f>BU36/BP36</f>
        <v>8369.9666666666672</v>
      </c>
      <c r="BW36" s="305">
        <f>SUM(BW5:BW35)</f>
        <v>225</v>
      </c>
      <c r="BX36" s="115">
        <f>SUM(BX5:BX35)</f>
        <v>3107260</v>
      </c>
      <c r="BY36" s="116">
        <f>BX36/BW36</f>
        <v>13810.044444444444</v>
      </c>
      <c r="BZ36" s="128">
        <f>SUM(BZ5:BZ35)</f>
        <v>949110</v>
      </c>
      <c r="CA36" s="118">
        <f>BZ36/BW36</f>
        <v>4218.2666666666664</v>
      </c>
      <c r="CB36" s="119">
        <f>SUM(CB5:CB35)</f>
        <v>4056370</v>
      </c>
      <c r="CC36" s="306">
        <v>20391.534090909092</v>
      </c>
      <c r="CD36" s="305">
        <f>SUM(CD5:CD35)</f>
        <v>525</v>
      </c>
      <c r="CE36" s="115">
        <f>SUM(CE5:CE35)</f>
        <v>4957210</v>
      </c>
      <c r="CF36" s="116">
        <f>ROUNDDOWN(CE36/1.1,0)/CD36</f>
        <v>8583.9123809523808</v>
      </c>
      <c r="CG36" s="115">
        <f>SUM(CG5:CG35)</f>
        <v>1610150</v>
      </c>
      <c r="CH36" s="118">
        <f>ROUNDDOWN(CG36/1.1,0)/CD36</f>
        <v>2788.1371428571429</v>
      </c>
      <c r="CI36" s="129">
        <f>SUM(CI5:CI35)</f>
        <v>6567360</v>
      </c>
      <c r="CJ36" s="307">
        <f>IF(CD36="","",CI36/CD36)</f>
        <v>12509.257142857143</v>
      </c>
    </row>
    <row r="37" spans="1:88" ht="15.75" customHeight="1" thickTop="1" thickBot="1">
      <c r="A37" s="157"/>
      <c r="B37" s="138"/>
      <c r="C37" s="139"/>
      <c r="D37" s="110"/>
      <c r="E37" s="140" t="s">
        <v>35</v>
      </c>
      <c r="F37" s="141">
        <f>F36/1.1</f>
        <v>1681772.7272727271</v>
      </c>
      <c r="G37" s="142">
        <f>F37/E36</f>
        <v>5605.9090909090901</v>
      </c>
      <c r="H37" s="143">
        <f>H36/1.1</f>
        <v>600945.45454545447</v>
      </c>
      <c r="I37" s="142">
        <f>H37/E36</f>
        <v>2003.151515151515</v>
      </c>
      <c r="J37" s="136">
        <f>J36/1.1</f>
        <v>2282718.1818181816</v>
      </c>
      <c r="K37" s="144">
        <f>G37+I37</f>
        <v>7609.0606060606051</v>
      </c>
      <c r="L37" s="145"/>
      <c r="M37" s="146" t="s">
        <v>35</v>
      </c>
      <c r="N37" s="147">
        <f>N36/1.1</f>
        <v>188999.99999999997</v>
      </c>
      <c r="O37" s="148">
        <f>N37/M36</f>
        <v>3499.9999999999995</v>
      </c>
      <c r="P37" s="148">
        <f>P36/1.1</f>
        <v>44200</v>
      </c>
      <c r="Q37" s="148">
        <f>P37/M36</f>
        <v>818.51851851851848</v>
      </c>
      <c r="R37" s="149">
        <f>R36/1.1</f>
        <v>233199.99999999997</v>
      </c>
      <c r="S37" s="150">
        <f>R37/M36</f>
        <v>4318.5185185185182</v>
      </c>
      <c r="T37" s="140" t="s">
        <v>35</v>
      </c>
      <c r="U37" s="141">
        <f>U36/1.1</f>
        <v>2824781.8181818179</v>
      </c>
      <c r="V37" s="142">
        <f>U37/T36</f>
        <v>12554.585858585857</v>
      </c>
      <c r="W37" s="141">
        <f>W36/1.1</f>
        <v>862827.27272727271</v>
      </c>
      <c r="X37" s="142">
        <f>W37/T36</f>
        <v>3834.7878787878785</v>
      </c>
      <c r="Y37" s="142">
        <f>Y36/1.1</f>
        <v>3687609.0909090908</v>
      </c>
      <c r="Z37" s="151">
        <f>Y37/T36</f>
        <v>16389.373737373739</v>
      </c>
      <c r="AA37" s="140" t="s">
        <v>35</v>
      </c>
      <c r="AB37" s="141">
        <f>AB36/1.1</f>
        <v>4695554.5454545449</v>
      </c>
      <c r="AC37" s="141">
        <f>AC36/1.1</f>
        <v>1507972.7272727271</v>
      </c>
      <c r="AD37" s="152">
        <f>AD36/1.1</f>
        <v>6203527.2727272725</v>
      </c>
      <c r="AE37" s="133">
        <f>AD37/AA36</f>
        <v>10714.209452033287</v>
      </c>
      <c r="AF37" s="153"/>
      <c r="AG37" s="140" t="s">
        <v>35</v>
      </c>
      <c r="AH37" s="141">
        <f>AH36/1.1</f>
        <v>2421418.1818181816</v>
      </c>
      <c r="AI37" s="143">
        <f>AH37/AG36</f>
        <v>1041.9183226412142</v>
      </c>
      <c r="AJ37" s="143">
        <f>AJ36/1.1</f>
        <v>452272.72727272724</v>
      </c>
      <c r="AK37" s="143">
        <f>AJ37/AG36</f>
        <v>194.60960726020966</v>
      </c>
      <c r="AL37" s="142">
        <f>AL36/1.1</f>
        <v>2873690.9090909087</v>
      </c>
      <c r="AM37" s="154">
        <f>AL37/AG36</f>
        <v>1236.5279299014237</v>
      </c>
      <c r="AN37" s="154"/>
      <c r="AO37" s="139"/>
      <c r="AP37" s="154"/>
      <c r="AQ37" s="139"/>
      <c r="AR37" s="140" t="s">
        <v>35</v>
      </c>
      <c r="AS37" s="155">
        <f>AS36/1.1</f>
        <v>7116972.7272727266</v>
      </c>
      <c r="AT37" s="141">
        <f>AT36/1.1</f>
        <v>1960245.4545454544</v>
      </c>
      <c r="AU37" s="142">
        <f>AU36/1.1</f>
        <v>9077218.1818181816</v>
      </c>
      <c r="AV37" s="143">
        <f>AV36/1.1</f>
        <v>29999.999999999996</v>
      </c>
      <c r="AW37" s="110"/>
      <c r="AX37" s="110"/>
      <c r="AY37" s="110"/>
      <c r="AZ37" s="156">
        <f>AZ36/1.1</f>
        <v>29999.999999999996</v>
      </c>
      <c r="BA37" s="156"/>
      <c r="BB37" s="110"/>
      <c r="BC37" s="110"/>
      <c r="BD37" s="156">
        <f>BD36/1.1</f>
        <v>6233527.2727272725</v>
      </c>
      <c r="BE37" s="110"/>
      <c r="BF37" s="156"/>
      <c r="BO37" s="308"/>
      <c r="BP37" s="309" t="s">
        <v>35</v>
      </c>
      <c r="BQ37" s="310">
        <f>BQ36/1.1</f>
        <v>1681772.7272727271</v>
      </c>
      <c r="BR37" s="311">
        <f>BQ37/BP36</f>
        <v>5605.9090909090901</v>
      </c>
      <c r="BS37" s="312">
        <f>BS36/1.1</f>
        <v>600945.45454545447</v>
      </c>
      <c r="BT37" s="311">
        <f>BS37/BP36</f>
        <v>2003.151515151515</v>
      </c>
      <c r="BU37" s="313">
        <f>BU36/1.1</f>
        <v>2282718.1818181816</v>
      </c>
      <c r="BV37" s="314">
        <f>BR37+BT37</f>
        <v>7609.0606060606051</v>
      </c>
      <c r="BW37" s="315" t="s">
        <v>35</v>
      </c>
      <c r="BX37" s="310">
        <f>BX36/1.1</f>
        <v>2824781.8181818179</v>
      </c>
      <c r="BY37" s="311">
        <f>BX37/BW36</f>
        <v>12554.585858585857</v>
      </c>
      <c r="BZ37" s="312">
        <f>BZ36/1.1</f>
        <v>862827.27272727271</v>
      </c>
      <c r="CA37" s="311">
        <f>BZ37/BW36</f>
        <v>3834.7878787878785</v>
      </c>
      <c r="CB37" s="313">
        <f>CB36/1.1</f>
        <v>3687609.0909090908</v>
      </c>
      <c r="CC37" s="316">
        <v>18537.758264462809</v>
      </c>
      <c r="CD37" s="315" t="s">
        <v>35</v>
      </c>
      <c r="CE37" s="310">
        <f>CE36/1.1</f>
        <v>4506554.5454545449</v>
      </c>
      <c r="CF37" s="311">
        <f>CE37/CD36</f>
        <v>8583.9134199134187</v>
      </c>
      <c r="CG37" s="310">
        <f>CG36/1.1</f>
        <v>1463772.7272727271</v>
      </c>
      <c r="CH37" s="311">
        <f>CG37/CD36</f>
        <v>2788.1385281385278</v>
      </c>
      <c r="CI37" s="311">
        <f>CI36/1.1</f>
        <v>5970327.2727272725</v>
      </c>
      <c r="CJ37" s="317">
        <f>CF37+CH37</f>
        <v>11372.051948051947</v>
      </c>
    </row>
    <row r="38" spans="1:88" ht="15.75" customHeight="1">
      <c r="A38" s="157"/>
      <c r="B38" s="158">
        <v>30</v>
      </c>
      <c r="C38" s="159"/>
      <c r="D38" s="157"/>
      <c r="E38" s="160" t="s">
        <v>36</v>
      </c>
      <c r="F38" s="161">
        <f>E36/G38</f>
        <v>10</v>
      </c>
      <c r="G38" s="162">
        <v>30</v>
      </c>
      <c r="H38" s="163" t="s">
        <v>37</v>
      </c>
      <c r="I38" s="161"/>
      <c r="J38" s="164" t="s">
        <v>38</v>
      </c>
      <c r="K38" s="165">
        <f>J37/G38</f>
        <v>76090.606060606049</v>
      </c>
      <c r="L38" s="166"/>
      <c r="O38" s="168">
        <f>G38</f>
        <v>30</v>
      </c>
      <c r="P38" s="169"/>
      <c r="Q38" s="169"/>
      <c r="R38" s="164" t="s">
        <v>38</v>
      </c>
      <c r="S38" s="165">
        <f>R37/O38</f>
        <v>7773.3333333333321</v>
      </c>
      <c r="T38" s="157"/>
      <c r="U38" s="160" t="s">
        <v>36</v>
      </c>
      <c r="V38" s="161">
        <f>T36/W38</f>
        <v>7.5</v>
      </c>
      <c r="W38" s="162">
        <f>G38</f>
        <v>30</v>
      </c>
      <c r="X38" s="163" t="s">
        <v>37</v>
      </c>
      <c r="Y38" s="164" t="s">
        <v>38</v>
      </c>
      <c r="Z38" s="170">
        <f>Y37/W38</f>
        <v>122920.30303030302</v>
      </c>
      <c r="AB38" s="162">
        <f>G38</f>
        <v>30</v>
      </c>
      <c r="AC38" s="157"/>
      <c r="AD38" s="164" t="s">
        <v>38</v>
      </c>
      <c r="AE38" s="170">
        <f>AD37/AB38</f>
        <v>206784.2424242424</v>
      </c>
      <c r="AF38" s="171"/>
      <c r="AG38" s="157"/>
      <c r="AH38" s="157"/>
      <c r="AI38" s="172">
        <f>G38</f>
        <v>30</v>
      </c>
      <c r="AJ38" s="163" t="s">
        <v>37</v>
      </c>
      <c r="AK38" s="161"/>
      <c r="AL38" s="161"/>
      <c r="AM38" s="164" t="s">
        <v>38</v>
      </c>
      <c r="AN38" s="344">
        <f>AL37/AI38</f>
        <v>95789.696969696961</v>
      </c>
      <c r="AO38" s="344"/>
      <c r="AP38" s="344"/>
      <c r="AQ38" s="344"/>
      <c r="AS38" s="157"/>
      <c r="AT38" s="157"/>
      <c r="AU38" s="157" t="s">
        <v>39</v>
      </c>
      <c r="AV38" s="166"/>
      <c r="AW38" s="166">
        <f>AU37/AX38</f>
        <v>3212.03757318407</v>
      </c>
      <c r="AX38" s="174">
        <f>AR36+AG36</f>
        <v>2826</v>
      </c>
      <c r="AY38" s="157" t="s">
        <v>40</v>
      </c>
      <c r="AZ38" s="157"/>
      <c r="BA38" s="157"/>
      <c r="BB38" s="166"/>
      <c r="BC38" s="157"/>
      <c r="BD38" s="157"/>
      <c r="BE38" s="166"/>
      <c r="BF38" s="157"/>
      <c r="BG38" s="166">
        <f>BF36/1.1</f>
        <v>6253527.2727272725</v>
      </c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77.466666666666669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 t="s">
        <v>41</v>
      </c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 t="shared" ref="E41:F45" si="53">E7+E14+E21+E28</f>
        <v>36</v>
      </c>
      <c r="F41" s="166">
        <f t="shared" si="53"/>
        <v>211850</v>
      </c>
      <c r="G41" s="184">
        <f>F41/E41</f>
        <v>5884.7222222222226</v>
      </c>
      <c r="H41" s="166">
        <f>H7+H14+H21+H28</f>
        <v>47310</v>
      </c>
      <c r="I41" s="185">
        <f>H41/E41</f>
        <v>1314.1666666666667</v>
      </c>
      <c r="J41" s="166">
        <f>J7+J14+J21+J28</f>
        <v>259160</v>
      </c>
      <c r="K41" s="186">
        <f>J41/E41</f>
        <v>7198.8888888888887</v>
      </c>
      <c r="L41" s="182" t="s">
        <v>52</v>
      </c>
      <c r="M41" s="183">
        <f t="shared" ref="M41:N45" si="54">M7+M14+M21+M28</f>
        <v>10</v>
      </c>
      <c r="N41" s="166">
        <f t="shared" si="54"/>
        <v>38500</v>
      </c>
      <c r="O41" s="185">
        <f>N41/M41</f>
        <v>3850</v>
      </c>
      <c r="P41" s="166">
        <f>P7+P14+P21+P28</f>
        <v>7700</v>
      </c>
      <c r="Q41" s="185">
        <f>P41/M41</f>
        <v>770</v>
      </c>
      <c r="R41" s="166">
        <f>R7+R14+R21+R28</f>
        <v>46200</v>
      </c>
      <c r="S41" s="186">
        <f>R41/M41</f>
        <v>4620</v>
      </c>
      <c r="T41" s="183">
        <f t="shared" ref="T41:U45" si="55">T7+T14+T21+T28</f>
        <v>42</v>
      </c>
      <c r="U41" s="166">
        <f t="shared" si="55"/>
        <v>628310</v>
      </c>
      <c r="V41" s="185">
        <f>U41/T41</f>
        <v>14959.761904761905</v>
      </c>
      <c r="W41" s="166">
        <f>W7+W14+W21+W28</f>
        <v>172190</v>
      </c>
      <c r="X41" s="185">
        <f>W41/T41</f>
        <v>4099.7619047619046</v>
      </c>
      <c r="Y41" s="166">
        <f>Y7+Y14+Y21+Y28</f>
        <v>800500</v>
      </c>
      <c r="Z41" s="186">
        <f>Y41/T41</f>
        <v>19059.523809523809</v>
      </c>
      <c r="AA41" s="157"/>
      <c r="AB41" s="157"/>
      <c r="AC41" s="157"/>
      <c r="AD41" s="157"/>
      <c r="AE41" s="157"/>
      <c r="AF41" s="182" t="s">
        <v>52</v>
      </c>
      <c r="AG41" s="183">
        <f t="shared" ref="AG41:AH45" si="56">AG7+AG14+AG21+AG28</f>
        <v>278</v>
      </c>
      <c r="AH41" s="166">
        <f t="shared" si="56"/>
        <v>432630</v>
      </c>
      <c r="AI41" s="185">
        <f>AH41/AG41</f>
        <v>1556.2230215827337</v>
      </c>
      <c r="AJ41" s="166">
        <f>AJ7+AJ14+AJ21+AJ28</f>
        <v>45600</v>
      </c>
      <c r="AK41" s="185">
        <f>AJ41/AG41</f>
        <v>164.02877697841726</v>
      </c>
      <c r="AL41" s="166">
        <f>AL7+AL14+AL21+AL28</f>
        <v>478230</v>
      </c>
      <c r="AM41" s="186">
        <f>AL41/AG41</f>
        <v>1720.2517985611512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 t="shared" si="53"/>
        <v>58</v>
      </c>
      <c r="F42" s="166">
        <f t="shared" si="53"/>
        <v>354800</v>
      </c>
      <c r="G42" s="184">
        <f t="shared" ref="G42:G47" si="57">F42/E42</f>
        <v>6117.2413793103451</v>
      </c>
      <c r="H42" s="166">
        <f>H8+H15+H22+H29</f>
        <v>125730</v>
      </c>
      <c r="I42" s="185">
        <f t="shared" ref="I42:I47" si="58">H42/E42</f>
        <v>2167.7586206896553</v>
      </c>
      <c r="J42" s="166">
        <f>J8+J15+J22+J29</f>
        <v>480530</v>
      </c>
      <c r="K42" s="186">
        <f t="shared" ref="K42:K47" si="59">J42/E42</f>
        <v>8285</v>
      </c>
      <c r="L42" s="182" t="s">
        <v>53</v>
      </c>
      <c r="M42" s="183">
        <f t="shared" si="54"/>
        <v>0</v>
      </c>
      <c r="N42" s="166">
        <f t="shared" si="54"/>
        <v>0</v>
      </c>
      <c r="O42" s="185" t="e">
        <f t="shared" ref="O42:O47" si="60">N42/M42</f>
        <v>#DIV/0!</v>
      </c>
      <c r="P42" s="166">
        <f>P8+P15+P22+P29</f>
        <v>0</v>
      </c>
      <c r="Q42" s="185" t="e">
        <f t="shared" ref="Q42:Q47" si="61">P42/M42</f>
        <v>#DIV/0!</v>
      </c>
      <c r="R42" s="166">
        <f>R8+R15+R22+R29</f>
        <v>0</v>
      </c>
      <c r="S42" s="186" t="e">
        <f t="shared" ref="S42:S47" si="62">R42/M42</f>
        <v>#DIV/0!</v>
      </c>
      <c r="T42" s="183">
        <f t="shared" si="55"/>
        <v>34</v>
      </c>
      <c r="U42" s="166">
        <f t="shared" si="55"/>
        <v>426800</v>
      </c>
      <c r="V42" s="185">
        <f t="shared" ref="V42:V47" si="63">U42/T42</f>
        <v>12552.941176470587</v>
      </c>
      <c r="W42" s="166">
        <f>W8+W15+W22+W29</f>
        <v>130050</v>
      </c>
      <c r="X42" s="185">
        <f t="shared" ref="X42:X47" si="64">W42/T42</f>
        <v>3825</v>
      </c>
      <c r="Y42" s="166">
        <f>Y8+Y15+Y22+Y29</f>
        <v>556850</v>
      </c>
      <c r="Z42" s="186">
        <f t="shared" ref="Z42:Z47" si="65">Y42/T42</f>
        <v>16377.941176470587</v>
      </c>
      <c r="AA42" s="157"/>
      <c r="AB42" s="157"/>
      <c r="AC42" s="157"/>
      <c r="AD42" s="157"/>
      <c r="AE42" s="157"/>
      <c r="AF42" s="182" t="s">
        <v>53</v>
      </c>
      <c r="AG42" s="183">
        <f t="shared" si="56"/>
        <v>207</v>
      </c>
      <c r="AH42" s="166">
        <f t="shared" si="56"/>
        <v>274310</v>
      </c>
      <c r="AI42" s="185">
        <f t="shared" ref="AI42:AI47" si="66">AH42/AG42</f>
        <v>1325.1690821256038</v>
      </c>
      <c r="AJ42" s="166">
        <f>AJ8+AJ15+AJ22+AJ29</f>
        <v>28400</v>
      </c>
      <c r="AK42" s="185">
        <f t="shared" ref="AK42:AK47" si="67">AJ42/AG42</f>
        <v>137.19806763285024</v>
      </c>
      <c r="AL42" s="166">
        <f>AL8+AL15+AL22+AL29</f>
        <v>302710</v>
      </c>
      <c r="AM42" s="186">
        <f t="shared" ref="AM42:AM47" si="68">AL42/AG42</f>
        <v>1462.3671497584542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 t="shared" si="53"/>
        <v>33</v>
      </c>
      <c r="F43" s="166">
        <f t="shared" si="53"/>
        <v>163300</v>
      </c>
      <c r="G43" s="184">
        <f t="shared" si="57"/>
        <v>4948.484848484848</v>
      </c>
      <c r="H43" s="166">
        <f>H9+H16+H23+H30</f>
        <v>42480</v>
      </c>
      <c r="I43" s="185">
        <f t="shared" si="58"/>
        <v>1287.2727272727273</v>
      </c>
      <c r="J43" s="166">
        <f>J9+J16+J23+J30</f>
        <v>205780</v>
      </c>
      <c r="K43" s="186">
        <f t="shared" si="59"/>
        <v>6235.757575757576</v>
      </c>
      <c r="L43" s="182" t="s">
        <v>54</v>
      </c>
      <c r="M43" s="183">
        <f t="shared" si="54"/>
        <v>0</v>
      </c>
      <c r="N43" s="166">
        <f t="shared" si="54"/>
        <v>0</v>
      </c>
      <c r="O43" s="185" t="e">
        <f t="shared" si="60"/>
        <v>#DIV/0!</v>
      </c>
      <c r="P43" s="166">
        <f>P9+P16+P23+P30</f>
        <v>0</v>
      </c>
      <c r="Q43" s="185" t="e">
        <f t="shared" si="61"/>
        <v>#DIV/0!</v>
      </c>
      <c r="R43" s="166">
        <f>R9+R16+R23+R30</f>
        <v>0</v>
      </c>
      <c r="S43" s="186" t="e">
        <f t="shared" si="62"/>
        <v>#DIV/0!</v>
      </c>
      <c r="T43" s="183">
        <f t="shared" si="55"/>
        <v>21</v>
      </c>
      <c r="U43" s="166">
        <f t="shared" si="55"/>
        <v>325600</v>
      </c>
      <c r="V43" s="185">
        <f t="shared" si="63"/>
        <v>15504.761904761905</v>
      </c>
      <c r="W43" s="166">
        <f>W9+W16+W23+W30</f>
        <v>99510</v>
      </c>
      <c r="X43" s="185">
        <f t="shared" si="64"/>
        <v>4738.5714285714284</v>
      </c>
      <c r="Y43" s="166">
        <f>Y9+Y16+Y23+Y30</f>
        <v>425110</v>
      </c>
      <c r="Z43" s="186">
        <f t="shared" si="65"/>
        <v>20243.333333333332</v>
      </c>
      <c r="AA43" s="157"/>
      <c r="AB43" s="157"/>
      <c r="AC43" s="157"/>
      <c r="AD43" s="157"/>
      <c r="AE43" s="157"/>
      <c r="AF43" s="182" t="s">
        <v>54</v>
      </c>
      <c r="AG43" s="183">
        <f t="shared" si="56"/>
        <v>246</v>
      </c>
      <c r="AH43" s="166">
        <f t="shared" si="56"/>
        <v>322660</v>
      </c>
      <c r="AI43" s="185">
        <f t="shared" si="66"/>
        <v>1311.6260162601627</v>
      </c>
      <c r="AJ43" s="166">
        <f>AJ9+AJ16+AJ23+AJ30</f>
        <v>34000</v>
      </c>
      <c r="AK43" s="185">
        <f t="shared" si="67"/>
        <v>138.21138211382114</v>
      </c>
      <c r="AL43" s="166">
        <f>AL9+AL16+AL23+AL30</f>
        <v>356660</v>
      </c>
      <c r="AM43" s="186">
        <f t="shared" si="68"/>
        <v>1449.8373983739837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 t="shared" si="53"/>
        <v>21</v>
      </c>
      <c r="F44" s="166">
        <f t="shared" si="53"/>
        <v>131000</v>
      </c>
      <c r="G44" s="184">
        <f t="shared" si="57"/>
        <v>6238.0952380952385</v>
      </c>
      <c r="H44" s="166">
        <f>H10+H17+H24+H31</f>
        <v>30370</v>
      </c>
      <c r="I44" s="185">
        <f t="shared" si="58"/>
        <v>1446.1904761904761</v>
      </c>
      <c r="J44" s="166">
        <f>J10+J17+J24+J31</f>
        <v>161370</v>
      </c>
      <c r="K44" s="186">
        <f t="shared" si="59"/>
        <v>7684.2857142857147</v>
      </c>
      <c r="L44" s="182" t="s">
        <v>55</v>
      </c>
      <c r="M44" s="183">
        <f t="shared" si="54"/>
        <v>9</v>
      </c>
      <c r="N44" s="166">
        <f t="shared" si="54"/>
        <v>34650</v>
      </c>
      <c r="O44" s="185">
        <f t="shared" si="60"/>
        <v>3850</v>
      </c>
      <c r="P44" s="166">
        <f>P10+P17+P24+P31</f>
        <v>8470</v>
      </c>
      <c r="Q44" s="185">
        <f t="shared" si="61"/>
        <v>941.11111111111109</v>
      </c>
      <c r="R44" s="166">
        <f>R10+R17+R24+R31</f>
        <v>43120</v>
      </c>
      <c r="S44" s="186">
        <f t="shared" si="62"/>
        <v>4791.1111111111113</v>
      </c>
      <c r="T44" s="183">
        <f t="shared" si="55"/>
        <v>7</v>
      </c>
      <c r="U44" s="166">
        <f t="shared" si="55"/>
        <v>105600</v>
      </c>
      <c r="V44" s="185">
        <f t="shared" si="63"/>
        <v>15085.714285714286</v>
      </c>
      <c r="W44" s="166">
        <f>W10+W17+W24+W31</f>
        <v>50160</v>
      </c>
      <c r="X44" s="185">
        <f t="shared" si="64"/>
        <v>7165.7142857142853</v>
      </c>
      <c r="Y44" s="166">
        <f>Y10+Y17+Y24+Y31</f>
        <v>155760</v>
      </c>
      <c r="Z44" s="186">
        <f t="shared" si="65"/>
        <v>22251.428571428572</v>
      </c>
      <c r="AA44" s="157"/>
      <c r="AB44" s="157"/>
      <c r="AC44" s="157"/>
      <c r="AD44" s="157"/>
      <c r="AE44" s="157"/>
      <c r="AF44" s="182" t="s">
        <v>55</v>
      </c>
      <c r="AG44" s="183">
        <f t="shared" si="56"/>
        <v>200</v>
      </c>
      <c r="AH44" s="166">
        <f t="shared" si="56"/>
        <v>257200</v>
      </c>
      <c r="AI44" s="185">
        <f t="shared" si="66"/>
        <v>1286</v>
      </c>
      <c r="AJ44" s="166">
        <f>AJ10+AJ17+AJ24+AJ31</f>
        <v>35200</v>
      </c>
      <c r="AK44" s="185">
        <f t="shared" si="67"/>
        <v>176</v>
      </c>
      <c r="AL44" s="166">
        <f>AL10+AL17+AL24+AL31</f>
        <v>292400</v>
      </c>
      <c r="AM44" s="186">
        <f t="shared" si="68"/>
        <v>1462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 t="shared" si="53"/>
        <v>26</v>
      </c>
      <c r="F45" s="166">
        <f t="shared" si="53"/>
        <v>143100</v>
      </c>
      <c r="G45" s="184">
        <f t="shared" si="57"/>
        <v>5503.8461538461543</v>
      </c>
      <c r="H45" s="166">
        <f>H11+H18+H25+H32</f>
        <v>37850</v>
      </c>
      <c r="I45" s="185">
        <f t="shared" si="58"/>
        <v>1455.7692307692307</v>
      </c>
      <c r="J45" s="166">
        <f>J11+J18+J25+J32</f>
        <v>180950</v>
      </c>
      <c r="K45" s="186">
        <f t="shared" si="59"/>
        <v>6959.6153846153848</v>
      </c>
      <c r="L45" s="182" t="s">
        <v>56</v>
      </c>
      <c r="M45" s="183">
        <f t="shared" si="54"/>
        <v>2</v>
      </c>
      <c r="N45" s="166">
        <f t="shared" si="54"/>
        <v>7700</v>
      </c>
      <c r="O45" s="185">
        <f t="shared" si="60"/>
        <v>3850</v>
      </c>
      <c r="P45" s="166">
        <f>P11+P18+P25+P32</f>
        <v>1100</v>
      </c>
      <c r="Q45" s="185">
        <f t="shared" si="61"/>
        <v>550</v>
      </c>
      <c r="R45" s="166">
        <f>R11+R18+R25+R32</f>
        <v>8800</v>
      </c>
      <c r="S45" s="186">
        <f t="shared" si="62"/>
        <v>4400</v>
      </c>
      <c r="T45" s="183">
        <f t="shared" si="55"/>
        <v>41</v>
      </c>
      <c r="U45" s="166">
        <f t="shared" si="55"/>
        <v>450410</v>
      </c>
      <c r="V45" s="185">
        <f t="shared" si="63"/>
        <v>10985.609756097561</v>
      </c>
      <c r="W45" s="166">
        <f>W11+W18+W25+W32</f>
        <v>107390</v>
      </c>
      <c r="X45" s="185">
        <f t="shared" si="64"/>
        <v>2619.268292682927</v>
      </c>
      <c r="Y45" s="166">
        <f>Y11+Y18+Y25+Y32</f>
        <v>557800</v>
      </c>
      <c r="Z45" s="186">
        <f t="shared" si="65"/>
        <v>13604.878048780487</v>
      </c>
      <c r="AA45" s="157"/>
      <c r="AB45" s="157"/>
      <c r="AC45" s="157"/>
      <c r="AD45" s="157"/>
      <c r="AE45" s="157"/>
      <c r="AF45" s="182" t="s">
        <v>56</v>
      </c>
      <c r="AG45" s="183">
        <f t="shared" si="56"/>
        <v>497</v>
      </c>
      <c r="AH45" s="166">
        <f t="shared" si="56"/>
        <v>365350</v>
      </c>
      <c r="AI45" s="185">
        <f t="shared" si="66"/>
        <v>735.11066398390346</v>
      </c>
      <c r="AJ45" s="166">
        <f>AJ11+AJ18+AJ25+AJ32</f>
        <v>148700</v>
      </c>
      <c r="AK45" s="185">
        <f t="shared" si="67"/>
        <v>299.19517102615691</v>
      </c>
      <c r="AL45" s="166">
        <f>AL11+AL18+AL25+AL32</f>
        <v>514050</v>
      </c>
      <c r="AM45" s="186">
        <f t="shared" si="68"/>
        <v>1034.3058350100603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>E5+E12+E19+E26+E33</f>
        <v>58</v>
      </c>
      <c r="F46" s="166">
        <f>F5+F12+F19+F26+F33</f>
        <v>354200</v>
      </c>
      <c r="G46" s="184">
        <f t="shared" si="57"/>
        <v>6106.8965517241377</v>
      </c>
      <c r="H46" s="166">
        <f>H5+H12+H19+H26+H33</f>
        <v>102520</v>
      </c>
      <c r="I46" s="185">
        <f t="shared" si="58"/>
        <v>1767.5862068965516</v>
      </c>
      <c r="J46" s="166">
        <f>J5+J12+J19+J26+J33</f>
        <v>456720</v>
      </c>
      <c r="K46" s="186">
        <f t="shared" si="59"/>
        <v>7874.4827586206893</v>
      </c>
      <c r="L46" s="182" t="s">
        <v>57</v>
      </c>
      <c r="M46" s="183">
        <f>M5+M12+M19+M26+M33</f>
        <v>13</v>
      </c>
      <c r="N46" s="166">
        <f>N5+N12+N19+N26+N33</f>
        <v>50050</v>
      </c>
      <c r="O46" s="185">
        <f t="shared" si="60"/>
        <v>3850</v>
      </c>
      <c r="P46" s="166">
        <f>P5+P12+P19+P26+P33</f>
        <v>9350</v>
      </c>
      <c r="Q46" s="185">
        <f t="shared" si="61"/>
        <v>719.23076923076928</v>
      </c>
      <c r="R46" s="166">
        <f>R5+R12+R19+R26+R33</f>
        <v>59400</v>
      </c>
      <c r="S46" s="186">
        <f t="shared" si="62"/>
        <v>4569.2307692307695</v>
      </c>
      <c r="T46" s="183">
        <f>T5+T12+T19+T26+T33</f>
        <v>58</v>
      </c>
      <c r="U46" s="166">
        <f>U5+U12+U19+U26+U33</f>
        <v>893340</v>
      </c>
      <c r="V46" s="185">
        <f t="shared" si="63"/>
        <v>15402.413793103447</v>
      </c>
      <c r="W46" s="166">
        <f>W5+W12+W19+W26+W33</f>
        <v>335910</v>
      </c>
      <c r="X46" s="185">
        <f t="shared" si="64"/>
        <v>5791.5517241379312</v>
      </c>
      <c r="Y46" s="166">
        <f>Y5+Y12+Y19+Y26+Y33</f>
        <v>1229250</v>
      </c>
      <c r="Z46" s="186">
        <f t="shared" si="65"/>
        <v>21193.96551724138</v>
      </c>
      <c r="AA46" s="157"/>
      <c r="AB46" s="157"/>
      <c r="AC46" s="157"/>
      <c r="AD46" s="157"/>
      <c r="AE46" s="157"/>
      <c r="AF46" s="182" t="s">
        <v>57</v>
      </c>
      <c r="AG46" s="183">
        <f>AG5+AG12+AG19+AG26+AG33</f>
        <v>461</v>
      </c>
      <c r="AH46" s="166">
        <f>AH5+AH12+AH19+AH26+AH33</f>
        <v>511660</v>
      </c>
      <c r="AI46" s="185">
        <f t="shared" si="66"/>
        <v>1109.891540130152</v>
      </c>
      <c r="AJ46" s="166">
        <f>AJ5+AJ12+AJ19+AJ26+AJ33</f>
        <v>119700</v>
      </c>
      <c r="AK46" s="185">
        <f t="shared" si="67"/>
        <v>259.65292841648591</v>
      </c>
      <c r="AL46" s="166">
        <f>AL5+AL12+AL19+AL26+AL33</f>
        <v>631360</v>
      </c>
      <c r="AM46" s="186">
        <f t="shared" si="68"/>
        <v>1369.5444685466377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>E6+E13+E20+E27+E34</f>
        <v>68</v>
      </c>
      <c r="F47" s="189">
        <f>F6+F13+F20+F27+F34</f>
        <v>491700</v>
      </c>
      <c r="G47" s="190">
        <f t="shared" si="57"/>
        <v>7230.8823529411766</v>
      </c>
      <c r="H47" s="189">
        <f>H6+H13+H20+H27+H34</f>
        <v>274780</v>
      </c>
      <c r="I47" s="191">
        <f t="shared" si="58"/>
        <v>4040.8823529411766</v>
      </c>
      <c r="J47" s="189">
        <f>J6+J13+J20+J27+J34</f>
        <v>766480</v>
      </c>
      <c r="K47" s="192">
        <f t="shared" si="59"/>
        <v>11271.764705882353</v>
      </c>
      <c r="L47" s="187" t="s">
        <v>58</v>
      </c>
      <c r="M47" s="188">
        <f>M6+M13+M20+M27+M34</f>
        <v>20</v>
      </c>
      <c r="N47" s="189">
        <f>N6+N13+N20+N27+N34</f>
        <v>77000</v>
      </c>
      <c r="O47" s="191">
        <f t="shared" si="60"/>
        <v>3850</v>
      </c>
      <c r="P47" s="189">
        <f>P6+P13+P20+P27+P34</f>
        <v>22000</v>
      </c>
      <c r="Q47" s="191">
        <f t="shared" si="61"/>
        <v>1100</v>
      </c>
      <c r="R47" s="189">
        <f>R6+R13+R20+R27+R34</f>
        <v>99000</v>
      </c>
      <c r="S47" s="192">
        <f t="shared" si="62"/>
        <v>4950</v>
      </c>
      <c r="T47" s="188">
        <f>T6+T13+T20+T27+T34</f>
        <v>22</v>
      </c>
      <c r="U47" s="189">
        <f>U6+U13+U20+U27+U34</f>
        <v>277200</v>
      </c>
      <c r="V47" s="191">
        <f t="shared" si="63"/>
        <v>12600</v>
      </c>
      <c r="W47" s="189">
        <f>W6+W13+W20+W27+W34</f>
        <v>53900</v>
      </c>
      <c r="X47" s="191">
        <f t="shared" si="64"/>
        <v>2450</v>
      </c>
      <c r="Y47" s="189">
        <f>Y6+Y13+Y20+Y27+Y34</f>
        <v>331100</v>
      </c>
      <c r="Z47" s="192">
        <f t="shared" si="65"/>
        <v>15050</v>
      </c>
      <c r="AA47" s="157"/>
      <c r="AB47" s="157"/>
      <c r="AC47" s="157"/>
      <c r="AD47" s="157"/>
      <c r="AE47" s="157"/>
      <c r="AF47" s="187" t="s">
        <v>58</v>
      </c>
      <c r="AG47" s="188">
        <f>AG6+AG13+AG20+AG27+AG34</f>
        <v>435</v>
      </c>
      <c r="AH47" s="189">
        <f>AH6+AH13+AH20+AH27+AH34</f>
        <v>499750</v>
      </c>
      <c r="AI47" s="191">
        <f t="shared" si="66"/>
        <v>1148.8505747126437</v>
      </c>
      <c r="AJ47" s="189">
        <f>AJ6+AJ13+AJ20+AJ27+AJ34</f>
        <v>85900</v>
      </c>
      <c r="AK47" s="191">
        <f t="shared" si="67"/>
        <v>197.4712643678161</v>
      </c>
      <c r="AL47" s="189">
        <f>AL6+AL13+AL20+AL27+AL34</f>
        <v>585650</v>
      </c>
      <c r="AM47" s="192">
        <f t="shared" si="68"/>
        <v>1346.3218390804598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  <c r="BG48" s="157"/>
      <c r="BH48" s="166"/>
    </row>
    <row r="49" spans="1:88" ht="21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O49" s="7"/>
      <c r="AP49" s="345"/>
      <c r="AQ49" s="345"/>
      <c r="AS49" s="157"/>
      <c r="AT49" s="157"/>
      <c r="AU49" s="157" t="s">
        <v>63</v>
      </c>
      <c r="AW49" s="198">
        <f>AU37/AI38</f>
        <v>302573.93939393939</v>
      </c>
      <c r="AX49" s="157" t="s">
        <v>64</v>
      </c>
      <c r="AY49" s="157"/>
      <c r="AZ49" s="157"/>
      <c r="BA49" s="157"/>
      <c r="BB49" s="166"/>
      <c r="BC49" s="157"/>
      <c r="BD49" s="157"/>
      <c r="BE49" s="166"/>
      <c r="BF49" s="157"/>
      <c r="BG49" s="166"/>
    </row>
    <row r="50" spans="1:88" ht="21" customHeight="1">
      <c r="A50" s="157"/>
      <c r="B50" s="158"/>
      <c r="C50" s="199"/>
      <c r="D50" s="200"/>
      <c r="E50" s="17"/>
      <c r="F50" s="17"/>
      <c r="G50" s="17"/>
      <c r="H50" s="17"/>
      <c r="I50" s="17"/>
      <c r="J50" s="17"/>
      <c r="K50" s="318"/>
      <c r="L50" s="201"/>
      <c r="M50" s="202"/>
      <c r="N50" s="202"/>
      <c r="O50" s="202"/>
      <c r="P50" s="202"/>
      <c r="Q50" s="202"/>
      <c r="R50" s="202"/>
      <c r="S50" s="203"/>
      <c r="T50" s="204"/>
      <c r="U50" s="205"/>
      <c r="V50" s="205"/>
      <c r="W50" s="205"/>
      <c r="X50" s="205"/>
      <c r="Y50" s="205"/>
      <c r="Z50" s="206"/>
      <c r="AA50" s="207"/>
      <c r="AB50" s="157"/>
      <c r="AC50" s="157"/>
      <c r="AD50" s="166"/>
      <c r="AE50" s="166"/>
      <c r="AF50" s="350" t="s">
        <v>88</v>
      </c>
      <c r="AG50" s="351"/>
      <c r="AH50" s="351"/>
      <c r="AI50" s="351"/>
      <c r="AJ50" s="351"/>
      <c r="AK50" s="351"/>
      <c r="AL50" s="351"/>
      <c r="AM50" s="352"/>
      <c r="AN50" s="328"/>
      <c r="AO50" s="159"/>
      <c r="AP50" s="328"/>
      <c r="AQ50" s="159"/>
      <c r="AR50" s="207"/>
      <c r="AS50" s="157"/>
      <c r="AT50" s="157"/>
      <c r="AU50" s="157" t="s">
        <v>65</v>
      </c>
      <c r="AV50" s="166">
        <f>AU36+AV36</f>
        <v>10017940</v>
      </c>
      <c r="AW50" s="198">
        <f>AV50/AI38</f>
        <v>333931.33333333331</v>
      </c>
      <c r="AX50" s="157" t="s">
        <v>66</v>
      </c>
      <c r="AY50" s="157"/>
      <c r="AZ50" s="157"/>
      <c r="BA50" s="157"/>
      <c r="BB50" s="157"/>
      <c r="BC50" s="157"/>
      <c r="BD50" s="157"/>
      <c r="BE50" s="166"/>
      <c r="BF50" s="157"/>
      <c r="BG50" s="166"/>
    </row>
    <row r="51" spans="1:88" ht="21" customHeight="1">
      <c r="A51" s="157"/>
      <c r="B51" s="158"/>
      <c r="C51" s="199"/>
      <c r="D51" s="319"/>
      <c r="E51" s="320"/>
      <c r="F51" s="320"/>
      <c r="G51" s="320"/>
      <c r="H51" s="320"/>
      <c r="I51" s="320"/>
      <c r="J51" s="320"/>
      <c r="K51" s="321"/>
      <c r="L51" s="211"/>
      <c r="M51" s="212"/>
      <c r="N51" s="212"/>
      <c r="O51" s="212"/>
      <c r="P51" s="212"/>
      <c r="Q51" s="212"/>
      <c r="R51" s="212"/>
      <c r="S51" s="322"/>
      <c r="T51" s="323"/>
      <c r="U51" s="213"/>
      <c r="V51" s="213"/>
      <c r="W51" s="213"/>
      <c r="X51" s="213"/>
      <c r="Y51" s="213"/>
      <c r="Z51" s="324"/>
      <c r="AA51" s="207"/>
      <c r="AB51" s="157"/>
      <c r="AC51" s="157"/>
      <c r="AD51" s="157"/>
      <c r="AE51" s="166"/>
      <c r="AF51" s="353"/>
      <c r="AG51" s="354"/>
      <c r="AH51" s="354"/>
      <c r="AI51" s="354"/>
      <c r="AJ51" s="354"/>
      <c r="AK51" s="354"/>
      <c r="AL51" s="354"/>
      <c r="AM51" s="355"/>
      <c r="AN51" s="328"/>
      <c r="AO51" s="159"/>
      <c r="AP51" s="328"/>
      <c r="AQ51" s="159"/>
      <c r="AR51" s="207"/>
      <c r="AS51" s="157"/>
      <c r="AT51" s="157"/>
      <c r="AU51" s="157" t="s">
        <v>67</v>
      </c>
      <c r="AV51" s="156">
        <f>AU37+AV37</f>
        <v>9107218.1818181816</v>
      </c>
      <c r="AW51" s="198">
        <f>AV51/AI38</f>
        <v>303573.93939393939</v>
      </c>
      <c r="AX51" s="157" t="s">
        <v>64</v>
      </c>
      <c r="AY51" s="157"/>
      <c r="AZ51" s="157"/>
      <c r="BA51" s="157"/>
      <c r="BB51" s="157"/>
      <c r="BC51" s="157"/>
      <c r="BD51" s="157"/>
      <c r="BE51" s="166"/>
      <c r="BF51" s="157"/>
      <c r="BG51" s="166"/>
    </row>
    <row r="52" spans="1:88" ht="21" customHeight="1">
      <c r="A52" s="157"/>
      <c r="B52" s="158"/>
      <c r="C52" s="199"/>
      <c r="D52" s="319"/>
      <c r="E52" s="320"/>
      <c r="F52" s="320"/>
      <c r="G52" s="320"/>
      <c r="H52" s="320"/>
      <c r="I52" s="320"/>
      <c r="J52" s="320"/>
      <c r="K52" s="321"/>
      <c r="L52" s="211"/>
      <c r="M52" s="212"/>
      <c r="N52" s="212"/>
      <c r="O52" s="212"/>
      <c r="P52" s="212"/>
      <c r="Q52" s="212"/>
      <c r="R52" s="212"/>
      <c r="S52" s="322"/>
      <c r="T52" s="323"/>
      <c r="U52" s="213"/>
      <c r="V52" s="213"/>
      <c r="W52" s="213"/>
      <c r="X52" s="213"/>
      <c r="Y52" s="213"/>
      <c r="Z52" s="324"/>
      <c r="AA52" s="207"/>
      <c r="AB52" s="157"/>
      <c r="AC52" s="157"/>
      <c r="AD52" s="157"/>
      <c r="AE52" s="166"/>
      <c r="AF52" s="353"/>
      <c r="AG52" s="354"/>
      <c r="AH52" s="354"/>
      <c r="AI52" s="354"/>
      <c r="AJ52" s="354"/>
      <c r="AK52" s="354"/>
      <c r="AL52" s="354"/>
      <c r="AM52" s="355"/>
      <c r="AN52" s="328"/>
      <c r="AO52" s="159"/>
      <c r="AP52" s="328"/>
      <c r="AQ52" s="159"/>
      <c r="AR52" s="20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66"/>
      <c r="BG52" s="157"/>
      <c r="BH52" s="166"/>
    </row>
    <row r="53" spans="1:88" ht="21" customHeight="1">
      <c r="A53" s="157"/>
      <c r="B53" s="158"/>
      <c r="C53" s="199"/>
      <c r="D53" s="319"/>
      <c r="E53" s="320"/>
      <c r="F53" s="320"/>
      <c r="G53" s="320"/>
      <c r="H53" s="320"/>
      <c r="I53" s="320"/>
      <c r="J53" s="320"/>
      <c r="K53" s="321"/>
      <c r="L53" s="211"/>
      <c r="M53" s="212"/>
      <c r="N53" s="212"/>
      <c r="O53" s="212"/>
      <c r="P53" s="212"/>
      <c r="Q53" s="212"/>
      <c r="R53" s="212"/>
      <c r="S53" s="322"/>
      <c r="T53" s="323"/>
      <c r="U53" s="213"/>
      <c r="V53" s="213"/>
      <c r="W53" s="213"/>
      <c r="X53" s="213"/>
      <c r="Y53" s="213"/>
      <c r="Z53" s="324"/>
      <c r="AA53" s="207"/>
      <c r="AB53" s="157"/>
      <c r="AC53" s="157"/>
      <c r="AD53" s="157"/>
      <c r="AE53" s="157"/>
      <c r="AF53" s="353"/>
      <c r="AG53" s="354"/>
      <c r="AH53" s="354"/>
      <c r="AI53" s="354"/>
      <c r="AJ53" s="354"/>
      <c r="AK53" s="354"/>
      <c r="AL53" s="354"/>
      <c r="AM53" s="355"/>
      <c r="AN53" s="328"/>
      <c r="AO53" s="159"/>
      <c r="AP53" s="328"/>
      <c r="AQ53" s="159"/>
      <c r="AR53" s="207"/>
      <c r="AS53" s="157"/>
      <c r="AT53" s="157"/>
      <c r="AU53" s="157"/>
      <c r="AV53" s="166">
        <f>AU37+AV37</f>
        <v>9107218.1818181816</v>
      </c>
      <c r="AW53" s="175" t="s">
        <v>68</v>
      </c>
      <c r="AX53" s="175" t="s">
        <v>69</v>
      </c>
      <c r="AY53" s="175" t="s">
        <v>70</v>
      </c>
      <c r="AZ53" s="157"/>
      <c r="BA53" s="157"/>
      <c r="BB53" s="157"/>
      <c r="BC53" s="157"/>
      <c r="BD53" s="157"/>
      <c r="BE53" s="166"/>
      <c r="BF53" s="157"/>
      <c r="BG53" s="166"/>
    </row>
    <row r="54" spans="1:88" ht="21" customHeight="1">
      <c r="A54" s="157"/>
      <c r="B54" s="158"/>
      <c r="C54" s="199"/>
      <c r="D54" s="325"/>
      <c r="E54" s="326"/>
      <c r="F54" s="326"/>
      <c r="G54" s="326"/>
      <c r="H54" s="326"/>
      <c r="I54" s="326"/>
      <c r="J54" s="326"/>
      <c r="K54" s="327"/>
      <c r="L54" s="217"/>
      <c r="M54" s="218"/>
      <c r="N54" s="218"/>
      <c r="O54" s="218"/>
      <c r="P54" s="218"/>
      <c r="Q54" s="218"/>
      <c r="R54" s="218"/>
      <c r="S54" s="219"/>
      <c r="T54" s="220"/>
      <c r="U54" s="221"/>
      <c r="V54" s="221"/>
      <c r="W54" s="221"/>
      <c r="X54" s="221"/>
      <c r="Y54" s="221"/>
      <c r="Z54" s="222"/>
      <c r="AA54" s="207"/>
      <c r="AB54" s="157"/>
      <c r="AC54" s="157"/>
      <c r="AD54" s="157"/>
      <c r="AE54" s="157"/>
      <c r="AF54" s="356"/>
      <c r="AG54" s="357"/>
      <c r="AH54" s="357"/>
      <c r="AI54" s="357"/>
      <c r="AJ54" s="357"/>
      <c r="AK54" s="357"/>
      <c r="AL54" s="357"/>
      <c r="AM54" s="358"/>
      <c r="AN54" s="328"/>
      <c r="AO54" s="159"/>
      <c r="AP54" s="328"/>
      <c r="AQ54" s="159"/>
      <c r="AR54" s="207"/>
      <c r="AS54" s="157"/>
      <c r="AT54" s="110"/>
      <c r="AU54" s="226" t="s">
        <v>71</v>
      </c>
      <c r="AV54" s="156">
        <f>J55+R55+Y55+AL55+AW54</f>
        <v>11056400</v>
      </c>
      <c r="AW54" s="227">
        <f>AX54+AY54</f>
        <v>150000</v>
      </c>
      <c r="AX54" s="110">
        <v>150000</v>
      </c>
      <c r="AY54" s="110"/>
      <c r="AZ54" s="157"/>
      <c r="BA54" s="157"/>
      <c r="BB54" s="157"/>
      <c r="BC54" s="157"/>
      <c r="BD54" s="157"/>
      <c r="BE54" s="166"/>
      <c r="BF54" s="157"/>
      <c r="BG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28"/>
      <c r="I55" s="229" t="s">
        <v>72</v>
      </c>
      <c r="J55" s="230">
        <v>1877200</v>
      </c>
      <c r="K55" s="231" t="s">
        <v>73</v>
      </c>
      <c r="L55" s="110"/>
      <c r="M55" s="232"/>
      <c r="N55" s="232"/>
      <c r="O55" s="157"/>
      <c r="P55" s="228"/>
      <c r="Q55" s="229" t="s">
        <v>74</v>
      </c>
      <c r="R55" s="230">
        <v>525000</v>
      </c>
      <c r="S55" s="231" t="s">
        <v>73</v>
      </c>
      <c r="T55" s="110"/>
      <c r="U55" s="110"/>
      <c r="V55" s="110"/>
      <c r="W55" s="110"/>
      <c r="X55" s="229" t="s">
        <v>75</v>
      </c>
      <c r="Y55" s="230">
        <v>3525000</v>
      </c>
      <c r="Z55" s="231" t="s">
        <v>73</v>
      </c>
      <c r="AB55" s="110"/>
      <c r="AC55" s="229" t="s">
        <v>85</v>
      </c>
      <c r="AD55" s="230">
        <f>J55+R55+Y55+AW54</f>
        <v>6077200</v>
      </c>
      <c r="AE55" s="231" t="s">
        <v>73</v>
      </c>
      <c r="AF55" s="233"/>
      <c r="AG55" s="110"/>
      <c r="AH55" s="110"/>
      <c r="AI55" s="110"/>
      <c r="AJ55" s="110"/>
      <c r="AK55" s="228" t="s">
        <v>76</v>
      </c>
      <c r="AL55" s="230">
        <v>4979200</v>
      </c>
      <c r="AM55" s="231" t="s">
        <v>73</v>
      </c>
      <c r="AN55" s="231"/>
      <c r="AO55" s="159"/>
      <c r="AP55" s="231"/>
      <c r="AQ55" s="159"/>
      <c r="AS55" s="110"/>
      <c r="AT55" s="110"/>
      <c r="AU55" s="226" t="s">
        <v>77</v>
      </c>
      <c r="AV55" s="156">
        <f>AV54-AU37-AV37</f>
        <v>1949181.8181818184</v>
      </c>
      <c r="AW55" s="156">
        <f>AW54-AV37</f>
        <v>120000</v>
      </c>
      <c r="AX55" s="234">
        <f>AV37/AW54</f>
        <v>0.19999999999999998</v>
      </c>
      <c r="AY55" s="157"/>
      <c r="AZ55" s="157"/>
      <c r="BA55" s="157"/>
      <c r="BB55" s="157"/>
      <c r="BC55" s="166"/>
      <c r="BD55" s="157"/>
      <c r="BE55" s="166"/>
      <c r="BF55" s="157"/>
      <c r="BG55" s="157"/>
    </row>
    <row r="56" spans="1:88" ht="25.5" customHeight="1">
      <c r="A56" s="242"/>
      <c r="B56" s="158"/>
      <c r="C56" s="159"/>
      <c r="D56" s="157"/>
      <c r="E56" s="157"/>
      <c r="F56" s="157"/>
      <c r="G56" s="157"/>
      <c r="H56" s="228"/>
      <c r="I56" s="228" t="s">
        <v>77</v>
      </c>
      <c r="J56" s="156">
        <f>J55-J37</f>
        <v>-405518.18181818165</v>
      </c>
      <c r="K56" s="235">
        <f>B38-G38</f>
        <v>0</v>
      </c>
      <c r="L56" s="110"/>
      <c r="M56" s="232"/>
      <c r="N56" s="232"/>
      <c r="O56" s="157"/>
      <c r="P56" s="228"/>
      <c r="Q56" s="228" t="s">
        <v>77</v>
      </c>
      <c r="R56" s="156">
        <f>R55-R37</f>
        <v>291800</v>
      </c>
      <c r="S56" s="235">
        <f>K56</f>
        <v>0</v>
      </c>
      <c r="T56" s="110"/>
      <c r="U56" s="110"/>
      <c r="V56" s="110"/>
      <c r="W56" s="110"/>
      <c r="X56" s="228" t="s">
        <v>77</v>
      </c>
      <c r="Y56" s="156">
        <f>Y55-Y37</f>
        <v>-162609.09090909082</v>
      </c>
      <c r="Z56" s="236">
        <f>K56</f>
        <v>0</v>
      </c>
      <c r="AB56" s="110"/>
      <c r="AC56" s="228" t="s">
        <v>77</v>
      </c>
      <c r="AD56" s="156">
        <f>AD55-AD37</f>
        <v>-126327.27272727247</v>
      </c>
      <c r="AE56" s="236">
        <f>K56</f>
        <v>0</v>
      </c>
      <c r="AF56" s="232"/>
      <c r="AG56" s="110"/>
      <c r="AH56" s="110"/>
      <c r="AI56" s="110"/>
      <c r="AJ56" s="110"/>
      <c r="AK56" s="228" t="s">
        <v>77</v>
      </c>
      <c r="AL56" s="156">
        <f>AL55-AL37</f>
        <v>2105509.0909090913</v>
      </c>
      <c r="AM56" s="237">
        <f>Z56</f>
        <v>0</v>
      </c>
      <c r="AN56" s="237"/>
      <c r="AO56" s="159"/>
      <c r="AP56" s="110"/>
      <c r="AQ56" s="159"/>
      <c r="AS56" s="110"/>
      <c r="AT56" s="238"/>
      <c r="AU56" s="239" t="s">
        <v>78</v>
      </c>
      <c r="AV56" s="240" t="e">
        <f>AV55/Z56</f>
        <v>#DIV/0!</v>
      </c>
      <c r="AW56" s="241">
        <f>(AU37+AV37)/AV54</f>
        <v>0.82370556255365057</v>
      </c>
      <c r="AX56" s="241"/>
      <c r="AY56" s="238"/>
      <c r="AZ56" s="242"/>
      <c r="BA56" s="157"/>
      <c r="BB56" s="157"/>
      <c r="BC56" s="157"/>
      <c r="BD56" s="166"/>
      <c r="BE56" s="157"/>
      <c r="BF56" s="166"/>
      <c r="BG56" s="157"/>
      <c r="BH56" s="157"/>
    </row>
    <row r="57" spans="1:88" ht="15.75" customHeight="1">
      <c r="A57" s="157"/>
      <c r="B57" s="243"/>
      <c r="C57" s="244"/>
      <c r="D57" s="242"/>
      <c r="E57" s="242"/>
      <c r="F57" s="242"/>
      <c r="G57" s="242"/>
      <c r="H57" s="245"/>
      <c r="I57" s="239" t="s">
        <v>78</v>
      </c>
      <c r="J57" s="246" t="e">
        <f>J56/K56</f>
        <v>#DIV/0!</v>
      </c>
      <c r="K57" s="247">
        <f>J37/J55</f>
        <v>1.2160228967708191</v>
      </c>
      <c r="L57" s="238"/>
      <c r="M57" s="248"/>
      <c r="N57" s="248"/>
      <c r="O57" s="242"/>
      <c r="P57" s="245"/>
      <c r="Q57" s="239" t="s">
        <v>78</v>
      </c>
      <c r="R57" s="246" t="e">
        <f>R56/S56</f>
        <v>#DIV/0!</v>
      </c>
      <c r="S57" s="247">
        <f>R37/R55</f>
        <v>0.44419047619047614</v>
      </c>
      <c r="T57" s="238"/>
      <c r="U57" s="238"/>
      <c r="V57" s="238"/>
      <c r="W57" s="238"/>
      <c r="X57" s="239" t="s">
        <v>78</v>
      </c>
      <c r="Y57" s="240" t="e">
        <f>Y56/Z56</f>
        <v>#DIV/0!</v>
      </c>
      <c r="Z57" s="247">
        <f>Y37/Y55</f>
        <v>1.0461302385557705</v>
      </c>
      <c r="AB57" s="238"/>
      <c r="AC57" s="239" t="s">
        <v>78</v>
      </c>
      <c r="AD57" s="240" t="e">
        <f>AD56/AE56</f>
        <v>#DIV/0!</v>
      </c>
      <c r="AE57" s="247">
        <f>AD37/AD55</f>
        <v>1.0207870849613756</v>
      </c>
      <c r="AF57" s="249"/>
      <c r="AG57" s="238"/>
      <c r="AH57" s="238"/>
      <c r="AI57" s="238"/>
      <c r="AJ57" s="238"/>
      <c r="AK57" s="239" t="s">
        <v>78</v>
      </c>
      <c r="AL57" s="246" t="e">
        <f>AL56/AM56</f>
        <v>#DIV/0!</v>
      </c>
      <c r="AM57" s="247">
        <f>AL37/AL55</f>
        <v>0.57713908039261497</v>
      </c>
      <c r="AN57" s="247"/>
      <c r="AO57" s="244"/>
      <c r="AP57" s="247"/>
      <c r="AQ57" s="244"/>
      <c r="AS57" s="238"/>
      <c r="AT57" s="157"/>
      <c r="AU57" s="157"/>
      <c r="AV57" s="166"/>
      <c r="AW57" s="157"/>
      <c r="AX57" s="157"/>
      <c r="AY57" s="157"/>
      <c r="AZ57" s="157"/>
      <c r="BA57" s="242"/>
      <c r="BB57" s="242"/>
      <c r="BC57" s="242"/>
      <c r="BD57" s="250"/>
      <c r="BE57" s="242"/>
      <c r="BF57" s="250"/>
      <c r="BG57" s="242"/>
      <c r="BH57" s="242"/>
    </row>
    <row r="58" spans="1:88" ht="36" customHeight="1">
      <c r="A58" s="251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7"/>
      <c r="AO58" s="159"/>
      <c r="AP58" s="157"/>
      <c r="AQ58" s="159"/>
      <c r="AR58" s="157"/>
      <c r="AS58" s="157"/>
      <c r="AT58" s="251"/>
      <c r="AU58" s="251"/>
      <c r="AV58" s="251"/>
      <c r="AW58" s="251"/>
      <c r="AX58" s="251"/>
      <c r="AY58" s="251"/>
      <c r="AZ58" s="251"/>
      <c r="BA58" s="157"/>
      <c r="BB58" s="157"/>
      <c r="BC58" s="157"/>
      <c r="BD58" s="166"/>
      <c r="BE58" s="157"/>
      <c r="BF58" s="166"/>
      <c r="BG58" s="157"/>
      <c r="BH58" s="157"/>
      <c r="BO58" s="251"/>
      <c r="BP58" s="251"/>
      <c r="BQ58" s="251"/>
      <c r="BR58" s="251"/>
      <c r="BS58" s="251"/>
      <c r="BT58" s="251"/>
      <c r="BU58" s="251"/>
      <c r="BV58" s="251"/>
      <c r="BW58" s="255"/>
      <c r="BX58" s="157"/>
      <c r="BY58" s="157"/>
      <c r="BZ58" s="157"/>
      <c r="CA58" s="157"/>
      <c r="CG58" s="157"/>
    </row>
    <row r="59" spans="1:88" ht="36" customHeight="1">
      <c r="A59" s="251"/>
      <c r="B59" s="252"/>
      <c r="C59" s="253"/>
      <c r="D59" s="251"/>
      <c r="E59" s="251"/>
      <c r="F59" s="251"/>
      <c r="G59" s="251"/>
      <c r="H59" s="251"/>
      <c r="I59" s="251"/>
      <c r="J59" s="251"/>
      <c r="K59" s="251"/>
      <c r="L59" s="251"/>
      <c r="M59" s="254"/>
      <c r="N59" s="254"/>
      <c r="O59" s="254"/>
      <c r="P59" s="254"/>
      <c r="Q59" s="254"/>
      <c r="R59" s="254"/>
      <c r="S59" s="254"/>
      <c r="T59" s="255"/>
      <c r="U59" s="157"/>
      <c r="V59" s="157"/>
      <c r="W59" s="157"/>
      <c r="X59" s="157"/>
      <c r="Y59" s="157"/>
      <c r="Z59" s="255"/>
      <c r="AA59" s="251"/>
      <c r="AB59" s="251"/>
      <c r="AC59" s="251"/>
      <c r="AD59" s="251"/>
      <c r="AE59" s="251"/>
      <c r="AF59" s="254"/>
      <c r="AG59" s="251"/>
      <c r="AH59" s="251"/>
      <c r="AI59" s="251"/>
      <c r="AJ59" s="251"/>
      <c r="AK59" s="251"/>
      <c r="AL59" s="251"/>
      <c r="AM59" s="251"/>
      <c r="AN59" s="251"/>
      <c r="AO59" s="253"/>
      <c r="AP59" s="251"/>
      <c r="AQ59" s="253"/>
      <c r="AR59" s="251"/>
      <c r="AS59" s="251"/>
      <c r="AT59" s="1"/>
      <c r="AU59" s="1"/>
      <c r="AV59" s="1"/>
      <c r="AW59" s="1"/>
      <c r="AX59" s="1"/>
      <c r="AY59" s="1"/>
      <c r="AZ59" s="1"/>
      <c r="BA59" s="251"/>
      <c r="BB59" s="251"/>
      <c r="BC59" s="251"/>
      <c r="BD59" s="256"/>
      <c r="BE59" s="251"/>
      <c r="BF59" s="256"/>
      <c r="BG59" s="251"/>
      <c r="BH59" s="251"/>
      <c r="BO59" s="1"/>
      <c r="BP59" s="1"/>
      <c r="BQ59" s="1"/>
      <c r="BR59" s="1"/>
      <c r="BS59" s="1"/>
      <c r="BT59" s="1"/>
      <c r="BU59" s="1"/>
      <c r="BV59" s="1"/>
      <c r="BW59" s="260"/>
      <c r="BX59" s="157"/>
      <c r="BY59" s="157"/>
      <c r="BZ59" s="157"/>
      <c r="CA59" s="157"/>
      <c r="CB59" s="157"/>
      <c r="CC59" s="255"/>
      <c r="CD59" s="255"/>
      <c r="CE59" s="157"/>
      <c r="CF59" s="157"/>
      <c r="CG59" s="157"/>
      <c r="CH59" s="157"/>
      <c r="CI59" s="157"/>
      <c r="CJ59" s="255"/>
    </row>
    <row r="60" spans="1:88" ht="36" customHeight="1">
      <c r="A60" s="1"/>
      <c r="B60" s="252"/>
      <c r="C60" s="253"/>
      <c r="D60" s="251"/>
      <c r="E60" s="251"/>
      <c r="F60" s="251"/>
      <c r="G60" s="251"/>
      <c r="H60" s="251"/>
      <c r="I60" s="251"/>
      <c r="J60" s="251"/>
      <c r="K60" s="251"/>
      <c r="L60" s="251"/>
      <c r="M60" s="254"/>
      <c r="N60" s="254"/>
      <c r="O60" s="254"/>
      <c r="P60" s="254"/>
      <c r="Q60" s="254"/>
      <c r="R60" s="254"/>
      <c r="S60" s="254"/>
      <c r="T60" s="255"/>
      <c r="U60" s="157"/>
      <c r="V60" s="157"/>
      <c r="W60" s="157"/>
      <c r="X60" s="157"/>
      <c r="Y60" s="157"/>
      <c r="Z60" s="255"/>
      <c r="AA60" s="251"/>
      <c r="AB60" s="251"/>
      <c r="AC60" s="251"/>
      <c r="AD60" s="1" t="s">
        <v>79</v>
      </c>
      <c r="AE60" s="251"/>
      <c r="AF60" s="254"/>
      <c r="AG60" s="251"/>
      <c r="AH60" s="251"/>
      <c r="AI60" s="251"/>
      <c r="AJ60" s="251"/>
      <c r="AK60" s="251"/>
      <c r="AL60" s="1" t="s">
        <v>79</v>
      </c>
      <c r="AM60" s="251"/>
      <c r="AN60" s="251"/>
      <c r="AO60" s="253"/>
      <c r="AP60" s="251"/>
      <c r="AQ60" s="253"/>
      <c r="AR60" s="251"/>
      <c r="AS60" s="251"/>
      <c r="AT60" s="1"/>
      <c r="AU60" s="1"/>
      <c r="AV60" s="1"/>
      <c r="AW60" s="1"/>
      <c r="AX60" s="1"/>
      <c r="AY60" s="1"/>
      <c r="AZ60" s="1"/>
      <c r="BA60" s="251"/>
      <c r="BB60" s="251"/>
      <c r="BC60" s="251"/>
      <c r="BD60" s="256"/>
      <c r="BE60" s="251"/>
      <c r="BF60" s="256"/>
      <c r="BG60" s="251"/>
      <c r="BH60" s="25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60"/>
      <c r="CD60" s="260"/>
      <c r="CE60" s="157"/>
      <c r="CF60" s="157"/>
      <c r="CG60" s="157"/>
      <c r="CH60" s="157"/>
      <c r="CI60" s="157"/>
      <c r="CJ60" s="260"/>
    </row>
    <row r="61" spans="1:88" ht="15.75" customHeight="1">
      <c r="A61" s="157"/>
      <c r="B61" s="257"/>
      <c r="C61" s="3"/>
      <c r="D61" s="1"/>
      <c r="E61" s="1"/>
      <c r="F61" s="1"/>
      <c r="G61" s="1"/>
      <c r="H61" s="1"/>
      <c r="I61" s="1"/>
      <c r="J61" s="1"/>
      <c r="K61" s="1"/>
      <c r="L61" s="1"/>
      <c r="M61" s="258"/>
      <c r="N61" s="259"/>
      <c r="O61" s="258"/>
      <c r="P61" s="258"/>
      <c r="Q61" s="258"/>
      <c r="R61" s="258"/>
      <c r="S61" s="258"/>
      <c r="T61" s="260"/>
      <c r="U61" s="157"/>
      <c r="V61" s="157"/>
      <c r="W61" s="157"/>
      <c r="X61" s="157"/>
      <c r="Y61" s="157"/>
      <c r="Z61" s="260"/>
      <c r="AA61" s="260"/>
      <c r="AB61" s="1"/>
      <c r="AC61" s="1"/>
      <c r="AD61" s="261">
        <f>AD62/AD37</f>
        <v>0.10155512699519921</v>
      </c>
      <c r="AE61" s="1"/>
      <c r="AF61" s="258" t="s">
        <v>80</v>
      </c>
      <c r="AG61" s="1"/>
      <c r="AH61" s="262"/>
      <c r="AI61" s="1"/>
      <c r="AJ61" s="1"/>
      <c r="AK61" s="1"/>
      <c r="AL61" s="261">
        <f>AL62/AL37</f>
        <v>0.15833296425882459</v>
      </c>
      <c r="AM61" s="1"/>
      <c r="AN61" s="258" t="s">
        <v>80</v>
      </c>
      <c r="AO61" s="3"/>
      <c r="AP61" s="1"/>
      <c r="AQ61" s="3"/>
      <c r="AR61" s="1"/>
      <c r="AS61" s="1"/>
      <c r="AT61" s="251"/>
      <c r="AU61" s="251"/>
      <c r="AV61" s="251"/>
      <c r="AW61" s="251"/>
      <c r="AX61" s="251"/>
      <c r="AY61" s="251"/>
      <c r="AZ61" s="251"/>
      <c r="BA61" s="1"/>
      <c r="BB61" s="1"/>
      <c r="BC61" s="1"/>
      <c r="BD61" s="263"/>
      <c r="BE61" s="1"/>
      <c r="BF61" s="263"/>
      <c r="BG61" s="1"/>
      <c r="BH61" s="1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66">
        <v>630000</v>
      </c>
      <c r="AE62" s="157">
        <v>47.75</v>
      </c>
      <c r="AF62" s="264">
        <f>AD62/AE62</f>
        <v>13193.71727748691</v>
      </c>
      <c r="AG62" s="157"/>
      <c r="AH62" s="157"/>
      <c r="AI62" s="157"/>
      <c r="AJ62" s="157"/>
      <c r="AK62" s="157"/>
      <c r="AL62" s="166">
        <v>455000</v>
      </c>
      <c r="AM62" s="157">
        <v>7.07</v>
      </c>
      <c r="AN62" s="264">
        <f>AL62/AM62</f>
        <v>64356.435643564357</v>
      </c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265">
        <f>AD37*0.105</f>
        <v>651370.36363636353</v>
      </c>
      <c r="AE63" s="266">
        <v>0.105</v>
      </c>
      <c r="AF63" s="267" t="s">
        <v>81</v>
      </c>
      <c r="AG63" s="157"/>
      <c r="AH63" s="157"/>
      <c r="AI63" s="157"/>
      <c r="AJ63" s="157"/>
      <c r="AK63" s="157"/>
      <c r="AL63" s="265">
        <f>AL37*0.105</f>
        <v>301737.54545454541</v>
      </c>
      <c r="AM63" s="266">
        <v>0.13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66">
        <f>AD62-AD63</f>
        <v>-21370.363636363531</v>
      </c>
      <c r="AE64" s="175" t="s">
        <v>82</v>
      </c>
      <c r="AG64" s="157"/>
      <c r="AH64" s="157"/>
      <c r="AI64" s="157"/>
      <c r="AJ64" s="157"/>
      <c r="AK64" s="157"/>
      <c r="AL64" s="166">
        <f>AL62-AL63</f>
        <v>153262.45454545459</v>
      </c>
      <c r="AM64" s="175" t="s">
        <v>82</v>
      </c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81">
        <v>6000000</v>
      </c>
      <c r="AE65" s="157"/>
      <c r="AG65" s="157"/>
      <c r="AH65" s="157"/>
      <c r="AI65" s="157"/>
      <c r="AJ65" s="157"/>
      <c r="AK65" s="157"/>
      <c r="AL65" s="181">
        <v>3500000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>
        <f>AD62/AD65</f>
        <v>0.105</v>
      </c>
      <c r="AE66" s="157"/>
      <c r="AG66" s="157"/>
      <c r="AH66" s="157"/>
      <c r="AI66" s="157"/>
      <c r="AJ66" s="157"/>
      <c r="AK66" s="157"/>
      <c r="AL66" s="157">
        <f>AL62/AL65</f>
        <v>0.13</v>
      </c>
      <c r="AM66" s="157"/>
      <c r="AN66" s="167"/>
      <c r="AO66" s="159"/>
      <c r="AP66" s="157"/>
      <c r="AQ66" s="159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66"/>
      <c r="BG66" s="157"/>
      <c r="BH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7"/>
      <c r="AO67" s="159"/>
      <c r="AP67" s="157"/>
      <c r="AQ67" s="159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66"/>
      <c r="BG67" s="157"/>
      <c r="BH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7"/>
      <c r="AO68" s="159"/>
      <c r="AP68" s="157"/>
      <c r="AQ68" s="159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66"/>
      <c r="BG68" s="157"/>
      <c r="BH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7"/>
      <c r="AO69" s="159"/>
      <c r="AP69" s="157"/>
      <c r="AQ69" s="159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66"/>
      <c r="BG69" s="157"/>
      <c r="BH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7"/>
      <c r="AO70" s="159"/>
      <c r="AP70" s="157"/>
      <c r="AQ70" s="159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66"/>
      <c r="BG70" s="157"/>
      <c r="BH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7"/>
      <c r="AO71" s="159"/>
      <c r="AP71" s="157"/>
      <c r="AQ71" s="159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66"/>
      <c r="BG71" s="157"/>
      <c r="BH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7"/>
      <c r="AO72" s="159"/>
      <c r="AP72" s="157"/>
      <c r="AQ72" s="159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66"/>
      <c r="BG72" s="157"/>
      <c r="BH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7"/>
      <c r="AO73" s="159"/>
      <c r="AP73" s="157"/>
      <c r="AQ73" s="159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66"/>
      <c r="BG73" s="157"/>
      <c r="BH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7"/>
      <c r="AO74" s="159"/>
      <c r="AP74" s="157"/>
      <c r="AQ74" s="159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66"/>
      <c r="BG74" s="157"/>
      <c r="BH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7"/>
      <c r="AO75" s="159"/>
      <c r="AP75" s="157"/>
      <c r="AQ75" s="159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66"/>
      <c r="BG75" s="157"/>
      <c r="BH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7"/>
      <c r="AO76" s="159"/>
      <c r="AP76" s="157"/>
      <c r="AQ76" s="159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66"/>
      <c r="BG76" s="157"/>
      <c r="BH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7"/>
      <c r="AO77" s="159"/>
      <c r="AP77" s="157"/>
      <c r="AQ77" s="159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66"/>
      <c r="BG77" s="157"/>
      <c r="BH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7"/>
      <c r="AO78" s="159"/>
      <c r="AP78" s="157"/>
      <c r="AQ78" s="159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66"/>
      <c r="BG78" s="157"/>
      <c r="BH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7"/>
      <c r="AO79" s="159"/>
      <c r="AP79" s="157"/>
      <c r="AQ79" s="159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66"/>
      <c r="BG79" s="157"/>
      <c r="BH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7"/>
      <c r="AO80" s="159"/>
      <c r="AP80" s="157"/>
      <c r="AQ80" s="159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66"/>
      <c r="BG80" s="157"/>
      <c r="BH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7"/>
      <c r="AO81" s="159"/>
      <c r="AP81" s="157"/>
      <c r="AQ81" s="159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66"/>
      <c r="BG81" s="157"/>
      <c r="BH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7"/>
      <c r="AO82" s="159"/>
      <c r="AP82" s="157"/>
      <c r="AQ82" s="159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66"/>
      <c r="BG82" s="157"/>
      <c r="BH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7"/>
      <c r="AO83" s="159"/>
      <c r="AP83" s="157"/>
      <c r="AQ83" s="159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66"/>
      <c r="BG83" s="157"/>
      <c r="BH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7"/>
      <c r="AO84" s="159"/>
      <c r="AP84" s="157"/>
      <c r="AQ84" s="159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66"/>
      <c r="BG84" s="157"/>
      <c r="BH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7"/>
      <c r="AO85" s="159"/>
      <c r="AP85" s="157"/>
      <c r="AQ85" s="159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66"/>
      <c r="BG85" s="157"/>
      <c r="BH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7"/>
      <c r="AO86" s="159"/>
      <c r="AP86" s="157"/>
      <c r="AQ86" s="159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66"/>
      <c r="BG86" s="157"/>
      <c r="BH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7"/>
      <c r="AO87" s="159"/>
      <c r="AP87" s="157"/>
      <c r="AQ87" s="159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66"/>
      <c r="BG87" s="157"/>
      <c r="BH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7"/>
      <c r="AO88" s="159"/>
      <c r="AP88" s="157"/>
      <c r="AQ88" s="159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66"/>
      <c r="BG88" s="157"/>
      <c r="BH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7"/>
      <c r="AO89" s="159"/>
      <c r="AP89" s="157"/>
      <c r="AQ89" s="159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66"/>
      <c r="BG89" s="157"/>
      <c r="BH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7"/>
      <c r="AO90" s="159"/>
      <c r="AP90" s="157"/>
      <c r="AQ90" s="159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66"/>
      <c r="BG90" s="157"/>
      <c r="BH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7"/>
      <c r="AO91" s="159"/>
      <c r="AP91" s="157"/>
      <c r="AQ91" s="159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66"/>
      <c r="BG91" s="157"/>
      <c r="BH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7"/>
      <c r="AO92" s="159"/>
      <c r="AP92" s="157"/>
      <c r="AQ92" s="159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66"/>
      <c r="BG92" s="157"/>
      <c r="BH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7"/>
      <c r="AO93" s="159"/>
      <c r="AP93" s="157"/>
      <c r="AQ93" s="159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66"/>
      <c r="BG93" s="157"/>
      <c r="BH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7"/>
      <c r="AO94" s="159"/>
      <c r="AP94" s="157"/>
      <c r="AQ94" s="159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66"/>
      <c r="BG94" s="157"/>
      <c r="BH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7"/>
      <c r="AO95" s="159"/>
      <c r="AP95" s="157"/>
      <c r="AQ95" s="159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66"/>
      <c r="BG95" s="157"/>
      <c r="BH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7"/>
      <c r="AO96" s="159"/>
      <c r="AP96" s="157"/>
      <c r="AQ96" s="159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66"/>
      <c r="BG96" s="157"/>
      <c r="BH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7"/>
      <c r="AO97" s="159"/>
      <c r="AP97" s="157"/>
      <c r="AQ97" s="159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66"/>
      <c r="BG97" s="157"/>
      <c r="BH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7"/>
      <c r="AO98" s="159"/>
      <c r="AP98" s="157"/>
      <c r="AQ98" s="159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66"/>
      <c r="BG98" s="157"/>
      <c r="BH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7"/>
      <c r="AO99" s="159"/>
      <c r="AP99" s="157"/>
      <c r="AQ99" s="159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66"/>
      <c r="BG99" s="157"/>
      <c r="BH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7"/>
      <c r="AO100" s="159"/>
      <c r="AP100" s="157"/>
      <c r="AQ100" s="159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66"/>
      <c r="BG100" s="157"/>
      <c r="BH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7"/>
      <c r="AO101" s="159"/>
      <c r="AP101" s="157"/>
      <c r="AQ101" s="159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66"/>
      <c r="BG101" s="157"/>
      <c r="BH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7"/>
      <c r="AO102" s="159"/>
      <c r="AP102" s="157"/>
      <c r="AQ102" s="159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66"/>
      <c r="BG102" s="157"/>
      <c r="BH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7"/>
      <c r="AO103" s="159"/>
      <c r="AP103" s="157"/>
      <c r="AQ103" s="159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66"/>
      <c r="BG103" s="157"/>
      <c r="BH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7"/>
      <c r="AO104" s="159"/>
      <c r="AP104" s="157"/>
      <c r="AQ104" s="159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66"/>
      <c r="BG104" s="157"/>
      <c r="BH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7"/>
      <c r="AO105" s="159"/>
      <c r="AP105" s="157"/>
      <c r="AQ105" s="159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66"/>
      <c r="BG105" s="157"/>
      <c r="BH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7"/>
      <c r="AO106" s="159"/>
      <c r="AP106" s="157"/>
      <c r="AQ106" s="159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66"/>
      <c r="BG106" s="157"/>
      <c r="BH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7"/>
      <c r="AO107" s="159"/>
      <c r="AP107" s="157"/>
      <c r="AQ107" s="159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66"/>
      <c r="BG107" s="157"/>
      <c r="BH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7"/>
      <c r="AO108" s="159"/>
      <c r="AP108" s="157"/>
      <c r="AQ108" s="159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66"/>
      <c r="BG108" s="157"/>
      <c r="BH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7"/>
      <c r="AO109" s="159"/>
      <c r="AP109" s="157"/>
      <c r="AQ109" s="159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66"/>
      <c r="BG109" s="157"/>
      <c r="BH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7"/>
      <c r="AO110" s="159"/>
      <c r="AP110" s="157"/>
      <c r="AQ110" s="159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66"/>
      <c r="BG110" s="157"/>
      <c r="BH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7"/>
      <c r="AO111" s="159"/>
      <c r="AP111" s="157"/>
      <c r="AQ111" s="159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66"/>
      <c r="BG111" s="157"/>
      <c r="BH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7"/>
      <c r="AO112" s="159"/>
      <c r="AP112" s="157"/>
      <c r="AQ112" s="159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66"/>
      <c r="BG112" s="157"/>
      <c r="BH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7"/>
      <c r="AO113" s="159"/>
      <c r="AP113" s="157"/>
      <c r="AQ113" s="159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66"/>
      <c r="BG113" s="157"/>
      <c r="BH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7"/>
      <c r="AO114" s="159"/>
      <c r="AP114" s="157"/>
      <c r="AQ114" s="159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66"/>
      <c r="BG114" s="157"/>
      <c r="BH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7"/>
      <c r="AO115" s="159"/>
      <c r="AP115" s="157"/>
      <c r="AQ115" s="159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66"/>
      <c r="BG115" s="157"/>
      <c r="BH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7"/>
      <c r="AO116" s="159"/>
      <c r="AP116" s="157"/>
      <c r="AQ116" s="159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66"/>
      <c r="BG116" s="157"/>
      <c r="BH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7"/>
      <c r="AO117" s="159"/>
      <c r="AP117" s="157"/>
      <c r="AQ117" s="159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66"/>
      <c r="BG117" s="157"/>
      <c r="BH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7"/>
      <c r="AO118" s="159"/>
      <c r="AP118" s="157"/>
      <c r="AQ118" s="159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66"/>
      <c r="BG118" s="157"/>
      <c r="BH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7"/>
      <c r="AO119" s="159"/>
      <c r="AP119" s="157"/>
      <c r="AQ119" s="159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66"/>
      <c r="BG119" s="157"/>
      <c r="BH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7"/>
      <c r="AO120" s="159"/>
      <c r="AP120" s="157"/>
      <c r="AQ120" s="159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66"/>
      <c r="BG120" s="157"/>
      <c r="BH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7"/>
      <c r="AO121" s="159"/>
      <c r="AP121" s="157"/>
      <c r="AQ121" s="159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66"/>
      <c r="BG121" s="157"/>
      <c r="BH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7"/>
      <c r="AO122" s="159"/>
      <c r="AP122" s="157"/>
      <c r="AQ122" s="159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66"/>
      <c r="BG122" s="157"/>
      <c r="BH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7"/>
      <c r="AO123" s="159"/>
      <c r="AP123" s="157"/>
      <c r="AQ123" s="159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66"/>
      <c r="BG123" s="157"/>
      <c r="BH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7"/>
      <c r="AO124" s="159"/>
      <c r="AP124" s="157"/>
      <c r="AQ124" s="159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66"/>
      <c r="BG124" s="157"/>
      <c r="BH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7"/>
      <c r="AO125" s="159"/>
      <c r="AP125" s="157"/>
      <c r="AQ125" s="159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66"/>
      <c r="BG125" s="157"/>
      <c r="BH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7"/>
      <c r="AO126" s="159"/>
      <c r="AP126" s="157"/>
      <c r="AQ126" s="159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66"/>
      <c r="BG126" s="157"/>
      <c r="BH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7"/>
      <c r="AO127" s="159"/>
      <c r="AP127" s="157"/>
      <c r="AQ127" s="159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66"/>
      <c r="BG127" s="157"/>
      <c r="BH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7"/>
      <c r="AO128" s="159"/>
      <c r="AP128" s="157"/>
      <c r="AQ128" s="159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66"/>
      <c r="BG128" s="157"/>
      <c r="BH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7"/>
      <c r="AO129" s="159"/>
      <c r="AP129" s="157"/>
      <c r="AQ129" s="159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66"/>
      <c r="BG129" s="157"/>
      <c r="BH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7"/>
      <c r="AO130" s="159"/>
      <c r="AP130" s="157"/>
      <c r="AQ130" s="159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66"/>
      <c r="BG130" s="157"/>
      <c r="BH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7"/>
      <c r="AO131" s="159"/>
      <c r="AP131" s="157"/>
      <c r="AQ131" s="159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66"/>
      <c r="BG131" s="157"/>
      <c r="BH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7"/>
      <c r="AO132" s="159"/>
      <c r="AP132" s="157"/>
      <c r="AQ132" s="159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66"/>
      <c r="BG132" s="157"/>
      <c r="BH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7"/>
      <c r="AO133" s="159"/>
      <c r="AP133" s="157"/>
      <c r="AQ133" s="159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66"/>
      <c r="BG133" s="157"/>
      <c r="BH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7"/>
      <c r="AO134" s="159"/>
      <c r="AP134" s="157"/>
      <c r="AQ134" s="159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66"/>
      <c r="BG134" s="157"/>
      <c r="BH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7"/>
      <c r="AO135" s="159"/>
      <c r="AP135" s="157"/>
      <c r="AQ135" s="159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66"/>
      <c r="BG135" s="157"/>
      <c r="BH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7"/>
      <c r="AO136" s="159"/>
      <c r="AP136" s="157"/>
      <c r="AQ136" s="159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66"/>
      <c r="BG136" s="157"/>
      <c r="BH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7"/>
      <c r="AO137" s="159"/>
      <c r="AP137" s="157"/>
      <c r="AQ137" s="159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66"/>
      <c r="BG137" s="157"/>
      <c r="BH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7"/>
      <c r="AO138" s="159"/>
      <c r="AP138" s="157"/>
      <c r="AQ138" s="159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66"/>
      <c r="BG138" s="157"/>
      <c r="BH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7"/>
      <c r="AO139" s="159"/>
      <c r="AP139" s="157"/>
      <c r="AQ139" s="159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66"/>
      <c r="BG139" s="157"/>
      <c r="BH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7"/>
      <c r="AO140" s="159"/>
      <c r="AP140" s="157"/>
      <c r="AQ140" s="159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66"/>
      <c r="BG140" s="157"/>
      <c r="BH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7"/>
      <c r="AO141" s="159"/>
      <c r="AP141" s="157"/>
      <c r="AQ141" s="159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66"/>
      <c r="BG141" s="157"/>
      <c r="BH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7"/>
      <c r="AO142" s="159"/>
      <c r="AP142" s="157"/>
      <c r="AQ142" s="159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66"/>
      <c r="BG142" s="157"/>
      <c r="BH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7"/>
      <c r="AO143" s="159"/>
      <c r="AP143" s="157"/>
      <c r="AQ143" s="159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66"/>
      <c r="BG143" s="157"/>
      <c r="BH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7"/>
      <c r="AO144" s="159"/>
      <c r="AP144" s="157"/>
      <c r="AQ144" s="159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66"/>
      <c r="BG144" s="157"/>
      <c r="BH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7"/>
      <c r="AO145" s="159"/>
      <c r="AP145" s="157"/>
      <c r="AQ145" s="159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66"/>
      <c r="BG145" s="157"/>
      <c r="BH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7"/>
      <c r="AO146" s="159"/>
      <c r="AP146" s="157"/>
      <c r="AQ146" s="159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66"/>
      <c r="BG146" s="157"/>
      <c r="BH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7"/>
      <c r="AO147" s="159"/>
      <c r="AP147" s="157"/>
      <c r="AQ147" s="159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66"/>
      <c r="BG147" s="157"/>
      <c r="BH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7"/>
      <c r="AO148" s="159"/>
      <c r="AP148" s="157"/>
      <c r="AQ148" s="159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66"/>
      <c r="BG148" s="157"/>
      <c r="BH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7"/>
      <c r="AO149" s="159"/>
      <c r="AP149" s="157"/>
      <c r="AQ149" s="159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66"/>
      <c r="BG149" s="157"/>
      <c r="BH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7"/>
      <c r="AO150" s="159"/>
      <c r="AP150" s="157"/>
      <c r="AQ150" s="159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66"/>
      <c r="BG150" s="157"/>
      <c r="BH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7"/>
      <c r="AO151" s="159"/>
      <c r="AP151" s="157"/>
      <c r="AQ151" s="159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66"/>
      <c r="BG151" s="157"/>
      <c r="BH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7"/>
      <c r="AO152" s="159"/>
      <c r="AP152" s="157"/>
      <c r="AQ152" s="159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66"/>
      <c r="BG152" s="157"/>
      <c r="BH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7"/>
      <c r="AO153" s="159"/>
      <c r="AP153" s="157"/>
      <c r="AQ153" s="159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66"/>
      <c r="BG153" s="157"/>
      <c r="BH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7"/>
      <c r="AO154" s="159"/>
      <c r="AP154" s="157"/>
      <c r="AQ154" s="159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66"/>
      <c r="BG154" s="157"/>
      <c r="BH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7"/>
      <c r="AO155" s="159"/>
      <c r="AP155" s="157"/>
      <c r="AQ155" s="159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66"/>
      <c r="BG155" s="157"/>
      <c r="BH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7"/>
      <c r="AO156" s="159"/>
      <c r="AP156" s="157"/>
      <c r="AQ156" s="159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66"/>
      <c r="BG156" s="157"/>
      <c r="BH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7"/>
      <c r="AO157" s="159"/>
      <c r="AP157" s="157"/>
      <c r="AQ157" s="159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66"/>
      <c r="BG157" s="157"/>
      <c r="BH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7"/>
      <c r="AO158" s="159"/>
      <c r="AP158" s="157"/>
      <c r="AQ158" s="159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66"/>
      <c r="BG158" s="157"/>
      <c r="BH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7"/>
      <c r="AO159" s="159"/>
      <c r="AP159" s="157"/>
      <c r="AQ159" s="159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66"/>
      <c r="BG159" s="157"/>
      <c r="BH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7"/>
      <c r="AO160" s="159"/>
      <c r="AP160" s="157"/>
      <c r="AQ160" s="159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66"/>
      <c r="BG160" s="157"/>
      <c r="BH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7"/>
      <c r="AO161" s="159"/>
      <c r="AP161" s="157"/>
      <c r="AQ161" s="159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66"/>
      <c r="BG161" s="157"/>
      <c r="BH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7"/>
      <c r="AO162" s="159"/>
      <c r="AP162" s="157"/>
      <c r="AQ162" s="159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66"/>
      <c r="BG162" s="157"/>
      <c r="BH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7"/>
      <c r="AO163" s="159"/>
      <c r="AP163" s="157"/>
      <c r="AQ163" s="159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66"/>
      <c r="BG163" s="157"/>
      <c r="BH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7"/>
      <c r="AO164" s="159"/>
      <c r="AP164" s="157"/>
      <c r="AQ164" s="159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66"/>
      <c r="BG164" s="157"/>
      <c r="BH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7"/>
      <c r="AO165" s="159"/>
      <c r="AP165" s="157"/>
      <c r="AQ165" s="159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66"/>
      <c r="BG165" s="157"/>
      <c r="BH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7"/>
      <c r="AO166" s="159"/>
      <c r="AP166" s="157"/>
      <c r="AQ166" s="159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66"/>
      <c r="BG166" s="157"/>
      <c r="BH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7"/>
      <c r="AO167" s="159"/>
      <c r="AP167" s="157"/>
      <c r="AQ167" s="159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66"/>
      <c r="BG167" s="157"/>
      <c r="BH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7"/>
      <c r="AO168" s="159"/>
      <c r="AP168" s="157"/>
      <c r="AQ168" s="159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66"/>
      <c r="BG168" s="157"/>
      <c r="BH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7"/>
      <c r="AO169" s="159"/>
      <c r="AP169" s="157"/>
      <c r="AQ169" s="159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66"/>
      <c r="BG169" s="157"/>
      <c r="BH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7"/>
      <c r="AO170" s="159"/>
      <c r="AP170" s="157"/>
      <c r="AQ170" s="159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66"/>
      <c r="BG170" s="157"/>
      <c r="BH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7"/>
      <c r="AO171" s="159"/>
      <c r="AP171" s="157"/>
      <c r="AQ171" s="159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66"/>
      <c r="BG171" s="157"/>
      <c r="BH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7"/>
      <c r="AO172" s="159"/>
      <c r="AP172" s="157"/>
      <c r="AQ172" s="159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66"/>
      <c r="BG172" s="157"/>
      <c r="BH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7"/>
      <c r="AO173" s="159"/>
      <c r="AP173" s="157"/>
      <c r="AQ173" s="159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66"/>
      <c r="BG173" s="157"/>
      <c r="BH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7"/>
      <c r="AO174" s="159"/>
      <c r="AP174" s="157"/>
      <c r="AQ174" s="159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66"/>
      <c r="BG174" s="157"/>
      <c r="BH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7"/>
      <c r="AO175" s="159"/>
      <c r="AP175" s="157"/>
      <c r="AQ175" s="159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66"/>
      <c r="BG175" s="157"/>
      <c r="BH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7"/>
      <c r="AO176" s="159"/>
      <c r="AP176" s="157"/>
      <c r="AQ176" s="159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66"/>
      <c r="BG176" s="157"/>
      <c r="BH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7"/>
      <c r="AO177" s="159"/>
      <c r="AP177" s="157"/>
      <c r="AQ177" s="159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66"/>
      <c r="BG177" s="157"/>
      <c r="BH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7"/>
      <c r="AO178" s="159"/>
      <c r="AP178" s="157"/>
      <c r="AQ178" s="159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66"/>
      <c r="BG178" s="157"/>
      <c r="BH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7"/>
      <c r="AO179" s="159"/>
      <c r="AP179" s="157"/>
      <c r="AQ179" s="159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66"/>
      <c r="BG179" s="157"/>
      <c r="BH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7"/>
      <c r="AO180" s="159"/>
      <c r="AP180" s="157"/>
      <c r="AQ180" s="159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66"/>
      <c r="BG180" s="157"/>
      <c r="BH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7"/>
      <c r="AO181" s="159"/>
      <c r="AP181" s="157"/>
      <c r="AQ181" s="159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66"/>
      <c r="BG181" s="157"/>
      <c r="BH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7"/>
      <c r="AO182" s="159"/>
      <c r="AP182" s="157"/>
      <c r="AQ182" s="159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66"/>
      <c r="BG182" s="157"/>
      <c r="BH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7"/>
      <c r="AO183" s="159"/>
      <c r="AP183" s="157"/>
      <c r="AQ183" s="159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66"/>
      <c r="BG183" s="157"/>
      <c r="BH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7"/>
      <c r="AO184" s="159"/>
      <c r="AP184" s="157"/>
      <c r="AQ184" s="159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66"/>
      <c r="BG184" s="157"/>
      <c r="BH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7"/>
      <c r="AO185" s="159"/>
      <c r="AP185" s="157"/>
      <c r="AQ185" s="159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66"/>
      <c r="BG185" s="157"/>
      <c r="BH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7"/>
      <c r="AO186" s="159"/>
      <c r="AP186" s="157"/>
      <c r="AQ186" s="159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66"/>
      <c r="BG186" s="157"/>
      <c r="BH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7"/>
      <c r="AO187" s="159"/>
      <c r="AP187" s="157"/>
      <c r="AQ187" s="159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66"/>
      <c r="BG187" s="157"/>
      <c r="BH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7"/>
      <c r="AO188" s="159"/>
      <c r="AP188" s="157"/>
      <c r="AQ188" s="159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66"/>
      <c r="BG188" s="157"/>
      <c r="BH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7"/>
      <c r="AO189" s="159"/>
      <c r="AP189" s="157"/>
      <c r="AQ189" s="159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66"/>
      <c r="BG189" s="157"/>
      <c r="BH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7"/>
      <c r="AO190" s="159"/>
      <c r="AP190" s="157"/>
      <c r="AQ190" s="159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66"/>
      <c r="BG190" s="157"/>
      <c r="BH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7"/>
      <c r="AO191" s="159"/>
      <c r="AP191" s="157"/>
      <c r="AQ191" s="159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66"/>
      <c r="BG191" s="157"/>
      <c r="BH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7"/>
      <c r="AO192" s="159"/>
      <c r="AP192" s="157"/>
      <c r="AQ192" s="159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66"/>
      <c r="BG192" s="157"/>
      <c r="BH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7"/>
      <c r="AO193" s="159"/>
      <c r="AP193" s="157"/>
      <c r="AQ193" s="159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66"/>
      <c r="BG193" s="157"/>
      <c r="BH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7"/>
      <c r="AO194" s="159"/>
      <c r="AP194" s="157"/>
      <c r="AQ194" s="159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66"/>
      <c r="BG194" s="157"/>
      <c r="BH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7"/>
      <c r="AO195" s="159"/>
      <c r="AP195" s="157"/>
      <c r="AQ195" s="159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66"/>
      <c r="BG195" s="157"/>
      <c r="BH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7"/>
      <c r="AO196" s="159"/>
      <c r="AP196" s="157"/>
      <c r="AQ196" s="159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66"/>
      <c r="BG196" s="157"/>
      <c r="BH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7"/>
      <c r="AO197" s="159"/>
      <c r="AP197" s="157"/>
      <c r="AQ197" s="159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66"/>
      <c r="BG197" s="157"/>
      <c r="BH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7"/>
      <c r="AO198" s="159"/>
      <c r="AP198" s="157"/>
      <c r="AQ198" s="159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66"/>
      <c r="BG198" s="157"/>
      <c r="BH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7"/>
      <c r="AO199" s="159"/>
      <c r="AP199" s="157"/>
      <c r="AQ199" s="159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66"/>
      <c r="BG199" s="157"/>
      <c r="BH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7"/>
      <c r="AO200" s="159"/>
      <c r="AP200" s="157"/>
      <c r="AQ200" s="159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66"/>
      <c r="BG200" s="157"/>
      <c r="BH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7"/>
      <c r="AO201" s="159"/>
      <c r="AP201" s="157"/>
      <c r="AQ201" s="159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66"/>
      <c r="BG201" s="157"/>
      <c r="BH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7"/>
      <c r="AO202" s="159"/>
      <c r="AP202" s="157"/>
      <c r="AQ202" s="159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66"/>
      <c r="BG202" s="157"/>
      <c r="BH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7"/>
      <c r="AO203" s="159"/>
      <c r="AP203" s="157"/>
      <c r="AQ203" s="159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66"/>
      <c r="BG203" s="157"/>
      <c r="BH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7"/>
      <c r="AO204" s="159"/>
      <c r="AP204" s="157"/>
      <c r="AQ204" s="159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66"/>
      <c r="BG204" s="157"/>
      <c r="BH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7"/>
      <c r="AO205" s="159"/>
      <c r="AP205" s="157"/>
      <c r="AQ205" s="159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66"/>
      <c r="BG205" s="157"/>
      <c r="BH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7"/>
      <c r="AO206" s="159"/>
      <c r="AP206" s="157"/>
      <c r="AQ206" s="159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66"/>
      <c r="BG206" s="157"/>
      <c r="BH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7"/>
      <c r="AO207" s="159"/>
      <c r="AP207" s="157"/>
      <c r="AQ207" s="159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66"/>
      <c r="BG207" s="157"/>
      <c r="BH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7"/>
      <c r="AO208" s="159"/>
      <c r="AP208" s="157"/>
      <c r="AQ208" s="159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66"/>
      <c r="BG208" s="157"/>
      <c r="BH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7"/>
      <c r="AO209" s="159"/>
      <c r="AP209" s="157"/>
      <c r="AQ209" s="159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66"/>
      <c r="BG209" s="157"/>
      <c r="BH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7"/>
      <c r="AO210" s="159"/>
      <c r="AP210" s="157"/>
      <c r="AQ210" s="159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66"/>
      <c r="BG210" s="157"/>
      <c r="BH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7"/>
      <c r="AO211" s="159"/>
      <c r="AP211" s="157"/>
      <c r="AQ211" s="159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66"/>
      <c r="BG211" s="157"/>
      <c r="BH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7"/>
      <c r="AO212" s="159"/>
      <c r="AP212" s="157"/>
      <c r="AQ212" s="159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66"/>
      <c r="BG212" s="157"/>
      <c r="BH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7"/>
      <c r="AO213" s="159"/>
      <c r="AP213" s="157"/>
      <c r="AQ213" s="159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66"/>
      <c r="BG213" s="157"/>
      <c r="BH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7"/>
      <c r="AO214" s="159"/>
      <c r="AP214" s="157"/>
      <c r="AQ214" s="159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66"/>
      <c r="BG214" s="157"/>
      <c r="BH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7"/>
      <c r="AO215" s="159"/>
      <c r="AP215" s="157"/>
      <c r="AQ215" s="159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66"/>
      <c r="BG215" s="157"/>
      <c r="BH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7"/>
      <c r="AO216" s="159"/>
      <c r="AP216" s="157"/>
      <c r="AQ216" s="159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66"/>
      <c r="BG216" s="157"/>
      <c r="BH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7"/>
      <c r="AO217" s="159"/>
      <c r="AP217" s="157"/>
      <c r="AQ217" s="159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66"/>
      <c r="BG217" s="157"/>
      <c r="BH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7"/>
      <c r="AO218" s="159"/>
      <c r="AP218" s="157"/>
      <c r="AQ218" s="159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66"/>
      <c r="BG218" s="157"/>
      <c r="BH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7"/>
      <c r="AO219" s="159"/>
      <c r="AP219" s="157"/>
      <c r="AQ219" s="159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66"/>
      <c r="BG219" s="157"/>
      <c r="BH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7"/>
      <c r="AO220" s="159"/>
      <c r="AP220" s="157"/>
      <c r="AQ220" s="159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66"/>
      <c r="BG220" s="157"/>
      <c r="BH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7"/>
      <c r="AO221" s="159"/>
      <c r="AP221" s="157"/>
      <c r="AQ221" s="159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66"/>
      <c r="BG221" s="157"/>
      <c r="BH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7"/>
      <c r="AO222" s="159"/>
      <c r="AP222" s="157"/>
      <c r="AQ222" s="159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66"/>
      <c r="BG222" s="157"/>
      <c r="BH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7"/>
      <c r="AO223" s="159"/>
      <c r="AP223" s="157"/>
      <c r="AQ223" s="159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66"/>
      <c r="BG223" s="157"/>
      <c r="BH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7"/>
      <c r="AO224" s="159"/>
      <c r="AP224" s="157"/>
      <c r="AQ224" s="159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66"/>
      <c r="BG224" s="157"/>
      <c r="BH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7"/>
      <c r="AO225" s="159"/>
      <c r="AP225" s="157"/>
      <c r="AQ225" s="159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66"/>
      <c r="BG225" s="157"/>
      <c r="BH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7"/>
      <c r="AO226" s="159"/>
      <c r="AP226" s="157"/>
      <c r="AQ226" s="159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66"/>
      <c r="BG226" s="157"/>
      <c r="BH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7"/>
      <c r="AO227" s="159"/>
      <c r="AP227" s="157"/>
      <c r="AQ227" s="159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66"/>
      <c r="BG227" s="157"/>
      <c r="BH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7"/>
      <c r="AO228" s="159"/>
      <c r="AP228" s="157"/>
      <c r="AQ228" s="159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66"/>
      <c r="BG228" s="157"/>
      <c r="BH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7"/>
      <c r="AO229" s="159"/>
      <c r="AP229" s="157"/>
      <c r="AQ229" s="159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66"/>
      <c r="BG229" s="157"/>
      <c r="BH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7"/>
      <c r="AO230" s="159"/>
      <c r="AP230" s="157"/>
      <c r="AQ230" s="159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66"/>
      <c r="BG230" s="157"/>
      <c r="BH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7"/>
      <c r="AO231" s="159"/>
      <c r="AP231" s="157"/>
      <c r="AQ231" s="159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66"/>
      <c r="BG231" s="157"/>
      <c r="BH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7"/>
      <c r="AO232" s="159"/>
      <c r="AP232" s="157"/>
      <c r="AQ232" s="159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66"/>
      <c r="BG232" s="157"/>
      <c r="BH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7"/>
      <c r="AO233" s="159"/>
      <c r="AP233" s="157"/>
      <c r="AQ233" s="159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66"/>
      <c r="BG233" s="157"/>
      <c r="BH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7"/>
      <c r="AO234" s="159"/>
      <c r="AP234" s="157"/>
      <c r="AQ234" s="159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66"/>
      <c r="BG234" s="157"/>
      <c r="BH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7"/>
      <c r="AO235" s="159"/>
      <c r="AP235" s="157"/>
      <c r="AQ235" s="159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66"/>
      <c r="BG235" s="157"/>
      <c r="BH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7"/>
      <c r="AO236" s="159"/>
      <c r="AP236" s="157"/>
      <c r="AQ236" s="159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66"/>
      <c r="BG236" s="157"/>
      <c r="BH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7"/>
      <c r="AO237" s="159"/>
      <c r="AP237" s="157"/>
      <c r="AQ237" s="159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66"/>
      <c r="BG237" s="157"/>
      <c r="BH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7"/>
      <c r="AO238" s="159"/>
      <c r="AP238" s="157"/>
      <c r="AQ238" s="159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66"/>
      <c r="BG238" s="157"/>
      <c r="BH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7"/>
      <c r="AO239" s="159"/>
      <c r="AP239" s="157"/>
      <c r="AQ239" s="159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66"/>
      <c r="BG239" s="157"/>
      <c r="BH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7"/>
      <c r="AO240" s="159"/>
      <c r="AP240" s="157"/>
      <c r="AQ240" s="159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66"/>
      <c r="BG240" s="157"/>
      <c r="BH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7"/>
      <c r="AO241" s="159"/>
      <c r="AP241" s="157"/>
      <c r="AQ241" s="159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66"/>
      <c r="BG241" s="157"/>
      <c r="BH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7"/>
      <c r="AO242" s="159"/>
      <c r="AP242" s="157"/>
      <c r="AQ242" s="159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66"/>
      <c r="BG242" s="157"/>
      <c r="BH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7"/>
      <c r="AO243" s="159"/>
      <c r="AP243" s="157"/>
      <c r="AQ243" s="159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66"/>
      <c r="BG243" s="157"/>
      <c r="BH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7"/>
      <c r="AO244" s="159"/>
      <c r="AP244" s="157"/>
      <c r="AQ244" s="159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66"/>
      <c r="BG244" s="157"/>
      <c r="BH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7"/>
      <c r="AO245" s="159"/>
      <c r="AP245" s="157"/>
      <c r="AQ245" s="159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66"/>
      <c r="BG245" s="157"/>
      <c r="BH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7"/>
      <c r="AO246" s="159"/>
      <c r="AP246" s="157"/>
      <c r="AQ246" s="159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66"/>
      <c r="BG246" s="157"/>
      <c r="BH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7"/>
      <c r="AO247" s="159"/>
      <c r="AP247" s="157"/>
      <c r="AQ247" s="159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66"/>
      <c r="BG247" s="157"/>
      <c r="BH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" customHeight="1"/>
  </sheetData>
  <mergeCells count="21">
    <mergeCell ref="AP49:AQ49"/>
    <mergeCell ref="D50:K54"/>
    <mergeCell ref="L50:S54"/>
    <mergeCell ref="T50:Z54"/>
    <mergeCell ref="AF50:AM54"/>
    <mergeCell ref="AF3:AO3"/>
    <mergeCell ref="AN4:AO4"/>
    <mergeCell ref="AN38:AO38"/>
    <mergeCell ref="AR3:AV3"/>
    <mergeCell ref="BO3:BV3"/>
    <mergeCell ref="BW3:CC3"/>
    <mergeCell ref="CD3:CJ3"/>
    <mergeCell ref="AN39:AO39"/>
    <mergeCell ref="AW3:BD3"/>
    <mergeCell ref="AP4:AQ4"/>
    <mergeCell ref="AP38:AQ38"/>
    <mergeCell ref="B3:B4"/>
    <mergeCell ref="D3:K3"/>
    <mergeCell ref="L3:S3"/>
    <mergeCell ref="T3:Z3"/>
    <mergeCell ref="AA3:AE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E4D8-270A-5141-87AD-DD672DFE4F1B}">
  <dimension ref="A1:CJ1000"/>
  <sheetViews>
    <sheetView tabSelected="1"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68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7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4.7109375" style="7" customWidth="1"/>
    <col min="41" max="41" width="4.5703125" style="268" customWidth="1"/>
    <col min="42" max="42" width="4.7109375" style="7" customWidth="1"/>
    <col min="43" max="43" width="4.5703125" style="268" customWidth="1"/>
    <col min="44" max="44" width="11.140625" style="7" bestFit="1" customWidth="1"/>
    <col min="45" max="45" width="7.5703125" style="7" customWidth="1"/>
    <col min="46" max="46" width="9.42578125" style="7" bestFit="1" customWidth="1"/>
    <col min="47" max="47" width="11.5703125" style="7" customWidth="1"/>
    <col min="48" max="48" width="13.5703125" style="7" customWidth="1"/>
    <col min="49" max="60" width="11.140625" style="7" customWidth="1"/>
    <col min="61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3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6"/>
      <c r="BF1" s="4"/>
      <c r="BG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12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10"/>
      <c r="AR2" s="4"/>
      <c r="AS2" s="4"/>
      <c r="AT2" s="4"/>
      <c r="AU2" s="4"/>
      <c r="AV2" s="4"/>
      <c r="AW2" s="4" t="s">
        <v>1</v>
      </c>
      <c r="AX2" s="4"/>
      <c r="AY2" s="4"/>
      <c r="AZ2" s="4"/>
      <c r="BA2" s="4"/>
      <c r="BB2" s="4"/>
      <c r="BC2" s="4"/>
      <c r="BD2" s="4"/>
      <c r="BE2" s="6"/>
      <c r="BF2" s="4"/>
      <c r="BG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29" t="s">
        <v>7</v>
      </c>
      <c r="AG3" s="330"/>
      <c r="AH3" s="330"/>
      <c r="AI3" s="330"/>
      <c r="AJ3" s="330"/>
      <c r="AK3" s="330"/>
      <c r="AL3" s="330"/>
      <c r="AM3" s="330"/>
      <c r="AN3" s="330"/>
      <c r="AO3" s="331"/>
      <c r="AP3" s="346"/>
      <c r="AQ3" s="346"/>
      <c r="AR3" s="22" t="s">
        <v>8</v>
      </c>
      <c r="AS3" s="23"/>
      <c r="AT3" s="23"/>
      <c r="AU3" s="23"/>
      <c r="AV3" s="25"/>
      <c r="AW3" s="26" t="s">
        <v>9</v>
      </c>
      <c r="AX3" s="27"/>
      <c r="AY3" s="27"/>
      <c r="AZ3" s="27"/>
      <c r="BA3" s="27"/>
      <c r="BB3" s="27"/>
      <c r="BC3" s="27"/>
      <c r="BD3" s="28"/>
      <c r="BE3" s="4"/>
      <c r="BF3" s="6"/>
      <c r="BO3" s="269" t="s">
        <v>3</v>
      </c>
      <c r="BP3" s="270"/>
      <c r="BQ3" s="270"/>
      <c r="BR3" s="270"/>
      <c r="BS3" s="270"/>
      <c r="BT3" s="270"/>
      <c r="BU3" s="270"/>
      <c r="BV3" s="270"/>
      <c r="BW3" s="271" t="s">
        <v>5</v>
      </c>
      <c r="BX3" s="272"/>
      <c r="BY3" s="272"/>
      <c r="BZ3" s="272"/>
      <c r="CA3" s="272"/>
      <c r="CB3" s="272"/>
      <c r="CC3" s="273"/>
      <c r="CD3" s="274" t="s">
        <v>83</v>
      </c>
      <c r="CE3" s="275"/>
      <c r="CF3" s="275"/>
      <c r="CG3" s="275"/>
      <c r="CH3" s="275"/>
      <c r="CI3" s="275"/>
      <c r="CJ3" s="276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34" t="s">
        <v>84</v>
      </c>
      <c r="AO4" s="335"/>
      <c r="AP4" s="334" t="s">
        <v>86</v>
      </c>
      <c r="AQ4" s="335"/>
      <c r="AR4" s="44" t="s">
        <v>24</v>
      </c>
      <c r="AS4" s="45" t="s">
        <v>19</v>
      </c>
      <c r="AT4" s="45" t="s">
        <v>21</v>
      </c>
      <c r="AU4" s="46" t="s">
        <v>25</v>
      </c>
      <c r="AV4" s="45" t="s">
        <v>26</v>
      </c>
      <c r="AW4" s="33" t="s">
        <v>27</v>
      </c>
      <c r="AX4" s="33" t="s">
        <v>28</v>
      </c>
      <c r="AY4" s="33" t="s">
        <v>29</v>
      </c>
      <c r="AZ4" s="33" t="s">
        <v>30</v>
      </c>
      <c r="BA4" s="33" t="s">
        <v>31</v>
      </c>
      <c r="BB4" s="33" t="s">
        <v>32</v>
      </c>
      <c r="BC4" s="33" t="s">
        <v>33</v>
      </c>
      <c r="BD4" s="50" t="s">
        <v>34</v>
      </c>
      <c r="BE4" s="4"/>
      <c r="BF4" s="6"/>
      <c r="BO4" s="277" t="s">
        <v>10</v>
      </c>
      <c r="BP4" s="278" t="s">
        <v>11</v>
      </c>
      <c r="BQ4" s="45" t="s">
        <v>12</v>
      </c>
      <c r="BR4" s="279" t="s">
        <v>13</v>
      </c>
      <c r="BS4" s="45" t="s">
        <v>14</v>
      </c>
      <c r="BT4" s="46" t="s">
        <v>15</v>
      </c>
      <c r="BU4" s="278" t="s">
        <v>16</v>
      </c>
      <c r="BV4" s="46" t="s">
        <v>17</v>
      </c>
      <c r="BW4" s="280" t="s">
        <v>11</v>
      </c>
      <c r="BX4" s="45" t="s">
        <v>12</v>
      </c>
      <c r="BY4" s="279" t="s">
        <v>13</v>
      </c>
      <c r="BZ4" s="45" t="s">
        <v>14</v>
      </c>
      <c r="CA4" s="46" t="s">
        <v>15</v>
      </c>
      <c r="CB4" s="281" t="s">
        <v>16</v>
      </c>
      <c r="CC4" s="282" t="s">
        <v>17</v>
      </c>
      <c r="CD4" s="283" t="s">
        <v>11</v>
      </c>
      <c r="CE4" s="45" t="s">
        <v>12</v>
      </c>
      <c r="CF4" s="279" t="s">
        <v>13</v>
      </c>
      <c r="CG4" s="45" t="s">
        <v>14</v>
      </c>
      <c r="CH4" s="46" t="s">
        <v>15</v>
      </c>
      <c r="CI4" s="284" t="s">
        <v>16</v>
      </c>
      <c r="CJ4" s="285" t="s">
        <v>17</v>
      </c>
    </row>
    <row r="5" spans="1:88" s="82" customFormat="1" ht="13.5" customHeight="1" thickTop="1">
      <c r="A5" s="51"/>
      <c r="B5" s="332">
        <f>DATE($A$2,$B$2,1)</f>
        <v>45992</v>
      </c>
      <c r="C5" s="52"/>
      <c r="D5" s="53">
        <v>2</v>
      </c>
      <c r="E5" s="54">
        <v>4</v>
      </c>
      <c r="F5" s="55">
        <v>21000</v>
      </c>
      <c r="G5" s="56">
        <f t="shared" ref="G5:G35" si="0">ROUNDDOWN(F5/1.1,0)/E5</f>
        <v>4772.5</v>
      </c>
      <c r="H5" s="55">
        <v>5950</v>
      </c>
      <c r="I5" s="57">
        <f t="shared" ref="I5:I35" si="1">ROUNDDOWN(H5/1.1,0)/E5</f>
        <v>1352.25</v>
      </c>
      <c r="J5" s="58">
        <f t="shared" ref="J5:J35" si="2">F5+H5</f>
        <v>26950</v>
      </c>
      <c r="K5" s="59">
        <f t="shared" ref="K5:K35" si="3">IF(E5="","",J5/E5)</f>
        <v>6737.5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5" si="7">IF(M5="","",R5/M5)</f>
        <v/>
      </c>
      <c r="T5" s="67">
        <f>AW5-M5-E5</f>
        <v>12</v>
      </c>
      <c r="U5" s="68">
        <f>AX5-(F5+N5)</f>
        <v>198000</v>
      </c>
      <c r="V5" s="56">
        <f t="shared" ref="V5:V35" si="8">ROUNDDOWN(U5/1.1,0)/T5</f>
        <v>15000</v>
      </c>
      <c r="W5" s="68">
        <f>AY5-H5-P5</f>
        <v>100310</v>
      </c>
      <c r="X5" s="57">
        <f t="shared" ref="X5:X35" si="9">ROUNDDOWN(W5/1.1,0)/T5</f>
        <v>7599.166666666667</v>
      </c>
      <c r="Y5" s="69">
        <f>U5+W5</f>
        <v>298310</v>
      </c>
      <c r="Z5" s="70">
        <f t="shared" ref="Z5:Z35" si="10">IF(T5="","",Y5/T5)</f>
        <v>24859.166666666668</v>
      </c>
      <c r="AA5" s="71">
        <f>E5+T5+M5</f>
        <v>16</v>
      </c>
      <c r="AB5" s="68">
        <f>F5+U5+N5</f>
        <v>219000</v>
      </c>
      <c r="AC5" s="68">
        <f>H5+W5+P5</f>
        <v>106260</v>
      </c>
      <c r="AD5" s="72">
        <f t="shared" ref="AD5" si="11">J5+Y5</f>
        <v>325260</v>
      </c>
      <c r="AE5" s="68">
        <f>IF(AA5="","",AD5/AA5)</f>
        <v>20328.75</v>
      </c>
      <c r="AF5" s="73">
        <v>45</v>
      </c>
      <c r="AG5" s="74">
        <v>45</v>
      </c>
      <c r="AH5" s="55">
        <v>61480</v>
      </c>
      <c r="AI5" s="56">
        <f t="shared" ref="AI5:AI35" si="12">AH5/AG5</f>
        <v>1366.2222222222222</v>
      </c>
      <c r="AJ5" s="55">
        <v>6600</v>
      </c>
      <c r="AK5" s="57">
        <f t="shared" ref="AK5:AK35" si="13">AJ5/AG5</f>
        <v>146.66666666666666</v>
      </c>
      <c r="AL5" s="75">
        <f>AH5+AJ5</f>
        <v>68080</v>
      </c>
      <c r="AM5" s="76">
        <f t="shared" ref="AM5:AM35" si="14">IF(AG5="","",AL5/AG5)</f>
        <v>1512.8888888888889</v>
      </c>
      <c r="AN5" s="336">
        <v>1</v>
      </c>
      <c r="AO5" s="337">
        <v>2</v>
      </c>
      <c r="AP5" s="336">
        <v>0</v>
      </c>
      <c r="AQ5" s="337">
        <v>0</v>
      </c>
      <c r="AR5" s="71">
        <f>SUM(E5,T5,M5)</f>
        <v>16</v>
      </c>
      <c r="AS5" s="68">
        <f>AB5+AH5</f>
        <v>280480</v>
      </c>
      <c r="AT5" s="68">
        <f t="shared" ref="AT5:AT35" si="15">AC5+AJ5</f>
        <v>112860</v>
      </c>
      <c r="AU5" s="77">
        <f>AD5+AL5</f>
        <v>393340</v>
      </c>
      <c r="AV5" s="68">
        <f>AZ5+BA5+BB5</f>
        <v>4400</v>
      </c>
      <c r="AW5" s="68">
        <v>16</v>
      </c>
      <c r="AX5" s="68">
        <v>219000</v>
      </c>
      <c r="AY5" s="68">
        <v>106260</v>
      </c>
      <c r="AZ5" s="78">
        <v>4400</v>
      </c>
      <c r="BA5" s="78">
        <v>0</v>
      </c>
      <c r="BB5" s="78">
        <v>0</v>
      </c>
      <c r="BC5" s="78">
        <v>0</v>
      </c>
      <c r="BD5" s="79">
        <f>SUM(AX5:BB5)</f>
        <v>329660</v>
      </c>
      <c r="BE5" s="51">
        <v>1</v>
      </c>
      <c r="BF5" s="80">
        <f>BC5+BD5</f>
        <v>329660</v>
      </c>
      <c r="BG5" s="81">
        <f t="shared" ref="BG5:BG35" si="16">BD5+AL5</f>
        <v>397740</v>
      </c>
      <c r="BO5" s="287">
        <f>D5</f>
        <v>2</v>
      </c>
      <c r="BP5" s="54">
        <f>E5</f>
        <v>4</v>
      </c>
      <c r="BQ5" s="68">
        <f>F5</f>
        <v>21000</v>
      </c>
      <c r="BR5" s="56">
        <f t="shared" ref="BR5:BR35" si="17">ROUNDDOWN(BQ5/1.1,0)/BP5</f>
        <v>4772.5</v>
      </c>
      <c r="BS5" s="68">
        <f>H5</f>
        <v>5950</v>
      </c>
      <c r="BT5" s="57">
        <f t="shared" ref="BT5:BT35" si="18">ROUNDDOWN(BS5/1.1,0)/BP5</f>
        <v>1352.25</v>
      </c>
      <c r="BU5" s="58">
        <f>BQ5+BS5</f>
        <v>26950</v>
      </c>
      <c r="BV5" s="59">
        <f t="shared" ref="BV5:BV35" si="19">IF(BP5="","",BU5/BP5)</f>
        <v>6737.5</v>
      </c>
      <c r="BW5" s="288">
        <f>T5</f>
        <v>12</v>
      </c>
      <c r="BX5" s="68">
        <f>U5</f>
        <v>198000</v>
      </c>
      <c r="BY5" s="56">
        <f t="shared" ref="BY5:BY35" si="20">ROUNDDOWN(BX5/1.1,0)/BW5</f>
        <v>15000</v>
      </c>
      <c r="BZ5" s="68">
        <f>W5</f>
        <v>100310</v>
      </c>
      <c r="CA5" s="57">
        <f t="shared" ref="CA5:CA35" si="21">ROUNDDOWN(BZ5/1.1,0)/BW5</f>
        <v>7599.166666666667</v>
      </c>
      <c r="CB5" s="289">
        <f>BX5+BZ5</f>
        <v>298310</v>
      </c>
      <c r="CC5" s="290" t="e">
        <v>#DIV/0!</v>
      </c>
      <c r="CD5" s="291">
        <f>BP5+BW5</f>
        <v>16</v>
      </c>
      <c r="CE5" s="68">
        <f>BQ5+BX5</f>
        <v>219000</v>
      </c>
      <c r="CF5" s="57">
        <f>ROUNDDOWN(CE5/1.1,0)/CD5</f>
        <v>12443.125</v>
      </c>
      <c r="CG5" s="68">
        <f>BS5+BZ5</f>
        <v>106260</v>
      </c>
      <c r="CH5" s="57">
        <f>ROUNDDOWN(CG5/1.1,0)/CD5</f>
        <v>6037.5</v>
      </c>
      <c r="CI5" s="292">
        <f>CE5+CG5</f>
        <v>325260</v>
      </c>
      <c r="CJ5" s="293">
        <f>IF(CD5="","",CI5/CD5)</f>
        <v>20328.75</v>
      </c>
    </row>
    <row r="6" spans="1:88" ht="13.5" customHeight="1">
      <c r="A6" s="51"/>
      <c r="B6" s="333">
        <f t="shared" ref="B6:B35" si="22">B5+1</f>
        <v>45993</v>
      </c>
      <c r="C6" s="84"/>
      <c r="D6" s="53">
        <v>2</v>
      </c>
      <c r="E6" s="54">
        <v>5</v>
      </c>
      <c r="F6" s="55">
        <v>42900</v>
      </c>
      <c r="G6" s="56">
        <f t="shared" si="0"/>
        <v>7800</v>
      </c>
      <c r="H6" s="55">
        <v>7590</v>
      </c>
      <c r="I6" s="57">
        <f t="shared" si="1"/>
        <v>1380</v>
      </c>
      <c r="J6" s="58">
        <f t="shared" si="2"/>
        <v>50490</v>
      </c>
      <c r="K6" s="59">
        <f t="shared" si="3"/>
        <v>10098</v>
      </c>
      <c r="L6" s="85"/>
      <c r="M6" s="86"/>
      <c r="N6" s="87"/>
      <c r="O6" s="88" t="e">
        <f t="shared" si="4"/>
        <v>#DIV/0!</v>
      </c>
      <c r="P6" s="87"/>
      <c r="Q6" s="89" t="e">
        <f t="shared" si="5"/>
        <v>#DIV/0!</v>
      </c>
      <c r="R6" s="90">
        <f>N6+P6</f>
        <v>0</v>
      </c>
      <c r="S6" s="91" t="str">
        <f t="shared" si="7"/>
        <v/>
      </c>
      <c r="T6" s="67">
        <f t="shared" ref="T6:T35" si="23">AW6-M6-E6</f>
        <v>13</v>
      </c>
      <c r="U6" s="68">
        <f t="shared" ref="U6:U35" si="24">AX6-(F6+N6)</f>
        <v>205480</v>
      </c>
      <c r="V6" s="56">
        <f t="shared" si="8"/>
        <v>14369.23076923077</v>
      </c>
      <c r="W6" s="68">
        <f t="shared" ref="W6:W35" si="25">AY6-H6-P6</f>
        <v>68530</v>
      </c>
      <c r="X6" s="57">
        <f t="shared" si="9"/>
        <v>4792.3076923076924</v>
      </c>
      <c r="Y6" s="92">
        <f t="shared" ref="Y6:Y35" si="26">U6+W6</f>
        <v>274010</v>
      </c>
      <c r="Z6" s="70">
        <f t="shared" si="10"/>
        <v>21077.692307692309</v>
      </c>
      <c r="AA6" s="71">
        <f t="shared" ref="AA6:AB35" si="27">E6+T6+M6</f>
        <v>18</v>
      </c>
      <c r="AB6" s="68">
        <f t="shared" si="27"/>
        <v>248380</v>
      </c>
      <c r="AC6" s="68">
        <f t="shared" ref="AC6:AC35" si="28">H6+W6+P6</f>
        <v>76120</v>
      </c>
      <c r="AD6" s="72">
        <f>J6+Y6+R6</f>
        <v>324500</v>
      </c>
      <c r="AE6" s="68">
        <f t="shared" ref="AE6:AE35" si="29">IF(AA6="","",AD6/AA6)</f>
        <v>18027.777777777777</v>
      </c>
      <c r="AF6" s="73">
        <v>49</v>
      </c>
      <c r="AG6" s="74">
        <v>54</v>
      </c>
      <c r="AH6" s="55">
        <v>57150</v>
      </c>
      <c r="AI6" s="56">
        <f t="shared" si="12"/>
        <v>1058.3333333333333</v>
      </c>
      <c r="AJ6" s="55">
        <v>7600</v>
      </c>
      <c r="AK6" s="57">
        <f t="shared" si="13"/>
        <v>140.74074074074073</v>
      </c>
      <c r="AL6" s="93">
        <f t="shared" ref="AL6:AL35" si="30">AH6+AJ6</f>
        <v>64750</v>
      </c>
      <c r="AM6" s="76">
        <f t="shared" si="14"/>
        <v>1199.0740740740741</v>
      </c>
      <c r="AN6" s="339">
        <v>0</v>
      </c>
      <c r="AO6" s="337">
        <v>0</v>
      </c>
      <c r="AP6" s="339">
        <v>0</v>
      </c>
      <c r="AQ6" s="337">
        <v>0</v>
      </c>
      <c r="AR6" s="71">
        <f t="shared" ref="AR6:AR35" si="31">SUM(E6,T6)</f>
        <v>18</v>
      </c>
      <c r="AS6" s="68">
        <f t="shared" ref="AS6:AS35" si="32">AB6+AH6</f>
        <v>305530</v>
      </c>
      <c r="AT6" s="68">
        <f t="shared" si="15"/>
        <v>83720</v>
      </c>
      <c r="AU6" s="77">
        <f t="shared" ref="AU6:AU35" si="33">AD6+AL6</f>
        <v>389250</v>
      </c>
      <c r="AV6" s="68">
        <f>AZ6+BA6+BB6</f>
        <v>6600</v>
      </c>
      <c r="AW6" s="94">
        <v>18</v>
      </c>
      <c r="AX6" s="94">
        <v>248380</v>
      </c>
      <c r="AY6" s="94">
        <v>76120</v>
      </c>
      <c r="AZ6" s="95">
        <v>6600</v>
      </c>
      <c r="BA6" s="95">
        <v>0</v>
      </c>
      <c r="BB6" s="95">
        <v>0</v>
      </c>
      <c r="BC6" s="95">
        <v>5500</v>
      </c>
      <c r="BD6" s="96">
        <f t="shared" ref="BD6:BD31" si="34">SUM(AX6:BB6)</f>
        <v>331100</v>
      </c>
      <c r="BE6" s="51">
        <v>2</v>
      </c>
      <c r="BF6" s="80">
        <f t="shared" ref="BF6:BF35" si="35">BC6+BD6</f>
        <v>336600</v>
      </c>
      <c r="BG6" s="81">
        <f t="shared" si="16"/>
        <v>395850</v>
      </c>
      <c r="BO6" s="287">
        <f t="shared" ref="BO6:BQ35" si="36">D6</f>
        <v>2</v>
      </c>
      <c r="BP6" s="54">
        <f t="shared" si="36"/>
        <v>5</v>
      </c>
      <c r="BQ6" s="68">
        <f t="shared" si="36"/>
        <v>42900</v>
      </c>
      <c r="BR6" s="56">
        <f t="shared" si="17"/>
        <v>7800</v>
      </c>
      <c r="BS6" s="68">
        <f t="shared" ref="BS6:BS35" si="37">H6</f>
        <v>7590</v>
      </c>
      <c r="BT6" s="57">
        <f t="shared" si="18"/>
        <v>1380</v>
      </c>
      <c r="BU6" s="58">
        <f t="shared" ref="BU6:BU35" si="38">BQ6+BS6</f>
        <v>50490</v>
      </c>
      <c r="BV6" s="59">
        <f t="shared" si="19"/>
        <v>10098</v>
      </c>
      <c r="BW6" s="288">
        <f t="shared" ref="BW6:BX35" si="39">T6</f>
        <v>13</v>
      </c>
      <c r="BX6" s="68">
        <f t="shared" si="39"/>
        <v>205480</v>
      </c>
      <c r="BY6" s="56">
        <f t="shared" si="20"/>
        <v>14369.23076923077</v>
      </c>
      <c r="BZ6" s="68">
        <f t="shared" ref="BZ6:BZ35" si="40">W6</f>
        <v>68530</v>
      </c>
      <c r="CA6" s="57">
        <f t="shared" si="21"/>
        <v>4792.3076923076924</v>
      </c>
      <c r="CB6" s="289">
        <f t="shared" ref="CB6:CB35" si="41">BX6+BZ6</f>
        <v>274010</v>
      </c>
      <c r="CC6" s="290" t="e">
        <v>#DIV/0!</v>
      </c>
      <c r="CD6" s="291">
        <f t="shared" ref="CD6:CE35" si="42">BP6+BW6</f>
        <v>18</v>
      </c>
      <c r="CE6" s="68">
        <f t="shared" si="42"/>
        <v>248380</v>
      </c>
      <c r="CF6" s="57">
        <f t="shared" ref="CF6:CF35" si="43">ROUNDDOWN(CE6/1.1,0)/CD6</f>
        <v>12544.444444444445</v>
      </c>
      <c r="CG6" s="68">
        <f t="shared" ref="CG6:CG35" si="44">BS6+BZ6</f>
        <v>76120</v>
      </c>
      <c r="CH6" s="57">
        <f t="shared" ref="CH6:CH35" si="45">ROUNDDOWN(CG6/1.1,0)/CD6</f>
        <v>3844.4444444444443</v>
      </c>
      <c r="CI6" s="292">
        <f t="shared" ref="CI6:CI35" si="46">CE6+CG6</f>
        <v>324500</v>
      </c>
      <c r="CJ6" s="293">
        <f t="shared" ref="CJ6:CJ35" si="47">IF(CD6="","",CI6/CD6)</f>
        <v>18027.777777777777</v>
      </c>
    </row>
    <row r="7" spans="1:88" ht="13.5" customHeight="1">
      <c r="A7" s="51"/>
      <c r="B7" s="333">
        <f t="shared" si="22"/>
        <v>45994</v>
      </c>
      <c r="C7" s="84"/>
      <c r="D7" s="53">
        <v>5</v>
      </c>
      <c r="E7" s="54">
        <v>13</v>
      </c>
      <c r="F7" s="55">
        <v>99000</v>
      </c>
      <c r="G7" s="56">
        <f t="shared" si="0"/>
        <v>6923.0769230769229</v>
      </c>
      <c r="H7" s="55">
        <v>51370</v>
      </c>
      <c r="I7" s="57">
        <f t="shared" si="1"/>
        <v>3592.3076923076924</v>
      </c>
      <c r="J7" s="58">
        <f t="shared" si="2"/>
        <v>150370</v>
      </c>
      <c r="K7" s="59">
        <f t="shared" si="3"/>
        <v>11566.923076923076</v>
      </c>
      <c r="L7" s="85"/>
      <c r="M7" s="86"/>
      <c r="N7" s="87"/>
      <c r="O7" s="88" t="e">
        <f t="shared" si="4"/>
        <v>#DIV/0!</v>
      </c>
      <c r="P7" s="87"/>
      <c r="Q7" s="89" t="e">
        <f t="shared" si="5"/>
        <v>#DIV/0!</v>
      </c>
      <c r="R7" s="90">
        <f t="shared" ref="R7:R35" si="48">N7+P7</f>
        <v>0</v>
      </c>
      <c r="S7" s="91" t="str">
        <f t="shared" si="7"/>
        <v/>
      </c>
      <c r="T7" s="67">
        <f t="shared" si="23"/>
        <v>0</v>
      </c>
      <c r="U7" s="68">
        <f t="shared" si="24"/>
        <v>0</v>
      </c>
      <c r="V7" s="56" t="e">
        <f t="shared" si="8"/>
        <v>#DIV/0!</v>
      </c>
      <c r="W7" s="68">
        <f t="shared" si="25"/>
        <v>0</v>
      </c>
      <c r="X7" s="57" t="e">
        <f t="shared" si="9"/>
        <v>#DIV/0!</v>
      </c>
      <c r="Y7" s="92">
        <f t="shared" si="26"/>
        <v>0</v>
      </c>
      <c r="Z7" s="70" t="e">
        <f t="shared" si="10"/>
        <v>#DIV/0!</v>
      </c>
      <c r="AA7" s="71">
        <f t="shared" si="27"/>
        <v>13</v>
      </c>
      <c r="AB7" s="68">
        <f t="shared" si="27"/>
        <v>99000</v>
      </c>
      <c r="AC7" s="68">
        <f t="shared" si="28"/>
        <v>51370</v>
      </c>
      <c r="AD7" s="72">
        <f t="shared" ref="AD7:AD34" si="49">J7+Y7+R7</f>
        <v>150370</v>
      </c>
      <c r="AE7" s="68">
        <f t="shared" si="29"/>
        <v>11566.923076923076</v>
      </c>
      <c r="AF7" s="73">
        <v>55</v>
      </c>
      <c r="AG7" s="74">
        <v>60</v>
      </c>
      <c r="AH7" s="55">
        <v>64350</v>
      </c>
      <c r="AI7" s="56">
        <f t="shared" si="12"/>
        <v>1072.5</v>
      </c>
      <c r="AJ7" s="55">
        <v>9900</v>
      </c>
      <c r="AK7" s="57">
        <f t="shared" si="13"/>
        <v>165</v>
      </c>
      <c r="AL7" s="93">
        <f t="shared" si="30"/>
        <v>74250</v>
      </c>
      <c r="AM7" s="76">
        <f t="shared" si="14"/>
        <v>1237.5</v>
      </c>
      <c r="AN7" s="339">
        <v>0</v>
      </c>
      <c r="AO7" s="337">
        <v>0</v>
      </c>
      <c r="AP7" s="339">
        <v>0</v>
      </c>
      <c r="AQ7" s="337">
        <v>0</v>
      </c>
      <c r="AR7" s="71">
        <f t="shared" si="31"/>
        <v>13</v>
      </c>
      <c r="AS7" s="68">
        <f t="shared" si="32"/>
        <v>163350</v>
      </c>
      <c r="AT7" s="68">
        <f t="shared" si="15"/>
        <v>61270</v>
      </c>
      <c r="AU7" s="77">
        <f t="shared" si="33"/>
        <v>224620</v>
      </c>
      <c r="AV7" s="68">
        <f t="shared" ref="AV7:AV35" si="50">AZ7+BA7+BB7</f>
        <v>2200</v>
      </c>
      <c r="AW7" s="94">
        <v>13</v>
      </c>
      <c r="AX7" s="94">
        <v>99000</v>
      </c>
      <c r="AY7" s="94">
        <v>51370</v>
      </c>
      <c r="AZ7" s="95">
        <v>2200</v>
      </c>
      <c r="BA7" s="95">
        <v>0</v>
      </c>
      <c r="BB7" s="95">
        <v>0</v>
      </c>
      <c r="BC7" s="95">
        <v>0</v>
      </c>
      <c r="BD7" s="96">
        <f t="shared" si="34"/>
        <v>152570</v>
      </c>
      <c r="BE7" s="51">
        <v>3</v>
      </c>
      <c r="BF7" s="80">
        <f t="shared" si="35"/>
        <v>152570</v>
      </c>
      <c r="BG7" s="81">
        <f t="shared" si="16"/>
        <v>226820</v>
      </c>
      <c r="BO7" s="287">
        <f t="shared" si="36"/>
        <v>5</v>
      </c>
      <c r="BP7" s="54">
        <f t="shared" si="36"/>
        <v>13</v>
      </c>
      <c r="BQ7" s="68">
        <f t="shared" si="36"/>
        <v>99000</v>
      </c>
      <c r="BR7" s="56">
        <f t="shared" si="17"/>
        <v>6923.0769230769229</v>
      </c>
      <c r="BS7" s="68">
        <f t="shared" si="37"/>
        <v>51370</v>
      </c>
      <c r="BT7" s="57">
        <f t="shared" si="18"/>
        <v>3592.3076923076924</v>
      </c>
      <c r="BU7" s="58">
        <f t="shared" si="38"/>
        <v>150370</v>
      </c>
      <c r="BV7" s="59">
        <f t="shared" si="19"/>
        <v>11566.923076923076</v>
      </c>
      <c r="BW7" s="288">
        <f t="shared" si="39"/>
        <v>0</v>
      </c>
      <c r="BX7" s="68">
        <f t="shared" si="39"/>
        <v>0</v>
      </c>
      <c r="BY7" s="56" t="e">
        <f t="shared" si="20"/>
        <v>#DIV/0!</v>
      </c>
      <c r="BZ7" s="68">
        <f t="shared" si="40"/>
        <v>0</v>
      </c>
      <c r="CA7" s="57" t="e">
        <f t="shared" si="21"/>
        <v>#DIV/0!</v>
      </c>
      <c r="CB7" s="289">
        <f t="shared" si="41"/>
        <v>0</v>
      </c>
      <c r="CC7" s="290" t="e">
        <v>#DIV/0!</v>
      </c>
      <c r="CD7" s="291">
        <f>BP7+BW7</f>
        <v>13</v>
      </c>
      <c r="CE7" s="68">
        <f t="shared" si="42"/>
        <v>99000</v>
      </c>
      <c r="CF7" s="57">
        <f t="shared" si="43"/>
        <v>6923.0769230769229</v>
      </c>
      <c r="CG7" s="68">
        <f t="shared" si="44"/>
        <v>51370</v>
      </c>
      <c r="CH7" s="57">
        <f t="shared" si="45"/>
        <v>3592.3076923076924</v>
      </c>
      <c r="CI7" s="292">
        <f t="shared" si="46"/>
        <v>150370</v>
      </c>
      <c r="CJ7" s="293">
        <f t="shared" si="47"/>
        <v>11566.923076923076</v>
      </c>
    </row>
    <row r="8" spans="1:88" ht="13.5" customHeight="1">
      <c r="A8" s="51"/>
      <c r="B8" s="333">
        <f t="shared" si="22"/>
        <v>45995</v>
      </c>
      <c r="C8" s="84"/>
      <c r="D8" s="53">
        <v>2</v>
      </c>
      <c r="E8" s="54">
        <v>5</v>
      </c>
      <c r="F8" s="55">
        <v>27500</v>
      </c>
      <c r="G8" s="56">
        <f t="shared" si="0"/>
        <v>5000</v>
      </c>
      <c r="H8" s="55">
        <v>2860</v>
      </c>
      <c r="I8" s="57">
        <f t="shared" si="1"/>
        <v>520</v>
      </c>
      <c r="J8" s="58">
        <f t="shared" si="2"/>
        <v>30360</v>
      </c>
      <c r="K8" s="59">
        <f t="shared" si="3"/>
        <v>6072</v>
      </c>
      <c r="L8" s="85">
        <v>1</v>
      </c>
      <c r="M8" s="86">
        <v>3</v>
      </c>
      <c r="N8" s="87">
        <v>11550</v>
      </c>
      <c r="O8" s="88">
        <f t="shared" si="4"/>
        <v>3850</v>
      </c>
      <c r="P8" s="87">
        <v>1650</v>
      </c>
      <c r="Q8" s="89">
        <f t="shared" si="5"/>
        <v>550</v>
      </c>
      <c r="R8" s="90">
        <f t="shared" si="48"/>
        <v>13200</v>
      </c>
      <c r="S8" s="91">
        <f t="shared" si="7"/>
        <v>4400</v>
      </c>
      <c r="T8" s="67">
        <f t="shared" si="23"/>
        <v>2</v>
      </c>
      <c r="U8" s="68">
        <f t="shared" si="24"/>
        <v>30000</v>
      </c>
      <c r="V8" s="56">
        <f t="shared" si="8"/>
        <v>13636</v>
      </c>
      <c r="W8" s="68">
        <f t="shared" si="25"/>
        <v>2400</v>
      </c>
      <c r="X8" s="57">
        <f t="shared" si="9"/>
        <v>1090.5</v>
      </c>
      <c r="Y8" s="92">
        <f t="shared" si="26"/>
        <v>32400</v>
      </c>
      <c r="Z8" s="70">
        <f t="shared" si="10"/>
        <v>16200</v>
      </c>
      <c r="AA8" s="71">
        <f t="shared" si="27"/>
        <v>10</v>
      </c>
      <c r="AB8" s="68">
        <f t="shared" si="27"/>
        <v>69050</v>
      </c>
      <c r="AC8" s="68">
        <f t="shared" si="28"/>
        <v>6910</v>
      </c>
      <c r="AD8" s="72">
        <f t="shared" si="49"/>
        <v>75960</v>
      </c>
      <c r="AE8" s="68">
        <f t="shared" si="29"/>
        <v>7596</v>
      </c>
      <c r="AF8" s="73">
        <v>59</v>
      </c>
      <c r="AG8" s="74">
        <v>60</v>
      </c>
      <c r="AH8" s="55">
        <v>75600</v>
      </c>
      <c r="AI8" s="56">
        <f t="shared" si="12"/>
        <v>1260</v>
      </c>
      <c r="AJ8" s="55">
        <v>4200</v>
      </c>
      <c r="AK8" s="57">
        <f t="shared" si="13"/>
        <v>70</v>
      </c>
      <c r="AL8" s="93">
        <f t="shared" si="30"/>
        <v>79800</v>
      </c>
      <c r="AM8" s="76">
        <f t="shared" si="14"/>
        <v>1330</v>
      </c>
      <c r="AN8" s="339">
        <v>0</v>
      </c>
      <c r="AO8" s="337">
        <v>0</v>
      </c>
      <c r="AP8" s="339">
        <v>0</v>
      </c>
      <c r="AQ8" s="337">
        <v>0</v>
      </c>
      <c r="AR8" s="71">
        <f t="shared" si="31"/>
        <v>7</v>
      </c>
      <c r="AS8" s="68">
        <f t="shared" si="32"/>
        <v>144650</v>
      </c>
      <c r="AT8" s="68">
        <f t="shared" si="15"/>
        <v>11110</v>
      </c>
      <c r="AU8" s="98">
        <f t="shared" si="33"/>
        <v>155760</v>
      </c>
      <c r="AV8" s="68">
        <f t="shared" si="50"/>
        <v>0</v>
      </c>
      <c r="AW8" s="94">
        <v>10</v>
      </c>
      <c r="AX8" s="94">
        <v>69050</v>
      </c>
      <c r="AY8" s="94">
        <v>6910</v>
      </c>
      <c r="AZ8" s="95">
        <v>0</v>
      </c>
      <c r="BA8" s="95">
        <v>0</v>
      </c>
      <c r="BB8" s="95">
        <v>0</v>
      </c>
      <c r="BC8" s="95">
        <v>8000</v>
      </c>
      <c r="BD8" s="96">
        <f t="shared" si="34"/>
        <v>75960</v>
      </c>
      <c r="BE8" s="51">
        <v>4</v>
      </c>
      <c r="BF8" s="80">
        <f t="shared" si="35"/>
        <v>83960</v>
      </c>
      <c r="BG8" s="81">
        <f t="shared" si="16"/>
        <v>155760</v>
      </c>
      <c r="BO8" s="287">
        <f t="shared" si="36"/>
        <v>2</v>
      </c>
      <c r="BP8" s="54">
        <f t="shared" si="36"/>
        <v>5</v>
      </c>
      <c r="BQ8" s="68">
        <f t="shared" si="36"/>
        <v>27500</v>
      </c>
      <c r="BR8" s="56">
        <f t="shared" si="17"/>
        <v>5000</v>
      </c>
      <c r="BS8" s="68">
        <f t="shared" si="37"/>
        <v>2860</v>
      </c>
      <c r="BT8" s="57">
        <f t="shared" si="18"/>
        <v>520</v>
      </c>
      <c r="BU8" s="58">
        <f t="shared" si="38"/>
        <v>30360</v>
      </c>
      <c r="BV8" s="59">
        <f t="shared" si="19"/>
        <v>6072</v>
      </c>
      <c r="BW8" s="288">
        <f t="shared" si="39"/>
        <v>2</v>
      </c>
      <c r="BX8" s="68">
        <f t="shared" si="39"/>
        <v>30000</v>
      </c>
      <c r="BY8" s="56">
        <f t="shared" si="20"/>
        <v>13636</v>
      </c>
      <c r="BZ8" s="68">
        <f t="shared" si="40"/>
        <v>2400</v>
      </c>
      <c r="CA8" s="57">
        <f t="shared" si="21"/>
        <v>1090.5</v>
      </c>
      <c r="CB8" s="289">
        <f t="shared" si="41"/>
        <v>32400</v>
      </c>
      <c r="CC8" s="290" t="e">
        <v>#DIV/0!</v>
      </c>
      <c r="CD8" s="291">
        <f t="shared" si="42"/>
        <v>7</v>
      </c>
      <c r="CE8" s="68">
        <f t="shared" si="42"/>
        <v>57500</v>
      </c>
      <c r="CF8" s="57">
        <f t="shared" si="43"/>
        <v>7467.4285714285716</v>
      </c>
      <c r="CG8" s="68">
        <f t="shared" si="44"/>
        <v>5260</v>
      </c>
      <c r="CH8" s="57">
        <f t="shared" si="45"/>
        <v>683</v>
      </c>
      <c r="CI8" s="292">
        <f t="shared" si="46"/>
        <v>62760</v>
      </c>
      <c r="CJ8" s="293">
        <f t="shared" si="47"/>
        <v>8965.7142857142862</v>
      </c>
    </row>
    <row r="9" spans="1:88" ht="13.5" customHeight="1">
      <c r="A9" s="51"/>
      <c r="B9" s="333">
        <f t="shared" si="22"/>
        <v>45996</v>
      </c>
      <c r="C9" s="84"/>
      <c r="D9" s="53">
        <v>7</v>
      </c>
      <c r="E9" s="54">
        <v>15</v>
      </c>
      <c r="F9" s="55">
        <v>94600</v>
      </c>
      <c r="G9" s="56">
        <f t="shared" si="0"/>
        <v>5733.333333333333</v>
      </c>
      <c r="H9" s="55">
        <v>30250</v>
      </c>
      <c r="I9" s="57">
        <f t="shared" si="1"/>
        <v>1833.3333333333333</v>
      </c>
      <c r="J9" s="58">
        <f t="shared" si="2"/>
        <v>124850</v>
      </c>
      <c r="K9" s="59">
        <f t="shared" si="3"/>
        <v>8323.3333333333339</v>
      </c>
      <c r="L9" s="85">
        <v>2</v>
      </c>
      <c r="M9" s="86">
        <v>4</v>
      </c>
      <c r="N9" s="87">
        <v>15400</v>
      </c>
      <c r="O9" s="88">
        <f t="shared" si="4"/>
        <v>3850</v>
      </c>
      <c r="P9" s="87">
        <v>4730</v>
      </c>
      <c r="Q9" s="89">
        <f t="shared" si="5"/>
        <v>1182.5</v>
      </c>
      <c r="R9" s="90">
        <f t="shared" si="48"/>
        <v>20130</v>
      </c>
      <c r="S9" s="91">
        <f t="shared" si="7"/>
        <v>5032.5</v>
      </c>
      <c r="T9" s="67">
        <f t="shared" si="23"/>
        <v>12</v>
      </c>
      <c r="U9" s="68">
        <f t="shared" si="24"/>
        <v>216150</v>
      </c>
      <c r="V9" s="56">
        <f t="shared" si="8"/>
        <v>16375</v>
      </c>
      <c r="W9" s="68">
        <f t="shared" si="25"/>
        <v>150420</v>
      </c>
      <c r="X9" s="57">
        <f t="shared" si="9"/>
        <v>11395.416666666666</v>
      </c>
      <c r="Y9" s="92">
        <f t="shared" si="26"/>
        <v>366570</v>
      </c>
      <c r="Z9" s="70">
        <f t="shared" si="10"/>
        <v>30547.5</v>
      </c>
      <c r="AA9" s="71">
        <f t="shared" si="27"/>
        <v>31</v>
      </c>
      <c r="AB9" s="68">
        <f t="shared" si="27"/>
        <v>326150</v>
      </c>
      <c r="AC9" s="68">
        <f t="shared" si="28"/>
        <v>185400</v>
      </c>
      <c r="AD9" s="72">
        <f t="shared" si="49"/>
        <v>511550</v>
      </c>
      <c r="AE9" s="68">
        <f t="shared" si="29"/>
        <v>16501.612903225807</v>
      </c>
      <c r="AF9" s="73">
        <v>109</v>
      </c>
      <c r="AG9" s="74">
        <v>115</v>
      </c>
      <c r="AH9" s="55">
        <v>82850</v>
      </c>
      <c r="AI9" s="56">
        <f t="shared" si="12"/>
        <v>720.43478260869563</v>
      </c>
      <c r="AJ9" s="55">
        <v>35800</v>
      </c>
      <c r="AK9" s="57">
        <f t="shared" si="13"/>
        <v>311.30434782608694</v>
      </c>
      <c r="AL9" s="93">
        <f t="shared" si="30"/>
        <v>118650</v>
      </c>
      <c r="AM9" s="76">
        <f t="shared" si="14"/>
        <v>1031.7391304347825</v>
      </c>
      <c r="AN9" s="339">
        <v>0</v>
      </c>
      <c r="AO9" s="337">
        <v>0</v>
      </c>
      <c r="AP9" s="339">
        <v>0</v>
      </c>
      <c r="AQ9" s="337">
        <v>0</v>
      </c>
      <c r="AR9" s="71">
        <f t="shared" si="31"/>
        <v>27</v>
      </c>
      <c r="AS9" s="68">
        <f t="shared" si="32"/>
        <v>409000</v>
      </c>
      <c r="AT9" s="68">
        <f t="shared" si="15"/>
        <v>221200</v>
      </c>
      <c r="AU9" s="77">
        <f t="shared" si="33"/>
        <v>630200</v>
      </c>
      <c r="AV9" s="68">
        <f t="shared" si="50"/>
        <v>0</v>
      </c>
      <c r="AW9" s="94">
        <v>31</v>
      </c>
      <c r="AX9" s="94">
        <v>326150</v>
      </c>
      <c r="AY9" s="94">
        <v>185400</v>
      </c>
      <c r="AZ9" s="95">
        <v>0</v>
      </c>
      <c r="BA9" s="95">
        <v>0</v>
      </c>
      <c r="BB9" s="95">
        <v>0</v>
      </c>
      <c r="BC9" s="95">
        <v>0</v>
      </c>
      <c r="BD9" s="96">
        <f t="shared" si="34"/>
        <v>511550</v>
      </c>
      <c r="BE9" s="51">
        <v>5</v>
      </c>
      <c r="BF9" s="80">
        <f t="shared" si="35"/>
        <v>511550</v>
      </c>
      <c r="BG9" s="81">
        <f t="shared" si="16"/>
        <v>630200</v>
      </c>
      <c r="BO9" s="287">
        <f t="shared" si="36"/>
        <v>7</v>
      </c>
      <c r="BP9" s="54">
        <f t="shared" si="36"/>
        <v>15</v>
      </c>
      <c r="BQ9" s="68">
        <f t="shared" si="36"/>
        <v>94600</v>
      </c>
      <c r="BR9" s="56">
        <f t="shared" si="17"/>
        <v>5733.333333333333</v>
      </c>
      <c r="BS9" s="68">
        <f t="shared" si="37"/>
        <v>30250</v>
      </c>
      <c r="BT9" s="57">
        <f t="shared" si="18"/>
        <v>1833.3333333333333</v>
      </c>
      <c r="BU9" s="58">
        <f t="shared" si="38"/>
        <v>124850</v>
      </c>
      <c r="BV9" s="59">
        <f t="shared" si="19"/>
        <v>8323.3333333333339</v>
      </c>
      <c r="BW9" s="288">
        <f t="shared" si="39"/>
        <v>12</v>
      </c>
      <c r="BX9" s="68">
        <f t="shared" si="39"/>
        <v>216150</v>
      </c>
      <c r="BY9" s="56">
        <f t="shared" si="20"/>
        <v>16375</v>
      </c>
      <c r="BZ9" s="68">
        <f t="shared" si="40"/>
        <v>150420</v>
      </c>
      <c r="CA9" s="57">
        <f t="shared" si="21"/>
        <v>11395.416666666666</v>
      </c>
      <c r="CB9" s="289">
        <f t="shared" si="41"/>
        <v>366570</v>
      </c>
      <c r="CC9" s="290" t="e">
        <v>#DIV/0!</v>
      </c>
      <c r="CD9" s="291">
        <f t="shared" si="42"/>
        <v>27</v>
      </c>
      <c r="CE9" s="68">
        <f t="shared" si="42"/>
        <v>310750</v>
      </c>
      <c r="CF9" s="57">
        <f t="shared" si="43"/>
        <v>10462.962962962964</v>
      </c>
      <c r="CG9" s="68">
        <f t="shared" si="44"/>
        <v>180670</v>
      </c>
      <c r="CH9" s="57">
        <f t="shared" si="45"/>
        <v>6083.1481481481478</v>
      </c>
      <c r="CI9" s="292">
        <f t="shared" si="46"/>
        <v>491420</v>
      </c>
      <c r="CJ9" s="293">
        <f t="shared" si="47"/>
        <v>18200.740740740741</v>
      </c>
    </row>
    <row r="10" spans="1:88" ht="13.5" customHeight="1">
      <c r="A10" s="51"/>
      <c r="B10" s="338">
        <f t="shared" si="22"/>
        <v>45997</v>
      </c>
      <c r="C10" s="84"/>
      <c r="D10" s="53">
        <v>3</v>
      </c>
      <c r="E10" s="54">
        <v>6</v>
      </c>
      <c r="F10" s="55">
        <v>63800</v>
      </c>
      <c r="G10" s="56">
        <f t="shared" si="0"/>
        <v>9666.6666666666661</v>
      </c>
      <c r="H10" s="55">
        <v>11770</v>
      </c>
      <c r="I10" s="57">
        <f t="shared" si="1"/>
        <v>1783.3333333333333</v>
      </c>
      <c r="J10" s="58">
        <f t="shared" si="2"/>
        <v>75570</v>
      </c>
      <c r="K10" s="59">
        <f t="shared" si="3"/>
        <v>12595</v>
      </c>
      <c r="L10" s="85">
        <v>1</v>
      </c>
      <c r="M10" s="86">
        <v>1</v>
      </c>
      <c r="N10" s="87">
        <v>3850</v>
      </c>
      <c r="O10" s="88">
        <f t="shared" si="4"/>
        <v>3850</v>
      </c>
      <c r="P10" s="87">
        <v>550</v>
      </c>
      <c r="Q10" s="89">
        <f t="shared" si="5"/>
        <v>550</v>
      </c>
      <c r="R10" s="90">
        <f t="shared" si="48"/>
        <v>4400</v>
      </c>
      <c r="S10" s="91">
        <f t="shared" si="7"/>
        <v>4400</v>
      </c>
      <c r="T10" s="67">
        <f t="shared" si="23"/>
        <v>6</v>
      </c>
      <c r="U10" s="68">
        <f t="shared" si="24"/>
        <v>120780</v>
      </c>
      <c r="V10" s="56">
        <f t="shared" si="8"/>
        <v>18300</v>
      </c>
      <c r="W10" s="68">
        <f t="shared" si="25"/>
        <v>36630</v>
      </c>
      <c r="X10" s="57">
        <f t="shared" si="9"/>
        <v>5550</v>
      </c>
      <c r="Y10" s="92">
        <f t="shared" si="26"/>
        <v>157410</v>
      </c>
      <c r="Z10" s="70">
        <f t="shared" si="10"/>
        <v>26235</v>
      </c>
      <c r="AA10" s="71">
        <f t="shared" si="27"/>
        <v>13</v>
      </c>
      <c r="AB10" s="68">
        <f t="shared" si="27"/>
        <v>188430</v>
      </c>
      <c r="AC10" s="68">
        <f t="shared" si="28"/>
        <v>48950</v>
      </c>
      <c r="AD10" s="72">
        <f t="shared" si="49"/>
        <v>237380</v>
      </c>
      <c r="AE10" s="68">
        <f t="shared" si="29"/>
        <v>18260</v>
      </c>
      <c r="AF10" s="73">
        <v>104</v>
      </c>
      <c r="AG10" s="74">
        <v>119</v>
      </c>
      <c r="AH10" s="55">
        <v>123200</v>
      </c>
      <c r="AI10" s="56">
        <f t="shared" si="12"/>
        <v>1035.2941176470588</v>
      </c>
      <c r="AJ10" s="55">
        <v>26300</v>
      </c>
      <c r="AK10" s="57">
        <f t="shared" si="13"/>
        <v>221.00840336134453</v>
      </c>
      <c r="AL10" s="93">
        <f t="shared" si="30"/>
        <v>149500</v>
      </c>
      <c r="AM10" s="76">
        <f t="shared" si="14"/>
        <v>1256.3025210084033</v>
      </c>
      <c r="AN10" s="339">
        <v>0</v>
      </c>
      <c r="AO10" s="337">
        <v>0</v>
      </c>
      <c r="AP10" s="339">
        <v>0</v>
      </c>
      <c r="AQ10" s="337">
        <v>0</v>
      </c>
      <c r="AR10" s="99">
        <f t="shared" si="31"/>
        <v>12</v>
      </c>
      <c r="AS10" s="68">
        <f t="shared" si="32"/>
        <v>311630</v>
      </c>
      <c r="AT10" s="68">
        <f t="shared" si="15"/>
        <v>75250</v>
      </c>
      <c r="AU10" s="77">
        <f t="shared" si="33"/>
        <v>386880</v>
      </c>
      <c r="AV10" s="68">
        <f t="shared" si="50"/>
        <v>4400</v>
      </c>
      <c r="AW10" s="94">
        <v>13</v>
      </c>
      <c r="AX10" s="94">
        <v>188430</v>
      </c>
      <c r="AY10" s="94">
        <v>48950</v>
      </c>
      <c r="AZ10" s="95">
        <v>4400</v>
      </c>
      <c r="BA10" s="95">
        <v>0</v>
      </c>
      <c r="BB10" s="95">
        <v>0</v>
      </c>
      <c r="BC10" s="95">
        <v>0</v>
      </c>
      <c r="BD10" s="96">
        <f>SUM(AX10:BB10)</f>
        <v>241780</v>
      </c>
      <c r="BE10" s="51">
        <v>6</v>
      </c>
      <c r="BF10" s="80">
        <f t="shared" si="35"/>
        <v>241780</v>
      </c>
      <c r="BG10" s="81">
        <f t="shared" si="16"/>
        <v>391280</v>
      </c>
      <c r="BO10" s="287">
        <f t="shared" si="36"/>
        <v>3</v>
      </c>
      <c r="BP10" s="54">
        <f t="shared" si="36"/>
        <v>6</v>
      </c>
      <c r="BQ10" s="68">
        <f t="shared" si="36"/>
        <v>63800</v>
      </c>
      <c r="BR10" s="56">
        <f t="shared" si="17"/>
        <v>9666.6666666666661</v>
      </c>
      <c r="BS10" s="68">
        <f t="shared" si="37"/>
        <v>11770</v>
      </c>
      <c r="BT10" s="57">
        <f t="shared" si="18"/>
        <v>1783.3333333333333</v>
      </c>
      <c r="BU10" s="58">
        <f t="shared" si="38"/>
        <v>75570</v>
      </c>
      <c r="BV10" s="59">
        <f t="shared" si="19"/>
        <v>12595</v>
      </c>
      <c r="BW10" s="288">
        <f t="shared" si="39"/>
        <v>6</v>
      </c>
      <c r="BX10" s="68">
        <f t="shared" si="39"/>
        <v>120780</v>
      </c>
      <c r="BY10" s="56">
        <f t="shared" si="20"/>
        <v>18300</v>
      </c>
      <c r="BZ10" s="68">
        <f t="shared" si="40"/>
        <v>36630</v>
      </c>
      <c r="CA10" s="57">
        <f t="shared" si="21"/>
        <v>5550</v>
      </c>
      <c r="CB10" s="289">
        <f t="shared" si="41"/>
        <v>157410</v>
      </c>
      <c r="CC10" s="290" t="e">
        <v>#DIV/0!</v>
      </c>
      <c r="CD10" s="291">
        <f t="shared" si="42"/>
        <v>12</v>
      </c>
      <c r="CE10" s="68">
        <f t="shared" si="42"/>
        <v>184580</v>
      </c>
      <c r="CF10" s="57">
        <f t="shared" si="43"/>
        <v>13983.333333333334</v>
      </c>
      <c r="CG10" s="68">
        <f t="shared" si="44"/>
        <v>48400</v>
      </c>
      <c r="CH10" s="57">
        <f t="shared" si="45"/>
        <v>3666.6666666666665</v>
      </c>
      <c r="CI10" s="292">
        <f t="shared" si="46"/>
        <v>232980</v>
      </c>
      <c r="CJ10" s="293">
        <f t="shared" si="47"/>
        <v>19415</v>
      </c>
    </row>
    <row r="11" spans="1:88" ht="13.5" customHeight="1">
      <c r="A11" s="51"/>
      <c r="B11" s="97">
        <f t="shared" si="22"/>
        <v>45998</v>
      </c>
      <c r="C11" s="84"/>
      <c r="D11" s="53">
        <v>7</v>
      </c>
      <c r="E11" s="54">
        <v>15</v>
      </c>
      <c r="F11" s="55">
        <v>101200</v>
      </c>
      <c r="G11" s="56">
        <f t="shared" si="0"/>
        <v>6133.333333333333</v>
      </c>
      <c r="H11" s="55">
        <v>37070</v>
      </c>
      <c r="I11" s="57">
        <f t="shared" si="1"/>
        <v>2246.6666666666665</v>
      </c>
      <c r="J11" s="58">
        <f t="shared" si="2"/>
        <v>138270</v>
      </c>
      <c r="K11" s="59">
        <f t="shared" si="3"/>
        <v>9218</v>
      </c>
      <c r="L11" s="85"/>
      <c r="M11" s="86"/>
      <c r="N11" s="87"/>
      <c r="O11" s="88" t="e">
        <f t="shared" si="4"/>
        <v>#DIV/0!</v>
      </c>
      <c r="P11" s="87"/>
      <c r="Q11" s="89" t="e">
        <f t="shared" si="5"/>
        <v>#DIV/0!</v>
      </c>
      <c r="R11" s="90">
        <f t="shared" si="48"/>
        <v>0</v>
      </c>
      <c r="S11" s="91" t="str">
        <f t="shared" si="7"/>
        <v/>
      </c>
      <c r="T11" s="67">
        <f t="shared" si="23"/>
        <v>4</v>
      </c>
      <c r="U11" s="68">
        <f t="shared" si="24"/>
        <v>59400</v>
      </c>
      <c r="V11" s="56">
        <f t="shared" si="8"/>
        <v>13500</v>
      </c>
      <c r="W11" s="68">
        <f t="shared" si="25"/>
        <v>23650</v>
      </c>
      <c r="X11" s="57">
        <f t="shared" si="9"/>
        <v>5375</v>
      </c>
      <c r="Y11" s="92">
        <f t="shared" si="26"/>
        <v>83050</v>
      </c>
      <c r="Z11" s="70">
        <f t="shared" si="10"/>
        <v>20762.5</v>
      </c>
      <c r="AA11" s="71">
        <f t="shared" si="27"/>
        <v>19</v>
      </c>
      <c r="AB11" s="68">
        <f t="shared" si="27"/>
        <v>160600</v>
      </c>
      <c r="AC11" s="68">
        <f t="shared" si="28"/>
        <v>60720</v>
      </c>
      <c r="AD11" s="72">
        <f t="shared" si="49"/>
        <v>221320</v>
      </c>
      <c r="AE11" s="68">
        <f t="shared" si="29"/>
        <v>11648.421052631578</v>
      </c>
      <c r="AF11" s="73">
        <v>83</v>
      </c>
      <c r="AG11" s="74">
        <v>85</v>
      </c>
      <c r="AH11" s="55">
        <v>116400</v>
      </c>
      <c r="AI11" s="56">
        <f t="shared" si="12"/>
        <v>1369.4117647058824</v>
      </c>
      <c r="AJ11" s="55">
        <v>13000</v>
      </c>
      <c r="AK11" s="57">
        <f t="shared" si="13"/>
        <v>152.94117647058823</v>
      </c>
      <c r="AL11" s="93">
        <f t="shared" si="30"/>
        <v>129400</v>
      </c>
      <c r="AM11" s="76">
        <f t="shared" si="14"/>
        <v>1522.3529411764705</v>
      </c>
      <c r="AN11" s="339">
        <v>0</v>
      </c>
      <c r="AO11" s="337">
        <v>0</v>
      </c>
      <c r="AP11" s="339">
        <v>0</v>
      </c>
      <c r="AQ11" s="337">
        <v>0</v>
      </c>
      <c r="AR11" s="99">
        <f t="shared" si="31"/>
        <v>19</v>
      </c>
      <c r="AS11" s="68">
        <f t="shared" si="32"/>
        <v>277000</v>
      </c>
      <c r="AT11" s="68">
        <f t="shared" si="15"/>
        <v>73720</v>
      </c>
      <c r="AU11" s="77">
        <f t="shared" si="33"/>
        <v>350720</v>
      </c>
      <c r="AV11" s="68">
        <f t="shared" si="50"/>
        <v>2200</v>
      </c>
      <c r="AW11" s="94">
        <v>19</v>
      </c>
      <c r="AX11" s="94">
        <v>160600</v>
      </c>
      <c r="AY11" s="94">
        <v>60720</v>
      </c>
      <c r="AZ11" s="95">
        <v>2200</v>
      </c>
      <c r="BA11" s="95">
        <v>0</v>
      </c>
      <c r="BB11" s="95">
        <v>0</v>
      </c>
      <c r="BC11" s="95">
        <v>0</v>
      </c>
      <c r="BD11" s="96">
        <f t="shared" si="34"/>
        <v>223520</v>
      </c>
      <c r="BE11" s="51">
        <v>7</v>
      </c>
      <c r="BF11" s="80">
        <f t="shared" si="35"/>
        <v>223520</v>
      </c>
      <c r="BG11" s="81">
        <f t="shared" si="16"/>
        <v>352920</v>
      </c>
      <c r="BO11" s="287">
        <f t="shared" si="36"/>
        <v>7</v>
      </c>
      <c r="BP11" s="54">
        <f t="shared" si="36"/>
        <v>15</v>
      </c>
      <c r="BQ11" s="68">
        <f t="shared" si="36"/>
        <v>101200</v>
      </c>
      <c r="BR11" s="56">
        <f t="shared" si="17"/>
        <v>6133.333333333333</v>
      </c>
      <c r="BS11" s="68">
        <f t="shared" si="37"/>
        <v>37070</v>
      </c>
      <c r="BT11" s="57">
        <f t="shared" si="18"/>
        <v>2246.6666666666665</v>
      </c>
      <c r="BU11" s="58">
        <f t="shared" si="38"/>
        <v>138270</v>
      </c>
      <c r="BV11" s="59">
        <f t="shared" si="19"/>
        <v>9218</v>
      </c>
      <c r="BW11" s="288">
        <f t="shared" si="39"/>
        <v>4</v>
      </c>
      <c r="BX11" s="68">
        <f t="shared" si="39"/>
        <v>59400</v>
      </c>
      <c r="BY11" s="56">
        <f t="shared" si="20"/>
        <v>13500</v>
      </c>
      <c r="BZ11" s="68">
        <f t="shared" si="40"/>
        <v>23650</v>
      </c>
      <c r="CA11" s="57">
        <f t="shared" si="21"/>
        <v>5375</v>
      </c>
      <c r="CB11" s="289">
        <f t="shared" si="41"/>
        <v>83050</v>
      </c>
      <c r="CC11" s="290" t="e">
        <v>#DIV/0!</v>
      </c>
      <c r="CD11" s="291">
        <f t="shared" si="42"/>
        <v>19</v>
      </c>
      <c r="CE11" s="68">
        <f t="shared" si="42"/>
        <v>160600</v>
      </c>
      <c r="CF11" s="57">
        <f t="shared" si="43"/>
        <v>7684.2105263157891</v>
      </c>
      <c r="CG11" s="68">
        <f t="shared" si="44"/>
        <v>60720</v>
      </c>
      <c r="CH11" s="57">
        <f t="shared" si="45"/>
        <v>2905.2631578947367</v>
      </c>
      <c r="CI11" s="292">
        <f t="shared" si="46"/>
        <v>221320</v>
      </c>
      <c r="CJ11" s="293">
        <f t="shared" si="47"/>
        <v>11648.421052631578</v>
      </c>
    </row>
    <row r="12" spans="1:88" ht="13.5" customHeight="1">
      <c r="A12" s="51"/>
      <c r="B12" s="333">
        <f t="shared" si="22"/>
        <v>45999</v>
      </c>
      <c r="C12" s="84"/>
      <c r="D12" s="53">
        <v>3</v>
      </c>
      <c r="E12" s="54">
        <v>8</v>
      </c>
      <c r="F12" s="55">
        <v>61600</v>
      </c>
      <c r="G12" s="56">
        <f t="shared" si="0"/>
        <v>7000</v>
      </c>
      <c r="H12" s="55">
        <v>14190</v>
      </c>
      <c r="I12" s="57">
        <f t="shared" si="1"/>
        <v>1612.5</v>
      </c>
      <c r="J12" s="58">
        <f t="shared" si="2"/>
        <v>75790</v>
      </c>
      <c r="K12" s="59">
        <f t="shared" si="3"/>
        <v>9473.75</v>
      </c>
      <c r="L12" s="85">
        <v>1</v>
      </c>
      <c r="M12" s="86">
        <v>2</v>
      </c>
      <c r="N12" s="87">
        <v>7700</v>
      </c>
      <c r="O12" s="88">
        <f t="shared" si="4"/>
        <v>3850</v>
      </c>
      <c r="P12" s="87">
        <v>1100</v>
      </c>
      <c r="Q12" s="89">
        <f t="shared" si="5"/>
        <v>550</v>
      </c>
      <c r="R12" s="90">
        <f t="shared" si="48"/>
        <v>8800</v>
      </c>
      <c r="S12" s="91">
        <f t="shared" si="7"/>
        <v>4400</v>
      </c>
      <c r="T12" s="67">
        <f t="shared" si="23"/>
        <v>12</v>
      </c>
      <c r="U12" s="68">
        <f t="shared" si="24"/>
        <v>199980</v>
      </c>
      <c r="V12" s="56">
        <f t="shared" si="8"/>
        <v>15150</v>
      </c>
      <c r="W12" s="68">
        <f t="shared" si="25"/>
        <v>236500</v>
      </c>
      <c r="X12" s="100">
        <f t="shared" si="9"/>
        <v>17916.666666666668</v>
      </c>
      <c r="Y12" s="92">
        <f t="shared" si="26"/>
        <v>436480</v>
      </c>
      <c r="Z12" s="70">
        <f t="shared" si="10"/>
        <v>36373.333333333336</v>
      </c>
      <c r="AA12" s="71">
        <f t="shared" si="27"/>
        <v>22</v>
      </c>
      <c r="AB12" s="68">
        <f t="shared" si="27"/>
        <v>269280</v>
      </c>
      <c r="AC12" s="68">
        <f t="shared" si="28"/>
        <v>251790</v>
      </c>
      <c r="AD12" s="72">
        <f t="shared" si="49"/>
        <v>521070</v>
      </c>
      <c r="AE12" s="68">
        <f t="shared" si="29"/>
        <v>23685</v>
      </c>
      <c r="AF12" s="73">
        <v>49</v>
      </c>
      <c r="AG12" s="74">
        <v>53</v>
      </c>
      <c r="AH12" s="55">
        <v>59400</v>
      </c>
      <c r="AI12" s="56">
        <f t="shared" si="12"/>
        <v>1120.7547169811321</v>
      </c>
      <c r="AJ12" s="55">
        <v>12000</v>
      </c>
      <c r="AK12" s="57">
        <f t="shared" si="13"/>
        <v>226.41509433962264</v>
      </c>
      <c r="AL12" s="93">
        <f t="shared" si="30"/>
        <v>71400</v>
      </c>
      <c r="AM12" s="76">
        <f t="shared" si="14"/>
        <v>1347.1698113207547</v>
      </c>
      <c r="AN12" s="339">
        <v>0</v>
      </c>
      <c r="AO12" s="337">
        <v>0</v>
      </c>
      <c r="AP12" s="339">
        <v>0</v>
      </c>
      <c r="AQ12" s="337">
        <v>0</v>
      </c>
      <c r="AR12" s="99">
        <f t="shared" si="31"/>
        <v>20</v>
      </c>
      <c r="AS12" s="68">
        <f t="shared" si="32"/>
        <v>328680</v>
      </c>
      <c r="AT12" s="68">
        <f t="shared" si="15"/>
        <v>263790</v>
      </c>
      <c r="AU12" s="77">
        <f t="shared" si="33"/>
        <v>592470</v>
      </c>
      <c r="AV12" s="68">
        <f t="shared" si="50"/>
        <v>4400</v>
      </c>
      <c r="AW12" s="94">
        <v>22</v>
      </c>
      <c r="AX12" s="94">
        <v>269280</v>
      </c>
      <c r="AY12" s="94">
        <v>251790</v>
      </c>
      <c r="AZ12" s="95">
        <v>4400</v>
      </c>
      <c r="BA12" s="95">
        <v>0</v>
      </c>
      <c r="BB12" s="95">
        <v>0</v>
      </c>
      <c r="BC12" s="95">
        <v>0</v>
      </c>
      <c r="BD12" s="96">
        <f t="shared" si="34"/>
        <v>525470</v>
      </c>
      <c r="BE12" s="51">
        <v>8</v>
      </c>
      <c r="BF12" s="80">
        <f t="shared" si="35"/>
        <v>525470</v>
      </c>
      <c r="BG12" s="81">
        <f t="shared" si="16"/>
        <v>596870</v>
      </c>
      <c r="BO12" s="287">
        <f t="shared" si="36"/>
        <v>3</v>
      </c>
      <c r="BP12" s="54">
        <f t="shared" si="36"/>
        <v>8</v>
      </c>
      <c r="BQ12" s="68">
        <f t="shared" si="36"/>
        <v>61600</v>
      </c>
      <c r="BR12" s="56">
        <f t="shared" si="17"/>
        <v>7000</v>
      </c>
      <c r="BS12" s="68">
        <f t="shared" si="37"/>
        <v>14190</v>
      </c>
      <c r="BT12" s="57">
        <f t="shared" si="18"/>
        <v>1612.5</v>
      </c>
      <c r="BU12" s="58">
        <f t="shared" si="38"/>
        <v>75790</v>
      </c>
      <c r="BV12" s="59">
        <f t="shared" si="19"/>
        <v>9473.75</v>
      </c>
      <c r="BW12" s="288">
        <f t="shared" si="39"/>
        <v>12</v>
      </c>
      <c r="BX12" s="68">
        <f t="shared" si="39"/>
        <v>199980</v>
      </c>
      <c r="BY12" s="56">
        <f t="shared" si="20"/>
        <v>15150</v>
      </c>
      <c r="BZ12" s="68">
        <f t="shared" si="40"/>
        <v>236500</v>
      </c>
      <c r="CA12" s="57">
        <f t="shared" si="21"/>
        <v>17916.666666666668</v>
      </c>
      <c r="CB12" s="289">
        <f t="shared" si="41"/>
        <v>436480</v>
      </c>
      <c r="CC12" s="290" t="e">
        <v>#DIV/0!</v>
      </c>
      <c r="CD12" s="291">
        <f t="shared" si="42"/>
        <v>20</v>
      </c>
      <c r="CE12" s="68">
        <f t="shared" si="42"/>
        <v>261580</v>
      </c>
      <c r="CF12" s="57">
        <f t="shared" si="43"/>
        <v>11890</v>
      </c>
      <c r="CG12" s="68">
        <f t="shared" si="44"/>
        <v>250690</v>
      </c>
      <c r="CH12" s="57">
        <f t="shared" si="45"/>
        <v>11395</v>
      </c>
      <c r="CI12" s="292">
        <f t="shared" si="46"/>
        <v>512270</v>
      </c>
      <c r="CJ12" s="293">
        <f t="shared" si="47"/>
        <v>25613.5</v>
      </c>
    </row>
    <row r="13" spans="1:88" ht="13.5" customHeight="1">
      <c r="A13" s="51"/>
      <c r="B13" s="333">
        <f t="shared" si="22"/>
        <v>46000</v>
      </c>
      <c r="C13" s="84"/>
      <c r="D13" s="53">
        <v>3</v>
      </c>
      <c r="E13" s="54">
        <v>6</v>
      </c>
      <c r="F13" s="55">
        <v>28600</v>
      </c>
      <c r="G13" s="56">
        <f t="shared" si="0"/>
        <v>4333.333333333333</v>
      </c>
      <c r="H13" s="55">
        <v>12320</v>
      </c>
      <c r="I13" s="57">
        <f t="shared" si="1"/>
        <v>1866.6666666666667</v>
      </c>
      <c r="J13" s="58">
        <f t="shared" si="2"/>
        <v>40920</v>
      </c>
      <c r="K13" s="59">
        <f t="shared" si="3"/>
        <v>6820</v>
      </c>
      <c r="L13" s="85">
        <v>1</v>
      </c>
      <c r="M13" s="86">
        <v>2</v>
      </c>
      <c r="N13" s="87">
        <v>7700</v>
      </c>
      <c r="O13" s="88">
        <f t="shared" si="4"/>
        <v>3850</v>
      </c>
      <c r="P13" s="87">
        <v>1100</v>
      </c>
      <c r="Q13" s="89">
        <f t="shared" si="5"/>
        <v>550</v>
      </c>
      <c r="R13" s="90">
        <f t="shared" si="48"/>
        <v>8800</v>
      </c>
      <c r="S13" s="91">
        <f t="shared" si="7"/>
        <v>4400</v>
      </c>
      <c r="T13" s="67">
        <f t="shared" si="23"/>
        <v>14</v>
      </c>
      <c r="U13" s="68">
        <f t="shared" si="24"/>
        <v>178200</v>
      </c>
      <c r="V13" s="56">
        <f t="shared" si="8"/>
        <v>11571.428571428571</v>
      </c>
      <c r="W13" s="68">
        <f t="shared" si="25"/>
        <v>75130</v>
      </c>
      <c r="X13" s="57">
        <f t="shared" si="9"/>
        <v>4878.5714285714284</v>
      </c>
      <c r="Y13" s="92">
        <f t="shared" si="26"/>
        <v>253330</v>
      </c>
      <c r="Z13" s="70">
        <f t="shared" si="10"/>
        <v>18095</v>
      </c>
      <c r="AA13" s="71">
        <f t="shared" si="27"/>
        <v>22</v>
      </c>
      <c r="AB13" s="68">
        <f t="shared" si="27"/>
        <v>214500</v>
      </c>
      <c r="AC13" s="68">
        <f t="shared" si="28"/>
        <v>88550</v>
      </c>
      <c r="AD13" s="72">
        <f t="shared" si="49"/>
        <v>303050</v>
      </c>
      <c r="AE13" s="68">
        <f t="shared" si="29"/>
        <v>13775</v>
      </c>
      <c r="AF13" s="73">
        <v>61</v>
      </c>
      <c r="AG13" s="74">
        <v>61</v>
      </c>
      <c r="AH13" s="55">
        <v>71900</v>
      </c>
      <c r="AI13" s="56">
        <f t="shared" si="12"/>
        <v>1178.688524590164</v>
      </c>
      <c r="AJ13" s="55">
        <v>13900</v>
      </c>
      <c r="AK13" s="57">
        <f t="shared" si="13"/>
        <v>227.86885245901638</v>
      </c>
      <c r="AL13" s="93">
        <f t="shared" si="30"/>
        <v>85800</v>
      </c>
      <c r="AM13" s="76">
        <f t="shared" si="14"/>
        <v>1406.5573770491803</v>
      </c>
      <c r="AN13" s="339">
        <v>1</v>
      </c>
      <c r="AO13" s="340">
        <v>1</v>
      </c>
      <c r="AP13" s="339">
        <v>0</v>
      </c>
      <c r="AQ13" s="340">
        <v>0</v>
      </c>
      <c r="AR13" s="99">
        <f t="shared" si="31"/>
        <v>20</v>
      </c>
      <c r="AS13" s="68">
        <f t="shared" si="32"/>
        <v>286400</v>
      </c>
      <c r="AT13" s="68">
        <f t="shared" si="15"/>
        <v>102450</v>
      </c>
      <c r="AU13" s="77">
        <f t="shared" si="33"/>
        <v>388850</v>
      </c>
      <c r="AV13" s="68">
        <f t="shared" si="50"/>
        <v>0</v>
      </c>
      <c r="AW13" s="94">
        <v>22</v>
      </c>
      <c r="AX13" s="94">
        <v>214500</v>
      </c>
      <c r="AY13" s="94">
        <v>88550</v>
      </c>
      <c r="AZ13" s="95">
        <v>0</v>
      </c>
      <c r="BA13" s="95">
        <v>0</v>
      </c>
      <c r="BB13" s="95">
        <v>0</v>
      </c>
      <c r="BC13" s="95">
        <v>0</v>
      </c>
      <c r="BD13" s="96">
        <f t="shared" si="34"/>
        <v>303050</v>
      </c>
      <c r="BE13" s="51">
        <v>9</v>
      </c>
      <c r="BF13" s="80">
        <f t="shared" si="35"/>
        <v>303050</v>
      </c>
      <c r="BG13" s="81">
        <f t="shared" si="16"/>
        <v>388850</v>
      </c>
      <c r="BO13" s="287">
        <f t="shared" si="36"/>
        <v>3</v>
      </c>
      <c r="BP13" s="54">
        <f t="shared" si="36"/>
        <v>6</v>
      </c>
      <c r="BQ13" s="68">
        <f t="shared" si="36"/>
        <v>28600</v>
      </c>
      <c r="BR13" s="56">
        <f t="shared" si="17"/>
        <v>4333.333333333333</v>
      </c>
      <c r="BS13" s="68">
        <f t="shared" si="37"/>
        <v>12320</v>
      </c>
      <c r="BT13" s="57">
        <f t="shared" si="18"/>
        <v>1866.6666666666667</v>
      </c>
      <c r="BU13" s="58">
        <f t="shared" si="38"/>
        <v>40920</v>
      </c>
      <c r="BV13" s="59">
        <f t="shared" si="19"/>
        <v>6820</v>
      </c>
      <c r="BW13" s="288">
        <f t="shared" si="39"/>
        <v>14</v>
      </c>
      <c r="BX13" s="68">
        <f t="shared" si="39"/>
        <v>178200</v>
      </c>
      <c r="BY13" s="56">
        <f t="shared" si="20"/>
        <v>11571.428571428571</v>
      </c>
      <c r="BZ13" s="68">
        <f t="shared" si="40"/>
        <v>75130</v>
      </c>
      <c r="CA13" s="57">
        <f t="shared" si="21"/>
        <v>4878.5714285714284</v>
      </c>
      <c r="CB13" s="289">
        <f t="shared" si="41"/>
        <v>253330</v>
      </c>
      <c r="CC13" s="290" t="e">
        <v>#DIV/0!</v>
      </c>
      <c r="CD13" s="291">
        <f t="shared" si="42"/>
        <v>20</v>
      </c>
      <c r="CE13" s="68">
        <f t="shared" si="42"/>
        <v>206800</v>
      </c>
      <c r="CF13" s="57">
        <f t="shared" si="43"/>
        <v>9400</v>
      </c>
      <c r="CG13" s="68">
        <f t="shared" si="44"/>
        <v>87450</v>
      </c>
      <c r="CH13" s="57">
        <f t="shared" si="45"/>
        <v>3975</v>
      </c>
      <c r="CI13" s="292">
        <f t="shared" si="46"/>
        <v>294250</v>
      </c>
      <c r="CJ13" s="293">
        <f t="shared" si="47"/>
        <v>14712.5</v>
      </c>
    </row>
    <row r="14" spans="1:88" ht="13.5" customHeight="1">
      <c r="A14" s="51"/>
      <c r="B14" s="333">
        <f t="shared" si="22"/>
        <v>46001</v>
      </c>
      <c r="C14" s="84"/>
      <c r="D14" s="53">
        <v>2</v>
      </c>
      <c r="E14" s="54">
        <v>5</v>
      </c>
      <c r="F14" s="55">
        <v>35200</v>
      </c>
      <c r="G14" s="56">
        <f t="shared" si="0"/>
        <v>6400</v>
      </c>
      <c r="H14" s="55">
        <v>6930</v>
      </c>
      <c r="I14" s="57">
        <f t="shared" si="1"/>
        <v>1260</v>
      </c>
      <c r="J14" s="58">
        <f t="shared" si="2"/>
        <v>42130</v>
      </c>
      <c r="K14" s="59">
        <f t="shared" si="3"/>
        <v>8426</v>
      </c>
      <c r="L14" s="85"/>
      <c r="M14" s="86"/>
      <c r="N14" s="87"/>
      <c r="O14" s="88" t="e">
        <f t="shared" si="4"/>
        <v>#DIV/0!</v>
      </c>
      <c r="P14" s="87"/>
      <c r="Q14" s="89" t="e">
        <f t="shared" si="5"/>
        <v>#DIV/0!</v>
      </c>
      <c r="R14" s="90">
        <f t="shared" si="48"/>
        <v>0</v>
      </c>
      <c r="S14" s="91" t="str">
        <f t="shared" si="7"/>
        <v/>
      </c>
      <c r="T14" s="67">
        <f t="shared" si="23"/>
        <v>4</v>
      </c>
      <c r="U14" s="68">
        <f t="shared" si="24"/>
        <v>66000</v>
      </c>
      <c r="V14" s="56">
        <f t="shared" si="8"/>
        <v>15000</v>
      </c>
      <c r="W14" s="68">
        <f t="shared" si="25"/>
        <v>18480</v>
      </c>
      <c r="X14" s="57">
        <f t="shared" si="9"/>
        <v>4200</v>
      </c>
      <c r="Y14" s="92">
        <f t="shared" si="26"/>
        <v>84480</v>
      </c>
      <c r="Z14" s="70">
        <f t="shared" si="10"/>
        <v>21120</v>
      </c>
      <c r="AA14" s="71">
        <f t="shared" si="27"/>
        <v>9</v>
      </c>
      <c r="AB14" s="68">
        <f t="shared" si="27"/>
        <v>101200</v>
      </c>
      <c r="AC14" s="68">
        <f t="shared" si="28"/>
        <v>25410</v>
      </c>
      <c r="AD14" s="72">
        <f t="shared" si="49"/>
        <v>126610</v>
      </c>
      <c r="AE14" s="68">
        <f t="shared" si="29"/>
        <v>14067.777777777777</v>
      </c>
      <c r="AF14" s="73">
        <v>81</v>
      </c>
      <c r="AG14" s="74">
        <v>82</v>
      </c>
      <c r="AH14" s="55">
        <v>85250</v>
      </c>
      <c r="AI14" s="56">
        <f t="shared" si="12"/>
        <v>1039.6341463414635</v>
      </c>
      <c r="AJ14" s="55">
        <v>17000</v>
      </c>
      <c r="AK14" s="57">
        <f t="shared" si="13"/>
        <v>207.3170731707317</v>
      </c>
      <c r="AL14" s="93">
        <f t="shared" si="30"/>
        <v>102250</v>
      </c>
      <c r="AM14" s="76">
        <f t="shared" si="14"/>
        <v>1246.9512195121952</v>
      </c>
      <c r="AN14" s="339">
        <v>2</v>
      </c>
      <c r="AO14" s="340">
        <v>2</v>
      </c>
      <c r="AP14" s="339">
        <v>1</v>
      </c>
      <c r="AQ14" s="340">
        <v>1</v>
      </c>
      <c r="AR14" s="99">
        <f t="shared" si="31"/>
        <v>9</v>
      </c>
      <c r="AS14" s="68">
        <f t="shared" si="32"/>
        <v>186450</v>
      </c>
      <c r="AT14" s="68">
        <f t="shared" si="15"/>
        <v>42410</v>
      </c>
      <c r="AU14" s="98">
        <f t="shared" si="33"/>
        <v>228860</v>
      </c>
      <c r="AV14" s="68">
        <f t="shared" si="50"/>
        <v>0</v>
      </c>
      <c r="AW14" s="94">
        <v>9</v>
      </c>
      <c r="AX14" s="94">
        <v>101200</v>
      </c>
      <c r="AY14" s="94">
        <v>25410</v>
      </c>
      <c r="AZ14" s="95">
        <v>0</v>
      </c>
      <c r="BA14" s="95">
        <v>0</v>
      </c>
      <c r="BB14" s="95">
        <v>0</v>
      </c>
      <c r="BC14" s="95">
        <v>0</v>
      </c>
      <c r="BD14" s="96">
        <f t="shared" si="34"/>
        <v>126610</v>
      </c>
      <c r="BE14" s="51">
        <v>10</v>
      </c>
      <c r="BF14" s="80">
        <f t="shared" si="35"/>
        <v>126610</v>
      </c>
      <c r="BG14" s="81">
        <f t="shared" si="16"/>
        <v>228860</v>
      </c>
      <c r="BO14" s="287">
        <f t="shared" si="36"/>
        <v>2</v>
      </c>
      <c r="BP14" s="54">
        <f t="shared" si="36"/>
        <v>5</v>
      </c>
      <c r="BQ14" s="68">
        <f t="shared" si="36"/>
        <v>35200</v>
      </c>
      <c r="BR14" s="56">
        <f t="shared" si="17"/>
        <v>6400</v>
      </c>
      <c r="BS14" s="68">
        <f t="shared" si="37"/>
        <v>6930</v>
      </c>
      <c r="BT14" s="57">
        <f t="shared" si="18"/>
        <v>1260</v>
      </c>
      <c r="BU14" s="58">
        <f t="shared" si="38"/>
        <v>42130</v>
      </c>
      <c r="BV14" s="59">
        <f t="shared" si="19"/>
        <v>8426</v>
      </c>
      <c r="BW14" s="288">
        <f t="shared" si="39"/>
        <v>4</v>
      </c>
      <c r="BX14" s="68">
        <f t="shared" si="39"/>
        <v>66000</v>
      </c>
      <c r="BY14" s="56">
        <f t="shared" si="20"/>
        <v>15000</v>
      </c>
      <c r="BZ14" s="68">
        <f t="shared" si="40"/>
        <v>18480</v>
      </c>
      <c r="CA14" s="57">
        <f t="shared" si="21"/>
        <v>4200</v>
      </c>
      <c r="CB14" s="289">
        <f t="shared" si="41"/>
        <v>84480</v>
      </c>
      <c r="CC14" s="290" t="e">
        <v>#DIV/0!</v>
      </c>
      <c r="CD14" s="291">
        <f t="shared" si="42"/>
        <v>9</v>
      </c>
      <c r="CE14" s="68">
        <f t="shared" si="42"/>
        <v>101200</v>
      </c>
      <c r="CF14" s="57">
        <f t="shared" si="43"/>
        <v>10222.222222222223</v>
      </c>
      <c r="CG14" s="68">
        <f t="shared" si="44"/>
        <v>25410</v>
      </c>
      <c r="CH14" s="57">
        <f t="shared" si="45"/>
        <v>2566.6666666666665</v>
      </c>
      <c r="CI14" s="292">
        <f t="shared" si="46"/>
        <v>126610</v>
      </c>
      <c r="CJ14" s="293">
        <f t="shared" si="47"/>
        <v>14067.777777777777</v>
      </c>
    </row>
    <row r="15" spans="1:88" ht="13.5" customHeight="1">
      <c r="A15" s="51"/>
      <c r="B15" s="333">
        <f>B14+1</f>
        <v>46002</v>
      </c>
      <c r="C15" s="84"/>
      <c r="D15" s="53">
        <v>1</v>
      </c>
      <c r="E15" s="54">
        <v>3</v>
      </c>
      <c r="F15" s="55">
        <v>20900</v>
      </c>
      <c r="G15" s="56">
        <f t="shared" si="0"/>
        <v>6333.333333333333</v>
      </c>
      <c r="H15" s="55">
        <v>7260</v>
      </c>
      <c r="I15" s="57">
        <f t="shared" si="1"/>
        <v>2200</v>
      </c>
      <c r="J15" s="58">
        <f t="shared" si="2"/>
        <v>28160</v>
      </c>
      <c r="K15" s="59">
        <f t="shared" si="3"/>
        <v>9386.6666666666661</v>
      </c>
      <c r="L15" s="85"/>
      <c r="M15" s="86"/>
      <c r="N15" s="87"/>
      <c r="O15" s="88" t="e">
        <f t="shared" si="4"/>
        <v>#DIV/0!</v>
      </c>
      <c r="P15" s="87"/>
      <c r="Q15" s="89" t="e">
        <f t="shared" si="5"/>
        <v>#DIV/0!</v>
      </c>
      <c r="R15" s="90">
        <f t="shared" si="48"/>
        <v>0</v>
      </c>
      <c r="S15" s="91" t="str">
        <f t="shared" si="7"/>
        <v/>
      </c>
      <c r="T15" s="67">
        <f t="shared" si="23"/>
        <v>2</v>
      </c>
      <c r="U15" s="68">
        <f t="shared" si="24"/>
        <v>33000</v>
      </c>
      <c r="V15" s="56">
        <f t="shared" si="8"/>
        <v>15000</v>
      </c>
      <c r="W15" s="68">
        <f t="shared" si="25"/>
        <v>4950</v>
      </c>
      <c r="X15" s="57">
        <f t="shared" si="9"/>
        <v>2250</v>
      </c>
      <c r="Y15" s="92">
        <f t="shared" si="26"/>
        <v>37950</v>
      </c>
      <c r="Z15" s="70">
        <f t="shared" si="10"/>
        <v>18975</v>
      </c>
      <c r="AA15" s="71">
        <f t="shared" si="27"/>
        <v>5</v>
      </c>
      <c r="AB15" s="68">
        <f t="shared" si="27"/>
        <v>53900</v>
      </c>
      <c r="AC15" s="68">
        <f t="shared" si="28"/>
        <v>12210</v>
      </c>
      <c r="AD15" s="72">
        <f t="shared" si="49"/>
        <v>66110</v>
      </c>
      <c r="AE15" s="68">
        <f t="shared" si="29"/>
        <v>13222</v>
      </c>
      <c r="AF15" s="73">
        <v>52</v>
      </c>
      <c r="AG15" s="74">
        <v>56</v>
      </c>
      <c r="AH15" s="55">
        <v>73100</v>
      </c>
      <c r="AI15" s="56">
        <f t="shared" si="12"/>
        <v>1305.3571428571429</v>
      </c>
      <c r="AJ15" s="55">
        <v>8400</v>
      </c>
      <c r="AK15" s="57">
        <f t="shared" si="13"/>
        <v>150</v>
      </c>
      <c r="AL15" s="93">
        <f t="shared" si="30"/>
        <v>81500</v>
      </c>
      <c r="AM15" s="76">
        <f t="shared" si="14"/>
        <v>1455.3571428571429</v>
      </c>
      <c r="AN15" s="339">
        <v>0</v>
      </c>
      <c r="AO15" s="340">
        <v>0</v>
      </c>
      <c r="AP15" s="339">
        <v>0</v>
      </c>
      <c r="AQ15" s="340">
        <v>0</v>
      </c>
      <c r="AR15" s="99">
        <f t="shared" si="31"/>
        <v>5</v>
      </c>
      <c r="AS15" s="68">
        <f t="shared" si="32"/>
        <v>127000</v>
      </c>
      <c r="AT15" s="68">
        <f t="shared" si="15"/>
        <v>20610</v>
      </c>
      <c r="AU15" s="77">
        <f t="shared" si="33"/>
        <v>147610</v>
      </c>
      <c r="AV15" s="68">
        <f t="shared" si="50"/>
        <v>0</v>
      </c>
      <c r="AW15" s="94">
        <v>5</v>
      </c>
      <c r="AX15" s="94">
        <v>53900</v>
      </c>
      <c r="AY15" s="94">
        <v>12210</v>
      </c>
      <c r="AZ15" s="95">
        <v>0</v>
      </c>
      <c r="BA15" s="95">
        <v>0</v>
      </c>
      <c r="BB15" s="95">
        <v>0</v>
      </c>
      <c r="BC15" s="95">
        <v>0</v>
      </c>
      <c r="BD15" s="96">
        <f t="shared" si="34"/>
        <v>66110</v>
      </c>
      <c r="BE15" s="51">
        <v>11</v>
      </c>
      <c r="BF15" s="80">
        <f t="shared" si="35"/>
        <v>66110</v>
      </c>
      <c r="BG15" s="81">
        <f t="shared" si="16"/>
        <v>147610</v>
      </c>
      <c r="BO15" s="287">
        <f t="shared" si="36"/>
        <v>1</v>
      </c>
      <c r="BP15" s="54">
        <f t="shared" si="36"/>
        <v>3</v>
      </c>
      <c r="BQ15" s="68">
        <f t="shared" si="36"/>
        <v>20900</v>
      </c>
      <c r="BR15" s="56">
        <f t="shared" si="17"/>
        <v>6333.333333333333</v>
      </c>
      <c r="BS15" s="68">
        <f t="shared" si="37"/>
        <v>7260</v>
      </c>
      <c r="BT15" s="57">
        <f t="shared" si="18"/>
        <v>2200</v>
      </c>
      <c r="BU15" s="58">
        <f t="shared" si="38"/>
        <v>28160</v>
      </c>
      <c r="BV15" s="59">
        <f t="shared" si="19"/>
        <v>9386.6666666666661</v>
      </c>
      <c r="BW15" s="288">
        <f t="shared" si="39"/>
        <v>2</v>
      </c>
      <c r="BX15" s="68">
        <f t="shared" si="39"/>
        <v>33000</v>
      </c>
      <c r="BY15" s="56">
        <f t="shared" si="20"/>
        <v>15000</v>
      </c>
      <c r="BZ15" s="68">
        <f t="shared" si="40"/>
        <v>4950</v>
      </c>
      <c r="CA15" s="57">
        <f t="shared" si="21"/>
        <v>2250</v>
      </c>
      <c r="CB15" s="289">
        <f t="shared" si="41"/>
        <v>37950</v>
      </c>
      <c r="CC15" s="290" t="e">
        <v>#DIV/0!</v>
      </c>
      <c r="CD15" s="291">
        <f t="shared" si="42"/>
        <v>5</v>
      </c>
      <c r="CE15" s="68">
        <f t="shared" si="42"/>
        <v>53900</v>
      </c>
      <c r="CF15" s="57">
        <f t="shared" si="43"/>
        <v>9800</v>
      </c>
      <c r="CG15" s="68">
        <f t="shared" si="44"/>
        <v>12210</v>
      </c>
      <c r="CH15" s="57">
        <f t="shared" si="45"/>
        <v>2220</v>
      </c>
      <c r="CI15" s="292">
        <f t="shared" si="46"/>
        <v>66110</v>
      </c>
      <c r="CJ15" s="293">
        <f t="shared" si="47"/>
        <v>13222</v>
      </c>
    </row>
    <row r="16" spans="1:88" ht="13.5" customHeight="1">
      <c r="A16" s="51"/>
      <c r="B16" s="333">
        <f t="shared" si="22"/>
        <v>46003</v>
      </c>
      <c r="C16" s="84"/>
      <c r="D16" s="53">
        <v>6</v>
      </c>
      <c r="E16" s="54">
        <v>12</v>
      </c>
      <c r="F16" s="55">
        <v>73700</v>
      </c>
      <c r="G16" s="56">
        <f t="shared" si="0"/>
        <v>5583.333333333333</v>
      </c>
      <c r="H16" s="55">
        <v>13310</v>
      </c>
      <c r="I16" s="57">
        <f t="shared" si="1"/>
        <v>1008.3333333333334</v>
      </c>
      <c r="J16" s="58">
        <f t="shared" si="2"/>
        <v>87010</v>
      </c>
      <c r="K16" s="59">
        <f t="shared" si="3"/>
        <v>7250.833333333333</v>
      </c>
      <c r="L16" s="85"/>
      <c r="M16" s="86"/>
      <c r="N16" s="87"/>
      <c r="O16" s="88" t="e">
        <f t="shared" si="4"/>
        <v>#DIV/0!</v>
      </c>
      <c r="P16" s="87"/>
      <c r="Q16" s="89" t="e">
        <f t="shared" si="5"/>
        <v>#DIV/0!</v>
      </c>
      <c r="R16" s="90">
        <f t="shared" si="48"/>
        <v>0</v>
      </c>
      <c r="S16" s="91" t="str">
        <f t="shared" si="7"/>
        <v/>
      </c>
      <c r="T16" s="67">
        <f t="shared" si="23"/>
        <v>17</v>
      </c>
      <c r="U16" s="68">
        <f t="shared" si="24"/>
        <v>202400</v>
      </c>
      <c r="V16" s="56">
        <f t="shared" si="8"/>
        <v>10823.529411764706</v>
      </c>
      <c r="W16" s="68">
        <f t="shared" si="25"/>
        <v>143440</v>
      </c>
      <c r="X16" s="57">
        <f t="shared" si="9"/>
        <v>7670.588235294118</v>
      </c>
      <c r="Y16" s="92">
        <f t="shared" si="26"/>
        <v>345840</v>
      </c>
      <c r="Z16" s="70">
        <f t="shared" si="10"/>
        <v>20343.529411764706</v>
      </c>
      <c r="AA16" s="71">
        <f t="shared" si="27"/>
        <v>29</v>
      </c>
      <c r="AB16" s="68">
        <f t="shared" si="27"/>
        <v>276100</v>
      </c>
      <c r="AC16" s="68">
        <f t="shared" si="28"/>
        <v>156750</v>
      </c>
      <c r="AD16" s="72">
        <f t="shared" si="49"/>
        <v>432850</v>
      </c>
      <c r="AE16" s="68">
        <f t="shared" si="29"/>
        <v>14925.862068965518</v>
      </c>
      <c r="AF16" s="73">
        <v>155</v>
      </c>
      <c r="AG16" s="74">
        <v>161</v>
      </c>
      <c r="AH16" s="55">
        <v>117910</v>
      </c>
      <c r="AI16" s="56">
        <f t="shared" si="12"/>
        <v>732.36024844720498</v>
      </c>
      <c r="AJ16" s="55">
        <v>43600</v>
      </c>
      <c r="AK16" s="57">
        <f t="shared" si="13"/>
        <v>270.80745341614909</v>
      </c>
      <c r="AL16" s="93">
        <f t="shared" si="30"/>
        <v>161510</v>
      </c>
      <c r="AM16" s="76">
        <f t="shared" si="14"/>
        <v>1003.1677018633541</v>
      </c>
      <c r="AN16" s="339">
        <v>0</v>
      </c>
      <c r="AO16" s="340">
        <v>0</v>
      </c>
      <c r="AP16" s="339">
        <v>1</v>
      </c>
      <c r="AQ16" s="340">
        <v>1</v>
      </c>
      <c r="AR16" s="99">
        <f t="shared" si="31"/>
        <v>29</v>
      </c>
      <c r="AS16" s="68">
        <f t="shared" si="32"/>
        <v>394010</v>
      </c>
      <c r="AT16" s="68">
        <f t="shared" si="15"/>
        <v>200350</v>
      </c>
      <c r="AU16" s="77">
        <f t="shared" si="33"/>
        <v>594360</v>
      </c>
      <c r="AV16" s="68">
        <f t="shared" si="50"/>
        <v>4400</v>
      </c>
      <c r="AW16" s="94">
        <v>29</v>
      </c>
      <c r="AX16" s="94">
        <v>276100</v>
      </c>
      <c r="AY16" s="94">
        <v>156750</v>
      </c>
      <c r="AZ16" s="95">
        <v>4400</v>
      </c>
      <c r="BA16" s="95">
        <v>0</v>
      </c>
      <c r="BB16" s="95">
        <v>0</v>
      </c>
      <c r="BC16" s="95">
        <v>0</v>
      </c>
      <c r="BD16" s="96">
        <f t="shared" si="34"/>
        <v>437250</v>
      </c>
      <c r="BE16" s="51">
        <v>12</v>
      </c>
      <c r="BF16" s="80">
        <f t="shared" si="35"/>
        <v>437250</v>
      </c>
      <c r="BG16" s="81">
        <f t="shared" si="16"/>
        <v>598760</v>
      </c>
      <c r="BO16" s="287">
        <f t="shared" si="36"/>
        <v>6</v>
      </c>
      <c r="BP16" s="54">
        <f t="shared" si="36"/>
        <v>12</v>
      </c>
      <c r="BQ16" s="68">
        <f t="shared" si="36"/>
        <v>73700</v>
      </c>
      <c r="BR16" s="56">
        <f t="shared" si="17"/>
        <v>5583.333333333333</v>
      </c>
      <c r="BS16" s="68">
        <f t="shared" si="37"/>
        <v>13310</v>
      </c>
      <c r="BT16" s="57">
        <f t="shared" si="18"/>
        <v>1008.3333333333334</v>
      </c>
      <c r="BU16" s="58">
        <f t="shared" si="38"/>
        <v>87010</v>
      </c>
      <c r="BV16" s="59">
        <f t="shared" si="19"/>
        <v>7250.833333333333</v>
      </c>
      <c r="BW16" s="288">
        <f t="shared" si="39"/>
        <v>17</v>
      </c>
      <c r="BX16" s="68">
        <f t="shared" si="39"/>
        <v>202400</v>
      </c>
      <c r="BY16" s="56">
        <f t="shared" si="20"/>
        <v>10823.529411764706</v>
      </c>
      <c r="BZ16" s="68">
        <f t="shared" si="40"/>
        <v>143440</v>
      </c>
      <c r="CA16" s="57">
        <f t="shared" si="21"/>
        <v>7670.588235294118</v>
      </c>
      <c r="CB16" s="289">
        <f t="shared" si="41"/>
        <v>345840</v>
      </c>
      <c r="CC16" s="290" t="e">
        <v>#DIV/0!</v>
      </c>
      <c r="CD16" s="291">
        <f t="shared" si="42"/>
        <v>29</v>
      </c>
      <c r="CE16" s="68">
        <f t="shared" si="42"/>
        <v>276100</v>
      </c>
      <c r="CF16" s="57">
        <f t="shared" si="43"/>
        <v>8655.1724137931033</v>
      </c>
      <c r="CG16" s="68">
        <f t="shared" si="44"/>
        <v>156750</v>
      </c>
      <c r="CH16" s="57">
        <f t="shared" si="45"/>
        <v>4913.7931034482763</v>
      </c>
      <c r="CI16" s="292">
        <f t="shared" si="46"/>
        <v>432850</v>
      </c>
      <c r="CJ16" s="293">
        <f t="shared" si="47"/>
        <v>14925.862068965518</v>
      </c>
    </row>
    <row r="17" spans="1:88" ht="13.5" customHeight="1">
      <c r="A17" s="51"/>
      <c r="B17" s="338">
        <f t="shared" si="22"/>
        <v>46004</v>
      </c>
      <c r="C17" s="84"/>
      <c r="D17" s="53">
        <v>7</v>
      </c>
      <c r="E17" s="54">
        <v>15</v>
      </c>
      <c r="F17" s="55">
        <v>95150</v>
      </c>
      <c r="G17" s="56">
        <f t="shared" si="0"/>
        <v>5766.666666666667</v>
      </c>
      <c r="H17" s="55">
        <v>17600</v>
      </c>
      <c r="I17" s="57">
        <f t="shared" si="1"/>
        <v>1066.6666666666667</v>
      </c>
      <c r="J17" s="58">
        <f t="shared" si="2"/>
        <v>112750</v>
      </c>
      <c r="K17" s="59">
        <f t="shared" si="3"/>
        <v>7516.666666666667</v>
      </c>
      <c r="L17" s="85">
        <v>2</v>
      </c>
      <c r="M17" s="86">
        <v>4</v>
      </c>
      <c r="N17" s="87">
        <v>15400</v>
      </c>
      <c r="O17" s="88">
        <f t="shared" si="4"/>
        <v>3850</v>
      </c>
      <c r="P17" s="62">
        <v>4400</v>
      </c>
      <c r="Q17" s="89">
        <f t="shared" si="5"/>
        <v>1100</v>
      </c>
      <c r="R17" s="90">
        <f t="shared" si="48"/>
        <v>19800</v>
      </c>
      <c r="S17" s="91">
        <f t="shared" si="7"/>
        <v>4950</v>
      </c>
      <c r="T17" s="67">
        <f t="shared" si="23"/>
        <v>18</v>
      </c>
      <c r="U17" s="68">
        <f t="shared" si="24"/>
        <v>338580</v>
      </c>
      <c r="V17" s="56">
        <f t="shared" si="8"/>
        <v>17100</v>
      </c>
      <c r="W17" s="68">
        <f t="shared" si="25"/>
        <v>99990</v>
      </c>
      <c r="X17" s="57">
        <f t="shared" si="9"/>
        <v>5050</v>
      </c>
      <c r="Y17" s="92">
        <f t="shared" si="26"/>
        <v>438570</v>
      </c>
      <c r="Z17" s="70">
        <f t="shared" si="10"/>
        <v>24365</v>
      </c>
      <c r="AA17" s="71">
        <f t="shared" si="27"/>
        <v>37</v>
      </c>
      <c r="AB17" s="68">
        <f t="shared" si="27"/>
        <v>449130</v>
      </c>
      <c r="AC17" s="68">
        <f t="shared" si="28"/>
        <v>121990</v>
      </c>
      <c r="AD17" s="72">
        <f t="shared" si="49"/>
        <v>571120</v>
      </c>
      <c r="AE17" s="68">
        <f t="shared" si="29"/>
        <v>15435.675675675675</v>
      </c>
      <c r="AF17" s="73">
        <v>124</v>
      </c>
      <c r="AG17" s="74">
        <v>133</v>
      </c>
      <c r="AH17" s="55">
        <v>141360</v>
      </c>
      <c r="AI17" s="56">
        <f t="shared" si="12"/>
        <v>1062.8571428571429</v>
      </c>
      <c r="AJ17" s="55">
        <v>29100</v>
      </c>
      <c r="AK17" s="57">
        <f t="shared" si="13"/>
        <v>218.79699248120301</v>
      </c>
      <c r="AL17" s="93">
        <f t="shared" si="30"/>
        <v>170460</v>
      </c>
      <c r="AM17" s="76">
        <f t="shared" si="14"/>
        <v>1281.6541353383459</v>
      </c>
      <c r="AN17" s="339">
        <v>0</v>
      </c>
      <c r="AO17" s="340">
        <v>0</v>
      </c>
      <c r="AP17" s="339">
        <v>0</v>
      </c>
      <c r="AQ17" s="340">
        <v>0</v>
      </c>
      <c r="AR17" s="99">
        <f t="shared" si="31"/>
        <v>33</v>
      </c>
      <c r="AS17" s="68">
        <f t="shared" si="32"/>
        <v>590490</v>
      </c>
      <c r="AT17" s="68">
        <f t="shared" si="15"/>
        <v>151090</v>
      </c>
      <c r="AU17" s="77">
        <f t="shared" si="33"/>
        <v>741580</v>
      </c>
      <c r="AV17" s="68">
        <f t="shared" si="50"/>
        <v>4400</v>
      </c>
      <c r="AW17" s="94">
        <v>37</v>
      </c>
      <c r="AX17" s="94">
        <v>449130</v>
      </c>
      <c r="AY17" s="94">
        <v>121990</v>
      </c>
      <c r="AZ17" s="95">
        <v>4400</v>
      </c>
      <c r="BA17" s="95">
        <v>0</v>
      </c>
      <c r="BB17" s="95">
        <v>0</v>
      </c>
      <c r="BC17" s="95">
        <v>0</v>
      </c>
      <c r="BD17" s="96">
        <f t="shared" si="34"/>
        <v>575520</v>
      </c>
      <c r="BE17" s="51">
        <v>13</v>
      </c>
      <c r="BF17" s="80">
        <f t="shared" si="35"/>
        <v>575520</v>
      </c>
      <c r="BG17" s="81">
        <f t="shared" si="16"/>
        <v>745980</v>
      </c>
      <c r="BO17" s="287">
        <f t="shared" si="36"/>
        <v>7</v>
      </c>
      <c r="BP17" s="54">
        <f t="shared" si="36"/>
        <v>15</v>
      </c>
      <c r="BQ17" s="68">
        <f t="shared" si="36"/>
        <v>95150</v>
      </c>
      <c r="BR17" s="56">
        <f t="shared" si="17"/>
        <v>5766.666666666667</v>
      </c>
      <c r="BS17" s="68">
        <f t="shared" si="37"/>
        <v>17600</v>
      </c>
      <c r="BT17" s="57">
        <f t="shared" si="18"/>
        <v>1066.6666666666667</v>
      </c>
      <c r="BU17" s="58">
        <f t="shared" si="38"/>
        <v>112750</v>
      </c>
      <c r="BV17" s="59">
        <f t="shared" si="19"/>
        <v>7516.666666666667</v>
      </c>
      <c r="BW17" s="288">
        <f t="shared" si="39"/>
        <v>18</v>
      </c>
      <c r="BX17" s="68">
        <f t="shared" si="39"/>
        <v>338580</v>
      </c>
      <c r="BY17" s="56">
        <f t="shared" si="20"/>
        <v>17100</v>
      </c>
      <c r="BZ17" s="68">
        <f t="shared" si="40"/>
        <v>99990</v>
      </c>
      <c r="CA17" s="57">
        <f t="shared" si="21"/>
        <v>5050</v>
      </c>
      <c r="CB17" s="289">
        <f t="shared" si="41"/>
        <v>438570</v>
      </c>
      <c r="CC17" s="290" t="e">
        <v>#DIV/0!</v>
      </c>
      <c r="CD17" s="291">
        <f t="shared" si="42"/>
        <v>33</v>
      </c>
      <c r="CE17" s="68">
        <f t="shared" si="42"/>
        <v>433730</v>
      </c>
      <c r="CF17" s="57">
        <f t="shared" si="43"/>
        <v>11948.484848484848</v>
      </c>
      <c r="CG17" s="68">
        <f t="shared" si="44"/>
        <v>117590</v>
      </c>
      <c r="CH17" s="57">
        <f t="shared" si="45"/>
        <v>3239.3939393939395</v>
      </c>
      <c r="CI17" s="292">
        <f t="shared" si="46"/>
        <v>551320</v>
      </c>
      <c r="CJ17" s="293">
        <f t="shared" si="47"/>
        <v>16706.666666666668</v>
      </c>
    </row>
    <row r="18" spans="1:88" ht="13.5" customHeight="1">
      <c r="A18" s="51"/>
      <c r="B18" s="97">
        <f t="shared" si="22"/>
        <v>46005</v>
      </c>
      <c r="C18" s="84"/>
      <c r="D18" s="53">
        <v>7</v>
      </c>
      <c r="E18" s="54">
        <v>17</v>
      </c>
      <c r="F18" s="55">
        <v>108900</v>
      </c>
      <c r="G18" s="56">
        <f t="shared" si="0"/>
        <v>5823.5294117647063</v>
      </c>
      <c r="H18" s="55">
        <v>45650</v>
      </c>
      <c r="I18" s="57">
        <f t="shared" si="1"/>
        <v>2441.1764705882351</v>
      </c>
      <c r="J18" s="58">
        <f t="shared" si="2"/>
        <v>154550</v>
      </c>
      <c r="K18" s="59">
        <f t="shared" si="3"/>
        <v>9091.176470588236</v>
      </c>
      <c r="L18" s="85"/>
      <c r="M18" s="86"/>
      <c r="N18" s="87"/>
      <c r="O18" s="88" t="e">
        <f t="shared" si="4"/>
        <v>#DIV/0!</v>
      </c>
      <c r="P18" s="87"/>
      <c r="Q18" s="89" t="e">
        <f t="shared" si="5"/>
        <v>#DIV/0!</v>
      </c>
      <c r="R18" s="90">
        <f t="shared" si="48"/>
        <v>0</v>
      </c>
      <c r="S18" s="91" t="str">
        <f t="shared" si="7"/>
        <v/>
      </c>
      <c r="T18" s="67">
        <f t="shared" si="23"/>
        <v>9</v>
      </c>
      <c r="U18" s="68">
        <f t="shared" si="24"/>
        <v>172920</v>
      </c>
      <c r="V18" s="56">
        <f t="shared" si="8"/>
        <v>17466.666666666668</v>
      </c>
      <c r="W18" s="68">
        <f t="shared" si="25"/>
        <v>36630</v>
      </c>
      <c r="X18" s="57">
        <f t="shared" si="9"/>
        <v>3700</v>
      </c>
      <c r="Y18" s="92">
        <f t="shared" si="26"/>
        <v>209550</v>
      </c>
      <c r="Z18" s="70">
        <f t="shared" si="10"/>
        <v>23283.333333333332</v>
      </c>
      <c r="AA18" s="71">
        <f t="shared" si="27"/>
        <v>26</v>
      </c>
      <c r="AB18" s="68">
        <f t="shared" si="27"/>
        <v>281820</v>
      </c>
      <c r="AC18" s="68">
        <f t="shared" si="28"/>
        <v>82280</v>
      </c>
      <c r="AD18" s="72">
        <f t="shared" si="49"/>
        <v>364100</v>
      </c>
      <c r="AE18" s="68">
        <f t="shared" si="29"/>
        <v>14003.846153846154</v>
      </c>
      <c r="AF18" s="73">
        <v>77</v>
      </c>
      <c r="AG18" s="74">
        <v>82</v>
      </c>
      <c r="AH18" s="55">
        <v>101800</v>
      </c>
      <c r="AI18" s="56">
        <f t="shared" si="12"/>
        <v>1241.4634146341464</v>
      </c>
      <c r="AJ18" s="55">
        <v>15600</v>
      </c>
      <c r="AK18" s="57">
        <f t="shared" si="13"/>
        <v>190.2439024390244</v>
      </c>
      <c r="AL18" s="93">
        <f t="shared" si="30"/>
        <v>117400</v>
      </c>
      <c r="AM18" s="76">
        <f t="shared" si="14"/>
        <v>1431.7073170731708</v>
      </c>
      <c r="AN18" s="339">
        <v>1</v>
      </c>
      <c r="AO18" s="340">
        <v>1</v>
      </c>
      <c r="AP18" s="339">
        <v>0</v>
      </c>
      <c r="AQ18" s="340">
        <v>0</v>
      </c>
      <c r="AR18" s="99">
        <f t="shared" si="31"/>
        <v>26</v>
      </c>
      <c r="AS18" s="68">
        <f t="shared" si="32"/>
        <v>383620</v>
      </c>
      <c r="AT18" s="68">
        <f t="shared" si="15"/>
        <v>97880</v>
      </c>
      <c r="AU18" s="77">
        <f t="shared" si="33"/>
        <v>481500</v>
      </c>
      <c r="AV18" s="68">
        <f t="shared" si="50"/>
        <v>0</v>
      </c>
      <c r="AW18" s="94">
        <v>26</v>
      </c>
      <c r="AX18" s="94">
        <v>281820</v>
      </c>
      <c r="AY18" s="94">
        <v>82280</v>
      </c>
      <c r="AZ18" s="95">
        <v>0</v>
      </c>
      <c r="BA18" s="95">
        <v>0</v>
      </c>
      <c r="BB18" s="95">
        <v>0</v>
      </c>
      <c r="BC18" s="95">
        <v>0</v>
      </c>
      <c r="BD18" s="96">
        <f t="shared" si="34"/>
        <v>364100</v>
      </c>
      <c r="BE18" s="51">
        <v>14</v>
      </c>
      <c r="BF18" s="80">
        <f t="shared" si="35"/>
        <v>364100</v>
      </c>
      <c r="BG18" s="81">
        <f t="shared" si="16"/>
        <v>481500</v>
      </c>
      <c r="BO18" s="287">
        <f t="shared" si="36"/>
        <v>7</v>
      </c>
      <c r="BP18" s="54">
        <f t="shared" si="36"/>
        <v>17</v>
      </c>
      <c r="BQ18" s="68">
        <f t="shared" si="36"/>
        <v>108900</v>
      </c>
      <c r="BR18" s="56">
        <f t="shared" si="17"/>
        <v>5823.5294117647063</v>
      </c>
      <c r="BS18" s="68">
        <f t="shared" si="37"/>
        <v>45650</v>
      </c>
      <c r="BT18" s="57">
        <f t="shared" si="18"/>
        <v>2441.1764705882351</v>
      </c>
      <c r="BU18" s="58">
        <f t="shared" si="38"/>
        <v>154550</v>
      </c>
      <c r="BV18" s="59">
        <f t="shared" si="19"/>
        <v>9091.176470588236</v>
      </c>
      <c r="BW18" s="288">
        <f t="shared" si="39"/>
        <v>9</v>
      </c>
      <c r="BX18" s="68">
        <f t="shared" si="39"/>
        <v>172920</v>
      </c>
      <c r="BY18" s="56">
        <f t="shared" si="20"/>
        <v>17466.666666666668</v>
      </c>
      <c r="BZ18" s="68">
        <f t="shared" si="40"/>
        <v>36630</v>
      </c>
      <c r="CA18" s="57">
        <f t="shared" si="21"/>
        <v>3700</v>
      </c>
      <c r="CB18" s="289">
        <f t="shared" si="41"/>
        <v>209550</v>
      </c>
      <c r="CC18" s="290" t="e">
        <v>#DIV/0!</v>
      </c>
      <c r="CD18" s="291">
        <f t="shared" si="42"/>
        <v>26</v>
      </c>
      <c r="CE18" s="68">
        <f t="shared" si="42"/>
        <v>281820</v>
      </c>
      <c r="CF18" s="57">
        <f t="shared" si="43"/>
        <v>9853.8461538461543</v>
      </c>
      <c r="CG18" s="68">
        <f t="shared" si="44"/>
        <v>82280</v>
      </c>
      <c r="CH18" s="57">
        <f t="shared" si="45"/>
        <v>2876.9230769230771</v>
      </c>
      <c r="CI18" s="292">
        <f t="shared" si="46"/>
        <v>364100</v>
      </c>
      <c r="CJ18" s="293">
        <f t="shared" si="47"/>
        <v>14003.846153846154</v>
      </c>
    </row>
    <row r="19" spans="1:88" ht="13.5" customHeight="1">
      <c r="A19" s="51"/>
      <c r="B19" s="333">
        <f t="shared" si="22"/>
        <v>46006</v>
      </c>
      <c r="C19" s="84"/>
      <c r="D19" s="53">
        <v>7</v>
      </c>
      <c r="E19" s="54">
        <v>14</v>
      </c>
      <c r="F19" s="55">
        <v>103400</v>
      </c>
      <c r="G19" s="56">
        <f t="shared" si="0"/>
        <v>6714.2857142857147</v>
      </c>
      <c r="H19" s="55">
        <v>16390</v>
      </c>
      <c r="I19" s="57">
        <f t="shared" si="1"/>
        <v>1064.2857142857142</v>
      </c>
      <c r="J19" s="58">
        <f t="shared" si="2"/>
        <v>119790</v>
      </c>
      <c r="K19" s="59">
        <f t="shared" si="3"/>
        <v>8556.4285714285706</v>
      </c>
      <c r="L19" s="85"/>
      <c r="M19" s="86"/>
      <c r="N19" s="87"/>
      <c r="O19" s="88" t="e">
        <f t="shared" si="4"/>
        <v>#DIV/0!</v>
      </c>
      <c r="P19" s="87"/>
      <c r="Q19" s="89" t="e">
        <f t="shared" si="5"/>
        <v>#DIV/0!</v>
      </c>
      <c r="R19" s="90">
        <f t="shared" si="48"/>
        <v>0</v>
      </c>
      <c r="S19" s="91" t="str">
        <f t="shared" si="7"/>
        <v/>
      </c>
      <c r="T19" s="67">
        <f t="shared" si="23"/>
        <v>12</v>
      </c>
      <c r="U19" s="68">
        <f t="shared" si="24"/>
        <v>144000</v>
      </c>
      <c r="V19" s="56">
        <f t="shared" si="8"/>
        <v>10909.083333333334</v>
      </c>
      <c r="W19" s="68">
        <f t="shared" si="25"/>
        <v>36000</v>
      </c>
      <c r="X19" s="100">
        <f t="shared" si="9"/>
        <v>2727.25</v>
      </c>
      <c r="Y19" s="92">
        <f t="shared" si="26"/>
        <v>180000</v>
      </c>
      <c r="Z19" s="70">
        <f t="shared" si="10"/>
        <v>15000</v>
      </c>
      <c r="AA19" s="71">
        <f t="shared" si="27"/>
        <v>26</v>
      </c>
      <c r="AB19" s="68">
        <f t="shared" si="27"/>
        <v>247400</v>
      </c>
      <c r="AC19" s="68">
        <f t="shared" si="28"/>
        <v>52390</v>
      </c>
      <c r="AD19" s="72">
        <f t="shared" si="49"/>
        <v>299790</v>
      </c>
      <c r="AE19" s="68">
        <f t="shared" si="29"/>
        <v>11530.384615384615</v>
      </c>
      <c r="AF19" s="73">
        <v>48</v>
      </c>
      <c r="AG19" s="74">
        <v>49</v>
      </c>
      <c r="AH19" s="55">
        <v>63400</v>
      </c>
      <c r="AI19" s="56">
        <f t="shared" si="12"/>
        <v>1293.8775510204082</v>
      </c>
      <c r="AJ19" s="55">
        <v>6900</v>
      </c>
      <c r="AK19" s="57">
        <f t="shared" si="13"/>
        <v>140.81632653061226</v>
      </c>
      <c r="AL19" s="93">
        <f t="shared" si="30"/>
        <v>70300</v>
      </c>
      <c r="AM19" s="76">
        <f t="shared" si="14"/>
        <v>1434.6938775510205</v>
      </c>
      <c r="AN19" s="339">
        <v>1</v>
      </c>
      <c r="AO19" s="340">
        <v>1</v>
      </c>
      <c r="AP19" s="339">
        <v>0</v>
      </c>
      <c r="AQ19" s="340">
        <v>0</v>
      </c>
      <c r="AR19" s="99">
        <f t="shared" si="31"/>
        <v>26</v>
      </c>
      <c r="AS19" s="68">
        <f t="shared" si="32"/>
        <v>310800</v>
      </c>
      <c r="AT19" s="68">
        <f t="shared" si="15"/>
        <v>59290</v>
      </c>
      <c r="AU19" s="77">
        <f t="shared" si="33"/>
        <v>370090</v>
      </c>
      <c r="AV19" s="68">
        <f t="shared" si="50"/>
        <v>0</v>
      </c>
      <c r="AW19" s="94">
        <v>26</v>
      </c>
      <c r="AX19" s="94">
        <v>247400</v>
      </c>
      <c r="AY19" s="94">
        <v>52390</v>
      </c>
      <c r="AZ19" s="95">
        <v>0</v>
      </c>
      <c r="BA19" s="95">
        <v>0</v>
      </c>
      <c r="BB19" s="95">
        <v>0</v>
      </c>
      <c r="BC19" s="95">
        <v>0</v>
      </c>
      <c r="BD19" s="96">
        <f t="shared" si="34"/>
        <v>299790</v>
      </c>
      <c r="BE19" s="51">
        <v>15</v>
      </c>
      <c r="BF19" s="80">
        <f t="shared" si="35"/>
        <v>299790</v>
      </c>
      <c r="BG19" s="81">
        <f t="shared" si="16"/>
        <v>370090</v>
      </c>
      <c r="BO19" s="287">
        <f t="shared" si="36"/>
        <v>7</v>
      </c>
      <c r="BP19" s="54">
        <f t="shared" si="36"/>
        <v>14</v>
      </c>
      <c r="BQ19" s="68">
        <f t="shared" si="36"/>
        <v>103400</v>
      </c>
      <c r="BR19" s="56">
        <f t="shared" si="17"/>
        <v>6714.2857142857147</v>
      </c>
      <c r="BS19" s="68">
        <f t="shared" si="37"/>
        <v>16390</v>
      </c>
      <c r="BT19" s="57">
        <f t="shared" si="18"/>
        <v>1064.2857142857142</v>
      </c>
      <c r="BU19" s="58">
        <f t="shared" si="38"/>
        <v>119790</v>
      </c>
      <c r="BV19" s="59">
        <f t="shared" si="19"/>
        <v>8556.4285714285706</v>
      </c>
      <c r="BW19" s="288">
        <f t="shared" si="39"/>
        <v>12</v>
      </c>
      <c r="BX19" s="68">
        <f t="shared" si="39"/>
        <v>144000</v>
      </c>
      <c r="BY19" s="56">
        <f t="shared" si="20"/>
        <v>10909.083333333334</v>
      </c>
      <c r="BZ19" s="68">
        <f t="shared" si="40"/>
        <v>36000</v>
      </c>
      <c r="CA19" s="57">
        <f t="shared" si="21"/>
        <v>2727.25</v>
      </c>
      <c r="CB19" s="289">
        <f t="shared" si="41"/>
        <v>180000</v>
      </c>
      <c r="CC19" s="290" t="e">
        <v>#DIV/0!</v>
      </c>
      <c r="CD19" s="291">
        <f t="shared" si="42"/>
        <v>26</v>
      </c>
      <c r="CE19" s="68">
        <f t="shared" si="42"/>
        <v>247400</v>
      </c>
      <c r="CF19" s="57">
        <f t="shared" si="43"/>
        <v>8650.3461538461543</v>
      </c>
      <c r="CG19" s="68">
        <f t="shared" si="44"/>
        <v>52390</v>
      </c>
      <c r="CH19" s="57">
        <f t="shared" si="45"/>
        <v>1831.8076923076924</v>
      </c>
      <c r="CI19" s="292">
        <f t="shared" si="46"/>
        <v>299790</v>
      </c>
      <c r="CJ19" s="293">
        <f t="shared" si="47"/>
        <v>11530.384615384615</v>
      </c>
    </row>
    <row r="20" spans="1:88" ht="13.5" customHeight="1">
      <c r="A20" s="51"/>
      <c r="B20" s="333">
        <f t="shared" si="22"/>
        <v>46007</v>
      </c>
      <c r="C20" s="84"/>
      <c r="D20" s="53">
        <v>5</v>
      </c>
      <c r="E20" s="54">
        <v>11</v>
      </c>
      <c r="F20" s="55">
        <v>99000</v>
      </c>
      <c r="G20" s="56">
        <f t="shared" si="0"/>
        <v>8181.818181818182</v>
      </c>
      <c r="H20" s="55">
        <v>22660</v>
      </c>
      <c r="I20" s="56">
        <f t="shared" si="1"/>
        <v>1872.7272727272727</v>
      </c>
      <c r="J20" s="58">
        <f t="shared" si="2"/>
        <v>121660</v>
      </c>
      <c r="K20" s="59">
        <f t="shared" si="3"/>
        <v>11060</v>
      </c>
      <c r="L20" s="85">
        <v>2</v>
      </c>
      <c r="M20" s="86">
        <v>3</v>
      </c>
      <c r="N20" s="87">
        <v>11550</v>
      </c>
      <c r="O20" s="88">
        <f t="shared" si="4"/>
        <v>3850</v>
      </c>
      <c r="P20" s="87">
        <v>1550</v>
      </c>
      <c r="Q20" s="89">
        <f t="shared" si="5"/>
        <v>516.66666666666663</v>
      </c>
      <c r="R20" s="90">
        <f t="shared" si="48"/>
        <v>13100</v>
      </c>
      <c r="S20" s="91">
        <f t="shared" si="7"/>
        <v>4366.666666666667</v>
      </c>
      <c r="T20" s="67">
        <f t="shared" si="23"/>
        <v>7</v>
      </c>
      <c r="U20" s="68">
        <f t="shared" si="24"/>
        <v>99000</v>
      </c>
      <c r="V20" s="56">
        <f t="shared" si="8"/>
        <v>12857.142857142857</v>
      </c>
      <c r="W20" s="68">
        <f t="shared" si="25"/>
        <v>17810</v>
      </c>
      <c r="X20" s="100">
        <f t="shared" si="9"/>
        <v>2312.8571428571427</v>
      </c>
      <c r="Y20" s="92">
        <f t="shared" si="26"/>
        <v>116810</v>
      </c>
      <c r="Z20" s="70">
        <f t="shared" si="10"/>
        <v>16687.142857142859</v>
      </c>
      <c r="AA20" s="71">
        <f t="shared" si="27"/>
        <v>21</v>
      </c>
      <c r="AB20" s="68">
        <f t="shared" si="27"/>
        <v>209550</v>
      </c>
      <c r="AC20" s="68">
        <f t="shared" si="28"/>
        <v>42020</v>
      </c>
      <c r="AD20" s="72">
        <f t="shared" si="49"/>
        <v>251570</v>
      </c>
      <c r="AE20" s="68">
        <f t="shared" si="29"/>
        <v>11979.523809523809</v>
      </c>
      <c r="AF20" s="73">
        <v>68</v>
      </c>
      <c r="AG20" s="74">
        <v>72</v>
      </c>
      <c r="AH20" s="55">
        <v>92500</v>
      </c>
      <c r="AI20" s="56">
        <f t="shared" si="12"/>
        <v>1284.7222222222222</v>
      </c>
      <c r="AJ20" s="55">
        <v>11400</v>
      </c>
      <c r="AK20" s="57">
        <f t="shared" si="13"/>
        <v>158.33333333333334</v>
      </c>
      <c r="AL20" s="93">
        <f t="shared" si="30"/>
        <v>103900</v>
      </c>
      <c r="AM20" s="76">
        <f t="shared" si="14"/>
        <v>1443.0555555555557</v>
      </c>
      <c r="AN20" s="339">
        <v>0</v>
      </c>
      <c r="AO20" s="340">
        <v>0</v>
      </c>
      <c r="AP20" s="339">
        <v>0</v>
      </c>
      <c r="AQ20" s="340">
        <v>0</v>
      </c>
      <c r="AR20" s="99">
        <f t="shared" si="31"/>
        <v>18</v>
      </c>
      <c r="AS20" s="94">
        <f t="shared" si="32"/>
        <v>302050</v>
      </c>
      <c r="AT20" s="94">
        <f t="shared" si="15"/>
        <v>53420</v>
      </c>
      <c r="AU20" s="77">
        <f t="shared" si="33"/>
        <v>355470</v>
      </c>
      <c r="AV20" s="68">
        <f t="shared" si="50"/>
        <v>0</v>
      </c>
      <c r="AW20" s="94">
        <v>21</v>
      </c>
      <c r="AX20" s="94">
        <v>209550</v>
      </c>
      <c r="AY20" s="94">
        <v>42020</v>
      </c>
      <c r="AZ20" s="95">
        <v>0</v>
      </c>
      <c r="BA20" s="95">
        <v>0</v>
      </c>
      <c r="BB20" s="95">
        <v>0</v>
      </c>
      <c r="BC20" s="95">
        <v>3300</v>
      </c>
      <c r="BD20" s="96">
        <f t="shared" si="34"/>
        <v>251570</v>
      </c>
      <c r="BE20" s="51">
        <v>16</v>
      </c>
      <c r="BF20" s="80">
        <f t="shared" si="35"/>
        <v>254870</v>
      </c>
      <c r="BG20" s="81">
        <f t="shared" si="16"/>
        <v>355470</v>
      </c>
      <c r="BO20" s="287">
        <f t="shared" si="36"/>
        <v>5</v>
      </c>
      <c r="BP20" s="54">
        <f t="shared" si="36"/>
        <v>11</v>
      </c>
      <c r="BQ20" s="68">
        <f t="shared" si="36"/>
        <v>99000</v>
      </c>
      <c r="BR20" s="56">
        <f t="shared" si="17"/>
        <v>8181.818181818182</v>
      </c>
      <c r="BS20" s="68">
        <f t="shared" si="37"/>
        <v>22660</v>
      </c>
      <c r="BT20" s="57">
        <f t="shared" si="18"/>
        <v>1872.7272727272727</v>
      </c>
      <c r="BU20" s="58">
        <f t="shared" si="38"/>
        <v>121660</v>
      </c>
      <c r="BV20" s="59">
        <f t="shared" si="19"/>
        <v>11060</v>
      </c>
      <c r="BW20" s="288">
        <f t="shared" si="39"/>
        <v>7</v>
      </c>
      <c r="BX20" s="68">
        <f t="shared" si="39"/>
        <v>99000</v>
      </c>
      <c r="BY20" s="56">
        <f t="shared" si="20"/>
        <v>12857.142857142857</v>
      </c>
      <c r="BZ20" s="68">
        <f t="shared" si="40"/>
        <v>17810</v>
      </c>
      <c r="CA20" s="57">
        <f t="shared" si="21"/>
        <v>2312.8571428571427</v>
      </c>
      <c r="CB20" s="289">
        <f t="shared" si="41"/>
        <v>116810</v>
      </c>
      <c r="CC20" s="290" t="e">
        <v>#DIV/0!</v>
      </c>
      <c r="CD20" s="291">
        <f t="shared" si="42"/>
        <v>18</v>
      </c>
      <c r="CE20" s="68">
        <f t="shared" si="42"/>
        <v>198000</v>
      </c>
      <c r="CF20" s="57">
        <f t="shared" si="43"/>
        <v>10000</v>
      </c>
      <c r="CG20" s="68">
        <f t="shared" si="44"/>
        <v>40470</v>
      </c>
      <c r="CH20" s="57">
        <f t="shared" si="45"/>
        <v>2043.8888888888889</v>
      </c>
      <c r="CI20" s="292">
        <f t="shared" si="46"/>
        <v>238470</v>
      </c>
      <c r="CJ20" s="293">
        <f t="shared" si="47"/>
        <v>13248.333333333334</v>
      </c>
    </row>
    <row r="21" spans="1:88" ht="15.75" customHeight="1">
      <c r="A21" s="51"/>
      <c r="B21" s="333">
        <f t="shared" si="22"/>
        <v>46008</v>
      </c>
      <c r="C21" s="84"/>
      <c r="D21" s="53">
        <v>3</v>
      </c>
      <c r="E21" s="54">
        <v>7</v>
      </c>
      <c r="F21" s="55">
        <v>57200</v>
      </c>
      <c r="G21" s="56">
        <f t="shared" si="0"/>
        <v>7428.5714285714284</v>
      </c>
      <c r="H21" s="55">
        <v>27610</v>
      </c>
      <c r="I21" s="56">
        <f t="shared" si="1"/>
        <v>3585.7142857142858</v>
      </c>
      <c r="J21" s="58">
        <f t="shared" si="2"/>
        <v>84810</v>
      </c>
      <c r="K21" s="59">
        <f t="shared" si="3"/>
        <v>12115.714285714286</v>
      </c>
      <c r="L21" s="85">
        <v>1</v>
      </c>
      <c r="M21" s="86">
        <v>2</v>
      </c>
      <c r="N21" s="87">
        <v>7700</v>
      </c>
      <c r="O21" s="88">
        <f t="shared" si="4"/>
        <v>3850</v>
      </c>
      <c r="P21" s="87">
        <v>1100</v>
      </c>
      <c r="Q21" s="89">
        <f t="shared" si="5"/>
        <v>550</v>
      </c>
      <c r="R21" s="90">
        <f t="shared" si="48"/>
        <v>8800</v>
      </c>
      <c r="S21" s="91">
        <f t="shared" si="7"/>
        <v>4400</v>
      </c>
      <c r="T21" s="67">
        <f t="shared" si="23"/>
        <v>11</v>
      </c>
      <c r="U21" s="68">
        <f t="shared" si="24"/>
        <v>170940</v>
      </c>
      <c r="V21" s="56">
        <f t="shared" si="8"/>
        <v>14127.272727272728</v>
      </c>
      <c r="W21" s="68">
        <f t="shared" si="25"/>
        <v>38870</v>
      </c>
      <c r="X21" s="100">
        <f t="shared" si="9"/>
        <v>3212.3636363636365</v>
      </c>
      <c r="Y21" s="92">
        <f>U21+W21</f>
        <v>209810</v>
      </c>
      <c r="Z21" s="70">
        <f t="shared" si="10"/>
        <v>19073.636363636364</v>
      </c>
      <c r="AA21" s="71">
        <f t="shared" si="27"/>
        <v>20</v>
      </c>
      <c r="AB21" s="68">
        <f t="shared" si="27"/>
        <v>235840</v>
      </c>
      <c r="AC21" s="68">
        <f t="shared" si="28"/>
        <v>67580</v>
      </c>
      <c r="AD21" s="72">
        <f t="shared" si="49"/>
        <v>303420</v>
      </c>
      <c r="AE21" s="68">
        <f t="shared" si="29"/>
        <v>15171</v>
      </c>
      <c r="AF21" s="73">
        <v>93</v>
      </c>
      <c r="AG21" s="74">
        <v>96</v>
      </c>
      <c r="AH21" s="55">
        <v>108730</v>
      </c>
      <c r="AI21" s="56">
        <f t="shared" si="12"/>
        <v>1132.6041666666667</v>
      </c>
      <c r="AJ21" s="55">
        <v>21000</v>
      </c>
      <c r="AK21" s="57">
        <f t="shared" si="13"/>
        <v>218.75</v>
      </c>
      <c r="AL21" s="93">
        <f t="shared" si="30"/>
        <v>129730</v>
      </c>
      <c r="AM21" s="76">
        <f t="shared" si="14"/>
        <v>1351.3541666666667</v>
      </c>
      <c r="AN21" s="339">
        <v>1</v>
      </c>
      <c r="AO21" s="340">
        <v>1</v>
      </c>
      <c r="AP21" s="339">
        <v>0</v>
      </c>
      <c r="AQ21" s="340">
        <v>0</v>
      </c>
      <c r="AR21" s="99">
        <f t="shared" si="31"/>
        <v>18</v>
      </c>
      <c r="AS21" s="94">
        <f t="shared" si="32"/>
        <v>344570</v>
      </c>
      <c r="AT21" s="94">
        <f t="shared" si="15"/>
        <v>88580</v>
      </c>
      <c r="AU21" s="77">
        <f t="shared" si="33"/>
        <v>433150</v>
      </c>
      <c r="AV21" s="68">
        <f>AZ21+BA21+BB21</f>
        <v>0</v>
      </c>
      <c r="AW21" s="94">
        <v>20</v>
      </c>
      <c r="AX21" s="94">
        <v>235840</v>
      </c>
      <c r="AY21" s="94">
        <v>67580</v>
      </c>
      <c r="AZ21" s="95">
        <v>0</v>
      </c>
      <c r="BA21" s="95">
        <v>0</v>
      </c>
      <c r="BB21" s="95">
        <v>0</v>
      </c>
      <c r="BC21" s="95">
        <v>0</v>
      </c>
      <c r="BD21" s="96">
        <f t="shared" si="34"/>
        <v>303420</v>
      </c>
      <c r="BE21" s="51">
        <v>17</v>
      </c>
      <c r="BF21" s="80">
        <f t="shared" si="35"/>
        <v>303420</v>
      </c>
      <c r="BG21" s="81">
        <f t="shared" si="16"/>
        <v>433150</v>
      </c>
      <c r="BO21" s="287">
        <f t="shared" si="36"/>
        <v>3</v>
      </c>
      <c r="BP21" s="54">
        <f t="shared" si="36"/>
        <v>7</v>
      </c>
      <c r="BQ21" s="68">
        <f t="shared" si="36"/>
        <v>57200</v>
      </c>
      <c r="BR21" s="56">
        <f t="shared" si="17"/>
        <v>7428.5714285714284</v>
      </c>
      <c r="BS21" s="68">
        <f t="shared" si="37"/>
        <v>27610</v>
      </c>
      <c r="BT21" s="57">
        <f t="shared" si="18"/>
        <v>3585.7142857142858</v>
      </c>
      <c r="BU21" s="58">
        <f t="shared" si="38"/>
        <v>84810</v>
      </c>
      <c r="BV21" s="59">
        <f t="shared" si="19"/>
        <v>12115.714285714286</v>
      </c>
      <c r="BW21" s="288">
        <f t="shared" si="39"/>
        <v>11</v>
      </c>
      <c r="BX21" s="68">
        <f t="shared" si="39"/>
        <v>170940</v>
      </c>
      <c r="BY21" s="56">
        <f t="shared" si="20"/>
        <v>14127.272727272728</v>
      </c>
      <c r="BZ21" s="68">
        <f t="shared" si="40"/>
        <v>38870</v>
      </c>
      <c r="CA21" s="57">
        <f t="shared" si="21"/>
        <v>3212.3636363636365</v>
      </c>
      <c r="CB21" s="289">
        <f t="shared" si="41"/>
        <v>209810</v>
      </c>
      <c r="CC21" s="290" t="e">
        <v>#DIV/0!</v>
      </c>
      <c r="CD21" s="291">
        <f t="shared" si="42"/>
        <v>18</v>
      </c>
      <c r="CE21" s="68">
        <f t="shared" si="42"/>
        <v>228140</v>
      </c>
      <c r="CF21" s="57">
        <f t="shared" si="43"/>
        <v>11522.222222222223</v>
      </c>
      <c r="CG21" s="68">
        <f t="shared" si="44"/>
        <v>66480</v>
      </c>
      <c r="CH21" s="57">
        <f t="shared" si="45"/>
        <v>3357.5555555555557</v>
      </c>
      <c r="CI21" s="292">
        <f t="shared" si="46"/>
        <v>294620</v>
      </c>
      <c r="CJ21" s="293">
        <f t="shared" si="47"/>
        <v>16367.777777777777</v>
      </c>
    </row>
    <row r="22" spans="1:88" ht="15.75" customHeight="1">
      <c r="A22" s="51"/>
      <c r="B22" s="333">
        <f t="shared" si="22"/>
        <v>46009</v>
      </c>
      <c r="C22" s="84"/>
      <c r="D22" s="53">
        <v>2</v>
      </c>
      <c r="E22" s="54">
        <v>4</v>
      </c>
      <c r="F22" s="55">
        <v>47600</v>
      </c>
      <c r="G22" s="56">
        <f t="shared" si="0"/>
        <v>10818</v>
      </c>
      <c r="H22" s="55">
        <v>9850</v>
      </c>
      <c r="I22" s="56">
        <f t="shared" si="1"/>
        <v>2238.5</v>
      </c>
      <c r="J22" s="58">
        <f t="shared" si="2"/>
        <v>57450</v>
      </c>
      <c r="K22" s="59">
        <f t="shared" si="3"/>
        <v>14362.5</v>
      </c>
      <c r="L22" s="85"/>
      <c r="M22" s="86"/>
      <c r="N22" s="87"/>
      <c r="O22" s="88" t="e">
        <f t="shared" si="4"/>
        <v>#DIV/0!</v>
      </c>
      <c r="P22" s="87"/>
      <c r="Q22" s="89" t="e">
        <f t="shared" si="5"/>
        <v>#DIV/0!</v>
      </c>
      <c r="R22" s="90">
        <f t="shared" si="48"/>
        <v>0</v>
      </c>
      <c r="S22" s="91" t="str">
        <f t="shared" si="7"/>
        <v/>
      </c>
      <c r="T22" s="67">
        <f t="shared" si="23"/>
        <v>12</v>
      </c>
      <c r="U22" s="68">
        <f t="shared" si="24"/>
        <v>163400</v>
      </c>
      <c r="V22" s="56">
        <f t="shared" si="8"/>
        <v>12378.75</v>
      </c>
      <c r="W22" s="68">
        <f t="shared" si="25"/>
        <v>55510</v>
      </c>
      <c r="X22" s="100">
        <f t="shared" si="9"/>
        <v>4205.25</v>
      </c>
      <c r="Y22" s="92">
        <f t="shared" si="26"/>
        <v>218910</v>
      </c>
      <c r="Z22" s="70">
        <f t="shared" si="10"/>
        <v>18242.5</v>
      </c>
      <c r="AA22" s="71">
        <f t="shared" si="27"/>
        <v>16</v>
      </c>
      <c r="AB22" s="68">
        <f t="shared" si="27"/>
        <v>211000</v>
      </c>
      <c r="AC22" s="68">
        <f t="shared" si="28"/>
        <v>65360</v>
      </c>
      <c r="AD22" s="72">
        <f t="shared" si="49"/>
        <v>276360</v>
      </c>
      <c r="AE22" s="68">
        <f t="shared" si="29"/>
        <v>17272.5</v>
      </c>
      <c r="AF22" s="73">
        <v>70</v>
      </c>
      <c r="AG22" s="74">
        <v>75</v>
      </c>
      <c r="AH22" s="55">
        <v>95950</v>
      </c>
      <c r="AI22" s="56">
        <f t="shared" si="12"/>
        <v>1279.3333333333333</v>
      </c>
      <c r="AJ22" s="55">
        <v>15600</v>
      </c>
      <c r="AK22" s="57">
        <f t="shared" si="13"/>
        <v>208</v>
      </c>
      <c r="AL22" s="93">
        <f t="shared" si="30"/>
        <v>111550</v>
      </c>
      <c r="AM22" s="76">
        <f t="shared" si="14"/>
        <v>1487.3333333333333</v>
      </c>
      <c r="AN22" s="339">
        <v>1</v>
      </c>
      <c r="AO22" s="340">
        <v>5</v>
      </c>
      <c r="AP22" s="339">
        <v>0</v>
      </c>
      <c r="AQ22" s="340">
        <v>0</v>
      </c>
      <c r="AR22" s="99">
        <f t="shared" si="31"/>
        <v>16</v>
      </c>
      <c r="AS22" s="94">
        <f t="shared" si="32"/>
        <v>306950</v>
      </c>
      <c r="AT22" s="94">
        <f t="shared" si="15"/>
        <v>80960</v>
      </c>
      <c r="AU22" s="77">
        <f t="shared" si="33"/>
        <v>387910</v>
      </c>
      <c r="AV22" s="68">
        <f t="shared" si="50"/>
        <v>2200</v>
      </c>
      <c r="AW22" s="94">
        <v>16</v>
      </c>
      <c r="AX22" s="94">
        <v>211000</v>
      </c>
      <c r="AY22" s="94">
        <v>65360</v>
      </c>
      <c r="AZ22" s="95">
        <v>2200</v>
      </c>
      <c r="BA22" s="95">
        <v>0</v>
      </c>
      <c r="BB22" s="95">
        <v>0</v>
      </c>
      <c r="BC22" s="95">
        <v>3300</v>
      </c>
      <c r="BD22" s="96">
        <f t="shared" si="34"/>
        <v>278560</v>
      </c>
      <c r="BE22" s="51">
        <v>18</v>
      </c>
      <c r="BF22" s="80">
        <f t="shared" si="35"/>
        <v>281860</v>
      </c>
      <c r="BG22" s="81">
        <f t="shared" si="16"/>
        <v>390110</v>
      </c>
      <c r="BO22" s="287">
        <f t="shared" si="36"/>
        <v>2</v>
      </c>
      <c r="BP22" s="54">
        <f t="shared" si="36"/>
        <v>4</v>
      </c>
      <c r="BQ22" s="68">
        <f t="shared" si="36"/>
        <v>47600</v>
      </c>
      <c r="BR22" s="56">
        <f t="shared" si="17"/>
        <v>10818</v>
      </c>
      <c r="BS22" s="68">
        <f t="shared" si="37"/>
        <v>9850</v>
      </c>
      <c r="BT22" s="57">
        <f t="shared" si="18"/>
        <v>2238.5</v>
      </c>
      <c r="BU22" s="58">
        <f t="shared" si="38"/>
        <v>57450</v>
      </c>
      <c r="BV22" s="59">
        <f t="shared" si="19"/>
        <v>14362.5</v>
      </c>
      <c r="BW22" s="288">
        <f t="shared" si="39"/>
        <v>12</v>
      </c>
      <c r="BX22" s="68">
        <f t="shared" si="39"/>
        <v>163400</v>
      </c>
      <c r="BY22" s="56">
        <f t="shared" si="20"/>
        <v>12378.75</v>
      </c>
      <c r="BZ22" s="68">
        <f t="shared" si="40"/>
        <v>55510</v>
      </c>
      <c r="CA22" s="57">
        <f t="shared" si="21"/>
        <v>4205.25</v>
      </c>
      <c r="CB22" s="289">
        <f t="shared" si="41"/>
        <v>218910</v>
      </c>
      <c r="CC22" s="290" t="e">
        <v>#DIV/0!</v>
      </c>
      <c r="CD22" s="291">
        <f t="shared" si="42"/>
        <v>16</v>
      </c>
      <c r="CE22" s="68">
        <f t="shared" si="42"/>
        <v>211000</v>
      </c>
      <c r="CF22" s="57">
        <f t="shared" si="43"/>
        <v>11988.625</v>
      </c>
      <c r="CG22" s="68">
        <f t="shared" si="44"/>
        <v>65360</v>
      </c>
      <c r="CH22" s="57">
        <f t="shared" si="45"/>
        <v>3713.625</v>
      </c>
      <c r="CI22" s="292">
        <f t="shared" si="46"/>
        <v>276360</v>
      </c>
      <c r="CJ22" s="293">
        <f t="shared" si="47"/>
        <v>17272.5</v>
      </c>
    </row>
    <row r="23" spans="1:88" ht="15.75" customHeight="1">
      <c r="A23" s="51"/>
      <c r="B23" s="333">
        <f t="shared" si="22"/>
        <v>46010</v>
      </c>
      <c r="C23" s="84"/>
      <c r="D23" s="53">
        <v>6</v>
      </c>
      <c r="E23" s="54">
        <v>13</v>
      </c>
      <c r="F23" s="55">
        <v>82500</v>
      </c>
      <c r="G23" s="56">
        <f t="shared" si="0"/>
        <v>5769.2307692307695</v>
      </c>
      <c r="H23" s="55">
        <v>21890</v>
      </c>
      <c r="I23" s="56">
        <f t="shared" si="1"/>
        <v>1530.7692307692307</v>
      </c>
      <c r="J23" s="58">
        <f t="shared" si="2"/>
        <v>104390</v>
      </c>
      <c r="K23" s="59">
        <f t="shared" si="3"/>
        <v>8030</v>
      </c>
      <c r="L23" s="85"/>
      <c r="M23" s="86"/>
      <c r="N23" s="87"/>
      <c r="O23" s="88" t="e">
        <f t="shared" si="4"/>
        <v>#DIV/0!</v>
      </c>
      <c r="P23" s="87"/>
      <c r="Q23" s="89" t="e">
        <f t="shared" si="5"/>
        <v>#DIV/0!</v>
      </c>
      <c r="R23" s="90">
        <f t="shared" si="48"/>
        <v>0</v>
      </c>
      <c r="S23" s="91" t="str">
        <f t="shared" si="7"/>
        <v/>
      </c>
      <c r="T23" s="67">
        <f t="shared" si="23"/>
        <v>11</v>
      </c>
      <c r="U23" s="68">
        <f t="shared" si="24"/>
        <v>208560</v>
      </c>
      <c r="V23" s="56">
        <f t="shared" si="8"/>
        <v>17236.363636363636</v>
      </c>
      <c r="W23" s="68">
        <f t="shared" si="25"/>
        <v>231660</v>
      </c>
      <c r="X23" s="100">
        <f t="shared" si="9"/>
        <v>19145.454545454544</v>
      </c>
      <c r="Y23" s="92">
        <f t="shared" si="26"/>
        <v>440220</v>
      </c>
      <c r="Z23" s="70">
        <f t="shared" si="10"/>
        <v>40020</v>
      </c>
      <c r="AA23" s="71">
        <f t="shared" si="27"/>
        <v>24</v>
      </c>
      <c r="AB23" s="68">
        <f t="shared" si="27"/>
        <v>291060</v>
      </c>
      <c r="AC23" s="68">
        <f t="shared" si="28"/>
        <v>253550</v>
      </c>
      <c r="AD23" s="72">
        <f t="shared" si="49"/>
        <v>544610</v>
      </c>
      <c r="AE23" s="68">
        <f t="shared" si="29"/>
        <v>22692.083333333332</v>
      </c>
      <c r="AF23" s="73">
        <v>134</v>
      </c>
      <c r="AG23" s="74">
        <v>140</v>
      </c>
      <c r="AH23" s="55">
        <v>121130</v>
      </c>
      <c r="AI23" s="56">
        <f t="shared" si="12"/>
        <v>865.21428571428567</v>
      </c>
      <c r="AJ23" s="55">
        <v>41600</v>
      </c>
      <c r="AK23" s="57">
        <f t="shared" si="13"/>
        <v>297.14285714285717</v>
      </c>
      <c r="AL23" s="93">
        <f t="shared" si="30"/>
        <v>162730</v>
      </c>
      <c r="AM23" s="76">
        <f t="shared" si="14"/>
        <v>1162.3571428571429</v>
      </c>
      <c r="AN23" s="339">
        <v>0</v>
      </c>
      <c r="AO23" s="340">
        <v>0</v>
      </c>
      <c r="AP23" s="339">
        <v>1</v>
      </c>
      <c r="AQ23" s="340">
        <v>1</v>
      </c>
      <c r="AR23" s="99">
        <f t="shared" si="31"/>
        <v>24</v>
      </c>
      <c r="AS23" s="94">
        <f t="shared" si="32"/>
        <v>412190</v>
      </c>
      <c r="AT23" s="94">
        <f t="shared" si="15"/>
        <v>295150</v>
      </c>
      <c r="AU23" s="77">
        <f t="shared" si="33"/>
        <v>707340</v>
      </c>
      <c r="AV23" s="68">
        <f t="shared" si="50"/>
        <v>4400</v>
      </c>
      <c r="AW23" s="94">
        <v>24</v>
      </c>
      <c r="AX23" s="94">
        <v>291060</v>
      </c>
      <c r="AY23" s="94">
        <v>253550</v>
      </c>
      <c r="AZ23" s="95">
        <v>4400</v>
      </c>
      <c r="BA23" s="95">
        <v>0</v>
      </c>
      <c r="BB23" s="95">
        <v>0</v>
      </c>
      <c r="BC23" s="95">
        <v>0</v>
      </c>
      <c r="BD23" s="96">
        <f t="shared" si="34"/>
        <v>549010</v>
      </c>
      <c r="BE23" s="51">
        <v>19</v>
      </c>
      <c r="BF23" s="80">
        <f t="shared" si="35"/>
        <v>549010</v>
      </c>
      <c r="BG23" s="81">
        <f t="shared" si="16"/>
        <v>711740</v>
      </c>
      <c r="BO23" s="287">
        <f t="shared" si="36"/>
        <v>6</v>
      </c>
      <c r="BP23" s="54">
        <f t="shared" si="36"/>
        <v>13</v>
      </c>
      <c r="BQ23" s="68">
        <f t="shared" si="36"/>
        <v>82500</v>
      </c>
      <c r="BR23" s="56">
        <f t="shared" si="17"/>
        <v>5769.2307692307695</v>
      </c>
      <c r="BS23" s="68">
        <f t="shared" si="37"/>
        <v>21890</v>
      </c>
      <c r="BT23" s="57">
        <f t="shared" si="18"/>
        <v>1530.7692307692307</v>
      </c>
      <c r="BU23" s="58">
        <f t="shared" si="38"/>
        <v>104390</v>
      </c>
      <c r="BV23" s="59">
        <f t="shared" si="19"/>
        <v>8030</v>
      </c>
      <c r="BW23" s="288">
        <f t="shared" si="39"/>
        <v>11</v>
      </c>
      <c r="BX23" s="68">
        <f t="shared" si="39"/>
        <v>208560</v>
      </c>
      <c r="BY23" s="56">
        <f t="shared" si="20"/>
        <v>17236.363636363636</v>
      </c>
      <c r="BZ23" s="68">
        <f t="shared" si="40"/>
        <v>231660</v>
      </c>
      <c r="CA23" s="57">
        <f t="shared" si="21"/>
        <v>19145.454545454544</v>
      </c>
      <c r="CB23" s="289">
        <f t="shared" si="41"/>
        <v>440220</v>
      </c>
      <c r="CC23" s="290" t="e">
        <v>#DIV/0!</v>
      </c>
      <c r="CD23" s="291">
        <f t="shared" si="42"/>
        <v>24</v>
      </c>
      <c r="CE23" s="68">
        <f t="shared" si="42"/>
        <v>291060</v>
      </c>
      <c r="CF23" s="57">
        <f t="shared" si="43"/>
        <v>11025</v>
      </c>
      <c r="CG23" s="68">
        <f t="shared" si="44"/>
        <v>253550</v>
      </c>
      <c r="CH23" s="57">
        <f t="shared" si="45"/>
        <v>9604.1666666666661</v>
      </c>
      <c r="CI23" s="292">
        <f t="shared" si="46"/>
        <v>544610</v>
      </c>
      <c r="CJ23" s="293">
        <f t="shared" si="47"/>
        <v>22692.083333333332</v>
      </c>
    </row>
    <row r="24" spans="1:88" ht="15.75" customHeight="1">
      <c r="A24" s="51"/>
      <c r="B24" s="338">
        <f t="shared" si="22"/>
        <v>46011</v>
      </c>
      <c r="C24" s="84"/>
      <c r="D24" s="53">
        <v>5</v>
      </c>
      <c r="E24" s="54">
        <v>10</v>
      </c>
      <c r="F24" s="55">
        <v>96800</v>
      </c>
      <c r="G24" s="56">
        <f t="shared" si="0"/>
        <v>8800</v>
      </c>
      <c r="H24" s="55">
        <v>28160</v>
      </c>
      <c r="I24" s="56">
        <f t="shared" si="1"/>
        <v>2560</v>
      </c>
      <c r="J24" s="58">
        <f t="shared" si="2"/>
        <v>124960</v>
      </c>
      <c r="K24" s="59">
        <f t="shared" si="3"/>
        <v>12496</v>
      </c>
      <c r="L24" s="85"/>
      <c r="M24" s="86"/>
      <c r="N24" s="87"/>
      <c r="O24" s="88" t="e">
        <f t="shared" si="4"/>
        <v>#DIV/0!</v>
      </c>
      <c r="P24" s="87"/>
      <c r="Q24" s="89" t="e">
        <f t="shared" si="5"/>
        <v>#DIV/0!</v>
      </c>
      <c r="R24" s="90">
        <f t="shared" si="48"/>
        <v>0</v>
      </c>
      <c r="S24" s="91" t="str">
        <f t="shared" si="7"/>
        <v/>
      </c>
      <c r="T24" s="67">
        <f t="shared" si="23"/>
        <v>20</v>
      </c>
      <c r="U24" s="68">
        <f t="shared" si="24"/>
        <v>410190</v>
      </c>
      <c r="V24" s="56">
        <f t="shared" si="8"/>
        <v>18645</v>
      </c>
      <c r="W24" s="68">
        <f t="shared" si="25"/>
        <v>128810</v>
      </c>
      <c r="X24" s="100">
        <f t="shared" si="9"/>
        <v>5855</v>
      </c>
      <c r="Y24" s="92">
        <f t="shared" si="26"/>
        <v>539000</v>
      </c>
      <c r="Z24" s="70">
        <f t="shared" si="10"/>
        <v>26950</v>
      </c>
      <c r="AA24" s="71">
        <f t="shared" si="27"/>
        <v>30</v>
      </c>
      <c r="AB24" s="68">
        <f t="shared" si="27"/>
        <v>506990</v>
      </c>
      <c r="AC24" s="68">
        <f t="shared" si="28"/>
        <v>156970</v>
      </c>
      <c r="AD24" s="72">
        <f t="shared" si="49"/>
        <v>663960</v>
      </c>
      <c r="AE24" s="68">
        <f t="shared" si="29"/>
        <v>22132</v>
      </c>
      <c r="AF24" s="73">
        <v>104</v>
      </c>
      <c r="AG24" s="74">
        <v>107</v>
      </c>
      <c r="AH24" s="55">
        <v>141750</v>
      </c>
      <c r="AI24" s="56">
        <f t="shared" si="12"/>
        <v>1324.766355140187</v>
      </c>
      <c r="AJ24" s="55">
        <v>23200</v>
      </c>
      <c r="AK24" s="57">
        <f t="shared" si="13"/>
        <v>216.82242990654206</v>
      </c>
      <c r="AL24" s="93">
        <f t="shared" si="30"/>
        <v>164950</v>
      </c>
      <c r="AM24" s="76">
        <f t="shared" si="14"/>
        <v>1541.5887850467291</v>
      </c>
      <c r="AN24" s="339">
        <v>0</v>
      </c>
      <c r="AO24" s="340">
        <v>0</v>
      </c>
      <c r="AP24" s="339">
        <v>0</v>
      </c>
      <c r="AQ24" s="340">
        <v>0</v>
      </c>
      <c r="AR24" s="99">
        <f t="shared" si="31"/>
        <v>30</v>
      </c>
      <c r="AS24" s="94">
        <f t="shared" si="32"/>
        <v>648740</v>
      </c>
      <c r="AT24" s="94">
        <f t="shared" si="15"/>
        <v>180170</v>
      </c>
      <c r="AU24" s="77">
        <f t="shared" si="33"/>
        <v>828910</v>
      </c>
      <c r="AV24" s="68">
        <f t="shared" si="50"/>
        <v>6600</v>
      </c>
      <c r="AW24" s="94">
        <v>30</v>
      </c>
      <c r="AX24" s="94">
        <v>506990</v>
      </c>
      <c r="AY24" s="94">
        <v>156970</v>
      </c>
      <c r="AZ24" s="95">
        <v>6600</v>
      </c>
      <c r="BA24" s="95">
        <v>0</v>
      </c>
      <c r="BB24" s="95">
        <v>0</v>
      </c>
      <c r="BC24" s="95">
        <v>0</v>
      </c>
      <c r="BD24" s="96">
        <f t="shared" si="34"/>
        <v>670560</v>
      </c>
      <c r="BE24" s="51">
        <v>20</v>
      </c>
      <c r="BF24" s="80">
        <f t="shared" si="35"/>
        <v>670560</v>
      </c>
      <c r="BG24" s="81">
        <f t="shared" si="16"/>
        <v>835510</v>
      </c>
      <c r="BO24" s="287">
        <f t="shared" si="36"/>
        <v>5</v>
      </c>
      <c r="BP24" s="54">
        <f t="shared" si="36"/>
        <v>10</v>
      </c>
      <c r="BQ24" s="68">
        <f t="shared" si="36"/>
        <v>96800</v>
      </c>
      <c r="BR24" s="56">
        <f t="shared" si="17"/>
        <v>8800</v>
      </c>
      <c r="BS24" s="68">
        <f t="shared" si="37"/>
        <v>28160</v>
      </c>
      <c r="BT24" s="57">
        <f t="shared" si="18"/>
        <v>2560</v>
      </c>
      <c r="BU24" s="58">
        <f t="shared" si="38"/>
        <v>124960</v>
      </c>
      <c r="BV24" s="59">
        <f t="shared" si="19"/>
        <v>12496</v>
      </c>
      <c r="BW24" s="288">
        <f t="shared" si="39"/>
        <v>20</v>
      </c>
      <c r="BX24" s="68">
        <f t="shared" si="39"/>
        <v>410190</v>
      </c>
      <c r="BY24" s="56">
        <f t="shared" si="20"/>
        <v>18645</v>
      </c>
      <c r="BZ24" s="68">
        <f t="shared" si="40"/>
        <v>128810</v>
      </c>
      <c r="CA24" s="57">
        <f t="shared" si="21"/>
        <v>5855</v>
      </c>
      <c r="CB24" s="289">
        <f t="shared" si="41"/>
        <v>539000</v>
      </c>
      <c r="CC24" s="290" t="e">
        <v>#DIV/0!</v>
      </c>
      <c r="CD24" s="291">
        <f t="shared" si="42"/>
        <v>30</v>
      </c>
      <c r="CE24" s="68">
        <f t="shared" si="42"/>
        <v>506990</v>
      </c>
      <c r="CF24" s="57">
        <f t="shared" si="43"/>
        <v>15363.333333333334</v>
      </c>
      <c r="CG24" s="68">
        <f t="shared" si="44"/>
        <v>156970</v>
      </c>
      <c r="CH24" s="57">
        <f t="shared" si="45"/>
        <v>4756.666666666667</v>
      </c>
      <c r="CI24" s="292">
        <f t="shared" si="46"/>
        <v>663960</v>
      </c>
      <c r="CJ24" s="293">
        <f t="shared" si="47"/>
        <v>22132</v>
      </c>
    </row>
    <row r="25" spans="1:88" ht="15.75" customHeight="1">
      <c r="A25" s="51"/>
      <c r="B25" s="97">
        <f t="shared" si="22"/>
        <v>46012</v>
      </c>
      <c r="C25" s="84"/>
      <c r="D25" s="53">
        <v>10</v>
      </c>
      <c r="E25" s="54">
        <v>19</v>
      </c>
      <c r="F25" s="55">
        <v>198000</v>
      </c>
      <c r="G25" s="56">
        <f t="shared" si="0"/>
        <v>9473.6842105263149</v>
      </c>
      <c r="H25" s="55">
        <v>38610</v>
      </c>
      <c r="I25" s="56">
        <f t="shared" si="1"/>
        <v>1847.3684210526317</v>
      </c>
      <c r="J25" s="58">
        <f t="shared" si="2"/>
        <v>236610</v>
      </c>
      <c r="K25" s="59">
        <f t="shared" si="3"/>
        <v>12453.157894736842</v>
      </c>
      <c r="L25" s="85"/>
      <c r="M25" s="86"/>
      <c r="N25" s="87"/>
      <c r="O25" s="88" t="e">
        <f t="shared" si="4"/>
        <v>#DIV/0!</v>
      </c>
      <c r="P25" s="87"/>
      <c r="Q25" s="89" t="e">
        <f t="shared" si="5"/>
        <v>#DIV/0!</v>
      </c>
      <c r="R25" s="90">
        <f t="shared" si="48"/>
        <v>0</v>
      </c>
      <c r="S25" s="91" t="str">
        <f t="shared" si="7"/>
        <v/>
      </c>
      <c r="T25" s="67">
        <f t="shared" si="23"/>
        <v>20</v>
      </c>
      <c r="U25" s="68">
        <f t="shared" si="24"/>
        <v>417120</v>
      </c>
      <c r="V25" s="56">
        <f t="shared" si="8"/>
        <v>18960</v>
      </c>
      <c r="W25" s="68">
        <f t="shared" si="25"/>
        <v>79530</v>
      </c>
      <c r="X25" s="100">
        <f t="shared" si="9"/>
        <v>3615</v>
      </c>
      <c r="Y25" s="92">
        <f t="shared" si="26"/>
        <v>496650</v>
      </c>
      <c r="Z25" s="70">
        <f t="shared" si="10"/>
        <v>24832.5</v>
      </c>
      <c r="AA25" s="71">
        <f t="shared" si="27"/>
        <v>39</v>
      </c>
      <c r="AB25" s="68">
        <f t="shared" si="27"/>
        <v>615120</v>
      </c>
      <c r="AC25" s="68">
        <f t="shared" si="28"/>
        <v>118140</v>
      </c>
      <c r="AD25" s="72">
        <f t="shared" si="49"/>
        <v>733260</v>
      </c>
      <c r="AE25" s="68">
        <f t="shared" si="29"/>
        <v>18801.538461538461</v>
      </c>
      <c r="AF25" s="73">
        <v>102</v>
      </c>
      <c r="AG25" s="74">
        <v>102</v>
      </c>
      <c r="AH25" s="55">
        <v>141800</v>
      </c>
      <c r="AI25" s="56">
        <f t="shared" si="12"/>
        <v>1390.1960784313726</v>
      </c>
      <c r="AJ25" s="55">
        <v>14300</v>
      </c>
      <c r="AK25" s="57">
        <f t="shared" si="13"/>
        <v>140.19607843137254</v>
      </c>
      <c r="AL25" s="93">
        <f t="shared" si="30"/>
        <v>156100</v>
      </c>
      <c r="AM25" s="76">
        <f t="shared" si="14"/>
        <v>1530.3921568627452</v>
      </c>
      <c r="AN25" s="339">
        <v>1</v>
      </c>
      <c r="AO25" s="340">
        <v>3</v>
      </c>
      <c r="AP25" s="339">
        <v>1</v>
      </c>
      <c r="AQ25" s="340">
        <v>4</v>
      </c>
      <c r="AR25" s="99">
        <f t="shared" si="31"/>
        <v>39</v>
      </c>
      <c r="AS25" s="94">
        <f t="shared" si="32"/>
        <v>756920</v>
      </c>
      <c r="AT25" s="94">
        <f t="shared" si="15"/>
        <v>132440</v>
      </c>
      <c r="AU25" s="77">
        <f t="shared" si="33"/>
        <v>889360</v>
      </c>
      <c r="AV25" s="68">
        <f t="shared" si="50"/>
        <v>4400</v>
      </c>
      <c r="AW25" s="94">
        <v>39</v>
      </c>
      <c r="AX25" s="94">
        <v>615120</v>
      </c>
      <c r="AY25" s="94">
        <v>118140</v>
      </c>
      <c r="AZ25" s="95">
        <v>4400</v>
      </c>
      <c r="BA25" s="95">
        <v>0</v>
      </c>
      <c r="BB25" s="95">
        <v>0</v>
      </c>
      <c r="BC25" s="95">
        <v>13500</v>
      </c>
      <c r="BD25" s="96">
        <f>SUM(AX25:BB25)</f>
        <v>737660</v>
      </c>
      <c r="BE25" s="51">
        <v>21</v>
      </c>
      <c r="BF25" s="80">
        <f t="shared" si="35"/>
        <v>751160</v>
      </c>
      <c r="BG25" s="81">
        <f t="shared" si="16"/>
        <v>893760</v>
      </c>
      <c r="BO25" s="287">
        <f t="shared" si="36"/>
        <v>10</v>
      </c>
      <c r="BP25" s="54">
        <f t="shared" si="36"/>
        <v>19</v>
      </c>
      <c r="BQ25" s="68">
        <f t="shared" si="36"/>
        <v>198000</v>
      </c>
      <c r="BR25" s="56">
        <f t="shared" si="17"/>
        <v>9473.6842105263149</v>
      </c>
      <c r="BS25" s="68">
        <f t="shared" si="37"/>
        <v>38610</v>
      </c>
      <c r="BT25" s="57">
        <f t="shared" si="18"/>
        <v>1847.3684210526317</v>
      </c>
      <c r="BU25" s="58">
        <f t="shared" si="38"/>
        <v>236610</v>
      </c>
      <c r="BV25" s="59">
        <f t="shared" si="19"/>
        <v>12453.157894736842</v>
      </c>
      <c r="BW25" s="288">
        <f t="shared" si="39"/>
        <v>20</v>
      </c>
      <c r="BX25" s="68">
        <f t="shared" si="39"/>
        <v>417120</v>
      </c>
      <c r="BY25" s="56">
        <f t="shared" si="20"/>
        <v>18960</v>
      </c>
      <c r="BZ25" s="68">
        <f t="shared" si="40"/>
        <v>79530</v>
      </c>
      <c r="CA25" s="57">
        <f t="shared" si="21"/>
        <v>3615</v>
      </c>
      <c r="CB25" s="289">
        <f t="shared" si="41"/>
        <v>496650</v>
      </c>
      <c r="CC25" s="290" t="e">
        <v>#DIV/0!</v>
      </c>
      <c r="CD25" s="291">
        <f t="shared" si="42"/>
        <v>39</v>
      </c>
      <c r="CE25" s="68">
        <f t="shared" si="42"/>
        <v>615120</v>
      </c>
      <c r="CF25" s="57">
        <f t="shared" si="43"/>
        <v>14338.461538461539</v>
      </c>
      <c r="CG25" s="68">
        <f t="shared" si="44"/>
        <v>118140</v>
      </c>
      <c r="CH25" s="57">
        <f t="shared" si="45"/>
        <v>2753.8461538461538</v>
      </c>
      <c r="CI25" s="292">
        <f t="shared" si="46"/>
        <v>733260</v>
      </c>
      <c r="CJ25" s="293">
        <f t="shared" si="47"/>
        <v>18801.538461538461</v>
      </c>
    </row>
    <row r="26" spans="1:88" ht="15.75" customHeight="1">
      <c r="A26" s="51"/>
      <c r="B26" s="333">
        <f t="shared" si="22"/>
        <v>46013</v>
      </c>
      <c r="C26" s="84"/>
      <c r="D26" s="53">
        <v>1</v>
      </c>
      <c r="E26" s="54">
        <v>2</v>
      </c>
      <c r="F26" s="55">
        <v>17600</v>
      </c>
      <c r="G26" s="56">
        <f t="shared" si="0"/>
        <v>8000</v>
      </c>
      <c r="H26" s="55">
        <v>1980</v>
      </c>
      <c r="I26" s="56">
        <f t="shared" si="1"/>
        <v>900</v>
      </c>
      <c r="J26" s="58">
        <f t="shared" si="2"/>
        <v>19580</v>
      </c>
      <c r="K26" s="59">
        <f t="shared" si="3"/>
        <v>9790</v>
      </c>
      <c r="L26" s="85"/>
      <c r="M26" s="86"/>
      <c r="N26" s="87"/>
      <c r="O26" s="88" t="e">
        <f t="shared" si="4"/>
        <v>#DIV/0!</v>
      </c>
      <c r="P26" s="87"/>
      <c r="Q26" s="89" t="e">
        <f t="shared" si="5"/>
        <v>#DIV/0!</v>
      </c>
      <c r="R26" s="90">
        <f t="shared" si="48"/>
        <v>0</v>
      </c>
      <c r="S26" s="91" t="str">
        <f t="shared" si="7"/>
        <v/>
      </c>
      <c r="T26" s="67">
        <f t="shared" si="23"/>
        <v>18</v>
      </c>
      <c r="U26" s="68">
        <f t="shared" si="24"/>
        <v>282360</v>
      </c>
      <c r="V26" s="56">
        <f t="shared" si="8"/>
        <v>14260.555555555555</v>
      </c>
      <c r="W26" s="68">
        <f t="shared" si="25"/>
        <v>69710</v>
      </c>
      <c r="X26" s="100">
        <f t="shared" si="9"/>
        <v>3520.6666666666665</v>
      </c>
      <c r="Y26" s="92">
        <f t="shared" si="26"/>
        <v>352070</v>
      </c>
      <c r="Z26" s="70">
        <f t="shared" si="10"/>
        <v>19559.444444444445</v>
      </c>
      <c r="AA26" s="71">
        <f t="shared" si="27"/>
        <v>20</v>
      </c>
      <c r="AB26" s="68">
        <f t="shared" si="27"/>
        <v>299960</v>
      </c>
      <c r="AC26" s="68">
        <f t="shared" si="28"/>
        <v>71690</v>
      </c>
      <c r="AD26" s="72">
        <f t="shared" si="49"/>
        <v>371650</v>
      </c>
      <c r="AE26" s="68">
        <f t="shared" si="29"/>
        <v>18582.5</v>
      </c>
      <c r="AF26" s="73">
        <v>62</v>
      </c>
      <c r="AG26" s="74">
        <v>64</v>
      </c>
      <c r="AH26" s="55">
        <v>80750</v>
      </c>
      <c r="AI26" s="56">
        <f t="shared" si="12"/>
        <v>1261.71875</v>
      </c>
      <c r="AJ26" s="55">
        <v>5800</v>
      </c>
      <c r="AK26" s="57">
        <f t="shared" si="13"/>
        <v>90.625</v>
      </c>
      <c r="AL26" s="93">
        <f t="shared" si="30"/>
        <v>86550</v>
      </c>
      <c r="AM26" s="76">
        <f t="shared" si="14"/>
        <v>1352.34375</v>
      </c>
      <c r="AN26" s="339">
        <v>2</v>
      </c>
      <c r="AO26" s="340">
        <v>2</v>
      </c>
      <c r="AP26" s="339">
        <v>0</v>
      </c>
      <c r="AQ26" s="340">
        <v>0</v>
      </c>
      <c r="AR26" s="99">
        <f t="shared" si="31"/>
        <v>20</v>
      </c>
      <c r="AS26" s="94">
        <f t="shared" si="32"/>
        <v>380710</v>
      </c>
      <c r="AT26" s="94">
        <f t="shared" si="15"/>
        <v>77490</v>
      </c>
      <c r="AU26" s="77">
        <f t="shared" si="33"/>
        <v>458200</v>
      </c>
      <c r="AV26" s="68">
        <f t="shared" si="50"/>
        <v>0</v>
      </c>
      <c r="AW26" s="94">
        <v>20</v>
      </c>
      <c r="AX26" s="94">
        <v>299960</v>
      </c>
      <c r="AY26" s="94">
        <v>71690</v>
      </c>
      <c r="AZ26" s="95">
        <v>0</v>
      </c>
      <c r="BA26" s="95">
        <v>0</v>
      </c>
      <c r="BB26" s="95">
        <v>0</v>
      </c>
      <c r="BC26" s="95">
        <v>5500</v>
      </c>
      <c r="BD26" s="96">
        <f t="shared" si="34"/>
        <v>371650</v>
      </c>
      <c r="BE26" s="51">
        <v>22</v>
      </c>
      <c r="BF26" s="80">
        <f t="shared" si="35"/>
        <v>377150</v>
      </c>
      <c r="BG26" s="81">
        <f t="shared" si="16"/>
        <v>458200</v>
      </c>
      <c r="BO26" s="287">
        <f t="shared" si="36"/>
        <v>1</v>
      </c>
      <c r="BP26" s="54">
        <f t="shared" si="36"/>
        <v>2</v>
      </c>
      <c r="BQ26" s="68">
        <f t="shared" si="36"/>
        <v>17600</v>
      </c>
      <c r="BR26" s="56">
        <f t="shared" si="17"/>
        <v>8000</v>
      </c>
      <c r="BS26" s="68">
        <f t="shared" si="37"/>
        <v>1980</v>
      </c>
      <c r="BT26" s="57">
        <f t="shared" si="18"/>
        <v>900</v>
      </c>
      <c r="BU26" s="58">
        <f t="shared" si="38"/>
        <v>19580</v>
      </c>
      <c r="BV26" s="59">
        <f t="shared" si="19"/>
        <v>9790</v>
      </c>
      <c r="BW26" s="288">
        <f t="shared" si="39"/>
        <v>18</v>
      </c>
      <c r="BX26" s="68">
        <f t="shared" si="39"/>
        <v>282360</v>
      </c>
      <c r="BY26" s="56">
        <f t="shared" si="20"/>
        <v>14260.555555555555</v>
      </c>
      <c r="BZ26" s="68">
        <f t="shared" si="40"/>
        <v>69710</v>
      </c>
      <c r="CA26" s="57">
        <f t="shared" si="21"/>
        <v>3520.6666666666665</v>
      </c>
      <c r="CB26" s="289">
        <f t="shared" si="41"/>
        <v>352070</v>
      </c>
      <c r="CC26" s="290" t="e">
        <v>#DIV/0!</v>
      </c>
      <c r="CD26" s="291">
        <f t="shared" si="42"/>
        <v>20</v>
      </c>
      <c r="CE26" s="68">
        <f t="shared" si="42"/>
        <v>299960</v>
      </c>
      <c r="CF26" s="57">
        <f t="shared" si="43"/>
        <v>13634.5</v>
      </c>
      <c r="CG26" s="68">
        <f t="shared" si="44"/>
        <v>71690</v>
      </c>
      <c r="CH26" s="57">
        <f t="shared" si="45"/>
        <v>3258.6</v>
      </c>
      <c r="CI26" s="292">
        <f t="shared" si="46"/>
        <v>371650</v>
      </c>
      <c r="CJ26" s="293">
        <f t="shared" si="47"/>
        <v>18582.5</v>
      </c>
    </row>
    <row r="27" spans="1:88" ht="15.75" customHeight="1">
      <c r="A27" s="51"/>
      <c r="B27" s="333">
        <f t="shared" si="22"/>
        <v>46014</v>
      </c>
      <c r="C27" s="84"/>
      <c r="D27" s="53">
        <v>4</v>
      </c>
      <c r="E27" s="54">
        <v>9</v>
      </c>
      <c r="F27" s="55">
        <v>101200</v>
      </c>
      <c r="G27" s="56">
        <f t="shared" si="0"/>
        <v>10222.222222222223</v>
      </c>
      <c r="H27" s="55">
        <v>44440</v>
      </c>
      <c r="I27" s="56">
        <f t="shared" si="1"/>
        <v>4488.8888888888887</v>
      </c>
      <c r="J27" s="58">
        <f t="shared" si="2"/>
        <v>145640</v>
      </c>
      <c r="K27" s="59">
        <f t="shared" si="3"/>
        <v>16182.222222222223</v>
      </c>
      <c r="L27" s="85"/>
      <c r="M27" s="86"/>
      <c r="N27" s="87"/>
      <c r="O27" s="88" t="e">
        <f t="shared" si="4"/>
        <v>#DIV/0!</v>
      </c>
      <c r="P27" s="87"/>
      <c r="Q27" s="89" t="e">
        <f t="shared" si="5"/>
        <v>#DIV/0!</v>
      </c>
      <c r="R27" s="90">
        <f t="shared" si="48"/>
        <v>0</v>
      </c>
      <c r="S27" s="91" t="str">
        <f t="shared" si="7"/>
        <v/>
      </c>
      <c r="T27" s="67">
        <f t="shared" si="23"/>
        <v>14</v>
      </c>
      <c r="U27" s="68">
        <f t="shared" si="24"/>
        <v>277200</v>
      </c>
      <c r="V27" s="56">
        <f t="shared" si="8"/>
        <v>18000</v>
      </c>
      <c r="W27" s="68">
        <f t="shared" si="25"/>
        <v>114180</v>
      </c>
      <c r="X27" s="57">
        <f t="shared" si="9"/>
        <v>7414.2857142857147</v>
      </c>
      <c r="Y27" s="92">
        <f t="shared" si="26"/>
        <v>391380</v>
      </c>
      <c r="Z27" s="70">
        <f t="shared" si="10"/>
        <v>27955.714285714286</v>
      </c>
      <c r="AA27" s="71">
        <f t="shared" si="27"/>
        <v>23</v>
      </c>
      <c r="AB27" s="68">
        <f t="shared" si="27"/>
        <v>378400</v>
      </c>
      <c r="AC27" s="68">
        <f t="shared" si="28"/>
        <v>158620</v>
      </c>
      <c r="AD27" s="72">
        <f t="shared" si="49"/>
        <v>537020</v>
      </c>
      <c r="AE27" s="68">
        <f t="shared" si="29"/>
        <v>23348.695652173912</v>
      </c>
      <c r="AF27" s="73">
        <v>64</v>
      </c>
      <c r="AG27" s="74">
        <v>64</v>
      </c>
      <c r="AH27" s="55">
        <v>78050</v>
      </c>
      <c r="AI27" s="56">
        <f t="shared" si="12"/>
        <v>1219.53125</v>
      </c>
      <c r="AJ27" s="55">
        <v>14800</v>
      </c>
      <c r="AK27" s="57">
        <f t="shared" si="13"/>
        <v>231.25</v>
      </c>
      <c r="AL27" s="93">
        <f t="shared" si="30"/>
        <v>92850</v>
      </c>
      <c r="AM27" s="76">
        <f t="shared" si="14"/>
        <v>1450.78125</v>
      </c>
      <c r="AN27" s="339">
        <v>0</v>
      </c>
      <c r="AO27" s="340">
        <v>0</v>
      </c>
      <c r="AP27" s="339">
        <v>0</v>
      </c>
      <c r="AQ27" s="340">
        <v>0</v>
      </c>
      <c r="AR27" s="99">
        <f t="shared" si="31"/>
        <v>23</v>
      </c>
      <c r="AS27" s="94">
        <f t="shared" si="32"/>
        <v>456450</v>
      </c>
      <c r="AT27" s="94">
        <f t="shared" si="15"/>
        <v>173420</v>
      </c>
      <c r="AU27" s="77">
        <f t="shared" si="33"/>
        <v>629870</v>
      </c>
      <c r="AV27" s="68">
        <f t="shared" si="50"/>
        <v>3300</v>
      </c>
      <c r="AW27" s="94">
        <v>23</v>
      </c>
      <c r="AX27" s="94">
        <v>378400</v>
      </c>
      <c r="AY27" s="94">
        <v>158620</v>
      </c>
      <c r="AZ27" s="95">
        <v>3300</v>
      </c>
      <c r="BA27" s="95">
        <v>0</v>
      </c>
      <c r="BB27" s="95">
        <v>0</v>
      </c>
      <c r="BC27" s="95">
        <v>0</v>
      </c>
      <c r="BD27" s="96">
        <f t="shared" si="34"/>
        <v>540320</v>
      </c>
      <c r="BE27" s="51">
        <v>23</v>
      </c>
      <c r="BF27" s="80">
        <f t="shared" si="35"/>
        <v>540320</v>
      </c>
      <c r="BG27" s="81">
        <f t="shared" si="16"/>
        <v>633170</v>
      </c>
      <c r="BO27" s="287">
        <f t="shared" si="36"/>
        <v>4</v>
      </c>
      <c r="BP27" s="54">
        <f t="shared" si="36"/>
        <v>9</v>
      </c>
      <c r="BQ27" s="68">
        <f t="shared" si="36"/>
        <v>101200</v>
      </c>
      <c r="BR27" s="56">
        <f t="shared" si="17"/>
        <v>10222.222222222223</v>
      </c>
      <c r="BS27" s="68">
        <f t="shared" si="37"/>
        <v>44440</v>
      </c>
      <c r="BT27" s="57">
        <f t="shared" si="18"/>
        <v>4488.8888888888887</v>
      </c>
      <c r="BU27" s="58">
        <f t="shared" si="38"/>
        <v>145640</v>
      </c>
      <c r="BV27" s="59">
        <f t="shared" si="19"/>
        <v>16182.222222222223</v>
      </c>
      <c r="BW27" s="288">
        <f t="shared" si="39"/>
        <v>14</v>
      </c>
      <c r="BX27" s="68">
        <f t="shared" si="39"/>
        <v>277200</v>
      </c>
      <c r="BY27" s="56">
        <f t="shared" si="20"/>
        <v>18000</v>
      </c>
      <c r="BZ27" s="68">
        <f t="shared" si="40"/>
        <v>114180</v>
      </c>
      <c r="CA27" s="57">
        <f t="shared" si="21"/>
        <v>7414.2857142857147</v>
      </c>
      <c r="CB27" s="289">
        <f t="shared" si="41"/>
        <v>391380</v>
      </c>
      <c r="CC27" s="290" t="e">
        <v>#DIV/0!</v>
      </c>
      <c r="CD27" s="291">
        <f t="shared" si="42"/>
        <v>23</v>
      </c>
      <c r="CE27" s="68">
        <f t="shared" si="42"/>
        <v>378400</v>
      </c>
      <c r="CF27" s="57">
        <f t="shared" si="43"/>
        <v>14956.521739130434</v>
      </c>
      <c r="CG27" s="68">
        <f t="shared" si="44"/>
        <v>158620</v>
      </c>
      <c r="CH27" s="57">
        <f t="shared" si="45"/>
        <v>6269.565217391304</v>
      </c>
      <c r="CI27" s="292">
        <f t="shared" si="46"/>
        <v>537020</v>
      </c>
      <c r="CJ27" s="293">
        <f t="shared" si="47"/>
        <v>23348.695652173912</v>
      </c>
    </row>
    <row r="28" spans="1:88" ht="15.75" customHeight="1">
      <c r="A28" s="51"/>
      <c r="B28" s="333">
        <f t="shared" si="22"/>
        <v>46015</v>
      </c>
      <c r="C28" s="84"/>
      <c r="D28" s="53">
        <v>5</v>
      </c>
      <c r="E28" s="54">
        <v>10</v>
      </c>
      <c r="F28" s="55">
        <v>96800</v>
      </c>
      <c r="G28" s="56">
        <f t="shared" si="0"/>
        <v>8800</v>
      </c>
      <c r="H28" s="55">
        <v>18700</v>
      </c>
      <c r="I28" s="56">
        <f t="shared" si="1"/>
        <v>1700</v>
      </c>
      <c r="J28" s="58">
        <f t="shared" si="2"/>
        <v>115500</v>
      </c>
      <c r="K28" s="59">
        <f t="shared" si="3"/>
        <v>11550</v>
      </c>
      <c r="L28" s="85"/>
      <c r="M28" s="86"/>
      <c r="N28" s="87"/>
      <c r="O28" s="88" t="e">
        <f t="shared" si="4"/>
        <v>#DIV/0!</v>
      </c>
      <c r="P28" s="87"/>
      <c r="Q28" s="89" t="e">
        <f t="shared" si="5"/>
        <v>#DIV/0!</v>
      </c>
      <c r="R28" s="90">
        <f t="shared" si="48"/>
        <v>0</v>
      </c>
      <c r="S28" s="91" t="str">
        <f t="shared" si="7"/>
        <v/>
      </c>
      <c r="T28" s="67">
        <f t="shared" si="23"/>
        <v>27</v>
      </c>
      <c r="U28" s="68">
        <f t="shared" si="24"/>
        <v>507560</v>
      </c>
      <c r="V28" s="56">
        <f t="shared" si="8"/>
        <v>17089.555555555555</v>
      </c>
      <c r="W28" s="68">
        <f t="shared" si="25"/>
        <v>534600</v>
      </c>
      <c r="X28" s="57">
        <f t="shared" si="9"/>
        <v>18000</v>
      </c>
      <c r="Y28" s="92">
        <f t="shared" si="26"/>
        <v>1042160</v>
      </c>
      <c r="Z28" s="70">
        <f t="shared" si="10"/>
        <v>38598.518518518518</v>
      </c>
      <c r="AA28" s="71">
        <f t="shared" si="27"/>
        <v>37</v>
      </c>
      <c r="AB28" s="68">
        <f t="shared" si="27"/>
        <v>604360</v>
      </c>
      <c r="AC28" s="68">
        <f t="shared" si="28"/>
        <v>553300</v>
      </c>
      <c r="AD28" s="72">
        <f t="shared" si="49"/>
        <v>1157660</v>
      </c>
      <c r="AE28" s="68">
        <f t="shared" si="29"/>
        <v>31288.108108108107</v>
      </c>
      <c r="AF28" s="73">
        <v>64</v>
      </c>
      <c r="AG28" s="74">
        <v>64</v>
      </c>
      <c r="AH28" s="55">
        <v>127490</v>
      </c>
      <c r="AI28" s="56">
        <f t="shared" si="12"/>
        <v>1992.03125</v>
      </c>
      <c r="AJ28" s="55">
        <v>9100</v>
      </c>
      <c r="AK28" s="57">
        <f t="shared" si="13"/>
        <v>142.1875</v>
      </c>
      <c r="AL28" s="93">
        <f t="shared" si="30"/>
        <v>136590</v>
      </c>
      <c r="AM28" s="76">
        <f t="shared" si="14"/>
        <v>2134.21875</v>
      </c>
      <c r="AN28" s="339">
        <v>1</v>
      </c>
      <c r="AO28" s="340">
        <v>2</v>
      </c>
      <c r="AP28" s="339">
        <v>0</v>
      </c>
      <c r="AQ28" s="340">
        <v>0</v>
      </c>
      <c r="AR28" s="99">
        <f t="shared" si="31"/>
        <v>37</v>
      </c>
      <c r="AS28" s="94">
        <f t="shared" si="32"/>
        <v>731850</v>
      </c>
      <c r="AT28" s="94">
        <f t="shared" si="15"/>
        <v>562400</v>
      </c>
      <c r="AU28" s="77">
        <f t="shared" si="33"/>
        <v>1294250</v>
      </c>
      <c r="AV28" s="68">
        <f t="shared" si="50"/>
        <v>0</v>
      </c>
      <c r="AW28" s="94">
        <v>37</v>
      </c>
      <c r="AX28" s="94">
        <v>604360</v>
      </c>
      <c r="AY28" s="94">
        <v>553300</v>
      </c>
      <c r="AZ28" s="95">
        <v>0</v>
      </c>
      <c r="BA28" s="95">
        <v>0</v>
      </c>
      <c r="BB28" s="95">
        <v>0</v>
      </c>
      <c r="BC28" s="95">
        <v>0</v>
      </c>
      <c r="BD28" s="96">
        <f t="shared" si="34"/>
        <v>1157660</v>
      </c>
      <c r="BE28" s="51">
        <v>24</v>
      </c>
      <c r="BF28" s="80">
        <f t="shared" si="35"/>
        <v>1157660</v>
      </c>
      <c r="BG28" s="81">
        <f t="shared" si="16"/>
        <v>1294250</v>
      </c>
      <c r="BO28" s="287">
        <f t="shared" si="36"/>
        <v>5</v>
      </c>
      <c r="BP28" s="54">
        <f t="shared" si="36"/>
        <v>10</v>
      </c>
      <c r="BQ28" s="68">
        <f t="shared" si="36"/>
        <v>96800</v>
      </c>
      <c r="BR28" s="56">
        <f t="shared" si="17"/>
        <v>8800</v>
      </c>
      <c r="BS28" s="68">
        <f t="shared" si="37"/>
        <v>18700</v>
      </c>
      <c r="BT28" s="57">
        <f t="shared" si="18"/>
        <v>1700</v>
      </c>
      <c r="BU28" s="58">
        <f t="shared" si="38"/>
        <v>115500</v>
      </c>
      <c r="BV28" s="59">
        <f t="shared" si="19"/>
        <v>11550</v>
      </c>
      <c r="BW28" s="288">
        <f t="shared" si="39"/>
        <v>27</v>
      </c>
      <c r="BX28" s="68">
        <f t="shared" si="39"/>
        <v>507560</v>
      </c>
      <c r="BY28" s="56">
        <f t="shared" si="20"/>
        <v>17089.555555555555</v>
      </c>
      <c r="BZ28" s="68">
        <f t="shared" si="40"/>
        <v>534600</v>
      </c>
      <c r="CA28" s="57">
        <f t="shared" si="21"/>
        <v>18000</v>
      </c>
      <c r="CB28" s="289">
        <f t="shared" si="41"/>
        <v>1042160</v>
      </c>
      <c r="CC28" s="290" t="e">
        <v>#DIV/0!</v>
      </c>
      <c r="CD28" s="291">
        <f t="shared" si="42"/>
        <v>37</v>
      </c>
      <c r="CE28" s="68">
        <f t="shared" si="42"/>
        <v>604360</v>
      </c>
      <c r="CF28" s="57">
        <f t="shared" si="43"/>
        <v>14849.135135135135</v>
      </c>
      <c r="CG28" s="68">
        <f t="shared" si="44"/>
        <v>553300</v>
      </c>
      <c r="CH28" s="57">
        <f t="shared" si="45"/>
        <v>13594.594594594595</v>
      </c>
      <c r="CI28" s="292">
        <f t="shared" si="46"/>
        <v>1157660</v>
      </c>
      <c r="CJ28" s="293">
        <f t="shared" si="47"/>
        <v>31288.108108108107</v>
      </c>
    </row>
    <row r="29" spans="1:88" ht="15.75" customHeight="1">
      <c r="A29" s="51"/>
      <c r="B29" s="333">
        <f t="shared" si="22"/>
        <v>46016</v>
      </c>
      <c r="C29" s="84"/>
      <c r="D29" s="53">
        <v>6</v>
      </c>
      <c r="E29" s="54">
        <v>13</v>
      </c>
      <c r="F29" s="55">
        <v>100980</v>
      </c>
      <c r="G29" s="56">
        <f t="shared" si="0"/>
        <v>7061.5384615384619</v>
      </c>
      <c r="H29" s="55">
        <v>43340</v>
      </c>
      <c r="I29" s="56">
        <f t="shared" si="1"/>
        <v>3030.7692307692309</v>
      </c>
      <c r="J29" s="58">
        <f t="shared" si="2"/>
        <v>144320</v>
      </c>
      <c r="K29" s="59">
        <f t="shared" si="3"/>
        <v>11101.538461538461</v>
      </c>
      <c r="L29" s="85"/>
      <c r="M29" s="86"/>
      <c r="N29" s="87"/>
      <c r="O29" s="88" t="e">
        <f t="shared" si="4"/>
        <v>#DIV/0!</v>
      </c>
      <c r="P29" s="87"/>
      <c r="Q29" s="89" t="e">
        <f t="shared" si="5"/>
        <v>#DIV/0!</v>
      </c>
      <c r="R29" s="90">
        <f t="shared" si="48"/>
        <v>0</v>
      </c>
      <c r="S29" s="91" t="str">
        <f t="shared" si="7"/>
        <v/>
      </c>
      <c r="T29" s="67">
        <f t="shared" si="23"/>
        <v>22</v>
      </c>
      <c r="U29" s="68">
        <f>AX29-(F29+N29)</f>
        <v>448800</v>
      </c>
      <c r="V29" s="56">
        <f t="shared" si="8"/>
        <v>18545.454545454544</v>
      </c>
      <c r="W29" s="68">
        <f t="shared" si="25"/>
        <v>110330</v>
      </c>
      <c r="X29" s="57">
        <f t="shared" si="9"/>
        <v>4559.090909090909</v>
      </c>
      <c r="Y29" s="92">
        <f t="shared" si="26"/>
        <v>559130</v>
      </c>
      <c r="Z29" s="70">
        <f t="shared" si="10"/>
        <v>25415</v>
      </c>
      <c r="AA29" s="71">
        <f t="shared" si="27"/>
        <v>35</v>
      </c>
      <c r="AB29" s="68">
        <f t="shared" si="27"/>
        <v>549780</v>
      </c>
      <c r="AC29" s="68">
        <f t="shared" si="28"/>
        <v>153670</v>
      </c>
      <c r="AD29" s="72">
        <f>J29+Y29+R29</f>
        <v>703450</v>
      </c>
      <c r="AE29" s="68">
        <f t="shared" si="29"/>
        <v>20098.571428571428</v>
      </c>
      <c r="AF29" s="73">
        <v>75</v>
      </c>
      <c r="AG29" s="74">
        <v>80</v>
      </c>
      <c r="AH29" s="55">
        <v>113110</v>
      </c>
      <c r="AI29" s="56">
        <f t="shared" si="12"/>
        <v>1413.875</v>
      </c>
      <c r="AJ29" s="55">
        <v>8700</v>
      </c>
      <c r="AK29" s="57">
        <f t="shared" si="13"/>
        <v>108.75</v>
      </c>
      <c r="AL29" s="93">
        <f t="shared" si="30"/>
        <v>121810</v>
      </c>
      <c r="AM29" s="76">
        <f t="shared" si="14"/>
        <v>1522.625</v>
      </c>
      <c r="AN29" s="339">
        <v>0</v>
      </c>
      <c r="AO29" s="340">
        <v>0</v>
      </c>
      <c r="AP29" s="339">
        <v>1</v>
      </c>
      <c r="AQ29" s="340">
        <v>2</v>
      </c>
      <c r="AR29" s="99">
        <f t="shared" si="31"/>
        <v>35</v>
      </c>
      <c r="AS29" s="94">
        <f t="shared" si="32"/>
        <v>662890</v>
      </c>
      <c r="AT29" s="94">
        <f t="shared" si="15"/>
        <v>162370</v>
      </c>
      <c r="AU29" s="77">
        <f t="shared" si="33"/>
        <v>825260</v>
      </c>
      <c r="AV29" s="68">
        <f t="shared" si="50"/>
        <v>0</v>
      </c>
      <c r="AW29" s="94">
        <v>35</v>
      </c>
      <c r="AX29" s="94">
        <v>549780</v>
      </c>
      <c r="AY29" s="94">
        <v>153670</v>
      </c>
      <c r="AZ29" s="95">
        <v>0</v>
      </c>
      <c r="BA29" s="95">
        <v>0</v>
      </c>
      <c r="BB29" s="95">
        <v>0</v>
      </c>
      <c r="BC29" s="95">
        <v>0</v>
      </c>
      <c r="BD29" s="96">
        <f t="shared" si="34"/>
        <v>703450</v>
      </c>
      <c r="BE29" s="51">
        <v>25</v>
      </c>
      <c r="BF29" s="80">
        <f t="shared" si="35"/>
        <v>703450</v>
      </c>
      <c r="BG29" s="81">
        <f t="shared" si="16"/>
        <v>825260</v>
      </c>
      <c r="BO29" s="287">
        <f t="shared" si="36"/>
        <v>6</v>
      </c>
      <c r="BP29" s="54">
        <f t="shared" si="36"/>
        <v>13</v>
      </c>
      <c r="BQ29" s="68">
        <f t="shared" si="36"/>
        <v>100980</v>
      </c>
      <c r="BR29" s="56">
        <f t="shared" si="17"/>
        <v>7061.5384615384619</v>
      </c>
      <c r="BS29" s="68">
        <f t="shared" si="37"/>
        <v>43340</v>
      </c>
      <c r="BT29" s="57">
        <f t="shared" si="18"/>
        <v>3030.7692307692309</v>
      </c>
      <c r="BU29" s="58">
        <f t="shared" si="38"/>
        <v>144320</v>
      </c>
      <c r="BV29" s="59">
        <f t="shared" si="19"/>
        <v>11101.538461538461</v>
      </c>
      <c r="BW29" s="288">
        <f t="shared" si="39"/>
        <v>22</v>
      </c>
      <c r="BX29" s="68">
        <f t="shared" si="39"/>
        <v>448800</v>
      </c>
      <c r="BY29" s="56">
        <f t="shared" si="20"/>
        <v>18545.454545454544</v>
      </c>
      <c r="BZ29" s="68">
        <f t="shared" si="40"/>
        <v>110330</v>
      </c>
      <c r="CA29" s="57">
        <f t="shared" si="21"/>
        <v>4559.090909090909</v>
      </c>
      <c r="CB29" s="289">
        <f t="shared" si="41"/>
        <v>559130</v>
      </c>
      <c r="CC29" s="290" t="e">
        <v>#DIV/0!</v>
      </c>
      <c r="CD29" s="291">
        <f t="shared" si="42"/>
        <v>35</v>
      </c>
      <c r="CE29" s="68">
        <f t="shared" si="42"/>
        <v>549780</v>
      </c>
      <c r="CF29" s="57">
        <f t="shared" si="43"/>
        <v>14280</v>
      </c>
      <c r="CG29" s="68">
        <f t="shared" si="44"/>
        <v>153670</v>
      </c>
      <c r="CH29" s="57">
        <f t="shared" si="45"/>
        <v>3991.4285714285716</v>
      </c>
      <c r="CI29" s="292">
        <f t="shared" si="46"/>
        <v>703450</v>
      </c>
      <c r="CJ29" s="293">
        <f t="shared" si="47"/>
        <v>20098.571428571428</v>
      </c>
    </row>
    <row r="30" spans="1:88" ht="15.75" customHeight="1">
      <c r="A30" s="51"/>
      <c r="B30" s="333">
        <f t="shared" si="22"/>
        <v>46017</v>
      </c>
      <c r="C30" s="84"/>
      <c r="D30" s="53">
        <v>4</v>
      </c>
      <c r="E30" s="54">
        <v>15</v>
      </c>
      <c r="F30" s="55">
        <v>116800</v>
      </c>
      <c r="G30" s="56">
        <f>ROUNDDOWN(F30/1.1,0)/E30</f>
        <v>7078.7333333333336</v>
      </c>
      <c r="H30" s="55">
        <v>18940</v>
      </c>
      <c r="I30" s="56">
        <f t="shared" si="1"/>
        <v>1147.8666666666666</v>
      </c>
      <c r="J30" s="58">
        <f t="shared" si="2"/>
        <v>135740</v>
      </c>
      <c r="K30" s="59">
        <f>IF(E30="","",J30/E30)</f>
        <v>9049.3333333333339</v>
      </c>
      <c r="L30" s="85"/>
      <c r="M30" s="86"/>
      <c r="N30" s="87"/>
      <c r="O30" s="88" t="e">
        <f t="shared" si="4"/>
        <v>#DIV/0!</v>
      </c>
      <c r="P30" s="87"/>
      <c r="Q30" s="89" t="e">
        <f t="shared" si="5"/>
        <v>#DIV/0!</v>
      </c>
      <c r="R30" s="90">
        <f t="shared" si="48"/>
        <v>0</v>
      </c>
      <c r="S30" s="91" t="str">
        <f t="shared" si="7"/>
        <v/>
      </c>
      <c r="T30" s="67">
        <f t="shared" si="23"/>
        <v>21</v>
      </c>
      <c r="U30" s="68">
        <f t="shared" si="24"/>
        <v>378620</v>
      </c>
      <c r="V30" s="56">
        <f t="shared" si="8"/>
        <v>16390.476190476191</v>
      </c>
      <c r="W30" s="68">
        <f t="shared" si="25"/>
        <v>178750</v>
      </c>
      <c r="X30" s="56">
        <f t="shared" si="9"/>
        <v>7738.0952380952385</v>
      </c>
      <c r="Y30" s="92">
        <f t="shared" si="26"/>
        <v>557370</v>
      </c>
      <c r="Z30" s="70">
        <f t="shared" si="10"/>
        <v>26541.428571428572</v>
      </c>
      <c r="AA30" s="71">
        <f t="shared" si="27"/>
        <v>36</v>
      </c>
      <c r="AB30" s="68">
        <f t="shared" si="27"/>
        <v>495420</v>
      </c>
      <c r="AC30" s="68">
        <f t="shared" si="28"/>
        <v>197690</v>
      </c>
      <c r="AD30" s="72">
        <f t="shared" si="49"/>
        <v>693110</v>
      </c>
      <c r="AE30" s="68">
        <f t="shared" si="29"/>
        <v>19253.055555555555</v>
      </c>
      <c r="AF30" s="73">
        <v>169</v>
      </c>
      <c r="AG30" s="74">
        <v>172</v>
      </c>
      <c r="AH30" s="55">
        <v>134090</v>
      </c>
      <c r="AI30" s="56">
        <f t="shared" si="12"/>
        <v>779.59302325581393</v>
      </c>
      <c r="AJ30" s="55">
        <v>63800</v>
      </c>
      <c r="AK30" s="57">
        <f t="shared" si="13"/>
        <v>370.93023255813955</v>
      </c>
      <c r="AL30" s="93">
        <f t="shared" si="30"/>
        <v>197890</v>
      </c>
      <c r="AM30" s="76">
        <f t="shared" si="14"/>
        <v>1150.5232558139535</v>
      </c>
      <c r="AN30" s="339">
        <v>2</v>
      </c>
      <c r="AO30" s="340">
        <v>2</v>
      </c>
      <c r="AP30" s="339">
        <v>0</v>
      </c>
      <c r="AQ30" s="340">
        <v>0</v>
      </c>
      <c r="AR30" s="99">
        <f t="shared" si="31"/>
        <v>36</v>
      </c>
      <c r="AS30" s="94">
        <f t="shared" si="32"/>
        <v>629510</v>
      </c>
      <c r="AT30" s="94">
        <f t="shared" si="15"/>
        <v>261490</v>
      </c>
      <c r="AU30" s="77">
        <f t="shared" si="33"/>
        <v>891000</v>
      </c>
      <c r="AV30" s="68">
        <f t="shared" si="50"/>
        <v>4400</v>
      </c>
      <c r="AW30" s="94">
        <v>36</v>
      </c>
      <c r="AX30" s="94">
        <v>495420</v>
      </c>
      <c r="AY30" s="94">
        <v>197690</v>
      </c>
      <c r="AZ30" s="95">
        <v>4400</v>
      </c>
      <c r="BA30" s="95">
        <v>0</v>
      </c>
      <c r="BB30" s="95">
        <v>0</v>
      </c>
      <c r="BC30" s="95">
        <v>0</v>
      </c>
      <c r="BD30" s="96">
        <f t="shared" si="34"/>
        <v>697510</v>
      </c>
      <c r="BE30" s="51">
        <v>26</v>
      </c>
      <c r="BF30" s="80">
        <f t="shared" si="35"/>
        <v>697510</v>
      </c>
      <c r="BG30" s="81">
        <f t="shared" si="16"/>
        <v>895400</v>
      </c>
      <c r="BO30" s="287">
        <f t="shared" si="36"/>
        <v>4</v>
      </c>
      <c r="BP30" s="54">
        <f t="shared" si="36"/>
        <v>15</v>
      </c>
      <c r="BQ30" s="68">
        <f t="shared" si="36"/>
        <v>116800</v>
      </c>
      <c r="BR30" s="56">
        <f t="shared" si="17"/>
        <v>7078.7333333333336</v>
      </c>
      <c r="BS30" s="68">
        <f t="shared" si="37"/>
        <v>18940</v>
      </c>
      <c r="BT30" s="57">
        <f t="shared" si="18"/>
        <v>1147.8666666666666</v>
      </c>
      <c r="BU30" s="58">
        <f t="shared" si="38"/>
        <v>135740</v>
      </c>
      <c r="BV30" s="59">
        <f t="shared" si="19"/>
        <v>9049.3333333333339</v>
      </c>
      <c r="BW30" s="288">
        <f t="shared" si="39"/>
        <v>21</v>
      </c>
      <c r="BX30" s="68">
        <f t="shared" si="39"/>
        <v>378620</v>
      </c>
      <c r="BY30" s="56">
        <f t="shared" si="20"/>
        <v>16390.476190476191</v>
      </c>
      <c r="BZ30" s="68">
        <f t="shared" si="40"/>
        <v>178750</v>
      </c>
      <c r="CA30" s="57">
        <f t="shared" si="21"/>
        <v>7738.0952380952385</v>
      </c>
      <c r="CB30" s="289">
        <f t="shared" si="41"/>
        <v>557370</v>
      </c>
      <c r="CC30" s="290" t="e">
        <v>#DIV/0!</v>
      </c>
      <c r="CD30" s="291">
        <f t="shared" si="42"/>
        <v>36</v>
      </c>
      <c r="CE30" s="68">
        <f t="shared" si="42"/>
        <v>495420</v>
      </c>
      <c r="CF30" s="57">
        <f t="shared" si="43"/>
        <v>12510.583333333334</v>
      </c>
      <c r="CG30" s="68">
        <f t="shared" si="44"/>
        <v>197690</v>
      </c>
      <c r="CH30" s="57">
        <f t="shared" si="45"/>
        <v>4992.166666666667</v>
      </c>
      <c r="CI30" s="292">
        <f t="shared" si="46"/>
        <v>693110</v>
      </c>
      <c r="CJ30" s="293">
        <f t="shared" si="47"/>
        <v>19253.055555555555</v>
      </c>
    </row>
    <row r="31" spans="1:88" ht="15.75" customHeight="1">
      <c r="A31" s="51"/>
      <c r="B31" s="338">
        <f t="shared" si="22"/>
        <v>46018</v>
      </c>
      <c r="C31" s="84"/>
      <c r="D31" s="53">
        <v>3</v>
      </c>
      <c r="E31" s="54">
        <v>8</v>
      </c>
      <c r="F31" s="55">
        <v>70400</v>
      </c>
      <c r="G31" s="56">
        <f>ROUNDDOWN(F31/1.1,0)/E31</f>
        <v>8000</v>
      </c>
      <c r="H31" s="55">
        <v>38500</v>
      </c>
      <c r="I31" s="56">
        <f t="shared" si="1"/>
        <v>4375</v>
      </c>
      <c r="J31" s="58">
        <f t="shared" si="2"/>
        <v>108900</v>
      </c>
      <c r="K31" s="59">
        <f>IF(E31="","",J31/E31)</f>
        <v>13612.5</v>
      </c>
      <c r="L31" s="85">
        <v>2</v>
      </c>
      <c r="M31" s="86">
        <v>6</v>
      </c>
      <c r="N31" s="87">
        <v>23100</v>
      </c>
      <c r="O31" s="88">
        <f t="shared" si="4"/>
        <v>3850</v>
      </c>
      <c r="P31" s="87">
        <v>3300</v>
      </c>
      <c r="Q31" s="89">
        <f t="shared" si="5"/>
        <v>550</v>
      </c>
      <c r="R31" s="90">
        <f t="shared" si="48"/>
        <v>26400</v>
      </c>
      <c r="S31" s="91">
        <f t="shared" si="7"/>
        <v>4400</v>
      </c>
      <c r="T31" s="67">
        <f t="shared" si="23"/>
        <v>4</v>
      </c>
      <c r="U31" s="68">
        <f t="shared" si="24"/>
        <v>79200</v>
      </c>
      <c r="V31" s="56">
        <f t="shared" si="8"/>
        <v>18000</v>
      </c>
      <c r="W31" s="68">
        <f t="shared" si="25"/>
        <v>6930</v>
      </c>
      <c r="X31" s="56">
        <f t="shared" si="9"/>
        <v>1575</v>
      </c>
      <c r="Y31" s="92">
        <f t="shared" si="26"/>
        <v>86130</v>
      </c>
      <c r="Z31" s="70">
        <f t="shared" si="10"/>
        <v>21532.5</v>
      </c>
      <c r="AA31" s="71">
        <f t="shared" si="27"/>
        <v>18</v>
      </c>
      <c r="AB31" s="68">
        <f t="shared" si="27"/>
        <v>172700</v>
      </c>
      <c r="AC31" s="68">
        <f t="shared" si="28"/>
        <v>48730</v>
      </c>
      <c r="AD31" s="72">
        <f t="shared" si="49"/>
        <v>221430</v>
      </c>
      <c r="AE31" s="68">
        <f t="shared" si="29"/>
        <v>12301.666666666666</v>
      </c>
      <c r="AF31" s="73">
        <v>137</v>
      </c>
      <c r="AG31" s="74">
        <v>142</v>
      </c>
      <c r="AH31" s="55">
        <v>156440</v>
      </c>
      <c r="AI31" s="56">
        <f t="shared" si="12"/>
        <v>1101.6901408450703</v>
      </c>
      <c r="AJ31" s="55">
        <v>37300</v>
      </c>
      <c r="AK31" s="57">
        <f t="shared" si="13"/>
        <v>262.67605633802816</v>
      </c>
      <c r="AL31" s="93">
        <f t="shared" si="30"/>
        <v>193740</v>
      </c>
      <c r="AM31" s="76">
        <f t="shared" si="14"/>
        <v>1364.3661971830986</v>
      </c>
      <c r="AN31" s="339">
        <v>0</v>
      </c>
      <c r="AO31" s="340">
        <v>0</v>
      </c>
      <c r="AP31" s="339">
        <v>0</v>
      </c>
      <c r="AQ31" s="340">
        <v>0</v>
      </c>
      <c r="AR31" s="99">
        <f t="shared" si="31"/>
        <v>12</v>
      </c>
      <c r="AS31" s="94">
        <f t="shared" si="32"/>
        <v>329140</v>
      </c>
      <c r="AT31" s="94">
        <f t="shared" si="15"/>
        <v>86030</v>
      </c>
      <c r="AU31" s="77">
        <f t="shared" si="33"/>
        <v>415170</v>
      </c>
      <c r="AV31" s="68">
        <f t="shared" si="50"/>
        <v>4400</v>
      </c>
      <c r="AW31" s="94">
        <v>18</v>
      </c>
      <c r="AX31" s="94">
        <v>172700</v>
      </c>
      <c r="AY31" s="94">
        <v>48730</v>
      </c>
      <c r="AZ31" s="95">
        <v>4400</v>
      </c>
      <c r="BA31" s="95">
        <v>0</v>
      </c>
      <c r="BB31" s="95">
        <v>0</v>
      </c>
      <c r="BC31" s="95">
        <v>8800</v>
      </c>
      <c r="BD31" s="96">
        <f t="shared" si="34"/>
        <v>225830</v>
      </c>
      <c r="BE31" s="51">
        <v>27</v>
      </c>
      <c r="BF31" s="80">
        <f t="shared" si="35"/>
        <v>234630</v>
      </c>
      <c r="BG31" s="81">
        <f t="shared" si="16"/>
        <v>419570</v>
      </c>
      <c r="BO31" s="287">
        <f t="shared" si="36"/>
        <v>3</v>
      </c>
      <c r="BP31" s="54">
        <f t="shared" si="36"/>
        <v>8</v>
      </c>
      <c r="BQ31" s="68">
        <f t="shared" si="36"/>
        <v>70400</v>
      </c>
      <c r="BR31" s="56">
        <f t="shared" si="17"/>
        <v>8000</v>
      </c>
      <c r="BS31" s="68">
        <f t="shared" si="37"/>
        <v>38500</v>
      </c>
      <c r="BT31" s="57">
        <f t="shared" si="18"/>
        <v>4375</v>
      </c>
      <c r="BU31" s="58">
        <f t="shared" si="38"/>
        <v>108900</v>
      </c>
      <c r="BV31" s="59">
        <f t="shared" si="19"/>
        <v>13612.5</v>
      </c>
      <c r="BW31" s="288">
        <f t="shared" si="39"/>
        <v>4</v>
      </c>
      <c r="BX31" s="68">
        <f t="shared" si="39"/>
        <v>79200</v>
      </c>
      <c r="BY31" s="56">
        <f t="shared" si="20"/>
        <v>18000</v>
      </c>
      <c r="BZ31" s="68">
        <f t="shared" si="40"/>
        <v>6930</v>
      </c>
      <c r="CA31" s="57">
        <f t="shared" si="21"/>
        <v>1575</v>
      </c>
      <c r="CB31" s="289">
        <f t="shared" si="41"/>
        <v>86130</v>
      </c>
      <c r="CC31" s="290" t="e">
        <v>#DIV/0!</v>
      </c>
      <c r="CD31" s="291">
        <f t="shared" si="42"/>
        <v>12</v>
      </c>
      <c r="CE31" s="68">
        <f t="shared" si="42"/>
        <v>149600</v>
      </c>
      <c r="CF31" s="57">
        <f t="shared" si="43"/>
        <v>11333.333333333334</v>
      </c>
      <c r="CG31" s="68">
        <f t="shared" si="44"/>
        <v>45430</v>
      </c>
      <c r="CH31" s="57">
        <f t="shared" si="45"/>
        <v>3441.6666666666665</v>
      </c>
      <c r="CI31" s="292">
        <f t="shared" si="46"/>
        <v>195030</v>
      </c>
      <c r="CJ31" s="293">
        <f t="shared" si="47"/>
        <v>16252.5</v>
      </c>
    </row>
    <row r="32" spans="1:88" ht="15.75" customHeight="1">
      <c r="A32" s="51"/>
      <c r="B32" s="97">
        <f t="shared" si="22"/>
        <v>46019</v>
      </c>
      <c r="C32" s="84"/>
      <c r="D32" s="53">
        <v>3</v>
      </c>
      <c r="E32" s="54">
        <v>16</v>
      </c>
      <c r="F32" s="55">
        <v>140800</v>
      </c>
      <c r="G32" s="56">
        <f>ROUNDDOWN(F32/1.1,0)/E32</f>
        <v>8000</v>
      </c>
      <c r="H32" s="55">
        <v>11220</v>
      </c>
      <c r="I32" s="56">
        <f t="shared" si="1"/>
        <v>637.5</v>
      </c>
      <c r="J32" s="58">
        <f>F32+H32</f>
        <v>152020</v>
      </c>
      <c r="K32" s="59">
        <f>IF(E32="","",J32/E32)</f>
        <v>9501.25</v>
      </c>
      <c r="L32" s="85">
        <v>1</v>
      </c>
      <c r="M32" s="86">
        <v>3</v>
      </c>
      <c r="N32" s="87">
        <v>11550</v>
      </c>
      <c r="O32" s="88">
        <f t="shared" si="4"/>
        <v>3850</v>
      </c>
      <c r="P32" s="87">
        <v>1650</v>
      </c>
      <c r="Q32" s="89">
        <f t="shared" si="5"/>
        <v>550</v>
      </c>
      <c r="R32" s="90">
        <f t="shared" si="48"/>
        <v>13200</v>
      </c>
      <c r="S32" s="91">
        <f t="shared" si="7"/>
        <v>4400</v>
      </c>
      <c r="T32" s="67">
        <f t="shared" si="23"/>
        <v>6</v>
      </c>
      <c r="U32" s="68">
        <f t="shared" si="24"/>
        <v>109120</v>
      </c>
      <c r="V32" s="56">
        <f>ROUNDDOWN(U32/1.1,0)/T32</f>
        <v>16533.333333333332</v>
      </c>
      <c r="W32" s="68">
        <f t="shared" si="25"/>
        <v>57860</v>
      </c>
      <c r="X32" s="56">
        <f>ROUNDDOWN(W32/1.1,0)/T32</f>
        <v>8766.6666666666661</v>
      </c>
      <c r="Y32" s="92">
        <f>U32+W32</f>
        <v>166980</v>
      </c>
      <c r="Z32" s="70">
        <f>IF(T32="","",Y32/T32)</f>
        <v>27830</v>
      </c>
      <c r="AA32" s="71">
        <f t="shared" si="27"/>
        <v>25</v>
      </c>
      <c r="AB32" s="68">
        <f t="shared" si="27"/>
        <v>261470</v>
      </c>
      <c r="AC32" s="68">
        <f t="shared" si="28"/>
        <v>70730</v>
      </c>
      <c r="AD32" s="72">
        <f t="shared" si="49"/>
        <v>332200</v>
      </c>
      <c r="AE32" s="68">
        <f>IF(AA32="","",AD32/AA32)</f>
        <v>13288</v>
      </c>
      <c r="AF32" s="73">
        <v>110</v>
      </c>
      <c r="AG32" s="74">
        <v>116</v>
      </c>
      <c r="AH32" s="55">
        <v>141700</v>
      </c>
      <c r="AI32" s="56">
        <f>AH32/AG32</f>
        <v>1221.5517241379309</v>
      </c>
      <c r="AJ32" s="55">
        <v>27500</v>
      </c>
      <c r="AK32" s="57">
        <f>AJ32/AG32</f>
        <v>237.06896551724137</v>
      </c>
      <c r="AL32" s="93">
        <f>AH32+AJ32</f>
        <v>169200</v>
      </c>
      <c r="AM32" s="76">
        <f>IF(AG32="","",AL32/AG32)</f>
        <v>1458.6206896551723</v>
      </c>
      <c r="AN32" s="339">
        <v>0</v>
      </c>
      <c r="AO32" s="340">
        <v>0</v>
      </c>
      <c r="AP32" s="339">
        <v>0</v>
      </c>
      <c r="AQ32" s="340">
        <v>0</v>
      </c>
      <c r="AR32" s="99">
        <f t="shared" si="31"/>
        <v>22</v>
      </c>
      <c r="AS32" s="94">
        <f t="shared" si="32"/>
        <v>403170</v>
      </c>
      <c r="AT32" s="94">
        <f t="shared" si="15"/>
        <v>98230</v>
      </c>
      <c r="AU32" s="77">
        <f t="shared" si="33"/>
        <v>501400</v>
      </c>
      <c r="AV32" s="68">
        <f>AZ32+BA32+BB32</f>
        <v>0</v>
      </c>
      <c r="AW32" s="94">
        <v>25</v>
      </c>
      <c r="AX32" s="94">
        <v>261470</v>
      </c>
      <c r="AY32" s="94">
        <v>70730</v>
      </c>
      <c r="AZ32" s="95">
        <v>0</v>
      </c>
      <c r="BA32" s="95">
        <v>0</v>
      </c>
      <c r="BB32" s="95">
        <v>0</v>
      </c>
      <c r="BC32" s="95">
        <v>0</v>
      </c>
      <c r="BD32" s="96">
        <f>SUM(AX32:BB32)</f>
        <v>332200</v>
      </c>
      <c r="BE32" s="51">
        <v>26</v>
      </c>
      <c r="BF32" s="80">
        <f>BC32+BD32</f>
        <v>332200</v>
      </c>
      <c r="BG32" s="81">
        <f t="shared" si="16"/>
        <v>501400</v>
      </c>
      <c r="BO32" s="287">
        <f t="shared" si="36"/>
        <v>3</v>
      </c>
      <c r="BP32" s="54">
        <f t="shared" si="36"/>
        <v>16</v>
      </c>
      <c r="BQ32" s="68">
        <f t="shared" si="36"/>
        <v>140800</v>
      </c>
      <c r="BR32" s="56">
        <f t="shared" si="17"/>
        <v>8000</v>
      </c>
      <c r="BS32" s="68">
        <f t="shared" si="37"/>
        <v>11220</v>
      </c>
      <c r="BT32" s="57">
        <f t="shared" si="18"/>
        <v>637.5</v>
      </c>
      <c r="BU32" s="58">
        <f t="shared" si="38"/>
        <v>152020</v>
      </c>
      <c r="BV32" s="59">
        <f t="shared" si="19"/>
        <v>9501.25</v>
      </c>
      <c r="BW32" s="288">
        <f t="shared" si="39"/>
        <v>6</v>
      </c>
      <c r="BX32" s="68">
        <f t="shared" si="39"/>
        <v>109120</v>
      </c>
      <c r="BY32" s="56">
        <f t="shared" si="20"/>
        <v>16533.333333333332</v>
      </c>
      <c r="BZ32" s="68">
        <f t="shared" si="40"/>
        <v>57860</v>
      </c>
      <c r="CA32" s="57">
        <f t="shared" si="21"/>
        <v>8766.6666666666661</v>
      </c>
      <c r="CB32" s="289">
        <f t="shared" si="41"/>
        <v>166980</v>
      </c>
      <c r="CC32" s="290" t="e">
        <v>#DIV/0!</v>
      </c>
      <c r="CD32" s="291">
        <f t="shared" si="42"/>
        <v>22</v>
      </c>
      <c r="CE32" s="68">
        <f t="shared" si="42"/>
        <v>249920</v>
      </c>
      <c r="CF32" s="57">
        <f t="shared" si="43"/>
        <v>10327.272727272728</v>
      </c>
      <c r="CG32" s="68">
        <f t="shared" si="44"/>
        <v>69080</v>
      </c>
      <c r="CH32" s="57">
        <f t="shared" si="45"/>
        <v>2854.5454545454545</v>
      </c>
      <c r="CI32" s="292">
        <f t="shared" si="46"/>
        <v>319000</v>
      </c>
      <c r="CJ32" s="293">
        <f t="shared" si="47"/>
        <v>14500</v>
      </c>
    </row>
    <row r="33" spans="1:88" ht="15.75" customHeight="1">
      <c r="A33" s="51"/>
      <c r="B33" s="333">
        <f t="shared" si="22"/>
        <v>46020</v>
      </c>
      <c r="C33" s="84"/>
      <c r="D33" s="53">
        <v>4</v>
      </c>
      <c r="E33" s="54">
        <v>15</v>
      </c>
      <c r="F33" s="55">
        <v>124400</v>
      </c>
      <c r="G33" s="56">
        <f>ROUNDDOWN(F33/1.1,0)/E33</f>
        <v>7539.333333333333</v>
      </c>
      <c r="H33" s="55">
        <v>23000</v>
      </c>
      <c r="I33" s="56">
        <f t="shared" si="1"/>
        <v>1393.9333333333334</v>
      </c>
      <c r="J33" s="58">
        <f>F33+H33</f>
        <v>147400</v>
      </c>
      <c r="K33" s="59">
        <f>IF(E33="","",J33/E33)</f>
        <v>9826.6666666666661</v>
      </c>
      <c r="L33" s="85"/>
      <c r="M33" s="86"/>
      <c r="N33" s="87"/>
      <c r="O33" s="88" t="e">
        <f t="shared" si="4"/>
        <v>#DIV/0!</v>
      </c>
      <c r="P33" s="87"/>
      <c r="Q33" s="89" t="e">
        <f t="shared" si="5"/>
        <v>#DIV/0!</v>
      </c>
      <c r="R33" s="90">
        <f t="shared" si="48"/>
        <v>0</v>
      </c>
      <c r="S33" s="91" t="str">
        <f t="shared" si="7"/>
        <v/>
      </c>
      <c r="T33" s="67">
        <f t="shared" si="23"/>
        <v>8</v>
      </c>
      <c r="U33" s="68">
        <f t="shared" si="24"/>
        <v>145200</v>
      </c>
      <c r="V33" s="56">
        <f>ROUNDDOWN(U33/1.1,0)/T33</f>
        <v>16500</v>
      </c>
      <c r="W33" s="68">
        <f t="shared" si="25"/>
        <v>63140</v>
      </c>
      <c r="X33" s="56">
        <f>ROUNDDOWN(W33/1.1,0)/T33</f>
        <v>7175</v>
      </c>
      <c r="Y33" s="92">
        <f>U33+W33</f>
        <v>208340</v>
      </c>
      <c r="Z33" s="70">
        <f>IF(T33="","",Y33/T33)</f>
        <v>26042.5</v>
      </c>
      <c r="AA33" s="71">
        <f t="shared" si="27"/>
        <v>23</v>
      </c>
      <c r="AB33" s="68">
        <f t="shared" si="27"/>
        <v>269600</v>
      </c>
      <c r="AC33" s="68">
        <f t="shared" si="28"/>
        <v>86140</v>
      </c>
      <c r="AD33" s="72">
        <f t="shared" si="49"/>
        <v>355740</v>
      </c>
      <c r="AE33" s="68">
        <f>IF(AA33="","",AD33/AA33)</f>
        <v>15466.95652173913</v>
      </c>
      <c r="AF33" s="73">
        <v>107</v>
      </c>
      <c r="AG33" s="74">
        <v>112</v>
      </c>
      <c r="AH33" s="55">
        <v>159830</v>
      </c>
      <c r="AI33" s="56">
        <f>AH33/AG33</f>
        <v>1427.0535714285713</v>
      </c>
      <c r="AJ33" s="55">
        <v>30200</v>
      </c>
      <c r="AK33" s="57">
        <f>AJ33/AG33</f>
        <v>269.64285714285717</v>
      </c>
      <c r="AL33" s="93">
        <f>AH33+AJ33</f>
        <v>190030</v>
      </c>
      <c r="AM33" s="76">
        <f>IF(AG33="","",AL33/AG33)</f>
        <v>1696.6964285714287</v>
      </c>
      <c r="AN33" s="339">
        <v>0</v>
      </c>
      <c r="AO33" s="340">
        <v>0</v>
      </c>
      <c r="AP33" s="339">
        <v>0</v>
      </c>
      <c r="AQ33" s="340">
        <v>0</v>
      </c>
      <c r="AR33" s="99">
        <f t="shared" si="31"/>
        <v>23</v>
      </c>
      <c r="AS33" s="94">
        <f t="shared" si="32"/>
        <v>429430</v>
      </c>
      <c r="AT33" s="94">
        <f t="shared" si="15"/>
        <v>116340</v>
      </c>
      <c r="AU33" s="77">
        <f t="shared" si="33"/>
        <v>545770</v>
      </c>
      <c r="AV33" s="68">
        <f>AZ33+BA33+BB33</f>
        <v>2200</v>
      </c>
      <c r="AW33" s="94">
        <v>23</v>
      </c>
      <c r="AX33" s="94">
        <v>269600</v>
      </c>
      <c r="AY33" s="94">
        <v>86140</v>
      </c>
      <c r="AZ33" s="95">
        <v>2200</v>
      </c>
      <c r="BA33" s="95">
        <v>0</v>
      </c>
      <c r="BB33" s="95">
        <v>0</v>
      </c>
      <c r="BC33" s="95">
        <v>0</v>
      </c>
      <c r="BD33" s="96">
        <f>SUM(AX33:BB33)</f>
        <v>357940</v>
      </c>
      <c r="BE33" s="51">
        <v>27</v>
      </c>
      <c r="BF33" s="80">
        <f>BC33+BD33</f>
        <v>357940</v>
      </c>
      <c r="BG33" s="81">
        <f t="shared" si="16"/>
        <v>547970</v>
      </c>
      <c r="BO33" s="287">
        <f t="shared" si="36"/>
        <v>4</v>
      </c>
      <c r="BP33" s="54">
        <f t="shared" si="36"/>
        <v>15</v>
      </c>
      <c r="BQ33" s="68">
        <f t="shared" si="36"/>
        <v>124400</v>
      </c>
      <c r="BR33" s="56">
        <f t="shared" si="17"/>
        <v>7539.333333333333</v>
      </c>
      <c r="BS33" s="68">
        <f t="shared" si="37"/>
        <v>23000</v>
      </c>
      <c r="BT33" s="57">
        <f t="shared" si="18"/>
        <v>1393.9333333333334</v>
      </c>
      <c r="BU33" s="58">
        <f t="shared" si="38"/>
        <v>147400</v>
      </c>
      <c r="BV33" s="59">
        <f t="shared" si="19"/>
        <v>9826.6666666666661</v>
      </c>
      <c r="BW33" s="288">
        <f t="shared" si="39"/>
        <v>8</v>
      </c>
      <c r="BX33" s="68">
        <f t="shared" si="39"/>
        <v>145200</v>
      </c>
      <c r="BY33" s="56">
        <f t="shared" si="20"/>
        <v>16500</v>
      </c>
      <c r="BZ33" s="68">
        <f t="shared" si="40"/>
        <v>63140</v>
      </c>
      <c r="CA33" s="57">
        <f t="shared" si="21"/>
        <v>7175</v>
      </c>
      <c r="CB33" s="289">
        <f t="shared" si="41"/>
        <v>208340</v>
      </c>
      <c r="CC33" s="290" t="e">
        <v>#DIV/0!</v>
      </c>
      <c r="CD33" s="291">
        <f t="shared" si="42"/>
        <v>23</v>
      </c>
      <c r="CE33" s="68">
        <f t="shared" si="42"/>
        <v>269600</v>
      </c>
      <c r="CF33" s="57">
        <f t="shared" si="43"/>
        <v>10656.08695652174</v>
      </c>
      <c r="CG33" s="68">
        <f t="shared" si="44"/>
        <v>86140</v>
      </c>
      <c r="CH33" s="57">
        <f t="shared" si="45"/>
        <v>3404.7391304347825</v>
      </c>
      <c r="CI33" s="292">
        <f t="shared" si="46"/>
        <v>355740</v>
      </c>
      <c r="CJ33" s="293">
        <f t="shared" si="47"/>
        <v>15466.95652173913</v>
      </c>
    </row>
    <row r="34" spans="1:88" ht="15.75" customHeight="1">
      <c r="A34" s="51"/>
      <c r="B34" s="333">
        <f t="shared" si="22"/>
        <v>46021</v>
      </c>
      <c r="C34" s="84"/>
      <c r="D34" s="53">
        <v>6</v>
      </c>
      <c r="E34" s="54">
        <v>16</v>
      </c>
      <c r="F34" s="55">
        <v>158400</v>
      </c>
      <c r="G34" s="56">
        <f>ROUNDDOWN(F34/1.1,0)/E34</f>
        <v>9000</v>
      </c>
      <c r="H34" s="55">
        <v>31390</v>
      </c>
      <c r="I34" s="56">
        <f t="shared" si="1"/>
        <v>1783.5</v>
      </c>
      <c r="J34" s="58">
        <f>F34+H34</f>
        <v>189790</v>
      </c>
      <c r="K34" s="59">
        <f>IF(E34="","",J34/E34)</f>
        <v>11861.875</v>
      </c>
      <c r="L34" s="101">
        <v>1</v>
      </c>
      <c r="M34" s="102">
        <v>2</v>
      </c>
      <c r="N34" s="103">
        <v>7700</v>
      </c>
      <c r="O34" s="88">
        <f t="shared" si="4"/>
        <v>3850</v>
      </c>
      <c r="P34" s="103">
        <v>1100</v>
      </c>
      <c r="Q34" s="89">
        <f t="shared" si="5"/>
        <v>550</v>
      </c>
      <c r="R34" s="90">
        <f t="shared" si="48"/>
        <v>8800</v>
      </c>
      <c r="S34" s="91">
        <f t="shared" si="7"/>
        <v>4400</v>
      </c>
      <c r="T34" s="67">
        <f t="shared" si="23"/>
        <v>12</v>
      </c>
      <c r="U34" s="68">
        <f t="shared" si="24"/>
        <v>225720</v>
      </c>
      <c r="V34" s="56">
        <f>ROUNDDOWN(U34/1.1,0)/T34</f>
        <v>17100</v>
      </c>
      <c r="W34" s="68">
        <f t="shared" si="25"/>
        <v>72930</v>
      </c>
      <c r="X34" s="56">
        <f>ROUNDDOWN(W34/1.1,0)/T34</f>
        <v>5525</v>
      </c>
      <c r="Y34" s="92">
        <f>U34+W34</f>
        <v>298650</v>
      </c>
      <c r="Z34" s="70">
        <f>IF(T34="","",Y34/T34)</f>
        <v>24887.5</v>
      </c>
      <c r="AA34" s="71">
        <f t="shared" si="27"/>
        <v>30</v>
      </c>
      <c r="AB34" s="68">
        <f t="shared" si="27"/>
        <v>391820</v>
      </c>
      <c r="AC34" s="68">
        <f t="shared" si="28"/>
        <v>105420</v>
      </c>
      <c r="AD34" s="72">
        <f t="shared" si="49"/>
        <v>497240</v>
      </c>
      <c r="AE34" s="68">
        <f>IF(AA34="","",AD34/AA34)</f>
        <v>16574.666666666668</v>
      </c>
      <c r="AF34" s="73">
        <v>78</v>
      </c>
      <c r="AG34" s="74">
        <v>85</v>
      </c>
      <c r="AH34" s="55">
        <v>115250</v>
      </c>
      <c r="AI34" s="56">
        <f>AH34/AG34</f>
        <v>1355.8823529411766</v>
      </c>
      <c r="AJ34" s="55">
        <v>12800</v>
      </c>
      <c r="AK34" s="57">
        <f>AJ34/AG34</f>
        <v>150.58823529411765</v>
      </c>
      <c r="AL34" s="93">
        <f>AH34+AJ34</f>
        <v>128050</v>
      </c>
      <c r="AM34" s="76">
        <f>IF(AG34="","",AL34/AG34)</f>
        <v>1506.4705882352941</v>
      </c>
      <c r="AN34" s="339">
        <v>0</v>
      </c>
      <c r="AO34" s="340">
        <v>0</v>
      </c>
      <c r="AP34" s="339">
        <v>1</v>
      </c>
      <c r="AQ34" s="340">
        <v>2</v>
      </c>
      <c r="AR34" s="99">
        <f t="shared" si="31"/>
        <v>28</v>
      </c>
      <c r="AS34" s="94">
        <f t="shared" si="32"/>
        <v>507070</v>
      </c>
      <c r="AT34" s="94">
        <f t="shared" si="15"/>
        <v>118220</v>
      </c>
      <c r="AU34" s="77">
        <f t="shared" si="33"/>
        <v>625290</v>
      </c>
      <c r="AV34" s="68">
        <f>AZ34+BA34+BB34</f>
        <v>0</v>
      </c>
      <c r="AW34" s="94">
        <v>30</v>
      </c>
      <c r="AX34" s="94">
        <v>391820</v>
      </c>
      <c r="AY34" s="94">
        <v>105420</v>
      </c>
      <c r="AZ34" s="95">
        <v>0</v>
      </c>
      <c r="BA34" s="95">
        <v>0</v>
      </c>
      <c r="BB34" s="95">
        <v>0</v>
      </c>
      <c r="BC34" s="95">
        <v>0</v>
      </c>
      <c r="BD34" s="96">
        <f>SUM(AX34:BB34)</f>
        <v>497240</v>
      </c>
      <c r="BE34" s="51">
        <v>27</v>
      </c>
      <c r="BF34" s="80">
        <f>BC34+BD34</f>
        <v>497240</v>
      </c>
      <c r="BG34" s="81">
        <f t="shared" si="16"/>
        <v>625290</v>
      </c>
      <c r="BO34" s="287">
        <f t="shared" si="36"/>
        <v>6</v>
      </c>
      <c r="BP34" s="54">
        <f t="shared" si="36"/>
        <v>16</v>
      </c>
      <c r="BQ34" s="68">
        <f t="shared" si="36"/>
        <v>158400</v>
      </c>
      <c r="BR34" s="56">
        <f t="shared" si="17"/>
        <v>9000</v>
      </c>
      <c r="BS34" s="68">
        <f t="shared" si="37"/>
        <v>31390</v>
      </c>
      <c r="BT34" s="57">
        <f t="shared" si="18"/>
        <v>1783.5</v>
      </c>
      <c r="BU34" s="58">
        <f t="shared" si="38"/>
        <v>189790</v>
      </c>
      <c r="BV34" s="59">
        <f t="shared" si="19"/>
        <v>11861.875</v>
      </c>
      <c r="BW34" s="288">
        <f t="shared" si="39"/>
        <v>12</v>
      </c>
      <c r="BX34" s="68">
        <f t="shared" si="39"/>
        <v>225720</v>
      </c>
      <c r="BY34" s="56">
        <f t="shared" si="20"/>
        <v>17100</v>
      </c>
      <c r="BZ34" s="68">
        <f t="shared" si="40"/>
        <v>72930</v>
      </c>
      <c r="CA34" s="57">
        <f t="shared" si="21"/>
        <v>5525</v>
      </c>
      <c r="CB34" s="289">
        <f t="shared" si="41"/>
        <v>298650</v>
      </c>
      <c r="CC34" s="290" t="e">
        <v>#DIV/0!</v>
      </c>
      <c r="CD34" s="291">
        <f t="shared" si="42"/>
        <v>28</v>
      </c>
      <c r="CE34" s="68">
        <f t="shared" si="42"/>
        <v>384120</v>
      </c>
      <c r="CF34" s="57">
        <f t="shared" si="43"/>
        <v>12471.428571428571</v>
      </c>
      <c r="CG34" s="68">
        <f t="shared" si="44"/>
        <v>104320</v>
      </c>
      <c r="CH34" s="57">
        <f t="shared" si="45"/>
        <v>3387</v>
      </c>
      <c r="CI34" s="292">
        <f t="shared" si="46"/>
        <v>488440</v>
      </c>
      <c r="CJ34" s="293">
        <f t="shared" si="47"/>
        <v>17444.285714285714</v>
      </c>
    </row>
    <row r="35" spans="1:88" ht="15.75" customHeight="1" thickBot="1">
      <c r="A35" s="51"/>
      <c r="B35" s="333">
        <f t="shared" si="22"/>
        <v>46022</v>
      </c>
      <c r="C35" s="84"/>
      <c r="D35" s="53">
        <v>3</v>
      </c>
      <c r="E35" s="54">
        <v>6</v>
      </c>
      <c r="F35" s="55">
        <v>63800</v>
      </c>
      <c r="G35" s="56">
        <f t="shared" si="0"/>
        <v>9666.6666666666661</v>
      </c>
      <c r="H35" s="55">
        <v>14520</v>
      </c>
      <c r="I35" s="56">
        <f t="shared" si="1"/>
        <v>2200</v>
      </c>
      <c r="J35" s="58">
        <f t="shared" si="2"/>
        <v>78320</v>
      </c>
      <c r="K35" s="59">
        <f t="shared" si="3"/>
        <v>13053.333333333334</v>
      </c>
      <c r="L35" s="104"/>
      <c r="M35" s="105"/>
      <c r="N35" s="106"/>
      <c r="O35" s="107" t="e">
        <f t="shared" si="4"/>
        <v>#DIV/0!</v>
      </c>
      <c r="P35" s="106"/>
      <c r="Q35" s="108" t="e">
        <f t="shared" si="5"/>
        <v>#DIV/0!</v>
      </c>
      <c r="R35" s="109">
        <f t="shared" si="48"/>
        <v>0</v>
      </c>
      <c r="S35" s="91" t="str">
        <f t="shared" si="7"/>
        <v/>
      </c>
      <c r="T35" s="67">
        <f t="shared" si="23"/>
        <v>0</v>
      </c>
      <c r="U35" s="68">
        <f t="shared" si="24"/>
        <v>0</v>
      </c>
      <c r="V35" s="56" t="e">
        <f t="shared" si="8"/>
        <v>#DIV/0!</v>
      </c>
      <c r="W35" s="68">
        <f t="shared" si="25"/>
        <v>0</v>
      </c>
      <c r="X35" s="56" t="e">
        <f t="shared" si="9"/>
        <v>#DIV/0!</v>
      </c>
      <c r="Y35" s="92">
        <f t="shared" si="26"/>
        <v>0</v>
      </c>
      <c r="Z35" s="70" t="e">
        <f t="shared" si="10"/>
        <v>#DIV/0!</v>
      </c>
      <c r="AA35" s="71">
        <f t="shared" si="27"/>
        <v>6</v>
      </c>
      <c r="AB35" s="68">
        <f t="shared" si="27"/>
        <v>63800</v>
      </c>
      <c r="AC35" s="68">
        <f t="shared" si="28"/>
        <v>14520</v>
      </c>
      <c r="AD35" s="72">
        <f>J35+Y35+R35</f>
        <v>78320</v>
      </c>
      <c r="AE35" s="68">
        <f t="shared" si="29"/>
        <v>13053.333333333334</v>
      </c>
      <c r="AF35" s="73">
        <v>68</v>
      </c>
      <c r="AG35" s="74">
        <v>68</v>
      </c>
      <c r="AH35" s="55">
        <v>115500</v>
      </c>
      <c r="AI35" s="56">
        <f t="shared" si="12"/>
        <v>1698.5294117647059</v>
      </c>
      <c r="AJ35" s="55">
        <v>8500</v>
      </c>
      <c r="AK35" s="57">
        <f t="shared" si="13"/>
        <v>125</v>
      </c>
      <c r="AL35" s="93">
        <f t="shared" si="30"/>
        <v>124000</v>
      </c>
      <c r="AM35" s="76">
        <f t="shared" si="14"/>
        <v>1823.5294117647059</v>
      </c>
      <c r="AN35" s="341">
        <v>2</v>
      </c>
      <c r="AO35" s="340">
        <v>2</v>
      </c>
      <c r="AP35" s="341">
        <v>0</v>
      </c>
      <c r="AQ35" s="340">
        <v>0</v>
      </c>
      <c r="AR35" s="99">
        <f t="shared" si="31"/>
        <v>6</v>
      </c>
      <c r="AS35" s="94">
        <f t="shared" si="32"/>
        <v>179300</v>
      </c>
      <c r="AT35" s="94">
        <f t="shared" si="15"/>
        <v>23020</v>
      </c>
      <c r="AU35" s="77">
        <f t="shared" si="33"/>
        <v>202320</v>
      </c>
      <c r="AV35" s="68">
        <f t="shared" si="50"/>
        <v>0</v>
      </c>
      <c r="AW35" s="94">
        <v>6</v>
      </c>
      <c r="AX35" s="94">
        <v>63800</v>
      </c>
      <c r="AY35" s="94">
        <v>14520</v>
      </c>
      <c r="AZ35" s="95">
        <v>0</v>
      </c>
      <c r="BA35" s="95">
        <v>0</v>
      </c>
      <c r="BB35" s="95">
        <v>0</v>
      </c>
      <c r="BC35" s="95">
        <v>3300</v>
      </c>
      <c r="BD35" s="96">
        <f>SUM(AX35:BB35)</f>
        <v>78320</v>
      </c>
      <c r="BE35" s="51">
        <v>28</v>
      </c>
      <c r="BF35" s="80">
        <f t="shared" si="35"/>
        <v>81620</v>
      </c>
      <c r="BG35" s="81">
        <f t="shared" si="16"/>
        <v>202320</v>
      </c>
      <c r="BO35" s="287">
        <f t="shared" si="36"/>
        <v>3</v>
      </c>
      <c r="BP35" s="54">
        <f t="shared" si="36"/>
        <v>6</v>
      </c>
      <c r="BQ35" s="68">
        <f t="shared" si="36"/>
        <v>63800</v>
      </c>
      <c r="BR35" s="56">
        <f t="shared" si="17"/>
        <v>9666.6666666666661</v>
      </c>
      <c r="BS35" s="68">
        <f t="shared" si="37"/>
        <v>14520</v>
      </c>
      <c r="BT35" s="57">
        <f t="shared" si="18"/>
        <v>2200</v>
      </c>
      <c r="BU35" s="58">
        <f t="shared" si="38"/>
        <v>78320</v>
      </c>
      <c r="BV35" s="59">
        <f t="shared" si="19"/>
        <v>13053.333333333334</v>
      </c>
      <c r="BW35" s="288">
        <f t="shared" si="39"/>
        <v>0</v>
      </c>
      <c r="BX35" s="68">
        <f t="shared" si="39"/>
        <v>0</v>
      </c>
      <c r="BY35" s="56" t="e">
        <f t="shared" si="20"/>
        <v>#DIV/0!</v>
      </c>
      <c r="BZ35" s="68">
        <f t="shared" si="40"/>
        <v>0</v>
      </c>
      <c r="CA35" s="57" t="e">
        <f t="shared" si="21"/>
        <v>#DIV/0!</v>
      </c>
      <c r="CB35" s="289">
        <f t="shared" si="41"/>
        <v>0</v>
      </c>
      <c r="CC35" s="290" t="e">
        <v>#DIV/0!</v>
      </c>
      <c r="CD35" s="291">
        <f t="shared" si="42"/>
        <v>6</v>
      </c>
      <c r="CE35" s="68">
        <f t="shared" si="42"/>
        <v>63800</v>
      </c>
      <c r="CF35" s="57">
        <f t="shared" si="43"/>
        <v>9666.6666666666661</v>
      </c>
      <c r="CG35" s="68">
        <f t="shared" si="44"/>
        <v>14520</v>
      </c>
      <c r="CH35" s="57">
        <f t="shared" si="45"/>
        <v>2200</v>
      </c>
      <c r="CI35" s="292">
        <f t="shared" si="46"/>
        <v>78320</v>
      </c>
      <c r="CJ35" s="293">
        <f t="shared" si="47"/>
        <v>13053.333333333334</v>
      </c>
    </row>
    <row r="36" spans="1:88" ht="15.75" customHeight="1" thickTop="1" thickBot="1">
      <c r="A36" s="110"/>
      <c r="B36" s="111" t="s">
        <v>23</v>
      </c>
      <c r="C36" s="112">
        <f>SUM(C5:C35)</f>
        <v>0</v>
      </c>
      <c r="D36" s="113">
        <f>SUM(D5:D35)</f>
        <v>134</v>
      </c>
      <c r="E36" s="114">
        <f>SUM(E5:E35)</f>
        <v>317</v>
      </c>
      <c r="F36" s="115">
        <f>SUM(F5:F35)</f>
        <v>2549730</v>
      </c>
      <c r="G36" s="116">
        <f>F36/E36</f>
        <v>8043.3123028391165</v>
      </c>
      <c r="H36" s="117">
        <f>SUM(H5:H35)</f>
        <v>675320</v>
      </c>
      <c r="I36" s="118">
        <f>H36/E36</f>
        <v>2130.3470031545739</v>
      </c>
      <c r="J36" s="119">
        <f>SUM(J5:J35)</f>
        <v>3225050</v>
      </c>
      <c r="K36" s="120">
        <f>J36/E36</f>
        <v>10173.659305993691</v>
      </c>
      <c r="L36" s="121">
        <f t="shared" ref="L36:N36" si="51">SUM(L5:L35)</f>
        <v>15</v>
      </c>
      <c r="M36" s="122">
        <f>SUM(M5:M35)</f>
        <v>32</v>
      </c>
      <c r="N36" s="123">
        <f t="shared" si="51"/>
        <v>123200</v>
      </c>
      <c r="O36" s="123">
        <f t="shared" si="4"/>
        <v>3850</v>
      </c>
      <c r="P36" s="124">
        <f>SUM(P5:P35)</f>
        <v>22230</v>
      </c>
      <c r="Q36" s="125">
        <f t="shared" si="5"/>
        <v>694.6875</v>
      </c>
      <c r="R36" s="126">
        <f>SUM(R5:R35)</f>
        <v>145430</v>
      </c>
      <c r="S36" s="127">
        <f>R36/M36</f>
        <v>4544.6875</v>
      </c>
      <c r="T36" s="114">
        <f>SUM(T5:T35)</f>
        <v>350</v>
      </c>
      <c r="U36" s="115">
        <f>SUM(U5:U35)</f>
        <v>6087880</v>
      </c>
      <c r="V36" s="116">
        <f>U36/T36</f>
        <v>17393.942857142858</v>
      </c>
      <c r="W36" s="128">
        <f>SUM(W5:W35)</f>
        <v>2793680</v>
      </c>
      <c r="X36" s="118">
        <f>W36/T36</f>
        <v>7981.9428571428571</v>
      </c>
      <c r="Y36" s="129">
        <f>SUM(Y5:Y35)</f>
        <v>8881560</v>
      </c>
      <c r="Z36" s="130">
        <f>Y36/T36</f>
        <v>25375.885714285716</v>
      </c>
      <c r="AA36" s="114">
        <f>SUM(AA5:AA35)</f>
        <v>699</v>
      </c>
      <c r="AB36" s="131">
        <f>SUM(AB5:AB35)</f>
        <v>8760810</v>
      </c>
      <c r="AC36" s="128">
        <f>SUM(AC5:AC35)</f>
        <v>3491230</v>
      </c>
      <c r="AD36" s="132">
        <f>SUM(AD5:AD35)</f>
        <v>12252040</v>
      </c>
      <c r="AE36" s="133">
        <f>AD36/AA36</f>
        <v>17527.954220314736</v>
      </c>
      <c r="AF36" s="113">
        <f>SUM(AF5:AF35)</f>
        <v>2656</v>
      </c>
      <c r="AG36" s="114">
        <f>SUM(AG5:AG35)</f>
        <v>2774</v>
      </c>
      <c r="AH36" s="134">
        <f>SUM(AH5:AH35)</f>
        <v>3219220</v>
      </c>
      <c r="AI36" s="116"/>
      <c r="AJ36" s="117">
        <f>SUM(AJ5:AJ35)</f>
        <v>595500</v>
      </c>
      <c r="AK36" s="118"/>
      <c r="AL36" s="135">
        <f>SUM(AL5:AL35)</f>
        <v>3814720</v>
      </c>
      <c r="AM36" s="342">
        <f>AL36/AG36</f>
        <v>1375.1694304253786</v>
      </c>
      <c r="AN36" s="113">
        <f>SUM(AN5:AN35)</f>
        <v>16</v>
      </c>
      <c r="AO36" s="343">
        <f>SUM(AO5:AO35)</f>
        <v>24</v>
      </c>
      <c r="AP36" s="113">
        <f>SUM(AP5:AP35)</f>
        <v>6</v>
      </c>
      <c r="AQ36" s="343">
        <f>SUM(AQ5:AQ35)</f>
        <v>11</v>
      </c>
      <c r="AR36" s="114">
        <f t="shared" ref="AR36:BC36" si="52">SUM(AR5:AR35)</f>
        <v>667</v>
      </c>
      <c r="AS36" s="131">
        <f t="shared" si="52"/>
        <v>11980030</v>
      </c>
      <c r="AT36" s="128">
        <f t="shared" si="52"/>
        <v>4086730</v>
      </c>
      <c r="AU36" s="129">
        <f t="shared" si="52"/>
        <v>16066760</v>
      </c>
      <c r="AV36" s="117">
        <f t="shared" si="52"/>
        <v>64900</v>
      </c>
      <c r="AW36" s="136">
        <f t="shared" si="52"/>
        <v>699</v>
      </c>
      <c r="AX36" s="136">
        <f t="shared" si="52"/>
        <v>8760810</v>
      </c>
      <c r="AY36" s="136">
        <f t="shared" si="52"/>
        <v>3491230</v>
      </c>
      <c r="AZ36" s="136">
        <f t="shared" si="52"/>
        <v>64900</v>
      </c>
      <c r="BA36" s="136">
        <f t="shared" si="52"/>
        <v>0</v>
      </c>
      <c r="BB36" s="136">
        <f t="shared" si="52"/>
        <v>0</v>
      </c>
      <c r="BC36" s="136">
        <f t="shared" si="52"/>
        <v>51200</v>
      </c>
      <c r="BD36" s="136">
        <f>SUM(BD5:BD35)</f>
        <v>12316940</v>
      </c>
      <c r="BE36" s="110"/>
      <c r="BF36" s="137">
        <f>SUM(BF5:BF35)</f>
        <v>12368140</v>
      </c>
      <c r="BO36" s="303">
        <f>SUM(BO5:BO35)</f>
        <v>134</v>
      </c>
      <c r="BP36" s="114">
        <f>SUM(BP5:BP35)</f>
        <v>317</v>
      </c>
      <c r="BQ36" s="115">
        <f>SUM(BQ5:BQ35)</f>
        <v>2549730</v>
      </c>
      <c r="BR36" s="116">
        <f>BQ36/BP36</f>
        <v>8043.3123028391165</v>
      </c>
      <c r="BS36" s="117">
        <f>SUM(BS5:BS35)</f>
        <v>675320</v>
      </c>
      <c r="BT36" s="118">
        <f>BS36/BP36</f>
        <v>2130.3470031545739</v>
      </c>
      <c r="BU36" s="119">
        <f>SUM(BU5:BU35)</f>
        <v>3225050</v>
      </c>
      <c r="BV36" s="304">
        <f>BU36/BP36</f>
        <v>10173.659305993691</v>
      </c>
      <c r="BW36" s="305">
        <f>SUM(BW5:BW35)</f>
        <v>350</v>
      </c>
      <c r="BX36" s="115">
        <f>SUM(BX5:BX35)</f>
        <v>6087880</v>
      </c>
      <c r="BY36" s="116">
        <f>BX36/BW36</f>
        <v>17393.942857142858</v>
      </c>
      <c r="BZ36" s="128">
        <f>SUM(BZ5:BZ35)</f>
        <v>2793680</v>
      </c>
      <c r="CA36" s="118">
        <f>BZ36/BW36</f>
        <v>7981.9428571428571</v>
      </c>
      <c r="CB36" s="119">
        <f>SUM(CB5:CB35)</f>
        <v>8881560</v>
      </c>
      <c r="CC36" s="306">
        <v>20391.534090909092</v>
      </c>
      <c r="CD36" s="305">
        <f>SUM(CD5:CD35)</f>
        <v>667</v>
      </c>
      <c r="CE36" s="115">
        <f>SUM(CE5:CE35)</f>
        <v>8637610</v>
      </c>
      <c r="CF36" s="116">
        <f>ROUNDDOWN(CE36/1.1,0)/CD36</f>
        <v>11772.671664167916</v>
      </c>
      <c r="CG36" s="115">
        <f>SUM(CG5:CG35)</f>
        <v>3469000</v>
      </c>
      <c r="CH36" s="118">
        <f>ROUNDDOWN(CG36/1.1,0)/CD36</f>
        <v>4728.0899550224885</v>
      </c>
      <c r="CI36" s="129">
        <f>SUM(CI5:CI35)</f>
        <v>12106610</v>
      </c>
      <c r="CJ36" s="307">
        <f>IF(CD36="","",CI36/CD36)</f>
        <v>18150.839580209897</v>
      </c>
    </row>
    <row r="37" spans="1:88" ht="15.75" customHeight="1" thickTop="1" thickBot="1">
      <c r="A37" s="110"/>
      <c r="B37" s="138"/>
      <c r="C37" s="139"/>
      <c r="D37" s="110"/>
      <c r="E37" s="140" t="s">
        <v>35</v>
      </c>
      <c r="F37" s="141">
        <f>F36/1.1</f>
        <v>2317936.3636363633</v>
      </c>
      <c r="G37" s="142">
        <f>F37/E36</f>
        <v>7312.1020934901053</v>
      </c>
      <c r="H37" s="143">
        <f>H36/1.1</f>
        <v>613927.27272727271</v>
      </c>
      <c r="I37" s="142">
        <f>H37/E36</f>
        <v>1936.6790937768856</v>
      </c>
      <c r="J37" s="136">
        <f>J36/1.1</f>
        <v>2931863.6363636362</v>
      </c>
      <c r="K37" s="144">
        <f>G37+I37</f>
        <v>9248.7811872669918</v>
      </c>
      <c r="L37" s="145"/>
      <c r="M37" s="146" t="s">
        <v>87</v>
      </c>
      <c r="N37" s="147">
        <f>N36/1.1</f>
        <v>111999.99999999999</v>
      </c>
      <c r="O37" s="148">
        <f>N37/M36</f>
        <v>3499.9999999999995</v>
      </c>
      <c r="P37" s="148">
        <f>P36/1.1</f>
        <v>20209.090909090908</v>
      </c>
      <c r="Q37" s="148">
        <f>P37/M36</f>
        <v>631.53409090909088</v>
      </c>
      <c r="R37" s="149">
        <f>R36/1.1</f>
        <v>132209.09090909091</v>
      </c>
      <c r="S37" s="150">
        <f>R37/M36</f>
        <v>4131.534090909091</v>
      </c>
      <c r="T37" s="140" t="s">
        <v>35</v>
      </c>
      <c r="U37" s="141">
        <f>U36/1.1</f>
        <v>5534436.3636363633</v>
      </c>
      <c r="V37" s="142">
        <f>U37/T36</f>
        <v>15812.675324675323</v>
      </c>
      <c r="W37" s="141">
        <f>W36/1.1</f>
        <v>2539709.0909090908</v>
      </c>
      <c r="X37" s="142">
        <f>W37/T36</f>
        <v>7256.3116883116882</v>
      </c>
      <c r="Y37" s="142">
        <f>Y36/1.1</f>
        <v>8074145.4545454541</v>
      </c>
      <c r="Z37" s="151">
        <f>Y37/T36</f>
        <v>23068.987012987011</v>
      </c>
      <c r="AA37" s="140" t="s">
        <v>35</v>
      </c>
      <c r="AB37" s="141">
        <f>AB36/1.1</f>
        <v>7964372.7272727266</v>
      </c>
      <c r="AC37" s="141">
        <f>AC36/1.1</f>
        <v>3173845.4545454541</v>
      </c>
      <c r="AD37" s="152">
        <f>AD36/1.1</f>
        <v>11138218.181818182</v>
      </c>
      <c r="AE37" s="133">
        <f>AD37/AA36</f>
        <v>15934.503836649759</v>
      </c>
      <c r="AF37" s="153"/>
      <c r="AG37" s="140" t="s">
        <v>35</v>
      </c>
      <c r="AH37" s="141">
        <f>AH36/1.1</f>
        <v>2926563.6363636362</v>
      </c>
      <c r="AI37" s="143">
        <f>AH37/AG36</f>
        <v>1054.9977059710297</v>
      </c>
      <c r="AJ37" s="143">
        <f>AJ36/1.1</f>
        <v>541363.63636363635</v>
      </c>
      <c r="AK37" s="143">
        <f>AJ37/AG36</f>
        <v>195.15632168840531</v>
      </c>
      <c r="AL37" s="142">
        <f>AL36/1.1</f>
        <v>3467927.2727272725</v>
      </c>
      <c r="AM37" s="154">
        <f>AL37/AG36</f>
        <v>1250.1540276594349</v>
      </c>
      <c r="AN37" s="154"/>
      <c r="AO37" s="139"/>
      <c r="AP37" s="154"/>
      <c r="AQ37" s="139"/>
      <c r="AR37" s="140" t="s">
        <v>35</v>
      </c>
      <c r="AS37" s="155">
        <f>AS36/1.1</f>
        <v>10890936.363636363</v>
      </c>
      <c r="AT37" s="141">
        <f>AT36/1.1</f>
        <v>3715209.0909090908</v>
      </c>
      <c r="AU37" s="142">
        <f>AU36/1.1</f>
        <v>14606145.454545453</v>
      </c>
      <c r="AV37" s="143">
        <f>AV36/1.1</f>
        <v>58999.999999999993</v>
      </c>
      <c r="AW37" s="110"/>
      <c r="AX37" s="110"/>
      <c r="AY37" s="110"/>
      <c r="AZ37" s="156">
        <f>AZ36/1.1</f>
        <v>58999.999999999993</v>
      </c>
      <c r="BA37" s="156"/>
      <c r="BB37" s="110"/>
      <c r="BC37" s="110"/>
      <c r="BD37" s="156">
        <f>BD36/1.1</f>
        <v>11197218.181818182</v>
      </c>
      <c r="BE37" s="110"/>
      <c r="BF37" s="156"/>
      <c r="BO37" s="308"/>
      <c r="BP37" s="309" t="s">
        <v>35</v>
      </c>
      <c r="BQ37" s="310">
        <f>BQ36/1.1</f>
        <v>2317936.3636363633</v>
      </c>
      <c r="BR37" s="311">
        <f>BQ37/BP36</f>
        <v>7312.1020934901053</v>
      </c>
      <c r="BS37" s="312">
        <f>BS36/1.1</f>
        <v>613927.27272727271</v>
      </c>
      <c r="BT37" s="311">
        <f>BS37/BP36</f>
        <v>1936.6790937768856</v>
      </c>
      <c r="BU37" s="313">
        <f>BU36/1.1</f>
        <v>2931863.6363636362</v>
      </c>
      <c r="BV37" s="314">
        <f>BR37+BT37</f>
        <v>9248.7811872669918</v>
      </c>
      <c r="BW37" s="315" t="s">
        <v>35</v>
      </c>
      <c r="BX37" s="310">
        <f>BX36/1.1</f>
        <v>5534436.3636363633</v>
      </c>
      <c r="BY37" s="311">
        <f>BX37/BW36</f>
        <v>15812.675324675323</v>
      </c>
      <c r="BZ37" s="312">
        <f>BZ36/1.1</f>
        <v>2539709.0909090908</v>
      </c>
      <c r="CA37" s="311">
        <f>BZ37/BW36</f>
        <v>7256.3116883116882</v>
      </c>
      <c r="CB37" s="313">
        <f>CB36/1.1</f>
        <v>8074145.4545454541</v>
      </c>
      <c r="CC37" s="316">
        <v>18537.758264462809</v>
      </c>
      <c r="CD37" s="315" t="s">
        <v>35</v>
      </c>
      <c r="CE37" s="310">
        <f>CE36/1.1</f>
        <v>7852372.7272727266</v>
      </c>
      <c r="CF37" s="311">
        <f>CE37/CD36</f>
        <v>11772.672754531824</v>
      </c>
      <c r="CG37" s="310">
        <f>CG36/1.1</f>
        <v>3153636.3636363633</v>
      </c>
      <c r="CH37" s="311">
        <f>CG37/CD36</f>
        <v>4728.0905002044428</v>
      </c>
      <c r="CI37" s="311">
        <f>CI36/1.1</f>
        <v>11006009.09090909</v>
      </c>
      <c r="CJ37" s="317">
        <f>CF37+CH37</f>
        <v>16500.763254736266</v>
      </c>
    </row>
    <row r="38" spans="1:88" ht="15.75" customHeight="1">
      <c r="A38" s="157"/>
      <c r="B38" s="158">
        <v>31</v>
      </c>
      <c r="C38" s="159"/>
      <c r="D38" s="157"/>
      <c r="E38" s="160" t="s">
        <v>36</v>
      </c>
      <c r="F38" s="161">
        <f>E36/G38</f>
        <v>10.225806451612904</v>
      </c>
      <c r="G38" s="162">
        <v>31</v>
      </c>
      <c r="H38" s="163" t="s">
        <v>37</v>
      </c>
      <c r="I38" s="161"/>
      <c r="J38" s="164" t="s">
        <v>38</v>
      </c>
      <c r="K38" s="165">
        <f>J37/G38</f>
        <v>94576.246334310839</v>
      </c>
      <c r="L38" s="166"/>
      <c r="O38" s="168">
        <v>25</v>
      </c>
      <c r="P38" s="169"/>
      <c r="Q38" s="169"/>
      <c r="R38" s="164" t="s">
        <v>38</v>
      </c>
      <c r="S38" s="165">
        <f>R37/O38</f>
        <v>5288.363636363636</v>
      </c>
      <c r="T38" s="157"/>
      <c r="U38" s="160" t="s">
        <v>36</v>
      </c>
      <c r="V38" s="161">
        <f>T36/W38</f>
        <v>11.666666666666666</v>
      </c>
      <c r="W38" s="162">
        <v>30</v>
      </c>
      <c r="X38" s="163" t="s">
        <v>37</v>
      </c>
      <c r="Y38" s="164" t="s">
        <v>38</v>
      </c>
      <c r="Z38" s="170">
        <f>Y37/W38</f>
        <v>269138.18181818182</v>
      </c>
      <c r="AB38" s="162">
        <f>G38</f>
        <v>31</v>
      </c>
      <c r="AC38" s="157"/>
      <c r="AD38" s="164" t="s">
        <v>38</v>
      </c>
      <c r="AE38" s="170">
        <f>AD37/AB38</f>
        <v>359297.36070381233</v>
      </c>
      <c r="AF38" s="171"/>
      <c r="AG38" s="157"/>
      <c r="AH38" s="157"/>
      <c r="AI38" s="172">
        <f>G38</f>
        <v>31</v>
      </c>
      <c r="AJ38" s="163" t="s">
        <v>37</v>
      </c>
      <c r="AK38" s="161"/>
      <c r="AL38" s="161"/>
      <c r="AM38" s="164" t="s">
        <v>38</v>
      </c>
      <c r="AN38" s="344">
        <f>AL37/AI38</f>
        <v>111868.62170087975</v>
      </c>
      <c r="AO38" s="344"/>
      <c r="AP38" s="344"/>
      <c r="AQ38" s="344"/>
      <c r="AS38" s="157"/>
      <c r="AT38" s="157"/>
      <c r="AU38" s="157" t="s">
        <v>39</v>
      </c>
      <c r="AV38" s="166"/>
      <c r="AW38" s="166">
        <f>AU37/AX38</f>
        <v>4244.7385802224508</v>
      </c>
      <c r="AX38" s="174">
        <f>AR36+AG36</f>
        <v>3441</v>
      </c>
      <c r="AY38" s="157" t="s">
        <v>40</v>
      </c>
      <c r="AZ38" s="157"/>
      <c r="BA38" s="157"/>
      <c r="BB38" s="166"/>
      <c r="BC38" s="157"/>
      <c r="BD38" s="157"/>
      <c r="BE38" s="166"/>
      <c r="BF38" s="157"/>
      <c r="BG38" s="166">
        <f>BF36/1.1</f>
        <v>11243763.636363635</v>
      </c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89.483870967741936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/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>E5+E12+E19+E26+E33</f>
        <v>43</v>
      </c>
      <c r="F41" s="166">
        <f>F5+F12+F19+F26+F33</f>
        <v>328000</v>
      </c>
      <c r="G41" s="184">
        <f>F41/E41</f>
        <v>7627.9069767441861</v>
      </c>
      <c r="H41" s="166">
        <f>H5+H12+H19+H26+H33</f>
        <v>61510</v>
      </c>
      <c r="I41" s="185">
        <f>H41/E41</f>
        <v>1430.4651162790697</v>
      </c>
      <c r="J41" s="166">
        <f>J5+J12+J19+J26+J33</f>
        <v>389510</v>
      </c>
      <c r="K41" s="186">
        <f>J41/E41</f>
        <v>9058.3720930232557</v>
      </c>
      <c r="L41" s="182" t="s">
        <v>52</v>
      </c>
      <c r="M41" s="183">
        <f>M5+M12+M19+M26+M33</f>
        <v>2</v>
      </c>
      <c r="N41" s="166">
        <f>N5+N12+N19+N26+N33</f>
        <v>7700</v>
      </c>
      <c r="O41" s="184">
        <f>N41/M41</f>
        <v>3850</v>
      </c>
      <c r="P41" s="166">
        <f>P5+P12+P19+P26+P33</f>
        <v>1100</v>
      </c>
      <c r="Q41" s="185">
        <f>P41/M41</f>
        <v>550</v>
      </c>
      <c r="R41" s="166">
        <f>R5+R12+R19+R26+R33</f>
        <v>8800</v>
      </c>
      <c r="S41" s="186">
        <f>R41/M41</f>
        <v>4400</v>
      </c>
      <c r="T41" s="183">
        <f>T5+T12+T19+T26+T33</f>
        <v>62</v>
      </c>
      <c r="U41" s="166">
        <f>U5+U12+U19+U26+U33</f>
        <v>969540</v>
      </c>
      <c r="V41" s="184">
        <f>U41/T41</f>
        <v>15637.741935483871</v>
      </c>
      <c r="W41" s="166">
        <f>W5+W12+W19+W26+W33</f>
        <v>505660</v>
      </c>
      <c r="X41" s="185">
        <f>W41/T41</f>
        <v>8155.8064516129034</v>
      </c>
      <c r="Y41" s="166">
        <f>Y5+Y12+Y19+Y26+Y33</f>
        <v>1475200</v>
      </c>
      <c r="Z41" s="186">
        <f>Y41/T41</f>
        <v>23793.548387096773</v>
      </c>
      <c r="AA41" s="157"/>
      <c r="AB41" s="157"/>
      <c r="AC41" s="157"/>
      <c r="AD41" s="157"/>
      <c r="AE41" s="157"/>
      <c r="AF41" s="182" t="s">
        <v>52</v>
      </c>
      <c r="AG41" s="183">
        <f t="shared" ref="AG41:AH43" si="53">AG5+AG12+AG19+AG26+AG33</f>
        <v>323</v>
      </c>
      <c r="AH41" s="166">
        <f t="shared" si="53"/>
        <v>424860</v>
      </c>
      <c r="AI41" s="184">
        <f>AH41/AG41</f>
        <v>1315.3560371517028</v>
      </c>
      <c r="AJ41" s="166">
        <f>AJ5+AJ12+AJ19+AJ26+AJ33</f>
        <v>61500</v>
      </c>
      <c r="AK41" s="185">
        <f>AJ41/AG41</f>
        <v>190.40247678018576</v>
      </c>
      <c r="AL41" s="166">
        <f>AL5+AL12+AL19+AL26+AL33</f>
        <v>486360</v>
      </c>
      <c r="AM41" s="186">
        <f>AL41/AG41</f>
        <v>1505.7585139318885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>E6+E13+E20+E27+E34</f>
        <v>47</v>
      </c>
      <c r="F42" s="166">
        <f>F6+F13+F20+F27+F34</f>
        <v>430100</v>
      </c>
      <c r="G42" s="184">
        <f>F42/E42</f>
        <v>9151.0638297872338</v>
      </c>
      <c r="H42" s="166">
        <f>H6+H13+H20+H27+H34</f>
        <v>118400</v>
      </c>
      <c r="I42" s="185">
        <f t="shared" ref="I42:I47" si="54">H42/E42</f>
        <v>2519.1489361702129</v>
      </c>
      <c r="J42" s="166">
        <f>J6+J13+J20+J27+J34</f>
        <v>548500</v>
      </c>
      <c r="K42" s="186">
        <f t="shared" ref="K42:K46" si="55">J42/E42</f>
        <v>11670.212765957447</v>
      </c>
      <c r="L42" s="182" t="s">
        <v>53</v>
      </c>
      <c r="M42" s="183">
        <f>M6+M13+M20+M27+M34</f>
        <v>7</v>
      </c>
      <c r="N42" s="166">
        <f>N6+N13+N20+N27+N34</f>
        <v>26950</v>
      </c>
      <c r="O42" s="184">
        <f>N42/M42</f>
        <v>3850</v>
      </c>
      <c r="P42" s="166">
        <f>P6+P13+P20+P27+P34</f>
        <v>3750</v>
      </c>
      <c r="Q42" s="185">
        <f t="shared" ref="Q42:Q47" si="56">P42/M42</f>
        <v>535.71428571428567</v>
      </c>
      <c r="R42" s="166">
        <f>R6+R13+R20+R27+R34</f>
        <v>30700</v>
      </c>
      <c r="S42" s="186">
        <f t="shared" ref="S42:S46" si="57">R42/M42</f>
        <v>4385.7142857142853</v>
      </c>
      <c r="T42" s="183">
        <f>T6+T13+T20+T27+T34</f>
        <v>60</v>
      </c>
      <c r="U42" s="166">
        <f>U6+U13+U20+U27+U34</f>
        <v>985600</v>
      </c>
      <c r="V42" s="184">
        <f>U42/T42</f>
        <v>16426.666666666668</v>
      </c>
      <c r="W42" s="166">
        <f>W6+W13+W20+W27+W34</f>
        <v>348580</v>
      </c>
      <c r="X42" s="185">
        <f t="shared" ref="X42:X47" si="58">W42/T42</f>
        <v>5809.666666666667</v>
      </c>
      <c r="Y42" s="166">
        <f>Y6+Y13+Y20+Y27+Y34</f>
        <v>1334180</v>
      </c>
      <c r="Z42" s="186">
        <f t="shared" ref="Z42:Z46" si="59">Y42/T42</f>
        <v>22236.333333333332</v>
      </c>
      <c r="AA42" s="157"/>
      <c r="AB42" s="157"/>
      <c r="AC42" s="157"/>
      <c r="AD42" s="157"/>
      <c r="AE42" s="157"/>
      <c r="AF42" s="182" t="s">
        <v>53</v>
      </c>
      <c r="AG42" s="183">
        <f t="shared" si="53"/>
        <v>336</v>
      </c>
      <c r="AH42" s="166">
        <f t="shared" si="53"/>
        <v>414850</v>
      </c>
      <c r="AI42" s="184">
        <f>AH42/AG42</f>
        <v>1234.672619047619</v>
      </c>
      <c r="AJ42" s="166">
        <f>AJ6+AJ13+AJ20+AJ27+AJ34</f>
        <v>60500</v>
      </c>
      <c r="AK42" s="185">
        <f t="shared" ref="AK42:AK47" si="60">AJ42/AG42</f>
        <v>180.0595238095238</v>
      </c>
      <c r="AL42" s="166">
        <f>AL6+AL13+AL20+AL27+AL34</f>
        <v>475350</v>
      </c>
      <c r="AM42" s="186">
        <f t="shared" ref="AM42:AM46" si="61">AL42/AG42</f>
        <v>1414.7321428571429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 t="shared" ref="E43" si="62">E7+E14+E21+E28+E35</f>
        <v>41</v>
      </c>
      <c r="F43" s="166">
        <f>F7+F14+F21+F28+F35</f>
        <v>352000</v>
      </c>
      <c r="G43" s="184">
        <f>F43/E43</f>
        <v>8585.3658536585372</v>
      </c>
      <c r="H43" s="166">
        <f>H7+H14+H21+H28+H35</f>
        <v>119130</v>
      </c>
      <c r="I43" s="185">
        <f t="shared" si="54"/>
        <v>2905.6097560975609</v>
      </c>
      <c r="J43" s="166">
        <f>J7+J14+J21+J28+J35</f>
        <v>471130</v>
      </c>
      <c r="K43" s="186">
        <f t="shared" si="55"/>
        <v>11490.975609756097</v>
      </c>
      <c r="L43" s="182" t="s">
        <v>54</v>
      </c>
      <c r="M43" s="183">
        <f t="shared" ref="M43" si="63">M7+M14+M21+M28+M35</f>
        <v>2</v>
      </c>
      <c r="N43" s="166">
        <f>N7+N14+N21+N28+N35</f>
        <v>7700</v>
      </c>
      <c r="O43" s="184">
        <f>N43/M43</f>
        <v>3850</v>
      </c>
      <c r="P43" s="166">
        <f>P7+P14+P21+P28+P35</f>
        <v>1100</v>
      </c>
      <c r="Q43" s="185">
        <f t="shared" si="56"/>
        <v>550</v>
      </c>
      <c r="R43" s="166">
        <f>R7+R14+R21+R28+R35</f>
        <v>8800</v>
      </c>
      <c r="S43" s="186">
        <f t="shared" si="57"/>
        <v>4400</v>
      </c>
      <c r="T43" s="183">
        <f t="shared" ref="T43" si="64">T7+T14+T21+T28+T35</f>
        <v>42</v>
      </c>
      <c r="U43" s="166">
        <f>U7+U14+U21+U28+U35</f>
        <v>744500</v>
      </c>
      <c r="V43" s="184">
        <f>U43/T43</f>
        <v>17726.190476190477</v>
      </c>
      <c r="W43" s="166">
        <f>W7+W14+W21+W28+W35</f>
        <v>591950</v>
      </c>
      <c r="X43" s="185">
        <f t="shared" si="58"/>
        <v>14094.047619047618</v>
      </c>
      <c r="Y43" s="166">
        <f>Y7+Y14+Y21+Y28+Y35</f>
        <v>1336450</v>
      </c>
      <c r="Z43" s="186">
        <f t="shared" si="59"/>
        <v>31820.238095238095</v>
      </c>
      <c r="AA43" s="157"/>
      <c r="AB43" s="157"/>
      <c r="AC43" s="157"/>
      <c r="AD43" s="157"/>
      <c r="AE43" s="157"/>
      <c r="AF43" s="182" t="s">
        <v>54</v>
      </c>
      <c r="AG43" s="183">
        <f t="shared" si="53"/>
        <v>370</v>
      </c>
      <c r="AH43" s="166">
        <f t="shared" si="53"/>
        <v>501320</v>
      </c>
      <c r="AI43" s="184">
        <f>AH43/AG43</f>
        <v>1354.918918918919</v>
      </c>
      <c r="AJ43" s="166">
        <f>AJ7+AJ14+AJ21+AJ28+AJ35</f>
        <v>65500</v>
      </c>
      <c r="AK43" s="185">
        <f t="shared" si="60"/>
        <v>177.02702702702703</v>
      </c>
      <c r="AL43" s="166">
        <f>AL7+AL14+AL21+AL28+AL35</f>
        <v>566820</v>
      </c>
      <c r="AM43" s="186">
        <f t="shared" si="61"/>
        <v>1531.9459459459461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 t="shared" ref="E44:F47" si="65">E8+E15+E22+E29</f>
        <v>25</v>
      </c>
      <c r="F44" s="166">
        <f t="shared" si="65"/>
        <v>196980</v>
      </c>
      <c r="G44" s="184">
        <f>F44/E44</f>
        <v>7879.2</v>
      </c>
      <c r="H44" s="166">
        <f>H8+H15+H22+H29</f>
        <v>63310</v>
      </c>
      <c r="I44" s="185">
        <f>H44/E44</f>
        <v>2532.4</v>
      </c>
      <c r="J44" s="166">
        <f>J8+J15+J22+J29</f>
        <v>260290</v>
      </c>
      <c r="K44" s="186">
        <f t="shared" si="55"/>
        <v>10411.6</v>
      </c>
      <c r="L44" s="182" t="s">
        <v>55</v>
      </c>
      <c r="M44" s="183">
        <f t="shared" ref="M44:N47" si="66">M8+M15+M22+M29</f>
        <v>3</v>
      </c>
      <c r="N44" s="166">
        <f t="shared" si="66"/>
        <v>11550</v>
      </c>
      <c r="O44" s="184">
        <f t="shared" ref="O44:O47" si="67">N44/M44</f>
        <v>3850</v>
      </c>
      <c r="P44" s="166">
        <f>P8+P15+P22+P29</f>
        <v>1650</v>
      </c>
      <c r="Q44" s="185">
        <f t="shared" si="56"/>
        <v>550</v>
      </c>
      <c r="R44" s="166">
        <f>R8+R15+R22+R29</f>
        <v>13200</v>
      </c>
      <c r="S44" s="186">
        <f t="shared" si="57"/>
        <v>4400</v>
      </c>
      <c r="T44" s="183">
        <f t="shared" ref="T44:U47" si="68">T8+T15+T22+T29</f>
        <v>38</v>
      </c>
      <c r="U44" s="166">
        <f t="shared" si="68"/>
        <v>675200</v>
      </c>
      <c r="V44" s="184">
        <f t="shared" ref="V44:V47" si="69">U44/T44</f>
        <v>17768.42105263158</v>
      </c>
      <c r="W44" s="166">
        <f>W8+W15+W22+W29</f>
        <v>173190</v>
      </c>
      <c r="X44" s="185">
        <f t="shared" si="58"/>
        <v>4557.6315789473683</v>
      </c>
      <c r="Y44" s="166">
        <f>Y8+Y15+Y22+Y29</f>
        <v>848390</v>
      </c>
      <c r="Z44" s="186">
        <f t="shared" si="59"/>
        <v>22326.052631578947</v>
      </c>
      <c r="AA44" s="157"/>
      <c r="AB44" s="157"/>
      <c r="AC44" s="157"/>
      <c r="AD44" s="157"/>
      <c r="AE44" s="157"/>
      <c r="AF44" s="182" t="s">
        <v>55</v>
      </c>
      <c r="AG44" s="183">
        <f t="shared" ref="AG44:AH47" si="70">AG8+AG15+AG22+AG29</f>
        <v>271</v>
      </c>
      <c r="AH44" s="166">
        <f t="shared" si="70"/>
        <v>357760</v>
      </c>
      <c r="AI44" s="184">
        <f t="shared" ref="AI44:AI47" si="71">AH44/AG44</f>
        <v>1320.1476014760149</v>
      </c>
      <c r="AJ44" s="166">
        <f>AJ8+AJ15+AJ22+AJ29</f>
        <v>36900</v>
      </c>
      <c r="AK44" s="185">
        <f t="shared" si="60"/>
        <v>136.16236162361625</v>
      </c>
      <c r="AL44" s="166">
        <f>AL8+AL15+AL22+AL29</f>
        <v>394660</v>
      </c>
      <c r="AM44" s="186">
        <f t="shared" si="61"/>
        <v>1456.309963099631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 t="shared" si="65"/>
        <v>55</v>
      </c>
      <c r="F45" s="166">
        <f t="shared" si="65"/>
        <v>367600</v>
      </c>
      <c r="G45" s="184">
        <f t="shared" ref="G45:G47" si="72">F45/E45</f>
        <v>6683.636363636364</v>
      </c>
      <c r="H45" s="166">
        <f>H9+H16+H23+H30</f>
        <v>84390</v>
      </c>
      <c r="I45" s="185">
        <f t="shared" si="54"/>
        <v>1534.3636363636363</v>
      </c>
      <c r="J45" s="166">
        <f>J9+J16+J23+J30</f>
        <v>451990</v>
      </c>
      <c r="K45" s="186">
        <f t="shared" si="55"/>
        <v>8218</v>
      </c>
      <c r="L45" s="182" t="s">
        <v>56</v>
      </c>
      <c r="M45" s="183">
        <f t="shared" si="66"/>
        <v>4</v>
      </c>
      <c r="N45" s="166">
        <f t="shared" si="66"/>
        <v>15400</v>
      </c>
      <c r="O45" s="184">
        <f>N45/M45</f>
        <v>3850</v>
      </c>
      <c r="P45" s="166">
        <f>P9+P16+P23+P30</f>
        <v>4730</v>
      </c>
      <c r="Q45" s="185">
        <f t="shared" si="56"/>
        <v>1182.5</v>
      </c>
      <c r="R45" s="166">
        <f>R9+R16+R23+R30</f>
        <v>20130</v>
      </c>
      <c r="S45" s="186">
        <f t="shared" si="57"/>
        <v>5032.5</v>
      </c>
      <c r="T45" s="183">
        <f t="shared" si="68"/>
        <v>61</v>
      </c>
      <c r="U45" s="166">
        <f>U9+U16+U23+U30</f>
        <v>1005730</v>
      </c>
      <c r="V45" s="184">
        <f t="shared" si="69"/>
        <v>16487.377049180326</v>
      </c>
      <c r="W45" s="166">
        <f>W9+W16+W23+W30</f>
        <v>704270</v>
      </c>
      <c r="X45" s="185">
        <f t="shared" si="58"/>
        <v>11545.409836065573</v>
      </c>
      <c r="Y45" s="166">
        <f>Y9+Y16+Y23+Y30</f>
        <v>1710000</v>
      </c>
      <c r="Z45" s="186">
        <f t="shared" si="59"/>
        <v>28032.786885245903</v>
      </c>
      <c r="AA45" s="157"/>
      <c r="AB45" s="157"/>
      <c r="AC45" s="157"/>
      <c r="AD45" s="157"/>
      <c r="AE45" s="157"/>
      <c r="AF45" s="182" t="s">
        <v>56</v>
      </c>
      <c r="AG45" s="183">
        <f t="shared" si="70"/>
        <v>588</v>
      </c>
      <c r="AH45" s="166">
        <f t="shared" si="70"/>
        <v>455980</v>
      </c>
      <c r="AI45" s="184">
        <f t="shared" si="71"/>
        <v>775.47619047619048</v>
      </c>
      <c r="AJ45" s="166">
        <f>AJ9+AJ16+AJ23+AJ30</f>
        <v>184800</v>
      </c>
      <c r="AK45" s="185">
        <f t="shared" si="60"/>
        <v>314.28571428571428</v>
      </c>
      <c r="AL45" s="166">
        <f>AL9+AL16+AL23+AL30</f>
        <v>640780</v>
      </c>
      <c r="AM45" s="186">
        <f t="shared" si="61"/>
        <v>1089.7619047619048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 t="shared" si="65"/>
        <v>39</v>
      </c>
      <c r="F46" s="166">
        <f t="shared" si="65"/>
        <v>326150</v>
      </c>
      <c r="G46" s="184">
        <f t="shared" si="72"/>
        <v>8362.8205128205136</v>
      </c>
      <c r="H46" s="166">
        <f>H10+H17+H24+H31</f>
        <v>96030</v>
      </c>
      <c r="I46" s="185">
        <f t="shared" si="54"/>
        <v>2462.3076923076924</v>
      </c>
      <c r="J46" s="166">
        <f>J10+J17+J24+J31</f>
        <v>422180</v>
      </c>
      <c r="K46" s="186">
        <f t="shared" si="55"/>
        <v>10825.128205128205</v>
      </c>
      <c r="L46" s="182" t="s">
        <v>57</v>
      </c>
      <c r="M46" s="183">
        <f t="shared" si="66"/>
        <v>11</v>
      </c>
      <c r="N46" s="166">
        <f t="shared" si="66"/>
        <v>42350</v>
      </c>
      <c r="O46" s="184">
        <f t="shared" si="67"/>
        <v>3850</v>
      </c>
      <c r="P46" s="166">
        <f>P10+P17+P24+P31</f>
        <v>8250</v>
      </c>
      <c r="Q46" s="185">
        <f t="shared" si="56"/>
        <v>750</v>
      </c>
      <c r="R46" s="166">
        <f>R10+R17+R24+R31</f>
        <v>50600</v>
      </c>
      <c r="S46" s="186">
        <f t="shared" si="57"/>
        <v>4600</v>
      </c>
      <c r="T46" s="183">
        <f t="shared" si="68"/>
        <v>48</v>
      </c>
      <c r="U46" s="166">
        <f t="shared" si="68"/>
        <v>948750</v>
      </c>
      <c r="V46" s="184">
        <f t="shared" si="69"/>
        <v>19765.625</v>
      </c>
      <c r="W46" s="166">
        <f>W10+W17+W24+W31</f>
        <v>272360</v>
      </c>
      <c r="X46" s="185">
        <f t="shared" si="58"/>
        <v>5674.166666666667</v>
      </c>
      <c r="Y46" s="166">
        <f>Y10+Y17+Y24+Y31</f>
        <v>1221110</v>
      </c>
      <c r="Z46" s="186">
        <f t="shared" si="59"/>
        <v>25439.791666666668</v>
      </c>
      <c r="AA46" s="157"/>
      <c r="AB46" s="157"/>
      <c r="AC46" s="157"/>
      <c r="AD46" s="157"/>
      <c r="AE46" s="157"/>
      <c r="AF46" s="182" t="s">
        <v>57</v>
      </c>
      <c r="AG46" s="183">
        <f t="shared" si="70"/>
        <v>501</v>
      </c>
      <c r="AH46" s="166">
        <f t="shared" si="70"/>
        <v>562750</v>
      </c>
      <c r="AI46" s="184">
        <f t="shared" si="71"/>
        <v>1123.253493013972</v>
      </c>
      <c r="AJ46" s="166">
        <f>AJ10+AJ17+AJ24+AJ31</f>
        <v>115900</v>
      </c>
      <c r="AK46" s="185">
        <f t="shared" si="60"/>
        <v>231.33732534930141</v>
      </c>
      <c r="AL46" s="166">
        <f>AL10+AL17+AL24+AL31</f>
        <v>678650</v>
      </c>
      <c r="AM46" s="186">
        <f t="shared" si="61"/>
        <v>1354.5908183632735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 t="shared" si="65"/>
        <v>67</v>
      </c>
      <c r="F47" s="189">
        <f t="shared" si="65"/>
        <v>548900</v>
      </c>
      <c r="G47" s="190">
        <f t="shared" si="72"/>
        <v>8192.5373134328365</v>
      </c>
      <c r="H47" s="189">
        <f>H11+H18+H25+H32</f>
        <v>132550</v>
      </c>
      <c r="I47" s="191">
        <f t="shared" si="54"/>
        <v>1978.358208955224</v>
      </c>
      <c r="J47" s="189">
        <f>J11+J18+J25+J32</f>
        <v>681450</v>
      </c>
      <c r="K47" s="192">
        <f>J47/E47</f>
        <v>10170.89552238806</v>
      </c>
      <c r="L47" s="187" t="s">
        <v>58</v>
      </c>
      <c r="M47" s="188">
        <f t="shared" si="66"/>
        <v>3</v>
      </c>
      <c r="N47" s="189">
        <f t="shared" si="66"/>
        <v>11550</v>
      </c>
      <c r="O47" s="190">
        <f t="shared" si="67"/>
        <v>3850</v>
      </c>
      <c r="P47" s="189">
        <f>P11+P18+P25+P32</f>
        <v>1650</v>
      </c>
      <c r="Q47" s="191">
        <f t="shared" si="56"/>
        <v>550</v>
      </c>
      <c r="R47" s="189">
        <f>R11+R18+R25+R32</f>
        <v>13200</v>
      </c>
      <c r="S47" s="192">
        <f>R47/M47</f>
        <v>4400</v>
      </c>
      <c r="T47" s="188">
        <f t="shared" si="68"/>
        <v>39</v>
      </c>
      <c r="U47" s="189">
        <f t="shared" si="68"/>
        <v>758560</v>
      </c>
      <c r="V47" s="190">
        <f t="shared" si="69"/>
        <v>19450.25641025641</v>
      </c>
      <c r="W47" s="189">
        <f>W11+W18+W25+W32</f>
        <v>197670</v>
      </c>
      <c r="X47" s="191">
        <f t="shared" si="58"/>
        <v>5068.4615384615381</v>
      </c>
      <c r="Y47" s="189">
        <f>Y11+Y18+Y25+Y32</f>
        <v>956230</v>
      </c>
      <c r="Z47" s="192">
        <f>Y47/T47</f>
        <v>24518.717948717949</v>
      </c>
      <c r="AA47" s="157"/>
      <c r="AB47" s="157"/>
      <c r="AC47" s="157"/>
      <c r="AD47" s="157"/>
      <c r="AE47" s="157"/>
      <c r="AF47" s="187" t="s">
        <v>58</v>
      </c>
      <c r="AG47" s="188">
        <f t="shared" si="70"/>
        <v>385</v>
      </c>
      <c r="AH47" s="189">
        <f t="shared" si="70"/>
        <v>501700</v>
      </c>
      <c r="AI47" s="190">
        <f t="shared" si="71"/>
        <v>1303.1168831168832</v>
      </c>
      <c r="AJ47" s="189">
        <f>AJ11+AJ18+AJ25+AJ32</f>
        <v>70400</v>
      </c>
      <c r="AK47" s="191">
        <f t="shared" si="60"/>
        <v>182.85714285714286</v>
      </c>
      <c r="AL47" s="189">
        <f>AL11+AL18+AL25+AL32</f>
        <v>572100</v>
      </c>
      <c r="AM47" s="192">
        <f>AL47/AG47</f>
        <v>1485.9740259740261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  <c r="BG48" s="157"/>
      <c r="BH48" s="166"/>
    </row>
    <row r="49" spans="1:88" ht="15.75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L49" s="161"/>
      <c r="AM49" s="161"/>
      <c r="AN49" s="345"/>
      <c r="AO49" s="345"/>
      <c r="AP49" s="345"/>
      <c r="AQ49" s="345"/>
      <c r="AS49" s="157"/>
      <c r="AT49" s="157"/>
      <c r="AU49" s="157" t="s">
        <v>63</v>
      </c>
      <c r="AW49" s="198">
        <f>AU37/AI38</f>
        <v>471165.98240469204</v>
      </c>
      <c r="AX49" s="157" t="s">
        <v>64</v>
      </c>
      <c r="AY49" s="157"/>
      <c r="AZ49" s="157"/>
      <c r="BA49" s="157"/>
      <c r="BB49" s="166"/>
      <c r="BC49" s="157"/>
      <c r="BD49" s="157"/>
      <c r="BE49" s="166"/>
      <c r="BF49" s="157"/>
      <c r="BG49" s="166"/>
    </row>
    <row r="50" spans="1:88" ht="21" customHeight="1">
      <c r="A50" s="157"/>
      <c r="B50" s="158"/>
      <c r="C50" s="199"/>
      <c r="D50" s="200"/>
      <c r="E50" s="17"/>
      <c r="F50" s="17"/>
      <c r="G50" s="17"/>
      <c r="H50" s="17"/>
      <c r="I50" s="17"/>
      <c r="J50" s="17"/>
      <c r="K50" s="318"/>
      <c r="L50" s="201"/>
      <c r="M50" s="202"/>
      <c r="N50" s="202"/>
      <c r="O50" s="202"/>
      <c r="P50" s="202"/>
      <c r="Q50" s="202"/>
      <c r="R50" s="202"/>
      <c r="S50" s="203"/>
      <c r="T50" s="204"/>
      <c r="U50" s="205"/>
      <c r="V50" s="205"/>
      <c r="W50" s="205"/>
      <c r="X50" s="205"/>
      <c r="Y50" s="205"/>
      <c r="Z50" s="206"/>
      <c r="AA50" s="207"/>
      <c r="AB50" s="157"/>
      <c r="AC50" s="157"/>
      <c r="AD50" s="166"/>
      <c r="AE50" s="166"/>
      <c r="AF50" s="359" t="s">
        <v>89</v>
      </c>
      <c r="AG50" s="360"/>
      <c r="AH50" s="360"/>
      <c r="AI50" s="360"/>
      <c r="AJ50" s="360"/>
      <c r="AK50" s="360"/>
      <c r="AL50" s="360"/>
      <c r="AM50" s="361"/>
      <c r="AN50" s="328"/>
      <c r="AO50" s="159"/>
      <c r="AP50" s="328"/>
      <c r="AQ50" s="159"/>
      <c r="AR50" s="207"/>
      <c r="AS50" s="157"/>
      <c r="AT50" s="157"/>
      <c r="AU50" s="157" t="s">
        <v>65</v>
      </c>
      <c r="AV50" s="166">
        <f>AU36+AV36</f>
        <v>16131660</v>
      </c>
      <c r="AW50" s="198">
        <f>AV50/AI38</f>
        <v>520376.12903225806</v>
      </c>
      <c r="AX50" s="157" t="s">
        <v>66</v>
      </c>
      <c r="AY50" s="157"/>
      <c r="AZ50" s="157"/>
      <c r="BA50" s="157"/>
      <c r="BB50" s="157"/>
      <c r="BC50" s="157"/>
      <c r="BD50" s="157"/>
      <c r="BE50" s="166"/>
      <c r="BF50" s="157"/>
      <c r="BG50" s="166"/>
    </row>
    <row r="51" spans="1:88" ht="21" customHeight="1">
      <c r="A51" s="157"/>
      <c r="B51" s="158"/>
      <c r="C51" s="199"/>
      <c r="D51" s="319"/>
      <c r="E51" s="320"/>
      <c r="F51" s="320"/>
      <c r="G51" s="320"/>
      <c r="H51" s="320"/>
      <c r="I51" s="320"/>
      <c r="J51" s="320"/>
      <c r="K51" s="321"/>
      <c r="L51" s="211"/>
      <c r="M51" s="212"/>
      <c r="N51" s="212"/>
      <c r="O51" s="212"/>
      <c r="P51" s="212"/>
      <c r="Q51" s="212"/>
      <c r="R51" s="212"/>
      <c r="S51" s="322"/>
      <c r="T51" s="323"/>
      <c r="U51" s="213"/>
      <c r="V51" s="213"/>
      <c r="W51" s="213"/>
      <c r="X51" s="213"/>
      <c r="Y51" s="213"/>
      <c r="Z51" s="324"/>
      <c r="AA51" s="207"/>
      <c r="AB51" s="157"/>
      <c r="AC51" s="157"/>
      <c r="AD51" s="157"/>
      <c r="AE51" s="166"/>
      <c r="AF51" s="362"/>
      <c r="AG51" s="363"/>
      <c r="AH51" s="363"/>
      <c r="AI51" s="363"/>
      <c r="AJ51" s="363"/>
      <c r="AK51" s="363"/>
      <c r="AL51" s="363"/>
      <c r="AM51" s="364"/>
      <c r="AN51" s="328"/>
      <c r="AO51" s="159"/>
      <c r="AP51" s="328"/>
      <c r="AQ51" s="159"/>
      <c r="AR51" s="207"/>
      <c r="AS51" s="157"/>
      <c r="AT51" s="157"/>
      <c r="AU51" s="157" t="s">
        <v>67</v>
      </c>
      <c r="AV51" s="156">
        <f>AU37+AV37</f>
        <v>14665145.454545453</v>
      </c>
      <c r="AW51" s="198">
        <f>AV51/AI38</f>
        <v>473069.20821114368</v>
      </c>
      <c r="AX51" s="157" t="s">
        <v>64</v>
      </c>
      <c r="AY51" s="157"/>
      <c r="AZ51" s="157"/>
      <c r="BA51" s="157"/>
      <c r="BB51" s="157"/>
      <c r="BC51" s="157"/>
      <c r="BD51" s="157"/>
      <c r="BE51" s="166"/>
      <c r="BF51" s="157"/>
      <c r="BG51" s="166"/>
    </row>
    <row r="52" spans="1:88" ht="21" customHeight="1">
      <c r="A52" s="157"/>
      <c r="B52" s="158"/>
      <c r="C52" s="199"/>
      <c r="D52" s="319"/>
      <c r="E52" s="320"/>
      <c r="F52" s="320"/>
      <c r="G52" s="320"/>
      <c r="H52" s="320"/>
      <c r="I52" s="320"/>
      <c r="J52" s="320"/>
      <c r="K52" s="321"/>
      <c r="L52" s="211"/>
      <c r="M52" s="212"/>
      <c r="N52" s="212"/>
      <c r="O52" s="212"/>
      <c r="P52" s="212"/>
      <c r="Q52" s="212"/>
      <c r="R52" s="212"/>
      <c r="S52" s="322"/>
      <c r="T52" s="323"/>
      <c r="U52" s="213"/>
      <c r="V52" s="213"/>
      <c r="W52" s="213"/>
      <c r="X52" s="213"/>
      <c r="Y52" s="213"/>
      <c r="Z52" s="324"/>
      <c r="AA52" s="207"/>
      <c r="AB52" s="157"/>
      <c r="AC52" s="157"/>
      <c r="AD52" s="157"/>
      <c r="AE52" s="166"/>
      <c r="AF52" s="362"/>
      <c r="AG52" s="363"/>
      <c r="AH52" s="363"/>
      <c r="AI52" s="363"/>
      <c r="AJ52" s="363"/>
      <c r="AK52" s="363"/>
      <c r="AL52" s="363"/>
      <c r="AM52" s="364"/>
      <c r="AN52" s="328"/>
      <c r="AO52" s="159"/>
      <c r="AP52" s="328"/>
      <c r="AQ52" s="159"/>
      <c r="AR52" s="20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66"/>
      <c r="BG52" s="157"/>
      <c r="BH52" s="166"/>
    </row>
    <row r="53" spans="1:88" ht="21" customHeight="1">
      <c r="A53" s="157"/>
      <c r="B53" s="158"/>
      <c r="C53" s="199"/>
      <c r="D53" s="319"/>
      <c r="E53" s="320"/>
      <c r="F53" s="320"/>
      <c r="G53" s="320"/>
      <c r="H53" s="320"/>
      <c r="I53" s="320"/>
      <c r="J53" s="320"/>
      <c r="K53" s="321"/>
      <c r="L53" s="211"/>
      <c r="M53" s="212"/>
      <c r="N53" s="212"/>
      <c r="O53" s="212"/>
      <c r="P53" s="212"/>
      <c r="Q53" s="212"/>
      <c r="R53" s="212"/>
      <c r="S53" s="322"/>
      <c r="T53" s="323"/>
      <c r="U53" s="213"/>
      <c r="V53" s="213"/>
      <c r="W53" s="213"/>
      <c r="X53" s="213"/>
      <c r="Y53" s="213"/>
      <c r="Z53" s="324"/>
      <c r="AA53" s="207"/>
      <c r="AB53" s="157"/>
      <c r="AC53" s="157"/>
      <c r="AD53" s="157"/>
      <c r="AE53" s="157"/>
      <c r="AF53" s="362"/>
      <c r="AG53" s="363"/>
      <c r="AH53" s="363"/>
      <c r="AI53" s="363"/>
      <c r="AJ53" s="363"/>
      <c r="AK53" s="363"/>
      <c r="AL53" s="363"/>
      <c r="AM53" s="364"/>
      <c r="AN53" s="328"/>
      <c r="AO53" s="159"/>
      <c r="AP53" s="328"/>
      <c r="AQ53" s="159"/>
      <c r="AR53" s="207"/>
      <c r="AS53" s="157"/>
      <c r="AT53" s="157"/>
      <c r="AU53" s="157"/>
      <c r="AV53" s="166">
        <f>AU37+AV37</f>
        <v>14665145.454545453</v>
      </c>
      <c r="AW53" s="175" t="s">
        <v>68</v>
      </c>
      <c r="AX53" s="175" t="s">
        <v>69</v>
      </c>
      <c r="AY53" s="175" t="s">
        <v>70</v>
      </c>
      <c r="AZ53" s="157"/>
      <c r="BA53" s="157"/>
      <c r="BB53" s="157"/>
      <c r="BC53" s="157"/>
      <c r="BD53" s="157"/>
      <c r="BE53" s="166"/>
      <c r="BF53" s="157"/>
      <c r="BG53" s="166"/>
    </row>
    <row r="54" spans="1:88" ht="21" customHeight="1">
      <c r="A54" s="157"/>
      <c r="B54" s="158"/>
      <c r="C54" s="199"/>
      <c r="D54" s="325"/>
      <c r="E54" s="326"/>
      <c r="F54" s="326"/>
      <c r="G54" s="326"/>
      <c r="H54" s="326"/>
      <c r="I54" s="326"/>
      <c r="J54" s="326"/>
      <c r="K54" s="327"/>
      <c r="L54" s="217"/>
      <c r="M54" s="218"/>
      <c r="N54" s="218"/>
      <c r="O54" s="218"/>
      <c r="P54" s="218"/>
      <c r="Q54" s="218"/>
      <c r="R54" s="218"/>
      <c r="S54" s="219"/>
      <c r="T54" s="220"/>
      <c r="U54" s="221"/>
      <c r="V54" s="221"/>
      <c r="W54" s="221"/>
      <c r="X54" s="221"/>
      <c r="Y54" s="221"/>
      <c r="Z54" s="222"/>
      <c r="AA54" s="207"/>
      <c r="AB54" s="157"/>
      <c r="AC54" s="157"/>
      <c r="AD54" s="157"/>
      <c r="AE54" s="157"/>
      <c r="AF54" s="365"/>
      <c r="AG54" s="366"/>
      <c r="AH54" s="366"/>
      <c r="AI54" s="366"/>
      <c r="AJ54" s="366"/>
      <c r="AK54" s="366"/>
      <c r="AL54" s="366"/>
      <c r="AM54" s="367"/>
      <c r="AN54" s="328"/>
      <c r="AO54" s="159"/>
      <c r="AP54" s="328"/>
      <c r="AQ54" s="159"/>
      <c r="AR54" s="207"/>
      <c r="AS54" s="157"/>
      <c r="AT54" s="110"/>
      <c r="AU54" s="226" t="s">
        <v>71</v>
      </c>
      <c r="AV54" s="156">
        <f>J55+R55+Y55+AL55+AW54</f>
        <v>16149204</v>
      </c>
      <c r="AW54" s="227">
        <f>AX54+AY54</f>
        <v>202000</v>
      </c>
      <c r="AX54" s="110">
        <v>202000</v>
      </c>
      <c r="AY54" s="110"/>
      <c r="AZ54" s="157"/>
      <c r="BA54" s="157"/>
      <c r="BB54" s="157"/>
      <c r="BC54" s="157"/>
      <c r="BD54" s="157"/>
      <c r="BE54" s="166"/>
      <c r="BF54" s="157"/>
      <c r="BG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28"/>
      <c r="I55" s="229" t="s">
        <v>72</v>
      </c>
      <c r="J55" s="230">
        <v>2758574</v>
      </c>
      <c r="K55" s="231" t="s">
        <v>73</v>
      </c>
      <c r="L55" s="110"/>
      <c r="M55" s="232"/>
      <c r="N55" s="232"/>
      <c r="O55" s="157"/>
      <c r="P55" s="228"/>
      <c r="Q55" s="229" t="s">
        <v>74</v>
      </c>
      <c r="R55" s="230">
        <v>476000</v>
      </c>
      <c r="S55" s="231" t="s">
        <v>73</v>
      </c>
      <c r="T55" s="110"/>
      <c r="U55" s="110"/>
      <c r="V55" s="110"/>
      <c r="W55" s="110"/>
      <c r="X55" s="229" t="s">
        <v>75</v>
      </c>
      <c r="Y55" s="230">
        <v>6879730</v>
      </c>
      <c r="Z55" s="231" t="s">
        <v>73</v>
      </c>
      <c r="AB55" s="110"/>
      <c r="AC55" s="229" t="s">
        <v>85</v>
      </c>
      <c r="AD55" s="230">
        <f>J55+R55+Y55+AW54</f>
        <v>10316304</v>
      </c>
      <c r="AE55" s="231" t="s">
        <v>73</v>
      </c>
      <c r="AF55" s="233"/>
      <c r="AG55" s="110"/>
      <c r="AH55" s="110"/>
      <c r="AI55" s="110"/>
      <c r="AJ55" s="110"/>
      <c r="AK55" s="228" t="s">
        <v>76</v>
      </c>
      <c r="AL55" s="230">
        <v>5832900</v>
      </c>
      <c r="AM55" s="231" t="s">
        <v>73</v>
      </c>
      <c r="AN55" s="231"/>
      <c r="AO55" s="159"/>
      <c r="AP55" s="231"/>
      <c r="AQ55" s="159"/>
      <c r="AS55" s="110"/>
      <c r="AT55" s="110"/>
      <c r="AU55" s="226" t="s">
        <v>77</v>
      </c>
      <c r="AV55" s="156">
        <f>AV54-AU37-AV37</f>
        <v>1484058.5454545468</v>
      </c>
      <c r="AW55" s="156">
        <f>AW54-AV37</f>
        <v>143000</v>
      </c>
      <c r="AX55" s="234">
        <f>AV37/AW54</f>
        <v>0.29207920792079206</v>
      </c>
      <c r="AY55" s="157"/>
      <c r="AZ55" s="157"/>
      <c r="BA55" s="157"/>
      <c r="BB55" s="157"/>
      <c r="BC55" s="166"/>
      <c r="BD55" s="157"/>
      <c r="BE55" s="166"/>
      <c r="BF55" s="157"/>
      <c r="BG55" s="157"/>
    </row>
    <row r="56" spans="1:88" ht="21" customHeight="1">
      <c r="A56" s="157"/>
      <c r="B56" s="158"/>
      <c r="C56" s="159"/>
      <c r="D56" s="157"/>
      <c r="E56" s="157"/>
      <c r="F56" s="157"/>
      <c r="G56" s="157"/>
      <c r="H56" s="228"/>
      <c r="I56" s="228" t="s">
        <v>77</v>
      </c>
      <c r="J56" s="156">
        <f>J55-J37</f>
        <v>-173289.63636363624</v>
      </c>
      <c r="K56" s="235">
        <f>B38-G38</f>
        <v>0</v>
      </c>
      <c r="L56" s="110"/>
      <c r="M56" s="232"/>
      <c r="N56" s="232"/>
      <c r="O56" s="157"/>
      <c r="P56" s="228"/>
      <c r="Q56" s="228" t="s">
        <v>77</v>
      </c>
      <c r="R56" s="156">
        <f>R55-R37</f>
        <v>343790.90909090906</v>
      </c>
      <c r="S56" s="235">
        <f>K56</f>
        <v>0</v>
      </c>
      <c r="T56" s="110"/>
      <c r="U56" s="110"/>
      <c r="V56" s="110"/>
      <c r="W56" s="110"/>
      <c r="X56" s="228" t="s">
        <v>77</v>
      </c>
      <c r="Y56" s="156">
        <f>Y55-Y37</f>
        <v>-1194415.4545454541</v>
      </c>
      <c r="Z56" s="236">
        <f>K56</f>
        <v>0</v>
      </c>
      <c r="AB56" s="110"/>
      <c r="AC56" s="228" t="s">
        <v>77</v>
      </c>
      <c r="AD56" s="156">
        <f>AD55-AD37</f>
        <v>-821914.18181818165</v>
      </c>
      <c r="AE56" s="236">
        <f>K56</f>
        <v>0</v>
      </c>
      <c r="AF56" s="232"/>
      <c r="AG56" s="110"/>
      <c r="AH56" s="110"/>
      <c r="AI56" s="110"/>
      <c r="AJ56" s="110"/>
      <c r="AK56" s="228" t="s">
        <v>77</v>
      </c>
      <c r="AL56" s="156">
        <f>AL55-AL37</f>
        <v>2364972.7272727275</v>
      </c>
      <c r="AM56" s="237">
        <f>Z56</f>
        <v>0</v>
      </c>
      <c r="AN56" s="110"/>
      <c r="AO56" s="159"/>
      <c r="AP56" s="110"/>
      <c r="AQ56" s="159"/>
      <c r="AS56" s="110"/>
      <c r="AT56" s="238"/>
      <c r="AU56" s="239" t="s">
        <v>78</v>
      </c>
      <c r="AV56" s="240" t="e">
        <f>AV55/Z56</f>
        <v>#DIV/0!</v>
      </c>
      <c r="AW56" s="241">
        <f>(AU37+AV37)/AV54</f>
        <v>0.9081033006051229</v>
      </c>
      <c r="AX56" s="241"/>
      <c r="AY56" s="238"/>
      <c r="AZ56" s="242"/>
      <c r="BA56" s="157"/>
      <c r="BB56" s="157"/>
      <c r="BC56" s="157"/>
      <c r="BD56" s="166"/>
      <c r="BE56" s="157"/>
      <c r="BF56" s="166"/>
      <c r="BG56" s="157"/>
      <c r="BH56" s="157"/>
    </row>
    <row r="57" spans="1:88" ht="25.5" customHeight="1">
      <c r="A57" s="242"/>
      <c r="B57" s="243"/>
      <c r="C57" s="244"/>
      <c r="D57" s="242"/>
      <c r="E57" s="242"/>
      <c r="F57" s="242"/>
      <c r="G57" s="242"/>
      <c r="H57" s="245"/>
      <c r="I57" s="239" t="s">
        <v>78</v>
      </c>
      <c r="J57" s="246" t="e">
        <f>J56/K56</f>
        <v>#DIV/0!</v>
      </c>
      <c r="K57" s="247">
        <f>J37/J55</f>
        <v>1.062818556385885</v>
      </c>
      <c r="L57" s="238"/>
      <c r="M57" s="248"/>
      <c r="N57" s="248"/>
      <c r="O57" s="242"/>
      <c r="P57" s="245"/>
      <c r="Q57" s="239" t="s">
        <v>78</v>
      </c>
      <c r="R57" s="246" t="e">
        <f>R56/S56</f>
        <v>#DIV/0!</v>
      </c>
      <c r="S57" s="247">
        <f>R37/R55</f>
        <v>0.27775019098548509</v>
      </c>
      <c r="T57" s="238"/>
      <c r="U57" s="238"/>
      <c r="V57" s="238"/>
      <c r="W57" s="238"/>
      <c r="X57" s="239" t="s">
        <v>78</v>
      </c>
      <c r="Y57" s="240" t="e">
        <f>Y56/Z56</f>
        <v>#DIV/0!</v>
      </c>
      <c r="Z57" s="247">
        <f>Y37/Y55</f>
        <v>1.1736137107917686</v>
      </c>
      <c r="AB57" s="238"/>
      <c r="AC57" s="239" t="s">
        <v>78</v>
      </c>
      <c r="AD57" s="240" t="e">
        <f>AD56/AE56</f>
        <v>#DIV/0!</v>
      </c>
      <c r="AE57" s="247">
        <f>AD37/AD55</f>
        <v>1.0796713805465776</v>
      </c>
      <c r="AF57" s="249"/>
      <c r="AG57" s="238"/>
      <c r="AH57" s="238"/>
      <c r="AI57" s="238"/>
      <c r="AJ57" s="238"/>
      <c r="AK57" s="239" t="s">
        <v>78</v>
      </c>
      <c r="AL57" s="246" t="e">
        <f>AL56/AM56</f>
        <v>#DIV/0!</v>
      </c>
      <c r="AM57" s="247">
        <f>AL37/AL55</f>
        <v>0.59454598445494911</v>
      </c>
      <c r="AN57" s="247"/>
      <c r="AO57" s="244"/>
      <c r="AP57" s="247"/>
      <c r="AQ57" s="244"/>
      <c r="AS57" s="238"/>
      <c r="AT57" s="157"/>
      <c r="AU57" s="157"/>
      <c r="AV57" s="166"/>
      <c r="AW57" s="157"/>
      <c r="AX57" s="157"/>
      <c r="AY57" s="157"/>
      <c r="AZ57" s="157"/>
      <c r="BA57" s="242"/>
      <c r="BB57" s="242"/>
      <c r="BC57" s="242"/>
      <c r="BD57" s="250"/>
      <c r="BE57" s="242"/>
      <c r="BF57" s="250"/>
      <c r="BG57" s="242"/>
      <c r="BH57" s="242"/>
    </row>
    <row r="58" spans="1:88" ht="15.75" customHeight="1">
      <c r="A58" s="157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7"/>
      <c r="AO58" s="159"/>
      <c r="AP58" s="157"/>
      <c r="AQ58" s="159"/>
      <c r="AR58" s="157"/>
      <c r="AS58" s="157"/>
      <c r="AT58" s="251"/>
      <c r="AU58" s="251"/>
      <c r="AV58" s="251"/>
      <c r="AW58" s="251"/>
      <c r="AX58" s="251"/>
      <c r="AY58" s="251"/>
      <c r="AZ58" s="251"/>
      <c r="BA58" s="157"/>
      <c r="BB58" s="157"/>
      <c r="BC58" s="157"/>
      <c r="BD58" s="166"/>
      <c r="BE58" s="157"/>
      <c r="BF58" s="166"/>
      <c r="BG58" s="157"/>
      <c r="BH58" s="157"/>
      <c r="BO58" s="251"/>
      <c r="BP58" s="251"/>
      <c r="BQ58" s="251"/>
      <c r="BR58" s="251"/>
      <c r="BS58" s="251"/>
      <c r="BT58" s="251"/>
      <c r="BU58" s="251"/>
      <c r="BV58" s="251"/>
      <c r="BW58" s="255"/>
      <c r="BX58" s="157"/>
      <c r="BY58" s="157"/>
      <c r="BZ58" s="157"/>
      <c r="CA58" s="157"/>
      <c r="CG58" s="157"/>
    </row>
    <row r="59" spans="1:88" ht="36" customHeight="1">
      <c r="A59" s="251"/>
      <c r="B59" s="252"/>
      <c r="C59" s="253"/>
      <c r="D59" s="251"/>
      <c r="E59" s="251"/>
      <c r="F59" s="251"/>
      <c r="G59" s="251"/>
      <c r="H59" s="251"/>
      <c r="I59" s="251"/>
      <c r="J59" s="251"/>
      <c r="K59" s="251"/>
      <c r="L59" s="251"/>
      <c r="M59" s="254"/>
      <c r="N59" s="254"/>
      <c r="O59" s="254"/>
      <c r="P59" s="254"/>
      <c r="Q59" s="254"/>
      <c r="R59" s="254"/>
      <c r="S59" s="254"/>
      <c r="T59" s="255"/>
      <c r="U59" s="157"/>
      <c r="V59" s="157"/>
      <c r="W59" s="157"/>
      <c r="X59" s="157"/>
      <c r="Y59" s="157"/>
      <c r="Z59" s="255"/>
      <c r="AA59" s="251"/>
      <c r="AB59" s="251"/>
      <c r="AC59" s="251"/>
      <c r="AD59" s="1" t="s">
        <v>79</v>
      </c>
      <c r="AE59" s="251"/>
      <c r="AF59" s="254"/>
      <c r="AG59" s="251"/>
      <c r="AH59" s="251"/>
      <c r="AI59" s="251"/>
      <c r="AJ59" s="251"/>
      <c r="AK59" s="251"/>
      <c r="AL59" s="1" t="s">
        <v>79</v>
      </c>
      <c r="AM59" s="251"/>
      <c r="AN59" s="251"/>
      <c r="AO59" s="253"/>
      <c r="AP59" s="251"/>
      <c r="AQ59" s="253"/>
      <c r="AR59" s="251"/>
      <c r="AS59" s="251"/>
      <c r="AT59" s="1"/>
      <c r="AU59" s="1"/>
      <c r="AV59" s="1"/>
      <c r="AW59" s="1"/>
      <c r="AX59" s="1"/>
      <c r="AY59" s="1"/>
      <c r="AZ59" s="1"/>
      <c r="BA59" s="251"/>
      <c r="BB59" s="251"/>
      <c r="BC59" s="251"/>
      <c r="BD59" s="256"/>
      <c r="BE59" s="251"/>
      <c r="BF59" s="256"/>
      <c r="BG59" s="251"/>
      <c r="BH59" s="251"/>
      <c r="BO59" s="1"/>
      <c r="BP59" s="1"/>
      <c r="BQ59" s="1"/>
      <c r="BR59" s="1"/>
      <c r="BS59" s="1"/>
      <c r="BT59" s="1"/>
      <c r="BU59" s="1"/>
      <c r="BV59" s="1"/>
      <c r="BW59" s="260"/>
      <c r="BX59" s="157"/>
      <c r="BY59" s="157"/>
      <c r="BZ59" s="157"/>
      <c r="CA59" s="157"/>
      <c r="CB59" s="157"/>
      <c r="CC59" s="255"/>
      <c r="CD59" s="255"/>
      <c r="CE59" s="157"/>
      <c r="CF59" s="157"/>
      <c r="CG59" s="157"/>
      <c r="CH59" s="157"/>
      <c r="CI59" s="157"/>
      <c r="CJ59" s="255"/>
    </row>
    <row r="60" spans="1:88" ht="36" customHeight="1">
      <c r="A60" s="1"/>
      <c r="B60" s="257"/>
      <c r="C60" s="3"/>
      <c r="D60" s="1"/>
      <c r="E60" s="1"/>
      <c r="F60" s="1"/>
      <c r="G60" s="1"/>
      <c r="H60" s="1"/>
      <c r="I60" s="1"/>
      <c r="J60" s="1"/>
      <c r="K60" s="1"/>
      <c r="L60" s="1"/>
      <c r="M60" s="258"/>
      <c r="N60" s="259"/>
      <c r="O60" s="258"/>
      <c r="P60" s="258"/>
      <c r="Q60" s="258"/>
      <c r="R60" s="258"/>
      <c r="S60" s="258"/>
      <c r="T60" s="260"/>
      <c r="U60" s="157"/>
      <c r="V60" s="157"/>
      <c r="W60" s="157"/>
      <c r="X60" s="157"/>
      <c r="Y60" s="157"/>
      <c r="Z60" s="260"/>
      <c r="AA60" s="260"/>
      <c r="AB60" s="1"/>
      <c r="AC60" s="1"/>
      <c r="AD60" s="261">
        <f>AD61/AD37</f>
        <v>5.6562009265395806E-2</v>
      </c>
      <c r="AE60" s="1"/>
      <c r="AF60" s="258" t="s">
        <v>80</v>
      </c>
      <c r="AG60" s="1"/>
      <c r="AH60" s="262"/>
      <c r="AI60" s="1"/>
      <c r="AJ60" s="1"/>
      <c r="AK60" s="1"/>
      <c r="AL60" s="261">
        <f>AL61/AL37</f>
        <v>0.13120229007633588</v>
      </c>
      <c r="AM60" s="1"/>
      <c r="AN60" s="258" t="s">
        <v>80</v>
      </c>
      <c r="AO60" s="3"/>
      <c r="AP60" s="1"/>
      <c r="AQ60" s="3"/>
      <c r="AR60" s="1"/>
      <c r="AS60" s="1"/>
      <c r="AT60" s="251"/>
      <c r="AU60" s="251"/>
      <c r="AV60" s="251"/>
      <c r="AW60" s="251"/>
      <c r="AX60" s="251"/>
      <c r="AY60" s="251"/>
      <c r="AZ60" s="251"/>
      <c r="BA60" s="1"/>
      <c r="BB60" s="1"/>
      <c r="BC60" s="1"/>
      <c r="BD60" s="263"/>
      <c r="BE60" s="1"/>
      <c r="BF60" s="263"/>
      <c r="BG60" s="1"/>
      <c r="BH60" s="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60"/>
      <c r="CD60" s="260"/>
      <c r="CE60" s="157"/>
      <c r="CF60" s="157"/>
      <c r="CG60" s="157"/>
      <c r="CH60" s="157"/>
      <c r="CI60" s="157"/>
      <c r="CJ60" s="260"/>
    </row>
    <row r="61" spans="1:88" ht="15.75" customHeight="1">
      <c r="A61" s="157"/>
      <c r="B61" s="158"/>
      <c r="C61" s="159"/>
      <c r="D61" s="157"/>
      <c r="E61" s="157"/>
      <c r="F61" s="157"/>
      <c r="G61" s="157"/>
      <c r="H61" s="157"/>
      <c r="I61" s="157"/>
      <c r="J61" s="157"/>
      <c r="K61" s="157"/>
      <c r="L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66">
        <v>630000</v>
      </c>
      <c r="AE61" s="157">
        <v>47.75</v>
      </c>
      <c r="AF61" s="264">
        <f>AD61/AE61</f>
        <v>13193.71727748691</v>
      </c>
      <c r="AG61" s="157"/>
      <c r="AH61" s="157"/>
      <c r="AI61" s="157"/>
      <c r="AJ61" s="157"/>
      <c r="AK61" s="157"/>
      <c r="AL61" s="166">
        <v>455000</v>
      </c>
      <c r="AM61" s="157">
        <v>7.07</v>
      </c>
      <c r="AN61" s="264">
        <f>AL61/AM61</f>
        <v>64356.435643564357</v>
      </c>
      <c r="AO61" s="159"/>
      <c r="AP61" s="157"/>
      <c r="AQ61" s="159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66"/>
      <c r="BG61" s="157"/>
      <c r="BH61" s="166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265">
        <f>AD37*0.105</f>
        <v>1169512.9090909089</v>
      </c>
      <c r="AE62" s="266">
        <v>0.105</v>
      </c>
      <c r="AF62" s="267" t="s">
        <v>81</v>
      </c>
      <c r="AG62" s="157"/>
      <c r="AH62" s="157"/>
      <c r="AI62" s="157"/>
      <c r="AJ62" s="157"/>
      <c r="AK62" s="157"/>
      <c r="AL62" s="265">
        <f>AL37*0.105</f>
        <v>364132.36363636359</v>
      </c>
      <c r="AM62" s="266">
        <v>0.13</v>
      </c>
      <c r="AN62" s="167"/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66">
        <f>AD61-AD62</f>
        <v>-539512.90909090894</v>
      </c>
      <c r="AE63" s="175" t="s">
        <v>82</v>
      </c>
      <c r="AG63" s="157"/>
      <c r="AH63" s="157"/>
      <c r="AI63" s="157"/>
      <c r="AJ63" s="157"/>
      <c r="AK63" s="157"/>
      <c r="AL63" s="166">
        <f>AL61-AL62</f>
        <v>90867.636363636411</v>
      </c>
      <c r="AM63" s="175" t="s">
        <v>82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81">
        <v>6000000</v>
      </c>
      <c r="AE64" s="157"/>
      <c r="AG64" s="157"/>
      <c r="AH64" s="157"/>
      <c r="AI64" s="157"/>
      <c r="AJ64" s="157"/>
      <c r="AK64" s="157"/>
      <c r="AL64" s="181">
        <v>3500000</v>
      </c>
      <c r="AM64" s="157"/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>
        <f>AD61/AD64</f>
        <v>0.105</v>
      </c>
      <c r="AE65" s="157"/>
      <c r="AG65" s="157"/>
      <c r="AH65" s="157"/>
      <c r="AI65" s="157"/>
      <c r="AJ65" s="157"/>
      <c r="AK65" s="157"/>
      <c r="AL65" s="157">
        <f>AL61/AL64</f>
        <v>0.13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G66" s="157"/>
      <c r="AI66" s="157"/>
      <c r="AJ66" s="157"/>
      <c r="AK66" s="157"/>
      <c r="AL66" s="157"/>
      <c r="AM66" s="157"/>
      <c r="AN66" s="157"/>
      <c r="AO66" s="159"/>
      <c r="AP66" s="157"/>
      <c r="AQ66" s="159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66"/>
      <c r="BG66" s="157"/>
      <c r="BH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7"/>
      <c r="AO67" s="159"/>
      <c r="AP67" s="157"/>
      <c r="AQ67" s="159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66"/>
      <c r="BG67" s="157"/>
      <c r="BH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7"/>
      <c r="AO68" s="159"/>
      <c r="AP68" s="157"/>
      <c r="AQ68" s="159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66"/>
      <c r="BG68" s="157"/>
      <c r="BH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7"/>
      <c r="AO69" s="159"/>
      <c r="AP69" s="157"/>
      <c r="AQ69" s="159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66"/>
      <c r="BG69" s="157"/>
      <c r="BH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7"/>
      <c r="AO70" s="159"/>
      <c r="AP70" s="157"/>
      <c r="AQ70" s="159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66"/>
      <c r="BG70" s="157"/>
      <c r="BH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7"/>
      <c r="AO71" s="159"/>
      <c r="AP71" s="157"/>
      <c r="AQ71" s="159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66"/>
      <c r="BG71" s="157"/>
      <c r="BH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7"/>
      <c r="AO72" s="159"/>
      <c r="AP72" s="157"/>
      <c r="AQ72" s="159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66"/>
      <c r="BG72" s="157"/>
      <c r="BH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7"/>
      <c r="AO73" s="159"/>
      <c r="AP73" s="157"/>
      <c r="AQ73" s="159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66"/>
      <c r="BG73" s="157"/>
      <c r="BH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7"/>
      <c r="AO74" s="159"/>
      <c r="AP74" s="157"/>
      <c r="AQ74" s="159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66"/>
      <c r="BG74" s="157"/>
      <c r="BH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7"/>
      <c r="AO75" s="159"/>
      <c r="AP75" s="157"/>
      <c r="AQ75" s="159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66"/>
      <c r="BG75" s="157"/>
      <c r="BH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7"/>
      <c r="AO76" s="159"/>
      <c r="AP76" s="157"/>
      <c r="AQ76" s="159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66"/>
      <c r="BG76" s="157"/>
      <c r="BH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7"/>
      <c r="AO77" s="159"/>
      <c r="AP77" s="157"/>
      <c r="AQ77" s="159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66"/>
      <c r="BG77" s="157"/>
      <c r="BH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7"/>
      <c r="AO78" s="159"/>
      <c r="AP78" s="157"/>
      <c r="AQ78" s="159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66"/>
      <c r="BG78" s="157"/>
      <c r="BH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7"/>
      <c r="AO79" s="159"/>
      <c r="AP79" s="157"/>
      <c r="AQ79" s="159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66"/>
      <c r="BG79" s="157"/>
      <c r="BH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7"/>
      <c r="AO80" s="159"/>
      <c r="AP80" s="157"/>
      <c r="AQ80" s="159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66"/>
      <c r="BG80" s="157"/>
      <c r="BH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7"/>
      <c r="AO81" s="159"/>
      <c r="AP81" s="157"/>
      <c r="AQ81" s="159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66"/>
      <c r="BG81" s="157"/>
      <c r="BH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7"/>
      <c r="AO82" s="159"/>
      <c r="AP82" s="157"/>
      <c r="AQ82" s="159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66"/>
      <c r="BG82" s="157"/>
      <c r="BH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7"/>
      <c r="AO83" s="159"/>
      <c r="AP83" s="157"/>
      <c r="AQ83" s="159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66"/>
      <c r="BG83" s="157"/>
      <c r="BH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7"/>
      <c r="AO84" s="159"/>
      <c r="AP84" s="157"/>
      <c r="AQ84" s="159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66"/>
      <c r="BG84" s="157"/>
      <c r="BH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7"/>
      <c r="AO85" s="159"/>
      <c r="AP85" s="157"/>
      <c r="AQ85" s="159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66"/>
      <c r="BG85" s="157"/>
      <c r="BH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7"/>
      <c r="AO86" s="159"/>
      <c r="AP86" s="157"/>
      <c r="AQ86" s="159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66"/>
      <c r="BG86" s="157"/>
      <c r="BH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7"/>
      <c r="AO87" s="159"/>
      <c r="AP87" s="157"/>
      <c r="AQ87" s="159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66"/>
      <c r="BG87" s="157"/>
      <c r="BH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7"/>
      <c r="AO88" s="159"/>
      <c r="AP88" s="157"/>
      <c r="AQ88" s="159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66"/>
      <c r="BG88" s="157"/>
      <c r="BH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7"/>
      <c r="AO89" s="159"/>
      <c r="AP89" s="157"/>
      <c r="AQ89" s="159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66"/>
      <c r="BG89" s="157"/>
      <c r="BH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7"/>
      <c r="AO90" s="159"/>
      <c r="AP90" s="157"/>
      <c r="AQ90" s="159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66"/>
      <c r="BG90" s="157"/>
      <c r="BH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7"/>
      <c r="AO91" s="159"/>
      <c r="AP91" s="157"/>
      <c r="AQ91" s="159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66"/>
      <c r="BG91" s="157"/>
      <c r="BH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7"/>
      <c r="AO92" s="159"/>
      <c r="AP92" s="157"/>
      <c r="AQ92" s="159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66"/>
      <c r="BG92" s="157"/>
      <c r="BH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7"/>
      <c r="AO93" s="159"/>
      <c r="AP93" s="157"/>
      <c r="AQ93" s="159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66"/>
      <c r="BG93" s="157"/>
      <c r="BH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7"/>
      <c r="AO94" s="159"/>
      <c r="AP94" s="157"/>
      <c r="AQ94" s="159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66"/>
      <c r="BG94" s="157"/>
      <c r="BH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7"/>
      <c r="AO95" s="159"/>
      <c r="AP95" s="157"/>
      <c r="AQ95" s="159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66"/>
      <c r="BG95" s="157"/>
      <c r="BH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7"/>
      <c r="AO96" s="159"/>
      <c r="AP96" s="157"/>
      <c r="AQ96" s="159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66"/>
      <c r="BG96" s="157"/>
      <c r="BH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7"/>
      <c r="AO97" s="159"/>
      <c r="AP97" s="157"/>
      <c r="AQ97" s="159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66"/>
      <c r="BG97" s="157"/>
      <c r="BH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7"/>
      <c r="AO98" s="159"/>
      <c r="AP98" s="157"/>
      <c r="AQ98" s="159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66"/>
      <c r="BG98" s="157"/>
      <c r="BH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7"/>
      <c r="AO99" s="159"/>
      <c r="AP99" s="157"/>
      <c r="AQ99" s="159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66"/>
      <c r="BG99" s="157"/>
      <c r="BH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7"/>
      <c r="AO100" s="159"/>
      <c r="AP100" s="157"/>
      <c r="AQ100" s="159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66"/>
      <c r="BG100" s="157"/>
      <c r="BH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7"/>
      <c r="AO101" s="159"/>
      <c r="AP101" s="157"/>
      <c r="AQ101" s="159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66"/>
      <c r="BG101" s="157"/>
      <c r="BH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7"/>
      <c r="AO102" s="159"/>
      <c r="AP102" s="157"/>
      <c r="AQ102" s="159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66"/>
      <c r="BG102" s="157"/>
      <c r="BH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7"/>
      <c r="AO103" s="159"/>
      <c r="AP103" s="157"/>
      <c r="AQ103" s="159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66"/>
      <c r="BG103" s="157"/>
      <c r="BH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7"/>
      <c r="AO104" s="159"/>
      <c r="AP104" s="157"/>
      <c r="AQ104" s="159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66"/>
      <c r="BG104" s="157"/>
      <c r="BH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7"/>
      <c r="AO105" s="159"/>
      <c r="AP105" s="157"/>
      <c r="AQ105" s="159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66"/>
      <c r="BG105" s="157"/>
      <c r="BH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7"/>
      <c r="AO106" s="159"/>
      <c r="AP106" s="157"/>
      <c r="AQ106" s="159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66"/>
      <c r="BG106" s="157"/>
      <c r="BH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7"/>
      <c r="AO107" s="159"/>
      <c r="AP107" s="157"/>
      <c r="AQ107" s="159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66"/>
      <c r="BG107" s="157"/>
      <c r="BH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7"/>
      <c r="AO108" s="159"/>
      <c r="AP108" s="157"/>
      <c r="AQ108" s="159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66"/>
      <c r="BG108" s="157"/>
      <c r="BH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7"/>
      <c r="AO109" s="159"/>
      <c r="AP109" s="157"/>
      <c r="AQ109" s="159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66"/>
      <c r="BG109" s="157"/>
      <c r="BH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7"/>
      <c r="AO110" s="159"/>
      <c r="AP110" s="157"/>
      <c r="AQ110" s="159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66"/>
      <c r="BG110" s="157"/>
      <c r="BH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7"/>
      <c r="AO111" s="159"/>
      <c r="AP111" s="157"/>
      <c r="AQ111" s="159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66"/>
      <c r="BG111" s="157"/>
      <c r="BH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7"/>
      <c r="AO112" s="159"/>
      <c r="AP112" s="157"/>
      <c r="AQ112" s="159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66"/>
      <c r="BG112" s="157"/>
      <c r="BH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7"/>
      <c r="AO113" s="159"/>
      <c r="AP113" s="157"/>
      <c r="AQ113" s="159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66"/>
      <c r="BG113" s="157"/>
      <c r="BH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7"/>
      <c r="AO114" s="159"/>
      <c r="AP114" s="157"/>
      <c r="AQ114" s="159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66"/>
      <c r="BG114" s="157"/>
      <c r="BH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7"/>
      <c r="AO115" s="159"/>
      <c r="AP115" s="157"/>
      <c r="AQ115" s="159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66"/>
      <c r="BG115" s="157"/>
      <c r="BH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7"/>
      <c r="AO116" s="159"/>
      <c r="AP116" s="157"/>
      <c r="AQ116" s="159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66"/>
      <c r="BG116" s="157"/>
      <c r="BH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7"/>
      <c r="AO117" s="159"/>
      <c r="AP117" s="157"/>
      <c r="AQ117" s="159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66"/>
      <c r="BG117" s="157"/>
      <c r="BH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7"/>
      <c r="AO118" s="159"/>
      <c r="AP118" s="157"/>
      <c r="AQ118" s="159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66"/>
      <c r="BG118" s="157"/>
      <c r="BH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7"/>
      <c r="AO119" s="159"/>
      <c r="AP119" s="157"/>
      <c r="AQ119" s="159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66"/>
      <c r="BG119" s="157"/>
      <c r="BH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7"/>
      <c r="AO120" s="159"/>
      <c r="AP120" s="157"/>
      <c r="AQ120" s="159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66"/>
      <c r="BG120" s="157"/>
      <c r="BH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7"/>
      <c r="AO121" s="159"/>
      <c r="AP121" s="157"/>
      <c r="AQ121" s="159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66"/>
      <c r="BG121" s="157"/>
      <c r="BH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7"/>
      <c r="AO122" s="159"/>
      <c r="AP122" s="157"/>
      <c r="AQ122" s="159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66"/>
      <c r="BG122" s="157"/>
      <c r="BH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7"/>
      <c r="AO123" s="159"/>
      <c r="AP123" s="157"/>
      <c r="AQ123" s="159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66"/>
      <c r="BG123" s="157"/>
      <c r="BH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7"/>
      <c r="AO124" s="159"/>
      <c r="AP124" s="157"/>
      <c r="AQ124" s="159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66"/>
      <c r="BG124" s="157"/>
      <c r="BH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7"/>
      <c r="AO125" s="159"/>
      <c r="AP125" s="157"/>
      <c r="AQ125" s="159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66"/>
      <c r="BG125" s="157"/>
      <c r="BH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7"/>
      <c r="AO126" s="159"/>
      <c r="AP126" s="157"/>
      <c r="AQ126" s="159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66"/>
      <c r="BG126" s="157"/>
      <c r="BH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7"/>
      <c r="AO127" s="159"/>
      <c r="AP127" s="157"/>
      <c r="AQ127" s="159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66"/>
      <c r="BG127" s="157"/>
      <c r="BH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7"/>
      <c r="AO128" s="159"/>
      <c r="AP128" s="157"/>
      <c r="AQ128" s="159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66"/>
      <c r="BG128" s="157"/>
      <c r="BH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7"/>
      <c r="AO129" s="159"/>
      <c r="AP129" s="157"/>
      <c r="AQ129" s="159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66"/>
      <c r="BG129" s="157"/>
      <c r="BH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7"/>
      <c r="AO130" s="159"/>
      <c r="AP130" s="157"/>
      <c r="AQ130" s="159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66"/>
      <c r="BG130" s="157"/>
      <c r="BH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7"/>
      <c r="AO131" s="159"/>
      <c r="AP131" s="157"/>
      <c r="AQ131" s="159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66"/>
      <c r="BG131" s="157"/>
      <c r="BH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7"/>
      <c r="AO132" s="159"/>
      <c r="AP132" s="157"/>
      <c r="AQ132" s="159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66"/>
      <c r="BG132" s="157"/>
      <c r="BH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7"/>
      <c r="AO133" s="159"/>
      <c r="AP133" s="157"/>
      <c r="AQ133" s="159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66"/>
      <c r="BG133" s="157"/>
      <c r="BH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7"/>
      <c r="AO134" s="159"/>
      <c r="AP134" s="157"/>
      <c r="AQ134" s="159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66"/>
      <c r="BG134" s="157"/>
      <c r="BH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7"/>
      <c r="AO135" s="159"/>
      <c r="AP135" s="157"/>
      <c r="AQ135" s="159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66"/>
      <c r="BG135" s="157"/>
      <c r="BH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7"/>
      <c r="AO136" s="159"/>
      <c r="AP136" s="157"/>
      <c r="AQ136" s="159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66"/>
      <c r="BG136" s="157"/>
      <c r="BH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7"/>
      <c r="AO137" s="159"/>
      <c r="AP137" s="157"/>
      <c r="AQ137" s="159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66"/>
      <c r="BG137" s="157"/>
      <c r="BH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7"/>
      <c r="AO138" s="159"/>
      <c r="AP138" s="157"/>
      <c r="AQ138" s="159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66"/>
      <c r="BG138" s="157"/>
      <c r="BH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7"/>
      <c r="AO139" s="159"/>
      <c r="AP139" s="157"/>
      <c r="AQ139" s="159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66"/>
      <c r="BG139" s="157"/>
      <c r="BH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7"/>
      <c r="AO140" s="159"/>
      <c r="AP140" s="157"/>
      <c r="AQ140" s="159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66"/>
      <c r="BG140" s="157"/>
      <c r="BH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7"/>
      <c r="AO141" s="159"/>
      <c r="AP141" s="157"/>
      <c r="AQ141" s="159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66"/>
      <c r="BG141" s="157"/>
      <c r="BH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7"/>
      <c r="AO142" s="159"/>
      <c r="AP142" s="157"/>
      <c r="AQ142" s="159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66"/>
      <c r="BG142" s="157"/>
      <c r="BH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7"/>
      <c r="AO143" s="159"/>
      <c r="AP143" s="157"/>
      <c r="AQ143" s="159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66"/>
      <c r="BG143" s="157"/>
      <c r="BH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7"/>
      <c r="AO144" s="159"/>
      <c r="AP144" s="157"/>
      <c r="AQ144" s="159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66"/>
      <c r="BG144" s="157"/>
      <c r="BH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7"/>
      <c r="AO145" s="159"/>
      <c r="AP145" s="157"/>
      <c r="AQ145" s="159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66"/>
      <c r="BG145" s="157"/>
      <c r="BH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7"/>
      <c r="AO146" s="159"/>
      <c r="AP146" s="157"/>
      <c r="AQ146" s="159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66"/>
      <c r="BG146" s="157"/>
      <c r="BH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7"/>
      <c r="AO147" s="159"/>
      <c r="AP147" s="157"/>
      <c r="AQ147" s="159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66"/>
      <c r="BG147" s="157"/>
      <c r="BH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7"/>
      <c r="AO148" s="159"/>
      <c r="AP148" s="157"/>
      <c r="AQ148" s="159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66"/>
      <c r="BG148" s="157"/>
      <c r="BH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7"/>
      <c r="AO149" s="159"/>
      <c r="AP149" s="157"/>
      <c r="AQ149" s="159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66"/>
      <c r="BG149" s="157"/>
      <c r="BH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7"/>
      <c r="AO150" s="159"/>
      <c r="AP150" s="157"/>
      <c r="AQ150" s="159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66"/>
      <c r="BG150" s="157"/>
      <c r="BH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7"/>
      <c r="AO151" s="159"/>
      <c r="AP151" s="157"/>
      <c r="AQ151" s="159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66"/>
      <c r="BG151" s="157"/>
      <c r="BH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7"/>
      <c r="AO152" s="159"/>
      <c r="AP152" s="157"/>
      <c r="AQ152" s="159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66"/>
      <c r="BG152" s="157"/>
      <c r="BH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7"/>
      <c r="AO153" s="159"/>
      <c r="AP153" s="157"/>
      <c r="AQ153" s="159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66"/>
      <c r="BG153" s="157"/>
      <c r="BH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7"/>
      <c r="AO154" s="159"/>
      <c r="AP154" s="157"/>
      <c r="AQ154" s="159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66"/>
      <c r="BG154" s="157"/>
      <c r="BH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7"/>
      <c r="AO155" s="159"/>
      <c r="AP155" s="157"/>
      <c r="AQ155" s="159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66"/>
      <c r="BG155" s="157"/>
      <c r="BH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7"/>
      <c r="AO156" s="159"/>
      <c r="AP156" s="157"/>
      <c r="AQ156" s="159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66"/>
      <c r="BG156" s="157"/>
      <c r="BH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7"/>
      <c r="AO157" s="159"/>
      <c r="AP157" s="157"/>
      <c r="AQ157" s="159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66"/>
      <c r="BG157" s="157"/>
      <c r="BH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7"/>
      <c r="AO158" s="159"/>
      <c r="AP158" s="157"/>
      <c r="AQ158" s="159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66"/>
      <c r="BG158" s="157"/>
      <c r="BH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7"/>
      <c r="AO159" s="159"/>
      <c r="AP159" s="157"/>
      <c r="AQ159" s="159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66"/>
      <c r="BG159" s="157"/>
      <c r="BH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7"/>
      <c r="AO160" s="159"/>
      <c r="AP160" s="157"/>
      <c r="AQ160" s="159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66"/>
      <c r="BG160" s="157"/>
      <c r="BH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7"/>
      <c r="AO161" s="159"/>
      <c r="AP161" s="157"/>
      <c r="AQ161" s="159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66"/>
      <c r="BG161" s="157"/>
      <c r="BH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7"/>
      <c r="AO162" s="159"/>
      <c r="AP162" s="157"/>
      <c r="AQ162" s="159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66"/>
      <c r="BG162" s="157"/>
      <c r="BH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7"/>
      <c r="AO163" s="159"/>
      <c r="AP163" s="157"/>
      <c r="AQ163" s="159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66"/>
      <c r="BG163" s="157"/>
      <c r="BH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7"/>
      <c r="AO164" s="159"/>
      <c r="AP164" s="157"/>
      <c r="AQ164" s="159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66"/>
      <c r="BG164" s="157"/>
      <c r="BH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7"/>
      <c r="AO165" s="159"/>
      <c r="AP165" s="157"/>
      <c r="AQ165" s="159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66"/>
      <c r="BG165" s="157"/>
      <c r="BH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7"/>
      <c r="AO166" s="159"/>
      <c r="AP166" s="157"/>
      <c r="AQ166" s="159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66"/>
      <c r="BG166" s="157"/>
      <c r="BH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7"/>
      <c r="AO167" s="159"/>
      <c r="AP167" s="157"/>
      <c r="AQ167" s="159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66"/>
      <c r="BG167" s="157"/>
      <c r="BH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7"/>
      <c r="AO168" s="159"/>
      <c r="AP168" s="157"/>
      <c r="AQ168" s="159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66"/>
      <c r="BG168" s="157"/>
      <c r="BH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7"/>
      <c r="AO169" s="159"/>
      <c r="AP169" s="157"/>
      <c r="AQ169" s="159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66"/>
      <c r="BG169" s="157"/>
      <c r="BH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7"/>
      <c r="AO170" s="159"/>
      <c r="AP170" s="157"/>
      <c r="AQ170" s="159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66"/>
      <c r="BG170" s="157"/>
      <c r="BH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7"/>
      <c r="AO171" s="159"/>
      <c r="AP171" s="157"/>
      <c r="AQ171" s="159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66"/>
      <c r="BG171" s="157"/>
      <c r="BH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7"/>
      <c r="AO172" s="159"/>
      <c r="AP172" s="157"/>
      <c r="AQ172" s="159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66"/>
      <c r="BG172" s="157"/>
      <c r="BH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7"/>
      <c r="AO173" s="159"/>
      <c r="AP173" s="157"/>
      <c r="AQ173" s="159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66"/>
      <c r="BG173" s="157"/>
      <c r="BH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7"/>
      <c r="AO174" s="159"/>
      <c r="AP174" s="157"/>
      <c r="AQ174" s="159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66"/>
      <c r="BG174" s="157"/>
      <c r="BH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7"/>
      <c r="AO175" s="159"/>
      <c r="AP175" s="157"/>
      <c r="AQ175" s="159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66"/>
      <c r="BG175" s="157"/>
      <c r="BH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7"/>
      <c r="AO176" s="159"/>
      <c r="AP176" s="157"/>
      <c r="AQ176" s="159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66"/>
      <c r="BG176" s="157"/>
      <c r="BH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7"/>
      <c r="AO177" s="159"/>
      <c r="AP177" s="157"/>
      <c r="AQ177" s="159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66"/>
      <c r="BG177" s="157"/>
      <c r="BH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7"/>
      <c r="AO178" s="159"/>
      <c r="AP178" s="157"/>
      <c r="AQ178" s="159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66"/>
      <c r="BG178" s="157"/>
      <c r="BH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7"/>
      <c r="AO179" s="159"/>
      <c r="AP179" s="157"/>
      <c r="AQ179" s="159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66"/>
      <c r="BG179" s="157"/>
      <c r="BH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7"/>
      <c r="AO180" s="159"/>
      <c r="AP180" s="157"/>
      <c r="AQ180" s="159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66"/>
      <c r="BG180" s="157"/>
      <c r="BH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7"/>
      <c r="AO181" s="159"/>
      <c r="AP181" s="157"/>
      <c r="AQ181" s="159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66"/>
      <c r="BG181" s="157"/>
      <c r="BH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7"/>
      <c r="AO182" s="159"/>
      <c r="AP182" s="157"/>
      <c r="AQ182" s="159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66"/>
      <c r="BG182" s="157"/>
      <c r="BH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7"/>
      <c r="AO183" s="159"/>
      <c r="AP183" s="157"/>
      <c r="AQ183" s="159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66"/>
      <c r="BG183" s="157"/>
      <c r="BH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7"/>
      <c r="AO184" s="159"/>
      <c r="AP184" s="157"/>
      <c r="AQ184" s="159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66"/>
      <c r="BG184" s="157"/>
      <c r="BH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7"/>
      <c r="AO185" s="159"/>
      <c r="AP185" s="157"/>
      <c r="AQ185" s="159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66"/>
      <c r="BG185" s="157"/>
      <c r="BH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7"/>
      <c r="AO186" s="159"/>
      <c r="AP186" s="157"/>
      <c r="AQ186" s="159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66"/>
      <c r="BG186" s="157"/>
      <c r="BH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7"/>
      <c r="AO187" s="159"/>
      <c r="AP187" s="157"/>
      <c r="AQ187" s="159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66"/>
      <c r="BG187" s="157"/>
      <c r="BH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7"/>
      <c r="AO188" s="159"/>
      <c r="AP188" s="157"/>
      <c r="AQ188" s="159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66"/>
      <c r="BG188" s="157"/>
      <c r="BH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7"/>
      <c r="AO189" s="159"/>
      <c r="AP189" s="157"/>
      <c r="AQ189" s="159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66"/>
      <c r="BG189" s="157"/>
      <c r="BH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7"/>
      <c r="AO190" s="159"/>
      <c r="AP190" s="157"/>
      <c r="AQ190" s="159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66"/>
      <c r="BG190" s="157"/>
      <c r="BH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7"/>
      <c r="AO191" s="159"/>
      <c r="AP191" s="157"/>
      <c r="AQ191" s="159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66"/>
      <c r="BG191" s="157"/>
      <c r="BH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7"/>
      <c r="AO192" s="159"/>
      <c r="AP192" s="157"/>
      <c r="AQ192" s="159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66"/>
      <c r="BG192" s="157"/>
      <c r="BH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7"/>
      <c r="AO193" s="159"/>
      <c r="AP193" s="157"/>
      <c r="AQ193" s="159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66"/>
      <c r="BG193" s="157"/>
      <c r="BH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7"/>
      <c r="AO194" s="159"/>
      <c r="AP194" s="157"/>
      <c r="AQ194" s="159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66"/>
      <c r="BG194" s="157"/>
      <c r="BH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7"/>
      <c r="AO195" s="159"/>
      <c r="AP195" s="157"/>
      <c r="AQ195" s="159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66"/>
      <c r="BG195" s="157"/>
      <c r="BH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7"/>
      <c r="AO196" s="159"/>
      <c r="AP196" s="157"/>
      <c r="AQ196" s="159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66"/>
      <c r="BG196" s="157"/>
      <c r="BH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7"/>
      <c r="AO197" s="159"/>
      <c r="AP197" s="157"/>
      <c r="AQ197" s="159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66"/>
      <c r="BG197" s="157"/>
      <c r="BH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7"/>
      <c r="AO198" s="159"/>
      <c r="AP198" s="157"/>
      <c r="AQ198" s="159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66"/>
      <c r="BG198" s="157"/>
      <c r="BH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7"/>
      <c r="AO199" s="159"/>
      <c r="AP199" s="157"/>
      <c r="AQ199" s="159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66"/>
      <c r="BG199" s="157"/>
      <c r="BH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7"/>
      <c r="AO200" s="159"/>
      <c r="AP200" s="157"/>
      <c r="AQ200" s="159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66"/>
      <c r="BG200" s="157"/>
      <c r="BH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7"/>
      <c r="AO201" s="159"/>
      <c r="AP201" s="157"/>
      <c r="AQ201" s="159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66"/>
      <c r="BG201" s="157"/>
      <c r="BH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7"/>
      <c r="AO202" s="159"/>
      <c r="AP202" s="157"/>
      <c r="AQ202" s="159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66"/>
      <c r="BG202" s="157"/>
      <c r="BH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7"/>
      <c r="AO203" s="159"/>
      <c r="AP203" s="157"/>
      <c r="AQ203" s="159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66"/>
      <c r="BG203" s="157"/>
      <c r="BH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7"/>
      <c r="AO204" s="159"/>
      <c r="AP204" s="157"/>
      <c r="AQ204" s="159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66"/>
      <c r="BG204" s="157"/>
      <c r="BH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7"/>
      <c r="AO205" s="159"/>
      <c r="AP205" s="157"/>
      <c r="AQ205" s="159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66"/>
      <c r="BG205" s="157"/>
      <c r="BH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7"/>
      <c r="AO206" s="159"/>
      <c r="AP206" s="157"/>
      <c r="AQ206" s="159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66"/>
      <c r="BG206" s="157"/>
      <c r="BH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7"/>
      <c r="AO207" s="159"/>
      <c r="AP207" s="157"/>
      <c r="AQ207" s="159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66"/>
      <c r="BG207" s="157"/>
      <c r="BH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7"/>
      <c r="AO208" s="159"/>
      <c r="AP208" s="157"/>
      <c r="AQ208" s="159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66"/>
      <c r="BG208" s="157"/>
      <c r="BH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7"/>
      <c r="AO209" s="159"/>
      <c r="AP209" s="157"/>
      <c r="AQ209" s="159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66"/>
      <c r="BG209" s="157"/>
      <c r="BH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7"/>
      <c r="AO210" s="159"/>
      <c r="AP210" s="157"/>
      <c r="AQ210" s="159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66"/>
      <c r="BG210" s="157"/>
      <c r="BH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7"/>
      <c r="AO211" s="159"/>
      <c r="AP211" s="157"/>
      <c r="AQ211" s="159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66"/>
      <c r="BG211" s="157"/>
      <c r="BH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7"/>
      <c r="AO212" s="159"/>
      <c r="AP212" s="157"/>
      <c r="AQ212" s="159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66"/>
      <c r="BG212" s="157"/>
      <c r="BH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7"/>
      <c r="AO213" s="159"/>
      <c r="AP213" s="157"/>
      <c r="AQ213" s="159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66"/>
      <c r="BG213" s="157"/>
      <c r="BH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7"/>
      <c r="AO214" s="159"/>
      <c r="AP214" s="157"/>
      <c r="AQ214" s="159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66"/>
      <c r="BG214" s="157"/>
      <c r="BH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7"/>
      <c r="AO215" s="159"/>
      <c r="AP215" s="157"/>
      <c r="AQ215" s="159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66"/>
      <c r="BG215" s="157"/>
      <c r="BH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7"/>
      <c r="AO216" s="159"/>
      <c r="AP216" s="157"/>
      <c r="AQ216" s="159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66"/>
      <c r="BG216" s="157"/>
      <c r="BH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7"/>
      <c r="AO217" s="159"/>
      <c r="AP217" s="157"/>
      <c r="AQ217" s="159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66"/>
      <c r="BG217" s="157"/>
      <c r="BH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7"/>
      <c r="AO218" s="159"/>
      <c r="AP218" s="157"/>
      <c r="AQ218" s="159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66"/>
      <c r="BG218" s="157"/>
      <c r="BH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7"/>
      <c r="AO219" s="159"/>
      <c r="AP219" s="157"/>
      <c r="AQ219" s="159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66"/>
      <c r="BG219" s="157"/>
      <c r="BH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7"/>
      <c r="AO220" s="159"/>
      <c r="AP220" s="157"/>
      <c r="AQ220" s="159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66"/>
      <c r="BG220" s="157"/>
      <c r="BH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7"/>
      <c r="AO221" s="159"/>
      <c r="AP221" s="157"/>
      <c r="AQ221" s="159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66"/>
      <c r="BG221" s="157"/>
      <c r="BH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7"/>
      <c r="AO222" s="159"/>
      <c r="AP222" s="157"/>
      <c r="AQ222" s="159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66"/>
      <c r="BG222" s="157"/>
      <c r="BH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7"/>
      <c r="AO223" s="159"/>
      <c r="AP223" s="157"/>
      <c r="AQ223" s="159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66"/>
      <c r="BG223" s="157"/>
      <c r="BH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7"/>
      <c r="AO224" s="159"/>
      <c r="AP224" s="157"/>
      <c r="AQ224" s="159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66"/>
      <c r="BG224" s="157"/>
      <c r="BH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7"/>
      <c r="AO225" s="159"/>
      <c r="AP225" s="157"/>
      <c r="AQ225" s="159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66"/>
      <c r="BG225" s="157"/>
      <c r="BH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7"/>
      <c r="AO226" s="159"/>
      <c r="AP226" s="157"/>
      <c r="AQ226" s="159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66"/>
      <c r="BG226" s="157"/>
      <c r="BH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7"/>
      <c r="AO227" s="159"/>
      <c r="AP227" s="157"/>
      <c r="AQ227" s="159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66"/>
      <c r="BG227" s="157"/>
      <c r="BH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7"/>
      <c r="AO228" s="159"/>
      <c r="AP228" s="157"/>
      <c r="AQ228" s="159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66"/>
      <c r="BG228" s="157"/>
      <c r="BH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7"/>
      <c r="AO229" s="159"/>
      <c r="AP229" s="157"/>
      <c r="AQ229" s="159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66"/>
      <c r="BG229" s="157"/>
      <c r="BH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7"/>
      <c r="AO230" s="159"/>
      <c r="AP230" s="157"/>
      <c r="AQ230" s="159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66"/>
      <c r="BG230" s="157"/>
      <c r="BH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7"/>
      <c r="AO231" s="159"/>
      <c r="AP231" s="157"/>
      <c r="AQ231" s="159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66"/>
      <c r="BG231" s="157"/>
      <c r="BH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7"/>
      <c r="AO232" s="159"/>
      <c r="AP232" s="157"/>
      <c r="AQ232" s="159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66"/>
      <c r="BG232" s="157"/>
      <c r="BH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7"/>
      <c r="AO233" s="159"/>
      <c r="AP233" s="157"/>
      <c r="AQ233" s="159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66"/>
      <c r="BG233" s="157"/>
      <c r="BH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7"/>
      <c r="AO234" s="159"/>
      <c r="AP234" s="157"/>
      <c r="AQ234" s="159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66"/>
      <c r="BG234" s="157"/>
      <c r="BH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7"/>
      <c r="AO235" s="159"/>
      <c r="AP235" s="157"/>
      <c r="AQ235" s="159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66"/>
      <c r="BG235" s="157"/>
      <c r="BH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7"/>
      <c r="AO236" s="159"/>
      <c r="AP236" s="157"/>
      <c r="AQ236" s="159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66"/>
      <c r="BG236" s="157"/>
      <c r="BH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7"/>
      <c r="AO237" s="159"/>
      <c r="AP237" s="157"/>
      <c r="AQ237" s="159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66"/>
      <c r="BG237" s="157"/>
      <c r="BH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7"/>
      <c r="AO238" s="159"/>
      <c r="AP238" s="157"/>
      <c r="AQ238" s="159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66"/>
      <c r="BG238" s="157"/>
      <c r="BH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7"/>
      <c r="AO239" s="159"/>
      <c r="AP239" s="157"/>
      <c r="AQ239" s="159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66"/>
      <c r="BG239" s="157"/>
      <c r="BH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7"/>
      <c r="AO240" s="159"/>
      <c r="AP240" s="157"/>
      <c r="AQ240" s="159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66"/>
      <c r="BG240" s="157"/>
      <c r="BH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7"/>
      <c r="AO241" s="159"/>
      <c r="AP241" s="157"/>
      <c r="AQ241" s="159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66"/>
      <c r="BG241" s="157"/>
      <c r="BH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7"/>
      <c r="AO242" s="159"/>
      <c r="AP242" s="157"/>
      <c r="AQ242" s="159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66"/>
      <c r="BG242" s="157"/>
      <c r="BH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7"/>
      <c r="AO243" s="159"/>
      <c r="AP243" s="157"/>
      <c r="AQ243" s="159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66"/>
      <c r="BG243" s="157"/>
      <c r="BH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7"/>
      <c r="AO244" s="159"/>
      <c r="AP244" s="157"/>
      <c r="AQ244" s="159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66"/>
      <c r="BG244" s="157"/>
      <c r="BH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7"/>
      <c r="AO245" s="159"/>
      <c r="AP245" s="157"/>
      <c r="AQ245" s="159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66"/>
      <c r="BG245" s="157"/>
      <c r="BH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7"/>
      <c r="AO246" s="159"/>
      <c r="AP246" s="157"/>
      <c r="AQ246" s="159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66"/>
      <c r="BG246" s="157"/>
      <c r="BH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A247" s="157"/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7"/>
      <c r="AO247" s="159"/>
      <c r="AP247" s="157"/>
      <c r="AQ247" s="159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66"/>
      <c r="BG247" s="157"/>
      <c r="BH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P38:AQ38"/>
    <mergeCell ref="AP49:AQ49"/>
    <mergeCell ref="AN38:AO38"/>
    <mergeCell ref="AN39:AO39"/>
    <mergeCell ref="AN49:AO49"/>
    <mergeCell ref="D50:K54"/>
    <mergeCell ref="L50:S54"/>
    <mergeCell ref="T50:Z54"/>
    <mergeCell ref="AF50:AM54"/>
    <mergeCell ref="BO3:BV3"/>
    <mergeCell ref="BW3:CC3"/>
    <mergeCell ref="CD3:CJ3"/>
    <mergeCell ref="AN4:AO4"/>
    <mergeCell ref="AR3:AV3"/>
    <mergeCell ref="AW3:BD3"/>
    <mergeCell ref="AP4:AQ4"/>
    <mergeCell ref="B3:B4"/>
    <mergeCell ref="D3:K3"/>
    <mergeCell ref="L3:S3"/>
    <mergeCell ref="T3:Z3"/>
    <mergeCell ref="AA3:AE3"/>
    <mergeCell ref="AF3:AO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２０２５.10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2026-02-11T11:00:44Z</dcterms:created>
  <dcterms:modified xsi:type="dcterms:W3CDTF">2026-02-11T11:10:24Z</dcterms:modified>
</cp:coreProperties>
</file>